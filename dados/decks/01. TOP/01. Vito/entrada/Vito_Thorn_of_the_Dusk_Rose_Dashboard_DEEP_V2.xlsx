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68ee923aeb45e0" /></Relationships>
</file>

<file path=xl/workbook.xml><?xml version="1.0" encoding="utf-8"?>
<x:workbook xmlns:x="http://schemas.openxmlformats.org/spreadsheetml/2006/main">
  <x:sheets>
    <x:sheet xmlns:r="http://schemas.openxmlformats.org/officeDocument/2006/relationships" name="01_Dashboard" sheetId="1" r:id="Rfb35874f31024e8e"/>
    <x:sheet xmlns:r="http://schemas.openxmlformats.org/officeDocument/2006/relationships" name="02_Card Matrix" sheetId="2" r:id="R83ed74c6e3a34930"/>
    <x:sheet xmlns:r="http://schemas.openxmlformats.org/officeDocument/2006/relationships" name="03_Tier List" sheetId="3" r:id="Ra885221f37494e62"/>
    <x:sheet xmlns:r="http://schemas.openxmlformats.org/officeDocument/2006/relationships" name="04_Analysis" sheetId="4" r:id="R8b5ae6157fa04f29"/>
    <x:sheet xmlns:r="http://schemas.openxmlformats.org/officeDocument/2006/relationships" name="05_Control Panel" sheetId="5" r:id="R1fd9caafb045465b"/>
    <x:sheet xmlns:r="http://schemas.openxmlformats.org/officeDocument/2006/relationships" name="06_Watchlist" sheetId="6" r:id="R2283593f55684cd2"/>
    <x:sheet xmlns:r="http://schemas.openxmlformats.org/officeDocument/2006/relationships" name="07_Upgrade Matrix" sheetId="7" r:id="Rd31729b0dc16435b"/>
    <x:sheet xmlns:r="http://schemas.openxmlformats.org/officeDocument/2006/relationships" name="08_Current Decklist" sheetId="8" r:id="R1e67ead7d9404f60"/>
    <x:sheet xmlns:r="http://schemas.openxmlformats.org/officeDocument/2006/relationships" name="09_V2 Final" sheetId="9" r:id="R296767b959dc463c"/>
    <x:sheet xmlns:r="http://schemas.openxmlformats.org/officeDocument/2006/relationships" name="10_Sources" sheetId="10" r:id="Rf3b42a743e8b4604"/>
    <x:sheet xmlns:r="http://schemas.openxmlformats.org/officeDocument/2006/relationships" name="11_Read Me" sheetId="11" r:id="Rb09433231f4a4a34"/>
    <x:sheet xmlns:r="http://schemas.openxmlformats.org/officeDocument/2006/relationships" name="12_Handover Compliance" sheetId="12" r:id="Rfb747869fb174910"/>
    <x:sheet xmlns:r="http://schemas.openxmlformats.org/officeDocument/2006/relationships" name="13_Rules Interactions" sheetId="13" r:id="R9bba8e27c0c44b29"/>
    <x:sheet xmlns:r="http://schemas.openxmlformats.org/officeDocument/2006/relationships" name="14_Playtest Log" sheetId="14" r:id="R2e1fe010d99e434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
  </x:numFmts>
  <x:fonts count="8">
    <x:font>
      <x:sz val="11"/>
      <x:name val="Carlito"/>
    </x:font>
    <x:font>
      <x:b/>
      <x:sz val="16"/>
      <x:color rgb="FFFFFFFF"/>
      <x:name val="Carlito"/>
    </x:font>
    <x:font>
      <x:b/>
      <x:sz val="11"/>
      <x:color rgb="FFFFFFFF"/>
      <x:name val="Carlito"/>
    </x:font>
    <x:font>
      <x:sz val="10"/>
      <x:color rgb="FF171717"/>
      <x:name val="Carlito"/>
    </x:font>
    <x:font>
      <x:b/>
      <x:sz val="10"/>
      <x:color rgb="FF171717"/>
      <x:name val="Carlito"/>
    </x:font>
    <x:font>
      <x:i/>
      <x:sz val="10"/>
      <x:color rgb="FF881337"/>
      <x:name val="Carlito"/>
    </x:font>
    <x:font>
      <x:b/>
      <x:sz val="11"/>
      <x:color rgb="FF171717"/>
      <x:name val="Carlito"/>
    </x:font>
    <x:font>
      <x:i/>
      <x:sz val="10"/>
      <x:color rgb="FF5A0828"/>
      <x:name val="Carlito"/>
    </x:font>
  </x:fonts>
  <x:fills count="8">
    <x:fill>
      <x:patternFill patternType="none"/>
    </x:fill>
    <x:fill>
      <x:patternFill patternType="gray125"/>
    </x:fill>
    <x:fill>
      <x:patternFill patternType="solid">
        <x:fgColor rgb="FF171717"/>
      </x:patternFill>
    </x:fill>
    <x:fill>
      <x:patternFill patternType="solid">
        <x:fgColor rgb="FF881337"/>
      </x:patternFill>
    </x:fill>
    <x:fill>
      <x:patternFill patternType="solid">
        <x:fgColor rgb="FFE5E7EB"/>
      </x:patternFill>
    </x:fill>
    <x:fill>
      <x:patternFill patternType="solid">
        <x:fgColor rgb="FFFFF1F2"/>
      </x:patternFill>
    </x:fill>
    <x:fill>
      <x:patternFill patternType="solid">
        <x:fgColor rgb="FF5A0828"/>
      </x:patternFill>
    </x:fill>
    <x:fill>
      <x:patternFill patternType="solid">
        <x:fgColor rgb="FFF4E8ED"/>
      </x:patternFill>
    </x:fill>
  </x:fills>
  <x:borders count="4">
    <x:border/>
    <x:border/>
    <x:border/>
    <x:border/>
  </x:borders>
  <x:cellStyleXfs count="1">
    <x:xf numFmtId="0" fontId="0" fillId="0" borderId="0"/>
  </x:cellStyleXfs>
  <x:cellXfs count="7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2" xfId="0" applyNumberFormat="1" applyFont="1" applyFill="1" applyBorder="1"/>
    <x:xf numFmtId="0" fontId="3" fillId="0" borderId="0" xfId="0" applyNumberFormat="1" applyFont="1" applyFill="1" applyBorder="1" applyAlignment="1">
      <x:alignment wrapText="1"/>
    </x:xf>
    <x:xf numFmtId="0" fontId="3" fillId="0" borderId="2"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3" fillId="0" borderId="1" xfId="0" applyNumberFormat="1" applyFont="1" applyFill="1" applyBorder="1"/>
    <x:xf numFmtId="0" fontId="3" fillId="0" borderId="3" xfId="0" applyNumberFormat="1" applyFont="1" applyFill="1" applyBorder="1"/>
    <x:xf numFmtId="0" fontId="3" fillId="0" borderId="1" xfId="0" applyNumberFormat="1" applyFont="1" applyFill="1" applyBorder="1" applyAlignment="1">
      <x:alignment wrapText="1"/>
    </x:xf>
    <x:xf numFmtId="0" fontId="3" fillId="0" borderId="3"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4"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4" fillId="4" borderId="3"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3" fillId="0" borderId="2" xfId="0" applyNumberFormat="1" applyFont="1" applyFill="1" applyBorder="1" applyAlignment="1">
      <x:alignment vertical="top" wrapText="1"/>
    </x:xf>
    <x:xf numFmtId="200" fontId="3" fillId="0" borderId="1" xfId="0" applyNumberFormat="1" applyFont="1" applyFill="1" applyBorder="1" applyAlignment="1">
      <x:alignment vertical="top" wrapText="1"/>
    </x:xf>
    <x:xf numFmtId="200" fontId="3" fillId="0" borderId="3"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0" fillId="5" borderId="1" xfId="0" applyNumberFormat="1" applyFont="1" applyFill="1" applyBorder="1"/>
    <x:xf numFmtId="0" fontId="5" fillId="5" borderId="1" xfId="0" applyNumberFormat="1" applyFont="1" applyFill="1" applyBorder="1"/>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top" wrapText="1"/>
    </x:xf>
    <x:xf numFmtId="0" fontId="0" fillId="4" borderId="1" xfId="0" applyNumberFormat="1" applyFont="1" applyFill="1" applyBorder="1"/>
    <x:xf numFmtId="0" fontId="6" fillId="4" borderId="1" xfId="0" applyNumberFormat="1" applyFont="1" applyFill="1" applyBorder="1"/>
    <x:xf numFmtId="0" fontId="6" fillId="4" borderId="1" xfId="0" applyNumberFormat="1" applyFont="1" applyFill="1" applyBorder="1" applyAlignment="1">
      <x:alignment wrapText="1"/>
    </x:xf>
    <x:xf numFmtId="0" fontId="6" fillId="4" borderId="1" xfId="0" applyNumberFormat="1" applyFont="1" applyFill="1" applyBorder="1" applyAlignment="1">
      <x:alignment vertical="top" wrapText="1"/>
    </x:xf>
    <x:xf numFmtId="0" fontId="0" fillId="0" borderId="0" xfId="0" applyNumberFormat="1" applyFont="1" applyFill="1" applyBorder="1"/>
    <x:xf numFmtId="0" fontId="3"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20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3" fillId="0" borderId="0" xfId="0" applyNumberFormat="1" applyFont="1" applyFill="1" applyBorder="1" applyAlignment="1">
      <x:alignment vertical="top" wrapText="1"/>
    </x:xf>
    <x:xf numFmtId="200" fontId="0" fillId="0" borderId="0" xfId="0" applyNumberFormat="1" applyFont="1" applyFill="1" applyBorder="1" applyAlignment="1">
      <x:alignment wrapText="1"/>
    </x:xf>
    <x:xf numFmtId="200" fontId="4" fillId="4" borderId="2" xfId="0" applyNumberFormat="1" applyFont="1" applyFill="1" applyBorder="1" applyAlignment="1">
      <x:alignment vertical="top" wrapText="1"/>
    </x:xf>
    <x:xf numFmtId="200" fontId="4" fillId="4" borderId="0" xfId="0" applyNumberFormat="1" applyFont="1" applyFill="1" applyBorder="1" applyAlignment="1">
      <x:alignment vertical="top" wrapText="1"/>
    </x:xf>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horizontal="left" vertical="center" wrapText="1"/>
    </x:xf>
    <x:xf numFmtId="0" fontId="5"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horizontal="left" wrapText="1"/>
    </x:xf>
    <x:xf numFmtId="0" fontId="7" fillId="7"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0c57521820943f8" /><Relationship Type="http://schemas.openxmlformats.org/officeDocument/2006/relationships/theme" Target="/xl/theme/theme1.xml" Id="R98b3fe7ae325479e" /><Relationship Type="http://schemas.openxmlformats.org/officeDocument/2006/relationships/sharedStrings" Target="/xl/sharedStrings.xml" Id="Reb8ac35d381943f1" /><Relationship Type="http://schemas.openxmlformats.org/officeDocument/2006/relationships/worksheet" Target="/xl/worksheets/sheet1.xml" Id="Rfb35874f31024e8e" /><Relationship Type="http://schemas.openxmlformats.org/officeDocument/2006/relationships/worksheet" Target="/xl/worksheets/sheet2.xml" Id="R83ed74c6e3a34930" /><Relationship Type="http://schemas.openxmlformats.org/officeDocument/2006/relationships/worksheet" Target="/xl/worksheets/sheet3.xml" Id="Ra885221f37494e62" /><Relationship Type="http://schemas.openxmlformats.org/officeDocument/2006/relationships/worksheet" Target="/xl/worksheets/sheet4.xml" Id="R8b5ae6157fa04f29" /><Relationship Type="http://schemas.openxmlformats.org/officeDocument/2006/relationships/worksheet" Target="/xl/worksheets/sheet5.xml" Id="R1fd9caafb045465b" /><Relationship Type="http://schemas.openxmlformats.org/officeDocument/2006/relationships/worksheet" Target="/xl/worksheets/sheet6.xml" Id="R2283593f55684cd2" /><Relationship Type="http://schemas.openxmlformats.org/officeDocument/2006/relationships/worksheet" Target="/xl/worksheets/sheet7.xml" Id="Rd31729b0dc16435b" /><Relationship Type="http://schemas.openxmlformats.org/officeDocument/2006/relationships/worksheet" Target="/xl/worksheets/sheet8.xml" Id="R1e67ead7d9404f60" /><Relationship Type="http://schemas.openxmlformats.org/officeDocument/2006/relationships/worksheet" Target="/xl/worksheets/sheet9.xml" Id="R296767b959dc463c" /><Relationship Type="http://schemas.openxmlformats.org/officeDocument/2006/relationships/worksheet" Target="/xl/worksheets/sheet10.xml" Id="Rf3b42a743e8b4604" /><Relationship Type="http://schemas.openxmlformats.org/officeDocument/2006/relationships/worksheet" Target="/xl/worksheets/sheet11.xml" Id="Rb09433231f4a4a34" /><Relationship Type="http://schemas.openxmlformats.org/officeDocument/2006/relationships/worksheet" Target="/xl/worksheets/sheet12.xml" Id="Rfb747869fb174910" /><Relationship Type="http://schemas.openxmlformats.org/officeDocument/2006/relationships/worksheet" Target="/xl/worksheets/sheet13.xml" Id="R9bba8e27c0c44b29" /><Relationship Type="http://schemas.openxmlformats.org/officeDocument/2006/relationships/worksheet" Target="/xl/worksheets/sheet14.xml" Id="R2e1fe010d99e4345" /></Relationships>
</file>

<file path=xl/drawings/_rels/drawing1.xml.rels>&#65279;<?xml version="1.0" encoding="utf-8"?><Relationships xmlns="http://schemas.openxmlformats.org/package/2006/relationships"><Relationship Type="http://schemas.openxmlformats.org/officeDocument/2006/relationships/chart" Target="/xl/drawings/charts/chart1.xml" Id="R937b1a9edffe414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Primary functional package — Current vs V2</a:t>
            </a:r>
          </a:p>
        </c:rich>
      </c:tx>
      <c:overlay val="0"/>
    </c:title>
    <c:plotArea>
      <c:barChart>
        <c:barDir val="col"/>
        <c:varyColors val="0"/>
        <c:ser>
          <c:idx val="0"/>
          <c:order val="0"/>
          <c:tx>
            <c:v>Current</c:v>
          </c:tx>
          <c:cat>
            <c:strRef>
              <c:f>'01_Dashboard'!$A$17:$A$24</c:f>
              <c:strCache>
                <c:ptCount val="0"/>
              </c:strCache>
            </c:strRef>
          </c:cat>
          <c:val>
            <c:numRef>
              <c:f>'01_Dashboard'!$B$17:$B$24</c:f>
              <c:numCache>
                <c:formatCode>General</c:formatCode>
                <c:ptCount val="0"/>
              </c:numCache>
            </c:numRef>
          </c:val>
        </c:ser>
        <c:ser>
          <c:idx val="1"/>
          <c:order val="1"/>
          <c:tx>
            <c:v>V2 projected</c:v>
          </c:tx>
          <c:cat>
            <c:strRef>
              <c:f>'01_Dashboard'!$A$17:$A$24</c:f>
              <c:strCache>
                <c:ptCount val="0"/>
              </c:strCache>
            </c:strRef>
          </c:cat>
          <c:val>
            <c:numRef>
              <c:f>'01_Dashboard'!$C$17:$C$24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15</xdr:row>
      <xdr:rowOff>0</xdr:rowOff>
    </xdr:from>
    <xdr:to>
      <xdr:col>12</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37b1a9edffe4146"/>
        </a:graphicData>
      </a:graphic>
    </xdr:graphicFrame>
    <xdr:clientData/>
  </xdr:twoCellAnchor>
</xdr:wsDr>
</file>

<file path=xl/tables/table1.xml><?xml version="1.0" encoding="utf-8"?>
<x:table xmlns:x="http://schemas.openxmlformats.org/spreadsheetml/2006/main" id="3" name="VitoCardMatrix" displayName="VitoCardMatrix" ref="A2:R89" headerRowCount="1" totalsRowCount="0" totalsRowShown="0">
  <x:tableColumns count="18">
    <x:tableColumn id="1" name="Card"/>
    <x:tableColumn id="2" name="Qty Current"/>
    <x:tableColumn id="3" name="Qty V2"/>
    <x:tableColumn id="4" name="Zone Current"/>
    <x:tableColumn id="5" name="Zone V2"/>
    <x:tableColumn id="6" name="Type / Subtype"/>
    <x:tableColumn id="7" name="MV (X=0)"/>
    <x:tableColumn id="8" name="Vampire?"/>
    <x:tableColumn id="9" name="Primary Group Current"/>
    <x:tableColumn id="10" name="Primary Group V2"/>
    <x:tableColumn id="11" name="Fit Score"/>
    <x:tableColumn id="12" name="Tier"/>
    <x:tableColumn id="13" name="Status"/>
    <x:tableColumn id="14" name="Strength / Role"/>
    <x:tableColumn id="15" name="Weakness / Risk"/>
    <x:tableColumn id="16" name="Secondary Functions"/>
    <x:tableColumn id="17" name="Action / Decision"/>
    <x:tableColumn id="18" name="Scryfall URL"/>
  </x:tableColumns>
  <x:tableStyleInfo name="TableStyleMedium2" showFirstColumn="0" showLastColumn="0" showRowStripes="1" showColumnStripes="0"/>
</x:table>
</file>

<file path=xl/tables/table2.xml><?xml version="1.0" encoding="utf-8"?>
<x:table xmlns:x="http://schemas.openxmlformats.org/spreadsheetml/2006/main" id="4" name="VitoTierList" displayName="VitoTierList" ref="A2:I85" headerRowCount="1" totalsRowCount="0" totalsRowShown="0">
  <x:tableColumns count="9">
    <x:tableColumn id="1" name="Tier"/>
    <x:tableColumn id="2" name="Score"/>
    <x:tableColumn id="3" name="Card"/>
    <x:tableColumn id="4" name="MV"/>
    <x:tableColumn id="5" name="Current Zone"/>
    <x:tableColumn id="6" name="V2 Status"/>
    <x:tableColumn id="7" name="Primary Role"/>
    <x:tableColumn id="8" name="Verdict"/>
    <x:tableColumn id="9" name="Why / Fit"/>
  </x:tableColumns>
  <x:tableStyleInfo name="TableStyleMedium2" showFirstColumn="0" showLastColumn="0" showRowStripes="1" showColumnStripes="0"/>
</x:table>
</file>

<file path=xl/tables/table3.xml><?xml version="1.0" encoding="utf-8"?>
<x:table xmlns:x="http://schemas.openxmlformats.org/spreadsheetml/2006/main" id="5" name="VitoAnalysis" displayName="VitoAnalysis" ref="A2:F15" headerRowCount="1" totalsRowCount="0" totalsRowShown="0">
  <x:tableColumns count="6">
    <x:tableColumn id="1" name="Area"/>
    <x:tableColumn id="2" name="Current diagnosis"/>
    <x:tableColumn id="3" name="Risk / effect"/>
    <x:tableColumn id="4" name="V2 position"/>
    <x:tableColumn id="5" name="Priority"/>
    <x:tableColumn id="6" name="Evidence / method"/>
  </x:tableColumns>
  <x:tableStyleInfo name="TableStyleMedium2" showFirstColumn="0" showLastColumn="0" showRowStripes="1" showColumnStripes="0"/>
</x:table>
</file>

<file path=xl/tables/table4.xml><?xml version="1.0" encoding="utf-8"?>
<x:table xmlns:x="http://schemas.openxmlformats.org/spreadsheetml/2006/main" id="6" name="VitoControlPanel" displayName="VitoControlPanel" ref="A2:E15" headerRowCount="1" totalsRowCount="0" totalsRowShown="0">
  <x:tableColumns count="5">
    <x:tableColumn id="1" name="Type"/>
    <x:tableColumn id="2" name="Card / Topic"/>
    <x:tableColumn id="3" name="Status"/>
    <x:tableColumn id="4" name="Why preserved / rule"/>
    <x:tableColumn id="5" name="Instruction for future versions"/>
  </x:tableColumns>
  <x:tableStyleInfo name="TableStyleMedium2" showFirstColumn="0" showLastColumn="0" showRowStripes="1" showColumnStripes="0"/>
</x:table>
</file>

<file path=xl/tables/table5.xml><?xml version="1.0" encoding="utf-8"?>
<x:table xmlns:x="http://schemas.openxmlformats.org/spreadsheetml/2006/main" id="7" name="VitoWatchlist" displayName="VitoWatchlist" ref="A2:G7" headerRowCount="1" totalsRowCount="0" totalsRowShown="0">
  <x:tableColumns count="7">
    <x:tableColumn id="1" name="Card"/>
    <x:tableColumn id="2" name="Set / Release"/>
    <x:tableColumn id="3" name="Fit score"/>
    <x:tableColumn id="4" name="Priority"/>
    <x:tableColumn id="5" name="Status"/>
    <x:tableColumn id="6" name="Why it is interesting"/>
    <x:tableColumn id="7" name="Source URL"/>
  </x:tableColumns>
  <x:tableStyleInfo name="TableStyleMedium2" showFirstColumn="0" showLastColumn="0" showRowStripes="1" showColumnStripes="0"/>
</x:table>
</file>

<file path=xl/tables/table6.xml><?xml version="1.0" encoding="utf-8"?>
<x:table xmlns:x="http://schemas.openxmlformats.org/spreadsheetml/2006/main" id="8" name="VitoUpgradeMatrix" displayName="VitoUpgradeMatrix" ref="A2:I5" headerRowCount="1" totalsRowCount="0" totalsRowShown="0">
  <x:tableColumns count="9">
    <x:tableColumn id="1" name="OUT"/>
    <x:tableColumn id="2" name="IN"/>
    <x:tableColumn id="3" name="Priority"/>
    <x:tableColumn id="4" name="Change class"/>
    <x:tableColumn id="5" name="Why OUT"/>
    <x:tableColumn id="6" name="Why IN"/>
    <x:tableColumn id="7" name="Curve / mana impact"/>
    <x:tableColumn id="8" name="Strategic impact"/>
    <x:tableColumn id="9" name="Confidence"/>
  </x:tableColumns>
  <x:tableStyleInfo name="TableStyleMedium2" showFirstColumn="0" showLastColumn="0" showRowStripes="1" showColumnStripes="0"/>
</x:table>
</file>

<file path=xl/tables/table7.xml><?xml version="1.0" encoding="utf-8"?>
<x:table xmlns:x="http://schemas.openxmlformats.org/spreadsheetml/2006/main" id="1" name="CurrentDeckTable" displayName="CurrentDeckTable" ref="A2:F83" headerRowCount="1" totalsRowCount="0" totalsRowShown="0">
  <x:tableColumns count="6">
    <x:tableColumn id="1" name="Qty"/>
    <x:tableColumn id="2" name="Card"/>
    <x:tableColumn id="3" name="Set"/>
    <x:tableColumn id="4" name="Collector / finish marker"/>
    <x:tableColumn id="5" name="Slot type"/>
    <x:tableColumn id="6" name="Scryfall search"/>
  </x:tableColumns>
  <x:tableStyleInfo name="TableStyleMedium2" showFirstColumn="0" showLastColumn="0" showRowStripes="1" showColumnStripes="0"/>
</x:table>
</file>

<file path=xl/tables/table8.xml><?xml version="1.0" encoding="utf-8"?>
<x:table xmlns:x="http://schemas.openxmlformats.org/spreadsheetml/2006/main" id="2" name="V2DeckTable" displayName="V2DeckTable" ref="A2:H82" headerRowCount="1" totalsRowCount="0" totalsRowShown="0">
  <x:tableColumns count="8">
    <x:tableColumn id="1" name="Qty"/>
    <x:tableColumn id="2" name="Card"/>
    <x:tableColumn id="3" name="Set"/>
    <x:tableColumn id="4" name="Collector / finish marker"/>
    <x:tableColumn id="5" name="Slot type"/>
    <x:tableColumn id="6" name="MV"/>
    <x:tableColumn id="7" name="Primary group"/>
    <x:tableColumn id="8" name="Scryfall search"/>
  </x:tableColumns>
  <x:tableStyleInfo name="TableStyleMedium2" showFirstColumn="0" showLastColumn="0" showRowStripes="1" showColumnStripes="0"/>
</x:table>
</file>

<file path=xl/tables/table9.xml><?xml version="1.0" encoding="utf-8"?>
<x:table xmlns:x="http://schemas.openxmlformats.org/spreadsheetml/2006/main" id="9" name="VitoSources" displayName="VitoSources" ref="A2:D16" headerRowCount="1" totalsRowCount="0" totalsRowShown="0">
  <x:tableColumns count="4">
    <x:tableColumn id="1" name="Source"/>
    <x:tableColumn id="2" name="URL"/>
    <x:tableColumn id="3" name="Use in this project"/>
    <x:tableColumn id="4" name="Verification date"/>
  </x:tableColumns>
  <x:tableStyleInfo name="TableStyleMedium2" showFirstColumn="0" showLastColumn="0" showRowStripes="1" showColumnStripes="0"/>
</x:table>
</file>

<file path=xl/tables/table10.xml><?xml version="1.0" encoding="utf-8"?>
<x:table xmlns:x="http://schemas.openxmlformats.org/spreadsheetml/2006/main" id="10" name="VitoReadMe" displayName="VitoReadMe" ref="A2:D8" headerRowCount="1" totalsRowCount="0" totalsRowShown="0">
  <x:tableColumns count="4">
    <x:tableColumn id="1" name="Topic"/>
    <x:tableColumn id="2" name="Instruction"/>
    <x:tableColumn id="3" name="Why it matters"/>
    <x:tableColumn id="4" name="Notes"/>
  </x:tableColumns>
  <x:tableStyleInfo name="TableStyleMedium2" showFirstColumn="0" showLastColumn="0" showRowStripes="1" showColumnStripes="0"/>
</x:table>
</file>

<file path=xl/tables/table11.xml><?xml version="1.0" encoding="utf-8"?>
<x:table xmlns:x="http://schemas.openxmlformats.org/spreadsheetml/2006/main" id="11" name="VitoCompliance" displayName="VitoCompliance" ref="A2:D14" headerRowCount="1" totalsRowCount="0" totalsRowShown="0">
  <x:tableColumns count="4">
    <x:tableColumn id="1" name="Checklist item"/>
    <x:tableColumn id="2" name="Status"/>
    <x:tableColumn id="3" name="Evidence / result"/>
    <x:tableColumn id="4" name="Open?"/>
  </x:tableColumns>
  <x:tableStyleInfo name="TableStyleMedium2" showFirstColumn="0" showLastColumn="0" showRowStripes="1" showColumnStripes="0"/>
</x:table>
</file>

<file path=xl/tables/table12.xml><?xml version="1.0" encoding="utf-8"?>
<x:table xmlns:x="http://schemas.openxmlformats.org/spreadsheetml/2006/main" id="12" name="VitoRules" displayName="VitoRules" ref="A2:F11" headerRowCount="1" totalsRowCount="0" totalsRowShown="0">
  <x:tableColumns count="6">
    <x:tableColumn id="1" name="Interaction"/>
    <x:tableColumn id="2" name="Prerequisite / starting event"/>
    <x:tableColumn id="3" name="Sequence"/>
    <x:tableColumn id="4" name="Result"/>
    <x:tableColumn id="5" name="Caveat / interruption point"/>
    <x:tableColumn id="6" name="Source / date"/>
  </x:tableColumns>
  <x:tableStyleInfo name="TableStyleMedium2" showFirstColumn="0" showLastColumn="0" showRowStripes="1" showColumnStripes="0"/>
</x:table>
</file>

<file path=xl/tables/table13.xml><?xml version="1.0" encoding="utf-8"?>
<x:table xmlns:x="http://schemas.openxmlformats.org/spreadsheetml/2006/main" id="13" name="VitoPlaytestLog" displayName="VitoPlaytestLog" ref="A2:N22" headerRowCount="1" totalsRowCount="0" totalsRowShown="0">
  <x:tableColumns count="14">
    <x:tableColumn id="1" name="Date"/>
    <x:tableColumn id="2" name="Game #"/>
    <x:tableColumn id="3" name="Opening hand summary"/>
    <x:tableColumn id="4" name="Mulligan?"/>
    <x:tableColumn id="5" name="Vito turn"/>
    <x:tableColumn id="6" name="Cards in hand at T4"/>
    <x:tableColumn id="7" name="Mana available T4"/>
    <x:tableColumn id="8" name="First drain turn"/>
    <x:tableColumn id="9" name="Life gained by T5"/>
    <x:tableColumn id="10" name="Life lost by opponents by T5"/>
    <x:tableColumn id="11" name="Combo assembled?"/>
    <x:tableColumn id="12" name="Main win line / outcome"/>
    <x:tableColumn id="13" name="Dead card / issue"/>
    <x:tableColumn id="14" name="MVP /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6c969c471474bf8" /></Relationships>
</file>

<file path=xl/worksheets/_rels/sheet2.xml.rels>&#65279;<?xml version="1.0" encoding="utf-8"?><Relationships xmlns="http://schemas.openxmlformats.org/package/2006/relationships"><Relationship Type="http://schemas.openxmlformats.org/officeDocument/2006/relationships/table" Target="/xl/tables/table1.xml" Id="R6091f58df6c041ed" /></Relationships>
</file>

<file path=xl/worksheets/_rels/sheet3.xml.rels>&#65279;<?xml version="1.0" encoding="utf-8"?><Relationships xmlns="http://schemas.openxmlformats.org/package/2006/relationships"><Relationship Type="http://schemas.openxmlformats.org/officeDocument/2006/relationships/table" Target="/xl/tables/table2.xml" Id="Rf7d100f4eb9047f9" /></Relationships>
</file>

<file path=xl/worksheets/_rels/sheet4.xml.rels>&#65279;<?xml version="1.0" encoding="utf-8"?><Relationships xmlns="http://schemas.openxmlformats.org/package/2006/relationships"><Relationship Type="http://schemas.openxmlformats.org/officeDocument/2006/relationships/table" Target="/xl/tables/table3.xml" Id="Raab173f60e784a75" /></Relationships>
</file>

<file path=xl/worksheets/_rels/sheet5.xml.rels>&#65279;<?xml version="1.0" encoding="utf-8"?><Relationships xmlns="http://schemas.openxmlformats.org/package/2006/relationships"><Relationship Type="http://schemas.openxmlformats.org/officeDocument/2006/relationships/table" Target="/xl/tables/table4.xml" Id="Rd95cffd1f91f489e" /></Relationships>
</file>

<file path=xl/worksheets/_rels/sheet6.xml.rels>&#65279;<?xml version="1.0" encoding="utf-8"?><Relationships xmlns="http://schemas.openxmlformats.org/package/2006/relationships"><Relationship Type="http://schemas.openxmlformats.org/officeDocument/2006/relationships/table" Target="/xl/tables/table5.xml" Id="R60e0c55e23b24625" /></Relationships>
</file>

<file path=xl/worksheets/_rels/sheet7.xml.rels>&#65279;<?xml version="1.0" encoding="utf-8"?><Relationships xmlns="http://schemas.openxmlformats.org/package/2006/relationships"><Relationship Type="http://schemas.openxmlformats.org/officeDocument/2006/relationships/table" Target="/xl/tables/table6.xml" Id="R887345d0906c441b" /></Relationships>
</file>

<file path=xl/worksheets/_rels/sheet8.xml.rels>&#65279;<?xml version="1.0" encoding="utf-8"?><Relationships xmlns="http://schemas.openxmlformats.org/package/2006/relationships"><Relationship Type="http://schemas.openxmlformats.org/officeDocument/2006/relationships/table" Target="/xl/tables/table7.xml" Id="Rb9709657f042415d" /></Relationships>
</file>

<file path=xl/worksheets/_rels/sheet9.xml.rels>&#65279;<?xml version="1.0" encoding="utf-8"?><Relationships xmlns="http://schemas.openxmlformats.org/package/2006/relationships"><Relationship Type="http://schemas.openxmlformats.org/officeDocument/2006/relationships/table" Target="/xl/tables/table8.xml" Id="R33daf2dcd2b345b7" /></Relationships>
</file>

<file path=xl/worksheets/_rels/sheet10.xml.rels>&#65279;<?xml version="1.0" encoding="utf-8"?><Relationships xmlns="http://schemas.openxmlformats.org/package/2006/relationships"><Relationship Type="http://schemas.openxmlformats.org/officeDocument/2006/relationships/table" Target="/xl/tables/table9.xml" Id="R9b3289ff64404c44" /></Relationships>
</file>

<file path=xl/worksheets/_rels/sheet11.xml.rels>&#65279;<?xml version="1.0" encoding="utf-8"?><Relationships xmlns="http://schemas.openxmlformats.org/package/2006/relationships"><Relationship Type="http://schemas.openxmlformats.org/officeDocument/2006/relationships/table" Target="/xl/tables/table10.xml" Id="R2b64adfd89494add" /></Relationships>
</file>

<file path=xl/worksheets/_rels/sheet12.xml.rels>&#65279;<?xml version="1.0" encoding="utf-8"?><Relationships xmlns="http://schemas.openxmlformats.org/package/2006/relationships"><Relationship Type="http://schemas.openxmlformats.org/officeDocument/2006/relationships/table" Target="/xl/tables/table11.xml" Id="R0fb108781755430c" /></Relationships>
</file>

<file path=xl/worksheets/_rels/sheet13.xml.rels>&#65279;<?xml version="1.0" encoding="utf-8"?><Relationships xmlns="http://schemas.openxmlformats.org/package/2006/relationships"><Relationship Type="http://schemas.openxmlformats.org/officeDocument/2006/relationships/table" Target="/xl/tables/table12.xml" Id="R5cf47f68569d490b" /></Relationships>
</file>

<file path=xl/worksheets/_rels/sheet14.xml.rels>&#65279;<?xml version="1.0" encoding="utf-8"?><Relationships xmlns="http://schemas.openxmlformats.org/package/2006/relationships"><Relationship Type="http://schemas.openxmlformats.org/officeDocument/2006/relationships/table" Target="/xl/tables/table13.xml" Id="R883d83a59f8f4372" /></Relationships>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6" hidden="0" customWidth="1"/>
    <x:col min="2" max="2" width="38" hidden="0" customWidth="1"/>
    <x:col min="3" max="3" width="18" hidden="0" customWidth="1"/>
    <x:col min="4" max="4" width="3" hidden="0" customWidth="1"/>
    <x:col min="5" max="5" width="16" hidden="0" customWidth="1"/>
    <x:col min="6" max="6" width="16" hidden="0" customWidth="1"/>
    <x:col min="7" max="7" width="16" hidden="0" customWidth="1"/>
    <x:col min="8" max="8" width="16" hidden="0" customWidth="1"/>
  </x:cols>
  <x:sheetData>
    <x:row r="1" ht="32" customHeight="1">
      <x:c r="A1" s="66" t="str">
        <x:v>VITO — MONO-BLACK VAMPIRE / LIFEDRAIN</x:v>
      </x:c>
      <x:c r="B1" s="66"/>
      <x:c r="C1" s="66"/>
      <x:c r="D1" s="5"/>
      <x:c r="E1" s="5"/>
      <x:c r="F1" s="5"/>
      <x:c r="G1" s="5"/>
      <x:c r="H1" s="5"/>
    </x:row>
    <x:row r="2" ht="24" customHeight="1">
      <x:c r="A2" s="71" t="str">
        <x:v>Handover Master v3.0 | Current preserved | V2 = projection, not playtested | PET LOCKS respected</x:v>
      </x:c>
      <x:c r="B2" s="71"/>
      <x:c r="C2" s="71"/>
      <x:c r="D2" s="41"/>
      <x:c r="E2" s="41"/>
      <x:c r="F2" s="41"/>
      <x:c r="G2" s="41"/>
      <x:c r="H2" s="41"/>
    </x:row>
    <x:row r="3" ht="8" customHeight="1"/>
    <x:row r="4" ht="30" customHeight="1">
      <x:c r="A4" s="14" t="str">
        <x:v>Metric</x:v>
      </x:c>
      <x:c r="B4" s="14" t="str">
        <x:v>Current</x:v>
      </x:c>
      <x:c r="C4" s="14" t="str">
        <x:v>V2 Projected</x:v>
      </x:c>
    </x:row>
    <x:row r="5" ht="24" customHeight="1">
      <x:c r="A5" s="24" t="str">
        <x:v>Total card count</x:v>
      </x:c>
      <x:c r="B5" s="24" t="n">
        <x:f>SUM('08_Current Decklist'!A3:A83)</x:f>
        <x:v>100</x:v>
      </x:c>
      <x:c r="C5" s="24" t="n">
        <x:f>SUM('09_V2 Final'!A3:A83)</x:f>
        <x:v>100</x:v>
      </x:c>
    </x:row>
    <x:row r="6" ht="24" customHeight="1">
      <x:c r="A6" s="24" t="str">
        <x:v>Commander count</x:v>
      </x:c>
      <x:c r="B6" s="24" t="n">
        <x:v>1</x:v>
      </x:c>
      <x:c r="C6" s="24" t="n">
        <x:v>1</x:v>
      </x:c>
    </x:row>
    <x:row r="7" ht="24" customHeight="1">
      <x:c r="A7" s="24" t="str">
        <x:v>Physical lands</x:v>
      </x:c>
      <x:c r="B7" s="24" t="n">
        <x:f>SUMIF('08_Current Decklist'!E3:E83,"Land",'08_Current Decklist'!A3:A83)</x:f>
        <x:v>31</x:v>
      </x:c>
      <x:c r="C7" s="24" t="n">
        <x:f>SUMIF('09_V2 Final'!E3:E83,"Land",'09_V2 Final'!A3:A83)</x:f>
        <x:v>31</x:v>
      </x:c>
    </x:row>
    <x:row r="8" ht="24" customHeight="1">
      <x:c r="A8" s="24" t="str">
        <x:v>MDFCs allocated to mana</x:v>
      </x:c>
      <x:c r="B8" s="24" t="n">
        <x:f>SUMIF('08_Current Decklist'!E3:E83,"MDFC",'08_Current Decklist'!A3:A83)</x:f>
        <x:v>3</x:v>
      </x:c>
      <x:c r="C8" s="24" t="n">
        <x:f>SUMIF('09_V2 Final'!E3:E83,"MDFC",'09_V2 Final'!A3:A83)</x:f>
        <x:v>3</x:v>
      </x:c>
    </x:row>
    <x:row r="9" ht="24" customHeight="1">
      <x:c r="A9" s="24" t="str">
        <x:v>Total mana slots (land + MDFC)</x:v>
      </x:c>
      <x:c r="B9" s="24" t="n">
        <x:f>B7+B8</x:f>
        <x:v>34</x:v>
      </x:c>
      <x:c r="C9" s="24" t="n">
        <x:f>C7+C8</x:f>
        <x:v>34</x:v>
      </x:c>
    </x:row>
    <x:row r="10" ht="24" customHeight="1">
      <x:c r="A10" s="24" t="str">
        <x:v>Functional spells</x:v>
      </x:c>
      <x:c r="B10" s="24" t="n">
        <x:f>SUMIF('02_Card Matrix'!D3:D93,"Spell",'02_Card Matrix'!B3:B93)</x:f>
        <x:v>65</x:v>
      </x:c>
      <x:c r="C10" s="24" t="n">
        <x:f>SUMIF('02_Card Matrix'!E3:E93,"Spell",'02_Card Matrix'!C3:C93)</x:f>
        <x:v>65</x:v>
      </x:c>
    </x:row>
    <x:row r="11" ht="24" customHeight="1">
      <x:c r="A11" s="24" t="str">
        <x:v>Creatures in 99</x:v>
      </x:c>
      <x:c r="B11" s="24" t="n">
        <x:f>SUMIF('02_Card Matrix'!S3:S93,"Yes",'02_Card Matrix'!B3:B93)-1</x:f>
        <x:v>26</x:v>
      </x:c>
      <x:c r="C11" s="24" t="n">
        <x:f>SUMIF('02_Card Matrix'!S3:S93,"Yes",'02_Card Matrix'!C3:C93)-1</x:f>
        <x:v>27</x:v>
      </x:c>
    </x:row>
    <x:row r="12" ht="24" customHeight="1">
      <x:c r="A12" s="24" t="str">
        <x:v>Vampires incl. commander</x:v>
      </x:c>
      <x:c r="B12" s="24" t="n">
        <x:f>SUMIF('02_Card Matrix'!H3:H93,"Yes",'02_Card Matrix'!B3:B93)</x:f>
        <x:v>22</x:v>
      </x:c>
      <x:c r="C12" s="24" t="n">
        <x:f>SUMIF('02_Card Matrix'!H3:H93,"Yes",'02_Card Matrix'!C3:C93)</x:f>
        <x:v>23</x:v>
      </x:c>
    </x:row>
    <x:row r="13" ht="24" customHeight="1">
      <x:c r="A13" s="24" t="str">
        <x:v>Average MV of pure spells</x:v>
      </x:c>
      <x:c r="B13" s="61" t="n">
        <x:f>AVERAGEIF('02_Card Matrix'!D3:D93,"Spell",'02_Card Matrix'!G3:G93)</x:f>
        <x:v>3.2153846153846155</x:v>
      </x:c>
      <x:c r="C13" s="61" t="n">
        <x:f>AVERAGEIF('02_Card Matrix'!E3:E93,"Spell",'02_Card Matrix'!G3:G93)</x:f>
        <x:v>3.1538461538461537</x:v>
      </x:c>
    </x:row>
    <x:row r="14" ht="24" customHeight="1">
      <x:c r="A14" s="25" t="str">
        <x:v>Estimated deck score (not tested)</x:v>
      </x:c>
      <x:c r="B14" s="37" t="n">
        <x:v>8.3</x:v>
      </x:c>
      <x:c r="C14" s="37" t="n">
        <x:v>9</x:v>
      </x:c>
    </x:row>
    <x:row r="16" ht="30" customHeight="1">
      <x:c r="A16" s="14" t="str">
        <x:v>Primary role package</x:v>
      </x:c>
      <x:c r="B16" s="14" t="str">
        <x:v>Current</x:v>
      </x:c>
      <x:c r="C16" s="14" t="str">
        <x:v>V2 projected</x:v>
      </x:c>
    </x:row>
    <x:row r="17" ht="24" customHeight="1">
      <x:c r="A17" s="24" t="str">
        <x:v>Ramp</x:v>
      </x:c>
      <x:c r="B17" s="24" t="n">
        <x:f>SUMIF('02_Card Matrix'!I3:I93,A17,'02_Card Matrix'!B3:B93)</x:f>
        <x:v>10</x:v>
      </x:c>
      <x:c r="C17" s="24" t="n">
        <x:f>SUMIF('02_Card Matrix'!J3:J93,A17,'02_Card Matrix'!C3:C93)</x:f>
        <x:v>10</x:v>
      </x:c>
    </x:row>
    <x:row r="18" ht="24" customHeight="1">
      <x:c r="A18" s="24" t="str">
        <x:v>Draw + Tutor</x:v>
      </x:c>
      <x:c r="B18" s="24" t="n">
        <x:f>SUMIF('02_Card Matrix'!I3:I93,A18,'02_Card Matrix'!B3:B93)</x:f>
        <x:v>10</x:v>
      </x:c>
      <x:c r="C18" s="24" t="n">
        <x:f>SUMIF('02_Card Matrix'!J3:J93,A18,'02_Card Matrix'!C3:C93)</x:f>
        <x:v>9</x:v>
      </x:c>
    </x:row>
    <x:row r="19" ht="24" customHeight="1">
      <x:c r="A19" s="24" t="str">
        <x:v>Removal</x:v>
      </x:c>
      <x:c r="B19" s="24" t="n">
        <x:f>SUMIF('02_Card Matrix'!I3:I93,A19,'02_Card Matrix'!B3:B93)</x:f>
        <x:v>9</x:v>
      </x:c>
      <x:c r="C19" s="24" t="n">
        <x:f>SUMIF('02_Card Matrix'!J3:J93,A19,'02_Card Matrix'!C3:C93)</x:f>
        <x:v>9</x:v>
      </x:c>
    </x:row>
    <x:row r="20" ht="24" customHeight="1">
      <x:c r="A20" s="24" t="str">
        <x:v>Combos</x:v>
      </x:c>
      <x:c r="B20" s="24" t="n">
        <x:f>SUMIF('02_Card Matrix'!I3:I93,A20,'02_Card Matrix'!B3:B93)</x:f>
        <x:v>4</x:v>
      </x:c>
      <x:c r="C20" s="24" t="n">
        <x:f>SUMIF('02_Card Matrix'!J3:J93,A20,'02_Card Matrix'!C3:C93)</x:f>
        <x:v>4</x:v>
      </x:c>
    </x:row>
    <x:row r="21" ht="24" customHeight="1">
      <x:c r="A21" s="24" t="str">
        <x:v>Vampires (s/ sinergia)</x:v>
      </x:c>
      <x:c r="B21" s="24" t="n">
        <x:f>SUMIF('02_Card Matrix'!I3:I93,A21,'02_Card Matrix'!B3:B93)</x:f>
        <x:v>6</x:v>
      </x:c>
      <x:c r="C21" s="24" t="n">
        <x:f>SUMIF('02_Card Matrix'!J3:J93,A21,'02_Card Matrix'!C3:C93)</x:f>
        <x:v>5</x:v>
      </x:c>
    </x:row>
    <x:row r="22" ht="24" customHeight="1">
      <x:c r="A22" s="24" t="str">
        <x:v>Vampires (c/ sinergia)</x:v>
      </x:c>
      <x:c r="B22" s="24" t="n">
        <x:f>SUMIF('02_Card Matrix'!I3:I93,A22,'02_Card Matrix'!B3:B93)</x:f>
        <x:v>16</x:v>
      </x:c>
      <x:c r="C22" s="24" t="n">
        <x:f>SUMIF('02_Card Matrix'!J3:J93,A22,'02_Card Matrix'!C3:C93)</x:f>
        <x:v>16</x:v>
      </x:c>
    </x:row>
    <x:row r="23" ht="24" customHeight="1">
      <x:c r="A23" s="24" t="str">
        <x:v>Life gain/drain</x:v>
      </x:c>
      <x:c r="B23" s="24" t="n">
        <x:f>SUMIF('02_Card Matrix'!I3:I93,A23,'02_Card Matrix'!B3:B93)</x:f>
        <x:v>7</x:v>
      </x:c>
      <x:c r="C23" s="24" t="n">
        <x:f>SUMIF('02_Card Matrix'!J3:J93,A23,'02_Card Matrix'!C3:C93)</x:f>
        <x:v>9</x:v>
      </x:c>
    </x:row>
    <x:row r="24" ht="24" customHeight="1">
      <x:c r="A24" s="25" t="str">
        <x:v>PETCARD</x:v>
      </x:c>
      <x:c r="B24" s="25" t="n">
        <x:f>SUMIF('02_Card Matrix'!I3:I93,A24,'02_Card Matrix'!B3:B93)</x:f>
        <x:v>3</x:v>
      </x:c>
      <x:c r="C24" s="25" t="n">
        <x:f>SUMIF('02_Card Matrix'!J3:J93,A24,'02_Card Matrix'!C3:C93)</x:f>
        <x:v>3</x:v>
      </x:c>
    </x:row>
    <x:row r="26" ht="24" customHeight="1">
      <x:c r="A26" s="11" t="str">
        <x:v>EXECUTIVE DIAGNOSIS</x:v>
      </x:c>
      <x:c r="B26" s="11"/>
      <x:c r="C26" s="11"/>
      <x:c r="D26" s="11"/>
      <x:c r="E26" s="11"/>
      <x:c r="F26" s="11"/>
      <x:c r="G26" s="11"/>
      <x:c r="H26" s="11"/>
    </x:row>
    <x:row r="27" ht="52" customHeight="1">
      <x:c r="A27" s="47" t="str">
        <x:v>Strength</x:v>
      </x:c>
      <x:c r="B27" s="24" t="str">
        <x:v>Very strong mono-black mana engines, premium draw/tutor density, layered drain payoffs and two distinct known combo packages.</x:v>
      </x:c>
    </x:row>
    <x:row r="28" ht="98" customHeight="1">
      <x:c r="A28" s="47" t="str">
        <x:v>Main constraint</x:v>
      </x:c>
      <x:c r="B28" s="24" t="str">
        <x:v>The top end is crowded (including a 7-mana drain payoff), several draw engines spend life, and tutors amplify a combo reputation everyone already knows. The objective is not more combo density; it is faster fair pressure, better low-cost role compression and enough cards to keep going.</x:v>
      </x:c>
    </x:row>
    <x:row r="29" ht="88" customHeight="1">
      <x:c r="A29" s="47" t="str">
        <x:v>Identity risk</x:v>
      </x:c>
      <x:c r="B29" s="24" t="str">
        <x:v>31 physical lands + 3 MDFCs = 34 mana slots against 65 functional spells in both versions. That is below the 35-slot reference, but fast mana and black engines are strong; no land is forced into V2. Validate keepable hands / land drops.</x:v>
      </x:c>
    </x:row>
    <x:row r="30" ht="82" customHeight="1">
      <x:c r="A30" s="47" t="str">
        <x:v>Important anti-synergy</x:v>
      </x:c>
      <x:c r="B30" s="24" t="str">
        <x:v>Necrodominance is powerful draw but replaces graveyard entry with exile while active, disabling dies triggers such as Blood Artist, The Meathook Massacre and Vein Ripper. Sequence it on turns where card access is worth more than death-trigger / graveyard value.</x:v>
      </x:c>
    </x:row>
    <x:row r="31" ht="74" customHeight="1">
      <x:c r="A31" s="47" t="str">
        <x:v>V2 changes</x:v>
      </x:c>
      <x:c r="B31" s="25" t="str">
        <x:v>V2 swaps: OUT Defiant Bloodlord, Grim Tutor, Indulgent Aristocrat, Nighthawk Scavenger. IN Morlun, Emeritus of Woe, Scheming Silvertongue, Sanguine Syphoner. Damnation and all three PET LOCKs remain.</x:v>
      </x:c>
    </x:row>
  </x:sheetData>
  <x:mergeCells>
    <x:mergeCell ref="A26:H26"/>
    <x:mergeCell ref="A1:C1"/>
    <x:mergeCell ref="A2:C2"/>
  </x:mergeCells>
  <x:pageMargins left="0.7" right="0.7" top="0.75" bottom="0.75" header="0.3" footer="0.3"/>
  <x:drawing xmlns:r="http://schemas.openxmlformats.org/officeDocument/2006/relationships" r:id="R96c969c471474bf8"/>
</x:worksheet>
</file>

<file path=xl/worksheets/sheet2.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0" hidden="0" customWidth="1"/>
    <x:col min="2" max="2" width="12" hidden="0" customWidth="1"/>
    <x:col min="3" max="3" width="10" hidden="0" customWidth="1"/>
    <x:col min="4" max="4" width="14" hidden="0" customWidth="1"/>
    <x:col min="5" max="5" width="14" hidden="0" customWidth="1"/>
    <x:col min="6" max="6" width="33" hidden="0" customWidth="1"/>
    <x:col min="7" max="7" width="10" hidden="0" customWidth="1"/>
    <x:col min="8" max="8" width="11" hidden="0" customWidth="1"/>
    <x:col min="9" max="9" width="27" hidden="0" customWidth="1"/>
    <x:col min="10" max="10" width="27" hidden="0" customWidth="1"/>
    <x:col min="11" max="11" width="11" hidden="0" customWidth="1"/>
    <x:col min="12" max="12" width="9" hidden="0" customWidth="1"/>
    <x:col min="13" max="13" width="19" hidden="0" customWidth="1"/>
    <x:col min="14" max="14" width="34" hidden="0" customWidth="1"/>
    <x:col min="15" max="15" width="34" hidden="0" customWidth="1"/>
    <x:col min="16" max="16" width="34" hidden="0" customWidth="1"/>
    <x:col min="17" max="17" width="34" hidden="0" customWidth="1"/>
    <x:col min="18" max="18" width="34" hidden="0" customWidth="1"/>
    <x:col min="19" max="19" width="12" hidden="0" customWidth="1"/>
  </x:cols>
  <x:sheetData>
    <x:row r="1" ht="30" customHeight="1">
      <x:c r="A1" s="5" t="str">
        <x:v>VITO — CARD-BY-CARD AUDIT</x:v>
      </x:c>
      <x:c r="B1" s="5"/>
      <x:c r="C1" s="5"/>
      <x:c r="D1" s="5"/>
      <x:c r="E1" s="5"/>
      <x:c r="F1" s="5"/>
      <x:c r="G1" s="5"/>
      <x:c r="H1" s="5"/>
      <x:c r="I1" s="5"/>
      <x:c r="J1" s="5"/>
      <x:c r="K1" s="5"/>
      <x:c r="L1" s="5"/>
      <x:c r="M1" s="5"/>
      <x:c r="N1" s="5"/>
      <x:c r="O1" s="5"/>
      <x:c r="P1" s="5"/>
      <x:c r="Q1" s="5"/>
      <x:c r="R1" s="5"/>
    </x:row>
    <x:row r="2" ht="30" customHeight="1">
      <x:c r="A2" s="14" t="str">
        <x:v>Card</x:v>
      </x:c>
      <x:c r="B2" s="14" t="str">
        <x:v>Qty Current</x:v>
      </x:c>
      <x:c r="C2" s="14" t="str">
        <x:v>Qty V2</x:v>
      </x:c>
      <x:c r="D2" s="14" t="str">
        <x:v>Zone Current</x:v>
      </x:c>
      <x:c r="E2" s="14" t="str">
        <x:v>Zone V2</x:v>
      </x:c>
      <x:c r="F2" s="14" t="str">
        <x:v>Type / Subtype</x:v>
      </x:c>
      <x:c r="G2" s="14" t="str">
        <x:v>MV (X=0)</x:v>
      </x:c>
      <x:c r="H2" s="14" t="str">
        <x:v>Vampire?</x:v>
      </x:c>
      <x:c r="I2" s="14" t="str">
        <x:v>Primary Group Current</x:v>
      </x:c>
      <x:c r="J2" s="14" t="str">
        <x:v>Primary Group V2</x:v>
      </x:c>
      <x:c r="K2" s="14" t="str">
        <x:v>Fit Score</x:v>
      </x:c>
      <x:c r="L2" s="14" t="str">
        <x:v>Tier</x:v>
      </x:c>
      <x:c r="M2" s="14" t="str">
        <x:v>Status</x:v>
      </x:c>
      <x:c r="N2" s="14" t="str">
        <x:v>Strength / Role</x:v>
      </x:c>
      <x:c r="O2" s="14" t="str">
        <x:v>Weakness / Risk</x:v>
      </x:c>
      <x:c r="P2" s="14" t="str">
        <x:v>Secondary Functions</x:v>
      </x:c>
      <x:c r="Q2" s="14" t="str">
        <x:v>Action / Decision</x:v>
      </x:c>
      <x:c r="R2" s="14" t="str">
        <x:v>Scryfall URL</x:v>
      </x:c>
      <x:c r="S2" s="56" t="str">
        <x:v>Creature?</x:v>
      </x:c>
    </x:row>
    <x:row r="3">
      <x:c r="A3" s="24" t="str">
        <x:v>Vito, Thorn of the Dusk Rose</x:v>
      </x:c>
      <x:c r="B3" s="24" t="n">
        <x:v>1</x:v>
      </x:c>
      <x:c r="C3" s="24" t="n">
        <x:v>1</x:v>
      </x:c>
      <x:c r="D3" s="24" t="str">
        <x:v>Commander</x:v>
      </x:c>
      <x:c r="E3" s="24" t="str">
        <x:v>Commander</x:v>
      </x:c>
      <x:c r="F3" s="24" t="str">
        <x:v>Legendary Creature — Vampire Cleric</x:v>
      </x:c>
      <x:c r="G3" s="36" t="n">
        <x:v>3</x:v>
      </x:c>
      <x:c r="H3" s="24" t="str">
        <x:v>Yes</x:v>
      </x:c>
      <x:c r="I3" s="24" t="str">
        <x:v>Commander / engine</x:v>
      </x:c>
      <x:c r="J3" s="24" t="str">
        <x:v>Commander / engine</x:v>
      </x:c>
      <x:c r="K3" s="36" t="n">
        <x:v>10</x:v>
      </x:c>
      <x:c r="L3" s="24" t="str">
        <x:v>S</x:v>
      </x:c>
      <x:c r="M3" s="24" t="str">
        <x:v>COMMANDER LOCK</x:v>
      </x:c>
      <x:c r="N3" s="24" t="str">
        <x:v>Transforms every life-gain event into targeted life loss; the 3-mana cost allows early deployment.</x:v>
      </x:c>
      <x:c r="O3" s="24" t="str">
        <x:v>Extremely visible threat; the table will hold removal and may force commander-tax decisions.</x:v>
      </x:c>
      <x:c r="P3" s="24" t="str">
        <x:v>Primary engine; combo piece; lifelink enabler</x:v>
      </x:c>
      <x:c r="Q3" s="24" t="str">
        <x:v>Preserve identity; commander stays</x:v>
      </x:c>
      <x:c r="R3" s="24" t="str">
        <x:v>https://scryfall.com/search?q=%21%22Vito%2C%20Thorn%20of%20the%20Dusk%20Rose%22</x:v>
      </x:c>
      <x:c r="S3" s="59" t="str">
        <x:v>Yes</x:v>
      </x:c>
    </x:row>
    <x:row r="4">
      <x:c r="A4" s="24" t="str">
        <x:v>Agadeem's Awakening</x:v>
      </x:c>
      <x:c r="B4" s="24" t="n">
        <x:v>1</x:v>
      </x:c>
      <x:c r="C4" s="24" t="n">
        <x:v>1</x:v>
      </x:c>
      <x:c r="D4" s="24" t="str">
        <x:v>MDFC</x:v>
      </x:c>
      <x:c r="E4" s="24" t="str">
        <x:v>MDFC</x:v>
      </x:c>
      <x:c r="F4" s="24" t="str">
        <x:v>MDFC — Sorcery // Land</x:v>
      </x:c>
      <x:c r="G4" s="36" t="n">
        <x:v>3</x:v>
      </x:c>
      <x:c r="H4" s="24" t="str">
        <x:v>No</x:v>
      </x:c>
      <x:c r="I4" s="24" t="str">
        <x:v>Mana base / MDFC</x:v>
      </x:c>
      <x:c r="J4" s="24" t="str">
        <x:v>Mana base / MDFC</x:v>
      </x:c>
      <x:c r="K4" s="36" t="n">
        <x:v>8.4</x:v>
      </x:c>
      <x:c r="L4" s="24" t="str">
        <x:v>B</x:v>
      </x:c>
      <x:c r="M4" s="24" t="str">
        <x:v>MANA BASE</x:v>
      </x:c>
      <x:c r="N4" s="24" t="str">
        <x:v>Early as a tapped black source or late as a mass-reanimation spell for cheap creatures.</x:v>
      </x:c>
      <x:c r="O4" s="24" t="str">
        <x:v>Enters tapped as land; high X cost to recover expensive creatures.</x:v>
      </x:c>
      <x:c r="P4" s="24" t="str">
        <x:v>Recursion; land flexibility</x:v>
      </x:c>
      <x:c r="Q4" s="24" t="str">
        <x:v>Preserve in V2; mana slot is allocated once and MDFC role is listed secondarily.</x:v>
      </x:c>
      <x:c r="R4" s="24" t="str">
        <x:v>https://scryfall.com/search?q=%21%22Agadeem%27s%20Awakening%22</x:v>
      </x:c>
      <x:c r="S4" s="59" t="str">
        <x:v>No</x:v>
      </x:c>
    </x:row>
    <x:row r="5">
      <x:c r="A5" s="24" t="str">
        <x:v>Ancient Tomb</x:v>
      </x:c>
      <x:c r="B5" s="24" t="n">
        <x:v>1</x:v>
      </x:c>
      <x:c r="C5" s="24" t="n">
        <x:v>1</x:v>
      </x:c>
      <x:c r="D5" s="24" t="str">
        <x:v>Land</x:v>
      </x:c>
      <x:c r="E5" s="24" t="str">
        <x:v>Land</x:v>
      </x:c>
      <x:c r="F5" s="24" t="str">
        <x:v>Land</x:v>
      </x:c>
      <x:c r="G5" s="36" t="n">
        <x:v>0</x:v>
      </x:c>
      <x:c r="H5" s="24" t="str">
        <x:v>No</x:v>
      </x:c>
      <x:c r="I5" s="24" t="str">
        <x:v>Mana base</x:v>
      </x:c>
      <x:c r="J5" s="24" t="str">
        <x:v>Mana base</x:v>
      </x:c>
      <x:c r="K5" s="36" t="n">
        <x:v>9</x:v>
      </x:c>
      <x:c r="L5" s="24" t="str">
        <x:v>A</x:v>
      </x:c>
      <x:c r="M5" s="24" t="str">
        <x:v>MANA BASE</x:v>
      </x:c>
      <x:c r="N5" s="24" t="str">
        <x:v>Explosive early mana helps land Vito, Necropotence or a key engine ahead of curve.</x:v>
      </x:c>
      <x:c r="O5" s="24" t="str">
        <x:v>Two life per activation matters when K'rrik, Necropotence and other life payments stack.</x:v>
      </x:c>
      <x:c r="P5" s="24" t="str">
        <x:v>Fast mana; colorless</x:v>
      </x:c>
      <x:c r="Q5" s="24" t="str">
        <x:v>Preserve in V2; mana slot is allocated once and MDFC role is listed secondarily.</x:v>
      </x:c>
      <x:c r="R5" s="24" t="str">
        <x:v>https://scryfall.com/search?q=%21%22Ancient%20Tomb%22</x:v>
      </x:c>
      <x:c r="S5" s="59" t="str">
        <x:v>No</x:v>
      </x:c>
    </x:row>
    <x:row r="6">
      <x:c r="A6" s="24" t="str">
        <x:v>Arcane Signet</x:v>
      </x:c>
      <x:c r="B6" s="24" t="n">
        <x:v>1</x:v>
      </x:c>
      <x:c r="C6" s="24" t="n">
        <x:v>1</x:v>
      </x:c>
      <x:c r="D6" s="24" t="str">
        <x:v>Spell</x:v>
      </x:c>
      <x:c r="E6" s="24" t="str">
        <x:v>Spell</x:v>
      </x:c>
      <x:c r="F6" s="24" t="str">
        <x:v>Artifact</x:v>
      </x:c>
      <x:c r="G6" s="36" t="n">
        <x:v>2</x:v>
      </x:c>
      <x:c r="H6" s="24" t="str">
        <x:v>No</x:v>
      </x:c>
      <x:c r="I6" s="24" t="str">
        <x:v>Ramp</x:v>
      </x:c>
      <x:c r="J6" s="24" t="str">
        <x:v>Ramp</x:v>
      </x:c>
      <x:c r="K6" s="36" t="n">
        <x:v>7.7</x:v>
      </x:c>
      <x:c r="L6" s="24" t="str">
        <x:v>B</x:v>
      </x:c>
      <x:c r="M6" s="24" t="str">
        <x:v>CURRENT / RETAIN — V2</x:v>
      </x:c>
      <x:c r="N6" s="24" t="str">
        <x:v>Reliable two-mana acceleration.</x:v>
      </x:c>
      <x:c r="O6" s="24" t="str">
        <x:v>Colorless artifact ramp is less explosive than black-specific engines but improves opening hands.</x:v>
      </x:c>
      <x:c r="P6" s="24" t="str">
        <x:v>Ramp</x:v>
      </x:c>
      <x:c r="Q6" s="24" t="str">
        <x:v>Retain in proposed V2; no cut proposed.</x:v>
      </x:c>
      <x:c r="R6" s="24" t="str">
        <x:v>https://scryfall.com/search?q=%21%22Arcane%20Signet%22</x:v>
      </x:c>
      <x:c r="S6" s="59" t="str">
        <x:v>No</x:v>
      </x:c>
    </x:row>
    <x:row r="7">
      <x:c r="A7" s="24" t="str">
        <x:v>Beseech the Mirror</x:v>
      </x:c>
      <x:c r="B7" s="24" t="n">
        <x:v>1</x:v>
      </x:c>
      <x:c r="C7" s="24" t="n">
        <x:v>1</x:v>
      </x:c>
      <x:c r="D7" s="24" t="str">
        <x:v>Spell</x:v>
      </x:c>
      <x:c r="E7" s="24" t="str">
        <x:v>Spell</x:v>
      </x:c>
      <x:c r="F7" s="24" t="str">
        <x:v>Sorcery</x:v>
      </x:c>
      <x:c r="G7" s="36" t="n">
        <x:v>4</x:v>
      </x:c>
      <x:c r="H7" s="24" t="str">
        <x:v>No</x:v>
      </x:c>
      <x:c r="I7" s="24" t="str">
        <x:v>Draw + Tutor</x:v>
      </x:c>
      <x:c r="J7" s="24" t="str">
        <x:v>Draw + Tutor</x:v>
      </x:c>
      <x:c r="K7" s="36" t="n">
        <x:v>8.5</x:v>
      </x:c>
      <x:c r="L7" s="24" t="str">
        <x:v>A</x:v>
      </x:c>
      <x:c r="M7" s="24" t="str">
        <x:v>CURRENT / RETAIN — V2</x:v>
      </x:c>
      <x:c r="N7" s="24" t="str">
        <x:v>Tutor with Bargain can cast a mana-value-four-or-less card directly; finds interaction or a lifedrain engine.</x:v>
      </x:c>
      <x:c r="O7" s="24" t="str">
        <x:v>Four mana without Bargain is a meaningful tempo cost; another tutor increases combo visibility.</x:v>
      </x:c>
      <x:c r="P7" s="24" t="str">
        <x:v>Tutor; conditional free cast</x:v>
      </x:c>
      <x:c r="Q7" s="24" t="str">
        <x:v>Retain in proposed V2; no cut proposed.</x:v>
      </x:c>
      <x:c r="R7" s="24" t="str">
        <x:v>https://scryfall.com/search?q=%21%22Beseech%20the%20Mirror%22</x:v>
      </x:c>
      <x:c r="S7" s="59" t="str">
        <x:v>No</x:v>
      </x:c>
    </x:row>
    <x:row r="8">
      <x:c r="A8" s="24" t="str">
        <x:v>Black Market Connections</x:v>
      </x:c>
      <x:c r="B8" s="24" t="n">
        <x:v>1</x:v>
      </x:c>
      <x:c r="C8" s="24" t="n">
        <x:v>1</x:v>
      </x:c>
      <x:c r="D8" s="24" t="str">
        <x:v>Spell</x:v>
      </x:c>
      <x:c r="E8" s="24" t="str">
        <x:v>Spell</x:v>
      </x:c>
      <x:c r="F8" s="24" t="str">
        <x:v>Enchantment</x:v>
      </x:c>
      <x:c r="G8" s="36" t="n">
        <x:v>3</x:v>
      </x:c>
      <x:c r="H8" s="24" t="str">
        <x:v>No</x:v>
      </x:c>
      <x:c r="I8" s="24" t="str">
        <x:v>Draw + Tutor</x:v>
      </x:c>
      <x:c r="J8" s="24" t="str">
        <x:v>Draw + Tutor</x:v>
      </x:c>
      <x:c r="K8" s="36" t="n">
        <x:v>9.2</x:v>
      </x:c>
      <x:c r="L8" s="24" t="str">
        <x:v>A</x:v>
      </x:c>
      <x:c r="M8" s="24" t="str">
        <x:v>CURRENT / RETAIN — V2</x:v>
      </x:c>
      <x:c r="N8" s="24" t="str">
        <x:v>Flexible card draw, Treasure and body; can provide multiple resource types each turn.</x:v>
      </x:c>
      <x:c r="O8" s="24" t="str">
        <x:v>Life loss is real, and choosing all modes can be too costly if the board is pressuring you.</x:v>
      </x:c>
      <x:c r="P8" s="24" t="str">
        <x:v>Draw; ramp; token</x:v>
      </x:c>
      <x:c r="Q8" s="24" t="str">
        <x:v>Retain in proposed V2; no cut proposed.</x:v>
      </x:c>
      <x:c r="R8" s="24" t="str">
        <x:v>https://scryfall.com/search?q=%21%22Black%20Market%20Connections%22</x:v>
      </x:c>
      <x:c r="S8" s="59" t="str">
        <x:v>No</x:v>
      </x:c>
    </x:row>
    <x:row r="9">
      <x:c r="A9" s="24" t="str">
        <x:v>Blasphemous Edict</x:v>
      </x:c>
      <x:c r="B9" s="24" t="n">
        <x:v>1</x:v>
      </x:c>
      <x:c r="C9" s="24" t="n">
        <x:v>1</x:v>
      </x:c>
      <x:c r="D9" s="24" t="str">
        <x:v>Spell</x:v>
      </x:c>
      <x:c r="E9" s="24" t="str">
        <x:v>Spell</x:v>
      </x:c>
      <x:c r="F9" s="24" t="str">
        <x:v>Sorcery</x:v>
      </x:c>
      <x:c r="G9" s="36" t="n">
        <x:v>8</x:v>
      </x:c>
      <x:c r="H9" s="24" t="str">
        <x:v>No</x:v>
      </x:c>
      <x:c r="I9" s="24" t="str">
        <x:v>Removal</x:v>
      </x:c>
      <x:c r="J9" s="24" t="str">
        <x:v>Removal</x:v>
      </x:c>
      <x:c r="K9" s="36" t="n">
        <x:v>8</x:v>
      </x:c>
      <x:c r="L9" s="24" t="str">
        <x:v>B</x:v>
      </x:c>
      <x:c r="M9" s="24" t="str">
        <x:v>CURRENT / RETAIN — V2</x:v>
      </x:c>
      <x:c r="N9" s="24" t="str">
        <x:v>Normally eight mana, but may be cast for its alternative cost when thirteen or more creatures are on the battlefield; each player sacrifices thirteen creatures of their choice, so it can clear most boards.</x:v>
      </x:c>
      <x:c r="O9" s="24" t="str">
        <x:v>Alternative-cost threshold depends on the total creature count, and the effect is symmetrical; it can cost much more than the printed cheap-looking cast when the threshold is absent.</x:v>
      </x:c>
      <x:c r="P9" s="24" t="str">
        <x:v>Conditional board wipe</x:v>
      </x:c>
      <x:c r="Q9" s="24" t="str">
        <x:v>Retain in proposed V2; no cut proposed.</x:v>
      </x:c>
      <x:c r="R9" s="24" t="str">
        <x:v>https://scryfall.com/search?q=%21%22Blasphemous%20Edict%22</x:v>
      </x:c>
      <x:c r="S9" s="59" t="str">
        <x:v>No</x:v>
      </x:c>
    </x:row>
    <x:row r="10">
      <x:c r="A10" s="24" t="str">
        <x:v>Blood Artist</x:v>
      </x:c>
      <x:c r="B10" s="24" t="n">
        <x:v>1</x:v>
      </x:c>
      <x:c r="C10" s="24" t="n">
        <x:v>1</x:v>
      </x:c>
      <x:c r="D10" s="24" t="str">
        <x:v>Spell</x:v>
      </x:c>
      <x:c r="E10" s="24" t="str">
        <x:v>Spell</x:v>
      </x:c>
      <x:c r="F10" s="24" t="str">
        <x:v>Creature — Vampire</x:v>
      </x:c>
      <x:c r="G10" s="36" t="n">
        <x:v>2</x:v>
      </x:c>
      <x:c r="H10" s="24" t="str">
        <x:v>Yes</x:v>
      </x:c>
      <x:c r="I10" s="24" t="str">
        <x:v>Vampires (c/ sinergia)</x:v>
      </x:c>
      <x:c r="J10" s="24" t="str">
        <x:v>Vampires (c/ sinergia)</x:v>
      </x:c>
      <x:c r="K10" s="36" t="n">
        <x:v>8.5</x:v>
      </x:c>
      <x:c r="L10" s="24" t="str">
        <x:v>A</x:v>
      </x:c>
      <x:c r="M10" s="24" t="str">
        <x:v>CURRENT / RETAIN — V2</x:v>
      </x:c>
      <x:c r="N10" s="24" t="str">
        <x:v>Turns creature deaths into opponent life loss and your life gain; combines with wipes and token trades.</x:v>
      </x:c>
      <x:c r="O10" s="24" t="str">
        <x:v>Needs a creature to die; doesn't provide the drain engine by itself.</x:v>
      </x:c>
      <x:c r="P10" s="24" t="str">
        <x:v>Death trigger; lifedrain</x:v>
      </x:c>
      <x:c r="Q10" s="24" t="str">
        <x:v>Retain in proposed V2; no cut proposed.</x:v>
      </x:c>
      <x:c r="R10" s="24" t="str">
        <x:v>https://scryfall.com/search?q=%21%22Blood%20Artist%22</x:v>
      </x:c>
      <x:c r="S10" s="59" t="str">
        <x:v>Yes</x:v>
      </x:c>
    </x:row>
    <x:row r="11">
      <x:c r="A11" s="24" t="str">
        <x:v>Blood Tribute</x:v>
      </x:c>
      <x:c r="B11" s="24" t="n">
        <x:v>1</x:v>
      </x:c>
      <x:c r="C11" s="24" t="n">
        <x:v>1</x:v>
      </x:c>
      <x:c r="D11" s="24" t="str">
        <x:v>Spell</x:v>
      </x:c>
      <x:c r="E11" s="24" t="str">
        <x:v>Spell</x:v>
      </x:c>
      <x:c r="F11" s="24" t="str">
        <x:v>Sorcery</x:v>
      </x:c>
      <x:c r="G11" s="36" t="n">
        <x:v>6</x:v>
      </x:c>
      <x:c r="H11" s="24" t="str">
        <x:v>No</x:v>
      </x:c>
      <x:c r="I11" s="24" t="str">
        <x:v>Life gain/drain</x:v>
      </x:c>
      <x:c r="J11" s="24" t="str">
        <x:v>Life gain/drain</x:v>
      </x:c>
      <x:c r="K11" s="36" t="n">
        <x:v>8.5</x:v>
      </x:c>
      <x:c r="L11" s="24" t="str">
        <x:v>A</x:v>
      </x:c>
      <x:c r="M11" s="24" t="str">
        <x:v>CURRENT / RETAIN — V2</x:v>
      </x:c>
      <x:c r="N11" s="24" t="str">
        <x:v>Halves a target opponent's life total, and with a Vampire can gain life equal to the life lost; Vito converts the gain into additional pressure.</x:v>
      </x:c>
      <x:c r="O11" s="24" t="str">
        <x:v>Six mana and a single target; do not spend it into open protection unless the timing is favorable.</x:v>
      </x:c>
      <x:c r="P11" s="24" t="str">
        <x:v>Burst drain; Vito trigger</x:v>
      </x:c>
      <x:c r="Q11" s="24" t="str">
        <x:v>Retain in proposed V2; no cut proposed.</x:v>
      </x:c>
      <x:c r="R11" s="24" t="str">
        <x:v>https://scryfall.com/search?q=%21%22Blood%20Tribute%22</x:v>
      </x:c>
      <x:c r="S11" s="59" t="str">
        <x:v>No</x:v>
      </x:c>
    </x:row>
    <x:row r="12">
      <x:c r="A12" s="24" t="str">
        <x:v>Bloodchief Ascension</x:v>
      </x:c>
      <x:c r="B12" s="24" t="n">
        <x:v>1</x:v>
      </x:c>
      <x:c r="C12" s="24" t="n">
        <x:v>1</x:v>
      </x:c>
      <x:c r="D12" s="24" t="str">
        <x:v>Spell</x:v>
      </x:c>
      <x:c r="E12" s="24" t="str">
        <x:v>Spell</x:v>
      </x:c>
      <x:c r="F12" s="24" t="str">
        <x:v>Enchantment</x:v>
      </x:c>
      <x:c r="G12" s="36" t="n">
        <x:v>1</x:v>
      </x:c>
      <x:c r="H12" s="24" t="str">
        <x:v>No</x:v>
      </x:c>
      <x:c r="I12" s="24" t="str">
        <x:v>Combos</x:v>
      </x:c>
      <x:c r="J12" s="24" t="str">
        <x:v>Combos</x:v>
      </x:c>
      <x:c r="K12" s="36" t="n">
        <x:v>8.7</x:v>
      </x:c>
      <x:c r="L12" s="24" t="str">
        <x:v>A</x:v>
      </x:c>
      <x:c r="M12" s="24" t="str">
        <x:v>CURRENT / RETAIN — V2</x:v>
      </x:c>
      <x:c r="N12" s="24" t="str">
        <x:v>Low-cost engine that becomes a major threat after quest counters; forms the known Mindcrank loop.</x:v>
      </x:c>
      <x:c r="O12" s="24" t="str">
        <x:v>Needs three quest counters for its key payoff and often advertises a combo line.</x:v>
      </x:c>
      <x:c r="P12" s="24" t="str">
        <x:v>Combo; drain; requires setup</x:v>
      </x:c>
      <x:c r="Q12" s="24" t="str">
        <x:v>Retain in proposed V2; no cut proposed.</x:v>
      </x:c>
      <x:c r="R12" s="24" t="str">
        <x:v>https://scryfall.com/search?q=%21%22Bloodchief%20Ascension%22</x:v>
      </x:c>
      <x:c r="S12" s="59" t="str">
        <x:v>No</x:v>
      </x:c>
    </x:row>
    <x:row r="13">
      <x:c r="A13" s="24" t="str">
        <x:v>Bloodletter of Aclazotz</x:v>
      </x:c>
      <x:c r="B13" s="24" t="n">
        <x:v>1</x:v>
      </x:c>
      <x:c r="C13" s="24" t="n">
        <x:v>1</x:v>
      </x:c>
      <x:c r="D13" s="24" t="str">
        <x:v>Spell</x:v>
      </x:c>
      <x:c r="E13" s="24" t="str">
        <x:v>Spell</x:v>
      </x:c>
      <x:c r="F13" s="24" t="str">
        <x:v>Creature — Vampire Demon</x:v>
      </x:c>
      <x:c r="G13" s="36" t="n">
        <x:v>4</x:v>
      </x:c>
      <x:c r="H13" s="24" t="str">
        <x:v>Yes</x:v>
      </x:c>
      <x:c r="I13" s="24" t="str">
        <x:v>Vampires (c/ sinergia)</x:v>
      </x:c>
      <x:c r="J13" s="24" t="str">
        <x:v>Vampires (c/ sinergia)</x:v>
      </x:c>
      <x:c r="K13" s="36" t="n">
        <x:v>9.1</x:v>
      </x:c>
      <x:c r="L13" s="24" t="str">
        <x:v>A</x:v>
      </x:c>
      <x:c r="M13" s="24" t="str">
        <x:v>CURRENT / RETAIN — V2</x:v>
      </x:c>
      <x:c r="N13" s="24" t="str">
        <x:v>Doubles life loss for opponents during your turn, amplifying Vito triggers, Blood Tribute and mass-drain spells.</x:v>
      </x:c>
      <x:c r="O13" s="24" t="str">
        <x:v>Only doubles losses during your turn; high-threat, non-defensive body at four mana.</x:v>
      </x:c>
      <x:c r="P13" s="24" t="str">
        <x:v>Damage/life-loss multiplier</x:v>
      </x:c>
      <x:c r="Q13" s="24" t="str">
        <x:v>Retain in proposed V2; no cut proposed.</x:v>
      </x:c>
      <x:c r="R13" s="24" t="str">
        <x:v>https://scryfall.com/search?q=%21%22Bloodletter%20of%20Aclazotz%22</x:v>
      </x:c>
      <x:c r="S13" s="59" t="str">
        <x:v>Yes</x:v>
      </x:c>
    </x:row>
    <x:row r="14">
      <x:c r="A14" s="24" t="str">
        <x:v>Bloodline Keeper</x:v>
      </x:c>
      <x:c r="B14" s="24" t="n">
        <x:v>1</x:v>
      </x:c>
      <x:c r="C14" s="24" t="n">
        <x:v>1</x:v>
      </x:c>
      <x:c r="D14" s="24" t="str">
        <x:v>Spell</x:v>
      </x:c>
      <x:c r="E14" s="24" t="str">
        <x:v>Spell</x:v>
      </x:c>
      <x:c r="F14" s="24" t="str">
        <x:v>Creature — Vampire</x:v>
      </x:c>
      <x:c r="G14" s="36" t="n">
        <x:v>4</x:v>
      </x:c>
      <x:c r="H14" s="24" t="str">
        <x:v>Yes</x:v>
      </x:c>
      <x:c r="I14" s="24" t="str">
        <x:v>Vampires (c/ sinergia)</x:v>
      </x:c>
      <x:c r="J14" s="24" t="str">
        <x:v>Vampires (c/ sinergia)</x:v>
      </x:c>
      <x:c r="K14" s="36" t="n">
        <x:v>8.4</x:v>
      </x:c>
      <x:c r="L14" s="24" t="str">
        <x:v>B</x:v>
      </x:c>
      <x:c r="M14" s="24" t="str">
        <x:v>CURRENT / RETAIN — V2</x:v>
      </x:c>
      <x:c r="N14" s="24" t="str">
        <x:v>Builds a Vampire board over time and can become a lord; helps Captivating Vampire and tribal density.</x:v>
      </x:c>
      <x:c r="O14" s="24" t="str">
        <x:v>Four mana and a turn-cycle to generate value; vulnerable before making multiple tokens.</x:v>
      </x:c>
      <x:c r="P14" s="24" t="str">
        <x:v>Token engine; tribal payoff</x:v>
      </x:c>
      <x:c r="Q14" s="24" t="str">
        <x:v>Retain in proposed V2; no cut proposed.</x:v>
      </x:c>
      <x:c r="R14" s="24" t="str">
        <x:v>https://scryfall.com/search?q=%21%22Bloodline%20Keeper%22</x:v>
      </x:c>
      <x:c r="S14" s="59" t="str">
        <x:v>Yes</x:v>
      </x:c>
    </x:row>
    <x:row r="15">
      <x:c r="A15" s="24" t="str">
        <x:v>Bloodthirsty Conqueror</x:v>
      </x:c>
      <x:c r="B15" s="24" t="n">
        <x:v>1</x:v>
      </x:c>
      <x:c r="C15" s="24" t="n">
        <x:v>1</x:v>
      </x:c>
      <x:c r="D15" s="24" t="str">
        <x:v>Spell</x:v>
      </x:c>
      <x:c r="E15" s="24" t="str">
        <x:v>Spell</x:v>
      </x:c>
      <x:c r="F15" s="24" t="str">
        <x:v>Creature — Vampire Knight</x:v>
      </x:c>
      <x:c r="G15" s="36" t="n">
        <x:v>5</x:v>
      </x:c>
      <x:c r="H15" s="24" t="str">
        <x:v>Yes</x:v>
      </x:c>
      <x:c r="I15" s="24" t="str">
        <x:v>Combos</x:v>
      </x:c>
      <x:c r="J15" s="24" t="str">
        <x:v>Combos</x:v>
      </x:c>
      <x:c r="K15" s="36" t="n">
        <x:v>9.4</x:v>
      </x:c>
      <x:c r="L15" s="24" t="str">
        <x:v>A</x:v>
      </x:c>
      <x:c r="M15" s="24" t="str">
        <x:v>CURRENT / RETAIN — V2</x:v>
      </x:c>
      <x:c r="N15" s="24" t="str">
        <x:v>With Vito, an opponent losing life causes life gain, which triggers Vito again; also stabilizes life total and blocks well.</x:v>
      </x:c>
      <x:c r="O15" s="24" t="str">
        <x:v>Five mana, immediately announces the known loop and attracts removal.</x:v>
      </x:c>
      <x:c r="P15" s="24" t="str">
        <x:v>Combo; flying; deathtouch; lifegain</x:v>
      </x:c>
      <x:c r="Q15" s="24" t="str">
        <x:v>Retain in proposed V2; no cut proposed.</x:v>
      </x:c>
      <x:c r="R15" s="24" t="str">
        <x:v>https://scryfall.com/search?q=%21%22Bloodthirsty%20Conqueror%22</x:v>
      </x:c>
      <x:c r="S15" s="59" t="str">
        <x:v>Yes</x:v>
      </x:c>
    </x:row>
    <x:row r="16">
      <x:c r="A16" s="24" t="str">
        <x:v>Bolas's Citadel</x:v>
      </x:c>
      <x:c r="B16" s="24" t="n">
        <x:v>1</x:v>
      </x:c>
      <x:c r="C16" s="24" t="n">
        <x:v>1</x:v>
      </x:c>
      <x:c r="D16" s="24" t="str">
        <x:v>Spell</x:v>
      </x:c>
      <x:c r="E16" s="24" t="str">
        <x:v>Spell</x:v>
      </x:c>
      <x:c r="F16" s="24" t="str">
        <x:v>Legendary Artifact</x:v>
      </x:c>
      <x:c r="G16" s="36" t="n">
        <x:v>6</x:v>
      </x:c>
      <x:c r="H16" s="24" t="str">
        <x:v>No</x:v>
      </x:c>
      <x:c r="I16" s="24" t="str">
        <x:v>Draw + Tutor</x:v>
      </x:c>
      <x:c r="J16" s="24" t="str">
        <x:v>Draw + Tutor</x:v>
      </x:c>
      <x:c r="K16" s="36" t="n">
        <x:v>9.2</x:v>
      </x:c>
      <x:c r="L16" s="24" t="str">
        <x:v>A</x:v>
      </x:c>
      <x:c r="M16" s="24" t="str">
        <x:v>CURRENT / RETAIN — V2</x:v>
      </x:c>
      <x:c r="N16" s="24" t="str">
        <x:v>Converts the top of the library into a second hand; life payments are partly offset by lifegain, and the sacrifice ability can close games.</x:v>
      </x:c>
      <x:c r="O16" s="24" t="str">
        <x:v>Six mana, life-intensive, and top-of-library access is sensitive to lands/expensive cards.</x:v>
      </x:c>
      <x:c r="P16" s="24" t="str">
        <x:v>Card advantage; finisher; top-deck engine</x:v>
      </x:c>
      <x:c r="Q16" s="24" t="str">
        <x:v>Retain in proposed V2; no cut proposed.</x:v>
      </x:c>
      <x:c r="R16" s="24" t="str">
        <x:v>https://scryfall.com/search?q=%21%22Bolas%27s%20Citadel%22</x:v>
      </x:c>
      <x:c r="S16" s="59" t="str">
        <x:v>No</x:v>
      </x:c>
    </x:row>
    <x:row r="17">
      <x:c r="A17" s="24" t="str">
        <x:v>Bontu's Monument</x:v>
      </x:c>
      <x:c r="B17" s="24" t="n">
        <x:v>1</x:v>
      </x:c>
      <x:c r="C17" s="24" t="n">
        <x:v>1</x:v>
      </x:c>
      <x:c r="D17" s="24" t="str">
        <x:v>Spell</x:v>
      </x:c>
      <x:c r="E17" s="24" t="str">
        <x:v>Spell</x:v>
      </x:c>
      <x:c r="F17" s="24" t="str">
        <x:v>Legendary Artifact</x:v>
      </x:c>
      <x:c r="G17" s="36" t="n">
        <x:v>3</x:v>
      </x:c>
      <x:c r="H17" s="24" t="str">
        <x:v>No</x:v>
      </x:c>
      <x:c r="I17" s="24" t="str">
        <x:v>Ramp</x:v>
      </x:c>
      <x:c r="J17" s="24" t="str">
        <x:v>Ramp</x:v>
      </x:c>
      <x:c r="K17" s="36" t="n">
        <x:v>8.6</x:v>
      </x:c>
      <x:c r="L17" s="24" t="str">
        <x:v>A</x:v>
      </x:c>
      <x:c r="M17" s="24" t="str">
        <x:v>CURRENT / RETAIN — V2</x:v>
      </x:c>
      <x:c r="N17" s="24" t="str">
        <x:v>Three-mana cost reducer for black creature spells and incremental life-drain payoff on each black creature cast.</x:v>
      </x:c>
      <x:c r="O17" s="24" t="str">
        <x:v>Does not reduce noncreature spells; value depends on casting multiple black creatures.</x:v>
      </x:c>
      <x:c r="P17" s="24" t="str">
        <x:v>Cost reduction; group drain</x:v>
      </x:c>
      <x:c r="Q17" s="24" t="str">
        <x:v>Retain in proposed V2; no cut proposed.</x:v>
      </x:c>
      <x:c r="R17" s="24" t="str">
        <x:v>https://scryfall.com/search?q=%21%22Bontu%27s%20Monument%22</x:v>
      </x:c>
      <x:c r="S17" s="59" t="str">
        <x:v>No</x:v>
      </x:c>
    </x:row>
    <x:row r="18">
      <x:c r="A18" s="24" t="str">
        <x:v>Cabal Coffers</x:v>
      </x:c>
      <x:c r="B18" s="24" t="n">
        <x:v>1</x:v>
      </x:c>
      <x:c r="C18" s="24" t="n">
        <x:v>1</x:v>
      </x:c>
      <x:c r="D18" s="24" t="str">
        <x:v>Land</x:v>
      </x:c>
      <x:c r="E18" s="24" t="str">
        <x:v>Land</x:v>
      </x:c>
      <x:c r="F18" s="24" t="str">
        <x:v>Land</x:v>
      </x:c>
      <x:c r="G18" s="36" t="n">
        <x:v>0</x:v>
      </x:c>
      <x:c r="H18" s="24" t="str">
        <x:v>No</x:v>
      </x:c>
      <x:c r="I18" s="24" t="str">
        <x:v>Mana base</x:v>
      </x:c>
      <x:c r="J18" s="24" t="str">
        <x:v>Mana base</x:v>
      </x:c>
      <x:c r="K18" s="36" t="n">
        <x:v>9.5</x:v>
      </x:c>
      <x:c r="L18" s="24" t="str">
        <x:v>S</x:v>
      </x:c>
      <x:c r="M18" s="24" t="str">
        <x:v>MANA BASE</x:v>
      </x:c>
      <x:c r="N18" s="24" t="str">
        <x:v>Scales explosively with Swamps, especially with Urborg; fuels Torment and Exsanguinate.</x:v>
      </x:c>
      <x:c r="O18" s="24" t="str">
        <x:v>Weak with too few Swamps or without a way to make black mana; colorless until paired with other mana.</x:v>
      </x:c>
      <x:c r="P18" s="24" t="str">
        <x:v>Big mana; land synergy</x:v>
      </x:c>
      <x:c r="Q18" s="24" t="str">
        <x:v>Preserve in V2; mana slot is allocated once and MDFC role is listed secondarily.</x:v>
      </x:c>
      <x:c r="R18" s="24" t="str">
        <x:v>https://scryfall.com/search?q=%21%22Cabal%20Coffers%22</x:v>
      </x:c>
      <x:c r="S18" s="59" t="str">
        <x:v>No</x:v>
      </x:c>
    </x:row>
    <x:row r="19">
      <x:c r="A19" s="24" t="str">
        <x:v>Cabal Stronghold</x:v>
      </x:c>
      <x:c r="B19" s="24" t="n">
        <x:v>1</x:v>
      </x:c>
      <x:c r="C19" s="24" t="n">
        <x:v>1</x:v>
      </x:c>
      <x:c r="D19" s="24" t="str">
        <x:v>Land</x:v>
      </x:c>
      <x:c r="E19" s="24" t="str">
        <x:v>Land</x:v>
      </x:c>
      <x:c r="F19" s="24" t="str">
        <x:v>Land</x:v>
      </x:c>
      <x:c r="G19" s="36" t="n">
        <x:v>0</x:v>
      </x:c>
      <x:c r="H19" s="24" t="str">
        <x:v>No</x:v>
      </x:c>
      <x:c r="I19" s="24" t="str">
        <x:v>Mana base</x:v>
      </x:c>
      <x:c r="J19" s="24" t="str">
        <x:v>Mana base</x:v>
      </x:c>
      <x:c r="K19" s="36" t="n">
        <x:v>7.5</x:v>
      </x:c>
      <x:c r="L19" s="24" t="str">
        <x:v>B</x:v>
      </x:c>
      <x:c r="M19" s="24" t="str">
        <x:v>MANA BASE</x:v>
      </x:c>
      <x:c r="N19" s="24" t="str">
        <x:v>Provides late-game black mana based on basic Swamps; Snow-Covered Swamps count as basic Swamps.</x:v>
      </x:c>
      <x:c r="O19" s="24" t="str">
        <x:v>Needs three mana to activate and counts basic Swamps only; slower than Coffers.</x:v>
      </x:c>
      <x:c r="P19" s="24" t="str">
        <x:v>Big mana; basic-Swamp scaling</x:v>
      </x:c>
      <x:c r="Q19" s="24" t="str">
        <x:v>Preserve in V2; mana slot is allocated once and MDFC role is listed secondarily.</x:v>
      </x:c>
      <x:c r="R19" s="24" t="str">
        <x:v>https://scryfall.com/search?q=%21%22Cabal%20Stronghold%22</x:v>
      </x:c>
      <x:c r="S19" s="59" t="str">
        <x:v>No</x:v>
      </x:c>
    </x:row>
    <x:row r="20">
      <x:c r="A20" s="24" t="str">
        <x:v>Captivating Vampire</x:v>
      </x:c>
      <x:c r="B20" s="24" t="n">
        <x:v>1</x:v>
      </x:c>
      <x:c r="C20" s="24" t="n">
        <x:v>1</x:v>
      </x:c>
      <x:c r="D20" s="24" t="str">
        <x:v>Spell</x:v>
      </x:c>
      <x:c r="E20" s="24" t="str">
        <x:v>Spell</x:v>
      </x:c>
      <x:c r="F20" s="24" t="str">
        <x:v>Creature — Vampire</x:v>
      </x:c>
      <x:c r="G20" s="36" t="n">
        <x:v>3</x:v>
      </x:c>
      <x:c r="H20" s="24" t="str">
        <x:v>Yes</x:v>
      </x:c>
      <x:c r="I20" s="24" t="str">
        <x:v>Vampires (c/ sinergia)</x:v>
      </x:c>
      <x:c r="J20" s="24" t="str">
        <x:v>Vampires (c/ sinergia)</x:v>
      </x:c>
      <x:c r="K20" s="36" t="n">
        <x:v>8.8</x:v>
      </x:c>
      <x:c r="L20" s="24" t="str">
        <x:v>A</x:v>
      </x:c>
      <x:c r="M20" s="24" t="str">
        <x:v>CURRENT / RETAIN — V2</x:v>
      </x:c>
      <x:c r="N20" s="24" t="str">
        <x:v>Lord effect grows the tribe; five untapped Vampires can steal a creature and make it a Vampire, a strong political swing.</x:v>
      </x:c>
      <x:c r="O20" s="24" t="str">
        <x:v>Needs a developed board for the activated ability and can be removed in response.</x:v>
      </x:c>
      <x:c r="P20" s="24" t="str">
        <x:v>Lord; creature theft; tribal payoff</x:v>
      </x:c>
      <x:c r="Q20" s="24" t="str">
        <x:v>Retain in proposed V2; no cut proposed.</x:v>
      </x:c>
      <x:c r="R20" s="24" t="str">
        <x:v>https://scryfall.com/search?q=%21%22Captivating%20Vampire%22</x:v>
      </x:c>
      <x:c r="S20" s="59" t="str">
        <x:v>Yes</x:v>
      </x:c>
    </x:row>
    <x:row r="21">
      <x:c r="A21" s="24" t="str">
        <x:v>Castle Locthwain</x:v>
      </x:c>
      <x:c r="B21" s="24" t="n">
        <x:v>1</x:v>
      </x:c>
      <x:c r="C21" s="24" t="n">
        <x:v>1</x:v>
      </x:c>
      <x:c r="D21" s="24" t="str">
        <x:v>Land</x:v>
      </x:c>
      <x:c r="E21" s="24" t="str">
        <x:v>Land</x:v>
      </x:c>
      <x:c r="F21" s="24" t="str">
        <x:v>Land</x:v>
      </x:c>
      <x:c r="G21" s="36" t="n">
        <x:v>0</x:v>
      </x:c>
      <x:c r="H21" s="24" t="str">
        <x:v>No</x:v>
      </x:c>
      <x:c r="I21" s="24" t="str">
        <x:v>Mana base</x:v>
      </x:c>
      <x:c r="J21" s="24" t="str">
        <x:v>Mana base</x:v>
      </x:c>
      <x:c r="K21" s="36" t="n">
        <x:v>8</x:v>
      </x:c>
      <x:c r="L21" s="24" t="str">
        <x:v>B</x:v>
      </x:c>
      <x:c r="M21" s="24" t="str">
        <x:v>MANA BASE</x:v>
      </x:c>
      <x:c r="N21" s="24" t="str">
        <x:v>Repeatable card draw from a land slot; useful after emptying your hand.</x:v>
      </x:c>
      <x:c r="O21" s="24" t="str">
        <x:v>Enters tapped unless you control a Swamp; draw costs life and can be inefficient when low.</x:v>
      </x:c>
      <x:c r="P21" s="24" t="str">
        <x:v>Land-based draw</x:v>
      </x:c>
      <x:c r="Q21" s="24" t="str">
        <x:v>Preserve in V2; mana slot is allocated once and MDFC role is listed secondarily.</x:v>
      </x:c>
      <x:c r="R21" s="24" t="str">
        <x:v>https://scryfall.com/search?q=%21%22Castle%20Locthwain%22</x:v>
      </x:c>
      <x:c r="S21" s="59" t="str">
        <x:v>No</x:v>
      </x:c>
    </x:row>
    <x:row r="22">
      <x:c r="A22" s="24" t="str">
        <x:v>Consuming Corruption</x:v>
      </x:c>
      <x:c r="B22" s="24" t="n">
        <x:v>1</x:v>
      </x:c>
      <x:c r="C22" s="24" t="n">
        <x:v>1</x:v>
      </x:c>
      <x:c r="D22" s="24" t="str">
        <x:v>Spell</x:v>
      </x:c>
      <x:c r="E22" s="24" t="str">
        <x:v>Spell</x:v>
      </x:c>
      <x:c r="F22" s="24" t="str">
        <x:v>Instant</x:v>
      </x:c>
      <x:c r="G22" s="36" t="n">
        <x:v>2</x:v>
      </x:c>
      <x:c r="H22" s="24" t="str">
        <x:v>No</x:v>
      </x:c>
      <x:c r="I22" s="24" t="str">
        <x:v>Removal</x:v>
      </x:c>
      <x:c r="J22" s="24" t="str">
        <x:v>Removal</x:v>
      </x:c>
      <x:c r="K22" s="36" t="n">
        <x:v>8.3</x:v>
      </x:c>
      <x:c r="L22" s="24" t="str">
        <x:v>B</x:v>
      </x:c>
      <x:c r="M22" s="24" t="str">
        <x:v>CURRENT / RETAIN — V2</x:v>
      </x:c>
      <x:c r="N22" s="24" t="str">
        <x:v>Scales with Swamps and gains life equal to damage dealt, so it can remove a threat and trigger Vito.</x:v>
      </x:c>
      <x:c r="O22" s="24" t="str">
        <x:v>Requires two black mana and is weaker against high-toughness targets when Swamp count is low.</x:v>
      </x:c>
      <x:c r="P22" s="24" t="str">
        <x:v>Removal; lifegain trigger</x:v>
      </x:c>
      <x:c r="Q22" s="24" t="str">
        <x:v>Retain in proposed V2; no cut proposed.</x:v>
      </x:c>
      <x:c r="R22" s="24" t="str">
        <x:v>https://scryfall.com/search?q=%21%22Consuming%20Corruption%22</x:v>
      </x:c>
      <x:c r="S22" s="59" t="str">
        <x:v>No</x:v>
      </x:c>
    </x:row>
    <x:row r="23">
      <x:c r="A23" s="24" t="str">
        <x:v>Creeping Bloodsucker</x:v>
      </x:c>
      <x:c r="B23" s="24" t="n">
        <x:v>1</x:v>
      </x:c>
      <x:c r="C23" s="24" t="n">
        <x:v>1</x:v>
      </x:c>
      <x:c r="D23" s="24" t="str">
        <x:v>Spell</x:v>
      </x:c>
      <x:c r="E23" s="24" t="str">
        <x:v>Spell</x:v>
      </x:c>
      <x:c r="F23" s="24" t="str">
        <x:v>Creature — Vampire</x:v>
      </x:c>
      <x:c r="G23" s="36" t="n">
        <x:v>2</x:v>
      </x:c>
      <x:c r="H23" s="24" t="str">
        <x:v>Yes</x:v>
      </x:c>
      <x:c r="I23" s="24" t="str">
        <x:v>Vampires (c/ sinergia)</x:v>
      </x:c>
      <x:c r="J23" s="24" t="str">
        <x:v>Vampires (c/ sinergia)</x:v>
      </x:c>
      <x:c r="K23" s="36" t="n">
        <x:v>8.8</x:v>
      </x:c>
      <x:c r="L23" s="24" t="str">
        <x:v>A</x:v>
      </x:c>
      <x:c r="M23" s="24" t="str">
        <x:v>CURRENT / RETAIN — V2</x:v>
      </x:c>
      <x:c r="N23" s="24" t="str">
        <x:v>Upkeep drain hits every opponent while gaining you life; exactly matches lifedrain identity and triggers Vito.</x:v>
      </x:c>
      <x:c r="O23" s="24" t="str">
        <x:v>One point each upkeep is incremental; likely to draw removal if left unanswered.</x:v>
      </x:c>
      <x:c r="P23" s="24" t="str">
        <x:v>Repeatable group drain</x:v>
      </x:c>
      <x:c r="Q23" s="24" t="str">
        <x:v>Retain in proposed V2; no cut proposed.</x:v>
      </x:c>
      <x:c r="R23" s="24" t="str">
        <x:v>https://scryfall.com/search?q=%21%22Creeping%20Bloodsucker%22</x:v>
      </x:c>
      <x:c r="S23" s="59" t="str">
        <x:v>Yes</x:v>
      </x:c>
    </x:row>
    <x:row r="24">
      <x:c r="A24" s="24" t="str">
        <x:v>Crypt Ghast</x:v>
      </x:c>
      <x:c r="B24" s="24" t="n">
        <x:v>1</x:v>
      </x:c>
      <x:c r="C24" s="24" t="n">
        <x:v>1</x:v>
      </x:c>
      <x:c r="D24" s="24" t="str">
        <x:v>Spell</x:v>
      </x:c>
      <x:c r="E24" s="24" t="str">
        <x:v>Spell</x:v>
      </x:c>
      <x:c r="F24" s="24" t="str">
        <x:v>Creature — Spirit</x:v>
      </x:c>
      <x:c r="G24" s="36" t="n">
        <x:v>4</x:v>
      </x:c>
      <x:c r="H24" s="24" t="str">
        <x:v>No</x:v>
      </x:c>
      <x:c r="I24" s="24" t="str">
        <x:v>Ramp</x:v>
      </x:c>
      <x:c r="J24" s="24" t="str">
        <x:v>Ramp</x:v>
      </x:c>
      <x:c r="K24" s="36" t="n">
        <x:v>9.3</x:v>
      </x:c>
      <x:c r="L24" s="24" t="str">
        <x:v>A</x:v>
      </x:c>
      <x:c r="M24" s="24" t="str">
        <x:v>CURRENT / RETAIN — V2</x:v>
      </x:c>
      <x:c r="N24" s="24" t="str">
        <x:v>Doubles black mana from Swamps and Extort adds repeatable life-drain; one of the strongest engines in the list.</x:v>
      </x:c>
      <x:c r="O24" s="24" t="str">
        <x:v>Four mana and vulnerable; Extort asks for extra mana to capitalize.</x:v>
      </x:c>
      <x:c r="P24" s="24" t="str">
        <x:v>Ramp; lifedrain</x:v>
      </x:c>
      <x:c r="Q24" s="24" t="str">
        <x:v>Retain in proposed V2; no cut proposed.</x:v>
      </x:c>
      <x:c r="R24" s="24" t="str">
        <x:v>https://scryfall.com/search?q=%21%22Crypt%20Ghast%22</x:v>
      </x:c>
      <x:c r="S24" s="59" t="str">
        <x:v>Yes</x:v>
      </x:c>
    </x:row>
    <x:row r="25">
      <x:c r="A25" s="24" t="str">
        <x:v>Damnation</x:v>
      </x:c>
      <x:c r="B25" s="24" t="n">
        <x:v>1</x:v>
      </x:c>
      <x:c r="C25" s="24" t="n">
        <x:v>1</x:v>
      </x:c>
      <x:c r="D25" s="24" t="str">
        <x:v>Spell</x:v>
      </x:c>
      <x:c r="E25" s="24" t="str">
        <x:v>Spell</x:v>
      </x:c>
      <x:c r="F25" s="24" t="str">
        <x:v>Sorcery</x:v>
      </x:c>
      <x:c r="G25" s="36" t="n">
        <x:v>4</x:v>
      </x:c>
      <x:c r="H25" s="24" t="str">
        <x:v>No</x:v>
      </x:c>
      <x:c r="I25" s="24" t="str">
        <x:v>Removal</x:v>
      </x:c>
      <x:c r="J25" s="24" t="str">
        <x:v>Removal</x:v>
      </x:c>
      <x:c r="K25" s="36" t="n">
        <x:v>7.8</x:v>
      </x:c>
      <x:c r="L25" s="24" t="str">
        <x:v>B</x:v>
      </x:c>
      <x:c r="M25" s="24" t="str">
        <x:v>CURRENT / RETAIN — V2</x:v>
      </x:c>
      <x:c r="N25" s="24" t="str">
        <x:v>Reliable unconditional creature wipe to reset a lost board.</x:v>
      </x:c>
      <x:c r="O25" s="24" t="str">
        <x:v>The list already has Toxic Deluge, Blasphemous Edict and Meathook Massacre; it is a reasonable redundancy cut when adding a land.</x:v>
      </x:c>
      <x:c r="P25" s="24" t="str">
        <x:v>Board wipe; V2 OUT</x:v>
      </x:c>
      <x:c r="Q25" s="24" t="str">
        <x:v>Keep: true four-mana unconditional creature wipe. Its unique role is worth preserving; 35 mana slots is a heuristic, not a reason to remove it.</x:v>
      </x:c>
      <x:c r="R25" s="24" t="str">
        <x:v>https://scryfall.com/search?q=%21%22Damnation%22</x:v>
      </x:c>
      <x:c r="S25" s="59" t="str">
        <x:v>No</x:v>
      </x:c>
    </x:row>
    <x:row r="26">
      <x:c r="A26" s="24" t="str">
        <x:v>Dark Ritual</x:v>
      </x:c>
      <x:c r="B26" s="24" t="n">
        <x:v>1</x:v>
      </x:c>
      <x:c r="C26" s="24" t="n">
        <x:v>1</x:v>
      </x:c>
      <x:c r="D26" s="24" t="str">
        <x:v>Spell</x:v>
      </x:c>
      <x:c r="E26" s="24" t="str">
        <x:v>Spell</x:v>
      </x:c>
      <x:c r="F26" s="24" t="str">
        <x:v>Instant</x:v>
      </x:c>
      <x:c r="G26" s="36" t="n">
        <x:v>1</x:v>
      </x:c>
      <x:c r="H26" s="24" t="str">
        <x:v>No</x:v>
      </x:c>
      <x:c r="I26" s="24" t="str">
        <x:v>Ramp</x:v>
      </x:c>
      <x:c r="J26" s="24" t="str">
        <x:v>Ramp</x:v>
      </x:c>
      <x:c r="K26" s="36" t="n">
        <x:v>8.5</x:v>
      </x:c>
      <x:c r="L26" s="24" t="str">
        <x:v>A</x:v>
      </x:c>
      <x:c r="M26" s="24" t="str">
        <x:v>CURRENT / RETAIN — V2</x:v>
      </x:c>
      <x:c r="N26" s="24" t="str">
        <x:v>Lets Vito or an engine land a turn early and enables explosive sequences.</x:v>
      </x:c>
      <x:c r="O26" s="24" t="str">
        <x:v>One-shot acceleration; weak topdeck after the early game.</x:v>
      </x:c>
      <x:c r="P26" s="24" t="str">
        <x:v>Burst ramp</x:v>
      </x:c>
      <x:c r="Q26" s="24" t="str">
        <x:v>Retain in proposed V2; no cut proposed.</x:v>
      </x:c>
      <x:c r="R26" s="24" t="str">
        <x:v>https://scryfall.com/search?q=%21%22Dark%20Ritual%22</x:v>
      </x:c>
      <x:c r="S26" s="59" t="str">
        <x:v>No</x:v>
      </x:c>
    </x:row>
    <x:row r="27">
      <x:c r="A27" s="24" t="str">
        <x:v>Deadly Rollick</x:v>
      </x:c>
      <x:c r="B27" s="24" t="n">
        <x:v>1</x:v>
      </x:c>
      <x:c r="C27" s="24" t="n">
        <x:v>1</x:v>
      </x:c>
      <x:c r="D27" s="24" t="str">
        <x:v>Spell</x:v>
      </x:c>
      <x:c r="E27" s="24" t="str">
        <x:v>Spell</x:v>
      </x:c>
      <x:c r="F27" s="24" t="str">
        <x:v>Instant</x:v>
      </x:c>
      <x:c r="G27" s="36" t="n">
        <x:v>4</x:v>
      </x:c>
      <x:c r="H27" s="24" t="str">
        <x:v>No</x:v>
      </x:c>
      <x:c r="I27" s="24" t="str">
        <x:v>Removal</x:v>
      </x:c>
      <x:c r="J27" s="24" t="str">
        <x:v>Removal</x:v>
      </x:c>
      <x:c r="K27" s="36" t="n">
        <x:v>9</x:v>
      </x:c>
      <x:c r="L27" s="24" t="str">
        <x:v>A</x:v>
      </x:c>
      <x:c r="M27" s="24" t="str">
        <x:v>CURRENT / RETAIN — V2</x:v>
      </x:c>
      <x:c r="N27" s="24" t="str">
        <x:v>Free removal while you control your commander can preserve tempo and stop a critical threat.</x:v>
      </x:c>
      <x:c r="O27" s="24" t="str">
        <x:v>Conditional free mode depends on Vito surviving; otherwise four mana is expensive.</x:v>
      </x:c>
      <x:c r="P27" s="24" t="str">
        <x:v>Free interaction</x:v>
      </x:c>
      <x:c r="Q27" s="24" t="str">
        <x:v>Retain in proposed V2; no cut proposed.</x:v>
      </x:c>
      <x:c r="R27" s="24" t="str">
        <x:v>https://scryfall.com/search?q=%21%22Deadly%20Rollick%22</x:v>
      </x:c>
      <x:c r="S27" s="59" t="str">
        <x:v>No</x:v>
      </x:c>
    </x:row>
    <x:row r="28">
      <x:c r="A28" s="24" t="str">
        <x:v>Defiant Bloodlord</x:v>
      </x:c>
      <x:c r="B28" s="24" t="n">
        <x:v>1</x:v>
      </x:c>
      <x:c r="C28" s="24" t="n">
        <x:v>0</x:v>
      </x:c>
      <x:c r="D28" s="24" t="str">
        <x:v>Spell</x:v>
      </x:c>
      <x:c r="E28" s="24" t="str">
        <x:v>OUT</x:v>
      </x:c>
      <x:c r="F28" s="24" t="str">
        <x:v>Creature — Vampire</x:v>
      </x:c>
      <x:c r="G28" s="36" t="n">
        <x:v>7</x:v>
      </x:c>
      <x:c r="H28" s="24" t="str">
        <x:v>Yes</x:v>
      </x:c>
      <x:c r="I28" s="24" t="str">
        <x:v>Vampires (c/ sinergia)</x:v>
      </x:c>
      <x:c r="J28" s="24" t="str">
        <x:v>OUT</x:v>
      </x:c>
      <x:c r="K28" s="36" t="n">
        <x:v>7.4</x:v>
      </x:c>
      <x:c r="L28" s="24" t="str">
        <x:v>C</x:v>
      </x:c>
      <x:c r="M28" s="24" t="str">
        <x:v>V2 OUT — role/curve upgrade</x:v>
      </x:c>
      <x:c r="N28" s="24" t="str">
        <x:v>A large Vampire that converts each life-gain event into targeted life loss; redundancy after Vito is removed.</x:v>
      </x:c>
      <x:c r="O28" s="24" t="str">
        <x:v>Seven mana is very slow for an aggressive plan and overlaps with Vito, Enduring Tenacity and other drain payoffs.</x:v>
      </x:c>
      <x:c r="P28" s="24" t="str">
        <x:v>High-cost redundancy; V2 OUT</x:v>
      </x:c>
      <x:c r="Q28" s="24" t="str">
        <x:v>Seven mana for a Vito-like triggered effect is a real ceiling, but too slow to be a reliable early/midgame pressure piece. Retain it if redundant high-end Vampires are an explicit preference.</x:v>
      </x:c>
      <x:c r="R28" s="24" t="str">
        <x:v>https://scryfall.com/search?q=%21%22Defiant%20Bloodlord%22</x:v>
      </x:c>
      <x:c r="S28" s="59" t="str">
        <x:v>Yes</x:v>
      </x:c>
    </x:row>
    <x:row r="29">
      <x:c r="A29" s="24" t="str">
        <x:v>Demonic Tutor</x:v>
      </x:c>
      <x:c r="B29" s="24" t="n">
        <x:v>1</x:v>
      </x:c>
      <x:c r="C29" s="24" t="n">
        <x:v>1</x:v>
      </x:c>
      <x:c r="D29" s="24" t="str">
        <x:v>Spell</x:v>
      </x:c>
      <x:c r="E29" s="24" t="str">
        <x:v>Spell</x:v>
      </x:c>
      <x:c r="F29" s="24" t="str">
        <x:v>Sorcery</x:v>
      </x:c>
      <x:c r="G29" s="36" t="n">
        <x:v>2</x:v>
      </x:c>
      <x:c r="H29" s="24" t="str">
        <x:v>No</x:v>
      </x:c>
      <x:c r="I29" s="24" t="str">
        <x:v>Draw + Tutor</x:v>
      </x:c>
      <x:c r="J29" s="24" t="str">
        <x:v>Draw + Tutor</x:v>
      </x:c>
      <x:c r="K29" s="36" t="n">
        <x:v>9.3</x:v>
      </x:c>
      <x:c r="L29" s="24" t="str">
        <x:v>A</x:v>
      </x:c>
      <x:c r="M29" s="24" t="str">
        <x:v>CURRENT / RETAIN — V2</x:v>
      </x:c>
      <x:c r="N29" s="24" t="str">
        <x:v>Efficient unconditional access to the single card most needed in the moment.</x:v>
      </x:c>
      <x:c r="O29" s="24" t="str">
        <x:v>Tutor can make the known combo more predictable; consider using it for draw, removal or resilience rather than defaulting to combo.</x:v>
      </x:c>
      <x:c r="P29" s="24" t="str">
        <x:v>Tutor</x:v>
      </x:c>
      <x:c r="Q29" s="24" t="str">
        <x:v>Retain in proposed V2; no cut proposed.</x:v>
      </x:c>
      <x:c r="R29" s="24" t="str">
        <x:v>https://scryfall.com/search?q=%21%22Demonic%20Tutor%22</x:v>
      </x:c>
      <x:c r="S29" s="59" t="str">
        <x:v>No</x:v>
      </x:c>
    </x:row>
    <x:row r="30">
      <x:c r="A30" s="24" t="str">
        <x:v>Enduring Tenacity</x:v>
      </x:c>
      <x:c r="B30" s="24" t="n">
        <x:v>1</x:v>
      </x:c>
      <x:c r="C30" s="24" t="n">
        <x:v>1</x:v>
      </x:c>
      <x:c r="D30" s="24" t="str">
        <x:v>Spell</x:v>
      </x:c>
      <x:c r="E30" s="24" t="str">
        <x:v>Spell</x:v>
      </x:c>
      <x:c r="F30" s="24" t="str">
        <x:v>Enchantment Creature — Spirit</x:v>
      </x:c>
      <x:c r="G30" s="36" t="n">
        <x:v>4</x:v>
      </x:c>
      <x:c r="H30" s="24" t="str">
        <x:v>No</x:v>
      </x:c>
      <x:c r="I30" s="24" t="str">
        <x:v>Life gain/drain</x:v>
      </x:c>
      <x:c r="J30" s="24" t="str">
        <x:v>Life gain/drain</x:v>
      </x:c>
      <x:c r="K30" s="36" t="n">
        <x:v>8.6</x:v>
      </x:c>
      <x:c r="L30" s="24" t="str">
        <x:v>A</x:v>
      </x:c>
      <x:c r="M30" s="24" t="str">
        <x:v>CURRENT / RETAIN — V2</x:v>
      </x:c>
      <x:c r="N30" s="24" t="str">
        <x:v>Gives redundancy to Vito's gain-life-to-drain text; if the creature dies, its enduring ability can return it as an enchantment.</x:v>
      </x:c>
      <x:c r="O30" s="24" t="str">
        <x:v>Four mana, and its trigger targets one opponent; can be less explosive than a multi-opponent drain effect.</x:v>
      </x:c>
      <x:c r="P30" s="24" t="str">
        <x:v>Drain payoff; resilient permanent; combo with Exquisite Blood</x:v>
      </x:c>
      <x:c r="Q30" s="24" t="str">
        <x:v>Retain in proposed V2; no cut proposed.</x:v>
      </x:c>
      <x:c r="R30" s="24" t="str">
        <x:v>https://scryfall.com/search?q=%21%22Enduring%20Tenacity%22</x:v>
      </x:c>
      <x:c r="S30" s="59" t="str">
        <x:v>Yes</x:v>
      </x:c>
    </x:row>
    <x:row r="31">
      <x:c r="A31" s="24" t="str">
        <x:v>Exquisite Blood</x:v>
      </x:c>
      <x:c r="B31" s="24" t="n">
        <x:v>1</x:v>
      </x:c>
      <x:c r="C31" s="24" t="n">
        <x:v>1</x:v>
      </x:c>
      <x:c r="D31" s="24" t="str">
        <x:v>Spell</x:v>
      </x:c>
      <x:c r="E31" s="24" t="str">
        <x:v>Spell</x:v>
      </x:c>
      <x:c r="F31" s="24" t="str">
        <x:v>Enchantment</x:v>
      </x:c>
      <x:c r="G31" s="36" t="n">
        <x:v>5</x:v>
      </x:c>
      <x:c r="H31" s="24" t="str">
        <x:v>No</x:v>
      </x:c>
      <x:c r="I31" s="24" t="str">
        <x:v>Combos</x:v>
      </x:c>
      <x:c r="J31" s="24" t="str">
        <x:v>Combos</x:v>
      </x:c>
      <x:c r="K31" s="36" t="n">
        <x:v>9.6</x:v>
      </x:c>
      <x:c r="L31" s="24" t="str">
        <x:v>S</x:v>
      </x:c>
      <x:c r="M31" s="24" t="str">
        <x:v>CURRENT / RETAIN — V2</x:v>
      </x:c>
      <x:c r="N31" s="24" t="str">
        <x:v>Core combo piece and a standalone life-gain engine when opponents lose life.</x:v>
      </x:c>
      <x:c r="O31" s="24" t="str">
        <x:v>Five mana without immediate board impact; very high threat level and often attracts removal on sight.</x:v>
      </x:c>
      <x:c r="P31" s="24" t="str">
        <x:v>Combo; lifegain</x:v>
      </x:c>
      <x:c r="Q31" s="24" t="str">
        <x:v>Retain in proposed V2; no cut proposed.</x:v>
      </x:c>
      <x:c r="R31" s="24" t="str">
        <x:v>https://scryfall.com/search?q=%21%22Exquisite%20Blood%22</x:v>
      </x:c>
      <x:c r="S31" s="59" t="str">
        <x:v>No</x:v>
      </x:c>
    </x:row>
    <x:row r="32">
      <x:c r="A32" s="24" t="str">
        <x:v>Exsanguinate</x:v>
      </x:c>
      <x:c r="B32" s="24" t="n">
        <x:v>1</x:v>
      </x:c>
      <x:c r="C32" s="24" t="n">
        <x:v>1</x:v>
      </x:c>
      <x:c r="D32" s="24" t="str">
        <x:v>Spell</x:v>
      </x:c>
      <x:c r="E32" s="24" t="str">
        <x:v>Spell</x:v>
      </x:c>
      <x:c r="F32" s="24" t="str">
        <x:v>Sorcery</x:v>
      </x:c>
      <x:c r="G32" s="36" t="n">
        <x:v>2</x:v>
      </x:c>
      <x:c r="H32" s="24" t="str">
        <x:v>No</x:v>
      </x:c>
      <x:c r="I32" s="24" t="str">
        <x:v>PETCARD</x:v>
      </x:c>
      <x:c r="J32" s="24" t="str">
        <x:v>PETCARD</x:v>
      </x:c>
      <x:c r="K32" s="36" t="n">
        <x:v>9</x:v>
      </x:c>
      <x:c r="L32" s="24" t="str">
        <x:v>A</x:v>
      </x:c>
      <x:c r="M32" s="24" t="str">
        <x:v>PET LOCK</x:v>
      </x:c>
      <x:c r="N32" s="24" t="str">
        <x:v>Mass drain scales with mana and gives life equal to all life lost; Vito can focus an additional trigger onto one opponent.</x:v>
      </x:c>
      <x:c r="O32" s="24" t="str">
        <x:v>Needs substantial mana to close the table; as PETCARD it remains protected from cuts.</x:v>
      </x:c>
      <x:c r="P32" s="24" t="str">
        <x:v>Finisher; life gain; PET LOCK</x:v>
      </x:c>
      <x:c r="Q32" s="24" t="str">
        <x:v>Keep; explicitly protected from cuts</x:v>
      </x:c>
      <x:c r="R32" s="24" t="str">
        <x:v>https://scryfall.com/search?q=%21%22Exsanguinate%22</x:v>
      </x:c>
      <x:c r="S32" s="59" t="str">
        <x:v>No</x:v>
      </x:c>
    </x:row>
    <x:row r="33">
      <x:c r="A33" s="24" t="str">
        <x:v>Extraplanar Lens</x:v>
      </x:c>
      <x:c r="B33" s="24" t="n">
        <x:v>1</x:v>
      </x:c>
      <x:c r="C33" s="24" t="n">
        <x:v>1</x:v>
      </x:c>
      <x:c r="D33" s="24" t="str">
        <x:v>Spell</x:v>
      </x:c>
      <x:c r="E33" s="24" t="str">
        <x:v>Spell</x:v>
      </x:c>
      <x:c r="F33" s="24" t="str">
        <x:v>Artifact</x:v>
      </x:c>
      <x:c r="G33" s="36" t="n">
        <x:v>3</x:v>
      </x:c>
      <x:c r="H33" s="24" t="str">
        <x:v>No</x:v>
      </x:c>
      <x:c r="I33" s="24" t="str">
        <x:v>Ramp</x:v>
      </x:c>
      <x:c r="J33" s="24" t="str">
        <x:v>Ramp</x:v>
      </x:c>
      <x:c r="K33" s="36" t="n">
        <x:v>8.1</x:v>
      </x:c>
      <x:c r="L33" s="24" t="str">
        <x:v>B</x:v>
      </x:c>
      <x:c r="M33" s="24" t="str">
        <x:v>CURRENT / RETAIN — V2</x:v>
      </x:c>
      <x:c r="N33" s="24" t="str">
        <x:v>Can dramatically increase mana production when imprinted with a Snow-Covered Swamp, supporting huge X-spells.</x:v>
      </x:c>
      <x:c r="O33" s="24" t="str">
        <x:v>Can help opponents with matching snow lands; imprinting is a real card cost and exposes the artifact to removal.</x:v>
      </x:c>
      <x:c r="P33" s="24" t="str">
        <x:v>Mana multiplier</x:v>
      </x:c>
      <x:c r="Q33" s="24" t="str">
        <x:v>Retain in proposed V2; no cut proposed.</x:v>
      </x:c>
      <x:c r="R33" s="24" t="str">
        <x:v>https://scryfall.com/search?q=%21%22Extraplanar%20Lens%22</x:v>
      </x:c>
      <x:c r="S33" s="59" t="str">
        <x:v>No</x:v>
      </x:c>
    </x:row>
    <x:row r="34">
      <x:c r="A34" s="24" t="str">
        <x:v>Feed the Swarm</x:v>
      </x:c>
      <x:c r="B34" s="24" t="n">
        <x:v>1</x:v>
      </x:c>
      <x:c r="C34" s="24" t="n">
        <x:v>1</x:v>
      </x:c>
      <x:c r="D34" s="24" t="str">
        <x:v>Spell</x:v>
      </x:c>
      <x:c r="E34" s="24" t="str">
        <x:v>Spell</x:v>
      </x:c>
      <x:c r="F34" s="24" t="str">
        <x:v>Sorcery</x:v>
      </x:c>
      <x:c r="G34" s="36" t="n">
        <x:v>2</x:v>
      </x:c>
      <x:c r="H34" s="24" t="str">
        <x:v>No</x:v>
      </x:c>
      <x:c r="I34" s="24" t="str">
        <x:v>Removal</x:v>
      </x:c>
      <x:c r="J34" s="24" t="str">
        <x:v>Removal</x:v>
      </x:c>
      <x:c r="K34" s="36" t="n">
        <x:v>8.3</x:v>
      </x:c>
      <x:c r="L34" s="24" t="str">
        <x:v>B</x:v>
      </x:c>
      <x:c r="M34" s="24" t="str">
        <x:v>CURRENT / RETAIN — V2</x:v>
      </x:c>
      <x:c r="N34" s="24" t="str">
        <x:v>Mono-black's important answer to enchantments, including problematic combo pieces.</x:v>
      </x:c>
      <x:c r="O34" s="24" t="str">
        <x:v>Sorcery speed and makes you lose life based on mana value.</x:v>
      </x:c>
      <x:c r="P34" s="24" t="str">
        <x:v>Enchantment removal</x:v>
      </x:c>
      <x:c r="Q34" s="24" t="str">
        <x:v>Retain in proposed V2; no cut proposed.</x:v>
      </x:c>
      <x:c r="R34" s="24" t="str">
        <x:v>https://scryfall.com/search?q=%21%22Feed%20the%20Swarm%22</x:v>
      </x:c>
      <x:c r="S34" s="59" t="str">
        <x:v>No</x:v>
      </x:c>
    </x:row>
    <x:row r="35">
      <x:c r="A35" s="24" t="str">
        <x:v>Gifted Aetherborn</x:v>
      </x:c>
      <x:c r="B35" s="24" t="n">
        <x:v>1</x:v>
      </x:c>
      <x:c r="C35" s="24" t="n">
        <x:v>1</x:v>
      </x:c>
      <x:c r="D35" s="24" t="str">
        <x:v>Spell</x:v>
      </x:c>
      <x:c r="E35" s="24" t="str">
        <x:v>Spell</x:v>
      </x:c>
      <x:c r="F35" s="24" t="str">
        <x:v>Creature — Aetherborn Rogue</x:v>
      </x:c>
      <x:c r="G35" s="36" t="n">
        <x:v>2</x:v>
      </x:c>
      <x:c r="H35" s="24" t="str">
        <x:v>No</x:v>
      </x:c>
      <x:c r="I35" s="24" t="str">
        <x:v>Life gain/drain</x:v>
      </x:c>
      <x:c r="J35" s="24" t="str">
        <x:v>Life gain/drain</x:v>
      </x:c>
      <x:c r="K35" s="36" t="n">
        <x:v>8.5</x:v>
      </x:c>
      <x:c r="L35" s="24" t="str">
        <x:v>A</x:v>
      </x:c>
      <x:c r="M35" s="24" t="str">
        <x:v>CURRENT / RETAIN — V2</x:v>
      </x:c>
      <x:c r="N35" s="24" t="str">
        <x:v>Cheap deathtouch/lifelink stabilizes combat, gains life and triggers Vito when it connects.</x:v>
      </x:c>
      <x:c r="O35" s="24" t="str">
        <x:v>Not actually a Vampire, so it does not count toward Captivating Vampire / tribal effects.</x:v>
      </x:c>
      <x:c r="P35" s="24" t="str">
        <x:v>Lifelink; deathtouch; early combat; not a Vampire</x:v>
      </x:c>
      <x:c r="Q35" s="24" t="str">
        <x:v>Retain in proposed V2; no cut proposed.</x:v>
      </x:c>
      <x:c r="R35" s="24" t="str">
        <x:v>https://scryfall.com/search?q=%21%22Gifted%20Aetherborn%22</x:v>
      </x:c>
      <x:c r="S35" s="59" t="str">
        <x:v>Yes</x:v>
      </x:c>
    </x:row>
    <x:row r="36">
      <x:c r="A36" s="24" t="str">
        <x:v>Gray Merchant of Asphodel</x:v>
      </x:c>
      <x:c r="B36" s="24" t="n">
        <x:v>1</x:v>
      </x:c>
      <x:c r="C36" s="24" t="n">
        <x:v>1</x:v>
      </x:c>
      <x:c r="D36" s="24" t="str">
        <x:v>Spell</x:v>
      </x:c>
      <x:c r="E36" s="24" t="str">
        <x:v>Spell</x:v>
      </x:c>
      <x:c r="F36" s="24" t="str">
        <x:v>Creature — Zombie</x:v>
      </x:c>
      <x:c r="G36" s="36" t="n">
        <x:v>5</x:v>
      </x:c>
      <x:c r="H36" s="24" t="str">
        <x:v>No</x:v>
      </x:c>
      <x:c r="I36" s="24" t="str">
        <x:v>Life gain/drain</x:v>
      </x:c>
      <x:c r="J36" s="24" t="str">
        <x:v>Life gain/drain</x:v>
      </x:c>
      <x:c r="K36" s="36" t="n">
        <x:v>8.9</x:v>
      </x:c>
      <x:c r="L36" s="24" t="str">
        <x:v>A</x:v>
      </x:c>
      <x:c r="M36" s="24" t="str">
        <x:v>CURRENT / RETAIN — V2</x:v>
      </x:c>
      <x:c r="N36" s="24" t="str">
        <x:v>Devotion payoff that drains each opponent and gains a large amount of life in a mono-black permanent-heavy list.</x:v>
      </x:c>
      <x:c r="O36" s="24" t="str">
        <x:v>Five mana and potency depends on black pips already on board; can be reduced if the table removes permanents.</x:v>
      </x:c>
      <x:c r="P36" s="24" t="str">
        <x:v>Mass drain; devotion</x:v>
      </x:c>
      <x:c r="Q36" s="24" t="str">
        <x:v>Retain in proposed V2; no cut proposed.</x:v>
      </x:c>
      <x:c r="R36" s="24" t="str">
        <x:v>https://scryfall.com/search?q=%21%22Gray%20Merchant%20of%20Asphodel%22</x:v>
      </x:c>
      <x:c r="S36" s="59" t="str">
        <x:v>Yes</x:v>
      </x:c>
    </x:row>
    <x:row r="37">
      <x:c r="A37" s="24" t="str">
        <x:v>Grim Tutor</x:v>
      </x:c>
      <x:c r="B37" s="24" t="n">
        <x:v>1</x:v>
      </x:c>
      <x:c r="C37" s="24" t="n">
        <x:v>0</x:v>
      </x:c>
      <x:c r="D37" s="24" t="str">
        <x:v>Spell</x:v>
      </x:c>
      <x:c r="E37" s="24" t="str">
        <x:v>OUT</x:v>
      </x:c>
      <x:c r="F37" s="24" t="str">
        <x:v>Sorcery</x:v>
      </x:c>
      <x:c r="G37" s="36" t="n">
        <x:v>3</x:v>
      </x:c>
      <x:c r="H37" s="24" t="str">
        <x:v>No</x:v>
      </x:c>
      <x:c r="I37" s="24" t="str">
        <x:v>Draw + Tutor</x:v>
      </x:c>
      <x:c r="J37" s="24" t="str">
        <x:v>OUT</x:v>
      </x:c>
      <x:c r="K37" s="36" t="n">
        <x:v>7.6</x:v>
      </x:c>
      <x:c r="L37" s="24" t="str">
        <x:v>B</x:v>
      </x:c>
      <x:c r="M37" s="24" t="str">
        <x:v>V2 OUT — role-compression trade</x:v>
      </x:c>
      <x:c r="N37" s="24" t="str">
        <x:v>Unconditional tutor provides flexibility and accesses combo or an answer.</x:v>
      </x:c>
      <x:c r="O37" s="24" t="str">
        <x:v>Three mana plus three life duplicates the deck's other tutors, raises combo alarm and doesn't improve Vampire density.</x:v>
      </x:c>
      <x:c r="P37" s="24" t="str">
        <x:v>Tutor; V2 OUT</x:v>
      </x:c>
      <x:c r="Q37" s="24" t="str">
        <x:v>Efficient tutor, but adds another visible tutor without a body. Emeritus costs more total mana for its first tutor cast, but gives a 5/4 Vampire body and can re-prepare if two creatures die; this is a strategic trade, not a strict rate upgrade.</x:v>
      </x:c>
      <x:c r="R37" s="24" t="str">
        <x:v>https://scryfall.com/search?q=%21%22Grim%20Tutor%22</x:v>
      </x:c>
      <x:c r="S37" s="59" t="str">
        <x:v>No</x:v>
      </x:c>
    </x:row>
    <x:row r="38">
      <x:c r="A38" s="24" t="str">
        <x:v>Hagra Mauling</x:v>
      </x:c>
      <x:c r="B38" s="24" t="n">
        <x:v>1</x:v>
      </x:c>
      <x:c r="C38" s="24" t="n">
        <x:v>1</x:v>
      </x:c>
      <x:c r="D38" s="24" t="str">
        <x:v>MDFC</x:v>
      </x:c>
      <x:c r="E38" s="24" t="str">
        <x:v>MDFC</x:v>
      </x:c>
      <x:c r="F38" s="24" t="str">
        <x:v>MDFC — Instant // Land</x:v>
      </x:c>
      <x:c r="G38" s="36" t="n">
        <x:v>4</x:v>
      </x:c>
      <x:c r="H38" s="24" t="str">
        <x:v>No</x:v>
      </x:c>
      <x:c r="I38" s="24" t="str">
        <x:v>Mana base / MDFC</x:v>
      </x:c>
      <x:c r="J38" s="24" t="str">
        <x:v>Mana base / MDFC</x:v>
      </x:c>
      <x:c r="K38" s="36" t="n">
        <x:v>8</x:v>
      </x:c>
      <x:c r="L38" s="24" t="str">
        <x:v>B</x:v>
      </x:c>
      <x:c r="M38" s="24" t="str">
        <x:v>MANA BASE</x:v>
      </x:c>
      <x:c r="N38" s="24" t="str">
        <x:v>Removal when needed or a black source when mana development matters.</x:v>
      </x:c>
      <x:c r="O38" s="24" t="str">
        <x:v>Four mana removal is expensive; land face enters tapped.</x:v>
      </x:c>
      <x:c r="P38" s="24" t="str">
        <x:v>Flexible removal; land option</x:v>
      </x:c>
      <x:c r="Q38" s="24" t="str">
        <x:v>Preserve in V2; mana slot is allocated once and MDFC role is listed secondarily.</x:v>
      </x:c>
      <x:c r="R38" s="24" t="str">
        <x:v>https://scryfall.com/search?q=%21%22Hagra%20Mauling%22</x:v>
      </x:c>
      <x:c r="S38" s="59" t="str">
        <x:v>No</x:v>
      </x:c>
    </x:row>
    <x:row r="39">
      <x:c r="A39" s="24" t="str">
        <x:v>Hatred</x:v>
      </x:c>
      <x:c r="B39" s="24" t="n">
        <x:v>1</x:v>
      </x:c>
      <x:c r="C39" s="24" t="n">
        <x:v>1</x:v>
      </x:c>
      <x:c r="D39" s="24" t="str">
        <x:v>Spell</x:v>
      </x:c>
      <x:c r="E39" s="24" t="str">
        <x:v>Spell</x:v>
      </x:c>
      <x:c r="F39" s="24" t="str">
        <x:v>Instant</x:v>
      </x:c>
      <x:c r="G39" s="36" t="n">
        <x:v>5</x:v>
      </x:c>
      <x:c r="H39" s="24" t="str">
        <x:v>No</x:v>
      </x:c>
      <x:c r="I39" s="24" t="str">
        <x:v>PETCARD</x:v>
      </x:c>
      <x:c r="J39" s="24" t="str">
        <x:v>PETCARD</x:v>
      </x:c>
      <x:c r="K39" s="36" t="n">
        <x:v>8.3</x:v>
      </x:c>
      <x:c r="L39" s="24" t="str">
        <x:v>B</x:v>
      </x:c>
      <x:c r="M39" s="24" t="str">
        <x:v>PET LOCK</x:v>
      </x:c>
      <x:c r="N39" s="24" t="str">
        <x:v>High-risk surprise kill with an evasive/lifelink attacker; supports the dramatic combat identity of the deck.</x:v>
      </x:c>
      <x:c r="O39" s="24" t="str">
        <x:v>Can cost most of your life total, and removal in response can punish you; never treat it as a routine line.</x:v>
      </x:c>
      <x:c r="P39" s="24" t="str">
        <x:v>Combat finisher; PET LOCK</x:v>
      </x:c>
      <x:c r="Q39" s="24" t="str">
        <x:v>Keep; explicitly protected from cuts</x:v>
      </x:c>
      <x:c r="R39" s="24" t="str">
        <x:v>https://scryfall.com/search?q=%21%22Hatred%22</x:v>
      </x:c>
      <x:c r="S39" s="59" t="str">
        <x:v>No</x:v>
      </x:c>
    </x:row>
    <x:row r="40">
      <x:c r="A40" s="24" t="str">
        <x:v>Henrika Domnathi</x:v>
      </x:c>
      <x:c r="B40" s="24" t="n">
        <x:v>1</x:v>
      </x:c>
      <x:c r="C40" s="24" t="n">
        <x:v>1</x:v>
      </x:c>
      <x:c r="D40" s="24" t="str">
        <x:v>Spell</x:v>
      </x:c>
      <x:c r="E40" s="24" t="str">
        <x:v>Spell</x:v>
      </x:c>
      <x:c r="F40" s="24" t="str">
        <x:v>Legendary Creature — Vampire</x:v>
      </x:c>
      <x:c r="G40" s="36" t="n">
        <x:v>3</x:v>
      </x:c>
      <x:c r="H40" s="24" t="str">
        <x:v>Yes</x:v>
      </x:c>
      <x:c r="I40" s="24" t="str">
        <x:v>Vampires (s/ sinergia)</x:v>
      </x:c>
      <x:c r="J40" s="24" t="str">
        <x:v>Vampires (s/ sinergia)</x:v>
      </x:c>
      <x:c r="K40" s="36" t="n">
        <x:v>7.8</x:v>
      </x:c>
      <x:c r="L40" s="24" t="str">
        <x:v>B</x:v>
      </x:c>
      <x:c r="M40" s="24" t="str">
        <x:v>CURRENT / RETAIN — V2</x:v>
      </x:c>
      <x:c r="N40" s="24" t="str">
        <x:v>Modal Vampire provides selection/sacrifice options and can transform into a flying lifelink threat.</x:v>
      </x:c>
      <x:c r="O40" s="24" t="str">
        <x:v>Three-mana setup and transformation can be slower than immediate drain; evaluate mode by board state.</x:v>
      </x:c>
      <x:c r="P40" s="24" t="str">
        <x:v>Vampire; card filtering; combat</x:v>
      </x:c>
      <x:c r="Q40" s="24" t="str">
        <x:v>Retain in proposed V2; no cut proposed.</x:v>
      </x:c>
      <x:c r="R40" s="24" t="str">
        <x:v>https://scryfall.com/search?q=%21%22Henrika%20Domnathi%22</x:v>
      </x:c>
      <x:c r="S40" s="59" t="str">
        <x:v>Yes</x:v>
      </x:c>
    </x:row>
    <x:row r="41">
      <x:c r="A41" s="24" t="str">
        <x:v>Herald's Horn</x:v>
      </x:c>
      <x:c r="B41" s="24" t="n">
        <x:v>1</x:v>
      </x:c>
      <x:c r="C41" s="24" t="n">
        <x:v>1</x:v>
      </x:c>
      <x:c r="D41" s="24" t="str">
        <x:v>Spell</x:v>
      </x:c>
      <x:c r="E41" s="24" t="str">
        <x:v>Spell</x:v>
      </x:c>
      <x:c r="F41" s="24" t="str">
        <x:v>Artifact</x:v>
      </x:c>
      <x:c r="G41" s="36" t="n">
        <x:v>3</x:v>
      </x:c>
      <x:c r="H41" s="24" t="str">
        <x:v>No</x:v>
      </x:c>
      <x:c r="I41" s="24" t="str">
        <x:v>Ramp</x:v>
      </x:c>
      <x:c r="J41" s="24" t="str">
        <x:v>Ramp</x:v>
      </x:c>
      <x:c r="K41" s="36" t="n">
        <x:v>8.1</x:v>
      </x:c>
      <x:c r="L41" s="24" t="str">
        <x:v>B</x:v>
      </x:c>
      <x:c r="M41" s="24" t="str">
        <x:v>CURRENT / RETAIN — V2</x:v>
      </x:c>
      <x:c r="N41" s="24" t="str">
        <x:v>Reduces Vampire spell costs and gives repeatable access to a creature card from the top of the library.</x:v>
      </x:c>
      <x:c r="O41" s="24" t="str">
        <x:v>Three mana and the upkeep selection is slow; value depends on a high creature/Vampire density.</x:v>
      </x:c>
      <x:c r="P41" s="24" t="str">
        <x:v>Tribal cost reduction; card advantage</x:v>
      </x:c>
      <x:c r="Q41" s="24" t="str">
        <x:v>Retain in proposed V2; no cut proposed.</x:v>
      </x:c>
      <x:c r="R41" s="24" t="str">
        <x:v>https://scryfall.com/search?q=%21%22Herald%27s%20Horn%22</x:v>
      </x:c>
      <x:c r="S41" s="59" t="str">
        <x:v>No</x:v>
      </x:c>
    </x:row>
    <x:row r="42">
      <x:c r="A42" s="24" t="str">
        <x:v>Imp's Mischief</x:v>
      </x:c>
      <x:c r="B42" s="24" t="n">
        <x:v>1</x:v>
      </x:c>
      <x:c r="C42" s="24" t="n">
        <x:v>1</x:v>
      </x:c>
      <x:c r="D42" s="24" t="str">
        <x:v>Spell</x:v>
      </x:c>
      <x:c r="E42" s="24" t="str">
        <x:v>Spell</x:v>
      </x:c>
      <x:c r="F42" s="24" t="str">
        <x:v>Instant</x:v>
      </x:c>
      <x:c r="G42" s="36" t="n">
        <x:v>2</x:v>
      </x:c>
      <x:c r="H42" s="24" t="str">
        <x:v>No</x:v>
      </x:c>
      <x:c r="I42" s="24" t="str">
        <x:v>Removal</x:v>
      </x:c>
      <x:c r="J42" s="24" t="str">
        <x:v>Removal</x:v>
      </x:c>
      <x:c r="K42" s="36" t="n">
        <x:v>8.1</x:v>
      </x:c>
      <x:c r="L42" s="24" t="str">
        <x:v>B</x:v>
      </x:c>
      <x:c r="M42" s="24" t="str">
        <x:v>CURRENT / RETAIN — V2</x:v>
      </x:c>
      <x:c r="N42" s="24" t="str">
        <x:v>Can redirect targeted interaction or a key targeted spell, protecting Vito or disrupting an opponent.</x:v>
      </x:c>
      <x:c r="O42" s="24" t="str">
        <x:v>Does not work on untargeted spells; life payment and legal alternative target matter.</x:v>
      </x:c>
      <x:c r="P42" s="24" t="str">
        <x:v>Protection; stack interaction</x:v>
      </x:c>
      <x:c r="Q42" s="24" t="str">
        <x:v>Retain in proposed V2; no cut proposed.</x:v>
      </x:c>
      <x:c r="R42" s="24" t="str">
        <x:v>https://scryfall.com/search?q=%21%22Imp%27s%20Mischief%22</x:v>
      </x:c>
      <x:c r="S42" s="59" t="str">
        <x:v>No</x:v>
      </x:c>
    </x:row>
    <x:row r="43">
      <x:c r="A43" s="24" t="str">
        <x:v>Indulgent Aristocrat</x:v>
      </x:c>
      <x:c r="B43" s="24" t="n">
        <x:v>1</x:v>
      </x:c>
      <x:c r="C43" s="24" t="n">
        <x:v>0</x:v>
      </x:c>
      <x:c r="D43" s="24" t="str">
        <x:v>Spell</x:v>
      </x:c>
      <x:c r="E43" s="24" t="str">
        <x:v>OUT</x:v>
      </x:c>
      <x:c r="F43" s="24" t="str">
        <x:v>Creature — Vampire</x:v>
      </x:c>
      <x:c r="G43" s="36" t="n">
        <x:v>1</x:v>
      </x:c>
      <x:c r="H43" s="24" t="str">
        <x:v>Yes</x:v>
      </x:c>
      <x:c r="I43" s="24" t="str">
        <x:v>Vampires (c/ sinergia)</x:v>
      </x:c>
      <x:c r="J43" s="24" t="str">
        <x:v>OUT</x:v>
      </x:c>
      <x:c r="K43" s="36" t="n">
        <x:v>7.5</x:v>
      </x:c>
      <x:c r="L43" s="24" t="str">
        <x:v>B</x:v>
      </x:c>
      <x:c r="M43" s="24" t="str">
        <x:v>V2 OUT — synergy-density trade</x:v>
      </x:c>
      <x:c r="N43" s="24" t="str">
        <x:v>One-mana Vampire and sacrifice outlet that can grow the entire Vampire team; turns generated tokens into permanent pressure.</x:v>
      </x:c>
      <x:c r="O43" s="24" t="str">
        <x:v>Needs spare creatures and mana; lacks direct drain without another payoff.</x:v>
      </x:c>
      <x:c r="P43" s="24" t="str">
        <x:v>Sacrifice outlet; tribal pump</x:v>
      </x:c>
      <x:c r="Q43" s="24" t="str">
        <x:v>It is not a bad card: one-mana lifelink Vampire and sacrifice outlet that can pump the tribe. The deck does not consistently flood the board or prioritize +1/+1 counters, so the slot is being tested as a flying lifelink Vampire with conditional draw.</x:v>
      </x:c>
      <x:c r="R43" s="24" t="str">
        <x:v>https://scryfall.com/search?q=%21%22Indulgent%20Aristocrat%22</x:v>
      </x:c>
      <x:c r="S43" s="59" t="str">
        <x:v>Yes</x:v>
      </x:c>
    </x:row>
    <x:row r="44">
      <x:c r="A44" s="24" t="str">
        <x:v>Insatiable Avarice</x:v>
      </x:c>
      <x:c r="B44" s="24" t="n">
        <x:v>1</x:v>
      </x:c>
      <x:c r="C44" s="24" t="n">
        <x:v>1</x:v>
      </x:c>
      <x:c r="D44" s="24" t="str">
        <x:v>Spell</x:v>
      </x:c>
      <x:c r="E44" s="24" t="str">
        <x:v>Spell</x:v>
      </x:c>
      <x:c r="F44" s="24" t="str">
        <x:v>Sorcery</x:v>
      </x:c>
      <x:c r="G44" s="36" t="n">
        <x:v>2</x:v>
      </x:c>
      <x:c r="H44" s="24" t="str">
        <x:v>No</x:v>
      </x:c>
      <x:c r="I44" s="24" t="str">
        <x:v>Draw + Tutor</x:v>
      </x:c>
      <x:c r="J44" s="24" t="str">
        <x:v>Draw + Tutor</x:v>
      </x:c>
      <x:c r="K44" s="36" t="n">
        <x:v>8.4</x:v>
      </x:c>
      <x:c r="L44" s="24" t="str">
        <x:v>B</x:v>
      </x:c>
      <x:c r="M44" s="24" t="str">
        <x:v>CURRENT / RETAIN — V2</x:v>
      </x:c>
      <x:c r="N44" s="24" t="str">
        <x:v>Flexible tutor-to-top plus draw-three mode; provides a powerful resource burst and can find a needed answer.</x:v>
      </x:c>
      <x:c r="O44" s="24" t="str">
        <x:v>Tutor mode reveals intent, and drawing three costs three life; choices should reflect whether tempo or certainty matters more.</x:v>
      </x:c>
      <x:c r="P44" s="24" t="str">
        <x:v>Tutor; draw; life payment</x:v>
      </x:c>
      <x:c r="Q44" s="24" t="str">
        <x:v>Retain in proposed V2; no cut proposed.</x:v>
      </x:c>
      <x:c r="R44" s="24" t="str">
        <x:v>https://scryfall.com/search?q=%21%22Insatiable%20Avarice%22</x:v>
      </x:c>
      <x:c r="S44" s="59" t="str">
        <x:v>No</x:v>
      </x:c>
    </x:row>
    <x:row r="45">
      <x:c r="A45" s="24" t="str">
        <x:v>Jet Medallion</x:v>
      </x:c>
      <x:c r="B45" s="24" t="n">
        <x:v>1</x:v>
      </x:c>
      <x:c r="C45" s="24" t="n">
        <x:v>1</x:v>
      </x:c>
      <x:c r="D45" s="24" t="str">
        <x:v>Spell</x:v>
      </x:c>
      <x:c r="E45" s="24" t="str">
        <x:v>Spell</x:v>
      </x:c>
      <x:c r="F45" s="24" t="str">
        <x:v>Artifact</x:v>
      </x:c>
      <x:c r="G45" s="36" t="n">
        <x:v>2</x:v>
      </x:c>
      <x:c r="H45" s="24" t="str">
        <x:v>No</x:v>
      </x:c>
      <x:c r="I45" s="24" t="str">
        <x:v>Ramp</x:v>
      </x:c>
      <x:c r="J45" s="24" t="str">
        <x:v>Ramp</x:v>
      </x:c>
      <x:c r="K45" s="36" t="n">
        <x:v>8.8</x:v>
      </x:c>
      <x:c r="L45" s="24" t="str">
        <x:v>A</x:v>
      </x:c>
      <x:c r="M45" s="24" t="str">
        <x:v>CURRENT / RETAIN — V2</x:v>
      </x:c>
      <x:c r="N45" s="24" t="str">
        <x:v>Discounts black spells of any type and helps cast several spells per turn.</x:v>
      </x:c>
      <x:c r="O45" s="24" t="str">
        <x:v>Does not produce mana; weak if the hand is mostly colorless or already has enough discounts.</x:v>
      </x:c>
      <x:c r="P45" s="24" t="str">
        <x:v>Cost reduction</x:v>
      </x:c>
      <x:c r="Q45" s="24" t="str">
        <x:v>Retain in proposed V2; no cut proposed.</x:v>
      </x:c>
      <x:c r="R45" s="24" t="str">
        <x:v>https://scryfall.com/search?q=%21%22Jet%20Medallion%22</x:v>
      </x:c>
      <x:c r="S45" s="59" t="str">
        <x:v>No</x:v>
      </x:c>
    </x:row>
    <x:row r="46">
      <x:c r="A46" s="24" t="str">
        <x:v>K'rrik, Son of Yawgmoth</x:v>
      </x:c>
      <x:c r="B46" s="24" t="n">
        <x:v>1</x:v>
      </x:c>
      <x:c r="C46" s="24" t="n">
        <x:v>1</x:v>
      </x:c>
      <x:c r="D46" s="24" t="str">
        <x:v>Spell</x:v>
      </x:c>
      <x:c r="E46" s="24" t="str">
        <x:v>Spell</x:v>
      </x:c>
      <x:c r="F46" s="24" t="str">
        <x:v>Legendary Creature — Phyrexian Horror Minion</x:v>
      </x:c>
      <x:c r="G46" s="36" t="n">
        <x:v>7</x:v>
      </x:c>
      <x:c r="H46" s="24" t="str">
        <x:v>No</x:v>
      </x:c>
      <x:c r="I46" s="24" t="str">
        <x:v>Ramp</x:v>
      </x:c>
      <x:c r="J46" s="24" t="str">
        <x:v>Ramp</x:v>
      </x:c>
      <x:c r="K46" s="36" t="n">
        <x:v>9</x:v>
      </x:c>
      <x:c r="L46" s="24" t="str">
        <x:v>A</x:v>
      </x:c>
      <x:c r="M46" s="24" t="str">
        <x:v>CURRENT / RETAIN — V2</x:v>
      </x:c>
      <x:c r="N46" s="24" t="str">
        <x:v>Converts black mana symbols in costs into life payments, letting a mono-black deck deploy spells ahead of curve.</x:v>
      </x:c>
      <x:c r="O46" s="24" t="str">
        <x:v>Very high threat and self-damage can become dangerous; track remaining life before committing.</x:v>
      </x:c>
      <x:c r="P46" s="24" t="str">
        <x:v>Mana conversion; combo enabler</x:v>
      </x:c>
      <x:c r="Q46" s="24" t="str">
        <x:v>Retain in proposed V2; no cut proposed.</x:v>
      </x:c>
      <x:c r="R46" s="24" t="str">
        <x:v>https://scryfall.com/search?q=%21%22K%27rrik%2C%20Son%20of%20Yawgmoth%22</x:v>
      </x:c>
      <x:c r="S46" s="59" t="str">
        <x:v>Yes</x:v>
      </x:c>
    </x:row>
    <x:row r="47">
      <x:c r="A47" s="24" t="str">
        <x:v>Kalitas, Traitor of Ghet</x:v>
      </x:c>
      <x:c r="B47" s="24" t="n">
        <x:v>1</x:v>
      </x:c>
      <x:c r="C47" s="24" t="n">
        <x:v>1</x:v>
      </x:c>
      <x:c r="D47" s="24" t="str">
        <x:v>Spell</x:v>
      </x:c>
      <x:c r="E47" s="24" t="str">
        <x:v>Spell</x:v>
      </x:c>
      <x:c r="F47" s="24" t="str">
        <x:v>Legendary Creature — Vampire Warrior</x:v>
      </x:c>
      <x:c r="G47" s="36" t="n">
        <x:v>4</x:v>
      </x:c>
      <x:c r="H47" s="24" t="str">
        <x:v>Yes</x:v>
      </x:c>
      <x:c r="I47" s="24" t="str">
        <x:v>Vampires (c/ sinergia)</x:v>
      </x:c>
      <x:c r="J47" s="24" t="str">
        <x:v>Vampires (c/ sinergia)</x:v>
      </x:c>
      <x:c r="K47" s="36" t="n">
        <x:v>8.6</x:v>
      </x:c>
      <x:c r="L47" s="24" t="str">
        <x:v>A</x:v>
      </x:c>
      <x:c r="M47" s="24" t="str">
        <x:v>CURRENT / RETAIN — V2</x:v>
      </x:c>
      <x:c r="N47" s="24" t="str">
        <x:v>Lifelink, anti-graveyard creature replacement and Zombie tokens create stabilization and board advantage.</x:v>
      </x:c>
      <x:c r="O47" s="24" t="str">
        <x:v>Four mana and value requires opposing nontoken creatures to die.</x:v>
      </x:c>
      <x:c r="P47" s="24" t="str">
        <x:v>Lifelink; graveyard hate; tokens</x:v>
      </x:c>
      <x:c r="Q47" s="24" t="str">
        <x:v>Retain in proposed V2; no cut proposed.</x:v>
      </x:c>
      <x:c r="R47" s="24" t="str">
        <x:v>https://scryfall.com/search?q=%21%22Kalitas%2C%20Traitor%20of%20Ghet%22</x:v>
      </x:c>
      <x:c r="S47" s="59" t="str">
        <x:v>Yes</x:v>
      </x:c>
    </x:row>
    <x:row r="48">
      <x:c r="A48" s="24" t="str">
        <x:v>Malakir Bloodwitch</x:v>
      </x:c>
      <x:c r="B48" s="24" t="n">
        <x:v>1</x:v>
      </x:c>
      <x:c r="C48" s="24" t="n">
        <x:v>1</x:v>
      </x:c>
      <x:c r="D48" s="24" t="str">
        <x:v>Spell</x:v>
      </x:c>
      <x:c r="E48" s="24" t="str">
        <x:v>Spell</x:v>
      </x:c>
      <x:c r="F48" s="24" t="str">
        <x:v>Creature — Vampire Shaman</x:v>
      </x:c>
      <x:c r="G48" s="36" t="n">
        <x:v>5</x:v>
      </x:c>
      <x:c r="H48" s="24" t="str">
        <x:v>Yes</x:v>
      </x:c>
      <x:c r="I48" s="24" t="str">
        <x:v>Vampires (c/ sinergia)</x:v>
      </x:c>
      <x:c r="J48" s="24" t="str">
        <x:v>Vampires (c/ sinergia)</x:v>
      </x:c>
      <x:c r="K48" s="36" t="n">
        <x:v>8.5</x:v>
      </x:c>
      <x:c r="L48" s="24" t="str">
        <x:v>A</x:v>
      </x:c>
      <x:c r="M48" s="24" t="str">
        <x:v>CURRENT / RETAIN — V2</x:v>
      </x:c>
      <x:c r="N48" s="24" t="str">
        <x:v>Flying Vampire whose entry drain scales with your Vampire count, gaining the same amount of life.</x:v>
      </x:c>
      <x:c r="O48" s="24" t="str">
        <x:v>Five mana and depends on the number of Vampires on board.</x:v>
      </x:c>
      <x:c r="P48" s="24" t="str">
        <x:v>ETB mass drain; tribal payoff</x:v>
      </x:c>
      <x:c r="Q48" s="24" t="str">
        <x:v>Retain in proposed V2; no cut proposed.</x:v>
      </x:c>
      <x:c r="R48" s="24" t="str">
        <x:v>https://scryfall.com/search?q=%21%22Malakir%20Bloodwitch%22</x:v>
      </x:c>
      <x:c r="S48" s="59" t="str">
        <x:v>Yes</x:v>
      </x:c>
    </x:row>
    <x:row r="49">
      <x:c r="A49" s="24" t="str">
        <x:v>Malakir Rebirth</x:v>
      </x:c>
      <x:c r="B49" s="24" t="n">
        <x:v>1</x:v>
      </x:c>
      <x:c r="C49" s="24" t="n">
        <x:v>1</x:v>
      </x:c>
      <x:c r="D49" s="24" t="str">
        <x:v>MDFC</x:v>
      </x:c>
      <x:c r="E49" s="24" t="str">
        <x:v>MDFC</x:v>
      </x:c>
      <x:c r="F49" s="24" t="str">
        <x:v>MDFC — Instant // Land</x:v>
      </x:c>
      <x:c r="G49" s="36" t="n">
        <x:v>1</x:v>
      </x:c>
      <x:c r="H49" s="24" t="str">
        <x:v>No</x:v>
      </x:c>
      <x:c r="I49" s="24" t="str">
        <x:v>Mana base / MDFC</x:v>
      </x:c>
      <x:c r="J49" s="24" t="str">
        <x:v>Mana base / MDFC</x:v>
      </x:c>
      <x:c r="K49" s="36" t="n">
        <x:v>8.5</x:v>
      </x:c>
      <x:c r="L49" s="24" t="str">
        <x:v>A</x:v>
      </x:c>
      <x:c r="M49" s="24" t="str">
        <x:v>MANA BASE</x:v>
      </x:c>
      <x:c r="N49" s="24" t="str">
        <x:v>Protects Vito or a key Vampire from destruction or serves as a land when needed.</x:v>
      </x:c>
      <x:c r="O49" s="24" t="str">
        <x:v>Land face enters tapped; protection only helps against destruction and costs life.</x:v>
      </x:c>
      <x:c r="P49" s="24" t="str">
        <x:v>Protection; recursion; land option</x:v>
      </x:c>
      <x:c r="Q49" s="24" t="str">
        <x:v>Preserve in V2; mana slot is allocated once and MDFC role is listed secondarily.</x:v>
      </x:c>
      <x:c r="R49" s="24" t="str">
        <x:v>https://scryfall.com/search?q=%21%22Malakir%20Rebirth%22</x:v>
      </x:c>
      <x:c r="S49" s="59" t="str">
        <x:v>No</x:v>
      </x:c>
    </x:row>
    <x:row r="50">
      <x:c r="A50" s="24" t="str">
        <x:v>Marauding Blight-Priest</x:v>
      </x:c>
      <x:c r="B50" s="24" t="n">
        <x:v>1</x:v>
      </x:c>
      <x:c r="C50" s="24" t="n">
        <x:v>1</x:v>
      </x:c>
      <x:c r="D50" s="24" t="str">
        <x:v>Spell</x:v>
      </x:c>
      <x:c r="E50" s="24" t="str">
        <x:v>Spell</x:v>
      </x:c>
      <x:c r="F50" s="24" t="str">
        <x:v>Creature — Vampire Cleric</x:v>
      </x:c>
      <x:c r="G50" s="36" t="n">
        <x:v>3</x:v>
      </x:c>
      <x:c r="H50" s="24" t="str">
        <x:v>Yes</x:v>
      </x:c>
      <x:c r="I50" s="24" t="str">
        <x:v>Vampires (c/ sinergia)</x:v>
      </x:c>
      <x:c r="J50" s="24" t="str">
        <x:v>Vampires (c/ sinergia)</x:v>
      </x:c>
      <x:c r="K50" s="36" t="n">
        <x:v>8.8</x:v>
      </x:c>
      <x:c r="L50" s="24" t="str">
        <x:v>A</x:v>
      </x:c>
      <x:c r="M50" s="24" t="str">
        <x:v>CURRENT / RETAIN — V2</x:v>
      </x:c>
      <x:c r="N50" s="24" t="str">
        <x:v>Whenever you gain life, each opponent loses 1; incremental gain effects can drain the whole table and it makes Exquisite Blood loops.</x:v>
      </x:c>
      <x:c r="O50" s="24" t="str">
        <x:v>Requires life gain to trigger; each trigger is small without repeatable life-gain sources.</x:v>
      </x:c>
      <x:c r="P50" s="24" t="str">
        <x:v>Group drain; combo with Exquisite Blood</x:v>
      </x:c>
      <x:c r="Q50" s="24" t="str">
        <x:v>Retain in proposed V2; no cut proposed.</x:v>
      </x:c>
      <x:c r="R50" s="24" t="str">
        <x:v>https://scryfall.com/search?q=%21%22Marauding%20Blight-Priest%22</x:v>
      </x:c>
      <x:c r="S50" s="59" t="str">
        <x:v>Yes</x:v>
      </x:c>
    </x:row>
    <x:row r="51">
      <x:c r="A51" s="24" t="str">
        <x:v>Markov Baron</x:v>
      </x:c>
      <x:c r="B51" s="24" t="n">
        <x:v>1</x:v>
      </x:c>
      <x:c r="C51" s="24" t="n">
        <x:v>1</x:v>
      </x:c>
      <x:c r="D51" s="24" t="str">
        <x:v>Spell</x:v>
      </x:c>
      <x:c r="E51" s="24" t="str">
        <x:v>Spell</x:v>
      </x:c>
      <x:c r="F51" s="24" t="str">
        <x:v>Creature — Vampire Noble</x:v>
      </x:c>
      <x:c r="G51" s="36" t="n">
        <x:v>3</x:v>
      </x:c>
      <x:c r="H51" s="24" t="str">
        <x:v>Yes</x:v>
      </x:c>
      <x:c r="I51" s="24" t="str">
        <x:v>Vampires (c/ sinergia)</x:v>
      </x:c>
      <x:c r="J51" s="24" t="str">
        <x:v>Vampires (c/ sinergia)</x:v>
      </x:c>
      <x:c r="K51" s="36" t="n">
        <x:v>8.4</x:v>
      </x:c>
      <x:c r="L51" s="24" t="str">
        <x:v>B</x:v>
      </x:c>
      <x:c r="M51" s="24" t="str">
        <x:v>CURRENT / RETAIN — V2</x:v>
      </x:c>
      <x:c r="N51" s="24" t="str">
        <x:v>Supports Vampire density and reduces Vampire spell costs; its stats improve with other Vampires.</x:v>
      </x:c>
      <x:c r="O51" s="24" t="str">
        <x:v>Benefits depend on maintaining the tribe; its strongest rate can require another Vampire.</x:v>
      </x:c>
      <x:c r="P51" s="24" t="str">
        <x:v>Tribal lord; cost reduction</x:v>
      </x:c>
      <x:c r="Q51" s="24" t="str">
        <x:v>Retain in proposed V2; no cut proposed.</x:v>
      </x:c>
      <x:c r="R51" s="24" t="str">
        <x:v>https://scryfall.com/search?q=%21%22Markov%20Baron%22</x:v>
      </x:c>
      <x:c r="S51" s="59" t="str">
        <x:v>Yes</x:v>
      </x:c>
    </x:row>
    <x:row r="52">
      <x:c r="A52" s="24" t="str">
        <x:v>Mikokoro, Center of the Sea</x:v>
      </x:c>
      <x:c r="B52" s="24" t="n">
        <x:v>1</x:v>
      </x:c>
      <x:c r="C52" s="24" t="n">
        <x:v>1</x:v>
      </x:c>
      <x:c r="D52" s="24" t="str">
        <x:v>Land</x:v>
      </x:c>
      <x:c r="E52" s="24" t="str">
        <x:v>Land</x:v>
      </x:c>
      <x:c r="F52" s="24" t="str">
        <x:v>Land</x:v>
      </x:c>
      <x:c r="G52" s="36" t="n">
        <x:v>0</x:v>
      </x:c>
      <x:c r="H52" s="24" t="str">
        <x:v>No</x:v>
      </x:c>
      <x:c r="I52" s="24" t="str">
        <x:v>Mana base</x:v>
      </x:c>
      <x:c r="J52" s="24" t="str">
        <x:v>Mana base</x:v>
      </x:c>
      <x:c r="K52" s="36" t="n">
        <x:v>7.2</x:v>
      </x:c>
      <x:c r="L52" s="24" t="str">
        <x:v>C</x:v>
      </x:c>
      <x:c r="M52" s="24" t="str">
        <x:v>MANA BASE</x:v>
      </x:c>
      <x:c r="N52" s="24" t="str">
        <x:v>Land-slot card draw can encourage deals or help refill a hand when you are empty.</x:v>
      </x:c>
      <x:c r="O52" s="24" t="str">
        <x:v>Gives every player a card; can help an opponent find removal or combo pieces.</x:v>
      </x:c>
      <x:c r="P52" s="24" t="str">
        <x:v>Political draw; group hug</x:v>
      </x:c>
      <x:c r="Q52" s="24" t="str">
        <x:v>Preserve in V2; mana slot is allocated once and MDFC role is listed secondarily.</x:v>
      </x:c>
      <x:c r="R52" s="24" t="str">
        <x:v>https://scryfall.com/search?q=%21%22Mikokoro%2C%20Center%20of%20the%20Sea%22</x:v>
      </x:c>
      <x:c r="S52" s="59" t="str">
        <x:v>No</x:v>
      </x:c>
    </x:row>
    <x:row r="53">
      <x:c r="A53" s="24" t="str">
        <x:v>Mindcrank</x:v>
      </x:c>
      <x:c r="B53" s="24" t="n">
        <x:v>1</x:v>
      </x:c>
      <x:c r="C53" s="24" t="n">
        <x:v>1</x:v>
      </x:c>
      <x:c r="D53" s="24" t="str">
        <x:v>Spell</x:v>
      </x:c>
      <x:c r="E53" s="24" t="str">
        <x:v>Spell</x:v>
      </x:c>
      <x:c r="F53" s="24" t="str">
        <x:v>Artifact</x:v>
      </x:c>
      <x:c r="G53" s="36" t="n">
        <x:v>2</x:v>
      </x:c>
      <x:c r="H53" s="24" t="str">
        <x:v>No</x:v>
      </x:c>
      <x:c r="I53" s="24" t="str">
        <x:v>Combos</x:v>
      </x:c>
      <x:c r="J53" s="24" t="str">
        <x:v>Combos</x:v>
      </x:c>
      <x:c r="K53" s="36" t="n">
        <x:v>8</x:v>
      </x:c>
      <x:c r="L53" s="24" t="str">
        <x:v>B</x:v>
      </x:c>
      <x:c r="M53" s="24" t="str">
        <x:v>CURRENT / RETAIN — V2</x:v>
      </x:c>
      <x:c r="N53" s="24" t="str">
        <x:v>Forms a compact known loop with Bloodchief Ascension after it reaches three quest counters.</x:v>
      </x:c>
      <x:c r="O53" s="24" t="str">
        <x:v>Low standalone value without the Ascension; exposes a visible combo package.</x:v>
      </x:c>
      <x:c r="P53" s="24" t="str">
        <x:v>Combo; mill</x:v>
      </x:c>
      <x:c r="Q53" s="24" t="str">
        <x:v>Retain in proposed V2; no cut proposed.</x:v>
      </x:c>
      <x:c r="R53" s="24" t="str">
        <x:v>https://scryfall.com/search?q=%21%22Mindcrank%22</x:v>
      </x:c>
      <x:c r="S53" s="59" t="str">
        <x:v>No</x:v>
      </x:c>
    </x:row>
    <x:row r="54">
      <x:c r="A54" s="24" t="str">
        <x:v>Necrodominance</x:v>
      </x:c>
      <x:c r="B54" s="24" t="n">
        <x:v>1</x:v>
      </x:c>
      <x:c r="C54" s="24" t="n">
        <x:v>1</x:v>
      </x:c>
      <x:c r="D54" s="24" t="str">
        <x:v>Spell</x:v>
      </x:c>
      <x:c r="E54" s="24" t="str">
        <x:v>Spell</x:v>
      </x:c>
      <x:c r="F54" s="24" t="str">
        <x:v>Legendary Enchantment</x:v>
      </x:c>
      <x:c r="G54" s="36" t="n">
        <x:v>3</x:v>
      </x:c>
      <x:c r="H54" s="24" t="str">
        <x:v>No</x:v>
      </x:c>
      <x:c r="I54" s="24" t="str">
        <x:v>Draw + Tutor</x:v>
      </x:c>
      <x:c r="J54" s="24" t="str">
        <x:v>Draw + Tutor</x:v>
      </x:c>
      <x:c r="K54" s="36" t="n">
        <x:v>8.5</x:v>
      </x:c>
      <x:c r="L54" s="24" t="str">
        <x:v>A</x:v>
      </x:c>
      <x:c r="M54" s="24" t="str">
        <x:v>CURRENT / RETAIN — V2</x:v>
      </x:c>
      <x:c r="N54" s="24" t="str">
        <x:v>Extremely efficient card access: skip draw step, then pay life at end step to draw that many cards.</x:v>
      </x:c>
      <x:c r="O54" s="24" t="str">
        <x:v>Its replacement effect exiles cards/tokens instead of letting them enter graveyards. While active, it shuts off your own dies triggers such as Blood Artist, The Meathook Massacre and Vein Ripper, and suppresses normal graveyard setup/recursion.</x:v>
      </x:c>
      <x:c r="P54" s="24" t="str">
        <x:v>Draw engine; graveyard replacement; anti-recursion; sequencing constraint</x:v>
      </x:c>
      <x:c r="Q54" s="24" t="str">
        <x:v>Retain in proposed V2; no cut proposed.</x:v>
      </x:c>
      <x:c r="R54" s="24" t="str">
        <x:v>https://scryfall.com/search?q=%21%22Necrodominance%22</x:v>
      </x:c>
      <x:c r="S54" s="59" t="str">
        <x:v>No</x:v>
      </x:c>
    </x:row>
    <x:row r="55">
      <x:c r="A55" s="24" t="str">
        <x:v>Necropotence</x:v>
      </x:c>
      <x:c r="B55" s="24" t="n">
        <x:v>1</x:v>
      </x:c>
      <x:c r="C55" s="24" t="n">
        <x:v>1</x:v>
      </x:c>
      <x:c r="D55" s="24" t="str">
        <x:v>Spell</x:v>
      </x:c>
      <x:c r="E55" s="24" t="str">
        <x:v>Spell</x:v>
      </x:c>
      <x:c r="F55" s="24" t="str">
        <x:v>Enchantment</x:v>
      </x:c>
      <x:c r="G55" s="36" t="n">
        <x:v>3</x:v>
      </x:c>
      <x:c r="H55" s="24" t="str">
        <x:v>No</x:v>
      </x:c>
      <x:c r="I55" s="24" t="str">
        <x:v>Draw + Tutor</x:v>
      </x:c>
      <x:c r="J55" s="24" t="str">
        <x:v>Draw + Tutor</x:v>
      </x:c>
      <x:c r="K55" s="36" t="n">
        <x:v>9.5</x:v>
      </x:c>
      <x:c r="L55" s="24" t="str">
        <x:v>S</x:v>
      </x:c>
      <x:c r="M55" s="24" t="str">
        <x:v>CURRENT / RETAIN — V2</x:v>
      </x:c>
      <x:c r="N55" s="24" t="str">
        <x:v>One of the strongest card-advantage engines; high starting life makes large activations easier to afford.</x:v>
      </x:c>
      <x:c r="O55" s="24" t="str">
        <x:v>Exiles discarded cards and skips normal draw; life payment competes with Hatred and K'rrik lines.</x:v>
      </x:c>
      <x:c r="P55" s="24" t="str">
        <x:v>Draw engine; life payment</x:v>
      </x:c>
      <x:c r="Q55" s="24" t="str">
        <x:v>Retain in proposed V2; no cut proposed.</x:v>
      </x:c>
      <x:c r="R55" s="24" t="str">
        <x:v>https://scryfall.com/search?q=%21%22Necropotence%22</x:v>
      </x:c>
      <x:c r="S55" s="59" t="str">
        <x:v>No</x:v>
      </x:c>
    </x:row>
    <x:row r="56">
      <x:c r="A56" s="24" t="str">
        <x:v>New Blood</x:v>
      </x:c>
      <x:c r="B56" s="24" t="n">
        <x:v>1</x:v>
      </x:c>
      <x:c r="C56" s="24" t="n">
        <x:v>1</x:v>
      </x:c>
      <x:c r="D56" s="24" t="str">
        <x:v>Spell</x:v>
      </x:c>
      <x:c r="E56" s="24" t="str">
        <x:v>Spell</x:v>
      </x:c>
      <x:c r="F56" s="24" t="str">
        <x:v>Sorcery</x:v>
      </x:c>
      <x:c r="G56" s="36" t="n">
        <x:v>5</x:v>
      </x:c>
      <x:c r="H56" s="24" t="str">
        <x:v>No</x:v>
      </x:c>
      <x:c r="I56" s="24" t="str">
        <x:v>PETCARD</x:v>
      </x:c>
      <x:c r="J56" s="24" t="str">
        <x:v>PETCARD</x:v>
      </x:c>
      <x:c r="K56" s="36" t="n">
        <x:v>8.6</x:v>
      </x:c>
      <x:c r="L56" s="24" t="str">
        <x:v>A</x:v>
      </x:c>
      <x:c r="M56" s="24" t="str">
        <x:v>PET LOCK</x:v>
      </x:c>
      <x:c r="N56" s="24" t="str">
        <x:v>Steals an opposing creature and makes it a Vampire, combining removal, board swing and tribal value.</x:v>
      </x:c>
      <x:c r="O56" s="24" t="str">
        <x:v>Needs a Vampire to tap as an additional cost; protect against an empty board and choose targets politically.</x:v>
      </x:c>
      <x:c r="P56" s="24" t="str">
        <x:v>Creature theft; tribal conversion; PET LOCK</x:v>
      </x:c>
      <x:c r="Q56" s="24" t="str">
        <x:v>Keep; explicitly protected from cuts</x:v>
      </x:c>
      <x:c r="R56" s="24" t="str">
        <x:v>https://scryfall.com/search?q=%21%22New%20Blood%22</x:v>
      </x:c>
      <x:c r="S56" s="59" t="str">
        <x:v>No</x:v>
      </x:c>
    </x:row>
    <x:row r="57">
      <x:c r="A57" s="24" t="str">
        <x:v>Nighthawk Scavenger</x:v>
      </x:c>
      <x:c r="B57" s="24" t="n">
        <x:v>1</x:v>
      </x:c>
      <x:c r="C57" s="24" t="n">
        <x:v>0</x:v>
      </x:c>
      <x:c r="D57" s="24" t="str">
        <x:v>Spell</x:v>
      </x:c>
      <x:c r="E57" s="24" t="str">
        <x:v>OUT</x:v>
      </x:c>
      <x:c r="F57" s="24" t="str">
        <x:v>Creature — Vampire Rogue</x:v>
      </x:c>
      <x:c r="G57" s="36" t="n">
        <x:v>3</x:v>
      </x:c>
      <x:c r="H57" s="24" t="str">
        <x:v>Yes</x:v>
      </x:c>
      <x:c r="I57" s="24" t="str">
        <x:v>Vampires (s/ sinergia)</x:v>
      </x:c>
      <x:c r="J57" s="24" t="str">
        <x:v>OUT</x:v>
      </x:c>
      <x:c r="K57" s="36" t="n">
        <x:v>8</x:v>
      </x:c>
      <x:c r="L57" s="24" t="str">
        <x:v>B</x:v>
      </x:c>
      <x:c r="M57" s="24" t="str">
        <x:v>V2 OUT — early drain trade</x:v>
      </x:c>
      <x:c r="N57" s="24" t="str">
        <x:v>Flying, deathtouch and lifelink form a strong stabilizing combat body; power scales with graveyards.</x:v>
      </x:c>
      <x:c r="O57" s="24" t="str">
        <x:v>Power can be low early and it is more combat-focused than a direct drain engine.</x:v>
      </x:c>
      <x:c r="P57" s="24" t="str">
        <x:v>Evasive lifelink; combat</x:v>
      </x:c>
      <x:c r="Q57" s="24" t="str">
        <x:v>An efficient flying lifelink/deathtouch body and remains a reasonable meta call. Sanguine Syphoner is two mana and drains every opponent on attack without needing to connect, better matching the preferred incremental lifedrain plan.</x:v>
      </x:c>
      <x:c r="R57" s="24" t="str">
        <x:v>https://scryfall.com/search?q=%21%22Nighthawk%20Scavenger%22</x:v>
      </x:c>
      <x:c r="S57" s="59" t="str">
        <x:v>Yes</x:v>
      </x:c>
    </x:row>
    <x:row r="58">
      <x:c r="A58" s="24" t="str">
        <x:v>Nullpriest of Oblivion</x:v>
      </x:c>
      <x:c r="B58" s="24" t="n">
        <x:v>1</x:v>
      </x:c>
      <x:c r="C58" s="24" t="n">
        <x:v>1</x:v>
      </x:c>
      <x:c r="D58" s="24" t="str">
        <x:v>Spell</x:v>
      </x:c>
      <x:c r="E58" s="24" t="str">
        <x:v>Spell</x:v>
      </x:c>
      <x:c r="F58" s="24" t="str">
        <x:v>Creature — Vampire Cleric</x:v>
      </x:c>
      <x:c r="G58" s="36" t="n">
        <x:v>2</x:v>
      </x:c>
      <x:c r="H58" s="24" t="str">
        <x:v>Yes</x:v>
      </x:c>
      <x:c r="I58" s="24" t="str">
        <x:v>Vampires (s/ sinergia)</x:v>
      </x:c>
      <x:c r="J58" s="24" t="str">
        <x:v>Vampires (s/ sinergia)</x:v>
      </x:c>
      <x:c r="K58" s="36" t="n">
        <x:v>8.3</x:v>
      </x:c>
      <x:c r="L58" s="24" t="str">
        <x:v>B</x:v>
      </x:c>
      <x:c r="M58" s="24" t="str">
        <x:v>CURRENT / RETAIN — V2</x:v>
      </x:c>
      <x:c r="N58" s="24" t="str">
        <x:v>Menace and lifelink improve early combat; kicker can reanimate a creature later.</x:v>
      </x:c>
      <x:c r="O58" s="24" t="str">
        <x:v>Kicker is expensive and early body is small.</x:v>
      </x:c>
      <x:c r="P58" s="24" t="str">
        <x:v>Lifelink; recursion</x:v>
      </x:c>
      <x:c r="Q58" s="24" t="str">
        <x:v>Retain in proposed V2; no cut proposed.</x:v>
      </x:c>
      <x:c r="R58" s="24" t="str">
        <x:v>https://scryfall.com/search?q=%21%22Nullpriest%20of%20Oblivion%22</x:v>
      </x:c>
      <x:c r="S58" s="59" t="str">
        <x:v>Yes</x:v>
      </x:c>
    </x:row>
    <x:row r="59">
      <x:c r="A59" s="24" t="str">
        <x:v>Nykthos, Shrine to Nyx</x:v>
      </x:c>
      <x:c r="B59" s="24" t="n">
        <x:v>1</x:v>
      </x:c>
      <x:c r="C59" s="24" t="n">
        <x:v>1</x:v>
      </x:c>
      <x:c r="D59" s="24" t="str">
        <x:v>Land</x:v>
      </x:c>
      <x:c r="E59" s="24" t="str">
        <x:v>Land</x:v>
      </x:c>
      <x:c r="F59" s="24" t="str">
        <x:v>Legendary Land</x:v>
      </x:c>
      <x:c r="G59" s="36" t="n">
        <x:v>0</x:v>
      </x:c>
      <x:c r="H59" s="24" t="str">
        <x:v>No</x:v>
      </x:c>
      <x:c r="I59" s="24" t="str">
        <x:v>Mana base</x:v>
      </x:c>
      <x:c r="J59" s="24" t="str">
        <x:v>Mana base</x:v>
      </x:c>
      <x:c r="K59" s="36" t="n">
        <x:v>8.7</x:v>
      </x:c>
      <x:c r="L59" s="24" t="str">
        <x:v>A</x:v>
      </x:c>
      <x:c r="M59" s="24" t="str">
        <x:v>MANA BASE</x:v>
      </x:c>
      <x:c r="N59" s="24" t="str">
        <x:v>Devotion to black can turn a developed board into large bursts of mana.</x:v>
      </x:c>
      <x:c r="O59" s="24" t="str">
        <x:v>Needs devotion and an activation investment; weaker before the board develops.</x:v>
      </x:c>
      <x:c r="P59" s="24" t="str">
        <x:v>Big mana</x:v>
      </x:c>
      <x:c r="Q59" s="24" t="str">
        <x:v>Preserve in V2; mana slot is allocated once and MDFC role is listed secondarily.</x:v>
      </x:c>
      <x:c r="R59" s="24" t="str">
        <x:v>https://scryfall.com/search?q=%21%22Nykthos%2C%20Shrine%20to%20Nyx%22</x:v>
      </x:c>
      <x:c r="S59" s="59" t="str">
        <x:v>No</x:v>
      </x:c>
    </x:row>
    <x:row r="60">
      <x:c r="A60" s="24" t="str">
        <x:v>Path of Ancestry</x:v>
      </x:c>
      <x:c r="B60" s="24" t="n">
        <x:v>1</x:v>
      </x:c>
      <x:c r="C60" s="24" t="n">
        <x:v>1</x:v>
      </x:c>
      <x:c r="D60" s="24" t="str">
        <x:v>Land</x:v>
      </x:c>
      <x:c r="E60" s="24" t="str">
        <x:v>Land</x:v>
      </x:c>
      <x:c r="F60" s="24" t="str">
        <x:v>Land</x:v>
      </x:c>
      <x:c r="G60" s="36" t="n">
        <x:v>0</x:v>
      </x:c>
      <x:c r="H60" s="24" t="str">
        <x:v>No</x:v>
      </x:c>
      <x:c r="I60" s="24" t="str">
        <x:v>Mana base</x:v>
      </x:c>
      <x:c r="J60" s="24" t="str">
        <x:v>Mana base</x:v>
      </x:c>
      <x:c r="K60" s="36" t="n">
        <x:v>7.5</x:v>
      </x:c>
      <x:c r="L60" s="24" t="str">
        <x:v>B</x:v>
      </x:c>
      <x:c r="M60" s="24" t="str">
        <x:v>MANA BASE</x:v>
      </x:c>
      <x:c r="N60" s="24" t="str">
        <x:v>Fixes color (black here) and scries on Vampire casts.</x:v>
      </x:c>
      <x:c r="O60" s="24" t="str">
        <x:v>Always enters tapped; mono-black has no need for fixing, only the tribal scry.</x:v>
      </x:c>
      <x:c r="P60" s="24" t="str">
        <x:v>Tribal land; scry</x:v>
      </x:c>
      <x:c r="Q60" s="24" t="str">
        <x:v>Preserve in V2; mana slot is allocated once and MDFC role is listed secondarily.</x:v>
      </x:c>
      <x:c r="R60" s="24" t="str">
        <x:v>https://scryfall.com/search?q=%21%22Path%20of%20Ancestry%22</x:v>
      </x:c>
      <x:c r="S60" s="59" t="str">
        <x:v>No</x:v>
      </x:c>
    </x:row>
    <x:row r="61">
      <x:c r="A61" s="24" t="str">
        <x:v>Preacher of the Schism</x:v>
      </x:c>
      <x:c r="B61" s="24" t="n">
        <x:v>1</x:v>
      </x:c>
      <x:c r="C61" s="24" t="n">
        <x:v>1</x:v>
      </x:c>
      <x:c r="D61" s="24" t="str">
        <x:v>Spell</x:v>
      </x:c>
      <x:c r="E61" s="24" t="str">
        <x:v>Spell</x:v>
      </x:c>
      <x:c r="F61" s="24" t="str">
        <x:v>Creature — Vampire Cleric</x:v>
      </x:c>
      <x:c r="G61" s="36" t="n">
        <x:v>3</x:v>
      </x:c>
      <x:c r="H61" s="24" t="str">
        <x:v>Yes</x:v>
      </x:c>
      <x:c r="I61" s="24" t="str">
        <x:v>Vampires (c/ sinergia)</x:v>
      </x:c>
      <x:c r="J61" s="24" t="str">
        <x:v>Vampires (c/ sinergia)</x:v>
      </x:c>
      <x:c r="K61" s="36" t="n">
        <x:v>8.7</x:v>
      </x:c>
      <x:c r="L61" s="24" t="str">
        <x:v>A</x:v>
      </x:c>
      <x:c r="M61" s="24" t="str">
        <x:v>CURRENT / RETAIN — V2</x:v>
      </x:c>
      <x:c r="N61" s="24" t="str">
        <x:v>Deathtouch and conditional attack triggers provide either a Vampire token or card advantage depending on life totals.</x:v>
      </x:c>
      <x:c r="O61" s="24" t="str">
        <x:v>Needs to attack and its mode depends on the opponent-relative life condition.</x:v>
      </x:c>
      <x:c r="P61" s="24" t="str">
        <x:v>Draw; token; deathtouch</x:v>
      </x:c>
      <x:c r="Q61" s="24" t="str">
        <x:v>Retain in proposed V2; no cut proposed.</x:v>
      </x:c>
      <x:c r="R61" s="24" t="str">
        <x:v>https://scryfall.com/search?q=%21%22Preacher%20of%20the%20Schism%22</x:v>
      </x:c>
      <x:c r="S61" s="59" t="str">
        <x:v>Yes</x:v>
      </x:c>
    </x:row>
    <x:row r="62">
      <x:c r="A62" s="24" t="str">
        <x:v>Qarsi Revenant</x:v>
      </x:c>
      <x:c r="B62" s="24" t="n">
        <x:v>1</x:v>
      </x:c>
      <x:c r="C62" s="24" t="n">
        <x:v>1</x:v>
      </x:c>
      <x:c r="D62" s="24" t="str">
        <x:v>Spell</x:v>
      </x:c>
      <x:c r="E62" s="24" t="str">
        <x:v>Spell</x:v>
      </x:c>
      <x:c r="F62" s="24" t="str">
        <x:v>Creature — Vampire</x:v>
      </x:c>
      <x:c r="G62" s="36" t="n">
        <x:v>3</x:v>
      </x:c>
      <x:c r="H62" s="24" t="str">
        <x:v>Yes</x:v>
      </x:c>
      <x:c r="I62" s="24" t="str">
        <x:v>Vampires (s/ sinergia)</x:v>
      </x:c>
      <x:c r="J62" s="24" t="str">
        <x:v>Vampires (s/ sinergia)</x:v>
      </x:c>
      <x:c r="K62" s="36" t="n">
        <x:v>8.7</x:v>
      </x:c>
      <x:c r="L62" s="24" t="str">
        <x:v>A</x:v>
      </x:c>
      <x:c r="M62" s="24" t="str">
        <x:v>CURRENT / RETAIN — V2</x:v>
      </x:c>
      <x:c r="N62" s="24" t="str">
        <x:v>Recent Vampire with flying, deathtouch and lifelink; its renew ability leaves keyword counters on another creature from the graveyard.</x:v>
      </x:c>
      <x:c r="O62" s="24" t="str">
        <x:v>Its graveyard value requires a later sorcery-speed activation and exile of the card.</x:v>
      </x:c>
      <x:c r="P62" s="24" t="str">
        <x:v>Lifelink; keywords; graveyard value</x:v>
      </x:c>
      <x:c r="Q62" s="24" t="str">
        <x:v>Retain in proposed V2; no cut proposed.</x:v>
      </x:c>
      <x:c r="R62" s="24" t="str">
        <x:v>https://scryfall.com/search?q=%21%22Qarsi%20Revenant%22</x:v>
      </x:c>
      <x:c r="S62" s="59" t="str">
        <x:v>Yes</x:v>
      </x:c>
    </x:row>
    <x:row r="63">
      <x:c r="A63" s="24" t="str">
        <x:v>Sanguine Spy</x:v>
      </x:c>
      <x:c r="B63" s="24" t="n">
        <x:v>1</x:v>
      </x:c>
      <x:c r="C63" s="24" t="n">
        <x:v>1</x:v>
      </x:c>
      <x:c r="D63" s="24" t="str">
        <x:v>Spell</x:v>
      </x:c>
      <x:c r="E63" s="24" t="str">
        <x:v>Spell</x:v>
      </x:c>
      <x:c r="F63" s="24" t="str">
        <x:v>Creature — Vampire Rogue</x:v>
      </x:c>
      <x:c r="G63" s="36" t="n">
        <x:v>3</x:v>
      </x:c>
      <x:c r="H63" s="24" t="str">
        <x:v>Yes</x:v>
      </x:c>
      <x:c r="I63" s="24" t="str">
        <x:v>Vampires (c/ sinergia)</x:v>
      </x:c>
      <x:c r="J63" s="24" t="str">
        <x:v>Vampires (c/ sinergia)</x:v>
      </x:c>
      <x:c r="K63" s="36" t="n">
        <x:v>8</x:v>
      </x:c>
      <x:c r="L63" s="24" t="str">
        <x:v>B</x:v>
      </x:c>
      <x:c r="M63" s="24" t="str">
        <x:v>CURRENT / RETAIN — V2</x:v>
      </x:c>
      <x:c r="N63" s="24" t="str">
        <x:v>Menace and lifelink help it attack; it can sacrifice another creature to surveil 1, and with five or more mana values in your graveyard it can pay 2 life at end step to draw a card.</x:v>
      </x:c>
      <x:c r="O63" s="24" t="str">
        <x:v>The draw condition is graveyard-diversity dependent; Necrodominance can suppress the death/graveyard plan while it is active.</x:v>
      </x:c>
      <x:c r="P63" s="24" t="str">
        <x:v>Menace; lifelink; sacrifice outlet; surveil; conditional draw</x:v>
      </x:c>
      <x:c r="Q63" s="24" t="str">
        <x:v>Retain in proposed V2; no cut proposed.</x:v>
      </x:c>
      <x:c r="R63" s="24" t="str">
        <x:v>https://scryfall.com/search?q=%21%22Sanguine%20Spy%22</x:v>
      </x:c>
      <x:c r="S63" s="59" t="str">
        <x:v>Yes</x:v>
      </x:c>
    </x:row>
    <x:row r="64">
      <x:c r="A64" s="24" t="str">
        <x:v>Sensei's Divining Top</x:v>
      </x:c>
      <x:c r="B64" s="24" t="n">
        <x:v>1</x:v>
      </x:c>
      <x:c r="C64" s="24" t="n">
        <x:v>1</x:v>
      </x:c>
      <x:c r="D64" s="24" t="str">
        <x:v>Spell</x:v>
      </x:c>
      <x:c r="E64" s="24" t="str">
        <x:v>Spell</x:v>
      </x:c>
      <x:c r="F64" s="24" t="str">
        <x:v>Artifact</x:v>
      </x:c>
      <x:c r="G64" s="36" t="n">
        <x:v>1</x:v>
      </x:c>
      <x:c r="H64" s="24" t="str">
        <x:v>No</x:v>
      </x:c>
      <x:c r="I64" s="24" t="str">
        <x:v>Draw + Tutor</x:v>
      </x:c>
      <x:c r="J64" s="24" t="str">
        <x:v>Draw + Tutor</x:v>
      </x:c>
      <x:c r="K64" s="36" t="n">
        <x:v>8.8</x:v>
      </x:c>
      <x:c r="L64" s="24" t="str">
        <x:v>A</x:v>
      </x:c>
      <x:c r="M64" s="24" t="str">
        <x:v>CURRENT / RETAIN — V2</x:v>
      </x:c>
      <x:c r="N64" s="24" t="str">
        <x:v>Improves top-deck quality and works with Bolas's Citadel; helps avoid dead high-cost cards.</x:v>
      </x:c>
      <x:c r="O64" s="24" t="str">
        <x:v>Selection, not true card advantage by itself; can slow turns if overused.</x:v>
      </x:c>
      <x:c r="P64" s="24" t="str">
        <x:v>Top-deck manipulation; Citadel synergy</x:v>
      </x:c>
      <x:c r="Q64" s="24" t="str">
        <x:v>Retain in proposed V2; no cut proposed.</x:v>
      </x:c>
      <x:c r="R64" s="24" t="str">
        <x:v>https://scryfall.com/search?q=%21%22Sensei%27s%20Divining%20Top%22</x:v>
      </x:c>
      <x:c r="S64" s="59" t="str">
        <x:v>No</x:v>
      </x:c>
    </x:row>
    <x:row r="65">
      <x:c r="A65" s="24" t="str">
        <x:v>Shadowspear</x:v>
      </x:c>
      <x:c r="B65" s="24" t="n">
        <x:v>1</x:v>
      </x:c>
      <x:c r="C65" s="24" t="n">
        <x:v>1</x:v>
      </x:c>
      <x:c r="D65" s="24" t="str">
        <x:v>Spell</x:v>
      </x:c>
      <x:c r="E65" s="24" t="str">
        <x:v>Spell</x:v>
      </x:c>
      <x:c r="F65" s="24" t="str">
        <x:v>Legendary Artifact — Equipment</x:v>
      </x:c>
      <x:c r="G65" s="36" t="n">
        <x:v>1</x:v>
      </x:c>
      <x:c r="H65" s="24" t="str">
        <x:v>No</x:v>
      </x:c>
      <x:c r="I65" s="24" t="str">
        <x:v>Vampires (s/ sinergia)</x:v>
      </x:c>
      <x:c r="J65" s="24" t="str">
        <x:v>Vampires (s/ sinergia)</x:v>
      </x:c>
      <x:c r="K65" s="36" t="n">
        <x:v>8.2</x:v>
      </x:c>
      <x:c r="L65" s="24" t="str">
        <x:v>B</x:v>
      </x:c>
      <x:c r="M65" s="24" t="str">
        <x:v>CURRENT / RETAIN — V2</x:v>
      </x:c>
      <x:c r="N65" s="24" t="str">
        <x:v>Trample and lifelink improve combat math; can remove hexproof/indestructible from opponents' permanents.</x:v>
      </x:c>
      <x:c r="O65" s="24" t="str">
        <x:v>Needs a creature to equip and may be win-more without an attacker.</x:v>
      </x:c>
      <x:c r="P65" s="24" t="str">
        <x:v>Combat; lifelink; anti-hexproof</x:v>
      </x:c>
      <x:c r="Q65" s="24" t="str">
        <x:v>Retain in proposed V2; no cut proposed.</x:v>
      </x:c>
      <x:c r="R65" s="24" t="str">
        <x:v>https://scryfall.com/search?q=%21%22Shadowspear%22</x:v>
      </x:c>
      <x:c r="S65" s="59" t="str">
        <x:v>No</x:v>
      </x:c>
    </x:row>
    <x:row r="66">
      <x:c r="A66" s="24" t="str">
        <x:v>Shizo, Death's Storehouse</x:v>
      </x:c>
      <x:c r="B66" s="24" t="n">
        <x:v>1</x:v>
      </x:c>
      <x:c r="C66" s="24" t="n">
        <x:v>1</x:v>
      </x:c>
      <x:c r="D66" s="24" t="str">
        <x:v>Land</x:v>
      </x:c>
      <x:c r="E66" s="24" t="str">
        <x:v>Land</x:v>
      </x:c>
      <x:c r="F66" s="24" t="str">
        <x:v>Legendary Land</x:v>
      </x:c>
      <x:c r="G66" s="36" t="n">
        <x:v>0</x:v>
      </x:c>
      <x:c r="H66" s="24" t="str">
        <x:v>No</x:v>
      </x:c>
      <x:c r="I66" s="24" t="str">
        <x:v>Mana base</x:v>
      </x:c>
      <x:c r="J66" s="24" t="str">
        <x:v>Mana base</x:v>
      </x:c>
      <x:c r="K66" s="36" t="n">
        <x:v>8.2</x:v>
      </x:c>
      <x:c r="L66" s="24" t="str">
        <x:v>B</x:v>
      </x:c>
      <x:c r="M66" s="24" t="str">
        <x:v>MANA BASE</x:v>
      </x:c>
      <x:c r="N66" s="24" t="str">
        <x:v>Gives a legendary attacker fear, helping Vito or another key Vampire connect.</x:v>
      </x:c>
      <x:c r="O66" s="24" t="str">
        <x:v>Colorless land and only works on legendary creatures; black creatures and artifact creatures can still block fear.</x:v>
      </x:c>
      <x:c r="P66" s="24" t="str">
        <x:v>Evasion</x:v>
      </x:c>
      <x:c r="Q66" s="24" t="str">
        <x:v>Preserve in V2; mana slot is allocated once and MDFC role is listed secondarily.</x:v>
      </x:c>
      <x:c r="R66" s="24" t="str">
        <x:v>https://scryfall.com/search?q=%21%22Shizo%2C%20Death%27s%20Storehouse%22</x:v>
      </x:c>
      <x:c r="S66" s="59" t="str">
        <x:v>No</x:v>
      </x:c>
    </x:row>
    <x:row r="67">
      <x:c r="A67" s="24" t="str">
        <x:v>Slaughter Pact</x:v>
      </x:c>
      <x:c r="B67" s="24" t="n">
        <x:v>1</x:v>
      </x:c>
      <x:c r="C67" s="24" t="n">
        <x:v>1</x:v>
      </x:c>
      <x:c r="D67" s="24" t="str">
        <x:v>Spell</x:v>
      </x:c>
      <x:c r="E67" s="24" t="str">
        <x:v>Spell</x:v>
      </x:c>
      <x:c r="F67" s="24" t="str">
        <x:v>Instant</x:v>
      </x:c>
      <x:c r="G67" s="36" t="n">
        <x:v>0</x:v>
      </x:c>
      <x:c r="H67" s="24" t="str">
        <x:v>No</x:v>
      </x:c>
      <x:c r="I67" s="24" t="str">
        <x:v>Removal</x:v>
      </x:c>
      <x:c r="J67" s="24" t="str">
        <x:v>Removal</x:v>
      </x:c>
      <x:c r="K67" s="36" t="n">
        <x:v>8.3</x:v>
      </x:c>
      <x:c r="L67" s="24" t="str">
        <x:v>B</x:v>
      </x:c>
      <x:c r="M67" s="24" t="str">
        <x:v>CURRENT / RETAIN — V2</x:v>
      </x:c>
      <x:c r="N67" s="24" t="str">
        <x:v>Free removal can win tempo battles and protect a combo window.</x:v>
      </x:c>
      <x:c r="O67" s="24" t="str">
        <x:v>Requires payment of 2B at the next upkeep; missing the payment loses the game.</x:v>
      </x:c>
      <x:c r="P67" s="24" t="str">
        <x:v>Free removal</x:v>
      </x:c>
      <x:c r="Q67" s="24" t="str">
        <x:v>Retain in proposed V2; no cut proposed.</x:v>
      </x:c>
      <x:c r="R67" s="24" t="str">
        <x:v>https://scryfall.com/search?q=%21%22Slaughter%20Pact%22</x:v>
      </x:c>
      <x:c r="S67" s="59" t="str">
        <x:v>No</x:v>
      </x:c>
    </x:row>
    <x:row r="68">
      <x:c r="A68" s="24" t="str">
        <x:v>Snow-Covered Swamp</x:v>
      </x:c>
      <x:c r="B68" s="24" t="n">
        <x:v>20</x:v>
      </x:c>
      <x:c r="C68" s="24" t="n">
        <x:v>20</x:v>
      </x:c>
      <x:c r="D68" s="24" t="str">
        <x:v>Land</x:v>
      </x:c>
      <x:c r="E68" s="24" t="str">
        <x:v>Land</x:v>
      </x:c>
      <x:c r="F68" s="24" t="str">
        <x:v>Basic Snow Land — Swamp</x:v>
      </x:c>
      <x:c r="G68" s="36" t="n">
        <x:v>0</x:v>
      </x:c>
      <x:c r="H68" s="24" t="str">
        <x:v>No</x:v>
      </x:c>
      <x:c r="I68" s="24" t="str">
        <x:v>Mana base</x:v>
      </x:c>
      <x:c r="J68" s="24" t="str">
        <x:v>Mana base</x:v>
      </x:c>
      <x:c r="K68" s="36" t="n">
        <x:v>8.4</x:v>
      </x:c>
      <x:c r="L68" s="24" t="str">
        <x:v>B</x:v>
      </x:c>
      <x:c r="M68" s="24" t="str">
        <x:v>MANA BASE — RETAIN 20</x:v>
      </x:c>
      <x:c r="N68" s="24" t="str">
        <x:v>Feeds Cabal Coffers, Cabal Stronghold and Extraplanar Lens; basic Swamps are a structural resource.</x:v>
      </x:c>
      <x:c r="O68" s="24" t="str">
        <x:v>Too few Swamps weaken mana multipliers; V2 increases this basic to 21 copies.</x:v>
      </x:c>
      <x:c r="P68" s="24" t="str">
        <x:v>Basic black source</x:v>
      </x:c>
      <x:c r="Q68" s="24" t="str">
        <x:v>Keep 20 copies as listed. Reassess 31 physical lands + 3 MDFCs only after playtest; do not force a land into the deck by cutting Damnation.</x:v>
      </x:c>
      <x:c r="R68" s="24" t="str">
        <x:v>https://scryfall.com/search?q=%21%22Snow-Covered%20Swamp%22</x:v>
      </x:c>
      <x:c r="S68" s="59" t="str">
        <x:v>No</x:v>
      </x:c>
    </x:row>
    <x:row r="69">
      <x:c r="A69" s="24" t="str">
        <x:v>Sol Ring</x:v>
      </x:c>
      <x:c r="B69" s="24" t="n">
        <x:v>1</x:v>
      </x:c>
      <x:c r="C69" s="24" t="n">
        <x:v>1</x:v>
      </x:c>
      <x:c r="D69" s="24" t="str">
        <x:v>Spell</x:v>
      </x:c>
      <x:c r="E69" s="24" t="str">
        <x:v>Spell</x:v>
      </x:c>
      <x:c r="F69" s="24" t="str">
        <x:v>Artifact</x:v>
      </x:c>
      <x:c r="G69" s="36" t="n">
        <x:v>1</x:v>
      </x:c>
      <x:c r="H69" s="24" t="str">
        <x:v>No</x:v>
      </x:c>
      <x:c r="I69" s="24" t="str">
        <x:v>Ramp</x:v>
      </x:c>
      <x:c r="J69" s="24" t="str">
        <x:v>Ramp</x:v>
      </x:c>
      <x:c r="K69" s="36" t="n">
        <x:v>9.5</x:v>
      </x:c>
      <x:c r="L69" s="24" t="str">
        <x:v>S</x:v>
      </x:c>
      <x:c r="M69" s="24" t="str">
        <x:v>CURRENT / RETAIN — V2</x:v>
      </x:c>
      <x:c r="N69" s="24" t="str">
        <x:v>One-mana acceleration into the three-mana commander or engines.</x:v>
      </x:c>
      <x:c r="O69" s="24" t="str">
        <x:v>Does not create black mana and can paint a target early.</x:v>
      </x:c>
      <x:c r="P69" s="24" t="str">
        <x:v>Fast mana</x:v>
      </x:c>
      <x:c r="Q69" s="24" t="str">
        <x:v>Retain in proposed V2; no cut proposed.</x:v>
      </x:c>
      <x:c r="R69" s="24" t="str">
        <x:v>https://scryfall.com/search?q=%21%22Sol%20Ring%22</x:v>
      </x:c>
      <x:c r="S69" s="59" t="str">
        <x:v>No</x:v>
      </x:c>
    </x:row>
    <x:row r="70">
      <x:c r="A70" s="24" t="str">
        <x:v>Sorin Markov</x:v>
      </x:c>
      <x:c r="B70" s="24" t="n">
        <x:v>1</x:v>
      </x:c>
      <x:c r="C70" s="24" t="n">
        <x:v>1</x:v>
      </x:c>
      <x:c r="D70" s="24" t="str">
        <x:v>Spell</x:v>
      </x:c>
      <x:c r="E70" s="24" t="str">
        <x:v>Spell</x:v>
      </x:c>
      <x:c r="F70" s="24" t="str">
        <x:v>Legendary Planeswalker — Sorin</x:v>
      </x:c>
      <x:c r="G70" s="36" t="n">
        <x:v>6</x:v>
      </x:c>
      <x:c r="H70" s="24" t="str">
        <x:v>No</x:v>
      </x:c>
      <x:c r="I70" s="24" t="str">
        <x:v>Life gain/drain</x:v>
      </x:c>
      <x:c r="J70" s="24" t="str">
        <x:v>Life gain/drain</x:v>
      </x:c>
      <x:c r="K70" s="36" t="n">
        <x:v>7.7</x:v>
      </x:c>
      <x:c r="L70" s="24" t="str">
        <x:v>B</x:v>
      </x:c>
      <x:c r="M70" s="24" t="str">
        <x:v>CURRENT / RETAIN — V2</x:v>
      </x:c>
      <x:c r="N70" s="24" t="str">
        <x:v>Life-total reset is a powerful political threat; +2 also makes an opponent lose life while you gain life.</x:v>
      </x:c>
      <x:c r="O70" s="24" t="str">
        <x:v>Six mana and three loyalty modes do not directly advance Vampire count; conspicuous threat.</x:v>
      </x:c>
      <x:c r="P70" s="24" t="str">
        <x:v>Political finisher; life-total pressure</x:v>
      </x:c>
      <x:c r="Q70" s="24" t="str">
        <x:v>Retain in proposed V2; no cut proposed.</x:v>
      </x:c>
      <x:c r="R70" s="24" t="str">
        <x:v>https://scryfall.com/search?q=%21%22Sorin%20Markov%22</x:v>
      </x:c>
      <x:c r="S70" s="59" t="str">
        <x:v>No</x:v>
      </x:c>
    </x:row>
    <x:row r="71">
      <x:c r="A71" s="24" t="str">
        <x:v>Sorin, Imperious Bloodlord</x:v>
      </x:c>
      <x:c r="B71" s="24" t="n">
        <x:v>1</x:v>
      </x:c>
      <x:c r="C71" s="24" t="n">
        <x:v>1</x:v>
      </x:c>
      <x:c r="D71" s="24" t="str">
        <x:v>Spell</x:v>
      </x:c>
      <x:c r="E71" s="24" t="str">
        <x:v>Spell</x:v>
      </x:c>
      <x:c r="F71" s="24" t="str">
        <x:v>Legendary Planeswalker — Sorin</x:v>
      </x:c>
      <x:c r="G71" s="36" t="n">
        <x:v>3</x:v>
      </x:c>
      <x:c r="H71" s="24" t="str">
        <x:v>No</x:v>
      </x:c>
      <x:c r="I71" s="24" t="str">
        <x:v>Vampires (c/ sinergia)</x:v>
      </x:c>
      <x:c r="J71" s="24" t="str">
        <x:v>Vampires (c/ sinergia)</x:v>
      </x:c>
      <x:c r="K71" s="36" t="n">
        <x:v>9</x:v>
      </x:c>
      <x:c r="L71" s="24" t="str">
        <x:v>A</x:v>
      </x:c>
      <x:c r="M71" s="24" t="str">
        <x:v>CURRENT / RETAIN — V2</x:v>
      </x:c>
      <x:c r="N71" s="24" t="str">
        <x:v>Vampire-specific planeswalker: can grant lifelink/pump, gain life, or put a Vampire from hand onto the battlefield.</x:v>
      </x:c>
      <x:c r="O71" s="24" t="str">
        <x:v>Requires Vampire density and is vulnerable as a planeswalker.</x:v>
      </x:c>
      <x:c r="P71" s="24" t="str">
        <x:v>Vampire payoff; cheat-in; lifegain</x:v>
      </x:c>
      <x:c r="Q71" s="24" t="str">
        <x:v>Retain in proposed V2; no cut proposed.</x:v>
      </x:c>
      <x:c r="R71" s="24" t="str">
        <x:v>https://scryfall.com/search?q=%21%22Sorin%2C%20Imperious%20Bloodlord%22</x:v>
      </x:c>
      <x:c r="S71" s="59" t="str">
        <x:v>No</x:v>
      </x:c>
    </x:row>
    <x:row r="72">
      <x:c r="A72" s="24" t="str">
        <x:v>The Meathook Massacre</x:v>
      </x:c>
      <x:c r="B72" s="24" t="n">
        <x:v>1</x:v>
      </x:c>
      <x:c r="C72" s="24" t="n">
        <x:v>1</x:v>
      </x:c>
      <x:c r="D72" s="24" t="str">
        <x:v>Spell</x:v>
      </x:c>
      <x:c r="E72" s="24" t="str">
        <x:v>Spell</x:v>
      </x:c>
      <x:c r="F72" s="24" t="str">
        <x:v>Legendary Enchantment</x:v>
      </x:c>
      <x:c r="G72" s="36" t="n">
        <x:v>2</x:v>
      </x:c>
      <x:c r="H72" s="24" t="str">
        <x:v>No</x:v>
      </x:c>
      <x:c r="I72" s="24" t="str">
        <x:v>Life gain/drain</x:v>
      </x:c>
      <x:c r="J72" s="24" t="str">
        <x:v>Life gain/drain</x:v>
      </x:c>
      <x:c r="K72" s="36" t="n">
        <x:v>9.1</x:v>
      </x:c>
      <x:c r="L72" s="24" t="str">
        <x:v>A</x:v>
      </x:c>
      <x:c r="M72" s="24" t="str">
        <x:v>CURRENT / RETAIN — V2</x:v>
      </x:c>
      <x:c r="N72" s="24" t="str">
        <x:v>Flexible X-based small-creature wipe and repeatable life drain/gain on creature deaths.</x:v>
      </x:c>
      <x:c r="O72" s="24" t="str">
        <x:v>Can be mana-intensive as a true wipe; symmetric creature deaths can disrupt your own board.</x:v>
      </x:c>
      <x:c r="P72" s="24" t="str">
        <x:v>Board control; drain engine</x:v>
      </x:c>
      <x:c r="Q72" s="24" t="str">
        <x:v>Retain in proposed V2; no cut proposed.</x:v>
      </x:c>
      <x:c r="R72" s="24" t="str">
        <x:v>https://scryfall.com/search?q=%21%22The%20Meathook%20Massacre%22</x:v>
      </x:c>
      <x:c r="S72" s="59" t="str">
        <x:v>No</x:v>
      </x:c>
    </x:row>
    <x:row r="73">
      <x:c r="A73" s="24" t="str">
        <x:v>Throne of Eldraine</x:v>
      </x:c>
      <x:c r="B73" s="24" t="n">
        <x:v>1</x:v>
      </x:c>
      <x:c r="C73" s="24" t="n">
        <x:v>1</x:v>
      </x:c>
      <x:c r="D73" s="24" t="str">
        <x:v>Spell</x:v>
      </x:c>
      <x:c r="E73" s="24" t="str">
        <x:v>Spell</x:v>
      </x:c>
      <x:c r="F73" s="24" t="str">
        <x:v>Legendary Artifact</x:v>
      </x:c>
      <x:c r="G73" s="36" t="n">
        <x:v>5</x:v>
      </x:c>
      <x:c r="H73" s="24" t="str">
        <x:v>No</x:v>
      </x:c>
      <x:c r="I73" s="24" t="str">
        <x:v>Ramp</x:v>
      </x:c>
      <x:c r="J73" s="24" t="str">
        <x:v>Ramp</x:v>
      </x:c>
      <x:c r="K73" s="36" t="n">
        <x:v>8.5</x:v>
      </x:c>
      <x:c r="L73" s="24" t="str">
        <x:v>A</x:v>
      </x:c>
      <x:c r="M73" s="24" t="str">
        <x:v>CURRENT / RETAIN — V2</x:v>
      </x:c>
      <x:c r="N73" s="24" t="str">
        <x:v>In mono-black it can generate four black mana restricted to casting mono-black spells; later it can draw two cards.</x:v>
      </x:c>
      <x:c r="O73" s="24" t="str">
        <x:v>Five-mana setup and the four mana are restricted; do not count as unrestricted ramp or cheap draw.</x:v>
      </x:c>
      <x:c r="P73" s="24" t="str">
        <x:v>Mana burst; card draw</x:v>
      </x:c>
      <x:c r="Q73" s="24" t="str">
        <x:v>Retain in proposed V2; no cut proposed.</x:v>
      </x:c>
      <x:c r="R73" s="24" t="str">
        <x:v>https://scryfall.com/search?q=%21%22Throne%20of%20Eldraine%22</x:v>
      </x:c>
      <x:c r="S73" s="59" t="str">
        <x:v>No</x:v>
      </x:c>
    </x:row>
    <x:row r="74">
      <x:c r="A74" s="24" t="str">
        <x:v>Torment of Hailfire</x:v>
      </x:c>
      <x:c r="B74" s="24" t="n">
        <x:v>1</x:v>
      </x:c>
      <x:c r="C74" s="24" t="n">
        <x:v>1</x:v>
      </x:c>
      <x:c r="D74" s="24" t="str">
        <x:v>Spell</x:v>
      </x:c>
      <x:c r="E74" s="24" t="str">
        <x:v>Spell</x:v>
      </x:c>
      <x:c r="F74" s="24" t="str">
        <x:v>Sorcery</x:v>
      </x:c>
      <x:c r="G74" s="36" t="n">
        <x:v>2</x:v>
      </x:c>
      <x:c r="H74" s="24" t="str">
        <x:v>No</x:v>
      </x:c>
      <x:c r="I74" s="24" t="str">
        <x:v>Life gain/drain</x:v>
      </x:c>
      <x:c r="J74" s="24" t="str">
        <x:v>Life gain/drain</x:v>
      </x:c>
      <x:c r="K74" s="36" t="n">
        <x:v>8.7</x:v>
      </x:c>
      <x:c r="L74" s="24" t="str">
        <x:v>A</x:v>
      </x:c>
      <x:c r="M74" s="24" t="str">
        <x:v>CURRENT / RETAIN — V2</x:v>
      </x:c>
      <x:c r="N74" s="24" t="str">
        <x:v>Massive scalable finisher; attacks life totals, boards and hands and can end games without the Vito loop.</x:v>
      </x:c>
      <x:c r="O74" s="24" t="str">
        <x:v>Needs a large mana surplus and can be weakened by opponents choosing differently; it's a mana sink.</x:v>
      </x:c>
      <x:c r="P74" s="24" t="str">
        <x:v>Non-combo finisher</x:v>
      </x:c>
      <x:c r="Q74" s="24" t="str">
        <x:v>Retain in proposed V2; no cut proposed.</x:v>
      </x:c>
      <x:c r="R74" s="24" t="str">
        <x:v>https://scryfall.com/search?q=%21%22Torment%20of%20Hailfire%22</x:v>
      </x:c>
      <x:c r="S74" s="59" t="str">
        <x:v>No</x:v>
      </x:c>
    </x:row>
    <x:row r="75">
      <x:c r="A75" s="24" t="str">
        <x:v>Toxic Deluge</x:v>
      </x:c>
      <x:c r="B75" s="24" t="n">
        <x:v>1</x:v>
      </x:c>
      <x:c r="C75" s="24" t="n">
        <x:v>1</x:v>
      </x:c>
      <x:c r="D75" s="24" t="str">
        <x:v>Spell</x:v>
      </x:c>
      <x:c r="E75" s="24" t="str">
        <x:v>Spell</x:v>
      </x:c>
      <x:c r="F75" s="24" t="str">
        <x:v>Sorcery</x:v>
      </x:c>
      <x:c r="G75" s="36" t="n">
        <x:v>3</x:v>
      </x:c>
      <x:c r="H75" s="24" t="str">
        <x:v>No</x:v>
      </x:c>
      <x:c r="I75" s="24" t="str">
        <x:v>Removal</x:v>
      </x:c>
      <x:c r="J75" s="24" t="str">
        <x:v>Removal</x:v>
      </x:c>
      <x:c r="K75" s="36" t="n">
        <x:v>9.3</x:v>
      </x:c>
      <x:c r="L75" s="24" t="str">
        <x:v>A</x:v>
      </x:c>
      <x:c r="M75" s="24" t="str">
        <x:v>CURRENT / RETAIN — V2</x:v>
      </x:c>
      <x:c r="N75" s="24" t="str">
        <x:v>Efficient flexible board wipe that can clear oversized threats for relatively little mana.</x:v>
      </x:c>
      <x:c r="O75" s="24" t="str">
        <x:v>You pay life; avoid setting X higher than needed, especially after K'rrik/Necropotence/Hatred use.</x:v>
      </x:c>
      <x:c r="P75" s="24" t="str">
        <x:v>Board wipe</x:v>
      </x:c>
      <x:c r="Q75" s="24" t="str">
        <x:v>Retain in proposed V2; no cut proposed.</x:v>
      </x:c>
      <x:c r="R75" s="24" t="str">
        <x:v>https://scryfall.com/search?q=%21%22Toxic%20Deluge%22</x:v>
      </x:c>
      <x:c r="S75" s="59" t="str">
        <x:v>No</x:v>
      </x:c>
    </x:row>
    <x:row r="76">
      <x:c r="A76" s="24" t="str">
        <x:v>Twilight Prophet</x:v>
      </x:c>
      <x:c r="B76" s="24" t="n">
        <x:v>1</x:v>
      </x:c>
      <x:c r="C76" s="24" t="n">
        <x:v>1</x:v>
      </x:c>
      <x:c r="D76" s="24" t="str">
        <x:v>Spell</x:v>
      </x:c>
      <x:c r="E76" s="24" t="str">
        <x:v>Spell</x:v>
      </x:c>
      <x:c r="F76" s="24" t="str">
        <x:v>Creature — Vampire Cleric</x:v>
      </x:c>
      <x:c r="G76" s="36" t="n">
        <x:v>4</x:v>
      </x:c>
      <x:c r="H76" s="24" t="str">
        <x:v>Yes</x:v>
      </x:c>
      <x:c r="I76" s="24" t="str">
        <x:v>Vampires (c/ sinergia)</x:v>
      </x:c>
      <x:c r="J76" s="24" t="str">
        <x:v>Vampires (c/ sinergia)</x:v>
      </x:c>
      <x:c r="K76" s="36" t="n">
        <x:v>8.5</x:v>
      </x:c>
      <x:c r="L76" s="24" t="str">
        <x:v>A</x:v>
      </x:c>
      <x:c r="M76" s="24" t="str">
        <x:v>CURRENT / RETAIN — V2</x:v>
      </x:c>
      <x:c r="N76" s="24" t="str">
        <x:v>Ascend-powered upkeep reveals a card, drains/gains based on mana value, and provides repeatable card advantage.</x:v>
      </x:c>
      <x:c r="O76" s="24" t="str">
        <x:v>Requires the city's blessing and a full turn-cycle to generate value.</x:v>
      </x:c>
      <x:c r="P76" s="24" t="str">
        <x:v>Draw; drain; Vampire</x:v>
      </x:c>
      <x:c r="Q76" s="24" t="str">
        <x:v>Retain in proposed V2; no cut proposed.</x:v>
      </x:c>
      <x:c r="R76" s="24" t="str">
        <x:v>https://scryfall.com/search?q=%21%22Twilight%20Prophet%22</x:v>
      </x:c>
      <x:c r="S76" s="59" t="str">
        <x:v>Yes</x:v>
      </x:c>
    </x:row>
    <x:row r="77">
      <x:c r="A77" s="24" t="str">
        <x:v>Urborg, Tomb of Yawgmoth</x:v>
      </x:c>
      <x:c r="B77" s="24" t="n">
        <x:v>1</x:v>
      </x:c>
      <x:c r="C77" s="24" t="n">
        <x:v>1</x:v>
      </x:c>
      <x:c r="D77" s="24" t="str">
        <x:v>Land</x:v>
      </x:c>
      <x:c r="E77" s="24" t="str">
        <x:v>Land</x:v>
      </x:c>
      <x:c r="F77" s="24" t="str">
        <x:v>Legendary Land</x:v>
      </x:c>
      <x:c r="G77" s="36" t="n">
        <x:v>0</x:v>
      </x:c>
      <x:c r="H77" s="24" t="str">
        <x:v>No</x:v>
      </x:c>
      <x:c r="I77" s="24" t="str">
        <x:v>Mana base</x:v>
      </x:c>
      <x:c r="J77" s="24" t="str">
        <x:v>Mana base</x:v>
      </x:c>
      <x:c r="K77" s="36" t="n">
        <x:v>9.4</x:v>
      </x:c>
      <x:c r="L77" s="24" t="str">
        <x:v>A</x:v>
      </x:c>
      <x:c r="M77" s="24" t="str">
        <x:v>MANA BASE</x:v>
      </x:c>
      <x:c r="N77" s="24" t="str">
        <x:v>Turns all lands into Swamps and enables explosive Cabal Coffers activations.</x:v>
      </x:c>
      <x:c r="O77" s="24" t="str">
        <x:v>Can also improve opponents' black mana; legendary land redundancy is not relevant in this list.</x:v>
      </x:c>
      <x:c r="P77" s="24" t="str">
        <x:v>Coffers enabler; fixing</x:v>
      </x:c>
      <x:c r="Q77" s="24" t="str">
        <x:v>Preserve in V2; mana slot is allocated once and MDFC role is listed secondarily.</x:v>
      </x:c>
      <x:c r="R77" s="24" t="str">
        <x:v>https://scryfall.com/search?q=%21%22Urborg%2C%20Tomb%20of%20Yawgmoth%22</x:v>
      </x:c>
      <x:c r="S77" s="59" t="str">
        <x:v>No</x:v>
      </x:c>
    </x:row>
    <x:row r="78">
      <x:c r="A78" s="24" t="str">
        <x:v>Vampire of the Dire Moon</x:v>
      </x:c>
      <x:c r="B78" s="24" t="n">
        <x:v>1</x:v>
      </x:c>
      <x:c r="C78" s="24" t="n">
        <x:v>1</x:v>
      </x:c>
      <x:c r="D78" s="24" t="str">
        <x:v>Spell</x:v>
      </x:c>
      <x:c r="E78" s="24" t="str">
        <x:v>Spell</x:v>
      </x:c>
      <x:c r="F78" s="24" t="str">
        <x:v>Creature — Vampire</x:v>
      </x:c>
      <x:c r="G78" s="36" t="n">
        <x:v>1</x:v>
      </x:c>
      <x:c r="H78" s="24" t="str">
        <x:v>Yes</x:v>
      </x:c>
      <x:c r="I78" s="24" t="str">
        <x:v>Vampires (s/ sinergia)</x:v>
      </x:c>
      <x:c r="J78" s="24" t="str">
        <x:v>Vampires (s/ sinergia)</x:v>
      </x:c>
      <x:c r="K78" s="36" t="n">
        <x:v>8.7</x:v>
      </x:c>
      <x:c r="L78" s="24" t="str">
        <x:v>A</x:v>
      </x:c>
      <x:c r="M78" s="24" t="str">
        <x:v>CURRENT / RETAIN — V2</x:v>
      </x:c>
      <x:c r="N78" s="24" t="str">
        <x:v>One-mana lifelink/deathtouch Vampire triggers Vito on combat damage and trades up in combat.</x:v>
      </x:c>
      <x:c r="O78" s="24" t="str">
        <x:v>Small body and vulnerable to incidental removal.</x:v>
      </x:c>
      <x:c r="P78" s="24" t="str">
        <x:v>Early vampire; lifegain</x:v>
      </x:c>
      <x:c r="Q78" s="24" t="str">
        <x:v>Retain in proposed V2; no cut proposed.</x:v>
      </x:c>
      <x:c r="R78" s="24" t="str">
        <x:v>https://scryfall.com/search?q=%21%22Vampire%20of%20the%20Dire%20Moon%22</x:v>
      </x:c>
      <x:c r="S78" s="59" t="str">
        <x:v>Yes</x:v>
      </x:c>
    </x:row>
    <x:row r="79">
      <x:c r="A79" s="24" t="str">
        <x:v>Vampiric Tutor</x:v>
      </x:c>
      <x:c r="B79" s="24" t="n">
        <x:v>1</x:v>
      </x:c>
      <x:c r="C79" s="24" t="n">
        <x:v>1</x:v>
      </x:c>
      <x:c r="D79" s="24" t="str">
        <x:v>Spell</x:v>
      </x:c>
      <x:c r="E79" s="24" t="str">
        <x:v>Spell</x:v>
      </x:c>
      <x:c r="F79" s="24" t="str">
        <x:v>Instant</x:v>
      </x:c>
      <x:c r="G79" s="36" t="n">
        <x:v>1</x:v>
      </x:c>
      <x:c r="H79" s="24" t="str">
        <x:v>No</x:v>
      </x:c>
      <x:c r="I79" s="24" t="str">
        <x:v>Draw + Tutor</x:v>
      </x:c>
      <x:c r="J79" s="24" t="str">
        <x:v>Draw + Tutor</x:v>
      </x:c>
      <x:c r="K79" s="36" t="n">
        <x:v>9.5</x:v>
      </x:c>
      <x:c r="L79" s="24" t="str">
        <x:v>S</x:v>
      </x:c>
      <x:c r="M79" s="24" t="str">
        <x:v>CURRENT / RETAIN — V2</x:v>
      </x:c>
      <x:c r="N79" s="24" t="str">
        <x:v>Efficient instant-speed tutor, enabling a defensive answer or chosen engine at the right time.</x:v>
      </x:c>
      <x:c r="O79" s="24" t="str">
        <x:v>Places card on top and costs two life; using it for combo every game reinforces the known threat.</x:v>
      </x:c>
      <x:c r="P79" s="24" t="str">
        <x:v>Tutor; topdeck setup</x:v>
      </x:c>
      <x:c r="Q79" s="24" t="str">
        <x:v>Retain in proposed V2; no cut proposed.</x:v>
      </x:c>
      <x:c r="R79" s="24" t="str">
        <x:v>https://scryfall.com/search?q=%21%22Vampiric%20Tutor%22</x:v>
      </x:c>
      <x:c r="S79" s="59" t="str">
        <x:v>No</x:v>
      </x:c>
    </x:row>
    <x:row r="80">
      <x:c r="A80" s="24" t="str">
        <x:v>Vein Ripper</x:v>
      </x:c>
      <x:c r="B80" s="24" t="n">
        <x:v>1</x:v>
      </x:c>
      <x:c r="C80" s="24" t="n">
        <x:v>1</x:v>
      </x:c>
      <x:c r="D80" s="24" t="str">
        <x:v>Spell</x:v>
      </x:c>
      <x:c r="E80" s="24" t="str">
        <x:v>Spell</x:v>
      </x:c>
      <x:c r="F80" s="24" t="str">
        <x:v>Creature — Vampire Assassin</x:v>
      </x:c>
      <x:c r="G80" s="36" t="n">
        <x:v>6</x:v>
      </x:c>
      <x:c r="H80" s="24" t="str">
        <x:v>Yes</x:v>
      </x:c>
      <x:c r="I80" s="24" t="str">
        <x:v>Vampires (c/ sinergia)</x:v>
      </x:c>
      <x:c r="J80" s="24" t="str">
        <x:v>Vampires (c/ sinergia)</x:v>
      </x:c>
      <x:c r="K80" s="36" t="n">
        <x:v>9</x:v>
      </x:c>
      <x:c r="L80" s="24" t="str">
        <x:v>A</x:v>
      </x:c>
      <x:c r="M80" s="24" t="str">
        <x:v>CURRENT / RETAIN — V2</x:v>
      </x:c>
      <x:c r="N80" s="24" t="str">
        <x:v>Flying, ward by sacrificing a creature and a strong death-trigger drain/gain engine turn every death into a resource.</x:v>
      </x:c>
      <x:c r="O80" s="24" t="str">
        <x:v>Six mana, and the ward cost needs creatures to sacrifice.</x:v>
      </x:c>
      <x:c r="P80" s="24" t="str">
        <x:v>Death-trigger lifedrain; resilient threat</x:v>
      </x:c>
      <x:c r="Q80" s="24" t="str">
        <x:v>Retain in proposed V2; no cut proposed.</x:v>
      </x:c>
      <x:c r="R80" s="24" t="str">
        <x:v>https://scryfall.com/search?q=%21%22Vein%20Ripper%22</x:v>
      </x:c>
      <x:c r="S80" s="59" t="str">
        <x:v>Yes</x:v>
      </x:c>
    </x:row>
    <x:row r="81">
      <x:c r="A81" s="24" t="str">
        <x:v>War Room</x:v>
      </x:c>
      <x:c r="B81" s="24" t="n">
        <x:v>1</x:v>
      </x:c>
      <x:c r="C81" s="24" t="n">
        <x:v>1</x:v>
      </x:c>
      <x:c r="D81" s="24" t="str">
        <x:v>Land</x:v>
      </x:c>
      <x:c r="E81" s="24" t="str">
        <x:v>Land</x:v>
      </x:c>
      <x:c r="F81" s="24" t="str">
        <x:v>Land</x:v>
      </x:c>
      <x:c r="G81" s="36" t="n">
        <x:v>0</x:v>
      </x:c>
      <x:c r="H81" s="24" t="str">
        <x:v>No</x:v>
      </x:c>
      <x:c r="I81" s="24" t="str">
        <x:v>Mana base</x:v>
      </x:c>
      <x:c r="J81" s="24" t="str">
        <x:v>Mana base</x:v>
      </x:c>
      <x:c r="K81" s="36" t="n">
        <x:v>7.8</x:v>
      </x:c>
      <x:c r="L81" s="24" t="str">
        <x:v>B</x:v>
      </x:c>
      <x:c r="M81" s="24" t="str">
        <x:v>MANA BASE</x:v>
      </x:c>
      <x:c r="N81" s="24" t="str">
        <x:v>Land-slot card draw that can refill after a long game.</x:v>
      </x:c>
      <x:c r="O81" s="24" t="str">
        <x:v>Three mana plus life is a real cost; colorless source in a heavy-black deck.</x:v>
      </x:c>
      <x:c r="P81" s="24" t="str">
        <x:v>Land-based draw</x:v>
      </x:c>
      <x:c r="Q81" s="24" t="str">
        <x:v>Preserve in V2; mana slot is allocated once and MDFC role is listed secondarily.</x:v>
      </x:c>
      <x:c r="R81" s="24" t="str">
        <x:v>https://scryfall.com/search?q=%21%22War%20Room%22</x:v>
      </x:c>
      <x:c r="S81" s="59" t="str">
        <x:v>No</x:v>
      </x:c>
    </x:row>
    <x:row r="82">
      <x:c r="A82" s="24" t="str">
        <x:v>Witch's Cottage</x:v>
      </x:c>
      <x:c r="B82" s="24" t="n">
        <x:v>1</x:v>
      </x:c>
      <x:c r="C82" s="24" t="n">
        <x:v>1</x:v>
      </x:c>
      <x:c r="D82" s="24" t="str">
        <x:v>Land</x:v>
      </x:c>
      <x:c r="E82" s="24" t="str">
        <x:v>Land</x:v>
      </x:c>
      <x:c r="F82" s="24" t="str">
        <x:v>Land</x:v>
      </x:c>
      <x:c r="G82" s="36" t="n">
        <x:v>0</x:v>
      </x:c>
      <x:c r="H82" s="24" t="str">
        <x:v>No</x:v>
      </x:c>
      <x:c r="I82" s="24" t="str">
        <x:v>Mana base</x:v>
      </x:c>
      <x:c r="J82" s="24" t="str">
        <x:v>Mana base</x:v>
      </x:c>
      <x:c r="K82" s="36" t="n">
        <x:v>7.2</x:v>
      </x:c>
      <x:c r="L82" s="24" t="str">
        <x:v>C</x:v>
      </x:c>
      <x:c r="M82" s="24" t="str">
        <x:v>MANA BASE</x:v>
      </x:c>
      <x:c r="N82" s="24" t="str">
        <x:v>Can return a creature from graveyard to the top when three other Swamps are controlled.</x:v>
      </x:c>
      <x:c r="O82" s="24" t="str">
        <x:v>Enters tapped unless the Swamp condition is met; topdeck recovery is slower than hand recursion.</x:v>
      </x:c>
      <x:c r="P82" s="24" t="str">
        <x:v>Land-based recursion</x:v>
      </x:c>
      <x:c r="Q82" s="24" t="str">
        <x:v>Preserve in V2; mana slot is allocated once and MDFC role is listed secondarily.</x:v>
      </x:c>
      <x:c r="R82" s="24" t="str">
        <x:v>https://scryfall.com/search?q=%21%22Witch%27s%20Cottage%22</x:v>
      </x:c>
      <x:c r="S82" s="59" t="str">
        <x:v>No</x:v>
      </x:c>
    </x:row>
    <x:row r="83">
      <x:c r="A83" s="24" t="str">
        <x:v>Withering Torment</x:v>
      </x:c>
      <x:c r="B83" s="24" t="n">
        <x:v>1</x:v>
      </x:c>
      <x:c r="C83" s="24" t="n">
        <x:v>1</x:v>
      </x:c>
      <x:c r="D83" s="24" t="str">
        <x:v>Spell</x:v>
      </x:c>
      <x:c r="E83" s="24" t="str">
        <x:v>Spell</x:v>
      </x:c>
      <x:c r="F83" s="24" t="str">
        <x:v>Instant</x:v>
      </x:c>
      <x:c r="G83" s="36" t="n">
        <x:v>3</x:v>
      </x:c>
      <x:c r="H83" s="24" t="str">
        <x:v>No</x:v>
      </x:c>
      <x:c r="I83" s="24" t="str">
        <x:v>Removal</x:v>
      </x:c>
      <x:c r="J83" s="24" t="str">
        <x:v>Removal</x:v>
      </x:c>
      <x:c r="K83" s="36" t="n">
        <x:v>8.5</x:v>
      </x:c>
      <x:c r="L83" s="24" t="str">
        <x:v>A</x:v>
      </x:c>
      <x:c r="M83" s="24" t="str">
        <x:v>CURRENT / RETAIN — V2</x:v>
      </x:c>
      <x:c r="N83" s="24" t="str">
        <x:v>Flexible instant-speed answer to a creature or enchantment; broad coverage matters in mono-black.</x:v>
      </x:c>
      <x:c r="O83" s="24" t="str">
        <x:v>Requires life payment and is not as efficient as a free removal spell.</x:v>
      </x:c>
      <x:c r="P83" s="24" t="str">
        <x:v>Flexible removal</x:v>
      </x:c>
      <x:c r="Q83" s="24" t="str">
        <x:v>Retain in proposed V2; no cut proposed.</x:v>
      </x:c>
      <x:c r="R83" s="24" t="str">
        <x:v>https://scryfall.com/search?q=%21%22Withering%20Torment%22</x:v>
      </x:c>
      <x:c r="S83" s="59" t="str">
        <x:v>No</x:v>
      </x:c>
    </x:row>
    <x:row r="84">
      <x:c r="A84" s="24" t="str">
        <x:v>Morlun, Devourer of Spiders</x:v>
      </x:c>
      <x:c r="B84" s="24" t="n">
        <x:v>0</x:v>
      </x:c>
      <x:c r="C84" s="24" t="n">
        <x:v>1</x:v>
      </x:c>
      <x:c r="D84" s="24" t="str">
        <x:v>Watchlist</x:v>
      </x:c>
      <x:c r="E84" s="24" t="str">
        <x:v>Spell</x:v>
      </x:c>
      <x:c r="F84" s="24" t="str">
        <x:v>Legendary Creature — Vampire Villain</x:v>
      </x:c>
      <x:c r="G84" s="36" t="n">
        <x:v>2</x:v>
      </x:c>
      <x:c r="H84" s="24" t="str">
        <x:v>Yes</x:v>
      </x:c>
      <x:c r="I84" s="24" t="str">
        <x:v>Watchlist</x:v>
      </x:c>
      <x:c r="J84" s="24" t="str">
        <x:v>Life gain/drain</x:v>
      </x:c>
      <x:c r="K84" s="36" t="n">
        <x:v>9.1</x:v>
      </x:c>
      <x:c r="L84" s="24" t="str">
        <x:v>A</x:v>
      </x:c>
      <x:c r="M84" s="24" t="str">
        <x:v>V2 IN — CORE TEST</x:v>
      </x:c>
      <x:c r="N84" s="24" t="str">
        <x:v>Scalable XBB threat. Enters with X +1/+1 counters and deals X damage to an opponent; its lifelink means the noncombat damage also gains X life, triggering Vito for an additional targeted loss.</x:v>
      </x:c>
      <x:c r="O84" s="24" t="str">
        <x:v>X can consume all available mana and the ETB targets only one opponent. If put onto the battlefield with Sorin, Imperious Bloodlord's -3 rather than cast, X is 0: it enters without counters and deals 0 damage.</x:v>
      </x:c>
      <x:c r="P84" s="24" t="str">
        <x:v>Vampire; lifelink; direct damage; life gain; Vito trigger; scalable finisher</x:v>
      </x:c>
      <x:c r="Q84" s="24" t="str">
        <x:v>V2 IN — high-confidence test; replaces Defiant Bloodlord by lowering top-end cost and giving immediate X-scalable impact.</x:v>
      </x:c>
      <x:c r="R84" s="24" t="str">
        <x:v>https://mtg.wtf/card/spm/257/Morlun-Devourer-of-Spiders</x:v>
      </x:c>
      <x:c r="S84" s="59" t="str">
        <x:v>Yes</x:v>
      </x:c>
    </x:row>
    <x:row r="85">
      <x:c r="A85" s="24" t="str">
        <x:v>Bloodline Recollector</x:v>
      </x:c>
      <x:c r="B85" s="24" t="n">
        <x:v>0</x:v>
      </x:c>
      <x:c r="C85" s="24" t="n">
        <x:v>0</x:v>
      </x:c>
      <x:c r="D85" s="24" t="str">
        <x:v>Watchlist</x:v>
      </x:c>
      <x:c r="E85" s="24" t="str">
        <x:v>Watchlist</x:v>
      </x:c>
      <x:c r="F85" s="24" t="str">
        <x:v>Creature — Vampire Warlock</x:v>
      </x:c>
      <x:c r="G85" s="36" t="n">
        <x:v>2</x:v>
      </x:c>
      <x:c r="H85" s="24" t="str">
        <x:v>Yes</x:v>
      </x:c>
      <x:c r="I85" s="24" t="str">
        <x:v>Watchlist</x:v>
      </x:c>
      <x:c r="J85" s="24" t="str">
        <x:v>Watchlist</x:v>
      </x:c>
      <x:c r="K85" s="36" t="n">
        <x:v>8.5</x:v>
      </x:c>
      <x:c r="L85" s="24" t="str">
        <x:v>B</x:v>
      </x:c>
      <x:c r="M85" s="24" t="str">
        <x:v>WATCHLIST — NOT IN V2</x:v>
      </x:c>
      <x:c r="N85" s="24" t="str">
        <x:v>Two-mana Vampire with a repeatable prepared copy of Ancestral Craving ({B}: target player draws three and loses three) when three or more creatures died that turn; excellent role compression when boards trade or a wipe resolves.</x:v>
      </x:c>
      <x:c r="O85" s="24" t="str">
        <x:v>The three-deaths threshold is not guaranteed in every turn cycle. Necrodominance's graveyard replacement effect prevents creatures from dying while it applies, disabling this trigger; this candidate must be sequenced around Necrodominance.</x:v>
      </x:c>
      <x:c r="P85" s="24" t="str">
        <x:v>Vampire; conditional draw engine; life loss; resource recovery</x:v>
      </x:c>
      <x:c r="Q85" s="24" t="str">
        <x:v>WATCHLIST A — test in death-heavy pods; possible cut comparison: Sanguine Spy or a less productive draw slot, but do not swap blindly.</x:v>
      </x:c>
      <x:c r="R85" s="24" t="str">
        <x:v>https://mtg.wtf/card/fra/49a/Bloodline-Recollector</x:v>
      </x:c>
      <x:c r="S85" s="59" t="str">
        <x:v>Yes</x:v>
      </x:c>
    </x:row>
    <x:row r="86">
      <x:c r="A86" s="24" t="str">
        <x:v>Vengeful Bloodwitch</x:v>
      </x:c>
      <x:c r="B86" s="24" t="n">
        <x:v>0</x:v>
      </x:c>
      <x:c r="C86" s="24" t="n">
        <x:v>0</x:v>
      </x:c>
      <x:c r="D86" s="24" t="str">
        <x:v>Watchlist</x:v>
      </x:c>
      <x:c r="E86" s="24" t="str">
        <x:v>Watchlist</x:v>
      </x:c>
      <x:c r="F86" s="24" t="str">
        <x:v>Creature — Vampire Warlock</x:v>
      </x:c>
      <x:c r="G86" s="36" t="n">
        <x:v>2</x:v>
      </x:c>
      <x:c r="H86" s="24" t="str">
        <x:v>Yes</x:v>
      </x:c>
      <x:c r="I86" s="24" t="str">
        <x:v>Watchlist</x:v>
      </x:c>
      <x:c r="J86" s="24" t="str">
        <x:v>Watchlist</x:v>
      </x:c>
      <x:c r="K86" s="36" t="n">
        <x:v>8</x:v>
      </x:c>
      <x:c r="L86" s="24" t="str">
        <x:v>B</x:v>
      </x:c>
      <x:c r="M86" s="24" t="str">
        <x:v>WATCHLIST — NOT IN V2</x:v>
      </x:c>
      <x:c r="N86" s="24" t="str">
        <x:v>Two-mana Vampire that triggers when it or another creature you control dies, causing an opponent to lose one life while you gain one; each death can become a Vito trigger as well.</x:v>
      </x:c>
      <x:c r="O86" s="24" t="str">
        <x:v>Requires deaths you control and competes with Necrodominance's replacement effect; as a 1/1 it is fragile and doesn't drain by itself until the death engine runs.</x:v>
      </x:c>
      <x:c r="P86" s="24" t="str">
        <x:v>Vampire; death payoff; lifegain; Vito trigger; supports Meathook/Blood Artist</x:v>
      </x:c>
      <x:c r="Q86" s="24" t="str">
        <x:v>WATCHLIST B — consider only if intentionally leaning further into death-trigger lifedrain; sequence against Necrodominance.</x:v>
      </x:c>
      <x:c r="R86" s="24" t="str">
        <x:v>https://mtg.wtf/card/fdn/76/Vengeful-Bloodwitch</x:v>
      </x:c>
      <x:c r="S86" s="59" t="str">
        <x:v>Yes</x:v>
      </x:c>
    </x:row>
    <x:row r="87">
      <x:c r="A87" s="24" t="str">
        <x:v>Nazar, the Velvet Fang</x:v>
      </x:c>
      <x:c r="B87" s="24" t="n">
        <x:v>0</x:v>
      </x:c>
      <x:c r="C87" s="24" t="n">
        <x:v>0</x:v>
      </x:c>
      <x:c r="D87" s="24" t="str">
        <x:v>Watchlist</x:v>
      </x:c>
      <x:c r="E87" s="24" t="str">
        <x:v>Watchlist</x:v>
      </x:c>
      <x:c r="F87" s="24" t="str">
        <x:v>Legendary Creature — Vampire Warlock</x:v>
      </x:c>
      <x:c r="G87" s="36" t="n">
        <x:v>4</x:v>
      </x:c>
      <x:c r="H87" s="24" t="str">
        <x:v>Yes</x:v>
      </x:c>
      <x:c r="I87" s="24" t="str">
        <x:v>Watchlist</x:v>
      </x:c>
      <x:c r="J87" s="24" t="str">
        <x:v>Watchlist</x:v>
      </x:c>
      <x:c r="K87" s="36" t="n">
        <x:v>7.7</x:v>
      </x:c>
      <x:c r="L87" s="24" t="str">
        <x:v>B</x:v>
      </x:c>
      <x:c r="M87" s="24" t="str">
        <x:v>WATCHLIST — NOT IN V2</x:v>
      </x:c>
      <x:c r="N87" s="24" t="str">
        <x:v>Vampire with menace that accumulates feeding counters whenever you gain life; on attack, can trade three counters for three cards.</x:v>
      </x:c>
      <x:c r="O87" s="24" t="str">
        <x:v>Four-mana setup plus attack requirement; the deck already has powerful draw engines and needs early pressure more than another slow value piece.</x:v>
      </x:c>
      <x:c r="P87" s="24" t="str">
        <x:v>Vampire; conditional card draw; lifegain payoff; menace</x:v>
      </x:c>
      <x:c r="Q87" s="24" t="str">
        <x:v>WATCHLIST C — attractive grind option, lower priority than 2-mana Vampires and the requested new cards.</x:v>
      </x:c>
      <x:c r="R87" s="24" t="str">
        <x:v>https://scryfall.com/search?q=%21%22Nazar%2C%20the%20Velvet%20Fang%22</x:v>
      </x:c>
      <x:c r="S87" s="59" t="str">
        <x:v>Yes</x:v>
      </x:c>
    </x:row>
    <x:row r="88">
      <x:c r="A88" s="24" t="str">
        <x:v>Sanguine Syphoner</x:v>
      </x:c>
      <x:c r="B88" s="24" t="n">
        <x:v>0</x:v>
      </x:c>
      <x:c r="C88" s="24" t="n">
        <x:v>1</x:v>
      </x:c>
      <x:c r="D88" s="24" t="str">
        <x:v>Watchlist</x:v>
      </x:c>
      <x:c r="E88" s="24" t="str">
        <x:v>Spell</x:v>
      </x:c>
      <x:c r="F88" s="24" t="str">
        <x:v>Creature — Vampire Warlock</x:v>
      </x:c>
      <x:c r="G88" s="36" t="n">
        <x:v>2</x:v>
      </x:c>
      <x:c r="H88" s="24" t="str">
        <x:v>Yes</x:v>
      </x:c>
      <x:c r="I88" s="24" t="str">
        <x:v>Watchlist</x:v>
      </x:c>
      <x:c r="J88" s="24" t="str">
        <x:v>Life gain/drain</x:v>
      </x:c>
      <x:c r="K88" s="36" t="n">
        <x:v>8.9</x:v>
      </x:c>
      <x:c r="L88" s="24" t="str">
        <x:v>A</x:v>
      </x:c>
      <x:c r="M88" s="24" t="str">
        <x:v>V2 IN — CORE TEST</x:v>
      </x:c>
      <x:c r="N88" s="24" t="str">
        <x:v>Two-mana Vampire whose attack trigger drains each opponent for 1 and gains you 1; Vito can add targeted loss, without needing combat damage to connect.</x:v>
      </x:c>
      <x:c r="O88" s="24" t="str">
        <x:v>Needs to attack; small body and incremental output, but excellent early-game fit.</x:v>
      </x:c>
      <x:c r="P88" s="24" t="str">
        <x:v>Group drain; life gain; new Vampire</x:v>
      </x:c>
      <x:c r="Q88" s="24" t="str">
        <x:v>V2 IN — two-mana Vampire; attack trigger drains every opponent without requiring combat damage to connect.</x:v>
      </x:c>
      <x:c r="R88" s="24" t="str">
        <x:v>https://mtg.wtf/card/fdn/68/Sanguine-Syphoner</x:v>
      </x:c>
      <x:c r="S88" s="59" t="str">
        <x:v>Yes</x:v>
      </x:c>
    </x:row>
    <x:row r="89">
      <x:c r="A89" s="24" t="str">
        <x:v>Scheming Silvertongue</x:v>
      </x:c>
      <x:c r="B89" s="24" t="n">
        <x:v>0</x:v>
      </x:c>
      <x:c r="C89" s="24" t="n">
        <x:v>1</x:v>
      </x:c>
      <x:c r="D89" s="24" t="str">
        <x:v>Watchlist</x:v>
      </x:c>
      <x:c r="E89" s="24" t="str">
        <x:v>Spell</x:v>
      </x:c>
      <x:c r="F89" s="24" t="str">
        <x:v>Creature — Vampire Warlock</x:v>
      </x:c>
      <x:c r="G89" s="36" t="n">
        <x:v>2</x:v>
      </x:c>
      <x:c r="H89" s="24" t="str">
        <x:v>Yes</x:v>
      </x:c>
      <x:c r="I89" s="24" t="str">
        <x:v>Watchlist</x:v>
      </x:c>
      <x:c r="J89" s="24" t="str">
        <x:v>Vampires (c/ sinergia)</x:v>
      </x:c>
      <x:c r="K89" s="36" t="n">
        <x:v>8.8</x:v>
      </x:c>
      <x:c r="L89" s="24" t="str">
        <x:v>A</x:v>
      </x:c>
      <x:c r="M89" s="24" t="str">
        <x:v>V2 IN — CORE TEST</x:v>
      </x:c>
      <x:c r="N89" s="24" t="str">
        <x:v>Two-mana flying lifelink Vampire; if you gained at least two life by second main phase, it becomes prepared and supplies a copy of Sign in Blood.</x:v>
      </x:c>
      <x:c r="O89" s="24" t="str">
        <x:v>The extra draw is conditional and one-point lifelink alone is not enough; best in turns with multiple life-gain events.</x:v>
      </x:c>
      <x:c r="P89" s="24" t="str">
        <x:v>Evasion; lifegain; conditional draw</x:v>
      </x:c>
      <x:c r="Q89" s="24" t="str">
        <x:v>V2 IN — two-mana flying/lifelink Vampire with conditional prepared Sign in Blood copy; test the 2-life threshold in actual turns.</x:v>
      </x:c>
      <x:c r="R89" s="24" t="str">
        <x:v>https://mtg.wtf/card/sos/329a/Scheming-Silvertongue</x:v>
      </x:c>
      <x:c r="S89" s="59" t="str">
        <x:v>Yes</x:v>
      </x:c>
    </x:row>
    <x:row r="90">
      <x:c r="A90" s="25" t="str">
        <x:v>Stensian Sanguinist</x:v>
      </x:c>
      <x:c r="B90" s="25" t="n">
        <x:v>0</x:v>
      </x:c>
      <x:c r="C90" s="25" t="n">
        <x:v>0</x:v>
      </x:c>
      <x:c r="D90" s="25" t="str">
        <x:v>Watchlist</x:v>
      </x:c>
      <x:c r="E90" s="25" t="str">
        <x:v>Watchlist</x:v>
      </x:c>
      <x:c r="F90" s="25" t="str">
        <x:v>Creature — Vampire Cleric</x:v>
      </x:c>
      <x:c r="G90" s="37" t="n">
        <x:v>2</x:v>
      </x:c>
      <x:c r="H90" s="25" t="str">
        <x:v>Yes</x:v>
      </x:c>
      <x:c r="I90" s="25" t="str">
        <x:v>Watchlist</x:v>
      </x:c>
      <x:c r="J90" s="25" t="str">
        <x:v>Watchlist</x:v>
      </x:c>
      <x:c r="K90" s="37" t="n">
        <x:v>8.4</x:v>
      </x:c>
      <x:c r="L90" s="25" t="str">
        <x:v>B</x:v>
      </x:c>
      <x:c r="M90" s="25" t="str">
        <x:v>WATCHLIST — NOT IN V2</x:v>
      </x:c>
      <x:c r="N90" s="25" t="str">
        <x:v>Two-mana Vampire grants deathtouch to an attacker and can prepare a castable copy of Exsanguinate when that creature connects.</x:v>
      </x:c>
      <x:c r="O90" s="25" t="str">
        <x:v>Requires an attack to connect and still needs mana for the X spell; test whether this is reliable at your tables.</x:v>
      </x:c>
      <x:c r="P90" s="25" t="str">
        <x:v>Deathtouch support; Exsanguinate copy</x:v>
      </x:c>
      <x:c r="Q90" s="25" t="str">
        <x:v>Not an automatic inclusion; test against current slots</x:v>
      </x:c>
      <x:c r="R90" s="25" t="str">
        <x:v>https://mtg.wtf/card/soc/29a/Stensian-Sanguinist</x:v>
      </x:c>
      <x:c r="S90" s="59" t="str">
        <x:v>Yes</x:v>
      </x:c>
    </x:row>
    <x:row r="91">
      <x:c r="A91" s="59" t="str">
        <x:v>Emeritus of Woe</x:v>
      </x:c>
      <x:c r="B91" s="59" t="n">
        <x:v>0</x:v>
      </x:c>
      <x:c r="C91" s="59" t="n">
        <x:v>1</x:v>
      </x:c>
      <x:c r="D91" s="59" t="str">
        <x:v>Watchlist</x:v>
      </x:c>
      <x:c r="E91" s="59" t="str">
        <x:v>Spell</x:v>
      </x:c>
      <x:c r="F91" s="59" t="str">
        <x:v>Creature — Vampire Warlock</x:v>
      </x:c>
      <x:c r="G91" s="60" t="n">
        <x:v>4</x:v>
      </x:c>
      <x:c r="H91" s="59" t="str">
        <x:v>Yes</x:v>
      </x:c>
      <x:c r="I91" s="59" t="str">
        <x:v>Watchlist</x:v>
      </x:c>
      <x:c r="J91" s="59" t="str">
        <x:v>Vampires (c/ sinergia)</x:v>
      </x:c>
      <x:c r="K91" s="60" t="n">
        <x:v>8.8</x:v>
      </x:c>
      <x:c r="L91" s="59" t="str">
        <x:v>A</x:v>
      </x:c>
      <x:c r="M91" s="59" t="str">
        <x:v>V2 IN — CORE TEST</x:v>
      </x:c>
      <x:c r="N91" s="59" t="str">
        <x:v>5/4 Vampire with a prepared Demonic Tutor copy; at an appropriate end step can re-prepare if two or more creatures died that turn. Strong body + tutor role compression.</x:v>
      </x:c>
      <x:c r="O91" s="59" t="str">
        <x:v>The first tutor line is six total mana if cast normally (4 + 2); its re-prepare condition is not guaranteed and increases table attention.</x:v>
      </x:c>
      <x:c r="P91" s="59" t="str">
        <x:v>Vampire; tutor; conditional repeat value; board pressure</x:v>
      </x:c>
      <x:c r="Q91" s="59" t="str">
        <x:v>V2 IN — replaces a generic tutor with a Vampire body and a castable tutor copy; not a strict rate upgrade. Can search fair lines, not only combos.</x:v>
      </x:c>
      <x:c r="R91" s="59" t="str">
        <x:v>https://mtg.wtf/card/sos/80a/Emeritus-of-Woe</x:v>
      </x:c>
      <x:c r="S91" s="59" t="str">
        <x:v>Yes</x:v>
      </x:c>
    </x:row>
    <x:row r="92">
      <x:c r="A92" s="59" t="str">
        <x:v>Defiling Daemogoth</x:v>
      </x:c>
      <x:c r="B92" s="59" t="n">
        <x:v>0</x:v>
      </x:c>
      <x:c r="C92" s="59" t="n">
        <x:v>0</x:v>
      </x:c>
      <x:c r="D92" s="59" t="str">
        <x:v>Watchlist</x:v>
      </x:c>
      <x:c r="E92" s="59" t="str">
        <x:v>Watchlist</x:v>
      </x:c>
      <x:c r="F92" s="59" t="str">
        <x:v>Creature — Demon</x:v>
      </x:c>
      <x:c r="G92" s="60" t="n">
        <x:v>5</x:v>
      </x:c>
      <x:c r="H92" s="59" t="str">
        <x:v>No</x:v>
      </x:c>
      <x:c r="I92" s="59" t="str">
        <x:v>Watchlist</x:v>
      </x:c>
      <x:c r="J92" s="59" t="str">
        <x:v>Watchlist</x:v>
      </x:c>
      <x:c r="K92" s="60" t="n">
        <x:v>7.2</x:v>
      </x:c>
      <x:c r="L92" s="59" t="str">
        <x:v>C</x:v>
      </x:c>
      <x:c r="M92" s="59" t="str">
        <x:v>WATCHLIST — NOT IN V2</x:v>
      </x:c>
      <x:c r="N92" s="59" t="str">
        <x:v>Turns life gained through combat into end-step loss for every opponent.</x:v>
      </x:c>
      <x:c r="O92" s="59" t="str">
        <x:v>Not a Vampire; expensive and its payoff can be removed before end step.</x:v>
      </x:c>
      <x:c r="P92" s="59" t="str">
        <x:v>Group drain; nontribal</x:v>
      </x:c>
      <x:c r="Q92" s="59" t="str">
        <x:v>Not an automatic inclusion; test against current slots</x:v>
      </x:c>
      <x:c r="R92" s="59" t="str">
        <x:v>https://scryfall.com/search?q=%21%22Defiling%20Daemogoth%22</x:v>
      </x:c>
      <x:c r="S92" s="59" t="str">
        <x:v>Yes</x:v>
      </x:c>
    </x:row>
    <x:row r="93">
      <x:c r="A93" s="59" t="str">
        <x:v>Moseo, Vein's New Dean</x:v>
      </x:c>
      <x:c r="B93" s="59" t="n">
        <x:v>0</x:v>
      </x:c>
      <x:c r="C93" s="59" t="n">
        <x:v>0</x:v>
      </x:c>
      <x:c r="D93" s="59" t="str">
        <x:v>Watchlist</x:v>
      </x:c>
      <x:c r="E93" s="59" t="str">
        <x:v>Watchlist</x:v>
      </x:c>
      <x:c r="F93" s="59" t="str">
        <x:v>Legendary Creature — Bird Skeleton Warlock</x:v>
      </x:c>
      <x:c r="G93" s="60" t="n">
        <x:v>3</x:v>
      </x:c>
      <x:c r="H93" s="59" t="str">
        <x:v>No</x:v>
      </x:c>
      <x:c r="I93" s="59" t="str">
        <x:v>Watchlist</x:v>
      </x:c>
      <x:c r="J93" s="59" t="str">
        <x:v>Watchlist</x:v>
      </x:c>
      <x:c r="K93" s="60" t="n">
        <x:v>6.8</x:v>
      </x:c>
      <x:c r="L93" s="59" t="str">
        <x:v>C</x:v>
      </x:c>
      <x:c r="M93" s="59" t="str">
        <x:v>WATCHLIST — NOT IN V2</x:v>
      </x:c>
      <x:c r="N93" s="59" t="str">
        <x:v>Makes a small life-gain Pest and can recur a creature when enough life was gained in a turn.</x:v>
      </x:c>
      <x:c r="O93" s="59" t="str">
        <x:v>Not a Vampire and its recursion threshold is more demanding for high-mana creatures.</x:v>
      </x:c>
      <x:c r="P93" s="59" t="str">
        <x:v>Lifegain; recursion; recent card</x:v>
      </x:c>
      <x:c r="Q93" s="59" t="str">
        <x:v>Not an automatic inclusion; test against current slots</x:v>
      </x:c>
      <x:c r="R93" s="59" t="str">
        <x:v>https://scryfall.com/search?q=%21%22Moseo%2C%20Vein%27s%20New%20Dean%22</x:v>
      </x:c>
      <x:c r="S93" s="59" t="str">
        <x:v>Yes</x:v>
      </x:c>
    </x:row>
    <x:row r="94">
      <x:c r="A94" s="59"/>
      <x:c r="B94" s="59"/>
      <x:c r="C94" s="59"/>
      <x:c r="D94" s="59"/>
      <x:c r="E94" s="59"/>
      <x:c r="F94" s="59"/>
      <x:c r="G94" s="60"/>
      <x:c r="H94" s="59"/>
      <x:c r="I94" s="59"/>
      <x:c r="J94" s="59"/>
      <x:c r="K94" s="60"/>
      <x:c r="L94" s="59"/>
      <x:c r="M94" s="59"/>
      <x:c r="N94" s="59"/>
      <x:c r="O94" s="59"/>
      <x:c r="P94" s="59"/>
      <x:c r="Q94" s="59"/>
      <x:c r="R94" s="59"/>
      <x:c r="S94" s="59"/>
    </x:row>
    <x:row r="95">
      <x:c r="A95" s="59"/>
      <x:c r="B95" s="59"/>
      <x:c r="C95" s="59"/>
      <x:c r="D95" s="59"/>
      <x:c r="E95" s="59"/>
      <x:c r="F95" s="59"/>
      <x:c r="G95" s="60"/>
      <x:c r="H95" s="59"/>
      <x:c r="I95" s="59"/>
      <x:c r="J95" s="59"/>
      <x:c r="K95" s="60"/>
      <x:c r="L95" s="59"/>
      <x:c r="M95" s="59"/>
      <x:c r="N95" s="59"/>
      <x:c r="O95" s="59"/>
      <x:c r="P95" s="59"/>
      <x:c r="Q95" s="59"/>
      <x:c r="R95" s="59"/>
      <x:c r="S95" s="59"/>
    </x:row>
    <x:row r="96">
      <x:c r="A96" s="59"/>
      <x:c r="B96" s="59"/>
      <x:c r="C96" s="59"/>
      <x:c r="D96" s="59"/>
      <x:c r="E96" s="59"/>
      <x:c r="F96" s="59"/>
      <x:c r="G96" s="60"/>
      <x:c r="H96" s="59"/>
      <x:c r="I96" s="59"/>
      <x:c r="J96" s="59"/>
      <x:c r="K96" s="60"/>
      <x:c r="L96" s="59"/>
      <x:c r="M96" s="59"/>
      <x:c r="N96" s="59"/>
      <x:c r="O96" s="59"/>
      <x:c r="P96" s="59"/>
      <x:c r="Q96" s="59"/>
      <x:c r="R96" s="59"/>
      <x:c r="S96" s="59"/>
    </x:row>
    <x:row r="97">
      <x:c r="A97" s="59"/>
      <x:c r="B97" s="59"/>
      <x:c r="C97" s="59"/>
      <x:c r="D97" s="59"/>
      <x:c r="E97" s="59"/>
      <x:c r="F97" s="59"/>
      <x:c r="G97" s="60"/>
      <x:c r="H97" s="59"/>
      <x:c r="I97" s="59"/>
      <x:c r="J97" s="59"/>
      <x:c r="K97" s="60"/>
      <x:c r="L97" s="59"/>
      <x:c r="M97" s="59"/>
      <x:c r="N97" s="59"/>
      <x:c r="O97" s="59"/>
      <x:c r="P97" s="59"/>
      <x:c r="Q97" s="59"/>
      <x:c r="R97" s="59"/>
      <x:c r="S97" s="59"/>
    </x:row>
    <x:row r="98">
      <x:c r="A98" s="59"/>
      <x:c r="B98" s="59"/>
      <x:c r="C98" s="59"/>
      <x:c r="D98" s="59"/>
      <x:c r="E98" s="59"/>
      <x:c r="F98" s="59"/>
      <x:c r="G98" s="60"/>
      <x:c r="H98" s="59"/>
      <x:c r="I98" s="59"/>
      <x:c r="J98" s="59"/>
      <x:c r="K98" s="60"/>
      <x:c r="L98" s="59"/>
      <x:c r="M98" s="59"/>
      <x:c r="N98" s="59"/>
      <x:c r="O98" s="59"/>
      <x:c r="P98" s="59"/>
      <x:c r="Q98" s="59"/>
      <x:c r="R98" s="59"/>
      <x:c r="S98" s="59"/>
    </x:row>
    <x:row r="99">
      <x:c r="A99" s="59"/>
      <x:c r="B99" s="59"/>
      <x:c r="C99" s="59"/>
      <x:c r="D99" s="59"/>
      <x:c r="E99" s="59"/>
      <x:c r="F99" s="59"/>
      <x:c r="G99" s="60"/>
      <x:c r="H99" s="59"/>
      <x:c r="I99" s="59"/>
      <x:c r="J99" s="59"/>
      <x:c r="K99" s="60"/>
      <x:c r="L99" s="59"/>
      <x:c r="M99" s="59"/>
      <x:c r="N99" s="59"/>
      <x:c r="O99" s="59"/>
      <x:c r="P99" s="59"/>
      <x:c r="Q99" s="59"/>
      <x:c r="R99" s="59"/>
      <x:c r="S99" s="59"/>
    </x:row>
    <x:row r="100">
      <x:c r="A100" s="59"/>
      <x:c r="B100" s="59"/>
      <x:c r="C100" s="59"/>
      <x:c r="D100" s="59"/>
      <x:c r="E100" s="59"/>
      <x:c r="F100" s="59"/>
      <x:c r="G100" s="60"/>
      <x:c r="H100" s="59"/>
      <x:c r="I100" s="59"/>
      <x:c r="J100" s="59"/>
      <x:c r="K100" s="60"/>
      <x:c r="L100" s="59"/>
      <x:c r="M100" s="59"/>
      <x:c r="N100" s="59"/>
      <x:c r="O100" s="59"/>
      <x:c r="P100" s="59"/>
      <x:c r="Q100" s="59"/>
      <x:c r="R100" s="59"/>
      <x:c r="S100" s="59"/>
    </x:row>
    <x:row r="101">
      <x:c r="A101" s="59"/>
      <x:c r="B101" s="59"/>
      <x:c r="C101" s="59"/>
      <x:c r="D101" s="59"/>
      <x:c r="E101" s="59"/>
      <x:c r="F101" s="59"/>
      <x:c r="G101" s="60"/>
      <x:c r="H101" s="59"/>
      <x:c r="I101" s="59"/>
      <x:c r="J101" s="59"/>
      <x:c r="K101" s="60"/>
      <x:c r="L101" s="59"/>
      <x:c r="M101" s="59"/>
      <x:c r="N101" s="59"/>
      <x:c r="O101" s="59"/>
      <x:c r="P101" s="59"/>
      <x:c r="Q101" s="59"/>
      <x:c r="R101" s="59"/>
      <x:c r="S101" s="59"/>
    </x:row>
    <x:row r="102">
      <x:c r="A102" s="59"/>
      <x:c r="B102" s="59"/>
      <x:c r="C102" s="59"/>
      <x:c r="D102" s="59"/>
      <x:c r="E102" s="59"/>
      <x:c r="F102" s="59"/>
      <x:c r="G102" s="60"/>
      <x:c r="H102" s="59"/>
      <x:c r="I102" s="59"/>
      <x:c r="J102" s="59"/>
      <x:c r="K102" s="60"/>
      <x:c r="L102" s="59"/>
      <x:c r="M102" s="59"/>
      <x:c r="N102" s="59"/>
      <x:c r="O102" s="59"/>
      <x:c r="P102" s="59"/>
      <x:c r="Q102" s="59"/>
      <x:c r="R102" s="59"/>
      <x:c r="S102" s="59"/>
    </x:row>
    <x:row r="103">
      <x:c r="A103" s="59"/>
      <x:c r="B103" s="59"/>
      <x:c r="C103" s="59"/>
      <x:c r="D103" s="59"/>
      <x:c r="E103" s="59"/>
      <x:c r="F103" s="59"/>
      <x:c r="G103" s="60"/>
      <x:c r="H103" s="59"/>
      <x:c r="I103" s="59"/>
      <x:c r="J103" s="59"/>
      <x:c r="K103" s="60"/>
      <x:c r="L103" s="59"/>
      <x:c r="M103" s="59"/>
      <x:c r="N103" s="59"/>
      <x:c r="O103" s="59"/>
      <x:c r="P103" s="59"/>
      <x:c r="Q103" s="59"/>
      <x:c r="R103" s="59"/>
      <x:c r="S103" s="59"/>
    </x:row>
    <x:row r="104">
      <x:c r="A104" s="59"/>
      <x:c r="B104" s="59"/>
      <x:c r="C104" s="59"/>
      <x:c r="D104" s="59"/>
      <x:c r="E104" s="59"/>
      <x:c r="F104" s="59"/>
      <x:c r="G104" s="60"/>
      <x:c r="H104" s="59"/>
      <x:c r="I104" s="59"/>
      <x:c r="J104" s="59"/>
      <x:c r="K104" s="60"/>
      <x:c r="L104" s="59"/>
      <x:c r="M104" s="59"/>
      <x:c r="N104" s="59"/>
      <x:c r="O104" s="59"/>
      <x:c r="P104" s="59"/>
      <x:c r="Q104" s="59"/>
      <x:c r="R104" s="59"/>
      <x:c r="S104" s="59"/>
    </x:row>
    <x:row r="105">
      <x:c r="A105" s="59"/>
      <x:c r="B105" s="59"/>
      <x:c r="C105" s="59"/>
      <x:c r="D105" s="59"/>
      <x:c r="E105" s="59"/>
      <x:c r="F105" s="59"/>
      <x:c r="G105" s="60"/>
      <x:c r="H105" s="59"/>
      <x:c r="I105" s="59"/>
      <x:c r="J105" s="59"/>
      <x:c r="K105" s="60"/>
      <x:c r="L105" s="59"/>
      <x:c r="M105" s="59"/>
      <x:c r="N105" s="59"/>
      <x:c r="O105" s="59"/>
      <x:c r="P105" s="59"/>
      <x:c r="Q105" s="59"/>
      <x:c r="R105" s="59"/>
      <x:c r="S105" s="59"/>
    </x:row>
    <x:row r="106">
      <x:c r="A106" s="59"/>
      <x:c r="B106" s="59"/>
      <x:c r="C106" s="59"/>
      <x:c r="D106" s="59"/>
      <x:c r="E106" s="59"/>
      <x:c r="F106" s="59"/>
      <x:c r="G106" s="60"/>
      <x:c r="H106" s="59"/>
      <x:c r="I106" s="59"/>
      <x:c r="J106" s="59"/>
      <x:c r="K106" s="60"/>
      <x:c r="L106" s="59"/>
      <x:c r="M106" s="59"/>
      <x:c r="N106" s="59"/>
      <x:c r="O106" s="59"/>
      <x:c r="P106" s="59"/>
      <x:c r="Q106" s="59"/>
      <x:c r="R106" s="59"/>
      <x:c r="S106" s="59"/>
    </x:row>
    <x:row r="107">
      <x:c r="A107" s="59"/>
      <x:c r="B107" s="59"/>
      <x:c r="C107" s="59"/>
      <x:c r="D107" s="59"/>
      <x:c r="E107" s="59"/>
      <x:c r="F107" s="59"/>
      <x:c r="G107" s="60"/>
      <x:c r="H107" s="59"/>
      <x:c r="I107" s="59"/>
      <x:c r="J107" s="59"/>
      <x:c r="K107" s="60"/>
      <x:c r="L107" s="59"/>
      <x:c r="M107" s="59"/>
      <x:c r="N107" s="59"/>
      <x:c r="O107" s="59"/>
      <x:c r="P107" s="59"/>
      <x:c r="Q107" s="59"/>
      <x:c r="R107" s="59"/>
      <x:c r="S107" s="59"/>
    </x:row>
    <x:row r="108">
      <x:c r="A108" s="59"/>
      <x:c r="B108" s="59"/>
      <x:c r="C108" s="59"/>
      <x:c r="D108" s="59"/>
      <x:c r="E108" s="59"/>
      <x:c r="F108" s="59"/>
      <x:c r="G108" s="60"/>
      <x:c r="H108" s="59"/>
      <x:c r="I108" s="59"/>
      <x:c r="J108" s="59"/>
      <x:c r="K108" s="60"/>
      <x:c r="L108" s="59"/>
      <x:c r="M108" s="59"/>
      <x:c r="N108" s="59"/>
      <x:c r="O108" s="59"/>
      <x:c r="P108" s="59"/>
      <x:c r="Q108" s="59"/>
      <x:c r="R108" s="59"/>
      <x:c r="S108" s="59"/>
    </x:row>
    <x:row r="109">
      <x:c r="A109" s="59"/>
      <x:c r="B109" s="59"/>
      <x:c r="C109" s="59"/>
      <x:c r="D109" s="59"/>
      <x:c r="E109" s="59"/>
      <x:c r="F109" s="59"/>
      <x:c r="G109" s="60"/>
      <x:c r="H109" s="59"/>
      <x:c r="I109" s="59"/>
      <x:c r="J109" s="59"/>
      <x:c r="K109" s="60"/>
      <x:c r="L109" s="59"/>
      <x:c r="M109" s="59"/>
      <x:c r="N109" s="59"/>
      <x:c r="O109" s="59"/>
      <x:c r="P109" s="59"/>
      <x:c r="Q109" s="59"/>
      <x:c r="R109" s="59"/>
      <x:c r="S109" s="59"/>
    </x:row>
    <x:row r="110">
      <x:c r="A110" s="59"/>
      <x:c r="B110" s="59"/>
      <x:c r="C110" s="59"/>
      <x:c r="D110" s="59"/>
      <x:c r="E110" s="59"/>
      <x:c r="F110" s="59"/>
      <x:c r="G110" s="60"/>
      <x:c r="H110" s="59"/>
      <x:c r="I110" s="59"/>
      <x:c r="J110" s="59"/>
      <x:c r="K110" s="60"/>
      <x:c r="L110" s="59"/>
      <x:c r="M110" s="59"/>
      <x:c r="N110" s="59"/>
      <x:c r="O110" s="59"/>
      <x:c r="P110" s="59"/>
      <x:c r="Q110" s="59"/>
      <x:c r="R110" s="59"/>
      <x:c r="S110" s="59"/>
    </x:row>
  </x:sheetData>
  <x:mergeCells>
    <x:mergeCell ref="A1:R1"/>
  </x:mergeCells>
  <x:conditionalFormatting sqref="K3:K90">
    <x:cfRule type="colorScale" priority="1">
      <x:colorScale>
        <x:cfvo type="min"/>
        <x:cfvo type="percentile" val="50"/>
        <x:cfvo type="max"/>
        <x:color rgb="FFFECACA"/>
        <x:color rgb="FFFEF3C7"/>
        <x:color rgb="FFBBF7D0"/>
      </x:colorScale>
    </x:cfRule>
  </x:conditionalFormatting>
  <x:pageMargins left="0.7" right="0.7" top="0.75" bottom="0.75" header="0.3" footer="0.3"/>
  <x:tableParts count="1">
    <x:tablePart xmlns:r="http://schemas.openxmlformats.org/officeDocument/2006/relationships" r:id="R6091f58df6c041ed"/>
  </x:tableParts>
</x:worksheet>
</file>

<file path=xl/worksheets/sheet3.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8" hidden="0" customWidth="1"/>
    <x:col min="2" max="2" width="10" hidden="0" customWidth="1"/>
    <x:col min="3" max="3" width="34" hidden="0" customWidth="1"/>
    <x:col min="4" max="4" width="8" hidden="0" customWidth="1"/>
    <x:col min="5" max="5" width="16" hidden="0" customWidth="1"/>
    <x:col min="6" max="6" width="16" hidden="0" customWidth="1"/>
    <x:col min="7" max="7" width="28" hidden="0" customWidth="1"/>
    <x:col min="8" max="8" width="28" hidden="0" customWidth="1"/>
    <x:col min="9" max="9" width="66" hidden="0" customWidth="1"/>
  </x:cols>
  <x:sheetData>
    <x:row r="1" ht="30" customHeight="1">
      <x:c r="A1" s="5" t="str">
        <x:v>VITO — TIER LIST</x:v>
      </x:c>
      <x:c r="B1" s="5"/>
      <x:c r="C1" s="5"/>
      <x:c r="D1" s="5"/>
      <x:c r="E1" s="5"/>
      <x:c r="F1" s="5"/>
      <x:c r="G1" s="5"/>
      <x:c r="H1" s="5"/>
      <x:c r="I1" s="5"/>
    </x:row>
    <x:row r="2" ht="30" customHeight="1">
      <x:c r="A2" s="14" t="str">
        <x:v>Tier</x:v>
      </x:c>
      <x:c r="B2" s="14" t="str">
        <x:v>Score</x:v>
      </x:c>
      <x:c r="C2" s="14" t="str">
        <x:v>Card</x:v>
      </x:c>
      <x:c r="D2" s="14" t="str">
        <x:v>MV</x:v>
      </x:c>
      <x:c r="E2" s="14" t="str">
        <x:v>Current Zone</x:v>
      </x:c>
      <x:c r="F2" s="14" t="str">
        <x:v>V2 Status</x:v>
      </x:c>
      <x:c r="G2" s="14" t="str">
        <x:v>Primary Role</x:v>
      </x:c>
      <x:c r="H2" s="14" t="str">
        <x:v>Verdict</x:v>
      </x:c>
      <x:c r="I2" s="14" t="str">
        <x:v>Why / Fit</x:v>
      </x:c>
    </x:row>
    <x:row r="3">
      <x:c r="A3" s="24" t="str">
        <x:v>S</x:v>
      </x:c>
      <x:c r="B3" s="36" t="n">
        <x:v>10</x:v>
      </x:c>
      <x:c r="C3" s="24" t="str">
        <x:v>Vito, Thorn of the Dusk Rose</x:v>
      </x:c>
      <x:c r="D3" s="24" t="n">
        <x:v>3</x:v>
      </x:c>
      <x:c r="E3" s="24" t="str">
        <x:v>Commander</x:v>
      </x:c>
      <x:c r="F3" s="24" t="str">
        <x:v>COMMANDER</x:v>
      </x:c>
      <x:c r="G3" s="24" t="str">
        <x:v>Commander / engine</x:v>
      </x:c>
      <x:c r="H3" s="24" t="str">
        <x:v>LOCK</x:v>
      </x:c>
      <x:c r="I3" s="24" t="str">
        <x:v>Transforms every life-gain event into targeted life loss; the 3-mana cost allows early deployment.</x:v>
      </x:c>
    </x:row>
    <x:row r="4">
      <x:c r="A4" s="24" t="str">
        <x:v>S</x:v>
      </x:c>
      <x:c r="B4" s="36" t="n">
        <x:v>9.6</x:v>
      </x:c>
      <x:c r="C4" s="24" t="str">
        <x:v>Exquisite Blood</x:v>
      </x:c>
      <x:c r="D4" s="24" t="n">
        <x:v>5</x:v>
      </x:c>
      <x:c r="E4" s="24" t="str">
        <x:v>Spell</x:v>
      </x:c>
      <x:c r="F4" s="24" t="str">
        <x:v>RETAIN</x:v>
      </x:c>
      <x:c r="G4" s="24" t="str">
        <x:v>Combos</x:v>
      </x:c>
      <x:c r="H4" s="24" t="str">
        <x:v>CORE</x:v>
      </x:c>
      <x:c r="I4" s="24" t="str">
        <x:v>Core combo piece and a standalone life-gain engine when opponents lose life.</x:v>
      </x:c>
    </x:row>
    <x:row r="5">
      <x:c r="A5" s="24" t="str">
        <x:v>S</x:v>
      </x:c>
      <x:c r="B5" s="36" t="n">
        <x:v>9.5</x:v>
      </x:c>
      <x:c r="C5" s="24" t="str">
        <x:v>Cabal Coffers</x:v>
      </x:c>
      <x:c r="D5" s="24" t="n">
        <x:v>0</x:v>
      </x:c>
      <x:c r="E5" s="24" t="str">
        <x:v>Land</x:v>
      </x:c>
      <x:c r="F5" s="24" t="str">
        <x:v>RETAIN</x:v>
      </x:c>
      <x:c r="G5" s="24" t="str">
        <x:v>Mana base</x:v>
      </x:c>
      <x:c r="H5" s="24" t="str">
        <x:v>CORE</x:v>
      </x:c>
      <x:c r="I5" s="24" t="str">
        <x:v>Scales explosively with Swamps, especially with Urborg; fuels Torment and Exsanguinate.</x:v>
      </x:c>
    </x:row>
    <x:row r="6">
      <x:c r="A6" s="24" t="str">
        <x:v>S</x:v>
      </x:c>
      <x:c r="B6" s="36" t="n">
        <x:v>9.5</x:v>
      </x:c>
      <x:c r="C6" s="24" t="str">
        <x:v>Necropotence</x:v>
      </x:c>
      <x:c r="D6" s="24" t="n">
        <x:v>3</x:v>
      </x:c>
      <x:c r="E6" s="24" t="str">
        <x:v>Spell</x:v>
      </x:c>
      <x:c r="F6" s="24" t="str">
        <x:v>RETAIN</x:v>
      </x:c>
      <x:c r="G6" s="24" t="str">
        <x:v>Draw + Tutor</x:v>
      </x:c>
      <x:c r="H6" s="24" t="str">
        <x:v>CORE</x:v>
      </x:c>
      <x:c r="I6" s="24" t="str">
        <x:v>One of the strongest card-advantage engines; high starting life makes large activations easier to afford.</x:v>
      </x:c>
    </x:row>
    <x:row r="7">
      <x:c r="A7" s="24" t="str">
        <x:v>S</x:v>
      </x:c>
      <x:c r="B7" s="36" t="n">
        <x:v>9.5</x:v>
      </x:c>
      <x:c r="C7" s="24" t="str">
        <x:v>Sol Ring</x:v>
      </x:c>
      <x:c r="D7" s="24" t="n">
        <x:v>1</x:v>
      </x:c>
      <x:c r="E7" s="24" t="str">
        <x:v>Spell</x:v>
      </x:c>
      <x:c r="F7" s="24" t="str">
        <x:v>RETAIN</x:v>
      </x:c>
      <x:c r="G7" s="24" t="str">
        <x:v>Ramp</x:v>
      </x:c>
      <x:c r="H7" s="24" t="str">
        <x:v>CORE</x:v>
      </x:c>
      <x:c r="I7" s="24" t="str">
        <x:v>One-mana acceleration into the three-mana commander or engines.</x:v>
      </x:c>
    </x:row>
    <x:row r="8">
      <x:c r="A8" s="24" t="str">
        <x:v>S</x:v>
      </x:c>
      <x:c r="B8" s="36" t="n">
        <x:v>9.5</x:v>
      </x:c>
      <x:c r="C8" s="24" t="str">
        <x:v>Vampiric Tutor</x:v>
      </x:c>
      <x:c r="D8" s="24" t="n">
        <x:v>1</x:v>
      </x:c>
      <x:c r="E8" s="24" t="str">
        <x:v>Spell</x:v>
      </x:c>
      <x:c r="F8" s="24" t="str">
        <x:v>RETAIN</x:v>
      </x:c>
      <x:c r="G8" s="24" t="str">
        <x:v>Draw + Tutor</x:v>
      </x:c>
      <x:c r="H8" s="24" t="str">
        <x:v>CORE</x:v>
      </x:c>
      <x:c r="I8" s="24" t="str">
        <x:v>Efficient instant-speed tutor, enabling a defensive answer or chosen engine at the right time.</x:v>
      </x:c>
    </x:row>
    <x:row r="9">
      <x:c r="A9" s="24" t="str">
        <x:v>A</x:v>
      </x:c>
      <x:c r="B9" s="36" t="n">
        <x:v>9.4</x:v>
      </x:c>
      <x:c r="C9" s="24" t="str">
        <x:v>Bloodthirsty Conqueror</x:v>
      </x:c>
      <x:c r="D9" s="24" t="n">
        <x:v>5</x:v>
      </x:c>
      <x:c r="E9" s="24" t="str">
        <x:v>Spell</x:v>
      </x:c>
      <x:c r="F9" s="24" t="str">
        <x:v>RETAIN</x:v>
      </x:c>
      <x:c r="G9" s="24" t="str">
        <x:v>Combos</x:v>
      </x:c>
      <x:c r="H9" s="24" t="str">
        <x:v>CORE</x:v>
      </x:c>
      <x:c r="I9" s="24" t="str">
        <x:v>With Vito, an opponent losing life causes life gain, which triggers Vito again; also stabilizes life total and blocks well.</x:v>
      </x:c>
    </x:row>
    <x:row r="10">
      <x:c r="A10" s="24" t="str">
        <x:v>A</x:v>
      </x:c>
      <x:c r="B10" s="36" t="n">
        <x:v>9.4</x:v>
      </x:c>
      <x:c r="C10" s="24" t="str">
        <x:v>Urborg, Tomb of Yawgmoth</x:v>
      </x:c>
      <x:c r="D10" s="24" t="n">
        <x:v>0</x:v>
      </x:c>
      <x:c r="E10" s="24" t="str">
        <x:v>Land</x:v>
      </x:c>
      <x:c r="F10" s="24" t="str">
        <x:v>RETAIN</x:v>
      </x:c>
      <x:c r="G10" s="24" t="str">
        <x:v>Mana base</x:v>
      </x:c>
      <x:c r="H10" s="24" t="str">
        <x:v>CORE</x:v>
      </x:c>
      <x:c r="I10" s="24" t="str">
        <x:v>Turns all lands into Swamps and enables explosive Cabal Coffers activations.</x:v>
      </x:c>
    </x:row>
    <x:row r="11">
      <x:c r="A11" s="24" t="str">
        <x:v>A</x:v>
      </x:c>
      <x:c r="B11" s="36" t="n">
        <x:v>9.3</x:v>
      </x:c>
      <x:c r="C11" s="24" t="str">
        <x:v>Crypt Ghast</x:v>
      </x:c>
      <x:c r="D11" s="24" t="n">
        <x:v>4</x:v>
      </x:c>
      <x:c r="E11" s="24" t="str">
        <x:v>Spell</x:v>
      </x:c>
      <x:c r="F11" s="24" t="str">
        <x:v>RETAIN</x:v>
      </x:c>
      <x:c r="G11" s="24" t="str">
        <x:v>Ramp</x:v>
      </x:c>
      <x:c r="H11" s="24" t="str">
        <x:v>CORE</x:v>
      </x:c>
      <x:c r="I11" s="24" t="str">
        <x:v>Doubles black mana from Swamps and Extort adds repeatable life-drain; one of the strongest engines in the list.</x:v>
      </x:c>
    </x:row>
    <x:row r="12">
      <x:c r="A12" s="24" t="str">
        <x:v>A</x:v>
      </x:c>
      <x:c r="B12" s="36" t="n">
        <x:v>9.3</x:v>
      </x:c>
      <x:c r="C12" s="24" t="str">
        <x:v>Demonic Tutor</x:v>
      </x:c>
      <x:c r="D12" s="24" t="n">
        <x:v>2</x:v>
      </x:c>
      <x:c r="E12" s="24" t="str">
        <x:v>Spell</x:v>
      </x:c>
      <x:c r="F12" s="24" t="str">
        <x:v>RETAIN</x:v>
      </x:c>
      <x:c r="G12" s="24" t="str">
        <x:v>Draw + Tutor</x:v>
      </x:c>
      <x:c r="H12" s="24" t="str">
        <x:v>CORE</x:v>
      </x:c>
      <x:c r="I12" s="24" t="str">
        <x:v>Efficient unconditional access to the single card most needed in the moment.</x:v>
      </x:c>
    </x:row>
    <x:row r="13">
      <x:c r="A13" s="24" t="str">
        <x:v>A</x:v>
      </x:c>
      <x:c r="B13" s="36" t="n">
        <x:v>9.3</x:v>
      </x:c>
      <x:c r="C13" s="24" t="str">
        <x:v>Toxic Deluge</x:v>
      </x:c>
      <x:c r="D13" s="24" t="n">
        <x:v>3</x:v>
      </x:c>
      <x:c r="E13" s="24" t="str">
        <x:v>Spell</x:v>
      </x:c>
      <x:c r="F13" s="24" t="str">
        <x:v>RETAIN</x:v>
      </x:c>
      <x:c r="G13" s="24" t="str">
        <x:v>Removal</x:v>
      </x:c>
      <x:c r="H13" s="24" t="str">
        <x:v>CORE</x:v>
      </x:c>
      <x:c r="I13" s="24" t="str">
        <x:v>Efficient flexible board wipe that can clear oversized threats for relatively little mana.</x:v>
      </x:c>
    </x:row>
    <x:row r="14">
      <x:c r="A14" s="24" t="str">
        <x:v>A</x:v>
      </x:c>
      <x:c r="B14" s="36" t="n">
        <x:v>9.2</x:v>
      </x:c>
      <x:c r="C14" s="24" t="str">
        <x:v>Black Market Connections</x:v>
      </x:c>
      <x:c r="D14" s="24" t="n">
        <x:v>3</x:v>
      </x:c>
      <x:c r="E14" s="24" t="str">
        <x:v>Spell</x:v>
      </x:c>
      <x:c r="F14" s="24" t="str">
        <x:v>RETAIN</x:v>
      </x:c>
      <x:c r="G14" s="24" t="str">
        <x:v>Draw + Tutor</x:v>
      </x:c>
      <x:c r="H14" s="24" t="str">
        <x:v>CORE</x:v>
      </x:c>
      <x:c r="I14" s="24" t="str">
        <x:v>Flexible card draw, Treasure and body; can provide multiple resource types each turn.</x:v>
      </x:c>
    </x:row>
    <x:row r="15">
      <x:c r="A15" s="24" t="str">
        <x:v>A</x:v>
      </x:c>
      <x:c r="B15" s="36" t="n">
        <x:v>9.2</x:v>
      </x:c>
      <x:c r="C15" s="24" t="str">
        <x:v>Bolas's Citadel</x:v>
      </x:c>
      <x:c r="D15" s="24" t="n">
        <x:v>6</x:v>
      </x:c>
      <x:c r="E15" s="24" t="str">
        <x:v>Spell</x:v>
      </x:c>
      <x:c r="F15" s="24" t="str">
        <x:v>RETAIN</x:v>
      </x:c>
      <x:c r="G15" s="24" t="str">
        <x:v>Draw + Tutor</x:v>
      </x:c>
      <x:c r="H15" s="24" t="str">
        <x:v>CORE</x:v>
      </x:c>
      <x:c r="I15" s="24" t="str">
        <x:v>Converts the top of the library into a second hand; life payments are partly offset by lifegain, and the sacrifice ability can close games.</x:v>
      </x:c>
    </x:row>
    <x:row r="16">
      <x:c r="A16" s="24" t="str">
        <x:v>A</x:v>
      </x:c>
      <x:c r="B16" s="36" t="n">
        <x:v>9.1</x:v>
      </x:c>
      <x:c r="C16" s="24" t="str">
        <x:v>Bloodletter of Aclazotz</x:v>
      </x:c>
      <x:c r="D16" s="24" t="n">
        <x:v>4</x:v>
      </x:c>
      <x:c r="E16" s="24" t="str">
        <x:v>Spell</x:v>
      </x:c>
      <x:c r="F16" s="24" t="str">
        <x:v>RETAIN</x:v>
      </x:c>
      <x:c r="G16" s="24" t="str">
        <x:v>Vampires (c/ sinergia)</x:v>
      </x:c>
      <x:c r="H16" s="24" t="str">
        <x:v>CORE</x:v>
      </x:c>
      <x:c r="I16" s="24" t="str">
        <x:v>Doubles life loss for opponents during your turn, amplifying Vito triggers, Blood Tribute and mass-drain spells.</x:v>
      </x:c>
    </x:row>
    <x:row r="17">
      <x:c r="A17" s="24" t="str">
        <x:v>A</x:v>
      </x:c>
      <x:c r="B17" s="36" t="n">
        <x:v>9.1</x:v>
      </x:c>
      <x:c r="C17" s="24" t="str">
        <x:v>Morlun, Devourer of Spiders</x:v>
      </x:c>
      <x:c r="D17" s="24" t="n">
        <x:v>2</x:v>
      </x:c>
      <x:c r="E17" s="24" t="str">
        <x:v>Watchlist</x:v>
      </x:c>
      <x:c r="F17" s="24" t="str">
        <x:v>V2 IN — proposed</x:v>
      </x:c>
      <x:c r="G17" s="24" t="str">
        <x:v>Life gain/drain</x:v>
      </x:c>
      <x:c r="H17" s="24" t="str">
        <x:v>CORE TEST</x:v>
      </x:c>
      <x:c r="I17" s="24" t="str">
        <x:v>Flexible X-based small-creature wipe and repeatable life drain/gain on creature deaths.</x:v>
      </x:c>
    </x:row>
    <x:row r="18">
      <x:c r="A18" s="24" t="str">
        <x:v>A</x:v>
      </x:c>
      <x:c r="B18" s="36" t="n">
        <x:v>9.1</x:v>
      </x:c>
      <x:c r="C18" s="24" t="str">
        <x:v>The Meathook Massacre</x:v>
      </x:c>
      <x:c r="D18" s="24" t="n">
        <x:v>2</x:v>
      </x:c>
      <x:c r="E18" s="24" t="str">
        <x:v>Spell</x:v>
      </x:c>
      <x:c r="F18" s="24" t="str">
        <x:v>RETAIN</x:v>
      </x:c>
      <x:c r="G18" s="24" t="str">
        <x:v>Life gain/drain</x:v>
      </x:c>
      <x:c r="H18" s="24" t="str">
        <x:v>CORE</x:v>
      </x:c>
      <x:c r="I18" s="24" t="str">
        <x:v>Explosive early mana helps land Vito, Necropotence or a key engine ahead of curve.</x:v>
      </x:c>
    </x:row>
    <x:row r="19">
      <x:c r="A19" s="24" t="str">
        <x:v>A</x:v>
      </x:c>
      <x:c r="B19" s="36" t="n">
        <x:v>9</x:v>
      </x:c>
      <x:c r="C19" s="24" t="str">
        <x:v>Ancient Tomb</x:v>
      </x:c>
      <x:c r="D19" s="24" t="n">
        <x:v>0</x:v>
      </x:c>
      <x:c r="E19" s="24" t="str">
        <x:v>Land</x:v>
      </x:c>
      <x:c r="F19" s="24" t="str">
        <x:v>RETAIN</x:v>
      </x:c>
      <x:c r="G19" s="24" t="str">
        <x:v>Mana base</x:v>
      </x:c>
      <x:c r="H19" s="24" t="str">
        <x:v>CORE</x:v>
      </x:c>
      <x:c r="I19" s="24" t="str">
        <x:v>Free removal while you control your commander can preserve tempo and stop a critical threat.</x:v>
      </x:c>
    </x:row>
    <x:row r="20">
      <x:c r="A20" s="24" t="str">
        <x:v>A</x:v>
      </x:c>
      <x:c r="B20" s="36" t="n">
        <x:v>9</x:v>
      </x:c>
      <x:c r="C20" s="24" t="str">
        <x:v>Deadly Rollick</x:v>
      </x:c>
      <x:c r="D20" s="24" t="n">
        <x:v>4</x:v>
      </x:c>
      <x:c r="E20" s="24" t="str">
        <x:v>Spell</x:v>
      </x:c>
      <x:c r="F20" s="24" t="str">
        <x:v>RETAIN</x:v>
      </x:c>
      <x:c r="G20" s="24" t="str">
        <x:v>Removal</x:v>
      </x:c>
      <x:c r="H20" s="24" t="str">
        <x:v>CORE</x:v>
      </x:c>
      <x:c r="I20" s="24" t="str">
        <x:v>Mass drain scales with mana and gives life equal to all life lost; Vito can focus an additional trigger onto one opponent.</x:v>
      </x:c>
    </x:row>
    <x:row r="21">
      <x:c r="A21" s="24" t="str">
        <x:v>A</x:v>
      </x:c>
      <x:c r="B21" s="36" t="n">
        <x:v>9</x:v>
      </x:c>
      <x:c r="C21" s="24" t="str">
        <x:v>Exsanguinate</x:v>
      </x:c>
      <x:c r="D21" s="24" t="n">
        <x:v>2</x:v>
      </x:c>
      <x:c r="E21" s="24" t="str">
        <x:v>Spell</x:v>
      </x:c>
      <x:c r="F21" s="24" t="str">
        <x:v>PET LOCK</x:v>
      </x:c>
      <x:c r="G21" s="24" t="str">
        <x:v>PETCARD</x:v>
      </x:c>
      <x:c r="H21" s="24" t="str">
        <x:v>PET LOCK</x:v>
      </x:c>
      <x:c r="I21" s="24" t="str">
        <x:v>Converts black mana symbols in costs into life payments, letting a mono-black deck deploy spells ahead of curve.</x:v>
      </x:c>
    </x:row>
    <x:row r="22">
      <x:c r="A22" s="24" t="str">
        <x:v>A</x:v>
      </x:c>
      <x:c r="B22" s="36" t="n">
        <x:v>9</x:v>
      </x:c>
      <x:c r="C22" s="24" t="str">
        <x:v>K'rrik, Son of Yawgmoth</x:v>
      </x:c>
      <x:c r="D22" s="24" t="n">
        <x:v>7</x:v>
      </x:c>
      <x:c r="E22" s="24" t="str">
        <x:v>Spell</x:v>
      </x:c>
      <x:c r="F22" s="24" t="str">
        <x:v>RETAIN</x:v>
      </x:c>
      <x:c r="G22" s="24" t="str">
        <x:v>Ramp</x:v>
      </x:c>
      <x:c r="H22" s="24" t="str">
        <x:v>CORE</x:v>
      </x:c>
      <x:c r="I22" s="24" t="str">
        <x:v>Two-mana Vampire whose attack trigger drains each opponent for 1 and gains you 1; Vito can add targeted loss, without needing combat damage to connect.</x:v>
      </x:c>
    </x:row>
    <x:row r="23">
      <x:c r="A23" s="24" t="str">
        <x:v>A</x:v>
      </x:c>
      <x:c r="B23" s="36" t="n">
        <x:v>9</x:v>
      </x:c>
      <x:c r="C23" s="24" t="str">
        <x:v>Sorin, Imperious Bloodlord</x:v>
      </x:c>
      <x:c r="D23" s="24" t="n">
        <x:v>3</x:v>
      </x:c>
      <x:c r="E23" s="24" t="str">
        <x:v>Spell</x:v>
      </x:c>
      <x:c r="F23" s="24" t="str">
        <x:v>RETAIN</x:v>
      </x:c>
      <x:c r="G23" s="24" t="str">
        <x:v>Vampires (c/ sinergia)</x:v>
      </x:c>
      <x:c r="H23" s="24" t="str">
        <x:v>CORE</x:v>
      </x:c>
      <x:c r="I23" s="24" t="str">
        <x:v>Vampire-specific planeswalker: can grant lifelink/pump, gain life, or put a Vampire from hand onto the battlefield.</x:v>
      </x:c>
    </x:row>
    <x:row r="24">
      <x:c r="A24" s="24" t="str">
        <x:v>A</x:v>
      </x:c>
      <x:c r="B24" s="36" t="n">
        <x:v>9</x:v>
      </x:c>
      <x:c r="C24" s="24" t="str">
        <x:v>Vein Ripper</x:v>
      </x:c>
      <x:c r="D24" s="24" t="n">
        <x:v>6</x:v>
      </x:c>
      <x:c r="E24" s="24" t="str">
        <x:v>Spell</x:v>
      </x:c>
      <x:c r="F24" s="24" t="str">
        <x:v>RETAIN</x:v>
      </x:c>
      <x:c r="G24" s="24" t="str">
        <x:v>Vampires (c/ sinergia)</x:v>
      </x:c>
      <x:c r="H24" s="24" t="str">
        <x:v>CORE</x:v>
      </x:c>
      <x:c r="I24" s="24" t="str">
        <x:v>Flying, ward by sacrificing a creature and a strong death-trigger drain/gain engine turn every death into a resource.</x:v>
      </x:c>
    </x:row>
    <x:row r="25">
      <x:c r="A25" s="24" t="str">
        <x:v>A</x:v>
      </x:c>
      <x:c r="B25" s="36" t="n">
        <x:v>8.9</x:v>
      </x:c>
      <x:c r="C25" s="24" t="str">
        <x:v>Gray Merchant of Asphodel</x:v>
      </x:c>
      <x:c r="D25" s="24" t="n">
        <x:v>5</x:v>
      </x:c>
      <x:c r="E25" s="24" t="str">
        <x:v>Spell</x:v>
      </x:c>
      <x:c r="F25" s="24" t="str">
        <x:v>RETAIN</x:v>
      </x:c>
      <x:c r="G25" s="24" t="str">
        <x:v>Life gain/drain</x:v>
      </x:c>
      <x:c r="H25" s="24" t="str">
        <x:v>CORE</x:v>
      </x:c>
      <x:c r="I25" s="24" t="str">
        <x:v>Devotion payoff that drains each opponent and gains a large amount of life in a mono-black permanent-heavy list.</x:v>
      </x:c>
    </x:row>
    <x:row r="26">
      <x:c r="A26" s="24" t="str">
        <x:v>A</x:v>
      </x:c>
      <x:c r="B26" s="36" t="n">
        <x:v>8.9</x:v>
      </x:c>
      <x:c r="C26" s="24" t="str">
        <x:v>Sanguine Syphoner</x:v>
      </x:c>
      <x:c r="D26" s="24" t="n">
        <x:v>2</x:v>
      </x:c>
      <x:c r="E26" s="24" t="str">
        <x:v>Watchlist</x:v>
      </x:c>
      <x:c r="F26" s="24" t="str">
        <x:v>V2 IN — proposed</x:v>
      </x:c>
      <x:c r="G26" s="24" t="str">
        <x:v>Life gain/drain</x:v>
      </x:c>
      <x:c r="H26" s="24" t="str">
        <x:v>CORE TEST</x:v>
      </x:c>
      <x:c r="I26" s="24" t="str">
        <x:v>Lord effect grows the tribe; five untapped Vampires can steal a creature and make it a Vampire, a strong political swing.</x:v>
      </x:c>
    </x:row>
    <x:row r="27">
      <x:c r="A27" s="24" t="str">
        <x:v>A</x:v>
      </x:c>
      <x:c r="B27" s="36" t="n">
        <x:v>8.8</x:v>
      </x:c>
      <x:c r="C27" s="24" t="str">
        <x:v>Captivating Vampire</x:v>
      </x:c>
      <x:c r="D27" s="24" t="n">
        <x:v>3</x:v>
      </x:c>
      <x:c r="E27" s="24" t="str">
        <x:v>Spell</x:v>
      </x:c>
      <x:c r="F27" s="24" t="str">
        <x:v>RETAIN</x:v>
      </x:c>
      <x:c r="G27" s="24" t="str">
        <x:v>Vampires (c/ sinergia)</x:v>
      </x:c>
      <x:c r="H27" s="24" t="str">
        <x:v>CORE</x:v>
      </x:c>
      <x:c r="I27" s="24" t="str">
        <x:v>Upkeep drain hits every opponent while gaining you life; exactly matches lifedrain identity and triggers Vito.</x:v>
      </x:c>
    </x:row>
    <x:row r="28">
      <x:c r="A28" s="24" t="str">
        <x:v>A</x:v>
      </x:c>
      <x:c r="B28" s="36" t="n">
        <x:v>8.8</x:v>
      </x:c>
      <x:c r="C28" s="24" t="str">
        <x:v>Creeping Bloodsucker</x:v>
      </x:c>
      <x:c r="D28" s="24" t="n">
        <x:v>2</x:v>
      </x:c>
      <x:c r="E28" s="24" t="str">
        <x:v>Spell</x:v>
      </x:c>
      <x:c r="F28" s="24" t="str">
        <x:v>RETAIN</x:v>
      </x:c>
      <x:c r="G28" s="24" t="str">
        <x:v>Vampires (c/ sinergia)</x:v>
      </x:c>
      <x:c r="H28" s="24" t="str">
        <x:v>CORE</x:v>
      </x:c>
      <x:c r="I28" s="24" t="str">
        <x:v>Discounts black spells of any type and helps cast several spells per turn.</x:v>
      </x:c>
    </x:row>
    <x:row r="29">
      <x:c r="A29" s="24" t="str">
        <x:v>A</x:v>
      </x:c>
      <x:c r="B29" s="36" t="n">
        <x:v>8.8</x:v>
      </x:c>
      <x:c r="C29" s="24" t="str">
        <x:v>Emeritus of Woe</x:v>
      </x:c>
      <x:c r="D29" s="24" t="n">
        <x:v>4</x:v>
      </x:c>
      <x:c r="E29" s="24" t="str">
        <x:v>Watchlist</x:v>
      </x:c>
      <x:c r="F29" s="24" t="str">
        <x:v>V2 IN — proposed</x:v>
      </x:c>
      <x:c r="G29" s="24" t="str">
        <x:v>Vampires (c/ sinergia)</x:v>
      </x:c>
      <x:c r="H29" s="24" t="str">
        <x:v>CORE TEST</x:v>
      </x:c>
      <x:c r="I29" s="24" t="str">
        <x:v>Whenever you gain life, each opponent loses 1; incremental gain effects can drain the whole table and it makes Exquisite Blood loops.</x:v>
      </x:c>
    </x:row>
    <x:row r="30">
      <x:c r="A30" s="24" t="str">
        <x:v>A</x:v>
      </x:c>
      <x:c r="B30" s="36" t="n">
        <x:v>8.8</x:v>
      </x:c>
      <x:c r="C30" s="24" t="str">
        <x:v>Jet Medallion</x:v>
      </x:c>
      <x:c r="D30" s="24" t="n">
        <x:v>2</x:v>
      </x:c>
      <x:c r="E30" s="24" t="str">
        <x:v>Spell</x:v>
      </x:c>
      <x:c r="F30" s="24" t="str">
        <x:v>RETAIN</x:v>
      </x:c>
      <x:c r="G30" s="24" t="str">
        <x:v>Ramp</x:v>
      </x:c>
      <x:c r="H30" s="24" t="str">
        <x:v>CORE</x:v>
      </x:c>
      <x:c r="I30" s="24" t="str">
        <x:v>Improves top-deck quality and works with Bolas's Citadel; helps avoid dead high-cost cards.</x:v>
      </x:c>
    </x:row>
    <x:row r="31">
      <x:c r="A31" s="24" t="str">
        <x:v>A</x:v>
      </x:c>
      <x:c r="B31" s="36" t="n">
        <x:v>8.8</x:v>
      </x:c>
      <x:c r="C31" s="24" t="str">
        <x:v>Marauding Blight-Priest</x:v>
      </x:c>
      <x:c r="D31" s="24" t="n">
        <x:v>3</x:v>
      </x:c>
      <x:c r="E31" s="24" t="str">
        <x:v>Spell</x:v>
      </x:c>
      <x:c r="F31" s="24" t="str">
        <x:v>RETAIN</x:v>
      </x:c>
      <x:c r="G31" s="24" t="str">
        <x:v>Vampires (c/ sinergia)</x:v>
      </x:c>
      <x:c r="H31" s="24" t="str">
        <x:v>CORE</x:v>
      </x:c>
      <x:c r="I31" s="24" t="str">
        <x:v>Low-cost engine that becomes a major threat after quest counters; forms the known Mindcrank loop.</x:v>
      </x:c>
    </x:row>
    <x:row r="32">
      <x:c r="A32" s="24" t="str">
        <x:v>A</x:v>
      </x:c>
      <x:c r="B32" s="36" t="n">
        <x:v>8.8</x:v>
      </x:c>
      <x:c r="C32" s="24" t="str">
        <x:v>Scheming Silvertongue</x:v>
      </x:c>
      <x:c r="D32" s="24" t="n">
        <x:v>2</x:v>
      </x:c>
      <x:c r="E32" s="24" t="str">
        <x:v>Watchlist</x:v>
      </x:c>
      <x:c r="F32" s="24" t="str">
        <x:v>V2 IN — proposed</x:v>
      </x:c>
      <x:c r="G32" s="24" t="str">
        <x:v>Vampires (c/ sinergia)</x:v>
      </x:c>
      <x:c r="H32" s="24" t="str">
        <x:v>CORE TEST</x:v>
      </x:c>
      <x:c r="I32" s="24" t="str">
        <x:v>Devotion to black can turn a developed board into large bursts of mana.</x:v>
      </x:c>
    </x:row>
    <x:row r="33">
      <x:c r="A33" s="24" t="str">
        <x:v>A</x:v>
      </x:c>
      <x:c r="B33" s="36" t="n">
        <x:v>8.8</x:v>
      </x:c>
      <x:c r="C33" s="24" t="str">
        <x:v>Sensei's Divining Top</x:v>
      </x:c>
      <x:c r="D33" s="24" t="n">
        <x:v>1</x:v>
      </x:c>
      <x:c r="E33" s="24" t="str">
        <x:v>Spell</x:v>
      </x:c>
      <x:c r="F33" s="24" t="str">
        <x:v>RETAIN</x:v>
      </x:c>
      <x:c r="G33" s="24" t="str">
        <x:v>Draw + Tutor</x:v>
      </x:c>
      <x:c r="H33" s="24" t="str">
        <x:v>CORE</x:v>
      </x:c>
      <x:c r="I33" s="24" t="str">
        <x:v>Deathtouch and conditional attack triggers provide either a Vampire token or card advantage depending on life totals.</x:v>
      </x:c>
    </x:row>
    <x:row r="34">
      <x:c r="A34" s="24" t="str">
        <x:v>A</x:v>
      </x:c>
      <x:c r="B34" s="36" t="n">
        <x:v>8.7</x:v>
      </x:c>
      <x:c r="C34" s="24" t="str">
        <x:v>Bloodchief Ascension</x:v>
      </x:c>
      <x:c r="D34" s="24" t="n">
        <x:v>1</x:v>
      </x:c>
      <x:c r="E34" s="24" t="str">
        <x:v>Spell</x:v>
      </x:c>
      <x:c r="F34" s="24" t="str">
        <x:v>RETAIN</x:v>
      </x:c>
      <x:c r="G34" s="24" t="str">
        <x:v>Combos</x:v>
      </x:c>
      <x:c r="H34" s="24" t="str">
        <x:v>CORE</x:v>
      </x:c>
      <x:c r="I34" s="24" t="str">
        <x:v>Recent Vampire with flying, deathtouch and lifelink; its renew ability leaves keyword counters on another creature from the graveyard.</x:v>
      </x:c>
    </x:row>
    <x:row r="35">
      <x:c r="A35" s="24" t="str">
        <x:v>A</x:v>
      </x:c>
      <x:c r="B35" s="36" t="n">
        <x:v>8.7</x:v>
      </x:c>
      <x:c r="C35" s="24" t="str">
        <x:v>Nykthos, Shrine to Nyx</x:v>
      </x:c>
      <x:c r="D35" s="24" t="n">
        <x:v>0</x:v>
      </x:c>
      <x:c r="E35" s="24" t="str">
        <x:v>Land</x:v>
      </x:c>
      <x:c r="F35" s="24" t="str">
        <x:v>RETAIN</x:v>
      </x:c>
      <x:c r="G35" s="24" t="str">
        <x:v>Mana base</x:v>
      </x:c>
      <x:c r="H35" s="24" t="str">
        <x:v>CORE</x:v>
      </x:c>
      <x:c r="I35" s="24" t="str">
        <x:v>Massive scalable finisher; attacks life totals, boards and hands and can end games without the Vito loop.</x:v>
      </x:c>
    </x:row>
    <x:row r="36">
      <x:c r="A36" s="24" t="str">
        <x:v>A</x:v>
      </x:c>
      <x:c r="B36" s="36" t="n">
        <x:v>8.7</x:v>
      </x:c>
      <x:c r="C36" s="24" t="str">
        <x:v>Preacher of the Schism</x:v>
      </x:c>
      <x:c r="D36" s="24" t="n">
        <x:v>3</x:v>
      </x:c>
      <x:c r="E36" s="24" t="str">
        <x:v>Spell</x:v>
      </x:c>
      <x:c r="F36" s="24" t="str">
        <x:v>RETAIN</x:v>
      </x:c>
      <x:c r="G36" s="24" t="str">
        <x:v>Vampires (c/ sinergia)</x:v>
      </x:c>
      <x:c r="H36" s="24" t="str">
        <x:v>CORE</x:v>
      </x:c>
      <x:c r="I36" s="24" t="str">
        <x:v>One-mana lifelink/deathtouch Vampire triggers Vito on combat damage and trades up in combat.</x:v>
      </x:c>
    </x:row>
    <x:row r="37">
      <x:c r="A37" s="24" t="str">
        <x:v>A</x:v>
      </x:c>
      <x:c r="B37" s="36" t="n">
        <x:v>8.7</x:v>
      </x:c>
      <x:c r="C37" s="24" t="str">
        <x:v>Qarsi Revenant</x:v>
      </x:c>
      <x:c r="D37" s="24" t="n">
        <x:v>3</x:v>
      </x:c>
      <x:c r="E37" s="24" t="str">
        <x:v>Spell</x:v>
      </x:c>
      <x:c r="F37" s="24" t="str">
        <x:v>RETAIN</x:v>
      </x:c>
      <x:c r="G37" s="24" t="str">
        <x:v>Vampires (s/ sinergia)</x:v>
      </x:c>
      <x:c r="H37" s="24" t="str">
        <x:v>CORE</x:v>
      </x:c>
      <x:c r="I37" s="24" t="str">
        <x:v>Reduces black creature costs and drains each opponent when you cast a black creature; supports both vampire tempo and life totals.</x:v>
      </x:c>
    </x:row>
    <x:row r="38">
      <x:c r="A38" s="24" t="str">
        <x:v>A</x:v>
      </x:c>
      <x:c r="B38" s="36" t="n">
        <x:v>8.7</x:v>
      </x:c>
      <x:c r="C38" s="24" t="str">
        <x:v>Torment of Hailfire</x:v>
      </x:c>
      <x:c r="D38" s="24" t="n">
        <x:v>2</x:v>
      </x:c>
      <x:c r="E38" s="24" t="str">
        <x:v>Spell</x:v>
      </x:c>
      <x:c r="F38" s="24" t="str">
        <x:v>RETAIN</x:v>
      </x:c>
      <x:c r="G38" s="24" t="str">
        <x:v>Life gain/drain</x:v>
      </x:c>
      <x:c r="H38" s="24" t="str">
        <x:v>CORE</x:v>
      </x:c>
      <x:c r="I38" s="24" t="str">
        <x:v>Gives redundancy to Vito's gain-life-to-drain text; if the creature dies, its enduring ability can return it as an enchantment.</x:v>
      </x:c>
    </x:row>
    <x:row r="39">
      <x:c r="A39" s="24" t="str">
        <x:v>A</x:v>
      </x:c>
      <x:c r="B39" s="36" t="n">
        <x:v>8.7</x:v>
      </x:c>
      <x:c r="C39" s="24" t="str">
        <x:v>Vampire of the Dire Moon</x:v>
      </x:c>
      <x:c r="D39" s="24" t="n">
        <x:v>1</x:v>
      </x:c>
      <x:c r="E39" s="24" t="str">
        <x:v>Spell</x:v>
      </x:c>
      <x:c r="F39" s="24" t="str">
        <x:v>RETAIN</x:v>
      </x:c>
      <x:c r="G39" s="24" t="str">
        <x:v>Vampires (s/ sinergia)</x:v>
      </x:c>
      <x:c r="H39" s="24" t="str">
        <x:v>CORE</x:v>
      </x:c>
      <x:c r="I39" s="24" t="str">
        <x:v>Lifelink, anti-graveyard creature replacement and Zombie tokens create stabilization and board advantage.</x:v>
      </x:c>
    </x:row>
    <x:row r="40">
      <x:c r="A40" s="24" t="str">
        <x:v>A</x:v>
      </x:c>
      <x:c r="B40" s="36" t="n">
        <x:v>8.6</x:v>
      </x:c>
      <x:c r="C40" s="24" t="str">
        <x:v>Bontu's Monument</x:v>
      </x:c>
      <x:c r="D40" s="24" t="n">
        <x:v>3</x:v>
      </x:c>
      <x:c r="E40" s="24" t="str">
        <x:v>Spell</x:v>
      </x:c>
      <x:c r="F40" s="24" t="str">
        <x:v>RETAIN</x:v>
      </x:c>
      <x:c r="G40" s="24" t="str">
        <x:v>Ramp</x:v>
      </x:c>
      <x:c r="H40" s="24" t="str">
        <x:v>CORE</x:v>
      </x:c>
      <x:c r="I40" s="24" t="str">
        <x:v>Steals an opposing creature and makes it a Vampire, combining removal, board swing and tribal value.</x:v>
      </x:c>
    </x:row>
    <x:row r="41">
      <x:c r="A41" s="24" t="str">
        <x:v>A</x:v>
      </x:c>
      <x:c r="B41" s="36" t="n">
        <x:v>8.6</x:v>
      </x:c>
      <x:c r="C41" s="24" t="str">
        <x:v>Enduring Tenacity</x:v>
      </x:c>
      <x:c r="D41" s="24" t="n">
        <x:v>4</x:v>
      </x:c>
      <x:c r="E41" s="24" t="str">
        <x:v>Spell</x:v>
      </x:c>
      <x:c r="F41" s="24" t="str">
        <x:v>RETAIN</x:v>
      </x:c>
      <x:c r="G41" s="24" t="str">
        <x:v>Life gain/drain</x:v>
      </x:c>
      <x:c r="H41" s="24" t="str">
        <x:v>CORE</x:v>
      </x:c>
      <x:c r="I41" s="24" t="str">
        <x:v>Two-mana flying lifelink Vampire; if you gained at least two life by second main phase, it becomes prepared and supplies a copy of Sign in Blood.</x:v>
      </x:c>
    </x:row>
    <x:row r="42">
      <x:c r="A42" s="24" t="str">
        <x:v>A</x:v>
      </x:c>
      <x:c r="B42" s="36" t="n">
        <x:v>8.6</x:v>
      </x:c>
      <x:c r="C42" s="24" t="str">
        <x:v>Kalitas, Traitor of Ghet</x:v>
      </x:c>
      <x:c r="D42" s="24" t="n">
        <x:v>4</x:v>
      </x:c>
      <x:c r="E42" s="24" t="str">
        <x:v>Spell</x:v>
      </x:c>
      <x:c r="F42" s="24" t="str">
        <x:v>RETAIN</x:v>
      </x:c>
      <x:c r="G42" s="24" t="str">
        <x:v>Vampires (c/ sinergia)</x:v>
      </x:c>
      <x:c r="H42" s="24" t="str">
        <x:v>CORE</x:v>
      </x:c>
      <x:c r="I42" s="24" t="str">
        <x:v>Tutor with Bargain can cast a mana-value-four-or-less card directly; finds interaction or a lifedrain engine.</x:v>
      </x:c>
    </x:row>
    <x:row r="43">
      <x:c r="A43" s="24" t="str">
        <x:v>A</x:v>
      </x:c>
      <x:c r="B43" s="36" t="n">
        <x:v>8.6</x:v>
      </x:c>
      <x:c r="C43" s="24" t="str">
        <x:v>New Blood</x:v>
      </x:c>
      <x:c r="D43" s="24" t="n">
        <x:v>5</x:v>
      </x:c>
      <x:c r="E43" s="24" t="str">
        <x:v>Spell</x:v>
      </x:c>
      <x:c r="F43" s="24" t="str">
        <x:v>PET LOCK</x:v>
      </x:c>
      <x:c r="G43" s="24" t="str">
        <x:v>PETCARD</x:v>
      </x:c>
      <x:c r="H43" s="24" t="str">
        <x:v>PET LOCK</x:v>
      </x:c>
      <x:c r="I43" s="24" t="str">
        <x:v>Turns creature deaths into opponent life loss and your life gain; combines with wipes and token trades.</x:v>
      </x:c>
    </x:row>
    <x:row r="44">
      <x:c r="A44" s="24" t="str">
        <x:v>A</x:v>
      </x:c>
      <x:c r="B44" s="36" t="n">
        <x:v>8.5</x:v>
      </x:c>
      <x:c r="C44" s="24" t="str">
        <x:v>Beseech the Mirror</x:v>
      </x:c>
      <x:c r="D44" s="24" t="n">
        <x:v>4</x:v>
      </x:c>
      <x:c r="E44" s="24" t="str">
        <x:v>Spell</x:v>
      </x:c>
      <x:c r="F44" s="24" t="str">
        <x:v>RETAIN</x:v>
      </x:c>
      <x:c r="G44" s="24" t="str">
        <x:v>Draw + Tutor</x:v>
      </x:c>
      <x:c r="H44" s="24" t="str">
        <x:v>CORE</x:v>
      </x:c>
      <x:c r="I44" s="24" t="str">
        <x:v>Halves a target opponent's life total, and with a Vampire can gain life equal to the life lost; Vito converts the gain into additional pressure.</x:v>
      </x:c>
    </x:row>
    <x:row r="45">
      <x:c r="A45" s="24" t="str">
        <x:v>A</x:v>
      </x:c>
      <x:c r="B45" s="36" t="n">
        <x:v>8.5</x:v>
      </x:c>
      <x:c r="C45" s="24" t="str">
        <x:v>Blood Artist</x:v>
      </x:c>
      <x:c r="D45" s="24" t="n">
        <x:v>2</x:v>
      </x:c>
      <x:c r="E45" s="24" t="str">
        <x:v>Spell</x:v>
      </x:c>
      <x:c r="F45" s="24" t="str">
        <x:v>RETAIN</x:v>
      </x:c>
      <x:c r="G45" s="24" t="str">
        <x:v>Vampires (c/ sinergia)</x:v>
      </x:c>
      <x:c r="H45" s="24" t="str">
        <x:v>CORE</x:v>
      </x:c>
      <x:c r="I45" s="24" t="str">
        <x:v>Lets Vito or an engine land a turn early and enables explosive sequences.</x:v>
      </x:c>
    </x:row>
    <x:row r="46">
      <x:c r="A46" s="24" t="str">
        <x:v>A</x:v>
      </x:c>
      <x:c r="B46" s="36" t="n">
        <x:v>8.5</x:v>
      </x:c>
      <x:c r="C46" s="24" t="str">
        <x:v>Blood Tribute</x:v>
      </x:c>
      <x:c r="D46" s="24" t="n">
        <x:v>6</x:v>
      </x:c>
      <x:c r="E46" s="24" t="str">
        <x:v>Spell</x:v>
      </x:c>
      <x:c r="F46" s="24" t="str">
        <x:v>RETAIN</x:v>
      </x:c>
      <x:c r="G46" s="24" t="str">
        <x:v>Life gain/drain</x:v>
      </x:c>
      <x:c r="H46" s="24" t="str">
        <x:v>CORE</x:v>
      </x:c>
      <x:c r="I46" s="24" t="str">
        <x:v>Cheap deathtouch/lifelink stabilizes combat, gains life and triggers Vito when it connects.</x:v>
      </x:c>
    </x:row>
    <x:row r="47">
      <x:c r="A47" s="24" t="str">
        <x:v>A</x:v>
      </x:c>
      <x:c r="B47" s="36" t="n">
        <x:v>8.5</x:v>
      </x:c>
      <x:c r="C47" s="24" t="str">
        <x:v>Bloodline Recollector</x:v>
      </x:c>
      <x:c r="D47" s="24" t="n">
        <x:v>2</x:v>
      </x:c>
      <x:c r="E47" s="24" t="str">
        <x:v>Watchlist</x:v>
      </x:c>
      <x:c r="F47" s="24" t="str">
        <x:v>WATCHLIST — not in V2</x:v>
      </x:c>
      <x:c r="G47" s="24" t="str">
        <x:v>Watchlist</x:v>
      </x:c>
      <x:c r="H47" s="24" t="str">
        <x:v>TEST</x:v>
      </x:c>
      <x:c r="I47" s="24" t="str">
        <x:v>Flying Vampire whose entry drain scales with your Vampire count, gaining the same amount of life.</x:v>
      </x:c>
    </x:row>
    <x:row r="48">
      <x:c r="A48" s="24" t="str">
        <x:v>A</x:v>
      </x:c>
      <x:c r="B48" s="36" t="n">
        <x:v>8.5</x:v>
      </x:c>
      <x:c r="C48" s="24" t="str">
        <x:v>Dark Ritual</x:v>
      </x:c>
      <x:c r="D48" s="24" t="n">
        <x:v>1</x:v>
      </x:c>
      <x:c r="E48" s="24" t="str">
        <x:v>Spell</x:v>
      </x:c>
      <x:c r="F48" s="24" t="str">
        <x:v>RETAIN</x:v>
      </x:c>
      <x:c r="G48" s="24" t="str">
        <x:v>Ramp</x:v>
      </x:c>
      <x:c r="H48" s="24" t="str">
        <x:v>CORE</x:v>
      </x:c>
      <x:c r="I48" s="24" t="str">
        <x:v>Protects Vito or a key Vampire from destruction or serves as a land when needed.</x:v>
      </x:c>
    </x:row>
    <x:row r="49">
      <x:c r="A49" s="24" t="str">
        <x:v>A</x:v>
      </x:c>
      <x:c r="B49" s="36" t="n">
        <x:v>8.5</x:v>
      </x:c>
      <x:c r="C49" s="24" t="str">
        <x:v>Gifted Aetherborn</x:v>
      </x:c>
      <x:c r="D49" s="24" t="n">
        <x:v>2</x:v>
      </x:c>
      <x:c r="E49" s="24" t="str">
        <x:v>Spell</x:v>
      </x:c>
      <x:c r="F49" s="24" t="str">
        <x:v>RETAIN</x:v>
      </x:c>
      <x:c r="G49" s="24" t="str">
        <x:v>Life gain/drain</x:v>
      </x:c>
      <x:c r="H49" s="24" t="str">
        <x:v>CORE</x:v>
      </x:c>
      <x:c r="I49" s="24" t="str">
        <x:v>Extremely efficient card access: skip draw step, then pay life at end step to draw that many cards.</x:v>
      </x:c>
    </x:row>
    <x:row r="50">
      <x:c r="A50" s="24" t="str">
        <x:v>A</x:v>
      </x:c>
      <x:c r="B50" s="36" t="n">
        <x:v>8.5</x:v>
      </x:c>
      <x:c r="C50" s="24" t="str">
        <x:v>Malakir Bloodwitch</x:v>
      </x:c>
      <x:c r="D50" s="24" t="n">
        <x:v>5</x:v>
      </x:c>
      <x:c r="E50" s="24" t="str">
        <x:v>Spell</x:v>
      </x:c>
      <x:c r="F50" s="24" t="str">
        <x:v>RETAIN</x:v>
      </x:c>
      <x:c r="G50" s="24" t="str">
        <x:v>Vampires (c/ sinergia)</x:v>
      </x:c>
      <x:c r="H50" s="24" t="str">
        <x:v>CORE</x:v>
      </x:c>
      <x:c r="I50" s="24" t="str">
        <x:v>In mono-black it can generate four black mana restricted to casting mono-black spells; later it can draw two cards.</x:v>
      </x:c>
    </x:row>
    <x:row r="51">
      <x:c r="A51" s="24" t="str">
        <x:v>A</x:v>
      </x:c>
      <x:c r="B51" s="36" t="n">
        <x:v>8.5</x:v>
      </x:c>
      <x:c r="C51" s="24" t="str">
        <x:v>Malakir Rebirth</x:v>
      </x:c>
      <x:c r="D51" s="24" t="n">
        <x:v>1</x:v>
      </x:c>
      <x:c r="E51" s="24" t="str">
        <x:v>MDFC</x:v>
      </x:c>
      <x:c r="F51" s="24" t="str">
        <x:v>RETAIN</x:v>
      </x:c>
      <x:c r="G51" s="24" t="str">
        <x:v>Mana base / MDFC</x:v>
      </x:c>
      <x:c r="H51" s="24" t="str">
        <x:v>CORE</x:v>
      </x:c>
      <x:c r="I51" s="24" t="str">
        <x:v>Ascend-powered upkeep reveals a card, drains/gains based on mana value, and provides repeatable card advantage.</x:v>
      </x:c>
    </x:row>
    <x:row r="52">
      <x:c r="A52" s="24" t="str">
        <x:v>A</x:v>
      </x:c>
      <x:c r="B52" s="36" t="n">
        <x:v>8.5</x:v>
      </x:c>
      <x:c r="C52" s="24" t="str">
        <x:v>Necrodominance</x:v>
      </x:c>
      <x:c r="D52" s="24" t="n">
        <x:v>3</x:v>
      </x:c>
      <x:c r="E52" s="24" t="str">
        <x:v>Spell</x:v>
      </x:c>
      <x:c r="F52" s="24" t="str">
        <x:v>RETAIN</x:v>
      </x:c>
      <x:c r="G52" s="24" t="str">
        <x:v>Draw + Tutor</x:v>
      </x:c>
      <x:c r="H52" s="24" t="str">
        <x:v>CORE</x:v>
      </x:c>
      <x:c r="I52" s="24" t="str">
        <x:v>Flexible instant-speed answer to a creature or enchantment; broad coverage matters in mono-black.</x:v>
      </x:c>
    </x:row>
    <x:row r="53">
      <x:c r="A53" s="24" t="str">
        <x:v>A</x:v>
      </x:c>
      <x:c r="B53" s="36" t="n">
        <x:v>8.5</x:v>
      </x:c>
      <x:c r="C53" s="24" t="str">
        <x:v>Throne of Eldraine</x:v>
      </x:c>
      <x:c r="D53" s="24" t="n">
        <x:v>5</x:v>
      </x:c>
      <x:c r="E53" s="24" t="str">
        <x:v>Spell</x:v>
      </x:c>
      <x:c r="F53" s="24" t="str">
        <x:v>RETAIN</x:v>
      </x:c>
      <x:c r="G53" s="24" t="str">
        <x:v>Ramp</x:v>
      </x:c>
      <x:c r="H53" s="24" t="str">
        <x:v>CORE</x:v>
      </x:c>
      <x:c r="I53" s="24" t="str">
        <x:v>Early as a tapped black source or late as a mass-reanimation spell for cheap creatures.</x:v>
      </x:c>
    </x:row>
    <x:row r="54">
      <x:c r="A54" s="24" t="str">
        <x:v>A</x:v>
      </x:c>
      <x:c r="B54" s="36" t="n">
        <x:v>8.5</x:v>
      </x:c>
      <x:c r="C54" s="24" t="str">
        <x:v>Twilight Prophet</x:v>
      </x:c>
      <x:c r="D54" s="24" t="n">
        <x:v>4</x:v>
      </x:c>
      <x:c r="E54" s="24" t="str">
        <x:v>Spell</x:v>
      </x:c>
      <x:c r="F54" s="24" t="str">
        <x:v>RETAIN</x:v>
      </x:c>
      <x:c r="G54" s="24" t="str">
        <x:v>Vampires (c/ sinergia)</x:v>
      </x:c>
      <x:c r="H54" s="24" t="str">
        <x:v>CORE</x:v>
      </x:c>
      <x:c r="I54" s="24" t="str">
        <x:v>Builds a Vampire board over time and can become a lord; helps Captivating Vampire and tribal density.</x:v>
      </x:c>
    </x:row>
    <x:row r="55">
      <x:c r="A55" s="24" t="str">
        <x:v>A</x:v>
      </x:c>
      <x:c r="B55" s="36" t="n">
        <x:v>8.5</x:v>
      </x:c>
      <x:c r="C55" s="24" t="str">
        <x:v>Withering Torment</x:v>
      </x:c>
      <x:c r="D55" s="24" t="n">
        <x:v>3</x:v>
      </x:c>
      <x:c r="E55" s="24" t="str">
        <x:v>Spell</x:v>
      </x:c>
      <x:c r="F55" s="24" t="str">
        <x:v>RETAIN</x:v>
      </x:c>
      <x:c r="G55" s="24" t="str">
        <x:v>Removal</x:v>
      </x:c>
      <x:c r="H55" s="24" t="str">
        <x:v>CORE</x:v>
      </x:c>
      <x:c r="I55" s="24" t="str">
        <x:v>Flexible tutor-to-top plus draw-three mode; provides a powerful resource burst and can find a needed answer.</x:v>
      </x:c>
    </x:row>
    <x:row r="56">
      <x:c r="A56" s="24" t="str">
        <x:v>B</x:v>
      </x:c>
      <x:c r="B56" s="36" t="n">
        <x:v>8.4</x:v>
      </x:c>
      <x:c r="C56" s="24" t="str">
        <x:v>Agadeem's Awakening</x:v>
      </x:c>
      <x:c r="D56" s="24" t="n">
        <x:v>3</x:v>
      </x:c>
      <x:c r="E56" s="24" t="str">
        <x:v>MDFC</x:v>
      </x:c>
      <x:c r="F56" s="24" t="str">
        <x:v>RETAIN</x:v>
      </x:c>
      <x:c r="G56" s="24" t="str">
        <x:v>Mana base / MDFC</x:v>
      </x:c>
      <x:c r="H56" s="24" t="str">
        <x:v>SUPPORT</x:v>
      </x:c>
      <x:c r="I56" s="24" t="str">
        <x:v>Supports Vampire density and reduces Vampire spell costs; its stats improve with other Vampires.</x:v>
      </x:c>
    </x:row>
    <x:row r="57">
      <x:c r="A57" s="24" t="str">
        <x:v>B</x:v>
      </x:c>
      <x:c r="B57" s="36" t="n">
        <x:v>8.4</x:v>
      </x:c>
      <x:c r="C57" s="24" t="str">
        <x:v>Bloodline Keeper</x:v>
      </x:c>
      <x:c r="D57" s="24" t="n">
        <x:v>4</x:v>
      </x:c>
      <x:c r="E57" s="24" t="str">
        <x:v>Spell</x:v>
      </x:c>
      <x:c r="F57" s="24" t="str">
        <x:v>RETAIN</x:v>
      </x:c>
      <x:c r="G57" s="24" t="str">
        <x:v>Vampires (c/ sinergia)</x:v>
      </x:c>
      <x:c r="H57" s="24" t="str">
        <x:v>SUPPORT</x:v>
      </x:c>
      <x:c r="I57" s="24" t="str">
        <x:v>Feeds Cabal Coffers, Cabal Stronghold and Extraplanar Lens; basic Swamps are a structural resource.</x:v>
      </x:c>
    </x:row>
    <x:row r="58">
      <x:c r="A58" s="24" t="str">
        <x:v>B</x:v>
      </x:c>
      <x:c r="B58" s="36" t="n">
        <x:v>8.4</x:v>
      </x:c>
      <x:c r="C58" s="24" t="str">
        <x:v>Insatiable Avarice</x:v>
      </x:c>
      <x:c r="D58" s="24" t="n">
        <x:v>2</x:v>
      </x:c>
      <x:c r="E58" s="24" t="str">
        <x:v>Spell</x:v>
      </x:c>
      <x:c r="F58" s="24" t="str">
        <x:v>RETAIN</x:v>
      </x:c>
      <x:c r="G58" s="24" t="str">
        <x:v>Draw + Tutor</x:v>
      </x:c>
      <x:c r="H58" s="24" t="str">
        <x:v>SUPPORT</x:v>
      </x:c>
      <x:c r="I58" s="24" t="str">
        <x:v>Scales with Swamps and gains life equal to damage dealt, so it can remove a threat and trigger Vito.</x:v>
      </x:c>
    </x:row>
    <x:row r="59">
      <x:c r="A59" s="24" t="str">
        <x:v>B</x:v>
      </x:c>
      <x:c r="B59" s="36" t="n">
        <x:v>8.4</x:v>
      </x:c>
      <x:c r="C59" s="24" t="str">
        <x:v>Markov Baron</x:v>
      </x:c>
      <x:c r="D59" s="24" t="n">
        <x:v>3</x:v>
      </x:c>
      <x:c r="E59" s="24" t="str">
        <x:v>Spell</x:v>
      </x:c>
      <x:c r="F59" s="24" t="str">
        <x:v>RETAIN</x:v>
      </x:c>
      <x:c r="G59" s="24" t="str">
        <x:v>Vampires (c/ sinergia)</x:v>
      </x:c>
      <x:c r="H59" s="24" t="str">
        <x:v>SUPPORT</x:v>
      </x:c>
      <x:c r="I59" s="24" t="str">
        <x:v>Mono-black's important answer to enchantments, including problematic combo pieces.</x:v>
      </x:c>
    </x:row>
    <x:row r="60">
      <x:c r="A60" s="24" t="str">
        <x:v>B</x:v>
      </x:c>
      <x:c r="B60" s="36" t="n">
        <x:v>8.4</x:v>
      </x:c>
      <x:c r="C60" s="24" t="str">
        <x:v>Snow-Covered Swamp</x:v>
      </x:c>
      <x:c r="D60" s="24" t="n">
        <x:v>0</x:v>
      </x:c>
      <x:c r="E60" s="24" t="str">
        <x:v>Land</x:v>
      </x:c>
      <x:c r="F60" s="24" t="str">
        <x:v>RETAIN</x:v>
      </x:c>
      <x:c r="G60" s="24" t="str">
        <x:v>Mana base</x:v>
      </x:c>
      <x:c r="H60" s="24" t="str">
        <x:v>SUPPORT</x:v>
      </x:c>
      <x:c r="I60" s="24" t="str">
        <x:v>High-risk surprise kill with an evasive/lifelink attacker; supports the dramatic combat identity of the deck.</x:v>
      </x:c>
    </x:row>
    <x:row r="61">
      <x:c r="A61" s="24" t="str">
        <x:v>B</x:v>
      </x:c>
      <x:c r="B61" s="36" t="n">
        <x:v>8.4</x:v>
      </x:c>
      <x:c r="C61" s="24" t="str">
        <x:v>Stensian Sanguinist</x:v>
      </x:c>
      <x:c r="D61" s="24" t="n">
        <x:v>2</x:v>
      </x:c>
      <x:c r="E61" s="24" t="str">
        <x:v>Watchlist</x:v>
      </x:c>
      <x:c r="F61" s="24" t="str">
        <x:v>WATCHLIST — not in V2</x:v>
      </x:c>
      <x:c r="G61" s="24" t="str">
        <x:v>Watchlist</x:v>
      </x:c>
      <x:c r="H61" s="24" t="str">
        <x:v>TEST</x:v>
      </x:c>
      <x:c r="I61" s="24" t="str">
        <x:v>Menace and lifelink improve early combat; kicker can reanimate a creature later.</x:v>
      </x:c>
    </x:row>
    <x:row r="62">
      <x:c r="A62" s="24" t="str">
        <x:v>B</x:v>
      </x:c>
      <x:c r="B62" s="36" t="n">
        <x:v>8.3</x:v>
      </x:c>
      <x:c r="C62" s="24" t="str">
        <x:v>Consuming Corruption</x:v>
      </x:c>
      <x:c r="D62" s="24" t="n">
        <x:v>2</x:v>
      </x:c>
      <x:c r="E62" s="24" t="str">
        <x:v>Spell</x:v>
      </x:c>
      <x:c r="F62" s="24" t="str">
        <x:v>RETAIN</x:v>
      </x:c>
      <x:c r="G62" s="24" t="str">
        <x:v>Removal</x:v>
      </x:c>
      <x:c r="H62" s="24" t="str">
        <x:v>SUPPORT</x:v>
      </x:c>
      <x:c r="I62" s="24" t="str">
        <x:v>Free removal can win tempo battles and protect a combo window.</x:v>
      </x:c>
    </x:row>
    <x:row r="63">
      <x:c r="A63" s="24" t="str">
        <x:v>B</x:v>
      </x:c>
      <x:c r="B63" s="36" t="n">
        <x:v>8.3</x:v>
      </x:c>
      <x:c r="C63" s="24" t="str">
        <x:v>Feed the Swarm</x:v>
      </x:c>
      <x:c r="D63" s="24" t="n">
        <x:v>2</x:v>
      </x:c>
      <x:c r="E63" s="24" t="str">
        <x:v>Spell</x:v>
      </x:c>
      <x:c r="F63" s="24" t="str">
        <x:v>RETAIN</x:v>
      </x:c>
      <x:c r="G63" s="24" t="str">
        <x:v>Removal</x:v>
      </x:c>
      <x:c r="H63" s="24" t="str">
        <x:v>SUPPORT</x:v>
      </x:c>
      <x:c r="I63" s="24" t="str">
        <x:v>Flying, deathtouch and lifelink form a strong stabilizing combat body; power scales with graveyards.</x:v>
      </x:c>
    </x:row>
    <x:row r="64">
      <x:c r="A64" s="24" t="str">
        <x:v>B</x:v>
      </x:c>
      <x:c r="B64" s="36" t="n">
        <x:v>8.3</x:v>
      </x:c>
      <x:c r="C64" s="24" t="str">
        <x:v>Hatred</x:v>
      </x:c>
      <x:c r="D64" s="24" t="n">
        <x:v>5</x:v>
      </x:c>
      <x:c r="E64" s="24" t="str">
        <x:v>Spell</x:v>
      </x:c>
      <x:c r="F64" s="24" t="str">
        <x:v>PET LOCK</x:v>
      </x:c>
      <x:c r="G64" s="24" t="str">
        <x:v>PETCARD</x:v>
      </x:c>
      <x:c r="H64" s="24" t="str">
        <x:v>PET LOCK</x:v>
      </x:c>
      <x:c r="I64" s="24" t="str">
        <x:v>Trample and lifelink improve combat math; can remove hexproof/indestructible from opponents' permanents.</x:v>
      </x:c>
    </x:row>
    <x:row r="65">
      <x:c r="A65" s="24" t="str">
        <x:v>B</x:v>
      </x:c>
      <x:c r="B65" s="36" t="n">
        <x:v>8.3</x:v>
      </x:c>
      <x:c r="C65" s="24" t="str">
        <x:v>Nullpriest of Oblivion</x:v>
      </x:c>
      <x:c r="D65" s="24" t="n">
        <x:v>2</x:v>
      </x:c>
      <x:c r="E65" s="24" t="str">
        <x:v>Spell</x:v>
      </x:c>
      <x:c r="F65" s="24" t="str">
        <x:v>RETAIN</x:v>
      </x:c>
      <x:c r="G65" s="24" t="str">
        <x:v>Vampires (s/ sinergia)</x:v>
      </x:c>
      <x:c r="H65" s="24" t="str">
        <x:v>SUPPORT</x:v>
      </x:c>
      <x:c r="I65" s="24" t="str">
        <x:v>Gives a legendary attacker fear, helping Vito or another key Vampire connect.</x:v>
      </x:c>
    </x:row>
    <x:row r="66">
      <x:c r="A66" s="24" t="str">
        <x:v>B</x:v>
      </x:c>
      <x:c r="B66" s="36" t="n">
        <x:v>8.3</x:v>
      </x:c>
      <x:c r="C66" s="24" t="str">
        <x:v>Slaughter Pact</x:v>
      </x:c>
      <x:c r="D66" s="24" t="n">
        <x:v>0</x:v>
      </x:c>
      <x:c r="E66" s="24" t="str">
        <x:v>Spell</x:v>
      </x:c>
      <x:c r="F66" s="24" t="str">
        <x:v>RETAIN</x:v>
      </x:c>
      <x:c r="G66" s="24" t="str">
        <x:v>Removal</x:v>
      </x:c>
      <x:c r="H66" s="24" t="str">
        <x:v>SUPPORT</x:v>
      </x:c>
      <x:c r="I66" s="24" t="str">
        <x:v>Can dramatically increase mana production when imprinted with a Snow-Covered Swamp, supporting huge X-spells.</x:v>
      </x:c>
    </x:row>
    <x:row r="67">
      <x:c r="A67" s="24" t="str">
        <x:v>B</x:v>
      </x:c>
      <x:c r="B67" s="36" t="n">
        <x:v>8.2</x:v>
      </x:c>
      <x:c r="C67" s="24" t="str">
        <x:v>Shadowspear</x:v>
      </x:c>
      <x:c r="D67" s="24" t="n">
        <x:v>1</x:v>
      </x:c>
      <x:c r="E67" s="24" t="str">
        <x:v>Spell</x:v>
      </x:c>
      <x:c r="F67" s="24" t="str">
        <x:v>RETAIN</x:v>
      </x:c>
      <x:c r="G67" s="24" t="str">
        <x:v>Vampires (s/ sinergia)</x:v>
      </x:c>
      <x:c r="H67" s="24" t="str">
        <x:v>SUPPORT</x:v>
      </x:c>
      <x:c r="I67" s="24" t="str">
        <x:v>Reduces Vampire spell costs and gives repeatable access to a creature card from the top of the library.</x:v>
      </x:c>
    </x:row>
    <x:row r="68">
      <x:c r="A68" s="24" t="str">
        <x:v>B</x:v>
      </x:c>
      <x:c r="B68" s="36" t="n">
        <x:v>8.2</x:v>
      </x:c>
      <x:c r="C68" s="24" t="str">
        <x:v>Shizo, Death's Storehouse</x:v>
      </x:c>
      <x:c r="D68" s="24" t="n">
        <x:v>0</x:v>
      </x:c>
      <x:c r="E68" s="24" t="str">
        <x:v>Land</x:v>
      </x:c>
      <x:c r="F68" s="24" t="str">
        <x:v>RETAIN</x:v>
      </x:c>
      <x:c r="G68" s="24" t="str">
        <x:v>Mana base</x:v>
      </x:c>
      <x:c r="H68" s="24" t="str">
        <x:v>SUPPORT</x:v>
      </x:c>
      <x:c r="I68" s="24" t="str">
        <x:v>Can redirect targeted interaction or a key targeted spell, protecting Vito or disrupting an opponent.</x:v>
      </x:c>
    </x:row>
    <x:row r="69">
      <x:c r="A69" s="24" t="str">
        <x:v>B</x:v>
      </x:c>
      <x:c r="B69" s="36" t="n">
        <x:v>8.1</x:v>
      </x:c>
      <x:c r="C69" s="24" t="str">
        <x:v>Extraplanar Lens</x:v>
      </x:c>
      <x:c r="D69" s="24" t="n">
        <x:v>3</x:v>
      </x:c>
      <x:c r="E69" s="24" t="str">
        <x:v>Spell</x:v>
      </x:c>
      <x:c r="F69" s="24" t="str">
        <x:v>RETAIN</x:v>
      </x:c>
      <x:c r="G69" s="24" t="str">
        <x:v>Ramp</x:v>
      </x:c>
      <x:c r="H69" s="24" t="str">
        <x:v>SUPPORT</x:v>
      </x:c>
      <x:c r="I69" s="24" t="str">
        <x:v>Can be discounted to one black mana when thirteen or more creatures are on the battlefield; sacrifices bypass indestructible.</x:v>
      </x:c>
    </x:row>
    <x:row r="70">
      <x:c r="A70" s="24" t="str">
        <x:v>B</x:v>
      </x:c>
      <x:c r="B70" s="36" t="n">
        <x:v>8.1</x:v>
      </x:c>
      <x:c r="C70" s="24" t="str">
        <x:v>Herald's Horn</x:v>
      </x:c>
      <x:c r="D70" s="24" t="n">
        <x:v>3</x:v>
      </x:c>
      <x:c r="E70" s="24" t="str">
        <x:v>Spell</x:v>
      </x:c>
      <x:c r="F70" s="24" t="str">
        <x:v>RETAIN</x:v>
      </x:c>
      <x:c r="G70" s="24" t="str">
        <x:v>Ramp</x:v>
      </x:c>
      <x:c r="H70" s="24" t="str">
        <x:v>SUPPORT</x:v>
      </x:c>
      <x:c r="I70" s="24" t="str">
        <x:v>Repeatable card draw from a land slot; useful after emptying your hand.</x:v>
      </x:c>
    </x:row>
    <x:row r="71">
      <x:c r="A71" s="24" t="str">
        <x:v>B</x:v>
      </x:c>
      <x:c r="B71" s="36" t="n">
        <x:v>8.1</x:v>
      </x:c>
      <x:c r="C71" s="24" t="str">
        <x:v>Imp's Mischief</x:v>
      </x:c>
      <x:c r="D71" s="24" t="n">
        <x:v>2</x:v>
      </x:c>
      <x:c r="E71" s="24" t="str">
        <x:v>Spell</x:v>
      </x:c>
      <x:c r="F71" s="24" t="str">
        <x:v>RETAIN</x:v>
      </x:c>
      <x:c r="G71" s="24" t="str">
        <x:v>Removal</x:v>
      </x:c>
      <x:c r="H71" s="24" t="str">
        <x:v>SUPPORT</x:v>
      </x:c>
      <x:c r="I71" s="24" t="str">
        <x:v>Removal when needed or a black source when mana development matters.</x:v>
      </x:c>
    </x:row>
    <x:row r="72">
      <x:c r="A72" s="24" t="str">
        <x:v>B</x:v>
      </x:c>
      <x:c r="B72" s="36" t="n">
        <x:v>8</x:v>
      </x:c>
      <x:c r="C72" s="24" t="str">
        <x:v>Blasphemous Edict</x:v>
      </x:c>
      <x:c r="D72" s="24" t="n">
        <x:v>8</x:v>
      </x:c>
      <x:c r="E72" s="24" t="str">
        <x:v>Spell</x:v>
      </x:c>
      <x:c r="F72" s="24" t="str">
        <x:v>RETAIN</x:v>
      </x:c>
      <x:c r="G72" s="24" t="str">
        <x:v>Removal</x:v>
      </x:c>
      <x:c r="H72" s="24" t="str">
        <x:v>SUPPORT</x:v>
      </x:c>
      <x:c r="I72" s="24" t="str">
        <x:v>Forms a compact known loop with Bloodchief Ascension after it reaches three quest counters.</x:v>
      </x:c>
    </x:row>
    <x:row r="73">
      <x:c r="A73" s="24" t="str">
        <x:v>B</x:v>
      </x:c>
      <x:c r="B73" s="36" t="n">
        <x:v>8</x:v>
      </x:c>
      <x:c r="C73" s="24" t="str">
        <x:v>Castle Locthwain</x:v>
      </x:c>
      <x:c r="D73" s="24" t="n">
        <x:v>0</x:v>
      </x:c>
      <x:c r="E73" s="24" t="str">
        <x:v>Land</x:v>
      </x:c>
      <x:c r="F73" s="24" t="str">
        <x:v>RETAIN</x:v>
      </x:c>
      <x:c r="G73" s="24" t="str">
        <x:v>Mana base</x:v>
      </x:c>
      <x:c r="H73" s="24" t="str">
        <x:v>SUPPORT</x:v>
      </x:c>
      <x:c r="I73" s="24" t="str">
        <x:v>Menace and lifelink help it attack; it can sacrifice another creature to surveil 1, and with five or more mana values in your graveyard it can pay 2 life at end step to draw a card.</x:v>
      </x:c>
    </x:row>
    <x:row r="74">
      <x:c r="A74" s="24" t="str">
        <x:v>B</x:v>
      </x:c>
      <x:c r="B74" s="36" t="n">
        <x:v>8</x:v>
      </x:c>
      <x:c r="C74" s="24" t="str">
        <x:v>Hagra Mauling</x:v>
      </x:c>
      <x:c r="D74" s="24" t="n">
        <x:v>4</x:v>
      </x:c>
      <x:c r="E74" s="24" t="str">
        <x:v>MDFC</x:v>
      </x:c>
      <x:c r="F74" s="24" t="str">
        <x:v>RETAIN</x:v>
      </x:c>
      <x:c r="G74" s="24" t="str">
        <x:v>Mana base / MDFC</x:v>
      </x:c>
      <x:c r="H74" s="24" t="str">
        <x:v>SUPPORT</x:v>
      </x:c>
      <x:c r="I74" s="24" t="str">
        <x:v>One-mana Vampire and sacrifice outlet that can grow the entire Vampire team; turns generated tokens into permanent pressure.</x:v>
      </x:c>
    </x:row>
    <x:row r="75">
      <x:c r="A75" s="24" t="str">
        <x:v>B</x:v>
      </x:c>
      <x:c r="B75" s="36" t="n">
        <x:v>8</x:v>
      </x:c>
      <x:c r="C75" s="24" t="str">
        <x:v>Mindcrank</x:v>
      </x:c>
      <x:c r="D75" s="24" t="n">
        <x:v>2</x:v>
      </x:c>
      <x:c r="E75" s="24" t="str">
        <x:v>Spell</x:v>
      </x:c>
      <x:c r="F75" s="24" t="str">
        <x:v>RETAIN</x:v>
      </x:c>
      <x:c r="G75" s="24" t="str">
        <x:v>Combos</x:v>
      </x:c>
      <x:c r="H75" s="24" t="str">
        <x:v>SUPPORT</x:v>
      </x:c>
      <x:c r="I75" s="24" t="str">
        <x:v>Reliable unconditional creature wipe to reset a lost board.</x:v>
      </x:c>
    </x:row>
    <x:row r="76">
      <x:c r="A76" s="24" t="str">
        <x:v>B</x:v>
      </x:c>
      <x:c r="B76" s="36" t="n">
        <x:v>8</x:v>
      </x:c>
      <x:c r="C76" s="24" t="str">
        <x:v>Nighthawk Scavenger</x:v>
      </x:c>
      <x:c r="D76" s="24" t="n">
        <x:v>3</x:v>
      </x:c>
      <x:c r="E76" s="24" t="str">
        <x:v>Spell</x:v>
      </x:c>
      <x:c r="F76" s="24" t="str">
        <x:v>V2 OUT — proposed</x:v>
      </x:c>
      <x:c r="G76" s="24" t="str">
        <x:v>Vampires (s/ sinergia)</x:v>
      </x:c>
      <x:c r="H76" s="24" t="str">
        <x:v>CUT CANDIDATE / TEST SWAP</x:v>
      </x:c>
      <x:c r="I76" s="24" t="str">
        <x:v>Modal Vampire provides selection/sacrifice options and can transform into a flying lifelink threat.</x:v>
      </x:c>
    </x:row>
    <x:row r="77">
      <x:c r="A77" s="24" t="str">
        <x:v>B</x:v>
      </x:c>
      <x:c r="B77" s="36" t="n">
        <x:v>8</x:v>
      </x:c>
      <x:c r="C77" s="24" t="str">
        <x:v>Sanguine Spy</x:v>
      </x:c>
      <x:c r="D77" s="24" t="n">
        <x:v>3</x:v>
      </x:c>
      <x:c r="E77" s="24" t="str">
        <x:v>Spell</x:v>
      </x:c>
      <x:c r="F77" s="24" t="str">
        <x:v>RETAIN</x:v>
      </x:c>
      <x:c r="G77" s="24" t="str">
        <x:v>Vampires (c/ sinergia)</x:v>
      </x:c>
      <x:c r="H77" s="24" t="str">
        <x:v>SUPPORT</x:v>
      </x:c>
      <x:c r="I77" s="24" t="str">
        <x:v>Land-slot card draw that can refill after a long game.</x:v>
      </x:c>
    </x:row>
    <x:row r="78">
      <x:c r="A78" s="24" t="str">
        <x:v>B</x:v>
      </x:c>
      <x:c r="B78" s="36" t="n">
        <x:v>8</x:v>
      </x:c>
      <x:c r="C78" s="24" t="str">
        <x:v>Vengeful Bloodwitch</x:v>
      </x:c>
      <x:c r="D78" s="24" t="n">
        <x:v>2</x:v>
      </x:c>
      <x:c r="E78" s="24" t="str">
        <x:v>Watchlist</x:v>
      </x:c>
      <x:c r="F78" s="24" t="str">
        <x:v>WATCHLIST — not in V2</x:v>
      </x:c>
      <x:c r="G78" s="24" t="str">
        <x:v>Watchlist</x:v>
      </x:c>
      <x:c r="H78" s="24" t="str">
        <x:v>TEST</x:v>
      </x:c>
      <x:c r="I78" s="24" t="str">
        <x:v>Reliable two-mana acceleration.</x:v>
      </x:c>
    </x:row>
    <x:row r="79">
      <x:c r="A79" s="24" t="str">
        <x:v>B</x:v>
      </x:c>
      <x:c r="B79" s="36" t="n">
        <x:v>7.8</x:v>
      </x:c>
      <x:c r="C79" s="24" t="str">
        <x:v>Damnation</x:v>
      </x:c>
      <x:c r="D79" s="24" t="n">
        <x:v>4</x:v>
      </x:c>
      <x:c r="E79" s="24" t="str">
        <x:v>Spell</x:v>
      </x:c>
      <x:c r="F79" s="24" t="str">
        <x:v>RETAIN</x:v>
      </x:c>
      <x:c r="G79" s="24" t="str">
        <x:v>Removal</x:v>
      </x:c>
      <x:c r="H79" s="24" t="str">
        <x:v>SUPPORT</x:v>
      </x:c>
      <x:c r="I79" s="24" t="str">
        <x:v>Life-total reset is a powerful political threat; +2 also makes an opponent lose life while you gain life.</x:v>
      </x:c>
    </x:row>
    <x:row r="80">
      <x:c r="A80" s="24" t="str">
        <x:v>B</x:v>
      </x:c>
      <x:c r="B80" s="36" t="n">
        <x:v>7.8</x:v>
      </x:c>
      <x:c r="C80" s="24" t="str">
        <x:v>Henrika Domnathi</x:v>
      </x:c>
      <x:c r="D80" s="24" t="n">
        <x:v>3</x:v>
      </x:c>
      <x:c r="E80" s="24" t="str">
        <x:v>Spell</x:v>
      </x:c>
      <x:c r="F80" s="24" t="str">
        <x:v>RETAIN</x:v>
      </x:c>
      <x:c r="G80" s="24" t="str">
        <x:v>Vampires (s/ sinergia)</x:v>
      </x:c>
      <x:c r="H80" s="24" t="str">
        <x:v>SUPPORT</x:v>
      </x:c>
      <x:c r="I80" s="24" t="str">
        <x:v>Provides late-game black mana based on basic Swamps; Snow-Covered Swamps count as basic Swamps.</x:v>
      </x:c>
    </x:row>
    <x:row r="81">
      <x:c r="A81" s="24" t="str">
        <x:v>B</x:v>
      </x:c>
      <x:c r="B81" s="36" t="n">
        <x:v>7.8</x:v>
      </x:c>
      <x:c r="C81" s="24" t="str">
        <x:v>War Room</x:v>
      </x:c>
      <x:c r="D81" s="24" t="n">
        <x:v>0</x:v>
      </x:c>
      <x:c r="E81" s="24" t="str">
        <x:v>Land</x:v>
      </x:c>
      <x:c r="F81" s="24" t="str">
        <x:v>RETAIN</x:v>
      </x:c>
      <x:c r="G81" s="24" t="str">
        <x:v>Mana base</x:v>
      </x:c>
      <x:c r="H81" s="24" t="str">
        <x:v>SUPPORT</x:v>
      </x:c>
      <x:c r="I81" s="24" t="str">
        <x:v>Fixes color (black here) and scries on Vampire casts.</x:v>
      </x:c>
    </x:row>
    <x:row r="82">
      <x:c r="A82" s="24" t="str">
        <x:v>B</x:v>
      </x:c>
      <x:c r="B82" s="36" t="n">
        <x:v>7.7</x:v>
      </x:c>
      <x:c r="C82" s="24" t="str">
        <x:v>Arcane Signet</x:v>
      </x:c>
      <x:c r="D82" s="24" t="n">
        <x:v>2</x:v>
      </x:c>
      <x:c r="E82" s="24" t="str">
        <x:v>Spell</x:v>
      </x:c>
      <x:c r="F82" s="24" t="str">
        <x:v>RETAIN</x:v>
      </x:c>
      <x:c r="G82" s="24" t="str">
        <x:v>Ramp</x:v>
      </x:c>
      <x:c r="H82" s="24" t="str">
        <x:v>SUPPORT</x:v>
      </x:c>
      <x:c r="I82" s="24" t="str">
        <x:v>Land-slot card draw can encourage deals or help refill a hand when you are empty.</x:v>
      </x:c>
    </x:row>
    <x:row r="83">
      <x:c r="A83" s="24" t="str">
        <x:v>B</x:v>
      </x:c>
      <x:c r="B83" s="36" t="n">
        <x:v>7.7</x:v>
      </x:c>
      <x:c r="C83" s="24" t="str">
        <x:v>Nazar, the Velvet Fang</x:v>
      </x:c>
      <x:c r="D83" s="24" t="n">
        <x:v>4</x:v>
      </x:c>
      <x:c r="E83" s="24" t="str">
        <x:v>Watchlist</x:v>
      </x:c>
      <x:c r="F83" s="24" t="str">
        <x:v>WATCHLIST — not in V2</x:v>
      </x:c>
      <x:c r="G83" s="24" t="str">
        <x:v>Watchlist</x:v>
      </x:c>
      <x:c r="H83" s="24" t="str">
        <x:v>REVIEW</x:v>
      </x:c>
      <x:c r="I83" s="24" t="str">
        <x:v>Can return a creature from graveyard to the top when three other Swamps are controlled.</x:v>
      </x:c>
    </x:row>
    <x:row r="84">
      <x:c r="A84" s="24" t="str">
        <x:v>B</x:v>
      </x:c>
      <x:c r="B84" s="36" t="n">
        <x:v>7.7</x:v>
      </x:c>
      <x:c r="C84" s="24" t="str">
        <x:v>Sorin Markov</x:v>
      </x:c>
      <x:c r="D84" s="24" t="n">
        <x:v>6</x:v>
      </x:c>
      <x:c r="E84" s="24" t="str">
        <x:v>Spell</x:v>
      </x:c>
      <x:c r="F84" s="24" t="str">
        <x:v>RETAIN</x:v>
      </x:c>
      <x:c r="G84" s="24" t="str">
        <x:v>Life gain/drain</x:v>
      </x:c>
      <x:c r="H84" s="24" t="str">
        <x:v>SUPPORT</x:v>
      </x:c>
      <x:c r="I84" s="24" t="str">
        <x:v>Unconditional tutor provides flexibility and accesses combo or an answer.</x:v>
      </x:c>
    </x:row>
    <x:row r="85">
      <x:c r="A85" s="24" t="str">
        <x:v>B</x:v>
      </x:c>
      <x:c r="B85" s="36" t="n">
        <x:v>7.6</x:v>
      </x:c>
      <x:c r="C85" s="24" t="str">
        <x:v>Grim Tutor</x:v>
      </x:c>
      <x:c r="D85" s="24" t="n">
        <x:v>3</x:v>
      </x:c>
      <x:c r="E85" s="24" t="str">
        <x:v>Spell</x:v>
      </x:c>
      <x:c r="F85" s="24" t="str">
        <x:v>V2 OUT — proposed</x:v>
      </x:c>
      <x:c r="G85" s="24" t="str">
        <x:v>Draw + Tutor</x:v>
      </x:c>
      <x:c r="H85" s="24" t="str">
        <x:v>CUT CANDIDATE / TEST SWAP</x:v>
      </x:c>
      <x:c r="I85" s="24" t="str">
        <x:v>A large Vampire that converts each life-gain event into targeted life loss; redundancy after Vito is removed.</x:v>
      </x:c>
    </x:row>
    <x:row r="86">
      <x:c r="A86" s="25" t="str">
        <x:v>B</x:v>
      </x:c>
      <x:c r="B86" s="37" t="n">
        <x:v>7.5</x:v>
      </x:c>
      <x:c r="C86" s="25" t="str">
        <x:v>Cabal Stronghold</x:v>
      </x:c>
      <x:c r="D86" s="25" t="n">
        <x:v>0</x:v>
      </x:c>
      <x:c r="E86" s="25" t="str">
        <x:v>Land</x:v>
      </x:c>
      <x:c r="F86" s="25" t="str">
        <x:v>RETAIN</x:v>
      </x:c>
      <x:c r="G86" s="25" t="str">
        <x:v>Mana base</x:v>
      </x:c>
      <x:c r="H86" s="25" t="str">
        <x:v>SUPPORT</x:v>
      </x:c>
      <x:c r="I86" s="25"/>
    </x:row>
    <x:row r="87">
      <x:c r="A87" s="56" t="str">
        <x:v>B</x:v>
      </x:c>
      <x:c r="B87" s="62" t="n">
        <x:v>7.5</x:v>
      </x:c>
      <x:c r="C87" s="56" t="str">
        <x:v>Indulgent Aristocrat</x:v>
      </x:c>
      <x:c r="D87" s="56" t="n">
        <x:v>1</x:v>
      </x:c>
      <x:c r="E87" s="56" t="str">
        <x:v>Spell</x:v>
      </x:c>
      <x:c r="F87" s="56" t="str">
        <x:v>V2 OUT — proposed</x:v>
      </x:c>
      <x:c r="G87" s="56" t="str">
        <x:v>Vampires (c/ sinergia)</x:v>
      </x:c>
      <x:c r="H87" s="56" t="str">
        <x:v>CUT CANDIDATE / TEST SWAP</x:v>
      </x:c>
    </x:row>
    <x:row r="88">
      <x:c r="A88" s="56" t="str">
        <x:v>B</x:v>
      </x:c>
      <x:c r="B88" s="62" t="n">
        <x:v>7.5</x:v>
      </x:c>
      <x:c r="C88" s="56" t="str">
        <x:v>Path of Ancestry</x:v>
      </x:c>
      <x:c r="D88" s="56" t="n">
        <x:v>0</x:v>
      </x:c>
      <x:c r="E88" s="56" t="str">
        <x:v>Land</x:v>
      </x:c>
      <x:c r="F88" s="56" t="str">
        <x:v>RETAIN</x:v>
      </x:c>
      <x:c r="G88" s="56" t="str">
        <x:v>Mana base</x:v>
      </x:c>
      <x:c r="H88" s="56" t="str">
        <x:v>SUPPORT</x:v>
      </x:c>
    </x:row>
    <x:row r="89">
      <x:c r="A89" s="56" t="str">
        <x:v>C</x:v>
      </x:c>
      <x:c r="B89" s="62" t="n">
        <x:v>7.4</x:v>
      </x:c>
      <x:c r="C89" s="56" t="str">
        <x:v>Defiant Bloodlord</x:v>
      </x:c>
      <x:c r="D89" s="56" t="n">
        <x:v>7</x:v>
      </x:c>
      <x:c r="E89" s="56" t="str">
        <x:v>Spell</x:v>
      </x:c>
      <x:c r="F89" s="56" t="str">
        <x:v>V2 OUT — proposed</x:v>
      </x:c>
      <x:c r="G89" s="56" t="str">
        <x:v>Vampires (c/ sinergia)</x:v>
      </x:c>
      <x:c r="H89" s="56" t="str">
        <x:v>CUT CANDIDATE / TEST SWAP</x:v>
      </x:c>
    </x:row>
    <x:row r="90">
      <x:c r="A90" s="56" t="str">
        <x:v>C</x:v>
      </x:c>
      <x:c r="B90" s="62" t="n">
        <x:v>7.2</x:v>
      </x:c>
      <x:c r="C90" s="56" t="str">
        <x:v>Defiling Daemogoth</x:v>
      </x:c>
      <x:c r="D90" s="56" t="n">
        <x:v>5</x:v>
      </x:c>
      <x:c r="E90" s="56" t="str">
        <x:v>Watchlist</x:v>
      </x:c>
      <x:c r="F90" s="56" t="str">
        <x:v>WATCHLIST — not in V2</x:v>
      </x:c>
      <x:c r="G90" s="56" t="str">
        <x:v>Watchlist</x:v>
      </x:c>
      <x:c r="H90" s="56" t="str">
        <x:v>REVIEW</x:v>
      </x:c>
    </x:row>
    <x:row r="91">
      <x:c r="A91" s="56" t="str">
        <x:v>C</x:v>
      </x:c>
      <x:c r="B91" s="62" t="n">
        <x:v>7.2</x:v>
      </x:c>
      <x:c r="C91" s="56" t="str">
        <x:v>Mikokoro, Center of the Sea</x:v>
      </x:c>
      <x:c r="D91" s="56" t="n">
        <x:v>0</x:v>
      </x:c>
      <x:c r="E91" s="56" t="str">
        <x:v>Land</x:v>
      </x:c>
      <x:c r="F91" s="56" t="str">
        <x:v>RETAIN</x:v>
      </x:c>
      <x:c r="G91" s="56" t="str">
        <x:v>Mana base</x:v>
      </x:c>
      <x:c r="H91" s="56" t="str">
        <x:v>REVIEW</x:v>
      </x:c>
    </x:row>
    <x:row r="92">
      <x:c r="A92" s="56" t="str">
        <x:v>C</x:v>
      </x:c>
      <x:c r="B92" s="62" t="n">
        <x:v>7.2</x:v>
      </x:c>
      <x:c r="C92" s="56" t="str">
        <x:v>Witch's Cottage</x:v>
      </x:c>
      <x:c r="D92" s="56" t="n">
        <x:v>0</x:v>
      </x:c>
      <x:c r="E92" s="56" t="str">
        <x:v>Land</x:v>
      </x:c>
      <x:c r="F92" s="56" t="str">
        <x:v>RETAIN</x:v>
      </x:c>
      <x:c r="G92" s="56" t="str">
        <x:v>Mana base</x:v>
      </x:c>
      <x:c r="H92" s="56" t="str">
        <x:v>REVIEW</x:v>
      </x:c>
    </x:row>
    <x:row r="93">
      <x:c r="A93" s="56" t="str">
        <x:v>C</x:v>
      </x:c>
      <x:c r="B93" s="62" t="n">
        <x:v>6.8</x:v>
      </x:c>
      <x:c r="C93" s="56" t="str">
        <x:v>Moseo, Vein's New Dean</x:v>
      </x:c>
      <x:c r="D93" s="56" t="n">
        <x:v>3</x:v>
      </x:c>
      <x:c r="E93" s="56" t="str">
        <x:v>Watchlist</x:v>
      </x:c>
      <x:c r="F93" s="56" t="str">
        <x:v>WATCHLIST — not in V2</x:v>
      </x:c>
      <x:c r="G93" s="56" t="str">
        <x:v>Watchlist</x:v>
      </x:c>
      <x:c r="H93" s="56" t="str">
        <x:v>REVIEW</x:v>
      </x:c>
    </x:row>
    <x:row r="94">
      <x:c r="A94" s="56"/>
      <x:c r="B94" s="62"/>
      <x:c r="C94" s="56"/>
      <x:c r="D94" s="56"/>
      <x:c r="E94" s="56"/>
      <x:c r="F94" s="56"/>
      <x:c r="G94" s="56"/>
      <x:c r="H94" s="56"/>
    </x:row>
    <x:row r="95">
      <x:c r="A95" s="56"/>
      <x:c r="B95" s="62"/>
      <x:c r="C95" s="56"/>
      <x:c r="D95" s="56"/>
      <x:c r="E95" s="56"/>
      <x:c r="F95" s="56"/>
      <x:c r="G95" s="56"/>
      <x:c r="H95" s="56"/>
    </x:row>
    <x:row r="96">
      <x:c r="A96" s="56"/>
      <x:c r="B96" s="62"/>
      <x:c r="C96" s="56"/>
      <x:c r="D96" s="56"/>
      <x:c r="E96" s="56"/>
      <x:c r="F96" s="56"/>
      <x:c r="G96" s="56"/>
      <x:c r="H96" s="56"/>
    </x:row>
    <x:row r="97">
      <x:c r="A97" s="56"/>
      <x:c r="B97" s="62"/>
      <x:c r="C97" s="56"/>
      <x:c r="D97" s="56"/>
      <x:c r="E97" s="56"/>
      <x:c r="F97" s="56"/>
      <x:c r="G97" s="56"/>
      <x:c r="H97" s="56"/>
    </x:row>
    <x:row r="98">
      <x:c r="A98" s="56"/>
      <x:c r="B98" s="62"/>
      <x:c r="C98" s="56"/>
      <x:c r="D98" s="56"/>
      <x:c r="E98" s="56"/>
      <x:c r="F98" s="56"/>
      <x:c r="G98" s="56"/>
      <x:c r="H98" s="56"/>
    </x:row>
    <x:row r="99">
      <x:c r="A99" s="56"/>
      <x:c r="B99" s="62"/>
      <x:c r="C99" s="56"/>
      <x:c r="D99" s="56"/>
      <x:c r="E99" s="56"/>
      <x:c r="F99" s="56"/>
      <x:c r="G99" s="56"/>
      <x:c r="H99" s="56"/>
    </x:row>
    <x:row r="100">
      <x:c r="A100" s="56"/>
      <x:c r="B100" s="62"/>
      <x:c r="C100" s="56"/>
      <x:c r="D100" s="56"/>
      <x:c r="E100" s="56"/>
      <x:c r="F100" s="56"/>
      <x:c r="G100" s="56"/>
      <x:c r="H100" s="56"/>
    </x:row>
    <x:row r="101">
      <x:c r="A101" s="56"/>
      <x:c r="B101" s="62"/>
      <x:c r="C101" s="56"/>
      <x:c r="D101" s="56"/>
      <x:c r="E101" s="56"/>
      <x:c r="F101" s="56"/>
      <x:c r="G101" s="56"/>
      <x:c r="H101" s="56"/>
    </x:row>
    <x:row r="102">
      <x:c r="A102" s="56"/>
      <x:c r="B102" s="62"/>
      <x:c r="C102" s="56"/>
      <x:c r="D102" s="56"/>
      <x:c r="E102" s="56"/>
      <x:c r="F102" s="56"/>
      <x:c r="G102" s="56"/>
      <x:c r="H102" s="56"/>
    </x:row>
    <x:row r="103">
      <x:c r="A103" s="56"/>
      <x:c r="B103" s="62"/>
      <x:c r="C103" s="56"/>
      <x:c r="D103" s="56"/>
      <x:c r="E103" s="56"/>
      <x:c r="F103" s="56"/>
      <x:c r="G103" s="56"/>
      <x:c r="H103" s="56"/>
    </x:row>
    <x:row r="104">
      <x:c r="A104" s="56"/>
      <x:c r="B104" s="62"/>
      <x:c r="C104" s="56"/>
      <x:c r="D104" s="56"/>
      <x:c r="E104" s="56"/>
      <x:c r="F104" s="56"/>
      <x:c r="G104" s="56"/>
      <x:c r="H104" s="56"/>
    </x:row>
    <x:row r="105">
      <x:c r="A105" s="56"/>
      <x:c r="B105" s="62"/>
      <x:c r="C105" s="56"/>
      <x:c r="D105" s="56"/>
      <x:c r="E105" s="56"/>
      <x:c r="F105" s="56"/>
      <x:c r="G105" s="56"/>
      <x:c r="H105" s="56"/>
    </x:row>
    <x:row r="106">
      <x:c r="A106" s="56"/>
      <x:c r="B106" s="62"/>
      <x:c r="C106" s="56"/>
      <x:c r="D106" s="56"/>
      <x:c r="E106" s="56"/>
      <x:c r="F106" s="56"/>
      <x:c r="G106" s="56"/>
      <x:c r="H106" s="56"/>
    </x:row>
    <x:row r="107">
      <x:c r="A107" s="56"/>
      <x:c r="B107" s="62"/>
      <x:c r="C107" s="56"/>
      <x:c r="D107" s="56"/>
      <x:c r="E107" s="56"/>
      <x:c r="F107" s="56"/>
      <x:c r="G107" s="56"/>
      <x:c r="H107" s="56"/>
    </x:row>
    <x:row r="108">
      <x:c r="A108" s="56"/>
      <x:c r="B108" s="62"/>
      <x:c r="C108" s="56"/>
      <x:c r="D108" s="56"/>
      <x:c r="E108" s="56"/>
      <x:c r="F108" s="56"/>
      <x:c r="G108" s="56"/>
      <x:c r="H108" s="56"/>
    </x:row>
    <x:row r="109">
      <x:c r="A109" s="56"/>
      <x:c r="B109" s="62"/>
      <x:c r="C109" s="56"/>
      <x:c r="D109" s="56"/>
      <x:c r="E109" s="56"/>
      <x:c r="F109" s="56"/>
      <x:c r="G109" s="56"/>
      <x:c r="H109" s="56"/>
    </x:row>
    <x:row r="110">
      <x:c r="A110" s="56"/>
      <x:c r="B110" s="62"/>
      <x:c r="C110" s="56"/>
      <x:c r="D110" s="56"/>
      <x:c r="E110" s="56"/>
      <x:c r="F110" s="56"/>
      <x:c r="G110" s="56"/>
      <x:c r="H110" s="56"/>
    </x:row>
  </x:sheetData>
  <x:mergeCells>
    <x:mergeCell ref="A1:I1"/>
  </x:mergeCells>
  <x:conditionalFormatting sqref="B3:B86">
    <x:cfRule type="colorScale" priority="1">
      <x:colorScale>
        <x:cfvo type="min"/>
        <x:cfvo type="percentile" val="50"/>
        <x:cfvo type="max"/>
        <x:color rgb="FFFECACA"/>
        <x:color rgb="FFFEF3C7"/>
        <x:color rgb="FFBBF7D0"/>
      </x:colorScale>
    </x:cfRule>
  </x:conditionalFormatting>
  <x:pageMargins left="0.7" right="0.7" top="0.75" bottom="0.75" header="0.3" footer="0.3"/>
  <x:tableParts count="1">
    <x:tablePart xmlns:r="http://schemas.openxmlformats.org/officeDocument/2006/relationships" r:id="Rf7d100f4eb9047f9"/>
  </x:tableParts>
</x:worksheet>
</file>

<file path=xl/worksheets/sheet4.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3" hidden="0" customWidth="1"/>
    <x:col min="2" max="2" width="40" hidden="0" customWidth="1"/>
    <x:col min="3" max="3" width="38" hidden="0" customWidth="1"/>
    <x:col min="4" max="4" width="40" hidden="0" customWidth="1"/>
    <x:col min="5" max="5" width="13" hidden="0" customWidth="1"/>
    <x:col min="6" max="6" width="36" hidden="0" customWidth="1"/>
  </x:cols>
  <x:sheetData>
    <x:row r="1" ht="30" customHeight="1">
      <x:c r="A1" s="5" t="str">
        <x:v>STRUCTURAL ANALYSIS — CURRENT VS PROJECTED</x:v>
      </x:c>
      <x:c r="B1" s="5"/>
      <x:c r="C1" s="5"/>
      <x:c r="D1" s="5"/>
      <x:c r="E1" s="5"/>
      <x:c r="F1" s="5"/>
    </x:row>
    <x:row r="2" ht="30" customHeight="1">
      <x:c r="A2" s="14" t="str">
        <x:v>Area</x:v>
      </x:c>
      <x:c r="B2" s="14" t="str">
        <x:v>Current diagnosis</x:v>
      </x:c>
      <x:c r="C2" s="14" t="str">
        <x:v>Risk / effect</x:v>
      </x:c>
      <x:c r="D2" s="14" t="str">
        <x:v>V2 position</x:v>
      </x:c>
      <x:c r="E2" s="14" t="str">
        <x:v>Priority</x:v>
      </x:c>
      <x:c r="F2" s="14" t="str">
        <x:v>Evidence / method</x:v>
      </x:c>
    </x:row>
    <x:row r="3" ht="70" customHeight="1">
      <x:c r="A3" s="24" t="str">
        <x:v>Identity</x:v>
      </x:c>
      <x:c r="B3" s="24" t="str">
        <x:v>Mono-black Vampire tribal / lifegain-lifedrain. Vito is the early conversion engine; combo is the reserve line, not the default win plan.</x:v>
      </x:c>
      <x:c r="C3" s="24" t="str">
        <x:v>The table knows the combo and will identify Vito / Exquisite Blood as a threat; the pilot must manage threat perception and removal.</x:v>
      </x:c>
      <x:c r="D3" s="24" t="str">
        <x:v>Keep the visible combo package, but add fair, low-cost Vampire pressure and X-scalable drains.</x:v>
      </x:c>
      <x:c r="E3" s="24" t="str">
        <x:v>High</x:v>
      </x:c>
      <x:c r="F3" s="24" t="str">
        <x:v>User brief + current Oracle text; researched 2026-10-09</x:v>
      </x:c>
    </x:row>
    <x:row r="4" ht="70" customHeight="1">
      <x:c r="A4" s="24" t="str">
        <x:v>Mana structure</x:v>
      </x:c>
      <x:c r="B4" s="24" t="str">
        <x:v>31 physical lands + 3 MDFCs = 34 mana-allocation slots and 65 functional spells; 20 basic Snow-Covered Swamps support Coffers / Stronghold / Lens.</x:v>
      </x:c>
      <x:c r="C4" s="24" t="str">
        <x:v>Below the 35-slot reference, but there are powerful acceleration engines and land-side MDFCs. Do not cut a unique answer solely to force 8×8 arithmetic.</x:v>
      </x:c>
      <x:c r="D4" s="24" t="str">
        <x:v>Keep the current mana count for the first V2 test; monitor missed land drops and unkeepable hands before adding a land.</x:v>
      </x:c>
      <x:c r="E4" s="24" t="str">
        <x:v>High</x:v>
      </x:c>
      <x:c r="F4" s="24" t="str">
        <x:v>Recounted from exact source list; Handover Master says 35 is reference, not law.</x:v>
      </x:c>
    </x:row>
    <x:row r="5" ht="70" customHeight="1">
      <x:c r="A5" s="24" t="str">
        <x:v>Mana engine</x:v>
      </x:c>
      <x:c r="B5" s="24" t="str">
        <x:v>Cabal Coffers + Urborg, Crypt Ghast, Nykthos, Cabal Stronghold, Throne of Eldraine, K'rrik, Dark Ritual and cost reducers provide high ceiling.</x:v>
      </x:c>
      <x:c r="C5" s="24" t="str">
        <x:v>Several sources are conditional; colorless utility lands reduce black-source density, and paying life for K'rrik / Tomb can compound.</x:v>
      </x:c>
      <x:c r="D5" s="24" t="str">
        <x:v>Do not add generic ramp. Validate openers; keep Coffers / Urborg / Crypt Ghast / Jet Medallion / Sol Ring package intact.</x:v>
      </x:c>
      <x:c r="E5" s="24" t="str">
        <x:v>High</x:v>
      </x:c>
      <x:c r="F5" s="24" t="str">
        <x:v>Role analysis; mana-base context</x:v>
      </x:c>
    </x:row>
    <x:row r="6" ht="70" customHeight="1">
      <x:c r="A6" s="24" t="str">
        <x:v>Curve</x:v>
      </x:c>
      <x:c r="B6" s="24" t="str">
        <x:v>Corrected average mana value of 65 functional spells ≈ 3.22 (X=0 for library mana value); Blasphemous Edict is MV 8 despite its alternate cost.</x:v>
      </x:c>
      <x:c r="C6" s="24" t="str">
        <x:v>Several 5–7 mana cards compete for turns; some have unique payoff, so trimming the top end should focus on redundant effects rather than signature finishers.</x:v>
      </x:c>
      <x:c r="D6" s="24" t="str">
        <x:v>Morlun replaces Defiant Bloodlord and lowers the average to ≈ 3.15 while adding immediate X-scalable damage/lifelink; two other changes add early Vampire utility.</x:v>
      </x:c>
      <x:c r="E6" s="24" t="str">
        <x:v>High</x:v>
      </x:c>
      <x:c r="F6" s="24" t="str">
        <x:v>MV values verified against card text; candidate replacements calculated from card entries</x:v>
      </x:c>
    </x:row>
    <x:row r="7" ht="70" customHeight="1">
      <x:c r="A7" s="24" t="str">
        <x:v>Creature base</x:v>
      </x:c>
      <x:c r="B7" s="24" t="str">
        <x:v>26 creatures in the 99; 21 Vampire cards in the 99 + Vito = 22 Vampire cards including commander.</x:v>
      </x:c>
      <x:c r="C7" s="24" t="str">
        <x:v>Good tribal density but a few bodies give stats or redundancy without immediate early-turn impact.</x:v>
      </x:c>
      <x:c r="D7" s="24" t="str">
        <x:v>27 creatures in the 99; 22 Vampires in the 99 + Vito = 23 including commander. Four new roles, no extra land forced.</x:v>
      </x:c>
      <x:c r="E7" s="24" t="str">
        <x:v>High</x:v>
      </x:c>
      <x:c r="F7" s="24" t="str">
        <x:v>Unique-name/type-line and subtype audit</x:v>
      </x:c>
    </x:row>
    <x:row r="8" ht="70" customHeight="1">
      <x:c r="A8" s="24" t="str">
        <x:v>Ramp</x:v>
      </x:c>
      <x:c r="B8" s="24" t="str">
        <x:v>10 primary ramp slots and several secondary mana engines / cost reducers.</x:v>
      </x:c>
      <x:c r="C8" s="24" t="str">
        <x:v>Strong mana acceleration, but fast mana is partly front-loaded and utility lands still cost color consistency.</x:v>
      </x:c>
      <x:c r="D8" s="24" t="str">
        <x:v>Remain at 10 primary ramp slots; prioritize early Vampire/drain plays over generic ramp additions.</x:v>
      </x:c>
      <x:c r="E8" s="24" t="str">
        <x:v>Medium</x:v>
      </x:c>
      <x:c r="F8" s="24" t="str">
        <x:v>Primary role counted once per functional slot</x:v>
      </x:c>
    </x:row>
    <x:row r="9" ht="70" customHeight="1">
      <x:c r="A9" s="24" t="str">
        <x:v>Draw + Tutor</x:v>
      </x:c>
      <x:c r="B9" s="24" t="str">
        <x:v>10 primary slots include Black Market Connections, Citadel, Necropotence, Necrodominance, Demonic Tutor, Vampiric Tutor, Beseech and Insatiable Avarice.</x:v>
      </x:c>
      <x:c r="C9" s="24" t="str">
        <x:v>Excellent access to resources, but tutoring for a known loop too early reinforces threat perception; Necropotence-family cards compete for life.</x:v>
      </x:c>
      <x:c r="D9" s="24" t="str">
        <x:v>9 primary slots after Grim Tutor → Emeritus; this is a role-compression trade, not an efficiency upgrade on raw tutor mana alone.</x:v>
      </x:c>
      <x:c r="E9" s="24" t="str">
        <x:v>High</x:v>
      </x:c>
      <x:c r="F9" s="24" t="str">
        <x:v>Primary roles count each card once; secondary functions recorded separately</x:v>
      </x:c>
    </x:row>
    <x:row r="10" ht="70" customHeight="1">
      <x:c r="A10" s="24" t="str">
        <x:v>Removal</x:v>
      </x:c>
      <x:c r="B10" s="24" t="str">
        <x:v>9 primary slots; includes Deadly Rollick, Toxic Deluge, Damnation, Blasphemous Edict, Feed the Swarm, Withering Torment and conditional effects.</x:v>
      </x:c>
      <x:c r="C10" s="24" t="str">
        <x:v>Damnation is the reliable four-mana full creature reset; Blasphemous Edict's alternative cost requires 13+ creatures and is not a dependable replacement in every board state.</x:v>
      </x:c>
      <x:c r="D10" s="24" t="str">
        <x:v>Keep Damnation. Correct Blasphemous Edict to Sorcery / MV 8 and evaluate its alternate-cost utility separately.</x:v>
      </x:c>
      <x:c r="E10" s="24" t="str">
        <x:v>High</x:v>
      </x:c>
      <x:c r="F10" s="24" t="str">
        <x:v>Oracle text checked; no forced land cut</x:v>
      </x:c>
    </x:row>
    <x:row r="11" ht="70" customHeight="1">
      <x:c r="A11" s="24" t="str">
        <x:v>Combo package</x:v>
      </x:c>
      <x:c r="B11" s="24" t="str">
        <x:v>Vito + Exquisite Blood; Vito + Bloodthirsty Conqueror; Bloodchief Ascension (3 quest counters) + Mindcrank. Exquisite Blood also loops with a life-gain drain payoff.</x:v>
      </x:c>
      <x:c r="C11" s="24" t="str">
        <x:v>Compact combos are known to opponents. Repeated tutoring or playing both pieces without necessity can end diplomacy early.</x:v>
      </x:c>
      <x:c r="D11" s="24" t="str">
        <x:v>Keep combos and PET LOCKs; recommend combo only when it is lethal, a response to inevitable loss, or the best line left.</x:v>
      </x:c>
      <x:c r="E11" s="24" t="str">
        <x:v>High</x:v>
      </x:c>
      <x:c r="F11" s="24" t="str">
        <x:v>Oracle / rules sequencing + EDH.Wiki strategy context</x:v>
      </x:c>
    </x:row>
    <x:row r="12" ht="70" customHeight="1">
      <x:c r="A12" s="24" t="str">
        <x:v>Lifegain/lifedrain</x:v>
      </x:c>
      <x:c r="B12" s="24" t="str">
        <x:v>Vito, Marauding Blight-Priest, Enduring Tenacity, Blood Artist, Creeping Bloodsucker, Meathook, Gray Merchant and Vampires with lifelink give layered pressure.</x:v>
      </x:c>
      <x:c r="C12" s="24" t="str">
        <x:v>Several effects target one opponent; other drains hit the whole table. Life gain can trigger more than one payoff at once, so resolve and stack them deliberately.</x:v>
      </x:c>
      <x:c r="D12" s="24" t="str">
        <x:v>Morlun gives a scalable single-player drain plus Vito trigger; Syphoner pressures the whole table on attack even if blocked.</x:v>
      </x:c>
      <x:c r="E12" s="24" t="str">
        <x:v>High</x:v>
      </x:c>
      <x:c r="F12" s="24" t="str">
        <x:v>Card text / trigger sequencing</x:v>
      </x:c>
    </x:row>
    <x:row r="13" ht="70" customHeight="1">
      <x:c r="A13" s="24" t="str">
        <x:v>Political plan</x:v>
      </x:c>
      <x:c r="B13" s="24" t="str">
        <x:v>Sorin Markov, Vito targeting, Mikokoro and selective tutor use can focus the strongest opponent while offering other players reasons to cooperate.</x:v>
      </x:c>
      <x:c r="C13" s="24" t="str">
        <x:v>Mikokoro's group draw may give an opponent the answer or combo they need; Sorin's 10-life setting is conspicuous and can change table threat perception.</x:v>
      </x:c>
      <x:c r="D13" s="24" t="str">
        <x:v>Keep Sorin Markov and Mikokoro as intentional political tools. Use drain to pressure the leader without automatically revealing the combo.</x:v>
      </x:c>
      <x:c r="E13" s="24" t="str">
        <x:v>Medium</x:v>
      </x:c>
      <x:c r="F13" s="24" t="str">
        <x:v>Inference from stated preferred play style</x:v>
      </x:c>
    </x:row>
    <x:row r="14" ht="70" customHeight="1">
      <x:c r="A14" s="24" t="str">
        <x:v>Anti-synergy</x:v>
      </x:c>
      <x:c r="B14" s="24" t="str">
        <x:v>Necrodominance is powerful draw but replaces cards/tokens headed to graveyards with exile while active.</x:v>
      </x:c>
      <x:c r="C14" s="24" t="str">
        <x:v>While Necrodominance applies, creature death triggers such as Blood Artist, Meathook Massacre, Vein Ripper and candidate Bloodline Recollector / Vengeful Bloodwitch are suppressed; it also limits graveyard-based engines.</x:v>
      </x:c>
      <x:c r="D14" s="24" t="str">
        <x:v>Retain Necrodominance as a high-power draw option but sequence it in turns when cards are worth more than death/graveyard value.</x:v>
      </x:c>
      <x:c r="E14" s="24" t="str">
        <x:v>High</x:v>
      </x:c>
      <x:c r="F14" s="24" t="str">
        <x:v>Wizards MH3 release notes + rules text; checked 2026-10-09</x:v>
      </x:c>
    </x:row>
    <x:row r="15" ht="70" customHeight="1">
      <x:c r="A15" s="25" t="str">
        <x:v>New-card pipeline</x:v>
      </x:c>
      <x:c r="B15" s="25" t="str">
        <x:v>The list already includes Qarsi Revenant, Preacher of the Schism and newer payoff cards; release-by-release upgrades should be researched annually.</x:v>
      </x:c>
      <x:c r="C15" s="25" t="str">
        <x:v>Not every new Vampire is a fit: prepared spell conditions, attack requirements, Necrodominance interactions and curve must be evaluated, not popularity alone.</x:v>
      </x:c>
      <x:c r="D15" s="25" t="str">
        <x:v>Promote Morlun, Emeritus of Woe, Scheming Silvertongue and Sanguine Syphoner for V2; track Bloodline Recollector and Stensian Sanguinist as high-priority test candidates.</x:v>
      </x:c>
      <x:c r="E15" s="25" t="str">
        <x:v>High</x:v>
      </x:c>
      <x:c r="F15" s="25" t="str">
        <x:v>EDH.Wiki synergy data + verified Oracle text / legalities</x:v>
      </x:c>
    </x:row>
  </x:sheetData>
  <x:mergeCells>
    <x:mergeCell ref="A1:F1"/>
  </x:mergeCells>
  <x:pageMargins left="0.7" right="0.7" top="0.75" bottom="0.75" header="0.3" footer="0.3"/>
  <x:tableParts count="1">
    <x:tablePart xmlns:r="http://schemas.openxmlformats.org/officeDocument/2006/relationships" r:id="Raab173f60e784a75"/>
  </x:tableParts>
</x:worksheet>
</file>

<file path=xl/worksheets/sheet5.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18" hidden="0" customWidth="1"/>
    <x:col min="2" max="2" width="32" hidden="0" customWidth="1"/>
    <x:col min="3" max="3" width="19" hidden="0" customWidth="1"/>
    <x:col min="4" max="4" width="48" hidden="0" customWidth="1"/>
    <x:col min="5" max="5" width="49" hidden="0" customWidth="1"/>
  </x:cols>
  <x:sheetData>
    <x:row r="1" ht="30" customHeight="1">
      <x:c r="A1" s="5" t="str">
        <x:v>CONTROL PANEL — LOCKS, CORE, WATCH ITEMS</x:v>
      </x:c>
      <x:c r="B1" s="5"/>
      <x:c r="C1" s="5"/>
      <x:c r="D1" s="5"/>
      <x:c r="E1" s="5"/>
    </x:row>
    <x:row r="2" ht="30" customHeight="1">
      <x:c r="A2" s="14" t="str">
        <x:v>Type</x:v>
      </x:c>
      <x:c r="B2" s="14" t="str">
        <x:v>Card / Topic</x:v>
      </x:c>
      <x:c r="C2" s="14" t="str">
        <x:v>Status</x:v>
      </x:c>
      <x:c r="D2" s="14" t="str">
        <x:v>Why preserved / rule</x:v>
      </x:c>
      <x:c r="E2" s="14" t="str">
        <x:v>Instruction for future versions</x:v>
      </x:c>
    </x:row>
    <x:row r="3" ht="48" customHeight="1">
      <x:c r="A3" s="24" t="str">
        <x:v>PET LOCK</x:v>
      </x:c>
      <x:c r="B3" s="24" t="str">
        <x:v>Hatred</x:v>
      </x:c>
      <x:c r="C3" s="24" t="str">
        <x:v>LOCK</x:v>
      </x:c>
      <x:c r="D3" s="24" t="str">
        <x:v>User-declared pet card; high-risk surprise combat finisher.</x:v>
      </x:c>
      <x:c r="E3" s="24" t="str">
        <x:v>Never list as OUT; assess timing, remaining life and response risk only.</x:v>
      </x:c>
    </x:row>
    <x:row r="4" ht="48" customHeight="1">
      <x:c r="A4" s="24" t="str">
        <x:v>PET LOCK</x:v>
      </x:c>
      <x:c r="B4" s="24" t="str">
        <x:v>Exsanguinate</x:v>
      </x:c>
      <x:c r="C4" s="24" t="str">
        <x:v>LOCK</x:v>
      </x:c>
      <x:c r="D4" s="24" t="str">
        <x:v>User-declared pet card; scalable table-wide drain and life gain.</x:v>
      </x:c>
      <x:c r="E4" s="24" t="str">
        <x:v>Never list as OUT; Stensian Sanguinist is additive, not a replacement.</x:v>
      </x:c>
    </x:row>
    <x:row r="5" ht="48" customHeight="1">
      <x:c r="A5" s="24" t="str">
        <x:v>PET LOCK</x:v>
      </x:c>
      <x:c r="B5" s="24" t="str">
        <x:v>New Blood</x:v>
      </x:c>
      <x:c r="C5" s="24" t="str">
        <x:v>LOCK</x:v>
      </x:c>
      <x:c r="D5" s="24" t="str">
        <x:v>User-declared pet card; theft + Vampire conversion gives thematic and political value.</x:v>
      </x:c>
      <x:c r="E5" s="24" t="str">
        <x:v>Never list as OUT; evaluate creature tap cost, targets and board state.</x:v>
      </x:c>
    </x:row>
    <x:row r="6" ht="48" customHeight="1">
      <x:c r="A6" s="24" t="str">
        <x:v>Commander Lock</x:v>
      </x:c>
      <x:c r="B6" s="24" t="str">
        <x:v>Vito, Thorn of the Dusk Rose</x:v>
      </x:c>
      <x:c r="C6" s="24" t="str">
        <x:v>LOCK</x:v>
      </x:c>
      <x:c r="D6" s="24" t="str">
        <x:v>First deck / favorite; three-mana life-gain engine, threat magnet and combo piece.</x:v>
      </x:c>
      <x:c r="E6" s="24" t="str">
        <x:v>Preserve Mono-Black Vampires + Lifegain/Lifedrain identity.</x:v>
      </x:c>
    </x:row>
    <x:row r="7" ht="48" customHeight="1">
      <x:c r="A7" s="24" t="str">
        <x:v>Core</x:v>
      </x:c>
      <x:c r="B7" s="24" t="str">
        <x:v>Exquisite Blood + Bloodthirsty Conqueror</x:v>
      </x:c>
      <x:c r="C7" s="24" t="str">
        <x:v>CORE / COMBO RESERVE</x:v>
      </x:c>
      <x:c r="D7" s="24" t="str">
        <x:v>Both are powerful combo pieces, but the user's preferred wins are fair lifedrain when available.</x:v>
      </x:c>
      <x:c r="E7" s="24" t="str">
        <x:v>Do not push the deck toward combo-first; use only when necessary or clearly lethal.</x:v>
      </x:c>
    </x:row>
    <x:row r="8" ht="48" customHeight="1">
      <x:c r="A8" s="24" t="str">
        <x:v>Core</x:v>
      </x:c>
      <x:c r="B8" s="24" t="str">
        <x:v>Creeping Bloodsucker / Marauding Blight-Priest / Enduring Tenacity</x:v>
      </x:c>
      <x:c r="C8" s="24" t="str">
        <x:v>CORE</x:v>
      </x:c>
      <x:c r="D8" s="24" t="str">
        <x:v>Sustain fair pressure across multiple opponents and naturally convert life gain to loss.</x:v>
      </x:c>
      <x:c r="E8" s="24" t="str">
        <x:v>Prefer repeatable non-combo pressure when recommending additions.</x:v>
      </x:c>
    </x:row>
    <x:row r="9" ht="48" customHeight="1">
      <x:c r="A9" s="24" t="str">
        <x:v>Core</x:v>
      </x:c>
      <x:c r="B9" s="24" t="str">
        <x:v>Bloodline Keeper / Captivating Vampire / Sorin, Imperious Bloodlord</x:v>
      </x:c>
      <x:c r="C9" s="24" t="str">
        <x:v>CORE</x:v>
      </x:c>
      <x:c r="D9" s="24" t="str">
        <x:v>Tribal density, board development, cost reduction / cheating and combat pressure.</x:v>
      </x:c>
      <x:c r="E9" s="24" t="str">
        <x:v>Favor cards that are both Vampires and engines/payoffs.</x:v>
      </x:c>
    </x:row>
    <x:row r="10" ht="48" customHeight="1">
      <x:c r="A10" s="24" t="str">
        <x:v>High Attention</x:v>
      </x:c>
      <x:c r="B10" s="24" t="str">
        <x:v>Necrodominance</x:v>
      </x:c>
      <x:c r="C10" s="24" t="str">
        <x:v>CONDITIONAL CORE</x:v>
      </x:c>
      <x:c r="D10" s="24" t="str">
        <x:v>Very strong card access; its replacement effect prevents cards/tokens from reaching graveyards while active.</x:v>
      </x:c>
      <x:c r="E10" s="24" t="str">
        <x:v>Sequence intentionally: death triggers and prepared cards requiring creature deaths turn off while it applies.</x:v>
      </x:c>
    </x:row>
    <x:row r="11" ht="48" customHeight="1">
      <x:c r="A11" s="24" t="str">
        <x:v>V2 IN</x:v>
      </x:c>
      <x:c r="B11" s="24" t="str">
        <x:v>Morlun, Devourer of Spiders</x:v>
      </x:c>
      <x:c r="C11" s="24" t="str">
        <x:v>PROPOSED — TEST</x:v>
      </x:c>
      <x:c r="D11" s="24" t="str">
        <x:v>Scalable fair finisher; lifelink applies to its ETB damage, gains life and triggers Vito.</x:v>
      </x:c>
      <x:c r="E11" s="24" t="str">
        <x:v>Never use Sorin's -3 expecting nonzero X; if not cast, X is 0.</x:v>
      </x:c>
    </x:row>
    <x:row r="12" ht="48" customHeight="1">
      <x:c r="A12" s="24" t="str">
        <x:v>V2 IN</x:v>
      </x:c>
      <x:c r="B12" s="24" t="str">
        <x:v>Emeritus of Woe</x:v>
      </x:c>
      <x:c r="C12" s="24" t="str">
        <x:v>PROPOSED — TEST</x:v>
      </x:c>
      <x:c r="D12" s="24" t="str">
        <x:v>5/4 Vampire that enters prepared with a Demonic Tutor copy; may re-prepare after two creature deaths.</x:v>
      </x:c>
      <x:c r="E12" s="24" t="str">
        <x:v>This is a role-compression trade, not a faster tutor than Grim Tutor.</x:v>
      </x:c>
    </x:row>
    <x:row r="13" ht="48" customHeight="1">
      <x:c r="A13" s="24" t="str">
        <x:v>V2 IN</x:v>
      </x:c>
      <x:c r="B13" s="24" t="str">
        <x:v>Scheming Silvertongue</x:v>
      </x:c>
      <x:c r="C13" s="24" t="str">
        <x:v>PROPOSED — TEST</x:v>
      </x:c>
      <x:c r="D13" s="24" t="str">
        <x:v>Two-mana flying/lifelink Vampire with a conditional Sign in Blood copy.</x:v>
      </x:c>
      <x:c r="E13" s="24" t="str">
        <x:v>Track whether the cumulative 2-life condition is met before second main phase.</x:v>
      </x:c>
    </x:row>
    <x:row r="14" ht="48" customHeight="1">
      <x:c r="A14" s="24" t="str">
        <x:v>V2 IN</x:v>
      </x:c>
      <x:c r="B14" s="24" t="str">
        <x:v>Sanguine Syphoner</x:v>
      </x:c>
      <x:c r="C14" s="24" t="str">
        <x:v>PROPOSED — TEST</x:v>
      </x:c>
      <x:c r="D14" s="24" t="str">
        <x:v>Low-cost attack trigger drains all opponents even if blocked; life gain then triggers Vito.</x:v>
      </x:c>
      <x:c r="E14" s="24" t="str">
        <x:v>Compare with Nighthawk Scavenger in real combat-heavy games.</x:v>
      </x:c>
    </x:row>
    <x:row r="15" ht="48" customHeight="1">
      <x:c r="A15" s="25" t="str">
        <x:v>V2 OUT</x:v>
      </x:c>
      <x:c r="B15" s="25" t="str">
        <x:v>Defiant Bloodlord</x:v>
      </x:c>
      <x:c r="C15" s="25" t="str">
        <x:v>PROPOSED — SLOT TRADE</x:v>
      </x:c>
      <x:c r="D15" s="25" t="str">
        <x:v>Seven mana for a redundant Vito-like trigger; excellent theme fit but late and high commitment.</x:v>
      </x:c>
      <x:c r="E15" s="25" t="str">
        <x:v>Keep it if high-end Vampire redundancy matters more than tempo.</x:v>
      </x:c>
    </x:row>
    <x:row r="16">
      <x:c r="A16" s="59" t="str">
        <x:v>V2 OUT</x:v>
      </x:c>
      <x:c r="B16" s="59" t="str">
        <x:v>Grim Tutor</x:v>
      </x:c>
      <x:c r="C16" s="59" t="str">
        <x:v>PROPOSED — SLOT TRADE</x:v>
      </x:c>
      <x:c r="D16" s="59" t="str">
        <x:v>Efficient unconditional tutor, but a non-Vampire slot and another public combo signal.</x:v>
      </x:c>
      <x:c r="E16" s="59" t="str">
        <x:v>Retain it if clean 3-mana tutor speed is more important than Emeritus's body/re-preparation.</x:v>
      </x:c>
    </x:row>
    <x:row r="17">
      <x:c r="A17" s="59" t="str">
        <x:v>V2 OUT</x:v>
      </x:c>
      <x:c r="B17" s="59" t="str">
        <x:v>Indulgent Aristocrat</x:v>
      </x:c>
      <x:c r="C17" s="59" t="str">
        <x:v>PROPOSED — SLOT TRADE</x:v>
      </x:c>
      <x:c r="D17" s="59" t="str">
        <x:v>Useful one-drop, sacrifice outlet and team pump; board-wide counter effect is less central here.</x:v>
      </x:c>
      <x:c r="E17" s="59" t="str">
        <x:v>Most debatable cut; retain it if the sacrifice outlet/counter line is important in your games.</x:v>
      </x:c>
    </x:row>
    <x:row r="18">
      <x:c r="A18" s="59" t="str">
        <x:v>V2 OUT</x:v>
      </x:c>
      <x:c r="B18" s="59" t="str">
        <x:v>Nighthawk Scavenger</x:v>
      </x:c>
      <x:c r="C18" s="59" t="str">
        <x:v>PROPOSED — SLOT TRADE</x:v>
      </x:c>
      <x:c r="D18" s="59" t="str">
        <x:v>Strong combat Vampire, but its fair pressure requires connecting; similar lifelink/deathtouch bodies exist.</x:v>
      </x:c>
      <x:c r="E18" s="59" t="str">
        <x:v>Retain it in a creature-heavy meta if flying lifelink/deathtouch is a key stabilizer.</x:v>
      </x:c>
    </x:row>
    <x:row r="19">
      <x:c r="A19" s="59" t="str">
        <x:v>Explicit Retain</x:v>
      </x:c>
      <x:c r="B19" s="59" t="str">
        <x:v>Damnation</x:v>
      </x:c>
      <x:c r="C19" s="59" t="str">
        <x:v>KEEP IN V2</x:v>
      </x:c>
      <x:c r="D19" s="59" t="str">
        <x:v>Four-mana full creature wipe remains a reliable answer; Blasphemous Edict is not a guaranteed substitute.</x:v>
      </x:c>
      <x:c r="E19" s="59" t="str">
        <x:v>Never cut it merely to make the mana package match the 35+64 reference.</x:v>
      </x:c>
    </x:row>
    <x:row r="20">
      <x:c r="A20" s="59" t="str">
        <x:v>Open Decision</x:v>
      </x:c>
      <x:c r="B20" s="59" t="str">
        <x:v>Mana base</x:v>
      </x:c>
      <x:c r="C20" s="59" t="str">
        <x:v>34 mana allocations</x:v>
      </x:c>
      <x:c r="D20" s="59" t="str">
        <x:v>31 physical lands + 3 MDFCs, with substantial fast mana and black mana engines.</x:v>
      </x:c>
      <x:c r="E20" s="59" t="str">
        <x:v>Track land drops / mulligans; do not add a land without a justified slot.</x:v>
      </x:c>
    </x:row>
    <x:row r="21">
      <x:c r="A21" s="59" t="str">
        <x:v>Open Decision</x:v>
      </x:c>
      <x:c r="B21" s="59" t="str">
        <x:v>Playtest status</x:v>
      </x:c>
      <x:c r="C21" s="59" t="str">
        <x:v>NOT TESTED</x:v>
      </x:c>
      <x:c r="D21" s="59" t="str">
        <x:v>No real-game data has been supplied for V2.</x:v>
      </x:c>
      <x:c r="E21" s="59" t="str">
        <x:v>Do not report projected improvements as tested results.</x:v>
      </x:c>
    </x:row>
  </x:sheetData>
  <x:mergeCells>
    <x:mergeCell ref="A1:E1"/>
  </x:mergeCells>
  <x:pageMargins left="0.7" right="0.7" top="0.75" bottom="0.75" header="0.3" footer="0.3"/>
  <x:tableParts count="1">
    <x:tablePart xmlns:r="http://schemas.openxmlformats.org/officeDocument/2006/relationships" r:id="Rd95cffd1f91f489e"/>
  </x:tableParts>
</x:worksheet>
</file>

<file path=xl/worksheets/sheet6.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1" hidden="0" customWidth="1"/>
    <x:col min="2" max="2" width="28" hidden="0" customWidth="1"/>
    <x:col min="3" max="3" width="12" hidden="0" customWidth="1"/>
    <x:col min="4" max="4" width="20" hidden="0" customWidth="1"/>
    <x:col min="5" max="5" width="18" hidden="0" customWidth="1"/>
    <x:col min="6" max="6" width="56" hidden="0" customWidth="1"/>
    <x:col min="7" max="7" width="43" hidden="0" customWidth="1"/>
  </x:cols>
  <x:sheetData>
    <x:row r="1" ht="30" customHeight="1">
      <x:c r="A1" s="5" t="str">
        <x:v>WATCHLIST — RECENT MONO-BLACK / LIFEGAIN CARDS</x:v>
      </x:c>
      <x:c r="B1" s="5"/>
      <x:c r="C1" s="5"/>
      <x:c r="D1" s="5"/>
      <x:c r="E1" s="5"/>
      <x:c r="F1" s="5"/>
      <x:c r="G1" s="5"/>
    </x:row>
    <x:row r="2" ht="30" customHeight="1">
      <x:c r="A2" s="14" t="str">
        <x:v>Card</x:v>
      </x:c>
      <x:c r="B2" s="14" t="str">
        <x:v>Set / Release</x:v>
      </x:c>
      <x:c r="C2" s="14" t="str">
        <x:v>Fit score</x:v>
      </x:c>
      <x:c r="D2" s="14" t="str">
        <x:v>Priority</x:v>
      </x:c>
      <x:c r="E2" s="14" t="str">
        <x:v>Status</x:v>
      </x:c>
      <x:c r="F2" s="14" t="str">
        <x:v>Why it is interesting</x:v>
      </x:c>
      <x:c r="G2" s="14" t="str">
        <x:v>Source URL</x:v>
      </x:c>
    </x:row>
    <x:row r="3" ht="68" customHeight="1">
      <x:c r="A3" s="24" t="str">
        <x:v>Morlun, Devourer of Spiders</x:v>
      </x:c>
      <x:c r="B3" s="24" t="str">
        <x:v>Marvel's Spider-Man / 2025</x:v>
      </x:c>
      <x:c r="C3" s="36" t="n">
        <x:v>9.1</x:v>
      </x:c>
      <x:c r="D3" s="24" t="str">
        <x:v>A — V2 IN</x:v>
      </x:c>
      <x:c r="E3" s="24" t="str">
        <x:v>Proposed V2</x:v>
      </x:c>
      <x:c r="F3" s="24" t="str">
        <x:v>Scalable XBB Vampire with lifelink and ETB damage. The ETB damage itself gains life via lifelink, making Vito trigger. Excellent fair finisher; beware X=0 when cheated in with Sorin.</x:v>
      </x:c>
      <x:c r="G3" s="24" t="str">
        <x:v>https://mtg.wtf/card/spm/257/Morlun-Devourer-of-Spiders</x:v>
      </x:c>
    </x:row>
    <x:row r="4" ht="68" customHeight="1">
      <x:c r="A4" s="24" t="str">
        <x:v>Emeritus of Woe</x:v>
      </x:c>
      <x:c r="B4" s="24" t="str">
        <x:v>Secrets of Strixhaven / 2026</x:v>
      </x:c>
      <x:c r="C4" s="36" t="n">
        <x:v>8.8</x:v>
      </x:c>
      <x:c r="D4" s="24" t="str">
        <x:v>A — V2 IN</x:v>
      </x:c>
      <x:c r="E4" s="24" t="str">
        <x:v>Proposed V2</x:v>
      </x:c>
      <x:c r="F4" s="24" t="str">
        <x:v>5/4 Vampire that enters prepared with Demonic Tutor {1}{B}; can re-prepare if two or more creatures died by the start of your end step. Role compression rather than raw tutor-rate upgrade; adds visible tutor pressure.</x:v>
      </x:c>
      <x:c r="G4" s="24" t="str">
        <x:v>https://mtg.wtf/card/sos/80a/Emeritus-of-Woe</x:v>
      </x:c>
    </x:row>
    <x:row r="5" ht="68" customHeight="1">
      <x:c r="A5" s="24" t="str">
        <x:v>Scheming Silvertongue</x:v>
      </x:c>
      <x:c r="B5" s="24" t="str">
        <x:v>Secrets of Strixhaven / 2026</x:v>
      </x:c>
      <x:c r="C5" s="36" t="n">
        <x:v>8.8</x:v>
      </x:c>
      <x:c r="D5" s="24" t="str">
        <x:v>A — V2 IN</x:v>
      </x:c>
      <x:c r="E5" s="24" t="str">
        <x:v>Proposed V2</x:v>
      </x:c>
      <x:c r="F5" s="24" t="str">
        <x:v>Two-mana flying/lifelink Vampire. If you have gained at least two life this turn by your second main phase, it prepares a copy of Sign in Blood for {B}{B}. Threshold is cumulative over the turn.</x:v>
      </x:c>
      <x:c r="G5" s="24" t="str">
        <x:v>https://mtg.wtf/card/sos/99a/Scheming-Silvertongue</x:v>
      </x:c>
    </x:row>
    <x:row r="6" ht="68" customHeight="1">
      <x:c r="A6" s="24" t="str">
        <x:v>Sanguine Syphoner</x:v>
      </x:c>
      <x:c r="B6" s="24" t="str">
        <x:v>Foundations / 2024</x:v>
      </x:c>
      <x:c r="C6" s="36" t="n">
        <x:v>8.9</x:v>
      </x:c>
      <x:c r="D6" s="24" t="str">
        <x:v>A — V2 IN</x:v>
      </x:c>
      <x:c r="E6" s="24" t="str">
        <x:v>Proposed V2</x:v>
      </x:c>
      <x:c r="F6" s="24" t="str">
        <x:v>Two-mana Vampire that drains each opponent for 1 whenever it attacks and gains you 1 life; the trigger works even when blocked. Vito then targets one opponent, while Blight-Priest can add another table-wide drain.</x:v>
      </x:c>
      <x:c r="G6" s="24" t="str">
        <x:v>https://mtg.wtf/card/fdn/68/Sanguine-Syphoner</x:v>
      </x:c>
    </x:row>
    <x:row r="7" ht="68" customHeight="1">
      <x:c r="A7" s="24" t="str">
        <x:v>Bloodline Recollector</x:v>
      </x:c>
      <x:c r="B7" s="24" t="str">
        <x:v>Reality Fracture / 2026-10-02</x:v>
      </x:c>
      <x:c r="C7" s="36" t="n">
        <x:v>8.5</x:v>
      </x:c>
      <x:c r="D7" s="24" t="str">
        <x:v>A — Test next</x:v>
      </x:c>
      <x:c r="E7" s="24" t="str">
        <x:v>Watchlist</x:v>
      </x:c>
      <x:c r="F7" s="24" t="str">
        <x:v>Two-mana Vampire that can cast a prepared Ancestral Craving copy for {B} (draw three, lose three) when three creatures died that turn. A strong draw option if board trades/wipes are frequent.</x:v>
      </x:c>
      <x:c r="G7" s="24" t="str">
        <x:v>https://mtg.wtf/card/fra/49a/Bloodline-Recollector</x:v>
      </x:c>
    </x:row>
    <x:row r="8" ht="68" customHeight="1">
      <x:c r="A8" s="25" t="str">
        <x:v>Stensian Sanguinist</x:v>
      </x:c>
      <x:c r="B8" s="25" t="str">
        <x:v>Secrets of Strixhaven Commander / 2026</x:v>
      </x:c>
      <x:c r="C8" s="37" t="n">
        <x:v>8.4</x:v>
      </x:c>
      <x:c r="D8" s="25" t="str">
        <x:v>A/B — Test next</x:v>
      </x:c>
      <x:c r="E8" s="25" t="str">
        <x:v>Watchlist</x:v>
      </x:c>
      <x:c r="F8" s="25" t="str">
        <x:v>Two-mana Vampire grants deathtouch to an attacker and prepares a copy of the PETCARD Exsanguinate if that creature connects. Synergy is excellent, but it still needs the hit and XBB mana; do not cut the original Exsanguinate.</x:v>
      </x:c>
      <x:c r="G8" s="25" t="str">
        <x:v>https://mtg.wtf/card/soc/29a/Stensian-Sanguinist</x:v>
      </x:c>
    </x:row>
    <x:row r="9">
      <x:c r="A9" s="59" t="str">
        <x:v>Moseo, Vein's New Dean</x:v>
      </x:c>
      <x:c r="B9" s="59" t="str">
        <x:v>Secrets of Strixhaven / 2026</x:v>
      </x:c>
      <x:c r="C9" s="59" t="n">
        <x:v>7.9</x:v>
      </x:c>
      <x:c r="D9" s="59" t="str">
        <x:v>B — Conditional</x:v>
      </x:c>
      <x:c r="E9" s="59" t="str">
        <x:v>Watchlist</x:v>
      </x:c>
      <x:c r="F9" s="59" t="str">
        <x:v>Black-identity 3-mana flyer creates a Pest token whose attack gains 1 life, and can recur a creature at end step based on total life gained. The token being black/green does not change Moseo's color identity; still non-Vampire and graveyard-dependent.</x:v>
      </x:c>
      <x:c r="G9" s="59" t="str">
        <x:v>https://mtg.wtf/card/sos/91/Moseo-Veins-New-Dean</x:v>
      </x:c>
    </x:row>
    <x:row r="10">
      <x:c r="A10" s="59" t="str">
        <x:v>Vengeful Bloodwitch</x:v>
      </x:c>
      <x:c r="B10" s="59" t="str">
        <x:v>Foundations / 2024</x:v>
      </x:c>
      <x:c r="C10" s="59" t="n">
        <x:v>8</x:v>
      </x:c>
      <x:c r="D10" s="59" t="str">
        <x:v>B — Meta</x:v>
      </x:c>
      <x:c r="E10" s="59" t="str">
        <x:v>Watchlist</x:v>
      </x:c>
      <x:c r="F10" s="59" t="str">
        <x:v>Two-mana Vampire turns each creature you control dying into 1 life gain and 1 opponent life loss; multiple deaths generate multiple triggers. Strong if death events are frequent, poor while Necrodominance replaces graveyard entry with exile.</x:v>
      </x:c>
      <x:c r="G10" s="59" t="str">
        <x:v>https://mtg.wtf/card/fdn/76/Vengeful-Bloodwitch</x:v>
      </x:c>
    </x:row>
    <x:row r="11">
      <x:c r="A11" s="59" t="str">
        <x:v>Nazar, the Velvet Fang</x:v>
      </x:c>
      <x:c r="B11" s="59" t="str">
        <x:v>Foundations Jumpstart / 2024</x:v>
      </x:c>
      <x:c r="C11" s="59" t="n">
        <x:v>7.7</x:v>
      </x:c>
      <x:c r="D11" s="59" t="str">
        <x:v>C/B — Long game</x:v>
      </x:c>
      <x:c r="E11" s="59" t="str">
        <x:v>Watchlist</x:v>
      </x:c>
      <x:c r="F11" s="59" t="str">
        <x:v>Four-mana menace Vampire accumulates counters whenever you gain life and can remove three on attack to draw three. Attractive in a grindy pod, but slow compared with cheap draw/pressure.</x:v>
      </x:c>
      <x:c r="G11" s="59" t="str">
        <x:v>https://scryfall.com/search?q=%21%22Nazar%2C%20the%20Velvet%20Fang%22</x:v>
      </x:c>
    </x:row>
    <x:row r="12">
      <x:c r="A12" s="59" t="str">
        <x:v>Defiling Daemogoth</x:v>
      </x:c>
      <x:c r="B12" s="59" t="str">
        <x:v>Secrets of Strixhaven Commander / 2026</x:v>
      </x:c>
      <x:c r="C12" s="59" t="n">
        <x:v>7.2</x:v>
      </x:c>
      <x:c r="D12" s="59" t="str">
        <x:v>C — Low</x:v>
      </x:c>
      <x:c r="E12" s="59" t="str">
        <x:v>Watchlist</x:v>
      </x:c>
      <x:c r="F12" s="59" t="str">
        <x:v>Mono-black identity but not a Vampire; turns a life-gain turn into a later table-wide drain payoff. Five-mana delay and no tribal value make it a lower priority than the named candidates.</x:v>
      </x:c>
      <x:c r="G12" s="59" t="str">
        <x:v>https://mtg.wtf/card/soc/75/Defiling-Daemogoth</x:v>
      </x:c>
    </x:row>
  </x:sheetData>
  <x:mergeCells>
    <x:mergeCell ref="A1:G1"/>
  </x:mergeCells>
  <x:dataValidations count="1">
    <x:dataValidation type="list" sqref="E3:E8">
      <x:formula1>"Watch only,Test next,V2 In,Tested In,Rejected"</x:formula1>
    </x:dataValidation>
  </x:dataValidations>
  <x:pageMargins left="0.7" right="0.7" top="0.75" bottom="0.75" header="0.3" footer="0.3"/>
  <x:tableParts count="1">
    <x:tablePart xmlns:r="http://schemas.openxmlformats.org/officeDocument/2006/relationships" r:id="R60e0c55e23b24625"/>
  </x:tableParts>
</x:worksheet>
</file>

<file path=xl/worksheets/sheet7.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5" hidden="0" customWidth="1"/>
    <x:col min="2" max="2" width="31" hidden="0" customWidth="1"/>
    <x:col min="3" max="3" width="18" hidden="0" customWidth="1"/>
    <x:col min="4" max="4" width="22" hidden="0" customWidth="1"/>
    <x:col min="5" max="5" width="48" hidden="0" customWidth="1"/>
    <x:col min="6" max="6" width="48" hidden="0" customWidth="1"/>
    <x:col min="7" max="7" width="34" hidden="0" customWidth="1"/>
    <x:col min="8" max="8" width="39" hidden="0" customWidth="1"/>
    <x:col min="9" max="9" width="24" hidden="0" customWidth="1"/>
  </x:cols>
  <x:sheetData>
    <x:row r="1" ht="30" customHeight="1">
      <x:c r="A1" s="5" t="str">
        <x:v>UPGRADE MATRIX — V2</x:v>
      </x:c>
      <x:c r="B1" s="5"/>
      <x:c r="C1" s="5"/>
      <x:c r="D1" s="5"/>
      <x:c r="E1" s="5"/>
      <x:c r="F1" s="5"/>
      <x:c r="G1" s="5"/>
      <x:c r="H1" s="5"/>
      <x:c r="I1" s="5"/>
    </x:row>
    <x:row r="2" ht="30" customHeight="1">
      <x:c r="A2" s="14" t="str">
        <x:v>OUT</x:v>
      </x:c>
      <x:c r="B2" s="14" t="str">
        <x:v>IN</x:v>
      </x:c>
      <x:c r="C2" s="14" t="str">
        <x:v>Priority</x:v>
      </x:c>
      <x:c r="D2" s="14" t="str">
        <x:v>Change class</x:v>
      </x:c>
      <x:c r="E2" s="14" t="str">
        <x:v>Why OUT</x:v>
      </x:c>
      <x:c r="F2" s="14" t="str">
        <x:v>Why IN</x:v>
      </x:c>
      <x:c r="G2" s="14" t="str">
        <x:v>Curve / mana impact</x:v>
      </x:c>
      <x:c r="H2" s="14" t="str">
        <x:v>Strategic impact</x:v>
      </x:c>
      <x:c r="I2" s="14" t="str">
        <x:v>Confidence</x:v>
      </x:c>
    </x:row>
    <x:row r="3" ht="92" customHeight="1">
      <x:c r="A3" s="24" t="str">
        <x:v>Defiant Bloodlord</x:v>
      </x:c>
      <x:c r="B3" s="24" t="str">
        <x:v>Morlun, Devourer of Spiders</x:v>
      </x:c>
      <x:c r="C3" s="24" t="str">
        <x:v>A — Major</x:v>
      </x:c>
      <x:c r="D3" s="24" t="str">
        <x:v>Curve + role compression</x:v>
      </x:c>
      <x:c r="E3" s="24" t="str">
        <x:v>Defiant is a thematic 7-mana flying Vampire and can preserve life-gain-to-drain redundancy if Vito is removed. The problem is timing: it often lands after the key early/midgame turns and duplicates an effect already represented by Vito / Enduring Tenacity / Blight-Priest.</x:v>
      </x:c>
      <x:c r="F3" s="24" t="str">
        <x:v>Morlun is still a Vampire but changes the slot from a slow fixed-cost engine into a scalable XBB play. Its ETB damage is dealt by a source with lifelink, so it also gains life and triggers Vito even though it isn't combat damage. This creates a fair, non-infinite drain line.</x:v>
      </x:c>
      <x:c r="G3" s="24" t="str">
        <x:v>MV 7 → 2 in library; in practice requires XBB and spends X additional mana. No land slots change.</x:v>
      </x:c>
      <x:c r="H3" s="24" t="str">
        <x:v>More immediate pressure on the strongest opponent; can close with large mana without needing Exquisite Blood. Never use Sorin's -3 expecting a nonzero X.</x:v>
      </x:c>
      <x:c r="I3" s="24" t="str">
        <x:v>High, with a playtest caveat</x:v>
      </x:c>
    </x:row>
    <x:row r="4" ht="92" customHeight="1">
      <x:c r="A4" s="24" t="str">
        <x:v>Grim Tutor</x:v>
      </x:c>
      <x:c r="B4" s="24" t="str">
        <x:v>Emeritus of Woe</x:v>
      </x:c>
      <x:c r="C4" s="24" t="str">
        <x:v>A — Major</x:v>
      </x:c>
      <x:c r="D4" s="24" t="str">
        <x:v>Vampire + tutor role compression</x:v>
      </x:c>
      <x:c r="E4" s="24" t="str">
        <x:v>Grim is the cleanest three-mana unconditional tutor, so this OUT is not a strict mana-efficiency upgrade. The deck already has Demonic Tutor, Vampiric Tutor, Beseech the Mirror and Insatiable Avarice; additional tutor use reinforces combo perception.</x:v>
      </x:c>
      <x:c r="F4" s="24" t="str">
        <x:v>Emeritus is a 5/4 Vampire that enters prepared with a castable Demonic Tutor copy for {1}{B}. It can become prepared again at the start of an end step if at least two creatures died that turn. It keeps an emergency tutor while adding tribal body / board pressure.</x:v>
      </x:c>
      <x:c r="G4" s="24" t="str">
        <x:v>4 mana creature + {1}{B} for first tutor cast (6 total if both are paid normally); only the creature's 4 mana is used if the prepared copy is not cast. May be cheated by Sorin but that costs a planeswalker activation.</x:v>
      </x:c>
      <x:c r="H4" s="24" t="str">
        <x:v>This swap trades raw tutor speed for tribal density, a body, and possible repeat value. Use the copy for removal/draw/fair engines when combo isn't necessary.</x:v>
      </x:c>
      <x:c r="I4" s="24" t="str">
        <x:v>Medium — compare in actual games</x:v>
      </x:c>
    </x:row>
    <x:row r="5" ht="92" customHeight="1">
      <x:c r="A5" s="25" t="str">
        <x:v>Indulgent Aristocrat</x:v>
      </x:c>
      <x:c r="B5" s="25" t="str">
        <x:v>Scheming Silvertongue</x:v>
      </x:c>
      <x:c r="C5" s="25" t="str">
        <x:v>A — Major</x:v>
      </x:c>
      <x:c r="D5" s="25" t="str">
        <x:v>Early Vampire + card access</x:v>
      </x:c>
      <x:c r="E5" s="25" t="str">
        <x:v>Aristocrat is good at one mana, has lifelink and is a sacrifice outlet; the weak point is that its counter ability needs mana, spare creatures, and a go-wide board. Those conditions are not a central focus of this list.</x:v>
      </x:c>
      <x:c r="F5" s="25" t="str">
        <x:v>Silvertongue is a two-mana 1/3 flying/lifelink Vampire. If total life gained this turn is at least two by the beginning of second main phase, it becomes prepared with a copy of Sign in Blood (cost {B}{B}); this can give cards while pressuring life totals.</x:v>
      </x:c>
      <x:c r="G5" s="25" t="str">
        <x:v>MV 1 → 2; costs one extra mana but adds evasion and conditional draw. This is the most debatable of the four changes.</x:v>
      </x:c>
      <x:c r="H5" s="25" t="str">
        <x:v>More standalone value, early lifelink and role compression. If you value Aristocrat's sacrifice outlet or counters, retain it and test Silvertongue against a slower non-core Vampire slot instead.</x:v>
      </x:c>
      <x:c r="I5" s="25" t="str">
        <x:v>Medium — user play-pattern dependent</x:v>
      </x:c>
    </x:row>
    <x:row r="6">
      <x:c r="A6" s="59" t="str">
        <x:v>Nighthawk Scavenger</x:v>
      </x:c>
      <x:c r="B6" s="59" t="str">
        <x:v>Sanguine Syphoner</x:v>
      </x:c>
      <x:c r="C6" s="59" t="str">
        <x:v>A — Major</x:v>
      </x:c>
      <x:c r="D6" s="59" t="str">
        <x:v>Early table-wide pressure</x:v>
      </x:c>
      <x:c r="E6" s="59" t="str">
        <x:v>Nighthawk is a solid 3-mana flying lifelink/deathtouch body and remains good in creature-heavy pods. Its impact depends on connecting in combat; it mostly stabilizes rather than drains the entire table every turn.</x:v>
      </x:c>
      <x:c r="F6" s="59" t="str">
        <x:v>Syphoner costs {1}{B}; whenever it attacks, each opponent loses 1 life and you gain 1. It does not need to connect, and the gain triggers Vito; with Marauding Blight-Priest, the same gain can also cause another table-wide drain.</x:v>
      </x:c>
      <x:c r="G6" s="59" t="str">
        <x:v>MV 3 → 2; lowers curve by one, no mana base change.</x:v>
      </x:c>
      <x:c r="H6" s="59" t="str">
        <x:v>Improves the stated fair win plan and gives a more consistent attack trigger. Keep Nighthawk if flying lifelink/deathtouch is crucial to the local combat meta.</x:v>
      </x:c>
      <x:c r="I6" s="59" t="str">
        <x:v>High for the intended game plan</x:v>
      </x:c>
    </x:row>
  </x:sheetData>
  <x:mergeCells>
    <x:mergeCell ref="A1:I1"/>
  </x:mergeCells>
  <x:pageMargins left="0.7" right="0.7" top="0.75" bottom="0.75" header="0.3" footer="0.3"/>
  <x:tableParts count="1">
    <x:tablePart xmlns:r="http://schemas.openxmlformats.org/officeDocument/2006/relationships" r:id="R887345d0906c441b"/>
  </x:tableParts>
</x:worksheet>
</file>

<file path=xl/worksheets/sheet8.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8" hidden="0" customWidth="1"/>
    <x:col min="2" max="2" width="31" hidden="0" customWidth="1"/>
    <x:col min="3" max="3" width="12" hidden="0" customWidth="1"/>
    <x:col min="4" max="4" width="22" hidden="0" customWidth="1"/>
    <x:col min="5" max="5" width="14" hidden="0" customWidth="1"/>
    <x:col min="6" max="6" width="48" hidden="0" customWidth="1"/>
  </x:cols>
  <x:sheetData>
    <x:row r="1" ht="30" customHeight="1">
      <x:c r="A1" s="5" t="str">
        <x:v>VITO — CURRENT DECKLIST</x:v>
      </x:c>
      <x:c r="B1" s="5"/>
      <x:c r="C1" s="5"/>
      <x:c r="D1" s="5"/>
      <x:c r="E1" s="5"/>
      <x:c r="F1" s="5"/>
    </x:row>
    <x:row r="2" ht="30" customHeight="1">
      <x:c r="A2" s="14" t="str">
        <x:v>Qty</x:v>
      </x:c>
      <x:c r="B2" s="14" t="str">
        <x:v>Card</x:v>
      </x:c>
      <x:c r="C2" s="14" t="str">
        <x:v>Set</x:v>
      </x:c>
      <x:c r="D2" s="14" t="str">
        <x:v>Collector / finish marker</x:v>
      </x:c>
      <x:c r="E2" s="14" t="str">
        <x:v>Slot type</x:v>
      </x:c>
      <x:c r="F2" s="14" t="str">
        <x:v>Scryfall search</x:v>
      </x:c>
    </x:row>
    <x:row r="3">
      <x:c r="A3" s="24" t="n">
        <x:v>1</x:v>
      </x:c>
      <x:c r="B3" s="24" t="str">
        <x:v>Vito, Thorn of the Dusk Rose</x:v>
      </x:c>
      <x:c r="C3" s="24" t="str">
        <x:v>M21</x:v>
      </x:c>
      <x:c r="D3" s="24" t="str">
        <x:v>127 *F*</x:v>
      </x:c>
      <x:c r="E3" s="24" t="str">
        <x:v>Commander</x:v>
      </x:c>
      <x:c r="F3" s="24" t="str">
        <x:v>https://scryfall.com/search?q=%21%22Vito%2C%20Thorn%20of%20the%20Dusk%20Rose%22</x:v>
      </x:c>
    </x:row>
    <x:row r="4">
      <x:c r="A4" s="24" t="n">
        <x:v>1</x:v>
      </x:c>
      <x:c r="B4" s="24" t="str">
        <x:v>Agadeem's Awakening</x:v>
      </x:c>
      <x:c r="C4" s="24" t="str">
        <x:v>ZNR</x:v>
      </x:c>
      <x:c r="D4" s="24" t="str">
        <x:v>336</x:v>
      </x:c>
      <x:c r="E4" s="24" t="str">
        <x:v>MDFC</x:v>
      </x:c>
      <x:c r="F4" s="24" t="str">
        <x:v>https://scryfall.com/search?q=%21%22Agadeem%27s%20Awakening%22</x:v>
      </x:c>
    </x:row>
    <x:row r="5">
      <x:c r="A5" s="24" t="n">
        <x:v>1</x:v>
      </x:c>
      <x:c r="B5" s="24" t="str">
        <x:v>Ancient Tomb</x:v>
      </x:c>
      <x:c r="C5" s="24" t="str">
        <x:v>TMP</x:v>
      </x:c>
      <x:c r="D5" s="24" t="str">
        <x:v>315</x:v>
      </x:c>
      <x:c r="E5" s="24" t="str">
        <x:v>Land</x:v>
      </x:c>
      <x:c r="F5" s="24" t="str">
        <x:v>https://scryfall.com/search?q=%21%22Ancient%20Tomb%22</x:v>
      </x:c>
    </x:row>
    <x:row r="6">
      <x:c r="A6" s="24" t="n">
        <x:v>1</x:v>
      </x:c>
      <x:c r="B6" s="24" t="str">
        <x:v>Arcane Signet</x:v>
      </x:c>
      <x:c r="C6" s="24" t="str">
        <x:v>VOC</x:v>
      </x:c>
      <x:c r="D6" s="24" t="str">
        <x:v>159</x:v>
      </x:c>
      <x:c r="E6" s="24" t="str">
        <x:v>Spell</x:v>
      </x:c>
      <x:c r="F6" s="24" t="str">
        <x:v>https://scryfall.com/search?q=%21%22Arcane%20Signet%22</x:v>
      </x:c>
    </x:row>
    <x:row r="7">
      <x:c r="A7" s="24" t="n">
        <x:v>1</x:v>
      </x:c>
      <x:c r="B7" s="24" t="str">
        <x:v>Beseech the Mirror</x:v>
      </x:c>
      <x:c r="C7" s="24" t="str">
        <x:v>WOE</x:v>
      </x:c>
      <x:c r="D7" s="24" t="str">
        <x:v>82</x:v>
      </x:c>
      <x:c r="E7" s="24" t="str">
        <x:v>Spell</x:v>
      </x:c>
      <x:c r="F7" s="24" t="str">
        <x:v>https://scryfall.com/search?q=%21%22Beseech%20the%20Mirror%22</x:v>
      </x:c>
    </x:row>
    <x:row r="8">
      <x:c r="A8" s="24" t="n">
        <x:v>1</x:v>
      </x:c>
      <x:c r="B8" s="24" t="str">
        <x:v>Black Market Connections</x:v>
      </x:c>
      <x:c r="C8" s="24" t="str">
        <x:v>ACR</x:v>
      </x:c>
      <x:c r="D8" s="24" t="str">
        <x:v>87 *F*</x:v>
      </x:c>
      <x:c r="E8" s="24" t="str">
        <x:v>Spell</x:v>
      </x:c>
      <x:c r="F8" s="24" t="str">
        <x:v>https://scryfall.com/search?q=%21%22Black%20Market%20Connections%22</x:v>
      </x:c>
    </x:row>
    <x:row r="9">
      <x:c r="A9" s="24" t="n">
        <x:v>1</x:v>
      </x:c>
      <x:c r="B9" s="24" t="str">
        <x:v>Blasphemous Edict</x:v>
      </x:c>
      <x:c r="C9" s="24" t="str">
        <x:v>FDN</x:v>
      </x:c>
      <x:c r="D9" s="24" t="str">
        <x:v>57</x:v>
      </x:c>
      <x:c r="E9" s="24" t="str">
        <x:v>Spell</x:v>
      </x:c>
      <x:c r="F9" s="24" t="str">
        <x:v>https://scryfall.com/search?q=%21%22Blasphemous%20Edict%22</x:v>
      </x:c>
    </x:row>
    <x:row r="10">
      <x:c r="A10" s="24" t="n">
        <x:v>1</x:v>
      </x:c>
      <x:c r="B10" s="24" t="str">
        <x:v>Blood Artist</x:v>
      </x:c>
      <x:c r="C10" s="24" t="str">
        <x:v>2X2</x:v>
      </x:c>
      <x:c r="D10" s="24" t="str">
        <x:v>352 *F*</x:v>
      </x:c>
      <x:c r="E10" s="24" t="str">
        <x:v>Spell</x:v>
      </x:c>
      <x:c r="F10" s="24" t="str">
        <x:v>https://scryfall.com/search?q=%21%22Blood%20Artist%22</x:v>
      </x:c>
    </x:row>
    <x:row r="11">
      <x:c r="A11" s="24" t="n">
        <x:v>1</x:v>
      </x:c>
      <x:c r="B11" s="24" t="str">
        <x:v>Blood Tribute</x:v>
      </x:c>
      <x:c r="C11" s="24" t="str">
        <x:v>C17</x:v>
      </x:c>
      <x:c r="D11" s="24" t="str">
        <x:v>100</x:v>
      </x:c>
      <x:c r="E11" s="24" t="str">
        <x:v>Spell</x:v>
      </x:c>
      <x:c r="F11" s="24" t="str">
        <x:v>https://scryfall.com/search?q=%21%22Blood%20Tribute%22</x:v>
      </x:c>
    </x:row>
    <x:row r="12">
      <x:c r="A12" s="24" t="n">
        <x:v>1</x:v>
      </x:c>
      <x:c r="B12" s="24" t="str">
        <x:v>Bloodchief Ascension</x:v>
      </x:c>
      <x:c r="C12" s="24" t="str">
        <x:v>ZEN</x:v>
      </x:c>
      <x:c r="D12" s="24" t="str">
        <x:v>82</x:v>
      </x:c>
      <x:c r="E12" s="24" t="str">
        <x:v>Spell</x:v>
      </x:c>
      <x:c r="F12" s="24" t="str">
        <x:v>https://scryfall.com/search?q=%21%22Bloodchief%20Ascension%22</x:v>
      </x:c>
    </x:row>
    <x:row r="13">
      <x:c r="A13" s="24" t="n">
        <x:v>1</x:v>
      </x:c>
      <x:c r="B13" s="24" t="str">
        <x:v>Bloodletter of Aclazotz</x:v>
      </x:c>
      <x:c r="C13" s="24" t="str">
        <x:v>LCI</x:v>
      </x:c>
      <x:c r="D13" s="24" t="str">
        <x:v>92 *F*</x:v>
      </x:c>
      <x:c r="E13" s="24" t="str">
        <x:v>Spell</x:v>
      </x:c>
      <x:c r="F13" s="24" t="str">
        <x:v>https://scryfall.com/search?q=%21%22Bloodletter%20of%20Aclazotz%22</x:v>
      </x:c>
    </x:row>
    <x:row r="14">
      <x:c r="A14" s="24" t="n">
        <x:v>1</x:v>
      </x:c>
      <x:c r="B14" s="24" t="str">
        <x:v>Bloodline Keeper</x:v>
      </x:c>
      <x:c r="C14" s="24" t="str">
        <x:v>V17</x:v>
      </x:c>
      <x:c r="D14" s="24" t="str">
        <x:v>4 *F*</x:v>
      </x:c>
      <x:c r="E14" s="24" t="str">
        <x:v>Spell</x:v>
      </x:c>
      <x:c r="F14" s="24" t="str">
        <x:v>https://scryfall.com/search?q=%21%22Bloodline%20Keeper%22</x:v>
      </x:c>
    </x:row>
    <x:row r="15">
      <x:c r="A15" s="24" t="n">
        <x:v>1</x:v>
      </x:c>
      <x:c r="B15" s="24" t="str">
        <x:v>Bloodthirsty Conqueror</x:v>
      </x:c>
      <x:c r="C15" s="24" t="str">
        <x:v>FDN</x:v>
      </x:c>
      <x:c r="D15" s="24" t="str">
        <x:v>460 *F*</x:v>
      </x:c>
      <x:c r="E15" s="24" t="str">
        <x:v>Spell</x:v>
      </x:c>
      <x:c r="F15" s="24" t="str">
        <x:v>https://scryfall.com/search?q=%21%22Bloodthirsty%20Conqueror%22</x:v>
      </x:c>
    </x:row>
    <x:row r="16">
      <x:c r="A16" s="24" t="n">
        <x:v>1</x:v>
      </x:c>
      <x:c r="B16" s="24" t="str">
        <x:v>Bolas's Citadel</x:v>
      </x:c>
      <x:c r="C16" s="24" t="str">
        <x:v>PWAR</x:v>
      </x:c>
      <x:c r="D16" s="24" t="str">
        <x:v>79 *F*</x:v>
      </x:c>
      <x:c r="E16" s="24" t="str">
        <x:v>Spell</x:v>
      </x:c>
      <x:c r="F16" s="24" t="str">
        <x:v>https://scryfall.com/search?q=%21%22Bolas%27s%20Citadel%22</x:v>
      </x:c>
    </x:row>
    <x:row r="17">
      <x:c r="A17" s="24" t="n">
        <x:v>1</x:v>
      </x:c>
      <x:c r="B17" s="24" t="str">
        <x:v>Bontu's Monument</x:v>
      </x:c>
      <x:c r="C17" s="24" t="str">
        <x:v>DMC</x:v>
      </x:c>
      <x:c r="D17" s="24" t="str">
        <x:v>179</x:v>
      </x:c>
      <x:c r="E17" s="24" t="str">
        <x:v>Spell</x:v>
      </x:c>
      <x:c r="F17" s="24" t="str">
        <x:v>https://scryfall.com/search?q=%21%22Bontu%27s%20Monument%22</x:v>
      </x:c>
    </x:row>
    <x:row r="18">
      <x:c r="A18" s="24" t="n">
        <x:v>1</x:v>
      </x:c>
      <x:c r="B18" s="24" t="str">
        <x:v>Cabal Coffers</x:v>
      </x:c>
      <x:c r="C18" s="24" t="str">
        <x:v>MH2</x:v>
      </x:c>
      <x:c r="D18" s="24" t="str">
        <x:v>301</x:v>
      </x:c>
      <x:c r="E18" s="24" t="str">
        <x:v>Land</x:v>
      </x:c>
      <x:c r="F18" s="24" t="str">
        <x:v>https://scryfall.com/search?q=%21%22Cabal%20Coffers%22</x:v>
      </x:c>
    </x:row>
    <x:row r="19">
      <x:c r="A19" s="24" t="n">
        <x:v>1</x:v>
      </x:c>
      <x:c r="B19" s="24" t="str">
        <x:v>Cabal Stronghold</x:v>
      </x:c>
      <x:c r="C19" s="24" t="str">
        <x:v>DOM</x:v>
      </x:c>
      <x:c r="D19" s="24" t="str">
        <x:v>238</x:v>
      </x:c>
      <x:c r="E19" s="24" t="str">
        <x:v>Land</x:v>
      </x:c>
      <x:c r="F19" s="24" t="str">
        <x:v>https://scryfall.com/search?q=%21%22Cabal%20Stronghold%22</x:v>
      </x:c>
    </x:row>
    <x:row r="20">
      <x:c r="A20" s="24" t="n">
        <x:v>1</x:v>
      </x:c>
      <x:c r="B20" s="24" t="str">
        <x:v>Captivating Vampire</x:v>
      </x:c>
      <x:c r="C20" s="24" t="str">
        <x:v>M11</x:v>
      </x:c>
      <x:c r="D20" s="24" t="str">
        <x:v>87 *F*</x:v>
      </x:c>
      <x:c r="E20" s="24" t="str">
        <x:v>Spell</x:v>
      </x:c>
      <x:c r="F20" s="24" t="str">
        <x:v>https://scryfall.com/search?q=%21%22Captivating%20Vampire%22</x:v>
      </x:c>
    </x:row>
    <x:row r="21">
      <x:c r="A21" s="24" t="n">
        <x:v>1</x:v>
      </x:c>
      <x:c r="B21" s="24" t="str">
        <x:v>Castle Locthwain</x:v>
      </x:c>
      <x:c r="C21" s="24" t="str">
        <x:v>ELD</x:v>
      </x:c>
      <x:c r="D21" s="24" t="str">
        <x:v>241</x:v>
      </x:c>
      <x:c r="E21" s="24" t="str">
        <x:v>Land</x:v>
      </x:c>
      <x:c r="F21" s="24" t="str">
        <x:v>https://scryfall.com/search?q=%21%22Castle%20Locthwain%22</x:v>
      </x:c>
    </x:row>
    <x:row r="22">
      <x:c r="A22" s="24" t="n">
        <x:v>1</x:v>
      </x:c>
      <x:c r="B22" s="24" t="str">
        <x:v>Consuming Corruption</x:v>
      </x:c>
      <x:c r="C22" s="24" t="str">
        <x:v>MH3</x:v>
      </x:c>
      <x:c r="D22" s="24" t="str">
        <x:v>407</x:v>
      </x:c>
      <x:c r="E22" s="24" t="str">
        <x:v>Spell</x:v>
      </x:c>
      <x:c r="F22" s="24" t="str">
        <x:v>https://scryfall.com/search?q=%21%22Consuming%20Corruption%22</x:v>
      </x:c>
    </x:row>
    <x:row r="23">
      <x:c r="A23" s="24" t="n">
        <x:v>1</x:v>
      </x:c>
      <x:c r="B23" s="24" t="str">
        <x:v>Creeping Bloodsucker</x:v>
      </x:c>
      <x:c r="C23" s="24" t="str">
        <x:v>J22</x:v>
      </x:c>
      <x:c r="D23" s="24" t="str">
        <x:v>21</x:v>
      </x:c>
      <x:c r="E23" s="24" t="str">
        <x:v>Spell</x:v>
      </x:c>
      <x:c r="F23" s="24" t="str">
        <x:v>https://scryfall.com/search?q=%21%22Creeping%20Bloodsucker%22</x:v>
      </x:c>
    </x:row>
    <x:row r="24">
      <x:c r="A24" s="24" t="n">
        <x:v>1</x:v>
      </x:c>
      <x:c r="B24" s="24" t="str">
        <x:v>Crypt Ghast</x:v>
      </x:c>
      <x:c r="C24" s="24" t="str">
        <x:v>DSC</x:v>
      </x:c>
      <x:c r="D24" s="24" t="str">
        <x:v>368 *F*</x:v>
      </x:c>
      <x:c r="E24" s="24" t="str">
        <x:v>Spell</x:v>
      </x:c>
      <x:c r="F24" s="24" t="str">
        <x:v>https://scryfall.com/search?q=%21%22Crypt%20Ghast%22</x:v>
      </x:c>
    </x:row>
    <x:row r="25">
      <x:c r="A25" s="24" t="n">
        <x:v>1</x:v>
      </x:c>
      <x:c r="B25" s="24" t="str">
        <x:v>Damnation</x:v>
      </x:c>
      <x:c r="C25" s="24" t="str">
        <x:v>TSR</x:v>
      </x:c>
      <x:c r="D25" s="24" t="str">
        <x:v>106</x:v>
      </x:c>
      <x:c r="E25" s="24" t="str">
        <x:v>Spell</x:v>
      </x:c>
      <x:c r="F25" s="24" t="str">
        <x:v>https://scryfall.com/search?q=%21%22Damnation%22</x:v>
      </x:c>
    </x:row>
    <x:row r="26">
      <x:c r="A26" s="24" t="n">
        <x:v>1</x:v>
      </x:c>
      <x:c r="B26" s="24" t="str">
        <x:v>Dark Ritual</x:v>
      </x:c>
      <x:c r="C26" s="24" t="str">
        <x:v>A25</x:v>
      </x:c>
      <x:c r="D26" s="24" t="str">
        <x:v>82</x:v>
      </x:c>
      <x:c r="E26" s="24" t="str">
        <x:v>Spell</x:v>
      </x:c>
      <x:c r="F26" s="24" t="str">
        <x:v>https://scryfall.com/search?q=%21%22Dark%20Ritual%22</x:v>
      </x:c>
    </x:row>
    <x:row r="27">
      <x:c r="A27" s="24" t="n">
        <x:v>1</x:v>
      </x:c>
      <x:c r="B27" s="24" t="str">
        <x:v>Deadly Rollick</x:v>
      </x:c>
      <x:c r="C27" s="24" t="str">
        <x:v>C20</x:v>
      </x:c>
      <x:c r="D27" s="24" t="str">
        <x:v>42</x:v>
      </x:c>
      <x:c r="E27" s="24" t="str">
        <x:v>Spell</x:v>
      </x:c>
      <x:c r="F27" s="24" t="str">
        <x:v>https://scryfall.com/search?q=%21%22Deadly%20Rollick%22</x:v>
      </x:c>
    </x:row>
    <x:row r="28">
      <x:c r="A28" s="24" t="n">
        <x:v>1</x:v>
      </x:c>
      <x:c r="B28" s="24" t="str">
        <x:v>Defiant Bloodlord</x:v>
      </x:c>
      <x:c r="C28" s="24" t="str">
        <x:v>BFZ</x:v>
      </x:c>
      <x:c r="D28" s="24" t="str">
        <x:v>107 *F*</x:v>
      </x:c>
      <x:c r="E28" s="24" t="str">
        <x:v>Spell</x:v>
      </x:c>
      <x:c r="F28" s="24" t="str">
        <x:v>https://scryfall.com/search?q=%21%22Defiant%20Bloodlord%22</x:v>
      </x:c>
    </x:row>
    <x:row r="29">
      <x:c r="A29" s="24" t="n">
        <x:v>1</x:v>
      </x:c>
      <x:c r="B29" s="24" t="str">
        <x:v>Demonic Tutor</x:v>
      </x:c>
      <x:c r="C29" s="24" t="str">
        <x:v>DVD</x:v>
      </x:c>
      <x:c r="D29" s="24" t="str">
        <x:v>49</x:v>
      </x:c>
      <x:c r="E29" s="24" t="str">
        <x:v>Spell</x:v>
      </x:c>
      <x:c r="F29" s="24" t="str">
        <x:v>https://scryfall.com/search?q=%21%22Demonic%20Tutor%22</x:v>
      </x:c>
    </x:row>
    <x:row r="30">
      <x:c r="A30" s="24" t="n">
        <x:v>1</x:v>
      </x:c>
      <x:c r="B30" s="24" t="str">
        <x:v>Enduring Tenacity</x:v>
      </x:c>
      <x:c r="C30" s="24" t="str">
        <x:v>DSK</x:v>
      </x:c>
      <x:c r="D30" s="24" t="str">
        <x:v>374</x:v>
      </x:c>
      <x:c r="E30" s="24" t="str">
        <x:v>Spell</x:v>
      </x:c>
      <x:c r="F30" s="24" t="str">
        <x:v>https://scryfall.com/search?q=%21%22Enduring%20Tenacity%22</x:v>
      </x:c>
    </x:row>
    <x:row r="31">
      <x:c r="A31" s="24" t="n">
        <x:v>1</x:v>
      </x:c>
      <x:c r="B31" s="24" t="str">
        <x:v>Exquisite Blood</x:v>
      </x:c>
      <x:c r="C31" s="24" t="str">
        <x:v>LCC</x:v>
      </x:c>
      <x:c r="D31" s="24" t="str">
        <x:v>195</x:v>
      </x:c>
      <x:c r="E31" s="24" t="str">
        <x:v>Spell</x:v>
      </x:c>
      <x:c r="F31" s="24" t="str">
        <x:v>https://scryfall.com/search?q=%21%22Exquisite%20Blood%22</x:v>
      </x:c>
    </x:row>
    <x:row r="32">
      <x:c r="A32" s="24" t="n">
        <x:v>1</x:v>
      </x:c>
      <x:c r="B32" s="24" t="str">
        <x:v>Exsanguinate</x:v>
      </x:c>
      <x:c r="C32" s="24" t="str">
        <x:v>SOM</x:v>
      </x:c>
      <x:c r="D32" s="24" t="str">
        <x:v>61</x:v>
      </x:c>
      <x:c r="E32" s="24" t="str">
        <x:v>Spell</x:v>
      </x:c>
      <x:c r="F32" s="24" t="str">
        <x:v>https://scryfall.com/search?q=%21%22Exsanguinate%22</x:v>
      </x:c>
    </x:row>
    <x:row r="33">
      <x:c r="A33" s="24" t="n">
        <x:v>1</x:v>
      </x:c>
      <x:c r="B33" s="24" t="str">
        <x:v>Extraplanar Lens</x:v>
      </x:c>
      <x:c r="C33" s="24" t="str">
        <x:v>CMM</x:v>
      </x:c>
      <x:c r="D33" s="24" t="str">
        <x:v>656</x:v>
      </x:c>
      <x:c r="E33" s="24" t="str">
        <x:v>Spell</x:v>
      </x:c>
      <x:c r="F33" s="24" t="str">
        <x:v>https://scryfall.com/search?q=%21%22Extraplanar%20Lens%22</x:v>
      </x:c>
    </x:row>
    <x:row r="34">
      <x:c r="A34" s="24" t="n">
        <x:v>1</x:v>
      </x:c>
      <x:c r="B34" s="24" t="str">
        <x:v>Feed the Swarm</x:v>
      </x:c>
      <x:c r="C34" s="24" t="str">
        <x:v>CLB</x:v>
      </x:c>
      <x:c r="D34" s="24" t="str">
        <x:v>752</x:v>
      </x:c>
      <x:c r="E34" s="24" t="str">
        <x:v>Spell</x:v>
      </x:c>
      <x:c r="F34" s="24" t="str">
        <x:v>https://scryfall.com/search?q=%21%22Feed%20the%20Swarm%22</x:v>
      </x:c>
    </x:row>
    <x:row r="35">
      <x:c r="A35" s="24" t="n">
        <x:v>1</x:v>
      </x:c>
      <x:c r="B35" s="24" t="str">
        <x:v>Gifted Aetherborn</x:v>
      </x:c>
      <x:c r="C35" s="24" t="str">
        <x:v>AER</x:v>
      </x:c>
      <x:c r="D35" s="24" t="str">
        <x:v>61 *F*</x:v>
      </x:c>
      <x:c r="E35" s="24" t="str">
        <x:v>Spell</x:v>
      </x:c>
      <x:c r="F35" s="24" t="str">
        <x:v>https://scryfall.com/search?q=%21%22Gifted%20Aetherborn%22</x:v>
      </x:c>
    </x:row>
    <x:row r="36">
      <x:c r="A36" s="24" t="n">
        <x:v>1</x:v>
      </x:c>
      <x:c r="B36" s="24" t="str">
        <x:v>Gray Merchant of Asphodel</x:v>
      </x:c>
      <x:c r="C36" s="24" t="str">
        <x:v>TSR</x:v>
      </x:c>
      <x:c r="D36" s="24" t="str">
        <x:v>323</x:v>
      </x:c>
      <x:c r="E36" s="24" t="str">
        <x:v>Spell</x:v>
      </x:c>
      <x:c r="F36" s="24" t="str">
        <x:v>https://scryfall.com/search?q=%21%22Gray%20Merchant%20of%20Asphodel%22</x:v>
      </x:c>
    </x:row>
    <x:row r="37">
      <x:c r="A37" s="24" t="n">
        <x:v>1</x:v>
      </x:c>
      <x:c r="B37" s="24" t="str">
        <x:v>Grim Tutor</x:v>
      </x:c>
      <x:c r="C37" s="24" t="str">
        <x:v>M21</x:v>
      </x:c>
      <x:c r="D37" s="24" t="str">
        <x:v>103 *F*</x:v>
      </x:c>
      <x:c r="E37" s="24" t="str">
        <x:v>Spell</x:v>
      </x:c>
      <x:c r="F37" s="24" t="str">
        <x:v>https://scryfall.com/search?q=%21%22Grim%20Tutor%22</x:v>
      </x:c>
    </x:row>
    <x:row r="38">
      <x:c r="A38" s="24" t="n">
        <x:v>1</x:v>
      </x:c>
      <x:c r="B38" s="24" t="str">
        <x:v>Hagra Mauling</x:v>
      </x:c>
      <x:c r="C38" s="24" t="str">
        <x:v>ZNR</x:v>
      </x:c>
      <x:c r="D38" s="24" t="str">
        <x:v>339</x:v>
      </x:c>
      <x:c r="E38" s="24" t="str">
        <x:v>MDFC</x:v>
      </x:c>
      <x:c r="F38" s="24" t="str">
        <x:v>https://scryfall.com/search?q=%21%22Hagra%20Mauling%22</x:v>
      </x:c>
    </x:row>
    <x:row r="39">
      <x:c r="A39" s="24" t="n">
        <x:v>1</x:v>
      </x:c>
      <x:c r="B39" s="24" t="str">
        <x:v>Hatred</x:v>
      </x:c>
      <x:c r="C39" s="24" t="str">
        <x:v>EXO</x:v>
      </x:c>
      <x:c r="D39" s="24" t="str">
        <x:v>64</x:v>
      </x:c>
      <x:c r="E39" s="24" t="str">
        <x:v>Spell</x:v>
      </x:c>
      <x:c r="F39" s="24" t="str">
        <x:v>https://scryfall.com/search?q=%21%22Hatred%22</x:v>
      </x:c>
    </x:row>
    <x:row r="40">
      <x:c r="A40" s="24" t="n">
        <x:v>1</x:v>
      </x:c>
      <x:c r="B40" s="24" t="str">
        <x:v>Henrika Domnathi</x:v>
      </x:c>
      <x:c r="C40" s="24" t="str">
        <x:v>VOW</x:v>
      </x:c>
      <x:c r="D40" s="24" t="str">
        <x:v>293</x:v>
      </x:c>
      <x:c r="E40" s="24" t="str">
        <x:v>Spell</x:v>
      </x:c>
      <x:c r="F40" s="24" t="str">
        <x:v>https://scryfall.com/search?q=%21%22Henrika%20Domnathi%22</x:v>
      </x:c>
    </x:row>
    <x:row r="41">
      <x:c r="A41" s="24" t="n">
        <x:v>1</x:v>
      </x:c>
      <x:c r="B41" s="24" t="str">
        <x:v>Herald's Horn</x:v>
      </x:c>
      <x:c r="C41" s="24" t="str">
        <x:v>C17</x:v>
      </x:c>
      <x:c r="D41" s="24" t="str">
        <x:v>53</x:v>
      </x:c>
      <x:c r="E41" s="24" t="str">
        <x:v>Spell</x:v>
      </x:c>
      <x:c r="F41" s="24" t="str">
        <x:v>https://scryfall.com/search?q=%21%22Herald%27s%20Horn%22</x:v>
      </x:c>
    </x:row>
    <x:row r="42">
      <x:c r="A42" s="24" t="n">
        <x:v>1</x:v>
      </x:c>
      <x:c r="B42" s="24" t="str">
        <x:v>Imp's Mischief</x:v>
      </x:c>
      <x:c r="C42" s="24" t="str">
        <x:v>OTP</x:v>
      </x:c>
      <x:c r="D42" s="24" t="str">
        <x:v>15 *F*</x:v>
      </x:c>
      <x:c r="E42" s="24" t="str">
        <x:v>Spell</x:v>
      </x:c>
      <x:c r="F42" s="24" t="str">
        <x:v>https://scryfall.com/search?q=%21%22Imp%27s%20Mischief%22</x:v>
      </x:c>
    </x:row>
    <x:row r="43">
      <x:c r="A43" s="24" t="n">
        <x:v>1</x:v>
      </x:c>
      <x:c r="B43" s="24" t="str">
        <x:v>Indulgent Aristocrat</x:v>
      </x:c>
      <x:c r="C43" s="24" t="str">
        <x:v>SOI</x:v>
      </x:c>
      <x:c r="D43" s="24" t="str">
        <x:v>118 *F*</x:v>
      </x:c>
      <x:c r="E43" s="24" t="str">
        <x:v>Spell</x:v>
      </x:c>
      <x:c r="F43" s="24" t="str">
        <x:v>https://scryfall.com/search?q=%21%22Indulgent%20Aristocrat%22</x:v>
      </x:c>
    </x:row>
    <x:row r="44">
      <x:c r="A44" s="24" t="n">
        <x:v>1</x:v>
      </x:c>
      <x:c r="B44" s="24" t="str">
        <x:v>Insatiable Avarice</x:v>
      </x:c>
      <x:c r="C44" s="24" t="str">
        <x:v>OTJ</x:v>
      </x:c>
      <x:c r="D44" s="24" t="str">
        <x:v>91</x:v>
      </x:c>
      <x:c r="E44" s="24" t="str">
        <x:v>Spell</x:v>
      </x:c>
      <x:c r="F44" s="24" t="str">
        <x:v>https://scryfall.com/search?q=%21%22Insatiable%20Avarice%22</x:v>
      </x:c>
    </x:row>
    <x:row r="45">
      <x:c r="A45" s="24" t="n">
        <x:v>1</x:v>
      </x:c>
      <x:c r="B45" s="24" t="str">
        <x:v>Jet Medallion</x:v>
      </x:c>
      <x:c r="C45" s="24" t="str">
        <x:v>MH3</x:v>
      </x:c>
      <x:c r="D45" s="24" t="str">
        <x:v>346</x:v>
      </x:c>
      <x:c r="E45" s="24" t="str">
        <x:v>Spell</x:v>
      </x:c>
      <x:c r="F45" s="24" t="str">
        <x:v>https://scryfall.com/search?q=%21%22Jet%20Medallion%22</x:v>
      </x:c>
    </x:row>
    <x:row r="46">
      <x:c r="A46" s="24" t="n">
        <x:v>1</x:v>
      </x:c>
      <x:c r="B46" s="24" t="str">
        <x:v>K'rrik, Son of Yawgmoth</x:v>
      </x:c>
      <x:c r="C46" s="24" t="str">
        <x:v>MH3</x:v>
      </x:c>
      <x:c r="D46" s="24" t="str">
        <x:v>365 *F*</x:v>
      </x:c>
      <x:c r="E46" s="24" t="str">
        <x:v>Spell</x:v>
      </x:c>
      <x:c r="F46" s="24" t="str">
        <x:v>https://scryfall.com/search?q=%21%22K%27rrik%2C%20Son%20of%20Yawgmoth%22</x:v>
      </x:c>
    </x:row>
    <x:row r="47">
      <x:c r="A47" s="24" t="n">
        <x:v>1</x:v>
      </x:c>
      <x:c r="B47" s="24" t="str">
        <x:v>Kalitas, Traitor of Ghet</x:v>
      </x:c>
      <x:c r="C47" s="24" t="str">
        <x:v>OGW</x:v>
      </x:c>
      <x:c r="D47" s="24" t="str">
        <x:v>86</x:v>
      </x:c>
      <x:c r="E47" s="24" t="str">
        <x:v>Spell</x:v>
      </x:c>
      <x:c r="F47" s="24" t="str">
        <x:v>https://scryfall.com/search?q=%21%22Kalitas%2C%20Traitor%20of%20Ghet%22</x:v>
      </x:c>
    </x:row>
    <x:row r="48">
      <x:c r="A48" s="24" t="n">
        <x:v>1</x:v>
      </x:c>
      <x:c r="B48" s="24" t="str">
        <x:v>Malakir Bloodwitch</x:v>
      </x:c>
      <x:c r="C48" s="24" t="str">
        <x:v>ZEN</x:v>
      </x:c>
      <x:c r="D48" s="24" t="str">
        <x:v>100</x:v>
      </x:c>
      <x:c r="E48" s="24" t="str">
        <x:v>Spell</x:v>
      </x:c>
      <x:c r="F48" s="24" t="str">
        <x:v>https://scryfall.com/search?q=%21%22Malakir%20Bloodwitch%22</x:v>
      </x:c>
    </x:row>
    <x:row r="49">
      <x:c r="A49" s="24" t="n">
        <x:v>1</x:v>
      </x:c>
      <x:c r="B49" s="24" t="str">
        <x:v>Malakir Rebirth</x:v>
      </x:c>
      <x:c r="C49" s="24" t="str">
        <x:v>ZNR</x:v>
      </x:c>
      <x:c r="D49" s="24" t="str">
        <x:v>111</x:v>
      </x:c>
      <x:c r="E49" s="24" t="str">
        <x:v>MDFC</x:v>
      </x:c>
      <x:c r="F49" s="24" t="str">
        <x:v>https://scryfall.com/search?q=%21%22Malakir%20Rebirth%22</x:v>
      </x:c>
    </x:row>
    <x:row r="50">
      <x:c r="A50" s="24" t="n">
        <x:v>1</x:v>
      </x:c>
      <x:c r="B50" s="24" t="str">
        <x:v>Marauding Blight-Priest</x:v>
      </x:c>
      <x:c r="C50" s="24" t="str">
        <x:v>ZNR</x:v>
      </x:c>
      <x:c r="D50" s="24" t="str">
        <x:v>112</x:v>
      </x:c>
      <x:c r="E50" s="24" t="str">
        <x:v>Spell</x:v>
      </x:c>
      <x:c r="F50" s="24" t="str">
        <x:v>https://scryfall.com/search?q=%21%22Marauding%20Blight-Priest%22</x:v>
      </x:c>
    </x:row>
    <x:row r="51">
      <x:c r="A51" s="24" t="n">
        <x:v>1</x:v>
      </x:c>
      <x:c r="B51" s="24" t="str">
        <x:v>Markov Baron</x:v>
      </x:c>
      <x:c r="C51" s="24" t="str">
        <x:v>MAT</x:v>
      </x:c>
      <x:c r="D51" s="24" t="str">
        <x:v>64 *F*</x:v>
      </x:c>
      <x:c r="E51" s="24" t="str">
        <x:v>Spell</x:v>
      </x:c>
      <x:c r="F51" s="24" t="str">
        <x:v>https://scryfall.com/search?q=%21%22Markov%20Baron%22</x:v>
      </x:c>
    </x:row>
    <x:row r="52">
      <x:c r="A52" s="24" t="n">
        <x:v>1</x:v>
      </x:c>
      <x:c r="B52" s="24" t="str">
        <x:v>Mikokoro, Center of the Sea</x:v>
      </x:c>
      <x:c r="C52" s="24" t="str">
        <x:v>DMC</x:v>
      </x:c>
      <x:c r="D52" s="24" t="str">
        <x:v>217</x:v>
      </x:c>
      <x:c r="E52" s="24" t="str">
        <x:v>Land</x:v>
      </x:c>
      <x:c r="F52" s="24" t="str">
        <x:v>https://scryfall.com/search?q=%21%22Mikokoro%2C%20Center%20of%20the%20Sea%22</x:v>
      </x:c>
    </x:row>
    <x:row r="53">
      <x:c r="A53" s="24" t="n">
        <x:v>1</x:v>
      </x:c>
      <x:c r="B53" s="24" t="str">
        <x:v>Mindcrank</x:v>
      </x:c>
      <x:c r="C53" s="24" t="str">
        <x:v>CLB</x:v>
      </x:c>
      <x:c r="D53" s="24" t="str">
        <x:v>866</x:v>
      </x:c>
      <x:c r="E53" s="24" t="str">
        <x:v>Spell</x:v>
      </x:c>
      <x:c r="F53" s="24" t="str">
        <x:v>https://scryfall.com/search?q=%21%22Mindcrank%22</x:v>
      </x:c>
    </x:row>
    <x:row r="54">
      <x:c r="A54" s="24" t="n">
        <x:v>1</x:v>
      </x:c>
      <x:c r="B54" s="24" t="str">
        <x:v>Necrodominance</x:v>
      </x:c>
      <x:c r="C54" s="24" t="str">
        <x:v>MH3</x:v>
      </x:c>
      <x:c r="D54" s="24" t="str">
        <x:v>102</x:v>
      </x:c>
      <x:c r="E54" s="24" t="str">
        <x:v>Spell</x:v>
      </x:c>
      <x:c r="F54" s="24" t="str">
        <x:v>https://scryfall.com/search?q=%21%22Necrodominance%22</x:v>
      </x:c>
    </x:row>
    <x:row r="55">
      <x:c r="A55" s="24" t="n">
        <x:v>1</x:v>
      </x:c>
      <x:c r="B55" s="24" t="str">
        <x:v>Necropotence</x:v>
      </x:c>
      <x:c r="C55" s="24" t="str">
        <x:v>SLC</x:v>
      </x:c>
      <x:c r="D55" s="24" t="str">
        <x:v>1995 *F*</x:v>
      </x:c>
      <x:c r="E55" s="24" t="str">
        <x:v>Spell</x:v>
      </x:c>
      <x:c r="F55" s="24" t="str">
        <x:v>https://scryfall.com/search?q=%21%22Necropotence%22</x:v>
      </x:c>
    </x:row>
    <x:row r="56">
      <x:c r="A56" s="24" t="n">
        <x:v>1</x:v>
      </x:c>
      <x:c r="B56" s="24" t="str">
        <x:v>New Blood</x:v>
      </x:c>
      <x:c r="C56" s="24" t="str">
        <x:v>C17</x:v>
      </x:c>
      <x:c r="D56" s="24" t="str">
        <x:v>19</x:v>
      </x:c>
      <x:c r="E56" s="24" t="str">
        <x:v>Spell</x:v>
      </x:c>
      <x:c r="F56" s="24" t="str">
        <x:v>https://scryfall.com/search?q=%21%22New%20Blood%22</x:v>
      </x:c>
    </x:row>
    <x:row r="57">
      <x:c r="A57" s="24" t="n">
        <x:v>1</x:v>
      </x:c>
      <x:c r="B57" s="24" t="str">
        <x:v>Nighthawk Scavenger</x:v>
      </x:c>
      <x:c r="C57" s="24" t="str">
        <x:v>ZNR</x:v>
      </x:c>
      <x:c r="D57" s="24" t="str">
        <x:v>115</x:v>
      </x:c>
      <x:c r="E57" s="24" t="str">
        <x:v>Spell</x:v>
      </x:c>
      <x:c r="F57" s="24" t="str">
        <x:v>https://scryfall.com/search?q=%21%22Nighthawk%20Scavenger%22</x:v>
      </x:c>
    </x:row>
    <x:row r="58">
      <x:c r="A58" s="24" t="n">
        <x:v>1</x:v>
      </x:c>
      <x:c r="B58" s="24" t="str">
        <x:v>Nullpriest of Oblivion</x:v>
      </x:c>
      <x:c r="C58" s="24" t="str">
        <x:v>ZNR</x:v>
      </x:c>
      <x:c r="D58" s="24" t="str">
        <x:v>118</x:v>
      </x:c>
      <x:c r="E58" s="24" t="str">
        <x:v>Spell</x:v>
      </x:c>
      <x:c r="F58" s="24" t="str">
        <x:v>https://scryfall.com/search?q=%21%22Nullpriest%20of%20Oblivion%22</x:v>
      </x:c>
    </x:row>
    <x:row r="59">
      <x:c r="A59" s="24" t="n">
        <x:v>1</x:v>
      </x:c>
      <x:c r="B59" s="24" t="str">
        <x:v>Nykthos, Shrine to Nyx</x:v>
      </x:c>
      <x:c r="C59" s="24" t="str">
        <x:v>THS</x:v>
      </x:c>
      <x:c r="D59" s="24" t="str">
        <x:v>223</x:v>
      </x:c>
      <x:c r="E59" s="24" t="str">
        <x:v>Land</x:v>
      </x:c>
      <x:c r="F59" s="24" t="str">
        <x:v>https://scryfall.com/search?q=%21%22Nykthos%2C%20Shrine%20to%20Nyx%22</x:v>
      </x:c>
    </x:row>
    <x:row r="60">
      <x:c r="A60" s="24" t="n">
        <x:v>1</x:v>
      </x:c>
      <x:c r="B60" s="24" t="str">
        <x:v>Path of Ancestry</x:v>
      </x:c>
      <x:c r="C60" s="24" t="str">
        <x:v>CMM</x:v>
      </x:c>
      <x:c r="D60" s="24" t="str">
        <x:v>661</x:v>
      </x:c>
      <x:c r="E60" s="24" t="str">
        <x:v>Land</x:v>
      </x:c>
      <x:c r="F60" s="24" t="str">
        <x:v>https://scryfall.com/search?q=%21%22Path%20of%20Ancestry%22</x:v>
      </x:c>
    </x:row>
    <x:row r="61">
      <x:c r="A61" s="24" t="n">
        <x:v>1</x:v>
      </x:c>
      <x:c r="B61" s="24" t="str">
        <x:v>Preacher of the Schism</x:v>
      </x:c>
      <x:c r="C61" s="24" t="str">
        <x:v>LCI</x:v>
      </x:c>
      <x:c r="D61" s="24" t="str">
        <x:v>113 *F*</x:v>
      </x:c>
      <x:c r="E61" s="24" t="str">
        <x:v>Spell</x:v>
      </x:c>
      <x:c r="F61" s="24" t="str">
        <x:v>https://scryfall.com/search?q=%21%22Preacher%20of%20the%20Schism%22</x:v>
      </x:c>
    </x:row>
    <x:row r="62">
      <x:c r="A62" s="24" t="n">
        <x:v>1</x:v>
      </x:c>
      <x:c r="B62" s="24" t="str">
        <x:v>Qarsi Revenant</x:v>
      </x:c>
      <x:c r="C62" s="24" t="str">
        <x:v>TDM</x:v>
      </x:c>
      <x:c r="D62" s="24" t="str">
        <x:v>426 *F*</x:v>
      </x:c>
      <x:c r="E62" s="24" t="str">
        <x:v>Spell</x:v>
      </x:c>
      <x:c r="F62" s="24" t="str">
        <x:v>https://scryfall.com/search?q=%21%22Qarsi%20Revenant%22</x:v>
      </x:c>
    </x:row>
    <x:row r="63">
      <x:c r="A63" s="24" t="n">
        <x:v>1</x:v>
      </x:c>
      <x:c r="B63" s="24" t="str">
        <x:v>Sanguine Spy</x:v>
      </x:c>
      <x:c r="C63" s="24" t="str">
        <x:v>SNC</x:v>
      </x:c>
      <x:c r="D63" s="24" t="str">
        <x:v>93</x:v>
      </x:c>
      <x:c r="E63" s="24" t="str">
        <x:v>Spell</x:v>
      </x:c>
      <x:c r="F63" s="24" t="str">
        <x:v>https://scryfall.com/search?q=%21%22Sanguine%20Spy%22</x:v>
      </x:c>
    </x:row>
    <x:row r="64">
      <x:c r="A64" s="24" t="n">
        <x:v>1</x:v>
      </x:c>
      <x:c r="B64" s="24" t="str">
        <x:v>Sensei's Divining Top</x:v>
      </x:c>
      <x:c r="C64" s="24" t="str">
        <x:v>CHK</x:v>
      </x:c>
      <x:c r="D64" s="24" t="str">
        <x:v>268</x:v>
      </x:c>
      <x:c r="E64" s="24" t="str">
        <x:v>Spell</x:v>
      </x:c>
      <x:c r="F64" s="24" t="str">
        <x:v>https://scryfall.com/search?q=%21%22Sensei%27s%20Divining%20Top%22</x:v>
      </x:c>
    </x:row>
    <x:row r="65">
      <x:c r="A65" s="24" t="n">
        <x:v>1</x:v>
      </x:c>
      <x:c r="B65" s="24" t="str">
        <x:v>Shadowspear</x:v>
      </x:c>
      <x:c r="C65" s="24" t="str">
        <x:v>THB</x:v>
      </x:c>
      <x:c r="D65" s="24" t="str">
        <x:v>236</x:v>
      </x:c>
      <x:c r="E65" s="24" t="str">
        <x:v>Spell</x:v>
      </x:c>
      <x:c r="F65" s="24" t="str">
        <x:v>https://scryfall.com/search?q=%21%22Shadowspear%22</x:v>
      </x:c>
    </x:row>
    <x:row r="66">
      <x:c r="A66" s="24" t="n">
        <x:v>1</x:v>
      </x:c>
      <x:c r="B66" s="24" t="str">
        <x:v>Shizo, Death's Storehouse</x:v>
      </x:c>
      <x:c r="C66" s="24" t="str">
        <x:v>CHK</x:v>
      </x:c>
      <x:c r="D66" s="24" t="str">
        <x:v>283 *F*</x:v>
      </x:c>
      <x:c r="E66" s="24" t="str">
        <x:v>Land</x:v>
      </x:c>
      <x:c r="F66" s="24" t="str">
        <x:v>https://scryfall.com/search?q=%21%22Shizo%2C%20Death%27s%20Storehouse%22</x:v>
      </x:c>
    </x:row>
    <x:row r="67">
      <x:c r="A67" s="24" t="n">
        <x:v>1</x:v>
      </x:c>
      <x:c r="B67" s="24" t="str">
        <x:v>Slaughter Pact</x:v>
      </x:c>
      <x:c r="C67" s="24" t="str">
        <x:v>TSR</x:v>
      </x:c>
      <x:c r="D67" s="24" t="str">
        <x:v>138</x:v>
      </x:c>
      <x:c r="E67" s="24" t="str">
        <x:v>Spell</x:v>
      </x:c>
      <x:c r="F67" s="24" t="str">
        <x:v>https://scryfall.com/search?q=%21%22Slaughter%20Pact%22</x:v>
      </x:c>
    </x:row>
    <x:row r="68">
      <x:c r="A68" s="24" t="n">
        <x:v>20</x:v>
      </x:c>
      <x:c r="B68" s="24" t="str">
        <x:v>Snow-Covered Swamp</x:v>
      </x:c>
      <x:c r="C68" s="24" t="str">
        <x:v>MH1</x:v>
      </x:c>
      <x:c r="D68" s="24" t="str">
        <x:v>252</x:v>
      </x:c>
      <x:c r="E68" s="24" t="str">
        <x:v>Land</x:v>
      </x:c>
      <x:c r="F68" s="24" t="str">
        <x:v>https://scryfall.com/search?q=%21%22Snow-Covered%20Swamp%22</x:v>
      </x:c>
    </x:row>
    <x:row r="69">
      <x:c r="A69" s="24" t="n">
        <x:v>1</x:v>
      </x:c>
      <x:c r="B69" s="24" t="str">
        <x:v>Sol Ring</x:v>
      </x:c>
      <x:c r="C69" s="24" t="str">
        <x:v>CC2</x:v>
      </x:c>
      <x:c r="D69" s="24" t="str">
        <x:v>7</x:v>
      </x:c>
      <x:c r="E69" s="24" t="str">
        <x:v>Spell</x:v>
      </x:c>
      <x:c r="F69" s="24" t="str">
        <x:v>https://scryfall.com/search?q=%21%22Sol%20Ring%22</x:v>
      </x:c>
    </x:row>
    <x:row r="70">
      <x:c r="A70" s="24" t="n">
        <x:v>1</x:v>
      </x:c>
      <x:c r="B70" s="24" t="str">
        <x:v>Sorin Markov</x:v>
      </x:c>
      <x:c r="C70" s="24" t="str">
        <x:v>M12</x:v>
      </x:c>
      <x:c r="D70" s="24" t="str">
        <x:v>109</x:v>
      </x:c>
      <x:c r="E70" s="24" t="str">
        <x:v>Spell</x:v>
      </x:c>
      <x:c r="F70" s="24" t="str">
        <x:v>https://scryfall.com/search?q=%21%22Sorin%20Markov%22</x:v>
      </x:c>
    </x:row>
    <x:row r="71">
      <x:c r="A71" s="24" t="n">
        <x:v>1</x:v>
      </x:c>
      <x:c r="B71" s="24" t="str">
        <x:v>Sorin, Imperious Bloodlord</x:v>
      </x:c>
      <x:c r="C71" s="24" t="str">
        <x:v>SLD</x:v>
      </x:c>
      <x:c r="D71" s="24" t="str">
        <x:v>1244 *F*</x:v>
      </x:c>
      <x:c r="E71" s="24" t="str">
        <x:v>Spell</x:v>
      </x:c>
      <x:c r="F71" s="24" t="str">
        <x:v>https://scryfall.com/search?q=%21%22Sorin%2C%20Imperious%20Bloodlord%22</x:v>
      </x:c>
    </x:row>
    <x:row r="72">
      <x:c r="A72" s="24" t="n">
        <x:v>1</x:v>
      </x:c>
      <x:c r="B72" s="24" t="str">
        <x:v>The Meathook Massacre</x:v>
      </x:c>
      <x:c r="C72" s="24" t="str">
        <x:v>MID</x:v>
      </x:c>
      <x:c r="D72" s="24" t="str">
        <x:v>348</x:v>
      </x:c>
      <x:c r="E72" s="24" t="str">
        <x:v>Spell</x:v>
      </x:c>
      <x:c r="F72" s="24" t="str">
        <x:v>https://scryfall.com/search?q=%21%22The%20Meathook%20Massacre%22</x:v>
      </x:c>
    </x:row>
    <x:row r="73">
      <x:c r="A73" s="24" t="n">
        <x:v>1</x:v>
      </x:c>
      <x:c r="B73" s="24" t="str">
        <x:v>Throne of Eldraine</x:v>
      </x:c>
      <x:c r="C73" s="24" t="str">
        <x:v>WOC</x:v>
      </x:c>
      <x:c r="D73" s="24" t="str">
        <x:v>40</x:v>
      </x:c>
      <x:c r="E73" s="24" t="str">
        <x:v>Spell</x:v>
      </x:c>
      <x:c r="F73" s="24" t="str">
        <x:v>https://scryfall.com/search?q=%21%22Throne%20of%20Eldraine%22</x:v>
      </x:c>
    </x:row>
    <x:row r="74">
      <x:c r="A74" s="24" t="n">
        <x:v>1</x:v>
      </x:c>
      <x:c r="B74" s="24" t="str">
        <x:v>Torment of Hailfire</x:v>
      </x:c>
      <x:c r="C74" s="24" t="str">
        <x:v>HOU</x:v>
      </x:c>
      <x:c r="D74" s="24" t="str">
        <x:v>77</x:v>
      </x:c>
      <x:c r="E74" s="24" t="str">
        <x:v>Spell</x:v>
      </x:c>
      <x:c r="F74" s="24" t="str">
        <x:v>https://scryfall.com/search?q=%21%22Torment%20of%20Hailfire%22</x:v>
      </x:c>
    </x:row>
    <x:row r="75">
      <x:c r="A75" s="24" t="n">
        <x:v>1</x:v>
      </x:c>
      <x:c r="B75" s="24" t="str">
        <x:v>Toxic Deluge</x:v>
      </x:c>
      <x:c r="C75" s="24" t="str">
        <x:v>CC2</x:v>
      </x:c>
      <x:c r="D75" s="24" t="str">
        <x:v>6</x:v>
      </x:c>
      <x:c r="E75" s="24" t="str">
        <x:v>Spell</x:v>
      </x:c>
      <x:c r="F75" s="24" t="str">
        <x:v>https://scryfall.com/search?q=%21%22Toxic%20Deluge%22</x:v>
      </x:c>
    </x:row>
    <x:row r="76">
      <x:c r="A76" s="24" t="n">
        <x:v>1</x:v>
      </x:c>
      <x:c r="B76" s="24" t="str">
        <x:v>Twilight Prophet</x:v>
      </x:c>
      <x:c r="C76" s="24" t="str">
        <x:v>RIX</x:v>
      </x:c>
      <x:c r="D76" s="24" t="str">
        <x:v>88</x:v>
      </x:c>
      <x:c r="E76" s="24" t="str">
        <x:v>Spell</x:v>
      </x:c>
      <x:c r="F76" s="24" t="str">
        <x:v>https://scryfall.com/search?q=%21%22Twilight%20Prophet%22</x:v>
      </x:c>
    </x:row>
    <x:row r="77">
      <x:c r="A77" s="24" t="n">
        <x:v>1</x:v>
      </x:c>
      <x:c r="B77" s="24" t="str">
        <x:v>Urborg, Tomb of Yawgmoth</x:v>
      </x:c>
      <x:c r="C77" s="24" t="str">
        <x:v>UMA</x:v>
      </x:c>
      <x:c r="D77" s="24" t="str">
        <x:v>254</x:v>
      </x:c>
      <x:c r="E77" s="24" t="str">
        <x:v>Land</x:v>
      </x:c>
      <x:c r="F77" s="24" t="str">
        <x:v>https://scryfall.com/search?q=%21%22Urborg%2C%20Tomb%20of%20Yawgmoth%22</x:v>
      </x:c>
    </x:row>
    <x:row r="78">
      <x:c r="A78" s="24" t="n">
        <x:v>1</x:v>
      </x:c>
      <x:c r="B78" s="24" t="str">
        <x:v>Vampire of the Dire Moon</x:v>
      </x:c>
      <x:c r="C78" s="24" t="str">
        <x:v>M20</x:v>
      </x:c>
      <x:c r="D78" s="24" t="str">
        <x:v>120</x:v>
      </x:c>
      <x:c r="E78" s="24" t="str">
        <x:v>Spell</x:v>
      </x:c>
      <x:c r="F78" s="24" t="str">
        <x:v>https://scryfall.com/search?q=%21%22Vampire%20of%20the%20Dire%20Moon%22</x:v>
      </x:c>
    </x:row>
    <x:row r="79">
      <x:c r="A79" s="24" t="n">
        <x:v>1</x:v>
      </x:c>
      <x:c r="B79" s="24" t="str">
        <x:v>Vampiric Tutor</x:v>
      </x:c>
      <x:c r="C79" s="24" t="str">
        <x:v>CMR</x:v>
      </x:c>
      <x:c r="D79" s="24" t="str">
        <x:v>156</x:v>
      </x:c>
      <x:c r="E79" s="24" t="str">
        <x:v>Spell</x:v>
      </x:c>
      <x:c r="F79" s="24" t="str">
        <x:v>https://scryfall.com/search?q=%21%22Vampiric%20Tutor%22</x:v>
      </x:c>
    </x:row>
    <x:row r="80">
      <x:c r="A80" s="24" t="n">
        <x:v>1</x:v>
      </x:c>
      <x:c r="B80" s="24" t="str">
        <x:v>Vein Ripper</x:v>
      </x:c>
      <x:c r="C80" s="24" t="str">
        <x:v>MKM</x:v>
      </x:c>
      <x:c r="D80" s="24" t="str">
        <x:v>346 *F*</x:v>
      </x:c>
      <x:c r="E80" s="24" t="str">
        <x:v>Spell</x:v>
      </x:c>
      <x:c r="F80" s="24" t="str">
        <x:v>https://scryfall.com/search?q=%21%22Vein%20Ripper%22</x:v>
      </x:c>
    </x:row>
    <x:row r="81">
      <x:c r="A81" s="24" t="n">
        <x:v>1</x:v>
      </x:c>
      <x:c r="B81" s="24" t="str">
        <x:v>War Room</x:v>
      </x:c>
      <x:c r="C81" s="24" t="str">
        <x:v>CMR</x:v>
      </x:c>
      <x:c r="D81" s="24" t="str">
        <x:v>361 *F*</x:v>
      </x:c>
      <x:c r="E81" s="24" t="str">
        <x:v>Land</x:v>
      </x:c>
      <x:c r="F81" s="24" t="str">
        <x:v>https://scryfall.com/search?q=%21%22War%20Room%22</x:v>
      </x:c>
    </x:row>
    <x:row r="82">
      <x:c r="A82" s="24" t="n">
        <x:v>1</x:v>
      </x:c>
      <x:c r="B82" s="24" t="str">
        <x:v>Witch's Cottage</x:v>
      </x:c>
      <x:c r="C82" s="24" t="str">
        <x:v>ELD</x:v>
      </x:c>
      <x:c r="D82" s="24" t="str">
        <x:v>249</x:v>
      </x:c>
      <x:c r="E82" s="24" t="str">
        <x:v>Land</x:v>
      </x:c>
      <x:c r="F82" s="24" t="str">
        <x:v>https://scryfall.com/search?q=%21%22Witch%27s%20Cottage%22</x:v>
      </x:c>
    </x:row>
    <x:row r="83">
      <x:c r="A83" s="24" t="n">
        <x:v>1</x:v>
      </x:c>
      <x:c r="B83" s="24" t="str">
        <x:v>Withering Torment</x:v>
      </x:c>
      <x:c r="C83" s="24" t="str">
        <x:v>DSK</x:v>
      </x:c>
      <x:c r="D83" s="24" t="str">
        <x:v>124</x:v>
      </x:c>
      <x:c r="E83" s="24" t="str">
        <x:v>Spell</x:v>
      </x:c>
      <x:c r="F83" s="24" t="str">
        <x:v>https://scryfall.com/search?q=%21%22Withering%20Torment%22</x:v>
      </x:c>
    </x:row>
    <x:row r="84">
      <x:c r="A84" s="33" t="str">
        <x:v>TOTAL QTY</x:v>
      </x:c>
      <x:c r="B84" s="33" t="str">
        <x:v>Current deck total</x:v>
      </x:c>
      <x:c r="C84" s="33" t="n">
        <x:f>SUM(A3:A83)</x:f>
        <x:v>100</x:v>
      </x:c>
      <x:c r="D84" s="33"/>
      <x:c r="E84" s="33"/>
      <x:c r="F84" s="33"/>
    </x:row>
  </x:sheetData>
  <x:mergeCells>
    <x:mergeCell ref="A1:F1"/>
  </x:mergeCells>
  <x:pageMargins left="0.7" right="0.7" top="0.75" bottom="0.75" header="0.3" footer="0.3"/>
  <x:tableParts count="1">
    <x:tablePart xmlns:r="http://schemas.openxmlformats.org/officeDocument/2006/relationships" r:id="Rb9709657f042415d"/>
  </x:tableParts>
</x:worksheet>
</file>

<file path=xl/worksheets/sheet9.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8" hidden="0" customWidth="1"/>
    <x:col min="2" max="2" width="32" hidden="0" customWidth="1"/>
    <x:col min="3" max="3" width="12" hidden="0" customWidth="1"/>
    <x:col min="4" max="4" width="22" hidden="0" customWidth="1"/>
    <x:col min="5" max="5" width="14" hidden="0" customWidth="1"/>
    <x:col min="6" max="6" width="8" hidden="0" customWidth="1"/>
    <x:col min="7" max="7" width="25" hidden="0" customWidth="1"/>
    <x:col min="8" max="8" width="36" hidden="0" customWidth="1"/>
  </x:cols>
  <x:sheetData>
    <x:row r="1" ht="30" customHeight="1">
      <x:c r="A1" s="5" t="str">
        <x:v>VITO — PROJECTED V2 (NOT PLAYTESTED)</x:v>
      </x:c>
      <x:c r="B1" s="5"/>
      <x:c r="C1" s="5"/>
      <x:c r="D1" s="5"/>
      <x:c r="E1" s="5"/>
      <x:c r="F1" s="5"/>
      <x:c r="G1" s="5"/>
      <x:c r="H1" s="5"/>
    </x:row>
    <x:row r="2" ht="30" customHeight="1">
      <x:c r="A2" s="14" t="str">
        <x:v>Qty</x:v>
      </x:c>
      <x:c r="B2" s="14" t="str">
        <x:v>Card</x:v>
      </x:c>
      <x:c r="C2" s="14" t="str">
        <x:v>Set</x:v>
      </x:c>
      <x:c r="D2" s="14" t="str">
        <x:v>Collector / finish marker</x:v>
      </x:c>
      <x:c r="E2" s="14" t="str">
        <x:v>Slot type</x:v>
      </x:c>
      <x:c r="F2" s="14" t="str">
        <x:v>MV</x:v>
      </x:c>
      <x:c r="G2" s="14" t="str">
        <x:v>Primary group</x:v>
      </x:c>
      <x:c r="H2" s="14" t="str">
        <x:v>Scryfall search</x:v>
      </x:c>
    </x:row>
    <x:row r="3">
      <x:c r="A3" s="24" t="n">
        <x:v>1</x:v>
      </x:c>
      <x:c r="B3" s="24" t="str">
        <x:v>Vito, Thorn of the Dusk Rose</x:v>
      </x:c>
      <x:c r="C3" s="24" t="str">
        <x:v>M21</x:v>
      </x:c>
      <x:c r="D3" s="24" t="str">
        <x:v>127 *F*</x:v>
      </x:c>
      <x:c r="E3" s="24" t="str">
        <x:v>Commander</x:v>
      </x:c>
      <x:c r="F3" s="36" t="n">
        <x:v>3</x:v>
      </x:c>
      <x:c r="G3" s="24" t="str">
        <x:v>Commander / engine</x:v>
      </x:c>
      <x:c r="H3" s="24" t="str">
        <x:v>https://scryfall.com/search?q=%21%22Vito%2C%20Thorn%20of%20the%20Dusk%20Rose%22</x:v>
      </x:c>
    </x:row>
    <x:row r="4">
      <x:c r="A4" s="24" t="n">
        <x:v>1</x:v>
      </x:c>
      <x:c r="B4" s="24" t="str">
        <x:v>Agadeem's Awakening</x:v>
      </x:c>
      <x:c r="C4" s="24" t="str">
        <x:v>ZNR</x:v>
      </x:c>
      <x:c r="D4" s="24" t="str">
        <x:v>336</x:v>
      </x:c>
      <x:c r="E4" s="24" t="str">
        <x:v>MDFC</x:v>
      </x:c>
      <x:c r="F4" s="36" t="n">
        <x:v>3</x:v>
      </x:c>
      <x:c r="G4" s="24" t="str">
        <x:v>Mana base / MDFC</x:v>
      </x:c>
      <x:c r="H4" s="24" t="str">
        <x:v>https://scryfall.com/search?q=%21%22Agadeem%27s%20Awakening%22</x:v>
      </x:c>
    </x:row>
    <x:row r="5">
      <x:c r="A5" s="24" t="n">
        <x:v>1</x:v>
      </x:c>
      <x:c r="B5" s="24" t="str">
        <x:v>Ancient Tomb</x:v>
      </x:c>
      <x:c r="C5" s="24" t="str">
        <x:v>TMP</x:v>
      </x:c>
      <x:c r="D5" s="24" t="str">
        <x:v>315</x:v>
      </x:c>
      <x:c r="E5" s="24" t="str">
        <x:v>Land</x:v>
      </x:c>
      <x:c r="F5" s="36" t="n">
        <x:v>0</x:v>
      </x:c>
      <x:c r="G5" s="24" t="str">
        <x:v>Mana base</x:v>
      </x:c>
      <x:c r="H5" s="24" t="str">
        <x:v>https://scryfall.com/search?q=%21%22Ancient%20Tomb%22</x:v>
      </x:c>
    </x:row>
    <x:row r="6">
      <x:c r="A6" s="24" t="n">
        <x:v>1</x:v>
      </x:c>
      <x:c r="B6" s="24" t="str">
        <x:v>Arcane Signet</x:v>
      </x:c>
      <x:c r="C6" s="24" t="str">
        <x:v>VOC</x:v>
      </x:c>
      <x:c r="D6" s="24" t="str">
        <x:v>159</x:v>
      </x:c>
      <x:c r="E6" s="24" t="str">
        <x:v>Spell</x:v>
      </x:c>
      <x:c r="F6" s="36" t="n">
        <x:v>2</x:v>
      </x:c>
      <x:c r="G6" s="24" t="str">
        <x:v>Ramp</x:v>
      </x:c>
      <x:c r="H6" s="24" t="str">
        <x:v>https://scryfall.com/search?q=%21%22Arcane%20Signet%22</x:v>
      </x:c>
    </x:row>
    <x:row r="7">
      <x:c r="A7" s="24" t="n">
        <x:v>1</x:v>
      </x:c>
      <x:c r="B7" s="24" t="str">
        <x:v>Beseech the Mirror</x:v>
      </x:c>
      <x:c r="C7" s="24" t="str">
        <x:v>WOE</x:v>
      </x:c>
      <x:c r="D7" s="24" t="str">
        <x:v>82</x:v>
      </x:c>
      <x:c r="E7" s="24" t="str">
        <x:v>Spell</x:v>
      </x:c>
      <x:c r="F7" s="36" t="n">
        <x:v>4</x:v>
      </x:c>
      <x:c r="G7" s="24" t="str">
        <x:v>Draw + Tutor</x:v>
      </x:c>
      <x:c r="H7" s="24" t="str">
        <x:v>https://scryfall.com/search?q=%21%22Beseech%20the%20Mirror%22</x:v>
      </x:c>
    </x:row>
    <x:row r="8">
      <x:c r="A8" s="24" t="n">
        <x:v>1</x:v>
      </x:c>
      <x:c r="B8" s="24" t="str">
        <x:v>Black Market Connections</x:v>
      </x:c>
      <x:c r="C8" s="24" t="str">
        <x:v>ACR</x:v>
      </x:c>
      <x:c r="D8" s="24" t="str">
        <x:v>87 *F*</x:v>
      </x:c>
      <x:c r="E8" s="24" t="str">
        <x:v>Spell</x:v>
      </x:c>
      <x:c r="F8" s="36" t="n">
        <x:v>3</x:v>
      </x:c>
      <x:c r="G8" s="24" t="str">
        <x:v>Draw + Tutor</x:v>
      </x:c>
      <x:c r="H8" s="24" t="str">
        <x:v>https://scryfall.com/search?q=%21%22Black%20Market%20Connections%22</x:v>
      </x:c>
    </x:row>
    <x:row r="9">
      <x:c r="A9" s="24" t="n">
        <x:v>1</x:v>
      </x:c>
      <x:c r="B9" s="24" t="str">
        <x:v>Blasphemous Edict</x:v>
      </x:c>
      <x:c r="C9" s="24" t="str">
        <x:v>FDN</x:v>
      </x:c>
      <x:c r="D9" s="24" t="str">
        <x:v>57</x:v>
      </x:c>
      <x:c r="E9" s="24" t="str">
        <x:v>Spell</x:v>
      </x:c>
      <x:c r="F9" s="36" t="n">
        <x:v>8</x:v>
      </x:c>
      <x:c r="G9" s="24" t="str">
        <x:v>Removal</x:v>
      </x:c>
      <x:c r="H9" s="24" t="str">
        <x:v>https://scryfall.com/search?q=%21%22Blasphemous%20Edict%22</x:v>
      </x:c>
    </x:row>
    <x:row r="10">
      <x:c r="A10" s="24" t="n">
        <x:v>1</x:v>
      </x:c>
      <x:c r="B10" s="24" t="str">
        <x:v>Blood Artist</x:v>
      </x:c>
      <x:c r="C10" s="24" t="str">
        <x:v>2X2</x:v>
      </x:c>
      <x:c r="D10" s="24" t="str">
        <x:v>352 *F*</x:v>
      </x:c>
      <x:c r="E10" s="24" t="str">
        <x:v>Spell</x:v>
      </x:c>
      <x:c r="F10" s="36" t="n">
        <x:v>2</x:v>
      </x:c>
      <x:c r="G10" s="24" t="str">
        <x:v>Vampires (c/ sinergia)</x:v>
      </x:c>
      <x:c r="H10" s="24" t="str">
        <x:v>https://scryfall.com/search?q=%21%22Blood%20Artist%22</x:v>
      </x:c>
    </x:row>
    <x:row r="11">
      <x:c r="A11" s="24" t="n">
        <x:v>1</x:v>
      </x:c>
      <x:c r="B11" s="24" t="str">
        <x:v>Blood Tribute</x:v>
      </x:c>
      <x:c r="C11" s="24" t="str">
        <x:v>C17</x:v>
      </x:c>
      <x:c r="D11" s="24" t="str">
        <x:v>100</x:v>
      </x:c>
      <x:c r="E11" s="24" t="str">
        <x:v>Spell</x:v>
      </x:c>
      <x:c r="F11" s="36" t="n">
        <x:v>6</x:v>
      </x:c>
      <x:c r="G11" s="24" t="str">
        <x:v>Life gain/drain</x:v>
      </x:c>
      <x:c r="H11" s="24" t="str">
        <x:v>https://scryfall.com/search?q=%21%22Blood%20Tribute%22</x:v>
      </x:c>
    </x:row>
    <x:row r="12">
      <x:c r="A12" s="24" t="n">
        <x:v>1</x:v>
      </x:c>
      <x:c r="B12" s="24" t="str">
        <x:v>Bloodchief Ascension</x:v>
      </x:c>
      <x:c r="C12" s="24" t="str">
        <x:v>ZEN</x:v>
      </x:c>
      <x:c r="D12" s="24" t="str">
        <x:v>82</x:v>
      </x:c>
      <x:c r="E12" s="24" t="str">
        <x:v>Spell</x:v>
      </x:c>
      <x:c r="F12" s="36" t="n">
        <x:v>1</x:v>
      </x:c>
      <x:c r="G12" s="24" t="str">
        <x:v>Combos</x:v>
      </x:c>
      <x:c r="H12" s="24" t="str">
        <x:v>https://scryfall.com/search?q=%21%22Bloodchief%20Ascension%22</x:v>
      </x:c>
    </x:row>
    <x:row r="13">
      <x:c r="A13" s="24" t="n">
        <x:v>1</x:v>
      </x:c>
      <x:c r="B13" s="24" t="str">
        <x:v>Bloodletter of Aclazotz</x:v>
      </x:c>
      <x:c r="C13" s="24" t="str">
        <x:v>LCI</x:v>
      </x:c>
      <x:c r="D13" s="24" t="str">
        <x:v>92 *F*</x:v>
      </x:c>
      <x:c r="E13" s="24" t="str">
        <x:v>Spell</x:v>
      </x:c>
      <x:c r="F13" s="36" t="n">
        <x:v>4</x:v>
      </x:c>
      <x:c r="G13" s="24" t="str">
        <x:v>Vampires (c/ sinergia)</x:v>
      </x:c>
      <x:c r="H13" s="24" t="str">
        <x:v>https://scryfall.com/search?q=%21%22Bloodletter%20of%20Aclazotz%22</x:v>
      </x:c>
    </x:row>
    <x:row r="14">
      <x:c r="A14" s="24" t="n">
        <x:v>1</x:v>
      </x:c>
      <x:c r="B14" s="24" t="str">
        <x:v>Bloodline Keeper</x:v>
      </x:c>
      <x:c r="C14" s="24" t="str">
        <x:v>V17</x:v>
      </x:c>
      <x:c r="D14" s="24" t="str">
        <x:v>4 *F*</x:v>
      </x:c>
      <x:c r="E14" s="24" t="str">
        <x:v>Spell</x:v>
      </x:c>
      <x:c r="F14" s="36" t="n">
        <x:v>4</x:v>
      </x:c>
      <x:c r="G14" s="24" t="str">
        <x:v>Vampires (c/ sinergia)</x:v>
      </x:c>
      <x:c r="H14" s="24" t="str">
        <x:v>https://scryfall.com/search?q=%21%22Bloodline%20Keeper%22</x:v>
      </x:c>
    </x:row>
    <x:row r="15">
      <x:c r="A15" s="24" t="n">
        <x:v>1</x:v>
      </x:c>
      <x:c r="B15" s="24" t="str">
        <x:v>Bloodthirsty Conqueror</x:v>
      </x:c>
      <x:c r="C15" s="24" t="str">
        <x:v>FDN</x:v>
      </x:c>
      <x:c r="D15" s="24" t="str">
        <x:v>460 *F*</x:v>
      </x:c>
      <x:c r="E15" s="24" t="str">
        <x:v>Spell</x:v>
      </x:c>
      <x:c r="F15" s="36" t="n">
        <x:v>5</x:v>
      </x:c>
      <x:c r="G15" s="24" t="str">
        <x:v>Combos</x:v>
      </x:c>
      <x:c r="H15" s="24" t="str">
        <x:v>https://scryfall.com/search?q=%21%22Bloodthirsty%20Conqueror%22</x:v>
      </x:c>
    </x:row>
    <x:row r="16">
      <x:c r="A16" s="24" t="n">
        <x:v>1</x:v>
      </x:c>
      <x:c r="B16" s="24" t="str">
        <x:v>Bolas's Citadel</x:v>
      </x:c>
      <x:c r="C16" s="24" t="str">
        <x:v>PWAR</x:v>
      </x:c>
      <x:c r="D16" s="24" t="str">
        <x:v>79 *F*</x:v>
      </x:c>
      <x:c r="E16" s="24" t="str">
        <x:v>Spell</x:v>
      </x:c>
      <x:c r="F16" s="36" t="n">
        <x:v>6</x:v>
      </x:c>
      <x:c r="G16" s="24" t="str">
        <x:v>Draw + Tutor</x:v>
      </x:c>
      <x:c r="H16" s="24" t="str">
        <x:v>https://scryfall.com/search?q=%21%22Bolas%27s%20Citadel%22</x:v>
      </x:c>
    </x:row>
    <x:row r="17">
      <x:c r="A17" s="24" t="n">
        <x:v>1</x:v>
      </x:c>
      <x:c r="B17" s="24" t="str">
        <x:v>Bontu's Monument</x:v>
      </x:c>
      <x:c r="C17" s="24" t="str">
        <x:v>DMC</x:v>
      </x:c>
      <x:c r="D17" s="24" t="str">
        <x:v>179</x:v>
      </x:c>
      <x:c r="E17" s="24" t="str">
        <x:v>Spell</x:v>
      </x:c>
      <x:c r="F17" s="36" t="n">
        <x:v>3</x:v>
      </x:c>
      <x:c r="G17" s="24" t="str">
        <x:v>Ramp</x:v>
      </x:c>
      <x:c r="H17" s="24" t="str">
        <x:v>https://scryfall.com/search?q=%21%22Bontu%27s%20Monument%22</x:v>
      </x:c>
    </x:row>
    <x:row r="18">
      <x:c r="A18" s="24" t="n">
        <x:v>1</x:v>
      </x:c>
      <x:c r="B18" s="24" t="str">
        <x:v>Cabal Coffers</x:v>
      </x:c>
      <x:c r="C18" s="24" t="str">
        <x:v>MH2</x:v>
      </x:c>
      <x:c r="D18" s="24" t="str">
        <x:v>301</x:v>
      </x:c>
      <x:c r="E18" s="24" t="str">
        <x:v>Land</x:v>
      </x:c>
      <x:c r="F18" s="36" t="n">
        <x:v>0</x:v>
      </x:c>
      <x:c r="G18" s="24" t="str">
        <x:v>Mana base</x:v>
      </x:c>
      <x:c r="H18" s="24" t="str">
        <x:v>https://scryfall.com/search?q=%21%22Cabal%20Coffers%22</x:v>
      </x:c>
    </x:row>
    <x:row r="19">
      <x:c r="A19" s="24" t="n">
        <x:v>1</x:v>
      </x:c>
      <x:c r="B19" s="24" t="str">
        <x:v>Cabal Stronghold</x:v>
      </x:c>
      <x:c r="C19" s="24" t="str">
        <x:v>DOM</x:v>
      </x:c>
      <x:c r="D19" s="24" t="str">
        <x:v>238</x:v>
      </x:c>
      <x:c r="E19" s="24" t="str">
        <x:v>Land</x:v>
      </x:c>
      <x:c r="F19" s="36" t="n">
        <x:v>0</x:v>
      </x:c>
      <x:c r="G19" s="24" t="str">
        <x:v>Mana base</x:v>
      </x:c>
      <x:c r="H19" s="24" t="str">
        <x:v>https://scryfall.com/search?q=%21%22Cabal%20Stronghold%22</x:v>
      </x:c>
    </x:row>
    <x:row r="20">
      <x:c r="A20" s="24" t="n">
        <x:v>1</x:v>
      </x:c>
      <x:c r="B20" s="24" t="str">
        <x:v>Captivating Vampire</x:v>
      </x:c>
      <x:c r="C20" s="24" t="str">
        <x:v>M11</x:v>
      </x:c>
      <x:c r="D20" s="24" t="str">
        <x:v>87 *F*</x:v>
      </x:c>
      <x:c r="E20" s="24" t="str">
        <x:v>Spell</x:v>
      </x:c>
      <x:c r="F20" s="36" t="n">
        <x:v>3</x:v>
      </x:c>
      <x:c r="G20" s="24" t="str">
        <x:v>Vampires (c/ sinergia)</x:v>
      </x:c>
      <x:c r="H20" s="24" t="str">
        <x:v>https://scryfall.com/search?q=%21%22Captivating%20Vampire%22</x:v>
      </x:c>
    </x:row>
    <x:row r="21">
      <x:c r="A21" s="24" t="n">
        <x:v>1</x:v>
      </x:c>
      <x:c r="B21" s="24" t="str">
        <x:v>Castle Locthwain</x:v>
      </x:c>
      <x:c r="C21" s="24" t="str">
        <x:v>ELD</x:v>
      </x:c>
      <x:c r="D21" s="24" t="str">
        <x:v>241</x:v>
      </x:c>
      <x:c r="E21" s="24" t="str">
        <x:v>Land</x:v>
      </x:c>
      <x:c r="F21" s="36" t="n">
        <x:v>0</x:v>
      </x:c>
      <x:c r="G21" s="24" t="str">
        <x:v>Mana base</x:v>
      </x:c>
      <x:c r="H21" s="24" t="str">
        <x:v>https://scryfall.com/search?q=%21%22Castle%20Locthwain%22</x:v>
      </x:c>
    </x:row>
    <x:row r="22">
      <x:c r="A22" s="24" t="n">
        <x:v>1</x:v>
      </x:c>
      <x:c r="B22" s="24" t="str">
        <x:v>Consuming Corruption</x:v>
      </x:c>
      <x:c r="C22" s="24" t="str">
        <x:v>MH3</x:v>
      </x:c>
      <x:c r="D22" s="24" t="str">
        <x:v>407</x:v>
      </x:c>
      <x:c r="E22" s="24" t="str">
        <x:v>Spell</x:v>
      </x:c>
      <x:c r="F22" s="36" t="n">
        <x:v>2</x:v>
      </x:c>
      <x:c r="G22" s="24" t="str">
        <x:v>Removal</x:v>
      </x:c>
      <x:c r="H22" s="24" t="str">
        <x:v>https://scryfall.com/search?q=%21%22Consuming%20Corruption%22</x:v>
      </x:c>
    </x:row>
    <x:row r="23">
      <x:c r="A23" s="24" t="n">
        <x:v>1</x:v>
      </x:c>
      <x:c r="B23" s="24" t="str">
        <x:v>Creeping Bloodsucker</x:v>
      </x:c>
      <x:c r="C23" s="24" t="str">
        <x:v>J22</x:v>
      </x:c>
      <x:c r="D23" s="24" t="str">
        <x:v>21</x:v>
      </x:c>
      <x:c r="E23" s="24" t="str">
        <x:v>Spell</x:v>
      </x:c>
      <x:c r="F23" s="36" t="n">
        <x:v>2</x:v>
      </x:c>
      <x:c r="G23" s="24" t="str">
        <x:v>Vampires (c/ sinergia)</x:v>
      </x:c>
      <x:c r="H23" s="24" t="str">
        <x:v>https://scryfall.com/search?q=%21%22Creeping%20Bloodsucker%22</x:v>
      </x:c>
    </x:row>
    <x:row r="24">
      <x:c r="A24" s="24" t="n">
        <x:v>1</x:v>
      </x:c>
      <x:c r="B24" s="24" t="str">
        <x:v>Crypt Ghast</x:v>
      </x:c>
      <x:c r="C24" s="24" t="str">
        <x:v>DSC</x:v>
      </x:c>
      <x:c r="D24" s="24" t="str">
        <x:v>368 *F*</x:v>
      </x:c>
      <x:c r="E24" s="24" t="str">
        <x:v>Spell</x:v>
      </x:c>
      <x:c r="F24" s="36" t="n">
        <x:v>4</x:v>
      </x:c>
      <x:c r="G24" s="24" t="str">
        <x:v>Ramp</x:v>
      </x:c>
      <x:c r="H24" s="24" t="str">
        <x:v>https://scryfall.com/search?q=%21%22Crypt%20Ghast%22</x:v>
      </x:c>
    </x:row>
    <x:row r="25">
      <x:c r="A25" s="24" t="n">
        <x:v>1</x:v>
      </x:c>
      <x:c r="B25" s="24" t="str">
        <x:v>Damnation</x:v>
      </x:c>
      <x:c r="C25" s="24" t="str">
        <x:v>TSR</x:v>
      </x:c>
      <x:c r="D25" s="24" t="str">
        <x:v>106</x:v>
      </x:c>
      <x:c r="E25" s="24" t="str">
        <x:v>Spell</x:v>
      </x:c>
      <x:c r="F25" s="36" t="n">
        <x:v>4</x:v>
      </x:c>
      <x:c r="G25" s="24" t="str">
        <x:v>Removal</x:v>
      </x:c>
      <x:c r="H25" s="24" t="str">
        <x:v>https://scryfall.com/search?q=%21%22Damnation%22</x:v>
      </x:c>
    </x:row>
    <x:row r="26">
      <x:c r="A26" s="24" t="n">
        <x:v>1</x:v>
      </x:c>
      <x:c r="B26" s="24" t="str">
        <x:v>Dark Ritual</x:v>
      </x:c>
      <x:c r="C26" s="24" t="str">
        <x:v>A25</x:v>
      </x:c>
      <x:c r="D26" s="24" t="str">
        <x:v>82</x:v>
      </x:c>
      <x:c r="E26" s="24" t="str">
        <x:v>Spell</x:v>
      </x:c>
      <x:c r="F26" s="36" t="n">
        <x:v>1</x:v>
      </x:c>
      <x:c r="G26" s="24" t="str">
        <x:v>Ramp</x:v>
      </x:c>
      <x:c r="H26" s="24" t="str">
        <x:v>https://scryfall.com/search?q=%21%22Dark%20Ritual%22</x:v>
      </x:c>
    </x:row>
    <x:row r="27">
      <x:c r="A27" s="24" t="n">
        <x:v>1</x:v>
      </x:c>
      <x:c r="B27" s="24" t="str">
        <x:v>Deadly Rollick</x:v>
      </x:c>
      <x:c r="C27" s="24" t="str">
        <x:v>C20</x:v>
      </x:c>
      <x:c r="D27" s="24" t="str">
        <x:v>42</x:v>
      </x:c>
      <x:c r="E27" s="24" t="str">
        <x:v>Spell</x:v>
      </x:c>
      <x:c r="F27" s="36" t="n">
        <x:v>4</x:v>
      </x:c>
      <x:c r="G27" s="24" t="str">
        <x:v>Removal</x:v>
      </x:c>
      <x:c r="H27" s="24" t="str">
        <x:v>https://scryfall.com/search?q=%21%22Deadly%20Rollick%22</x:v>
      </x:c>
    </x:row>
    <x:row r="28">
      <x:c r="A28" s="24" t="n">
        <x:v>1</x:v>
      </x:c>
      <x:c r="B28" s="24" t="str">
        <x:v>Morlun, Devourer of Spiders</x:v>
      </x:c>
      <x:c r="C28" s="24" t="str">
        <x:v>SPM</x:v>
      </x:c>
      <x:c r="D28" s="24" t="str">
        <x:v>257</x:v>
      </x:c>
      <x:c r="E28" s="24" t="str">
        <x:v>Spell</x:v>
      </x:c>
      <x:c r="F28" s="36" t="n">
        <x:v>2</x:v>
      </x:c>
      <x:c r="G28" s="24" t="str">
        <x:v>Life gain/drain</x:v>
      </x:c>
      <x:c r="H28" s="24" t="str">
        <x:v>https://scryfall.com/search?q=%21%22Morlun%2C%20Devourer%20of%20Spiders%22</x:v>
      </x:c>
    </x:row>
    <x:row r="29">
      <x:c r="A29" s="24" t="n">
        <x:v>1</x:v>
      </x:c>
      <x:c r="B29" s="24" t="str">
        <x:v>Demonic Tutor</x:v>
      </x:c>
      <x:c r="C29" s="24" t="str">
        <x:v>DVD</x:v>
      </x:c>
      <x:c r="D29" s="24" t="str">
        <x:v>49</x:v>
      </x:c>
      <x:c r="E29" s="24" t="str">
        <x:v>Spell</x:v>
      </x:c>
      <x:c r="F29" s="36" t="n">
        <x:v>2</x:v>
      </x:c>
      <x:c r="G29" s="24" t="str">
        <x:v>Draw + Tutor</x:v>
      </x:c>
      <x:c r="H29" s="24" t="str">
        <x:v>https://scryfall.com/search?q=%21%22Demonic%20Tutor%22</x:v>
      </x:c>
    </x:row>
    <x:row r="30">
      <x:c r="A30" s="24" t="n">
        <x:v>1</x:v>
      </x:c>
      <x:c r="B30" s="24" t="str">
        <x:v>Enduring Tenacity</x:v>
      </x:c>
      <x:c r="C30" s="24" t="str">
        <x:v>DSK</x:v>
      </x:c>
      <x:c r="D30" s="24" t="str">
        <x:v>374</x:v>
      </x:c>
      <x:c r="E30" s="24" t="str">
        <x:v>Spell</x:v>
      </x:c>
      <x:c r="F30" s="36" t="n">
        <x:v>4</x:v>
      </x:c>
      <x:c r="G30" s="24" t="str">
        <x:v>Life gain/drain</x:v>
      </x:c>
      <x:c r="H30" s="24" t="str">
        <x:v>https://scryfall.com/search?q=%21%22Enduring%20Tenacity%22</x:v>
      </x:c>
    </x:row>
    <x:row r="31">
      <x:c r="A31" s="24" t="n">
        <x:v>1</x:v>
      </x:c>
      <x:c r="B31" s="24" t="str">
        <x:v>Exquisite Blood</x:v>
      </x:c>
      <x:c r="C31" s="24" t="str">
        <x:v>LCC</x:v>
      </x:c>
      <x:c r="D31" s="24" t="str">
        <x:v>195</x:v>
      </x:c>
      <x:c r="E31" s="24" t="str">
        <x:v>Spell</x:v>
      </x:c>
      <x:c r="F31" s="36" t="n">
        <x:v>5</x:v>
      </x:c>
      <x:c r="G31" s="24" t="str">
        <x:v>Combos</x:v>
      </x:c>
      <x:c r="H31" s="24" t="str">
        <x:v>https://scryfall.com/search?q=%21%22Exquisite%20Blood%22</x:v>
      </x:c>
    </x:row>
    <x:row r="32">
      <x:c r="A32" s="24" t="n">
        <x:v>1</x:v>
      </x:c>
      <x:c r="B32" s="24" t="str">
        <x:v>Exsanguinate</x:v>
      </x:c>
      <x:c r="C32" s="24" t="str">
        <x:v>SOM</x:v>
      </x:c>
      <x:c r="D32" s="24" t="str">
        <x:v>61</x:v>
      </x:c>
      <x:c r="E32" s="24" t="str">
        <x:v>Spell</x:v>
      </x:c>
      <x:c r="F32" s="36" t="n">
        <x:v>2</x:v>
      </x:c>
      <x:c r="G32" s="24" t="str">
        <x:v>PETCARD</x:v>
      </x:c>
      <x:c r="H32" s="24" t="str">
        <x:v>https://scryfall.com/search?q=%21%22Exsanguinate%22</x:v>
      </x:c>
    </x:row>
    <x:row r="33">
      <x:c r="A33" s="24" t="n">
        <x:v>1</x:v>
      </x:c>
      <x:c r="B33" s="24" t="str">
        <x:v>Extraplanar Lens</x:v>
      </x:c>
      <x:c r="C33" s="24" t="str">
        <x:v>CMM</x:v>
      </x:c>
      <x:c r="D33" s="24" t="str">
        <x:v>656</x:v>
      </x:c>
      <x:c r="E33" s="24" t="str">
        <x:v>Spell</x:v>
      </x:c>
      <x:c r="F33" s="36" t="n">
        <x:v>3</x:v>
      </x:c>
      <x:c r="G33" s="24" t="str">
        <x:v>Ramp</x:v>
      </x:c>
      <x:c r="H33" s="24" t="str">
        <x:v>https://scryfall.com/search?q=%21%22Extraplanar%20Lens%22</x:v>
      </x:c>
    </x:row>
    <x:row r="34">
      <x:c r="A34" s="24" t="n">
        <x:v>1</x:v>
      </x:c>
      <x:c r="B34" s="24" t="str">
        <x:v>Feed the Swarm</x:v>
      </x:c>
      <x:c r="C34" s="24" t="str">
        <x:v>CLB</x:v>
      </x:c>
      <x:c r="D34" s="24" t="str">
        <x:v>752</x:v>
      </x:c>
      <x:c r="E34" s="24" t="str">
        <x:v>Spell</x:v>
      </x:c>
      <x:c r="F34" s="36" t="n">
        <x:v>2</x:v>
      </x:c>
      <x:c r="G34" s="24" t="str">
        <x:v>Removal</x:v>
      </x:c>
      <x:c r="H34" s="24" t="str">
        <x:v>https://scryfall.com/search?q=%21%22Feed%20the%20Swarm%22</x:v>
      </x:c>
    </x:row>
    <x:row r="35">
      <x:c r="A35" s="24" t="n">
        <x:v>1</x:v>
      </x:c>
      <x:c r="B35" s="24" t="str">
        <x:v>Gifted Aetherborn</x:v>
      </x:c>
      <x:c r="C35" s="24" t="str">
        <x:v>AER</x:v>
      </x:c>
      <x:c r="D35" s="24" t="str">
        <x:v>61 *F*</x:v>
      </x:c>
      <x:c r="E35" s="24" t="str">
        <x:v>Spell</x:v>
      </x:c>
      <x:c r="F35" s="36" t="n">
        <x:v>2</x:v>
      </x:c>
      <x:c r="G35" s="24" t="str">
        <x:v>Life gain/drain</x:v>
      </x:c>
      <x:c r="H35" s="24" t="str">
        <x:v>https://scryfall.com/search?q=%21%22Gifted%20Aetherborn%22</x:v>
      </x:c>
    </x:row>
    <x:row r="36">
      <x:c r="A36" s="24" t="n">
        <x:v>1</x:v>
      </x:c>
      <x:c r="B36" s="24" t="str">
        <x:v>Gray Merchant of Asphodel</x:v>
      </x:c>
      <x:c r="C36" s="24" t="str">
        <x:v>TSR</x:v>
      </x:c>
      <x:c r="D36" s="24" t="str">
        <x:v>323</x:v>
      </x:c>
      <x:c r="E36" s="24" t="str">
        <x:v>Spell</x:v>
      </x:c>
      <x:c r="F36" s="36" t="n">
        <x:v>5</x:v>
      </x:c>
      <x:c r="G36" s="24" t="str">
        <x:v>Life gain/drain</x:v>
      </x:c>
      <x:c r="H36" s="24" t="str">
        <x:v>https://scryfall.com/search?q=%21%22Gray%20Merchant%20of%20Asphodel%22</x:v>
      </x:c>
    </x:row>
    <x:row r="37">
      <x:c r="A37" s="24" t="n">
        <x:v>1</x:v>
      </x:c>
      <x:c r="B37" s="24" t="str">
        <x:v>Emeritus of Woe</x:v>
      </x:c>
      <x:c r="C37" s="24" t="str">
        <x:v>SOS</x:v>
      </x:c>
      <x:c r="D37" s="24" t="str">
        <x:v>80</x:v>
      </x:c>
      <x:c r="E37" s="24" t="str">
        <x:v>Spell</x:v>
      </x:c>
      <x:c r="F37" s="36" t="n">
        <x:v>4</x:v>
      </x:c>
      <x:c r="G37" s="24" t="str">
        <x:v>Vampires (c/ sinergia)</x:v>
      </x:c>
      <x:c r="H37" s="24" t="str">
        <x:v>https://scryfall.com/search?q=%21%22Emeritus%20of%20Woe%22</x:v>
      </x:c>
    </x:row>
    <x:row r="38">
      <x:c r="A38" s="24" t="n">
        <x:v>1</x:v>
      </x:c>
      <x:c r="B38" s="24" t="str">
        <x:v>Hagra Mauling</x:v>
      </x:c>
      <x:c r="C38" s="24" t="str">
        <x:v>ZNR</x:v>
      </x:c>
      <x:c r="D38" s="24" t="str">
        <x:v>339</x:v>
      </x:c>
      <x:c r="E38" s="24" t="str">
        <x:v>MDFC</x:v>
      </x:c>
      <x:c r="F38" s="36" t="n">
        <x:v>4</x:v>
      </x:c>
      <x:c r="G38" s="24" t="str">
        <x:v>Mana base / MDFC</x:v>
      </x:c>
      <x:c r="H38" s="24" t="str">
        <x:v>https://scryfall.com/search?q=%21%22Hagra%20Mauling%22</x:v>
      </x:c>
    </x:row>
    <x:row r="39">
      <x:c r="A39" s="24" t="n">
        <x:v>1</x:v>
      </x:c>
      <x:c r="B39" s="24" t="str">
        <x:v>Hatred</x:v>
      </x:c>
      <x:c r="C39" s="24" t="str">
        <x:v>EXO</x:v>
      </x:c>
      <x:c r="D39" s="24" t="str">
        <x:v>64</x:v>
      </x:c>
      <x:c r="E39" s="24" t="str">
        <x:v>Spell</x:v>
      </x:c>
      <x:c r="F39" s="36" t="n">
        <x:v>5</x:v>
      </x:c>
      <x:c r="G39" s="24" t="str">
        <x:v>PETCARD</x:v>
      </x:c>
      <x:c r="H39" s="24" t="str">
        <x:v>https://scryfall.com/search?q=%21%22Hatred%22</x:v>
      </x:c>
    </x:row>
    <x:row r="40">
      <x:c r="A40" s="24" t="n">
        <x:v>1</x:v>
      </x:c>
      <x:c r="B40" s="24" t="str">
        <x:v>Henrika Domnathi</x:v>
      </x:c>
      <x:c r="C40" s="24" t="str">
        <x:v>VOW</x:v>
      </x:c>
      <x:c r="D40" s="24" t="str">
        <x:v>293</x:v>
      </x:c>
      <x:c r="E40" s="24" t="str">
        <x:v>Spell</x:v>
      </x:c>
      <x:c r="F40" s="36" t="n">
        <x:v>3</x:v>
      </x:c>
      <x:c r="G40" s="24" t="str">
        <x:v>Vampires (s/ sinergia)</x:v>
      </x:c>
      <x:c r="H40" s="24" t="str">
        <x:v>https://scryfall.com/search?q=%21%22Henrika%20Domnathi%22</x:v>
      </x:c>
    </x:row>
    <x:row r="41">
      <x:c r="A41" s="24" t="n">
        <x:v>1</x:v>
      </x:c>
      <x:c r="B41" s="24" t="str">
        <x:v>Herald's Horn</x:v>
      </x:c>
      <x:c r="C41" s="24" t="str">
        <x:v>C17</x:v>
      </x:c>
      <x:c r="D41" s="24" t="str">
        <x:v>53</x:v>
      </x:c>
      <x:c r="E41" s="24" t="str">
        <x:v>Spell</x:v>
      </x:c>
      <x:c r="F41" s="36" t="n">
        <x:v>3</x:v>
      </x:c>
      <x:c r="G41" s="24" t="str">
        <x:v>Ramp</x:v>
      </x:c>
      <x:c r="H41" s="24" t="str">
        <x:v>https://scryfall.com/search?q=%21%22Herald%27s%20Horn%22</x:v>
      </x:c>
    </x:row>
    <x:row r="42">
      <x:c r="A42" s="24" t="n">
        <x:v>1</x:v>
      </x:c>
      <x:c r="B42" s="24" t="str">
        <x:v>Imp's Mischief</x:v>
      </x:c>
      <x:c r="C42" s="24" t="str">
        <x:v>OTP</x:v>
      </x:c>
      <x:c r="D42" s="24" t="str">
        <x:v>15 *F*</x:v>
      </x:c>
      <x:c r="E42" s="24" t="str">
        <x:v>Spell</x:v>
      </x:c>
      <x:c r="F42" s="36" t="n">
        <x:v>2</x:v>
      </x:c>
      <x:c r="G42" s="24" t="str">
        <x:v>Removal</x:v>
      </x:c>
      <x:c r="H42" s="24" t="str">
        <x:v>https://scryfall.com/search?q=%21%22Imp%27s%20Mischief%22</x:v>
      </x:c>
    </x:row>
    <x:row r="43">
      <x:c r="A43" s="24" t="n">
        <x:v>1</x:v>
      </x:c>
      <x:c r="B43" s="24" t="str">
        <x:v>Scheming Silvertongue</x:v>
      </x:c>
      <x:c r="C43" s="24" t="str">
        <x:v>SOS</x:v>
      </x:c>
      <x:c r="D43" s="24" t="str">
        <x:v>99</x:v>
      </x:c>
      <x:c r="E43" s="24" t="str">
        <x:v>Spell</x:v>
      </x:c>
      <x:c r="F43" s="36" t="n">
        <x:v>2</x:v>
      </x:c>
      <x:c r="G43" s="24" t="str">
        <x:v>Vampires (c/ sinergia)</x:v>
      </x:c>
      <x:c r="H43" s="24" t="str">
        <x:v>https://scryfall.com/search?q=%21%22Scheming%20Silvertongue%22</x:v>
      </x:c>
    </x:row>
    <x:row r="44">
      <x:c r="A44" s="24" t="n">
        <x:v>1</x:v>
      </x:c>
      <x:c r="B44" s="24" t="str">
        <x:v>Insatiable Avarice</x:v>
      </x:c>
      <x:c r="C44" s="24" t="str">
        <x:v>OTJ</x:v>
      </x:c>
      <x:c r="D44" s="24" t="str">
        <x:v>91</x:v>
      </x:c>
      <x:c r="E44" s="24" t="str">
        <x:v>Spell</x:v>
      </x:c>
      <x:c r="F44" s="36" t="n">
        <x:v>2</x:v>
      </x:c>
      <x:c r="G44" s="24" t="str">
        <x:v>Draw + Tutor</x:v>
      </x:c>
      <x:c r="H44" s="24" t="str">
        <x:v>https://scryfall.com/search?q=%21%22Insatiable%20Avarice%22</x:v>
      </x:c>
    </x:row>
    <x:row r="45">
      <x:c r="A45" s="24" t="n">
        <x:v>1</x:v>
      </x:c>
      <x:c r="B45" s="24" t="str">
        <x:v>Jet Medallion</x:v>
      </x:c>
      <x:c r="C45" s="24" t="str">
        <x:v>MH3</x:v>
      </x:c>
      <x:c r="D45" s="24" t="str">
        <x:v>346</x:v>
      </x:c>
      <x:c r="E45" s="24" t="str">
        <x:v>Spell</x:v>
      </x:c>
      <x:c r="F45" s="36" t="n">
        <x:v>2</x:v>
      </x:c>
      <x:c r="G45" s="24" t="str">
        <x:v>Ramp</x:v>
      </x:c>
      <x:c r="H45" s="24" t="str">
        <x:v>https://scryfall.com/search?q=%21%22Jet%20Medallion%22</x:v>
      </x:c>
    </x:row>
    <x:row r="46">
      <x:c r="A46" s="24" t="n">
        <x:v>1</x:v>
      </x:c>
      <x:c r="B46" s="24" t="str">
        <x:v>K'rrik, Son of Yawgmoth</x:v>
      </x:c>
      <x:c r="C46" s="24" t="str">
        <x:v>MH3</x:v>
      </x:c>
      <x:c r="D46" s="24" t="str">
        <x:v>365 *F*</x:v>
      </x:c>
      <x:c r="E46" s="24" t="str">
        <x:v>Spell</x:v>
      </x:c>
      <x:c r="F46" s="36" t="n">
        <x:v>7</x:v>
      </x:c>
      <x:c r="G46" s="24" t="str">
        <x:v>Ramp</x:v>
      </x:c>
      <x:c r="H46" s="24" t="str">
        <x:v>https://scryfall.com/search?q=%21%22K%27rrik%2C%20Son%20of%20Yawgmoth%22</x:v>
      </x:c>
    </x:row>
    <x:row r="47">
      <x:c r="A47" s="24" t="n">
        <x:v>1</x:v>
      </x:c>
      <x:c r="B47" s="24" t="str">
        <x:v>Kalitas, Traitor of Ghet</x:v>
      </x:c>
      <x:c r="C47" s="24" t="str">
        <x:v>OGW</x:v>
      </x:c>
      <x:c r="D47" s="24" t="str">
        <x:v>86</x:v>
      </x:c>
      <x:c r="E47" s="24" t="str">
        <x:v>Spell</x:v>
      </x:c>
      <x:c r="F47" s="36" t="n">
        <x:v>4</x:v>
      </x:c>
      <x:c r="G47" s="24" t="str">
        <x:v>Vampires (c/ sinergia)</x:v>
      </x:c>
      <x:c r="H47" s="24" t="str">
        <x:v>https://scryfall.com/search?q=%21%22Kalitas%2C%20Traitor%20of%20Ghet%22</x:v>
      </x:c>
    </x:row>
    <x:row r="48">
      <x:c r="A48" s="24" t="n">
        <x:v>1</x:v>
      </x:c>
      <x:c r="B48" s="24" t="str">
        <x:v>Malakir Bloodwitch</x:v>
      </x:c>
      <x:c r="C48" s="24" t="str">
        <x:v>ZEN</x:v>
      </x:c>
      <x:c r="D48" s="24" t="str">
        <x:v>100</x:v>
      </x:c>
      <x:c r="E48" s="24" t="str">
        <x:v>Spell</x:v>
      </x:c>
      <x:c r="F48" s="36" t="n">
        <x:v>5</x:v>
      </x:c>
      <x:c r="G48" s="24" t="str">
        <x:v>Vampires (c/ sinergia)</x:v>
      </x:c>
      <x:c r="H48" s="24" t="str">
        <x:v>https://scryfall.com/search?q=%21%22Malakir%20Bloodwitch%22</x:v>
      </x:c>
    </x:row>
    <x:row r="49">
      <x:c r="A49" s="24" t="n">
        <x:v>1</x:v>
      </x:c>
      <x:c r="B49" s="24" t="str">
        <x:v>Malakir Rebirth</x:v>
      </x:c>
      <x:c r="C49" s="24" t="str">
        <x:v>ZNR</x:v>
      </x:c>
      <x:c r="D49" s="24" t="str">
        <x:v>111</x:v>
      </x:c>
      <x:c r="E49" s="24" t="str">
        <x:v>MDFC</x:v>
      </x:c>
      <x:c r="F49" s="36" t="n">
        <x:v>1</x:v>
      </x:c>
      <x:c r="G49" s="24" t="str">
        <x:v>Mana base / MDFC</x:v>
      </x:c>
      <x:c r="H49" s="24" t="str">
        <x:v>https://scryfall.com/search?q=%21%22Malakir%20Rebirth%22</x:v>
      </x:c>
    </x:row>
    <x:row r="50">
      <x:c r="A50" s="24" t="n">
        <x:v>1</x:v>
      </x:c>
      <x:c r="B50" s="24" t="str">
        <x:v>Marauding Blight-Priest</x:v>
      </x:c>
      <x:c r="C50" s="24" t="str">
        <x:v>ZNR</x:v>
      </x:c>
      <x:c r="D50" s="24" t="str">
        <x:v>112</x:v>
      </x:c>
      <x:c r="E50" s="24" t="str">
        <x:v>Spell</x:v>
      </x:c>
      <x:c r="F50" s="36" t="n">
        <x:v>3</x:v>
      </x:c>
      <x:c r="G50" s="24" t="str">
        <x:v>Vampires (c/ sinergia)</x:v>
      </x:c>
      <x:c r="H50" s="24" t="str">
        <x:v>https://scryfall.com/search?q=%21%22Marauding%20Blight-Priest%22</x:v>
      </x:c>
    </x:row>
    <x:row r="51">
      <x:c r="A51" s="24" t="n">
        <x:v>1</x:v>
      </x:c>
      <x:c r="B51" s="24" t="str">
        <x:v>Markov Baron</x:v>
      </x:c>
      <x:c r="C51" s="24" t="str">
        <x:v>MAT</x:v>
      </x:c>
      <x:c r="D51" s="24" t="str">
        <x:v>64 *F*</x:v>
      </x:c>
      <x:c r="E51" s="24" t="str">
        <x:v>Spell</x:v>
      </x:c>
      <x:c r="F51" s="36" t="n">
        <x:v>3</x:v>
      </x:c>
      <x:c r="G51" s="24" t="str">
        <x:v>Vampires (c/ sinergia)</x:v>
      </x:c>
      <x:c r="H51" s="24" t="str">
        <x:v>https://scryfall.com/search?q=%21%22Markov%20Baron%22</x:v>
      </x:c>
    </x:row>
    <x:row r="52">
      <x:c r="A52" s="24" t="n">
        <x:v>1</x:v>
      </x:c>
      <x:c r="B52" s="24" t="str">
        <x:v>Mikokoro, Center of the Sea</x:v>
      </x:c>
      <x:c r="C52" s="24" t="str">
        <x:v>DMC</x:v>
      </x:c>
      <x:c r="D52" s="24" t="str">
        <x:v>217</x:v>
      </x:c>
      <x:c r="E52" s="24" t="str">
        <x:v>Land</x:v>
      </x:c>
      <x:c r="F52" s="36" t="n">
        <x:v>0</x:v>
      </x:c>
      <x:c r="G52" s="24" t="str">
        <x:v>Mana base</x:v>
      </x:c>
      <x:c r="H52" s="24" t="str">
        <x:v>https://scryfall.com/search?q=%21%22Mikokoro%2C%20Center%20of%20the%20Sea%22</x:v>
      </x:c>
    </x:row>
    <x:row r="53">
      <x:c r="A53" s="24" t="n">
        <x:v>1</x:v>
      </x:c>
      <x:c r="B53" s="24" t="str">
        <x:v>Mindcrank</x:v>
      </x:c>
      <x:c r="C53" s="24" t="str">
        <x:v>CLB</x:v>
      </x:c>
      <x:c r="D53" s="24" t="str">
        <x:v>866</x:v>
      </x:c>
      <x:c r="E53" s="24" t="str">
        <x:v>Spell</x:v>
      </x:c>
      <x:c r="F53" s="36" t="n">
        <x:v>2</x:v>
      </x:c>
      <x:c r="G53" s="24" t="str">
        <x:v>Combos</x:v>
      </x:c>
      <x:c r="H53" s="24" t="str">
        <x:v>https://scryfall.com/search?q=%21%22Mindcrank%22</x:v>
      </x:c>
    </x:row>
    <x:row r="54">
      <x:c r="A54" s="24" t="n">
        <x:v>1</x:v>
      </x:c>
      <x:c r="B54" s="24" t="str">
        <x:v>Necrodominance</x:v>
      </x:c>
      <x:c r="C54" s="24" t="str">
        <x:v>MH3</x:v>
      </x:c>
      <x:c r="D54" s="24" t="str">
        <x:v>102</x:v>
      </x:c>
      <x:c r="E54" s="24" t="str">
        <x:v>Spell</x:v>
      </x:c>
      <x:c r="F54" s="36" t="n">
        <x:v>3</x:v>
      </x:c>
      <x:c r="G54" s="24" t="str">
        <x:v>Draw + Tutor</x:v>
      </x:c>
      <x:c r="H54" s="24" t="str">
        <x:v>https://scryfall.com/search?q=%21%22Necrodominance%22</x:v>
      </x:c>
    </x:row>
    <x:row r="55">
      <x:c r="A55" s="24" t="n">
        <x:v>1</x:v>
      </x:c>
      <x:c r="B55" s="24" t="str">
        <x:v>Necropotence</x:v>
      </x:c>
      <x:c r="C55" s="24" t="str">
        <x:v>SLC</x:v>
      </x:c>
      <x:c r="D55" s="24" t="str">
        <x:v>1995 *F*</x:v>
      </x:c>
      <x:c r="E55" s="24" t="str">
        <x:v>Spell</x:v>
      </x:c>
      <x:c r="F55" s="36" t="n">
        <x:v>3</x:v>
      </x:c>
      <x:c r="G55" s="24" t="str">
        <x:v>Draw + Tutor</x:v>
      </x:c>
      <x:c r="H55" s="24" t="str">
        <x:v>https://scryfall.com/search?q=%21%22Necropotence%22</x:v>
      </x:c>
    </x:row>
    <x:row r="56">
      <x:c r="A56" s="24" t="n">
        <x:v>1</x:v>
      </x:c>
      <x:c r="B56" s="24" t="str">
        <x:v>New Blood</x:v>
      </x:c>
      <x:c r="C56" s="24" t="str">
        <x:v>C17</x:v>
      </x:c>
      <x:c r="D56" s="24" t="str">
        <x:v>19</x:v>
      </x:c>
      <x:c r="E56" s="24" t="str">
        <x:v>Spell</x:v>
      </x:c>
      <x:c r="F56" s="36" t="n">
        <x:v>5</x:v>
      </x:c>
      <x:c r="G56" s="24" t="str">
        <x:v>PETCARD</x:v>
      </x:c>
      <x:c r="H56" s="24" t="str">
        <x:v>https://scryfall.com/search?q=%21%22New%20Blood%22</x:v>
      </x:c>
    </x:row>
    <x:row r="57">
      <x:c r="A57" s="24" t="n">
        <x:v>1</x:v>
      </x:c>
      <x:c r="B57" s="24" t="str">
        <x:v>Sanguine Syphoner</x:v>
      </x:c>
      <x:c r="C57" s="24" t="str">
        <x:v>FDN</x:v>
      </x:c>
      <x:c r="D57" s="24" t="str">
        <x:v>68</x:v>
      </x:c>
      <x:c r="E57" s="24" t="str">
        <x:v>Spell</x:v>
      </x:c>
      <x:c r="F57" s="36" t="n">
        <x:v>2</x:v>
      </x:c>
      <x:c r="G57" s="24" t="str">
        <x:v>Life gain/drain</x:v>
      </x:c>
      <x:c r="H57" s="24" t="str">
        <x:v>https://scryfall.com/search?q=%21%22Sanguine%20Syphoner%22</x:v>
      </x:c>
    </x:row>
    <x:row r="58">
      <x:c r="A58" s="24" t="n">
        <x:v>1</x:v>
      </x:c>
      <x:c r="B58" s="24" t="str">
        <x:v>Nullpriest of Oblivion</x:v>
      </x:c>
      <x:c r="C58" s="24" t="str">
        <x:v>ZNR</x:v>
      </x:c>
      <x:c r="D58" s="24" t="str">
        <x:v>118</x:v>
      </x:c>
      <x:c r="E58" s="24" t="str">
        <x:v>Spell</x:v>
      </x:c>
      <x:c r="F58" s="36" t="n">
        <x:v>2</x:v>
      </x:c>
      <x:c r="G58" s="24" t="str">
        <x:v>Vampires (s/ sinergia)</x:v>
      </x:c>
      <x:c r="H58" s="24" t="str">
        <x:v>https://scryfall.com/search?q=%21%22Nullpriest%20of%20Oblivion%22</x:v>
      </x:c>
    </x:row>
    <x:row r="59">
      <x:c r="A59" s="24" t="n">
        <x:v>1</x:v>
      </x:c>
      <x:c r="B59" s="24" t="str">
        <x:v>Nykthos, Shrine to Nyx</x:v>
      </x:c>
      <x:c r="C59" s="24" t="str">
        <x:v>THS</x:v>
      </x:c>
      <x:c r="D59" s="24" t="str">
        <x:v>223</x:v>
      </x:c>
      <x:c r="E59" s="24" t="str">
        <x:v>Land</x:v>
      </x:c>
      <x:c r="F59" s="36" t="n">
        <x:v>0</x:v>
      </x:c>
      <x:c r="G59" s="24" t="str">
        <x:v>Mana base</x:v>
      </x:c>
      <x:c r="H59" s="24" t="str">
        <x:v>https://scryfall.com/search?q=%21%22Nykthos%2C%20Shrine%20to%20Nyx%22</x:v>
      </x:c>
    </x:row>
    <x:row r="60">
      <x:c r="A60" s="24" t="n">
        <x:v>1</x:v>
      </x:c>
      <x:c r="B60" s="24" t="str">
        <x:v>Path of Ancestry</x:v>
      </x:c>
      <x:c r="C60" s="24" t="str">
        <x:v>CMM</x:v>
      </x:c>
      <x:c r="D60" s="24" t="str">
        <x:v>661</x:v>
      </x:c>
      <x:c r="E60" s="24" t="str">
        <x:v>Land</x:v>
      </x:c>
      <x:c r="F60" s="36" t="n">
        <x:v>0</x:v>
      </x:c>
      <x:c r="G60" s="24" t="str">
        <x:v>Mana base</x:v>
      </x:c>
      <x:c r="H60" s="24" t="str">
        <x:v>https://scryfall.com/search?q=%21%22Path%20of%20Ancestry%22</x:v>
      </x:c>
    </x:row>
    <x:row r="61">
      <x:c r="A61" s="24" t="n">
        <x:v>1</x:v>
      </x:c>
      <x:c r="B61" s="24" t="str">
        <x:v>Preacher of the Schism</x:v>
      </x:c>
      <x:c r="C61" s="24" t="str">
        <x:v>LCI</x:v>
      </x:c>
      <x:c r="D61" s="24" t="str">
        <x:v>113 *F*</x:v>
      </x:c>
      <x:c r="E61" s="24" t="str">
        <x:v>Spell</x:v>
      </x:c>
      <x:c r="F61" s="36" t="n">
        <x:v>3</x:v>
      </x:c>
      <x:c r="G61" s="24" t="str">
        <x:v>Vampires (c/ sinergia)</x:v>
      </x:c>
      <x:c r="H61" s="24" t="str">
        <x:v>https://scryfall.com/search?q=%21%22Preacher%20of%20the%20Schism%22</x:v>
      </x:c>
    </x:row>
    <x:row r="62">
      <x:c r="A62" s="24" t="n">
        <x:v>1</x:v>
      </x:c>
      <x:c r="B62" s="24" t="str">
        <x:v>Qarsi Revenant</x:v>
      </x:c>
      <x:c r="C62" s="24" t="str">
        <x:v>TDM</x:v>
      </x:c>
      <x:c r="D62" s="24" t="str">
        <x:v>426 *F*</x:v>
      </x:c>
      <x:c r="E62" s="24" t="str">
        <x:v>Spell</x:v>
      </x:c>
      <x:c r="F62" s="36" t="n">
        <x:v>3</x:v>
      </x:c>
      <x:c r="G62" s="24" t="str">
        <x:v>Vampires (s/ sinergia)</x:v>
      </x:c>
      <x:c r="H62" s="24" t="str">
        <x:v>https://scryfall.com/search?q=%21%22Qarsi%20Revenant%22</x:v>
      </x:c>
    </x:row>
    <x:row r="63">
      <x:c r="A63" s="24" t="n">
        <x:v>1</x:v>
      </x:c>
      <x:c r="B63" s="24" t="str">
        <x:v>Sanguine Spy</x:v>
      </x:c>
      <x:c r="C63" s="24" t="str">
        <x:v>SNC</x:v>
      </x:c>
      <x:c r="D63" s="24" t="str">
        <x:v>93</x:v>
      </x:c>
      <x:c r="E63" s="24" t="str">
        <x:v>Spell</x:v>
      </x:c>
      <x:c r="F63" s="36" t="n">
        <x:v>3</x:v>
      </x:c>
      <x:c r="G63" s="24" t="str">
        <x:v>Vampires (c/ sinergia)</x:v>
      </x:c>
      <x:c r="H63" s="24" t="str">
        <x:v>https://scryfall.com/search?q=%21%22Sanguine%20Spy%22</x:v>
      </x:c>
    </x:row>
    <x:row r="64">
      <x:c r="A64" s="24" t="n">
        <x:v>1</x:v>
      </x:c>
      <x:c r="B64" s="24" t="str">
        <x:v>Sensei's Divining Top</x:v>
      </x:c>
      <x:c r="C64" s="24" t="str">
        <x:v>CHK</x:v>
      </x:c>
      <x:c r="D64" s="24" t="str">
        <x:v>268</x:v>
      </x:c>
      <x:c r="E64" s="24" t="str">
        <x:v>Spell</x:v>
      </x:c>
      <x:c r="F64" s="36" t="n">
        <x:v>1</x:v>
      </x:c>
      <x:c r="G64" s="24" t="str">
        <x:v>Draw + Tutor</x:v>
      </x:c>
      <x:c r="H64" s="24" t="str">
        <x:v>https://scryfall.com/search?q=%21%22Sensei%27s%20Divining%20Top%22</x:v>
      </x:c>
    </x:row>
    <x:row r="65">
      <x:c r="A65" s="24" t="n">
        <x:v>1</x:v>
      </x:c>
      <x:c r="B65" s="24" t="str">
        <x:v>Shadowspear</x:v>
      </x:c>
      <x:c r="C65" s="24" t="str">
        <x:v>THB</x:v>
      </x:c>
      <x:c r="D65" s="24" t="str">
        <x:v>236</x:v>
      </x:c>
      <x:c r="E65" s="24" t="str">
        <x:v>Spell</x:v>
      </x:c>
      <x:c r="F65" s="36" t="n">
        <x:v>1</x:v>
      </x:c>
      <x:c r="G65" s="24" t="str">
        <x:v>Vampires (s/ sinergia)</x:v>
      </x:c>
      <x:c r="H65" s="24" t="str">
        <x:v>https://scryfall.com/search?q=%21%22Shadowspear%22</x:v>
      </x:c>
    </x:row>
    <x:row r="66">
      <x:c r="A66" s="24" t="n">
        <x:v>1</x:v>
      </x:c>
      <x:c r="B66" s="24" t="str">
        <x:v>Shizo, Death's Storehouse</x:v>
      </x:c>
      <x:c r="C66" s="24" t="str">
        <x:v>CHK</x:v>
      </x:c>
      <x:c r="D66" s="24" t="str">
        <x:v>283 *F*</x:v>
      </x:c>
      <x:c r="E66" s="24" t="str">
        <x:v>Land</x:v>
      </x:c>
      <x:c r="F66" s="36" t="n">
        <x:v>0</x:v>
      </x:c>
      <x:c r="G66" s="24" t="str">
        <x:v>Mana base</x:v>
      </x:c>
      <x:c r="H66" s="24" t="str">
        <x:v>https://scryfall.com/search?q=%21%22Shizo%2C%20Death%27s%20Storehouse%22</x:v>
      </x:c>
    </x:row>
    <x:row r="67">
      <x:c r="A67" s="24" t="n">
        <x:v>1</x:v>
      </x:c>
      <x:c r="B67" s="24" t="str">
        <x:v>Slaughter Pact</x:v>
      </x:c>
      <x:c r="C67" s="24" t="str">
        <x:v>TSR</x:v>
      </x:c>
      <x:c r="D67" s="24" t="str">
        <x:v>138</x:v>
      </x:c>
      <x:c r="E67" s="24" t="str">
        <x:v>Spell</x:v>
      </x:c>
      <x:c r="F67" s="36" t="n">
        <x:v>0</x:v>
      </x:c>
      <x:c r="G67" s="24" t="str">
        <x:v>Removal</x:v>
      </x:c>
      <x:c r="H67" s="24" t="str">
        <x:v>https://scryfall.com/search?q=%21%22Slaughter%20Pact%22</x:v>
      </x:c>
    </x:row>
    <x:row r="68">
      <x:c r="A68" s="24" t="n">
        <x:v>20</x:v>
      </x:c>
      <x:c r="B68" s="24" t="str">
        <x:v>Snow-Covered Swamp</x:v>
      </x:c>
      <x:c r="C68" s="24" t="str">
        <x:v>MH1</x:v>
      </x:c>
      <x:c r="D68" s="24" t="str">
        <x:v>252</x:v>
      </x:c>
      <x:c r="E68" s="24" t="str">
        <x:v>Land</x:v>
      </x:c>
      <x:c r="F68" s="36" t="n">
        <x:v>0</x:v>
      </x:c>
      <x:c r="G68" s="24" t="str">
        <x:v>Mana base</x:v>
      </x:c>
      <x:c r="H68" s="24" t="str">
        <x:v>https://scryfall.com/search?q=%21%22Snow-Covered%20Swamp%22</x:v>
      </x:c>
    </x:row>
    <x:row r="69">
      <x:c r="A69" s="24" t="n">
        <x:v>1</x:v>
      </x:c>
      <x:c r="B69" s="24" t="str">
        <x:v>Sol Ring</x:v>
      </x:c>
      <x:c r="C69" s="24" t="str">
        <x:v>CC2</x:v>
      </x:c>
      <x:c r="D69" s="24" t="str">
        <x:v>7</x:v>
      </x:c>
      <x:c r="E69" s="24" t="str">
        <x:v>Spell</x:v>
      </x:c>
      <x:c r="F69" s="36" t="n">
        <x:v>1</x:v>
      </x:c>
      <x:c r="G69" s="24" t="str">
        <x:v>Ramp</x:v>
      </x:c>
      <x:c r="H69" s="24" t="str">
        <x:v>https://scryfall.com/search?q=%21%22Sol%20Ring%22</x:v>
      </x:c>
    </x:row>
    <x:row r="70">
      <x:c r="A70" s="24" t="n">
        <x:v>1</x:v>
      </x:c>
      <x:c r="B70" s="24" t="str">
        <x:v>Sorin Markov</x:v>
      </x:c>
      <x:c r="C70" s="24" t="str">
        <x:v>M12</x:v>
      </x:c>
      <x:c r="D70" s="24" t="str">
        <x:v>109</x:v>
      </x:c>
      <x:c r="E70" s="24" t="str">
        <x:v>Spell</x:v>
      </x:c>
      <x:c r="F70" s="36" t="n">
        <x:v>6</x:v>
      </x:c>
      <x:c r="G70" s="24" t="str">
        <x:v>Life gain/drain</x:v>
      </x:c>
      <x:c r="H70" s="24" t="str">
        <x:v>https://scryfall.com/search?q=%21%22Sorin%20Markov%22</x:v>
      </x:c>
    </x:row>
    <x:row r="71">
      <x:c r="A71" s="24" t="n">
        <x:v>1</x:v>
      </x:c>
      <x:c r="B71" s="24" t="str">
        <x:v>Sorin, Imperious Bloodlord</x:v>
      </x:c>
      <x:c r="C71" s="24" t="str">
        <x:v>SLD</x:v>
      </x:c>
      <x:c r="D71" s="24" t="str">
        <x:v>1244 *F*</x:v>
      </x:c>
      <x:c r="E71" s="24" t="str">
        <x:v>Spell</x:v>
      </x:c>
      <x:c r="F71" s="36" t="n">
        <x:v>3</x:v>
      </x:c>
      <x:c r="G71" s="24" t="str">
        <x:v>Vampires (c/ sinergia)</x:v>
      </x:c>
      <x:c r="H71" s="24" t="str">
        <x:v>https://scryfall.com/search?q=%21%22Sorin%2C%20Imperious%20Bloodlord%22</x:v>
      </x:c>
    </x:row>
    <x:row r="72">
      <x:c r="A72" s="24" t="n">
        <x:v>1</x:v>
      </x:c>
      <x:c r="B72" s="24" t="str">
        <x:v>The Meathook Massacre</x:v>
      </x:c>
      <x:c r="C72" s="24" t="str">
        <x:v>MID</x:v>
      </x:c>
      <x:c r="D72" s="24" t="str">
        <x:v>348</x:v>
      </x:c>
      <x:c r="E72" s="24" t="str">
        <x:v>Spell</x:v>
      </x:c>
      <x:c r="F72" s="36" t="n">
        <x:v>2</x:v>
      </x:c>
      <x:c r="G72" s="24" t="str">
        <x:v>Life gain/drain</x:v>
      </x:c>
      <x:c r="H72" s="24" t="str">
        <x:v>https://scryfall.com/search?q=%21%22The%20Meathook%20Massacre%22</x:v>
      </x:c>
    </x:row>
    <x:row r="73">
      <x:c r="A73" s="24" t="n">
        <x:v>1</x:v>
      </x:c>
      <x:c r="B73" s="24" t="str">
        <x:v>Throne of Eldraine</x:v>
      </x:c>
      <x:c r="C73" s="24" t="str">
        <x:v>WOC</x:v>
      </x:c>
      <x:c r="D73" s="24" t="str">
        <x:v>40</x:v>
      </x:c>
      <x:c r="E73" s="24" t="str">
        <x:v>Spell</x:v>
      </x:c>
      <x:c r="F73" s="36" t="n">
        <x:v>5</x:v>
      </x:c>
      <x:c r="G73" s="24" t="str">
        <x:v>Ramp</x:v>
      </x:c>
      <x:c r="H73" s="24" t="str">
        <x:v>https://scryfall.com/search?q=%21%22Throne%20of%20Eldraine%22</x:v>
      </x:c>
    </x:row>
    <x:row r="74">
      <x:c r="A74" s="24" t="n">
        <x:v>1</x:v>
      </x:c>
      <x:c r="B74" s="24" t="str">
        <x:v>Torment of Hailfire</x:v>
      </x:c>
      <x:c r="C74" s="24" t="str">
        <x:v>HOU</x:v>
      </x:c>
      <x:c r="D74" s="24" t="str">
        <x:v>77</x:v>
      </x:c>
      <x:c r="E74" s="24" t="str">
        <x:v>Spell</x:v>
      </x:c>
      <x:c r="F74" s="36" t="n">
        <x:v>2</x:v>
      </x:c>
      <x:c r="G74" s="24" t="str">
        <x:v>Life gain/drain</x:v>
      </x:c>
      <x:c r="H74" s="24" t="str">
        <x:v>https://scryfall.com/search?q=%21%22Torment%20of%20Hailfire%22</x:v>
      </x:c>
    </x:row>
    <x:row r="75">
      <x:c r="A75" s="24" t="n">
        <x:v>1</x:v>
      </x:c>
      <x:c r="B75" s="24" t="str">
        <x:v>Toxic Deluge</x:v>
      </x:c>
      <x:c r="C75" s="24" t="str">
        <x:v>CC2</x:v>
      </x:c>
      <x:c r="D75" s="24" t="str">
        <x:v>6</x:v>
      </x:c>
      <x:c r="E75" s="24" t="str">
        <x:v>Spell</x:v>
      </x:c>
      <x:c r="F75" s="36" t="n">
        <x:v>3</x:v>
      </x:c>
      <x:c r="G75" s="24" t="str">
        <x:v>Removal</x:v>
      </x:c>
      <x:c r="H75" s="24" t="str">
        <x:v>https://scryfall.com/search?q=%21%22Toxic%20Deluge%22</x:v>
      </x:c>
    </x:row>
    <x:row r="76">
      <x:c r="A76" s="24" t="n">
        <x:v>1</x:v>
      </x:c>
      <x:c r="B76" s="24" t="str">
        <x:v>Twilight Prophet</x:v>
      </x:c>
      <x:c r="C76" s="24" t="str">
        <x:v>RIX</x:v>
      </x:c>
      <x:c r="D76" s="24" t="str">
        <x:v>88</x:v>
      </x:c>
      <x:c r="E76" s="24" t="str">
        <x:v>Spell</x:v>
      </x:c>
      <x:c r="F76" s="36" t="n">
        <x:v>4</x:v>
      </x:c>
      <x:c r="G76" s="24" t="str">
        <x:v>Vampires (c/ sinergia)</x:v>
      </x:c>
      <x:c r="H76" s="24" t="str">
        <x:v>https://scryfall.com/search?q=%21%22Twilight%20Prophet%22</x:v>
      </x:c>
    </x:row>
    <x:row r="77">
      <x:c r="A77" s="24" t="n">
        <x:v>1</x:v>
      </x:c>
      <x:c r="B77" s="24" t="str">
        <x:v>Urborg, Tomb of Yawgmoth</x:v>
      </x:c>
      <x:c r="C77" s="24" t="str">
        <x:v>UMA</x:v>
      </x:c>
      <x:c r="D77" s="24" t="str">
        <x:v>254</x:v>
      </x:c>
      <x:c r="E77" s="24" t="str">
        <x:v>Land</x:v>
      </x:c>
      <x:c r="F77" s="36" t="n">
        <x:v>0</x:v>
      </x:c>
      <x:c r="G77" s="24" t="str">
        <x:v>Mana base</x:v>
      </x:c>
      <x:c r="H77" s="24" t="str">
        <x:v>https://scryfall.com/search?q=%21%22Urborg%2C%20Tomb%20of%20Yawgmoth%22</x:v>
      </x:c>
    </x:row>
    <x:row r="78">
      <x:c r="A78" s="24" t="n">
        <x:v>1</x:v>
      </x:c>
      <x:c r="B78" s="24" t="str">
        <x:v>Vampire of the Dire Moon</x:v>
      </x:c>
      <x:c r="C78" s="24" t="str">
        <x:v>M20</x:v>
      </x:c>
      <x:c r="D78" s="24" t="str">
        <x:v>120</x:v>
      </x:c>
      <x:c r="E78" s="24" t="str">
        <x:v>Spell</x:v>
      </x:c>
      <x:c r="F78" s="36" t="n">
        <x:v>1</x:v>
      </x:c>
      <x:c r="G78" s="24" t="str">
        <x:v>Vampires (s/ sinergia)</x:v>
      </x:c>
      <x:c r="H78" s="24" t="str">
        <x:v>https://scryfall.com/search?q=%21%22Vampire%20of%20the%20Dire%20Moon%22</x:v>
      </x:c>
    </x:row>
    <x:row r="79">
      <x:c r="A79" s="24" t="n">
        <x:v>1</x:v>
      </x:c>
      <x:c r="B79" s="24" t="str">
        <x:v>Vampiric Tutor</x:v>
      </x:c>
      <x:c r="C79" s="24" t="str">
        <x:v>CMR</x:v>
      </x:c>
      <x:c r="D79" s="24" t="str">
        <x:v>156</x:v>
      </x:c>
      <x:c r="E79" s="24" t="str">
        <x:v>Spell</x:v>
      </x:c>
      <x:c r="F79" s="36" t="n">
        <x:v>1</x:v>
      </x:c>
      <x:c r="G79" s="24" t="str">
        <x:v>Draw + Tutor</x:v>
      </x:c>
      <x:c r="H79" s="24" t="str">
        <x:v>https://scryfall.com/search?q=%21%22Vampiric%20Tutor%22</x:v>
      </x:c>
    </x:row>
    <x:row r="80">
      <x:c r="A80" s="24" t="n">
        <x:v>1</x:v>
      </x:c>
      <x:c r="B80" s="24" t="str">
        <x:v>Vein Ripper</x:v>
      </x:c>
      <x:c r="C80" s="24" t="str">
        <x:v>MKM</x:v>
      </x:c>
      <x:c r="D80" s="24" t="str">
        <x:v>346 *F*</x:v>
      </x:c>
      <x:c r="E80" s="24" t="str">
        <x:v>Spell</x:v>
      </x:c>
      <x:c r="F80" s="36" t="n">
        <x:v>6</x:v>
      </x:c>
      <x:c r="G80" s="24" t="str">
        <x:v>Vampires (c/ sinergia)</x:v>
      </x:c>
      <x:c r="H80" s="24" t="str">
        <x:v>https://scryfall.com/search?q=%21%22Vein%20Ripper%22</x:v>
      </x:c>
    </x:row>
    <x:row r="81">
      <x:c r="A81" s="24" t="n">
        <x:v>1</x:v>
      </x:c>
      <x:c r="B81" s="24" t="str">
        <x:v>War Room</x:v>
      </x:c>
      <x:c r="C81" s="24" t="str">
        <x:v>CMR</x:v>
      </x:c>
      <x:c r="D81" s="24" t="str">
        <x:v>361 *F*</x:v>
      </x:c>
      <x:c r="E81" s="24" t="str">
        <x:v>Land</x:v>
      </x:c>
      <x:c r="F81" s="36" t="n">
        <x:v>0</x:v>
      </x:c>
      <x:c r="G81" s="24" t="str">
        <x:v>Mana base</x:v>
      </x:c>
      <x:c r="H81" s="24" t="str">
        <x:v>https://scryfall.com/search?q=%21%22War%20Room%22</x:v>
      </x:c>
    </x:row>
    <x:row r="82">
      <x:c r="A82" s="24" t="n">
        <x:v>1</x:v>
      </x:c>
      <x:c r="B82" s="24" t="str">
        <x:v>Witch's Cottage</x:v>
      </x:c>
      <x:c r="C82" s="24" t="str">
        <x:v>ELD</x:v>
      </x:c>
      <x:c r="D82" s="24" t="str">
        <x:v>249</x:v>
      </x:c>
      <x:c r="E82" s="24" t="str">
        <x:v>Land</x:v>
      </x:c>
      <x:c r="F82" s="36" t="n">
        <x:v>0</x:v>
      </x:c>
      <x:c r="G82" s="24" t="str">
        <x:v>Mana base</x:v>
      </x:c>
      <x:c r="H82" s="24" t="str">
        <x:v>https://scryfall.com/search?q=%21%22Witch%27s%20Cottage%22</x:v>
      </x:c>
    </x:row>
    <x:row r="83">
      <x:c r="A83" s="33" t="n">
        <x:v>1</x:v>
      </x:c>
      <x:c r="B83" s="33" t="str">
        <x:v>Withering Torment</x:v>
      </x:c>
      <x:c r="C83" s="33" t="str">
        <x:v>DSK</x:v>
      </x:c>
      <x:c r="D83" s="33" t="str">
        <x:v>124</x:v>
      </x:c>
      <x:c r="E83" s="33" t="str">
        <x:v>Spell</x:v>
      </x:c>
      <x:c r="F83" s="63" t="n">
        <x:v>3</x:v>
      </x:c>
      <x:c r="G83" s="33" t="str">
        <x:v>Removal</x:v>
      </x:c>
      <x:c r="H83" s="33" t="str">
        <x:v>https://scryfall.com/search?q=%21%22Withering%20Torment%22</x:v>
      </x:c>
    </x:row>
  </x:sheetData>
  <x:mergeCells>
    <x:mergeCell ref="A1:H1"/>
  </x:mergeCells>
  <x:pageMargins left="0.7" right="0.7" top="0.75" bottom="0.75" header="0.3" footer="0.3"/>
  <x:tableParts count="1">
    <x:tablePart xmlns:r="http://schemas.openxmlformats.org/officeDocument/2006/relationships" r:id="R33daf2dcd2b345b7"/>
  </x:tableParts>
</x:worksheet>
</file>

<file path=xl/worksheets/sheet10.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4" hidden="0" customWidth="1"/>
    <x:col min="2" max="2" width="55" hidden="0" customWidth="1"/>
    <x:col min="3" max="3" width="59" hidden="0" customWidth="1"/>
    <x:col min="4" max="4" width="17" hidden="0" customWidth="1"/>
  </x:cols>
  <x:sheetData>
    <x:row r="1" ht="30" customHeight="1">
      <x:c r="A1" s="5" t="str">
        <x:v>SOURCES — CARDS, STRATEGY, RULES</x:v>
      </x:c>
      <x:c r="B1" s="5"/>
      <x:c r="C1" s="5"/>
      <x:c r="D1" s="5"/>
    </x:row>
    <x:row r="2" ht="30" customHeight="1">
      <x:c r="A2" s="14" t="str">
        <x:v>Source</x:v>
      </x:c>
      <x:c r="B2" s="14" t="str">
        <x:v>URL</x:v>
      </x:c>
      <x:c r="C2" s="14" t="str">
        <x:v>Use in this project</x:v>
      </x:c>
      <x:c r="D2" s="14" t="str">
        <x:v>Verification date</x:v>
      </x:c>
    </x:row>
    <x:row r="3" ht="46" customHeight="1">
      <x:c r="A3" s="24" t="str">
        <x:v>Scryfall — Vito, Thorn of the Dusk Rose</x:v>
      </x:c>
      <x:c r="B3" s="24" t="str">
        <x:v>https://scryfall.com/card/m21/127/vito-thorn-of-the-dusk-rose</x:v>
      </x:c>
      <x:c r="C3" s="24" t="str">
        <x:v>Oracle text / mana value / mono-black identity for commander; user-provided primary source.</x:v>
      </x:c>
      <x:c r="D3" s="24" t="str">
        <x:v>2026-10-09</x:v>
      </x:c>
    </x:row>
    <x:row r="4" ht="46" customHeight="1">
      <x:c r="A4" s="24" t="str">
        <x:v>EDH.Wiki — Vito Lifegain</x:v>
      </x:c>
      <x:c r="B4" s="24" t="str">
        <x:v>https://edh.wiki/commanders/vito-thorn-of-the-dusk-rose/lifegain/</x:v>
      </x:c>
      <x:c r="C4" s="24" t="str">
        <x:v>Community deckbuilding patterns, strategy and recent-card candidates; not rules authority.</x:v>
      </x:c>
      <x:c r="D4" s="24" t="str">
        <x:v>2026-10-09</x:v>
      </x:c>
    </x:row>
    <x:row r="5" ht="46" customHeight="1">
      <x:c r="A5" s="24" t="str">
        <x:v>EDHREC — Vito commander</x:v>
      </x:c>
      <x:c r="B5" s="24" t="str">
        <x:v>https://edhrec.com/commanders/vito-thorn-of-the-dusk-rose</x:v>
      </x:c>
      <x:c r="C5" s="24" t="str">
        <x:v>Usage and deckbuilding context; popularity is a reference, not an automatic inclusion rule.</x:v>
      </x:c>
      <x:c r="D5" s="24" t="str">
        <x:v>2026-10-09</x:v>
      </x:c>
    </x:row>
    <x:row r="6" ht="46" customHeight="1">
      <x:c r="A6" s="24" t="str">
        <x:v>Wizards — Foundations Release Notes</x:v>
      </x:c>
      <x:c r="B6" s="24" t="str">
        <x:v>https://magic.wizards.com/en/news/feature/foundations-release-notes</x:v>
      </x:c>
      <x:c r="C6" s="24" t="str">
        <x:v>Official rules text/rulings for Bloodthirsty Conqueror / Foundations cards.</x:v>
      </x:c>
      <x:c r="D6" s="24" t="str">
        <x:v>2026-10-09</x:v>
      </x:c>
    </x:row>
    <x:row r="7" ht="46" customHeight="1">
      <x:c r="A7" s="24" t="str">
        <x:v>Wizards — Modern Horizons 3 Release Notes</x:v>
      </x:c>
      <x:c r="B7" s="24" t="str">
        <x:v>https://magic.wizards.com/en/news/feature/modern-horizons-3-release-notes</x:v>
      </x:c>
      <x:c r="C7" s="24" t="str">
        <x:v>Necrodominance text and its graveyard replacement interaction.</x:v>
      </x:c>
      <x:c r="D7" s="24" t="str">
        <x:v>2026-10-09</x:v>
      </x:c>
    </x:row>
    <x:row r="8" ht="46" customHeight="1">
      <x:c r="A8" s="24" t="str">
        <x:v>EDHREC Combo — Bloodchief Ascension + Mindcrank</x:v>
      </x:c>
      <x:c r="B8" s="24" t="str">
        <x:v>https://edhrec.com/combos/mono-black/936-1290</x:v>
      </x:c>
      <x:c r="C8" s="24" t="str">
        <x:v>Community combo reference for the three-counter Mindcrank loop.</x:v>
      </x:c>
      <x:c r="D8" s="24" t="str">
        <x:v>2026-10-09</x:v>
      </x:c>
    </x:row>
    <x:row r="9" ht="46" customHeight="1">
      <x:c r="A9" s="24" t="str">
        <x:v>Morlun, Devourer of Spiders — Oracle</x:v>
      </x:c>
      <x:c r="B9" s="24" t="str">
        <x:v>https://mtg.wtf/card/spm/257/Morlun-Devourer-of-Spiders</x:v>
      </x:c>
      <x:c r="C9" s="24" t="str">
        <x:v>Mana cost, lifelink, X counters and ETB damage; supports the Vito lifelink-trigger analysis.</x:v>
      </x:c>
      <x:c r="D9" s="24" t="str">
        <x:v>2026-10-09</x:v>
      </x:c>
    </x:row>
    <x:row r="10" ht="46" customHeight="1">
      <x:c r="A10" s="24" t="str">
        <x:v>Emeritus of Woe — Oracle</x:v>
      </x:c>
      <x:c r="B10" s="24" t="str">
        <x:v>https://mtg.wtf/card/sos/80a/Emeritus-of-Woe</x:v>
      </x:c>
      <x:c r="C10" s="24" t="str">
        <x:v>Prepared Demonic Tutor copy and end-step re-preparation condition.</x:v>
      </x:c>
      <x:c r="D10" s="24" t="str">
        <x:v>2026-10-09</x:v>
      </x:c>
    </x:row>
    <x:row r="11" ht="46" customHeight="1">
      <x:c r="A11" s="24" t="str">
        <x:v>Wizards — Secrets of Strixhaven Release Notes</x:v>
      </x:c>
      <x:c r="B11" s="24" t="str">
        <x:v>https://media.wizards.com/2026/downloads/SOS_Release_Notes_FwhcBWdFIE/EN_MTGSOS_ReleaseNotes_20260410.pdf</x:v>
      </x:c>
      <x:c r="C11" s="24" t="str">
        <x:v>Official ruling/definition for prepared spell copies and Emeritus timing.</x:v>
      </x:c>
      <x:c r="D11" s="24" t="str">
        <x:v>2026-10-09</x:v>
      </x:c>
    </x:row>
    <x:row r="12" ht="46" customHeight="1">
      <x:c r="A12" s="24" t="str">
        <x:v>Scheming Silvertongue — Oracle</x:v>
      </x:c>
      <x:c r="B12" s="24" t="str">
        <x:v>https://mtg.wtf/card/sos/329a/Scheming-Silvertongue</x:v>
      </x:c>
      <x:c r="C12" s="24" t="str">
        <x:v>Flying/lifelink Vampire, second-main 2-life condition and Sign in Blood copy.</x:v>
      </x:c>
      <x:c r="D12" s="24" t="str">
        <x:v>2026-10-09</x:v>
      </x:c>
    </x:row>
    <x:row r="13" ht="46" customHeight="1">
      <x:c r="A13" s="24" t="str">
        <x:v>Sanguine Syphoner — Oracle</x:v>
      </x:c>
      <x:c r="B13" s="24" t="str">
        <x:v>https://mtg.wtf/card/fdn/68/Sanguine-Syphoner</x:v>
      </x:c>
      <x:c r="C13" s="24" t="str">
        <x:v>Attack-triggered drain to each opponent and life gain.</x:v>
      </x:c>
      <x:c r="D13" s="24" t="str">
        <x:v>2026-10-09</x:v>
      </x:c>
    </x:row>
    <x:row r="14" ht="46" customHeight="1">
      <x:c r="A14" s="24" t="str">
        <x:v>Bloodline Recollector — Oracle</x:v>
      </x:c>
      <x:c r="B14" s="24" t="str">
        <x:v>https://mtg.wtf/card/fra/49a/Bloodline-Recollector</x:v>
      </x:c>
      <x:c r="C14" s="24" t="str">
        <x:v>Recent card (released 2026-10-02), prepare threshold and Ancestral Craving copy.</x:v>
      </x:c>
      <x:c r="D14" s="24" t="str">
        <x:v>2026-10-09</x:v>
      </x:c>
    </x:row>
    <x:row r="15" ht="46" customHeight="1">
      <x:c r="A15" s="24" t="str">
        <x:v>Stensian Sanguinist — Oracle</x:v>
      </x:c>
      <x:c r="B15" s="24" t="str">
        <x:v>https://mtg.wtf/card/soc/29a/Stensian-Sanguinist</x:v>
      </x:c>
      <x:c r="C15" s="24" t="str">
        <x:v>Prepared copy of Exsanguinate and attack-connect condition.</x:v>
      </x:c>
      <x:c r="D15" s="24" t="str">
        <x:v>2026-10-09</x:v>
      </x:c>
    </x:row>
    <x:row r="16" ht="46" customHeight="1">
      <x:c r="A16" s="24" t="str">
        <x:v>Vengeful Bloodwitch — Oracle</x:v>
      </x:c>
      <x:c r="B16" s="24" t="str">
        <x:v>https://mtg.wtf/card/fdn/76/Vengeful-Bloodwitch</x:v>
      </x:c>
      <x:c r="C16" s="24" t="str">
        <x:v>Death-triggered drain/life-gain text; compare against Necrodominance.</x:v>
      </x:c>
      <x:c r="D16" s="24" t="str">
        <x:v>2026-10-09</x:v>
      </x:c>
    </x:row>
    <x:row r="17" ht="46" customHeight="1">
      <x:c r="A17" s="25" t="str">
        <x:v>Moseo, Vein's New Dean — Oracle</x:v>
      </x:c>
      <x:c r="B17" s="25" t="str">
        <x:v>https://mtg.wtf/card/sos/91/Moseo-Veins-New-Dean</x:v>
      </x:c>
      <x:c r="C17" s="25" t="str">
        <x:v>Mono-black identity, Pest token lifegain and conditional recursion.</x:v>
      </x:c>
      <x:c r="D17" s="25" t="str">
        <x:v>2026-10-09</x:v>
      </x:c>
    </x:row>
    <x:row r="18">
      <x:c r="A18" s="59" t="str">
        <x:v>Blasphemous Edict — Oracle/text</x:v>
      </x:c>
      <x:c r="B18" s="59" t="str">
        <x:v>https://www.mtggoldfish.com/price/foundations/57/blasphemous-edict</x:v>
      </x:c>
      <x:c r="C18" s="59" t="str">
        <x:v>Verified Sorcery type, MV 8 and conditional alternate cost at 13+ creatures.</x:v>
      </x:c>
      <x:c r="D18" s="59" t="str">
        <x:v>2026-10-09</x:v>
      </x:c>
    </x:row>
  </x:sheetData>
  <x:mergeCells>
    <x:mergeCell ref="A1:D1"/>
  </x:mergeCells>
  <x:pageMargins left="0.7" right="0.7" top="0.75" bottom="0.75" header="0.3" footer="0.3"/>
  <x:tableParts count="1">
    <x:tablePart xmlns:r="http://schemas.openxmlformats.org/officeDocument/2006/relationships" r:id="R9b3289ff64404c44"/>
  </x:tableParts>
</x:worksheet>
</file>

<file path=xl/worksheets/sheet1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3" hidden="0" customWidth="1"/>
    <x:col min="2" max="2" width="53" hidden="0" customWidth="1"/>
    <x:col min="3" max="3" width="38" hidden="0" customWidth="1"/>
    <x:col min="4" max="4" width="47" hidden="0" customWidth="1"/>
  </x:cols>
  <x:sheetData>
    <x:row r="1" ht="30" customHeight="1">
      <x:c r="A1" s="5" t="str">
        <x:v>READ ME — HOW TO USE THIS WORKBOOK</x:v>
      </x:c>
      <x:c r="B1" s="5"/>
      <x:c r="C1" s="5"/>
      <x:c r="D1" s="5"/>
    </x:row>
    <x:row r="2" ht="30" customHeight="1">
      <x:c r="A2" s="14" t="str">
        <x:v>Topic</x:v>
      </x:c>
      <x:c r="B2" s="14" t="str">
        <x:v>Instruction</x:v>
      </x:c>
      <x:c r="C2" s="14" t="str">
        <x:v>Why it matters</x:v>
      </x:c>
      <x:c r="D2" s="14" t="str">
        <x:v>Notes</x:v>
      </x:c>
    </x:row>
    <x:row r="3" ht="54" customHeight="1">
      <x:c r="A3" s="24" t="str">
        <x:v>Current vs V2</x:v>
      </x:c>
      <x:c r="B3" s="24" t="str">
        <x:v>08_Current Decklist preserves the submitted list. 09_V2 Final is a proposed four-slot trial, not a tested deck.</x:v>
      </x:c>
      <x:c r="C3" s="24" t="str">
        <x:v>All cuts are explicit and quantity totals must reconcile.</x:v>
      </x:c>
      <x:c r="D3" s="24" t="str">
        <x:v>Damnation, all three PET LOCKs and the current land count are preserved.</x:v>
      </x:c>
    </x:row>
    <x:row r="4" ht="54" customHeight="1">
      <x:c r="A4" s="24" t="str">
        <x:v>Card Matrix</x:v>
      </x:c>
      <x:c r="B4" s="24" t="str">
        <x:v>One row per unique current card plus relevant recent candidates; qty fields represent physical count (e.g., Snow-Covered Swamp ×20).</x:v>
      </x:c>
      <x:c r="C4" s="24" t="str">
        <x:v>Supports item-by-item review, sorting and role coverage.</x:v>
      </x:c>
      <x:c r="D4" s="24" t="str">
        <x:v>New candidate rows with Qty Current=0 are not silently part of the current list.</x:v>
      </x:c>
    </x:row>
    <x:row r="5" ht="54" customHeight="1">
      <x:c r="A5" s="24" t="str">
        <x:v>Primary group</x:v>
      </x:c>
      <x:c r="B5" s="24" t="str">
        <x:v>Each card has one primary category to preserve the eight package count; secondary functions remain in the detail columns.</x:v>
      </x:c>
      <x:c r="C5" s="24" t="str">
        <x:v>Makes role compression visible without double-counting.</x:v>
      </x:c>
      <x:c r="D5" s="24" t="str">
        <x:v>34 current mana slots + 65 functional spells is accepted as the current build; 35 + 64 is a reference, not a forced constraint.</x:v>
      </x:c>
    </x:row>
    <x:row r="6" ht="54" customHeight="1">
      <x:c r="A6" s="24" t="str">
        <x:v>Scoring</x:v>
      </x:c>
      <x:c r="B6" s="24" t="str">
        <x:v>0–10 fit score is about this Vito build and the user's fair-drain preference, not absolute card power.</x:v>
      </x:c>
      <x:c r="C6" s="24" t="str">
        <x:v>A high-power card can be cut only if the replacement better serves role/curve/experience.</x:v>
      </x:c>
      <x:c r="D6" s="24" t="str">
        <x:v>Current 8.3; projected V2 9.0; both are judgment estimates, not playtested data.</x:v>
      </x:c>
    </x:row>
    <x:row r="7" ht="54" customHeight="1">
      <x:c r="A7" s="24" t="str">
        <x:v>PET LOCK</x:v>
      </x:c>
      <x:c r="B7" s="24" t="str">
        <x:v>Hatred, Exsanguinate and New Blood are never OUT recommendations.</x:v>
      </x:c>
      <x:c r="C7" s="24" t="str">
        <x:v>Explicit user constraint.</x:v>
      </x:c>
      <x:c r="D7" s="24" t="str">
        <x:v>They may receive sequencing and risk notes.</x:v>
      </x:c>
    </x:row>
    <x:row r="8" ht="54" customHeight="1">
      <x:c r="A8" s="24" t="str">
        <x:v>Rules references</x:v>
      </x:c>
      <x:c r="B8" s="24" t="str">
        <x:v>Use Wizards release notes for rules/rulings; Scryfall / Oracle card pages for text; EDH.Wiki / EDHREC for deckbuilding context.</x:v>
      </x:c>
      <x:c r="C8" s="24" t="str">
        <x:v>Popularity never substitutes for Commander-specific fit.</x:v>
      </x:c>
      <x:c r="D8" s="24" t="str">
        <x:v>Sources and check date are on 10_Sources.</x:v>
      </x:c>
    </x:row>
    <x:row r="9" ht="54" customHeight="1">
      <x:c r="A9" s="25" t="str">
        <x:v>Playtest</x:v>
      </x:c>
      <x:c r="B9" s="25" t="str">
        <x:v>Record opening hands, mulligans, turn Vito arrives, cards in hand, first drain, life paid, threat focus, interactions, combo usage, win/loss cause and dead cards.</x:v>
      </x:c>
      <x:c r="C9" s="25" t="str">
        <x:v>This converts Projected to Tested evidence.</x:v>
      </x:c>
      <x:c r="D9" s="25" t="str">
        <x:v>Use 14_Playtest Log; no playtests were supplied in this review.</x:v>
      </x:c>
    </x:row>
  </x:sheetData>
  <x:mergeCells>
    <x:mergeCell ref="A1:D1"/>
  </x:mergeCells>
  <x:pageMargins left="0.7" right="0.7" top="0.75" bottom="0.75" header="0.3" footer="0.3"/>
  <x:tableParts count="1">
    <x:tablePart xmlns:r="http://schemas.openxmlformats.org/officeDocument/2006/relationships" r:id="R2b64adfd89494add"/>
  </x:tableParts>
</x:worksheet>
</file>

<file path=xl/worksheets/sheet12.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1" hidden="0" customWidth="1"/>
    <x:col min="2" max="2" width="24" hidden="0" customWidth="1"/>
    <x:col min="3" max="3" width="65" hidden="0" customWidth="1"/>
    <x:col min="4" max="4" width="20" hidden="0" customWidth="1"/>
  </x:cols>
  <x:sheetData>
    <x:row r="1" ht="30" customHeight="1">
      <x:c r="A1" s="5" t="str">
        <x:v>HANDOVER MASTER v3.0 — COMPLIANCE CHECK</x:v>
      </x:c>
      <x:c r="B1" s="5"/>
      <x:c r="C1" s="5"/>
      <x:c r="D1" s="5"/>
    </x:row>
    <x:row r="2" ht="30" customHeight="1">
      <x:c r="A2" s="14" t="str">
        <x:v>Checklist item</x:v>
      </x:c>
      <x:c r="B2" s="14" t="str">
        <x:v>Status</x:v>
      </x:c>
      <x:c r="C2" s="14" t="str">
        <x:v>Evidence / result</x:v>
      </x:c>
      <x:c r="D2" s="14" t="str">
        <x:v>Open?</x:v>
      </x:c>
    </x:row>
    <x:row r="3" ht="40" customHeight="1">
      <x:c r="A3" s="24" t="str">
        <x:v>100-card Current list</x:v>
      </x:c>
      <x:c r="B3" s="24" t="str">
        <x:v>PASS</x:v>
      </x:c>
      <x:c r="C3" s="24" t="str">
        <x:v>Current was counted from the exact submitted rows: 100 cards including Vito; 99 in the main deck.</x:v>
      </x:c>
      <x:c r="D3" s="24" t="str">
        <x:v>No</x:v>
      </x:c>
    </x:row>
    <x:row r="4" ht="40" customHeight="1">
      <x:c r="A4" s="24" t="str">
        <x:v>Singleton / quantities</x:v>
      </x:c>
      <x:c r="B4" s="24" t="str">
        <x:v>PASS</x:v>
      </x:c>
      <x:c r="C4" s="24" t="str">
        <x:v>81 unique names including commander; the only repeated name is Snow-Covered Swamp ×20.</x:v>
      </x:c>
      <x:c r="D4" s="24" t="str">
        <x:v>No</x:v>
      </x:c>
    </x:row>
    <x:row r="5" ht="40" customHeight="1">
      <x:c r="A5" s="24" t="str">
        <x:v>Commander / color identity</x:v>
      </x:c>
      <x:c r="B5" s="24" t="str">
        <x:v>PASS</x:v>
      </x:c>
      <x:c r="C5" s="24" t="str">
        <x:v>Vito is mono-black; all V2 additions are black identity/colorless. Moseo candidate remains mono-black despite creating a black/green token.</x:v>
      </x:c>
      <x:c r="D5" s="24" t="str">
        <x:v>No</x:v>
      </x:c>
    </x:row>
    <x:row r="6" ht="40" customHeight="1">
      <x:c r="A6" s="24" t="str">
        <x:v>Physical lands vs MDFCs</x:v>
      </x:c>
      <x:c r="B6" s="24" t="str">
        <x:v>PASS</x:v>
      </x:c>
      <x:c r="C6" s="24" t="str">
        <x:v>Current and V2 both use 31 physical lands + 3 MDFCs = 34 allocated mana slots.</x:v>
      </x:c>
      <x:c r="D6" s="24" t="str">
        <x:v>No</x:v>
      </x:c>
    </x:row>
    <x:row r="7" ht="40" customHeight="1">
      <x:c r="A7" s="24" t="str">
        <x:v>Functional slots / 8×8</x:v>
      </x:c>
      <x:c r="B7" s="24" t="str">
        <x:v>PASS — FLEXIBLE BUILD</x:v>
      </x:c>
      <x:c r="C7" s="24" t="str">
        <x:v>Current and V2 each have 65 functional spells. The Master states 35 mana slots + 64 spells is a reference, not a law; no card was cut to force the arithmetic.</x:v>
      </x:c>
      <x:c r="D7" s="24" t="str">
        <x:v>No</x:v>
      </x:c>
    </x:row>
    <x:row r="8" ht="40" customHeight="1">
      <x:c r="A8" s="24" t="str">
        <x:v>PET LOCKs</x:v>
      </x:c>
      <x:c r="B8" s="24" t="str">
        <x:v>PASS</x:v>
      </x:c>
      <x:c r="C8" s="24" t="str">
        <x:v>Hatred, Exsanguinate and New Blood are kept in Current and V2; never OUT.</x:v>
      </x:c>
      <x:c r="D8" s="24" t="str">
        <x:v>No</x:v>
      </x:c>
    </x:row>
    <x:row r="9" ht="40" customHeight="1">
      <x:c r="A9" s="24" t="str">
        <x:v>Current vs Projected</x:v>
      </x:c>
      <x:c r="B9" s="24" t="str">
        <x:v>PASS</x:v>
      </x:c>
      <x:c r="C9" s="24" t="str">
        <x:v>08_Current Decklist remains source truth; 09_V2 Final is clearly marked not playtested.</x:v>
      </x:c>
      <x:c r="D9" s="24" t="str">
        <x:v>No</x:v>
      </x:c>
    </x:row>
    <x:row r="10" ht="40" customHeight="1">
      <x:c r="A10" s="24" t="str">
        <x:v>Card-by-card audit</x:v>
      </x:c>
      <x:c r="B10" s="24" t="str">
        <x:v>PASS</x:v>
      </x:c>
      <x:c r="C10" s="24" t="str">
        <x:v>Matrix covers all 81 current unique names and 10 additional candidate cards = 91 audit rows.</x:v>
      </x:c>
      <x:c r="D10" s="24" t="str">
        <x:v>No</x:v>
      </x:c>
    </x:row>
    <x:row r="11" ht="40" customHeight="1">
      <x:c r="A11" s="24" t="str">
        <x:v>Role count reconciliation</x:v>
      </x:c>
      <x:c r="B11" s="24" t="str">
        <x:v>PASS</x:v>
      </x:c>
      <x:c r="C11" s="24" t="str">
        <x:v>Primary functional groups each assign one role per slot; V2 changes preserve 65 functional slots and reconcile to 100 cards.</x:v>
      </x:c>
      <x:c r="D11" s="24" t="str">
        <x:v>No</x:v>
      </x:c>
    </x:row>
    <x:row r="12" ht="40" customHeight="1">
      <x:c r="A12" s="24" t="str">
        <x:v>Combos and interactions</x:v>
      </x:c>
      <x:c r="B12" s="24" t="str">
        <x:v>PASS</x:v>
      </x:c>
      <x:c r="C12" s="24" t="str">
        <x:v>Vito + Exquisite Blood; Vito + Bloodthirsty Conqueror; Bloodchief Ascension + Mindcrank; lifelink with Morlun ETB; prepared-spell timing; Necrodominance anti-synergy documented.</x:v>
      </x:c>
      <x:c r="D12" s="24" t="str">
        <x:v>No</x:v>
      </x:c>
    </x:row>
    <x:row r="13" ht="40" customHeight="1">
      <x:c r="A13" s="24" t="str">
        <x:v>Card text / MV corrections</x:v>
      </x:c>
      <x:c r="B13" s="24" t="str">
        <x:v>PASS</x:v>
      </x:c>
      <x:c r="C13" s="24" t="str">
        <x:v>Blasphemous Edict corrected to Sorcery / MV 8 with alternate-cost condition; Bontu's Monument corrected to MV 3.</x:v>
      </x:c>
      <x:c r="D13" s="24" t="str">
        <x:v>No</x:v>
      </x:c>
    </x:row>
    <x:row r="14" ht="40" customHeight="1">
      <x:c r="A14" s="24" t="str">
        <x:v>Current score</x:v>
      </x:c>
      <x:c r="B14" s="24" t="str">
        <x:v>ESTIMATE</x:v>
      </x:c>
      <x:c r="C14" s="24" t="str">
        <x:v>8.3/10 based on list analysis, not playtested.</x:v>
      </x:c>
      <x:c r="D14" s="24" t="str">
        <x:v>No</x:v>
      </x:c>
    </x:row>
    <x:row r="15" ht="40" customHeight="1">
      <x:c r="A15" s="25" t="str">
        <x:v>Projected score</x:v>
      </x:c>
      <x:c r="B15" s="25" t="str">
        <x:v>PROJECTION — NOT TESTED</x:v>
      </x:c>
      <x:c r="C15" s="25" t="str">
        <x:v>9.0/10; hypothesis only, not a tested result.</x:v>
      </x:c>
      <x:c r="D15" s="25" t="str">
        <x:v>No</x:v>
      </x:c>
    </x:row>
    <x:row r="16">
      <x:c r="A16" s="59" t="str">
        <x:v>Playtest log</x:v>
      </x:c>
      <x:c r="B16" s="59" t="str">
        <x:v>READY</x:v>
      </x:c>
      <x:c r="C16" s="59" t="str">
        <x:v>Blank tracking rows prepared for the first trial games.</x:v>
      </x:c>
      <x:c r="D16" s="59" t="str">
        <x:v>Yes — needs games</x:v>
      </x:c>
    </x:row>
    <x:row r="17">
      <x:c r="A17" s="59" t="str">
        <x:v>Meta dependence</x:v>
      </x:c>
      <x:c r="B17" s="59" t="str">
        <x:v>OPEN</x:v>
      </x:c>
      <x:c r="C17" s="59" t="str">
        <x:v>Indulgent Aristocrat, Nighthawk Scavenger and Kalitas-style anti-graveyard decisions vary by board texture / graveyard prevalence.</x:v>
      </x:c>
      <x:c r="D17" s="59" t="str">
        <x:v>Yes — user/meta</x:v>
      </x:c>
    </x:row>
  </x:sheetData>
  <x:mergeCells>
    <x:mergeCell ref="A1:D1"/>
  </x:mergeCells>
  <x:pageMargins left="0.7" right="0.7" top="0.75" bottom="0.75" header="0.3" footer="0.3"/>
  <x:tableParts count="1">
    <x:tablePart xmlns:r="http://schemas.openxmlformats.org/officeDocument/2006/relationships" r:id="R0fb108781755430c"/>
  </x:tableParts>
</x:worksheet>
</file>

<file path=xl/worksheets/sheet13.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5" hidden="0" customWidth="1"/>
    <x:col min="2" max="2" width="40" hidden="0" customWidth="1"/>
    <x:col min="3" max="3" width="57" hidden="0" customWidth="1"/>
    <x:col min="4" max="4" width="38" hidden="0" customWidth="1"/>
    <x:col min="5" max="5" width="51" hidden="0" customWidth="1"/>
    <x:col min="6" max="6" width="40" hidden="0" customWidth="1"/>
  </x:cols>
  <x:sheetData>
    <x:row r="1" ht="30" customHeight="1">
      <x:c r="A1" s="5" t="str">
        <x:v>RULES &amp; INTERACTIONS — VERIFIED / STRATEGIC NOTES</x:v>
      </x:c>
      <x:c r="B1" s="5"/>
      <x:c r="C1" s="5"/>
      <x:c r="D1" s="5"/>
      <x:c r="E1" s="5"/>
      <x:c r="F1" s="5"/>
    </x:row>
    <x:row r="2" ht="30" customHeight="1">
      <x:c r="A2" s="14" t="str">
        <x:v>Interaction</x:v>
      </x:c>
      <x:c r="B2" s="14" t="str">
        <x:v>Prerequisite / starting event</x:v>
      </x:c>
      <x:c r="C2" s="14" t="str">
        <x:v>Sequence</x:v>
      </x:c>
      <x:c r="D2" s="14" t="str">
        <x:v>Result</x:v>
      </x:c>
      <x:c r="E2" s="14" t="str">
        <x:v>Caveat / interruption point</x:v>
      </x:c>
      <x:c r="F2" s="14" t="str">
        <x:v>Source / date</x:v>
      </x:c>
    </x:row>
    <x:row r="3" ht="83" customHeight="1">
      <x:c r="A3" s="24" t="str">
        <x:v>Vito + Exquisite Blood</x:v>
      </x:c>
      <x:c r="B3" s="24" t="str">
        <x:v>Both permanents are on the battlefield; an opponent loses life.</x:v>
      </x:c>
      <x:c r="C3" s="24" t="str">
        <x:v>Opponent loses life → Exquisite Blood gains you that much life → Vito triggers and makes a target opponent lose that much life → repeat.</x:v>
      </x:c>
      <x:c r="D3" s="24" t="str">
        <x:v>Infinite life-loss / life-gain loop that can eliminate opponents.</x:v>
      </x:c>
      <x:c r="E3" s="24" t="str">
        <x:v>This is the known, visible line; opponents can remove/disable pieces or prevent relevant life gain/loss. Treat as contingency per user preference.</x:v>
      </x:c>
      <x:c r="F3" s="24" t="str">
        <x:v>Vito Oracle + EDH.Wiki Lifegain; checked 2026-10-09</x:v>
      </x:c>
    </x:row>
    <x:row r="4" ht="83" customHeight="1">
      <x:c r="A4" s="24" t="str">
        <x:v>Vito + Bloodthirsty Conqueror</x:v>
      </x:c>
      <x:c r="B4" s="24" t="str">
        <x:v>Both on battlefield; an opponent loses life for any reason.</x:v>
      </x:c>
      <x:c r="C4" s="24" t="str">
        <x:v>Conqueror triggers and gains that much life → Vito triggers and causes target opponent to lose that much life → Conqueror triggers again.</x:v>
      </x:c>
      <x:c r="D4" s="24" t="str">
        <x:v>Repeatable/infinite life-loss loop.</x:v>
      </x:c>
      <x:c r="E4" s="24" t="str">
        <x:v>The loop needs a starting life-loss event; the pair is a highly telegraphed five-mana combo once both are down.</x:v>
      </x:c>
      <x:c r="F4" s="24" t="str">
        <x:v>Wizards Foundations Release Notes (Conqueror Oracle/ruling) + Vito Oracle; checked 2026-10-09</x:v>
      </x:c>
    </x:row>
    <x:row r="5" ht="83" customHeight="1">
      <x:c r="A5" s="24" t="str">
        <x:v>Bloodchief Ascension + Mindcrank</x:v>
      </x:c>
      <x:c r="B5" s="24" t="str">
        <x:v>Ascension has at least three quest counters; both cards are on battlefield; one opponent loses life.</x:v>
      </x:c>
      <x:c r="C5" s="24" t="str">
        <x:v>Mindcrank mills equal to life lost → each milled card can trigger Ascension to make that player lose 2 life and you gain 2 → Mindcrank mills again.</x:v>
      </x:c>
      <x:c r="D5" s="24" t="str">
        <x:v>Infinite mill and effectively unbounded opponent life loss / your life gain triggers.</x:v>
      </x:c>
      <x:c r="E5" s="24" t="str">
        <x:v>Needs three counters and a starting loss; graveyard-entry replacement effects can stop the mill-to-Ascension link.</x:v>
      </x:c>
      <x:c r="F5" s="24" t="str">
        <x:v>EDHREC combo reference; checked 2026-10-09</x:v>
      </x:c>
    </x:row>
    <x:row r="6" ht="83" customHeight="1">
      <x:c r="A6" s="24" t="str">
        <x:v>Exquisite Blood + gain-life-to-drain payoff</x:v>
      </x:c>
      <x:c r="B6" s="24" t="str">
        <x:v>Exquisite Blood plus Vito, Enduring Tenacity, Defiant Bloodlord or Marauding Blight-Priest on battlefield.</x:v>
      </x:c>
      <x:c r="C6" s="24" t="str">
        <x:v>Opponent loses life → Exquisite Blood gains life → payoff makes opponent(s) lose life → Exquisite Blood triggers again.</x:v>
      </x:c>
      <x:c r="D6" s="24" t="str">
        <x:v>Repeatable loop; exact target scope depends on payoff.</x:v>
      </x:c>
      <x:c r="E6" s="24" t="str">
        <x:v>Not every drain card forms this loop: Blood Artist alone does not trigger from life gain. Do not claim Exquisite Blood + Bloodthirsty Conqueror is a standalone loop without a drain-on-life-gain payoff.</x:v>
      </x:c>
      <x:c r="F6" s="24" t="str">
        <x:v>Oracle text; EDH.Wiki supports the Vito/Exquisite Blood pattern; checked 2026-10-09</x:v>
      </x:c>
    </x:row>
    <x:row r="7" ht="83" customHeight="1">
      <x:c r="A7" s="24" t="str">
        <x:v>Exsanguinate + Vito</x:v>
      </x:c>
      <x:c r="B7" s="24" t="str">
        <x:v>Vito on battlefield; cast Exsanguinate with X &gt; 0.</x:v>
      </x:c>
      <x:c r="C7" s="24" t="str">
        <x:v>All opponents lose X → you gain life equal to life lost → Vito triggers once for that gain event and targets one opponent for additional loss.</x:v>
      </x:c>
      <x:c r="D7" s="24" t="str">
        <x:v>A non-loop finisher that can focus the Vito trigger on the strongest opponent.</x:v>
      </x:c>
      <x:c r="E7" s="24" t="str">
        <x:v>Vito triggers from the life gain event, not one separate trigger per opponent. If Bloodletter is on your turn, opponent life loss may be doubled.</x:v>
      </x:c>
      <x:c r="F7" s="24" t="str">
        <x:v>Oracle text and rules sequencing; checked 2026-10-09</x:v>
      </x:c>
    </x:row>
    <x:row r="8" ht="83" customHeight="1">
      <x:c r="A8" s="24" t="str">
        <x:v>Blood Tribute + Vito</x:v>
      </x:c>
      <x:c r="B8" s="24" t="str">
        <x:v>Vito on battlefield; cast Blood Tribute at a target with life total to reduce.</x:v>
      </x:c>
      <x:c r="C8" s="24" t="str">
        <x:v>Target loses half its life rounded up → you gain equal life → Vito triggers for additional loss to a target opponent.</x:v>
      </x:c>
      <x:c r="D8" s="24" t="str">
        <x:v>A large targeted life-total swing, not an infinite loop on its own.</x:v>
      </x:c>
      <x:c r="E8" s="24" t="str">
        <x:v>Resolve around protection / life-loss replacement effects; don't call this an infinite combo without Exquisite Blood or another engine.</x:v>
      </x:c>
      <x:c r="F8" s="24" t="str">
        <x:v>Oracle text; checked 2026-10-09</x:v>
      </x:c>
    </x:row>
    <x:row r="9" ht="83" customHeight="1">
      <x:c r="A9" s="24" t="str">
        <x:v>Bloodletter of Aclazotz</x:v>
      </x:c>
      <x:c r="B9" s="24" t="str">
        <x:v>Bloodletter is on battlefield during your turn.</x:v>
      </x:c>
      <x:c r="C9" s="24" t="str">
        <x:v>Whenever an opponent would lose life during your turn, that amount is doubled.</x:v>
      </x:c>
      <x:c r="D9" s="24" t="str">
        <x:v>Amplifies Vito triggers, Blood Tribute and X-spell drain when used on your turn.</x:v>
      </x:c>
      <x:c r="E9" s="24" t="str">
        <x:v>It does not double opponents' life loss on other players' turns.</x:v>
      </x:c>
      <x:c r="F9" s="24" t="str">
        <x:v>Oracle text; checked 2026-10-09</x:v>
      </x:c>
    </x:row>
    <x:row r="10" ht="83" customHeight="1">
      <x:c r="A10" s="24" t="str">
        <x:v>Necrodominance graveyard replacement</x:v>
      </x:c>
      <x:c r="B10" s="24" t="str">
        <x:v>Necrodominance is on the battlefield under your control.</x:v>
      </x:c>
      <x:c r="C10" s="24" t="str">
        <x:v>Cards/tokens that would enter graveyards are exiled instead; cards/tokens don't die into graveyards while replacement applies.</x:v>
      </x:c>
      <x:c r="D10" s="24" t="str">
        <x:v>Powerful card draw, but it suppresses dies triggers, including your Blood Artist, Meathook Massacre and Vein Ripper triggers.</x:v>
      </x:c>
      <x:c r="E10" s="24" t="str">
        <x:v>Time it for turns where extra cards are worth more than death-trigger value / graveyard setup.</x:v>
      </x:c>
      <x:c r="F10" s="24" t="str">
        <x:v>Wizards Modern Horizons 3 Release Notes; checked 2026-10-09</x:v>
      </x:c>
    </x:row>
    <x:row r="11" ht="83" customHeight="1">
      <x:c r="A11" s="24" t="str">
        <x:v>Throne of Eldraine</x:v>
      </x:c>
      <x:c r="B11" s="24" t="str">
        <x:v>Artifact enters; choose black in this monoblack deck.</x:v>
      </x:c>
      <x:c r="C11" s="24" t="str">
        <x:v>Tap for four black mana, spend only to cast monocolored black spells; its draw ability also requires chosen-color mana.</x:v>
      </x:c>
      <x:c r="D11" s="24" t="str">
        <x:v>Useful late mana burst with a draw mode, but restricted rather than unrestricted ramp.</x:v>
      </x:c>
      <x:c r="E11" s="24" t="str">
        <x:v>Five mana to deploy; do not treat its four mana as generic/colorless mana or the draw ability as free.</x:v>
      </x:c>
      <x:c r="F11" s="24" t="str">
        <x:v>Oracle text cross-checked against mtg.wtf; checked 2026-10-09</x:v>
      </x:c>
    </x:row>
    <x:row r="12" ht="83" customHeight="1">
      <x:c r="A12" s="25" t="str">
        <x:v>MDFC slot allocation</x:v>
      </x:c>
      <x:c r="B12" s="25" t="str">
        <x:v>Agadeem's Awakening, Hagra Mauling, Malakir Rebirth have land backs.</x:v>
      </x:c>
      <x:c r="C12" s="25" t="str">
        <x:v>Each physical card is allocated either to the mana slot or the spell package for the deckbuilding math; no double counting.</x:v>
      </x:c>
      <x:c r="D12" s="25" t="str">
        <x:v>Current math uses all three as mana slots, while retaining their spell-side roles in Card Matrix.</x:v>
      </x:c>
      <x:c r="E12" s="25" t="str">
        <x:v>Their spell costs are still reflected in per-card values, but the average-pure-spell metric excludes them by design.</x:v>
      </x:c>
      <x:c r="F12" s="25" t="str">
        <x:v>Handover Master v3.0 methodology; checked 2026-10-09</x:v>
      </x:c>
    </x:row>
    <x:row r="13">
      <x:c r="A13" s="59" t="str">
        <x:v>Morlun + Vito (lifelink on ETB damage)</x:v>
      </x:c>
      <x:c r="B13" s="59" t="str">
        <x:v>Cast Morlun with X &gt; 0 while Vito is on the battlefield.</x:v>
      </x:c>
      <x:c r="C13" s="59" t="str">
        <x:v>Morlun's ETB ability deals X damage. Because Morlun has lifelink, that damage gains you X life even though it isn't combat damage; Vito then triggers and targets an opponent for X life loss.</x:v>
      </x:c>
      <x:c r="D13" s="59" t="str">
        <x:v>Scalable fair drain line that converts excess black mana into damage + lifegain + Vito trigger.</x:v>
      </x:c>
      <x:c r="E13" s="59" t="str">
        <x:v>If Sorin, Imperious Bloodlord puts Morlun onto the battlefield instead of you casting it, X is 0, so no counters / no ETB damage. Bloodletter of Aclazotz only doubles opponent life loss on your turn; the lifegain remains based on damage actually dealt.</x:v>
      </x:c>
      <x:c r="F13" s="59" t="str">
        <x:v>Morlun Oracle via mtg.wtf + Vito Oracle; checked 2026-10-09</x:v>
      </x:c>
    </x:row>
    <x:row r="14">
      <x:c r="A14" s="59" t="str">
        <x:v>Emeritus of Woe — prepared Demonic Tutor</x:v>
      </x:c>
      <x:c r="B14" s="59" t="str">
        <x:v>Emeritus enters prepared; its copy of Demonic Tutor is available in exile while it remains prepared.</x:v>
      </x:c>
      <x:c r="C14" s="59" t="str">
        <x:v>Cast the prepared spell for {1}{B}; casting it unprepares Emeritus. At the beginning of your end step, it can become prepared again only if two or more creatures died before that end step began.</x:v>
      </x:c>
      <x:c r="D14" s="59" t="str">
        <x:v>A Vampire body plus emergency tutor; can become repeatable value in creature-heavy turns.</x:v>
      </x:c>
      <x:c r="E14" s="59" t="str">
        <x:v>Not free: the copy must be cast for its mana cost. It is slower than Grim Tutor for the first tutor if cast normally (4 + 2 mana vs 3), but adds a 5/4 Vampire body; the re-prepare trigger is conditional.</x:v>
      </x:c>
      <x:c r="F14" s="59" t="str">
        <x:v>Wizards Secrets of Strixhaven Release Notes; checked 2026-10-09</x:v>
      </x:c>
    </x:row>
    <x:row r="15">
      <x:c r="A15" s="59" t="str">
        <x:v>Scheming Silvertongue — prepared Sign in Blood</x:v>
      </x:c>
      <x:c r="B15" s="59" t="str">
        <x:v>At the beginning of your second main phase, you have gained at least 2 life during the turn.</x:v>
      </x:c>
      <x:c r="C15" s="59" t="str">
        <x:v>It becomes prepared with a copy of Sign in Blood. The copy costs {B}{B}, draws two cards and makes the chosen player lose 2 life.</x:v>
      </x:c>
      <x:c r="D15" s="59" t="str">
        <x:v>Early Vampire + flying lifelink + conditional card access; helps replenish hand without tutoring directly for combo.</x:v>
      </x:c>
      <x:c r="E15" s="59" t="str">
        <x:v>The 2-life threshold is cumulative for the turn, not necessarily from one event. Its own combat lifelink alone usually gains only one life, so other gains / other life-gain events often matter.</x:v>
      </x:c>
      <x:c r="F15" s="59" t="str">
        <x:v>Scheming Silvertongue Oracle via mtg.wtf; checked 2026-10-09</x:v>
      </x:c>
    </x:row>
    <x:row r="16">
      <x:c r="A16" s="59" t="str">
        <x:v>Sanguine Syphoner + Vito / Marauding Blight-Priest</x:v>
      </x:c>
      <x:c r="B16" s="59" t="str">
        <x:v>Sanguine Syphoner attacks.</x:v>
      </x:c>
      <x:c r="C16" s="59" t="str">
        <x:v>Each opponent loses 1 life and you gain 1 life; that life gain triggers Vito for one additional loss against a chosen opponent and can trigger Marauding Blight-Priest to drain each opponent again.</x:v>
      </x:c>
      <x:c r="D16" s="59" t="str">
        <x:v>Reliable fair table-wide pressure without needing the Syphoner to deal combat damage.</x:v>
      </x:c>
      <x:c r="E16" s="59" t="str">
        <x:v>The trigger only happens when it attacks; summoning sickness, tapped attackers, or a removal spell before combat may delay its value.</x:v>
      </x:c>
      <x:c r="F16" s="59" t="str">
        <x:v>Sanguine Syphoner Oracle + Vito Oracle; checked 2026-10-09</x:v>
      </x:c>
    </x:row>
    <x:row r="17">
      <x:c r="A17" s="59" t="str">
        <x:v>Bloodline Recollector / Vengeful Bloodwitch vs Necrodominance</x:v>
      </x:c>
      <x:c r="B17" s="59" t="str">
        <x:v>Necrodominance is on the battlefield and a creature would be put into a graveyard.</x:v>
      </x:c>
      <x:c r="C17" s="59" t="str">
        <x:v>Necrodominance replaces graveyard entry with exile; the creature does not die for 'dies' triggers. That prevents Bloodline Recollector's 3-death threshold and suppresses Vengeful Bloodwitch / Blood Artist / Meathook / Vein Ripper triggers during its application.</x:v>
      </x:c>
      <x:c r="D17" s="59" t="str">
        <x:v>These candidate death-value cards are best evaluated on turns / builds without Necrodominance active.</x:v>
      </x:c>
      <x:c r="E17" s="59" t="str">
        <x:v>Necrodominance's text applies to cards/tokens going to graveyards from anywhere, not only your own; do not count it as compatible with an active death-trigger engine.</x:v>
      </x:c>
      <x:c r="F17" s="59" t="str">
        <x:v>Wizards MH3 Release Notes + candidate Oracle; checked 2026-10-09</x:v>
      </x:c>
    </x:row>
    <x:row r="18">
      <x:c r="A18" s="59" t="str">
        <x:v>Blasphemous Edict — true mana value and alternate cost</x:v>
      </x:c>
      <x:c r="B18" s="59" t="str">
        <x:v>There are thirteen or more creatures on the battlefield.</x:v>
      </x:c>
      <x:c r="C18" s="59" t="str">
        <x:v>The card is a Sorcery with mana value 8; only if the battlefield has thirteen or more creatures may you pay its alternative cost. Each player then sacrifices thirteen creatures of their choice.</x:v>
      </x:c>
      <x:c r="D18" s="59" t="str">
        <x:v>Can function as a very cheap mass edict in a crowded board, but is not a reliable four-mana wrath every game.</x:v>
      </x:c>
      <x:c r="E18" s="59" t="str">
        <x:v>Do not use the alternative cost to report MV as 1. The 13-creature threshold includes creatures across the whole battlefield and the effect remains symmetrical.</x:v>
      </x:c>
      <x:c r="F18" s="59" t="str">
        <x:v>Blasphemous Edict text cross-check; checked 2026-10-09</x:v>
      </x:c>
    </x:row>
  </x:sheetData>
  <x:mergeCells>
    <x:mergeCell ref="A1:F1"/>
  </x:mergeCells>
  <x:pageMargins left="0.7" right="0.7" top="0.75" bottom="0.75" header="0.3" footer="0.3"/>
  <x:tableParts count="1">
    <x:tablePart xmlns:r="http://schemas.openxmlformats.org/officeDocument/2006/relationships" r:id="R5cf47f68569d490b"/>
  </x:tableParts>
</x:worksheet>
</file>

<file path=xl/worksheets/sheet14.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13" hidden="0" customWidth="1"/>
    <x:col min="2" max="2" width="10" hidden="0" customWidth="1"/>
    <x:col min="3" max="3" width="42" hidden="0" customWidth="1"/>
    <x:col min="4" max="4" width="14" hidden="0" customWidth="1"/>
    <x:col min="5" max="5" width="12" hidden="0" customWidth="1"/>
    <x:col min="6" max="6" width="20" hidden="0" customWidth="1"/>
    <x:col min="7" max="7" width="17" hidden="0" customWidth="1"/>
    <x:col min="8" max="8" width="18" hidden="0" customWidth="1"/>
    <x:col min="9" max="9" width="20" hidden="0" customWidth="1"/>
    <x:col min="10" max="10" width="28" hidden="0" customWidth="1"/>
    <x:col min="11" max="11" width="19" hidden="0" customWidth="1"/>
    <x:col min="12" max="12" width="34" hidden="0" customWidth="1"/>
    <x:col min="13" max="13" width="34" hidden="0" customWidth="1"/>
    <x:col min="14" max="14" width="46" hidden="0" customWidth="1"/>
  </x:cols>
  <x:sheetData>
    <x:row r="1" ht="30" customHeight="1">
      <x:c r="A1" s="5" t="str">
        <x:v>PLAYTEST LOG — PROJECTED → TESTED</x:v>
      </x:c>
      <x:c r="B1" s="5"/>
      <x:c r="C1" s="5"/>
      <x:c r="D1" s="5"/>
      <x:c r="E1" s="5"/>
      <x:c r="F1" s="5"/>
      <x:c r="G1" s="5"/>
      <x:c r="H1" s="5"/>
      <x:c r="I1" s="5"/>
      <x:c r="J1" s="5"/>
      <x:c r="K1" s="5"/>
      <x:c r="L1" s="5"/>
      <x:c r="M1" s="5"/>
      <x:c r="N1" s="5"/>
    </x:row>
    <x:row r="2" ht="30" customHeight="1">
      <x:c r="A2" s="14" t="str">
        <x:v>Date</x:v>
      </x:c>
      <x:c r="B2" s="14" t="str">
        <x:v>Game #</x:v>
      </x:c>
      <x:c r="C2" s="14" t="str">
        <x:v>Opening hand summary</x:v>
      </x:c>
      <x:c r="D2" s="14" t="str">
        <x:v>Mulligan?</x:v>
      </x:c>
      <x:c r="E2" s="14" t="str">
        <x:v>Vito turn</x:v>
      </x:c>
      <x:c r="F2" s="14" t="str">
        <x:v>Cards in hand at T4</x:v>
      </x:c>
      <x:c r="G2" s="14" t="str">
        <x:v>Mana available T4</x:v>
      </x:c>
      <x:c r="H2" s="14" t="str">
        <x:v>First drain turn</x:v>
      </x:c>
      <x:c r="I2" s="14" t="str">
        <x:v>Life gained by T5</x:v>
      </x:c>
      <x:c r="J2" s="14" t="str">
        <x:v>Life lost by opponents by T5</x:v>
      </x:c>
      <x:c r="K2" s="14" t="str">
        <x:v>Combo assembled?</x:v>
      </x:c>
      <x:c r="L2" s="14" t="str">
        <x:v>Main win line / outcome</x:v>
      </x:c>
      <x:c r="M2" s="14" t="str">
        <x:v>Dead card / issue</x:v>
      </x:c>
      <x:c r="N2" s="14" t="str">
        <x:v>MVP / notes</x:v>
      </x:c>
    </x:row>
    <x:row r="3">
      <x:c r="A3" s="24"/>
      <x:c r="B3" s="24"/>
      <x:c r="C3" s="24"/>
      <x:c r="D3" s="24"/>
      <x:c r="E3" s="24"/>
      <x:c r="F3" s="24"/>
      <x:c r="G3" s="24"/>
      <x:c r="H3" s="24"/>
      <x:c r="I3" s="24"/>
      <x:c r="J3" s="24"/>
      <x:c r="K3" s="24"/>
      <x:c r="L3" s="24"/>
      <x:c r="M3" s="24"/>
      <x:c r="N3" s="24"/>
    </x:row>
    <x:row r="4">
      <x:c r="A4" s="24"/>
      <x:c r="B4" s="24"/>
      <x:c r="C4" s="24"/>
      <x:c r="D4" s="24"/>
      <x:c r="E4" s="24"/>
      <x:c r="F4" s="24"/>
      <x:c r="G4" s="24"/>
      <x:c r="H4" s="24"/>
      <x:c r="I4" s="24"/>
      <x:c r="J4" s="24"/>
      <x:c r="K4" s="24"/>
      <x:c r="L4" s="24"/>
      <x:c r="M4" s="24"/>
      <x:c r="N4" s="24"/>
    </x:row>
    <x:row r="5">
      <x:c r="A5" s="24"/>
      <x:c r="B5" s="24"/>
      <x:c r="C5" s="24"/>
      <x:c r="D5" s="24"/>
      <x:c r="E5" s="24"/>
      <x:c r="F5" s="24"/>
      <x:c r="G5" s="24"/>
      <x:c r="H5" s="24"/>
      <x:c r="I5" s="24"/>
      <x:c r="J5" s="24"/>
      <x:c r="K5" s="24"/>
      <x:c r="L5" s="24"/>
      <x:c r="M5" s="24"/>
      <x:c r="N5" s="24"/>
    </x:row>
    <x:row r="6">
      <x:c r="A6" s="24"/>
      <x:c r="B6" s="24"/>
      <x:c r="C6" s="24"/>
      <x:c r="D6" s="24"/>
      <x:c r="E6" s="24"/>
      <x:c r="F6" s="24"/>
      <x:c r="G6" s="24"/>
      <x:c r="H6" s="24"/>
      <x:c r="I6" s="24"/>
      <x:c r="J6" s="24"/>
      <x:c r="K6" s="24"/>
      <x:c r="L6" s="24"/>
      <x:c r="M6" s="24"/>
      <x:c r="N6" s="24"/>
    </x:row>
    <x:row r="7">
      <x:c r="A7" s="24"/>
      <x:c r="B7" s="24"/>
      <x:c r="C7" s="24"/>
      <x:c r="D7" s="24"/>
      <x:c r="E7" s="24"/>
      <x:c r="F7" s="24"/>
      <x:c r="G7" s="24"/>
      <x:c r="H7" s="24"/>
      <x:c r="I7" s="24"/>
      <x:c r="J7" s="24"/>
      <x:c r="K7" s="24"/>
      <x:c r="L7" s="24"/>
      <x:c r="M7" s="24"/>
      <x:c r="N7" s="24"/>
    </x:row>
    <x:row r="8">
      <x:c r="A8" s="24"/>
      <x:c r="B8" s="24"/>
      <x:c r="C8" s="24"/>
      <x:c r="D8" s="24"/>
      <x:c r="E8" s="24"/>
      <x:c r="F8" s="24"/>
      <x:c r="G8" s="24"/>
      <x:c r="H8" s="24"/>
      <x:c r="I8" s="24"/>
      <x:c r="J8" s="24"/>
      <x:c r="K8" s="24"/>
      <x:c r="L8" s="24"/>
      <x:c r="M8" s="24"/>
      <x:c r="N8" s="24"/>
    </x:row>
    <x:row r="9">
      <x:c r="A9" s="24"/>
      <x:c r="B9" s="24"/>
      <x:c r="C9" s="24"/>
      <x:c r="D9" s="24"/>
      <x:c r="E9" s="24"/>
      <x:c r="F9" s="24"/>
      <x:c r="G9" s="24"/>
      <x:c r="H9" s="24"/>
      <x:c r="I9" s="24"/>
      <x:c r="J9" s="24"/>
      <x:c r="K9" s="24"/>
      <x:c r="L9" s="24"/>
      <x:c r="M9" s="24"/>
      <x:c r="N9" s="24"/>
    </x:row>
    <x:row r="10">
      <x:c r="A10" s="24"/>
      <x:c r="B10" s="24"/>
      <x:c r="C10" s="24"/>
      <x:c r="D10" s="24"/>
      <x:c r="E10" s="24"/>
      <x:c r="F10" s="24"/>
      <x:c r="G10" s="24"/>
      <x:c r="H10" s="24"/>
      <x:c r="I10" s="24"/>
      <x:c r="J10" s="24"/>
      <x:c r="K10" s="24"/>
      <x:c r="L10" s="24"/>
      <x:c r="M10" s="24"/>
      <x:c r="N10" s="24"/>
    </x:row>
    <x:row r="11">
      <x:c r="A11" s="24"/>
      <x:c r="B11" s="24"/>
      <x:c r="C11" s="24"/>
      <x:c r="D11" s="24"/>
      <x:c r="E11" s="24"/>
      <x:c r="F11" s="24"/>
      <x:c r="G11" s="24"/>
      <x:c r="H11" s="24"/>
      <x:c r="I11" s="24"/>
      <x:c r="J11" s="24"/>
      <x:c r="K11" s="24"/>
      <x:c r="L11" s="24"/>
      <x:c r="M11" s="24"/>
      <x:c r="N11" s="24"/>
    </x:row>
    <x:row r="12">
      <x:c r="A12" s="24"/>
      <x:c r="B12" s="24"/>
      <x:c r="C12" s="24"/>
      <x:c r="D12" s="24"/>
      <x:c r="E12" s="24"/>
      <x:c r="F12" s="24"/>
      <x:c r="G12" s="24"/>
      <x:c r="H12" s="24"/>
      <x:c r="I12" s="24"/>
      <x:c r="J12" s="24"/>
      <x:c r="K12" s="24"/>
      <x:c r="L12" s="24"/>
      <x:c r="M12" s="24"/>
      <x:c r="N12" s="24"/>
    </x:row>
    <x:row r="13">
      <x:c r="A13" s="24"/>
      <x:c r="B13" s="24"/>
      <x:c r="C13" s="24"/>
      <x:c r="D13" s="24"/>
      <x:c r="E13" s="24"/>
      <x:c r="F13" s="24"/>
      <x:c r="G13" s="24"/>
      <x:c r="H13" s="24"/>
      <x:c r="I13" s="24"/>
      <x:c r="J13" s="24"/>
      <x:c r="K13" s="24"/>
      <x:c r="L13" s="24"/>
      <x:c r="M13" s="24"/>
      <x:c r="N13" s="24"/>
    </x:row>
    <x:row r="14">
      <x:c r="A14" s="24"/>
      <x:c r="B14" s="24"/>
      <x:c r="C14" s="24"/>
      <x:c r="D14" s="24"/>
      <x:c r="E14" s="24"/>
      <x:c r="F14" s="24"/>
      <x:c r="G14" s="24"/>
      <x:c r="H14" s="24"/>
      <x:c r="I14" s="24"/>
      <x:c r="J14" s="24"/>
      <x:c r="K14" s="24"/>
      <x:c r="L14" s="24"/>
      <x:c r="M14" s="24"/>
      <x:c r="N14" s="24"/>
    </x:row>
    <x:row r="15">
      <x:c r="A15" s="24"/>
      <x:c r="B15" s="24"/>
      <x:c r="C15" s="24"/>
      <x:c r="D15" s="24"/>
      <x:c r="E15" s="24"/>
      <x:c r="F15" s="24"/>
      <x:c r="G15" s="24"/>
      <x:c r="H15" s="24"/>
      <x:c r="I15" s="24"/>
      <x:c r="J15" s="24"/>
      <x:c r="K15" s="24"/>
      <x:c r="L15" s="24"/>
      <x:c r="M15" s="24"/>
      <x:c r="N15" s="24"/>
    </x:row>
    <x:row r="16">
      <x:c r="A16" s="24"/>
      <x:c r="B16" s="24"/>
      <x:c r="C16" s="24"/>
      <x:c r="D16" s="24"/>
      <x:c r="E16" s="24"/>
      <x:c r="F16" s="24"/>
      <x:c r="G16" s="24"/>
      <x:c r="H16" s="24"/>
      <x:c r="I16" s="24"/>
      <x:c r="J16" s="24"/>
      <x:c r="K16" s="24"/>
      <x:c r="L16" s="24"/>
      <x:c r="M16" s="24"/>
      <x:c r="N16" s="24"/>
    </x:row>
    <x:row r="17">
      <x:c r="A17" s="24"/>
      <x:c r="B17" s="24"/>
      <x:c r="C17" s="24"/>
      <x:c r="D17" s="24"/>
      <x:c r="E17" s="24"/>
      <x:c r="F17" s="24"/>
      <x:c r="G17" s="24"/>
      <x:c r="H17" s="24"/>
      <x:c r="I17" s="24"/>
      <x:c r="J17" s="24"/>
      <x:c r="K17" s="24"/>
      <x:c r="L17" s="24"/>
      <x:c r="M17" s="24"/>
      <x:c r="N17" s="24"/>
    </x:row>
    <x:row r="18">
      <x:c r="A18" s="24"/>
      <x:c r="B18" s="24"/>
      <x:c r="C18" s="24"/>
      <x:c r="D18" s="24"/>
      <x:c r="E18" s="24"/>
      <x:c r="F18" s="24"/>
      <x:c r="G18" s="24"/>
      <x:c r="H18" s="24"/>
      <x:c r="I18" s="24"/>
      <x:c r="J18" s="24"/>
      <x:c r="K18" s="24"/>
      <x:c r="L18" s="24"/>
      <x:c r="M18" s="24"/>
      <x:c r="N18" s="24"/>
    </x:row>
    <x:row r="19">
      <x:c r="A19" s="24"/>
      <x:c r="B19" s="24"/>
      <x:c r="C19" s="24"/>
      <x:c r="D19" s="24"/>
      <x:c r="E19" s="24"/>
      <x:c r="F19" s="24"/>
      <x:c r="G19" s="24"/>
      <x:c r="H19" s="24"/>
      <x:c r="I19" s="24"/>
      <x:c r="J19" s="24"/>
      <x:c r="K19" s="24"/>
      <x:c r="L19" s="24"/>
      <x:c r="M19" s="24"/>
      <x:c r="N19" s="24"/>
    </x:row>
    <x:row r="20">
      <x:c r="A20" s="24"/>
      <x:c r="B20" s="24"/>
      <x:c r="C20" s="24"/>
      <x:c r="D20" s="24"/>
      <x:c r="E20" s="24"/>
      <x:c r="F20" s="24"/>
      <x:c r="G20" s="24"/>
      <x:c r="H20" s="24"/>
      <x:c r="I20" s="24"/>
      <x:c r="J20" s="24"/>
      <x:c r="K20" s="24"/>
      <x:c r="L20" s="24"/>
      <x:c r="M20" s="24"/>
      <x:c r="N20" s="24"/>
    </x:row>
    <x:row r="21">
      <x:c r="A21" s="24"/>
      <x:c r="B21" s="24"/>
      <x:c r="C21" s="24"/>
      <x:c r="D21" s="24"/>
      <x:c r="E21" s="24"/>
      <x:c r="F21" s="24"/>
      <x:c r="G21" s="24"/>
      <x:c r="H21" s="24"/>
      <x:c r="I21" s="24"/>
      <x:c r="J21" s="24"/>
      <x:c r="K21" s="24"/>
      <x:c r="L21" s="24"/>
      <x:c r="M21" s="24"/>
      <x:c r="N21" s="24"/>
    </x:row>
    <x:row r="22">
      <x:c r="A22" s="25"/>
      <x:c r="B22" s="25"/>
      <x:c r="C22" s="25"/>
      <x:c r="D22" s="25"/>
      <x:c r="E22" s="25"/>
      <x:c r="F22" s="25"/>
      <x:c r="G22" s="25"/>
      <x:c r="H22" s="25"/>
      <x:c r="I22" s="25"/>
      <x:c r="J22" s="25"/>
      <x:c r="K22" s="25"/>
      <x:c r="L22" s="25"/>
      <x:c r="M22" s="25"/>
      <x:c r="N22" s="25"/>
    </x:row>
  </x:sheetData>
  <x:mergeCells>
    <x:mergeCell ref="A1:N1"/>
  </x:mergeCells>
  <x:dataValidations count="2">
    <x:dataValidation type="list" sqref="D3:D22">
      <x:formula1>"Yes,No"</x:formula1>
    </x:dataValidation>
    <x:dataValidation type="list" sqref="K3:K22">
      <x:formula1>"Yes,No,Partial"</x:formula1>
    </x:dataValidation>
  </x:dataValidations>
  <x:pageMargins left="0.7" right="0.7" top="0.75" bottom="0.75" header="0.3" footer="0.3"/>
  <x:tableParts count="1">
    <x:tablePart xmlns:r="http://schemas.openxmlformats.org/officeDocument/2006/relationships" r:id="R883d83a59f8f4372"/>
  </x:tableParts>
</x:worksheet>
</file>