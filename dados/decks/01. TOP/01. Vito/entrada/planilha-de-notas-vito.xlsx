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90286d8e23fa69/Área de Trabalho/"/>
    </mc:Choice>
  </mc:AlternateContent>
  <xr:revisionPtr revIDLastSave="0" documentId="8_{CB083AAD-EC94-4095-BAA8-FAC02268BC0A}" xr6:coauthVersionLast="47" xr6:coauthVersionMax="47" xr10:uidLastSave="{00000000-0000-0000-0000-000000000000}"/>
  <bookViews>
    <workbookView xWindow="-120" yWindow="-120" windowWidth="38640" windowHeight="15720" xr2:uid="{DD4392DD-AACA-41F2-B8F6-417CB2E18C58}"/>
  </bookViews>
  <sheets>
    <sheet name="Vito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U4" hidden="1">{"Page 1",#N/A,TRUE,"Sheet1";"Page 2",#N/A,TRUE,"Sheet1"}</definedName>
    <definedName name="_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6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U4" hidden="1">{"Page 1",#N/A,TRUE,"Sheet1";"Page 2",#N/A,TRUE,"Sheet1"}</definedName>
    <definedName name="_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6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U4" hidden="1">{"Page 1",#N/A,TRUE,"Sheet1";"Page 2",#N/A,TRUE,"Sheet1"}</definedName>
    <definedName name="_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g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g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g6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U4" hidden="1">{"Page 1",#N/A,TRUE,"Sheet1";"Page 2",#N/A,TRUE,"Sheet1"}</definedName>
    <definedName name="_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g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g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g6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U4" hidden="1">{"Page 1",#N/A,TRUE,"Sheet1";"Page 2",#N/A,TRUE,"Sheet1"}</definedName>
    <definedName name="_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g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g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g6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U4" hidden="1">{"Page 1",#N/A,TRUE,"Sheet1";"Page 2",#N/A,TRUE,"Sheet1"}</definedName>
    <definedName name="__1__123Graph_AChart_2" hidden="1">[1]Model!$B$453:$B$462</definedName>
    <definedName name="__123Graph_A" hidden="1">'[2]Monthly Forecast'!$B$49:$B$56</definedName>
    <definedName name="__123Graph_APRINCIPAL" hidden="1">'[3]Herramientas para análisis-VBA'!#REF!</definedName>
    <definedName name="__123Graph_ASIDECO" hidden="1">'[4]CONSSID12-96'!#REF!</definedName>
    <definedName name="__123Graph_B" hidden="1">'[2]Monthly Forecast'!$C$49:$C$56</definedName>
    <definedName name="__123Graph_BSIDECO" hidden="1">'[4]CONSSID12-96'!#REF!</definedName>
    <definedName name="__123Graph_C" hidden="1">'[2]Monthly Forecast'!$E$49:$E$56</definedName>
    <definedName name="__123Graph_CSIDECO" hidden="1">'[4]CONSSID12-96'!#REF!</definedName>
    <definedName name="__123Graph_D" hidden="1">'[2]Monthly Forecast'!$G$49:$G$56</definedName>
    <definedName name="__123Graph_E" hidden="1">'[2]Monthly Forecast'!#REF!</definedName>
    <definedName name="__123Graph_F" hidden="1">'[2]Monthly Forecast'!#REF!</definedName>
    <definedName name="__123Graph_LBL_APRINCIPAL" hidden="1">'[3]Herramientas para análisis-VBA'!#REF!</definedName>
    <definedName name="__123Graph_X" hidden="1">#REF!</definedName>
    <definedName name="__123Graph_XSIDECO" hidden="1">'[4]CONSSID12-96'!#REF!</definedName>
    <definedName name="__2__123Graph_AChart_3" hidden="1">[1]Model!$B$483:$B$489</definedName>
    <definedName name="__3__123Graph_AChart_4" hidden="1">[1]Model!$B$469:$B$475</definedName>
    <definedName name="__4__123Graph_BChart_3" hidden="1">[1]Model!$C$483:$C$489</definedName>
    <definedName name="__5__123Graph_BChart_4" hidden="1">[1]Model!$C$469:$C$475</definedName>
    <definedName name="__6__123Graph_XChart_2" hidden="1">[1]Model!$A$453:$A$462</definedName>
    <definedName name="__7__123Graph_XChart_3" hidden="1">[1]Model!$A$483:$A$489</definedName>
    <definedName name="__8__123Graph_XChart_4" hidden="1">[1]Model!$A$469:$A$475</definedName>
    <definedName name="_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6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U4" hidden="1">{"Page 1",#N/A,TRUE,"Sheet1";"Page 2",#N/A,TRUE,"Sheet1"}</definedName>
    <definedName name="__FDS_HYPERLINK_TOGGLE_STATE__" hidden="1">"ON"</definedName>
    <definedName name="__FDS_UNIQUE_RANGE_ID_GENERATOR_COUNTER" hidden="1">1</definedName>
    <definedName name="_1__123Graph_AChart_2" hidden="1">[1]Model!$B$453:$B$462</definedName>
    <definedName name="_2__123Graph_AChart_3" hidden="1">[1]Model!$B$483:$B$489</definedName>
    <definedName name="_3__123Graph_AChart_4" hidden="1">[1]Model!$B$469:$B$475</definedName>
    <definedName name="_4__123Graph_BChart_3" hidden="1">[1]Model!$C$483:$C$489</definedName>
    <definedName name="_5__123Graph_BChart_4" hidden="1">[1]Model!$C$469:$C$475</definedName>
    <definedName name="_6__123Graph_XChart_2" hidden="1">[1]Model!$A$453:$A$462</definedName>
    <definedName name="_7__123Graph_XChart_3" hidden="1">[1]Model!$A$483:$A$489</definedName>
    <definedName name="_8__123Graph_XChart_4" hidden="1">[1]Model!$A$469:$A$475</definedName>
    <definedName name="_AMO_UniqueIdentifier" hidden="1">"'38978bcb-3863-4674-86bf-4d6aaf65255d'"</definedName>
    <definedName name="_bdm.013AE116181E4279B2015F5C3140F4D7.edm" hidden="1" xml:space="preserve"> '[6]Aumento de Capital'!$1:$1048576</definedName>
    <definedName name="_bdm.0218DB6B50464A32A5FA5007B6FB6C54.edm" hidden="1" xml:space="preserve"> '[7]Resumo TmarPart Estratégico'!$1:$1048576</definedName>
    <definedName name="_bdm.02A24F18DB554AF2B97674AB98980075.edm" hidden="1" xml:space="preserve">  '[6]TNL_TMAR Simples'!$1:$1048576</definedName>
    <definedName name="_bdm.0300EE6FEB4F43A5B920DEF0C40164E8.edm" hidden="1" xml:space="preserve">  '[6]TNL_TMAR Simples'!$1:$1048576</definedName>
    <definedName name="_bdm.03ED33047F934FE981A8A803F5DDE3FA.edm" hidden="1" xml:space="preserve">  '[6]Aumento de Capital'!$1:$1048576</definedName>
    <definedName name="_bdm.04316B576B4F493DB71171AC60F11C50.edm" hidden="1" xml:space="preserve">  '[6]Aumento de Capital'!$1:$1048576</definedName>
    <definedName name="_bdm.0580A6830C6143239F2DA2FD534B7F50.edm" hidden="1" xml:space="preserve"> '[6]Aumento de Capital'!$1:$1048576</definedName>
    <definedName name="_bdm.06803F619CFE4C00ABB3D158F9BBD2F8.edm" hidden="1" xml:space="preserve"> [7]main!$1:$1048576</definedName>
    <definedName name="_bdm.0797E5A002CE4E6882EFFF6633878269.edm" hidden="1" xml:space="preserve">  '[8]Trading comps'!$1:$1048576</definedName>
    <definedName name="_bdm.07AF94EA987B464FAD8BD682AD2E7461.edm" hidden="1" xml:space="preserve">  '[6]Aumento de Capital'!$1:$1048576</definedName>
    <definedName name="_bdm.07F41760F1494FF5A2F7D286918F4222.edm" hidden="1" xml:space="preserve">  '[6]TNL 1 e 2'!$1:$1048576</definedName>
    <definedName name="_bdm.08272F5D3A0A493499A3F4309F90A976.edm" hidden="1" xml:space="preserve"> '[6]Aumento de Capital'!$1:$1048576</definedName>
    <definedName name="_bdm.08C91CAD8D1945748FDCCE550D7C68A2.edm" hidden="1" xml:space="preserve"> '[9]Avaliação TMar-&gt;TNL'!$1:$1048576</definedName>
    <definedName name="_bdm.0BC024ED87F248EBAFE8740807E17164.edm" hidden="1" xml:space="preserve">  '[6]TNL 1 e 2'!$1:$1048576</definedName>
    <definedName name="_bdm.0CF89D0DA17F428785CC2C791AA38234.edm" hidden="1" xml:space="preserve">  '[6]Aumento de Capital'!$1:$1048576</definedName>
    <definedName name="_bdm.0CFBC004B6AD4FD4B5C69625BE281130.edm" hidden="1" xml:space="preserve">    '[6]Aumento de Capital'!$1:$1048576</definedName>
    <definedName name="_bdm.0DF51E9A353B4937B5963F8B71330E86.edm" hidden="1" xml:space="preserve">  '[6]Aumento de Capital'!$1:$1048576</definedName>
    <definedName name="_bdm.0F693475C1034D8D854562D050455BB7.edm" hidden="1" xml:space="preserve"> [7]main!$1:$1048576</definedName>
    <definedName name="_bdm.10A5C370EFD8426DB7A5F23C407CDC77.edm" hidden="1" xml:space="preserve">  '[6]TNL 1 e 2'!$1:$1048576</definedName>
    <definedName name="_bdm.10B0F1170F3F477F99A925DC0C63D01B.edm" hidden="1" xml:space="preserve">  '[6]Aumento de Capital'!$1:$1048576</definedName>
    <definedName name="_bdm.12DB95497F504EF9A36F4FABCB9E48A3.edm" hidden="1" xml:space="preserve">  '[6]TNL_TMAR Simples'!$1:$1048576</definedName>
    <definedName name="_bdm.13D01B5C7BDD4BE78A994289869C9B10.edm" hidden="1" xml:space="preserve">  '[6]Aumento de Capital'!$1:$1048576</definedName>
    <definedName name="_bdm.150E7C3B54784A689A2848034042C813.edm" hidden="1" xml:space="preserve">  '[6]TNL_TMAR Simples'!$1:$1048576</definedName>
    <definedName name="_bdm.1696EA2C3EB94AB29D5E3829CEC50DE5.edm" hidden="1" xml:space="preserve">  '[6]Aumento de Capital'!$1:$1048576</definedName>
    <definedName name="_bdm.16974B129EBD45FD963A72D1CDB40E20.edm" hidden="1" xml:space="preserve"> [7]main!$1:$1048576</definedName>
    <definedName name="_bdm.1725F6FC388843938551745F897563EE.edm" hidden="1" xml:space="preserve"> [7]main!$1:$1048576</definedName>
    <definedName name="_bdm.18EC78FAFD8B45A8858189E1B122122A.edm" hidden="1" xml:space="preserve">  '[6]TNL 1 e 2'!$1:$1048576</definedName>
    <definedName name="_bdm.1977DFFDD7FC4300B82F18594956B72B.edm" hidden="1" xml:space="preserve"> '[6]Aumento de Capital'!$1:$1048576</definedName>
    <definedName name="_bdm.1A43F4D9FC694723B1538ACA0D61BF1E.edm" hidden="1" xml:space="preserve">  '[6]Debentures BNDES'!$1:$1048576</definedName>
    <definedName name="_bdm.1AD8A2BF624B4C7C9582C74B0BB225A5.edm" hidden="1" xml:space="preserve"> [7]main!$1:$1048576</definedName>
    <definedName name="_bdm.1AE1FB5CBF2D4779BD2D4A79E6968A2A.edm" hidden="1" xml:space="preserve">  '[6]Aumento de Capital'!$1:$1048576</definedName>
    <definedName name="_bdm.1B0D591A45F942499D68BB07C7855B5A.edm" hidden="1" xml:space="preserve"> [7]main!$1:$1048576</definedName>
    <definedName name="_bdm.1B156DB1B9524BEEB87CA79FC8CE4B58.edm" hidden="1" xml:space="preserve">  '[6]TNL_TMAR Simples'!$1:$1048576</definedName>
    <definedName name="_bdm.1B5D7014B84A445297320EF540A05BA6.edm" hidden="1" xml:space="preserve">  '[6]Aumento de Capital'!$1:$1048576</definedName>
    <definedName name="_bdm.1CFD1061002043F2A8B96ADB586ACA36.edm" hidden="1" xml:space="preserve">  '[6]Aumento de Capital'!$1:$1048576</definedName>
    <definedName name="_bdm.1D650D40C130477FA41993767E35604D.edm" hidden="1" xml:space="preserve">  '[6]TNL 1 e 2'!$1:$1048576</definedName>
    <definedName name="_bdm.1D8C28FD1FD54D81BB87D632E163E86F.edm" hidden="1" xml:space="preserve">  '[6]Aumento de Capital'!$1:$1048576</definedName>
    <definedName name="_bdm.1DE003401FB04B878AE3727D9130D4E4.edm" hidden="1" xml:space="preserve"> '[10]Avaliação das Participações'!$1:$1048576</definedName>
    <definedName name="_bdm.1E17F9A875554381865F8623FE3CDA4E.edm" hidden="1" xml:space="preserve">  '[6]TNL 1 e 2'!$1:$1048576</definedName>
    <definedName name="_bdm.1E4D033FE65444CA81A85D93A19C04FD.edm" hidden="1" xml:space="preserve">  '[6]TNL 1 e 2'!$1:$1048576</definedName>
    <definedName name="_bdm.1E5D74734785486E8BF9425EF384319B.edm" hidden="1" xml:space="preserve">  '[6]Aumento de Capital'!$1:$1048576</definedName>
    <definedName name="_bdm.2090467EFE2043A59995B4907F801254.edm" hidden="1" xml:space="preserve">  '[6]Aumento de Capital'!$1:$1048576</definedName>
    <definedName name="_bdm.210D3FCA8AF64D7D9765A0D409797F03.edm" hidden="1" xml:space="preserve">  '[6]TNL 1 e 2'!$1:$1048576</definedName>
    <definedName name="_bdm.2138DE9911F64C9AB9CB3F2946EEAC34.edm" hidden="1" xml:space="preserve">  '[6]TNL_TMAR Simples'!$1:$1048576</definedName>
    <definedName name="_bdm.22A68D3F60314730B63396D66CFB4CDA.edm" hidden="1" xml:space="preserve"> '[9]Resumo Aval TmarPart'!$1:$1048576</definedName>
    <definedName name="_bdm.22BA8A02C5D54E4998F522876BD11ACE.edm" hidden="1">[11]CF!$A:$IV</definedName>
    <definedName name="_bdm.23DE9F11782B444EA1A43324DEAE0538.edm" hidden="1" xml:space="preserve"> '[6]Aumento de Capital'!$1:$1048576</definedName>
    <definedName name="_bdm.253E6F42E34C4EA3B4E8F4F5C4159CFB.edm" hidden="1" xml:space="preserve">  '[6]Aumento de Capital'!$1:$1048576</definedName>
    <definedName name="_bdm.26142690C06845A9A3E4930506A936BC.edm" hidden="1" xml:space="preserve">  '[6]TNL_TMAR Simples'!$1:$1048576</definedName>
    <definedName name="_bdm.263D40A09EEC4EE685A13DF0572663A2.edm" hidden="1" xml:space="preserve">    '[6]TNL_TMAR Simples'!$1:$1048576</definedName>
    <definedName name="_bdm.26E906EF746341D4AEB8C695DE14BCD4.edm" hidden="1" xml:space="preserve"> '[7]Resumo TmarPart Estratégico'!$1:$1048576</definedName>
    <definedName name="_bdm.28C02D7711374862930ECD66CD0B2C33.edm" hidden="1">#REF!</definedName>
    <definedName name="_bdm.29B5EA8DC58941CFA489279DA4444727.edm" hidden="1" xml:space="preserve"> [7]main!$1:$1048576</definedName>
    <definedName name="_bdm.29D2AD5D50C0424299039E2B0CEDE94C.edm" hidden="1" xml:space="preserve">  '[6]TNL 1 e 2'!$1:$1048576</definedName>
    <definedName name="_bdm.29E902264FE24D69A559FD42CFCF841A.edm" hidden="1" xml:space="preserve">  '[6]Aumento de Capital'!$1:$1048576</definedName>
    <definedName name="_bdm.2A6A483A79C74371AC42DE5CDF043603.edm" hidden="1" xml:space="preserve">  [7]main!$1:$1048576</definedName>
    <definedName name="_bdm.2BC1DEEF76854BAEA041573B0ADB06BC.edm" hidden="1" xml:space="preserve">    '[6]TNL 1 e 2'!$1:$1048576</definedName>
    <definedName name="_bdm.2BEE6769ECCC4D41B8C124C9A2FCCEFB.edm" hidden="1" xml:space="preserve"> [7]main!$1:$1048576</definedName>
    <definedName name="_bdm.2CC1D9E9FC814F3E82BDEE2AF02AB2B5.edm" hidden="1" xml:space="preserve"> '[6]Aumento de Capital'!$1:$1048576</definedName>
    <definedName name="_bdm.2DD241F7B38040109BAAAB1F7858B85B.edm" hidden="1" xml:space="preserve"> '[6]Aumento de Capital'!$1:$1048576</definedName>
    <definedName name="_bdm.2E6C77A726054FAEA206763281FD1CE4.edm" hidden="1" xml:space="preserve"> [7]main!$1:$1048576</definedName>
    <definedName name="_bdm.2EA69F7C82C94402BA84ACEDD6F59138.edm" hidden="1" xml:space="preserve">  '[6]TNL_TMAR Simples'!$1:$1048576</definedName>
    <definedName name="_bdm.2EF6EA8B8B054BE4A3F68E9ADA6288AB.edm" hidden="1" xml:space="preserve">  '[6]Aumento de Capital'!$1:$1048576</definedName>
    <definedName name="_bdm.2F402615B5E44949A7178B1DE851D318.edm" hidden="1" xml:space="preserve">  '[6]Aumento de Capital'!$1:$1048576</definedName>
    <definedName name="_bdm.2F6BDA509DF84015B55A44141462D8B6.edm" hidden="1" xml:space="preserve">  '[6]TNL_TMAR Simples'!$1:$1048576</definedName>
    <definedName name="_bdm.2FF6473FACF54EF3B5C0018AEC943079.edm" hidden="1" xml:space="preserve">  '[6]Aumento de Capital'!$1:$1048576</definedName>
    <definedName name="_bdm.31265992848D40F9858CD9B5F8659322.edm" hidden="1" xml:space="preserve">  '[6]Aumento de Capital'!$1:$1048576</definedName>
    <definedName name="_bdm.31AF96CC90B748B59E5456F4981BC8B2.edm" hidden="1" xml:space="preserve">    '[6]Aumento de Capital'!$1:$1048576</definedName>
    <definedName name="_bdm.32F08481BCF94AC88D6BA97D7E175DE5.edm" hidden="1" xml:space="preserve"> '[10]Avaliação das Participações'!$1:$1048576</definedName>
    <definedName name="_bdm.332187433C604261874D24BDEF9F7075.edm" hidden="1" xml:space="preserve"> [7]main!$1:$1048576</definedName>
    <definedName name="_bdm.33F4E7036D834CD3A34112D11A7E0BB7.edm" hidden="1" xml:space="preserve">  '[6]Aumento de Capital'!$1:$1048576</definedName>
    <definedName name="_bdm.3452E30BD0C747AA9B455AEC8138A8CF.edm" hidden="1" xml:space="preserve"> [7]main!$1:$1048576</definedName>
    <definedName name="_bdm.347ADFB291D74B369E7456FD3EE7BFBA.edm" hidden="1" xml:space="preserve">  '[6]OPA Voluntária BRT'!$1:$1048576</definedName>
    <definedName name="_bdm.34B56F2EFF4F45D4A3F31A1760C2C46F.edm" hidden="1" xml:space="preserve">  '[6]Debentures BNDES'!$1:$1048576</definedName>
    <definedName name="_bdm.35326EE004654DED974DB6990962B29F.edm" hidden="1" xml:space="preserve"> [7]main!$1:$1048576</definedName>
    <definedName name="_bdm.35FA8CE469AC49949D5F5F7BB490EE4C.edm" hidden="1" xml:space="preserve">  '[6]Aumento de Capital'!$1:$1048576</definedName>
    <definedName name="_bdm.3616139BBA714D3FA20420CA64DA575E.edm" hidden="1" xml:space="preserve">  '[6]Aumento de Capital'!$1:$1048576</definedName>
    <definedName name="_bdm.363AF1DE9C1D4D0CB8DD92A68E3B502D.edm" hidden="1" xml:space="preserve">  '[8]Trading comps'!$1:$1048576</definedName>
    <definedName name="_bdm.3731510D1F304F91A9A4198F567464E7.edm" hidden="1" xml:space="preserve">  '[6]Aumento de Capital'!$1:$1048576</definedName>
    <definedName name="_bdm.374A37F6D3FD4A19BCF5785CA1A70C79.edm" hidden="1" xml:space="preserve">  '[6]Aumento de Capital'!$1:$1048576</definedName>
    <definedName name="_bdm.37B9213EDA5F45DCA71999EC7C64454B.edm" hidden="1" xml:space="preserve">  '[8]Trading comps'!$1:$1048576</definedName>
    <definedName name="_bdm.386FB3C366E0413CA869AA4F4092560E.edm" hidden="1">'[11]Graficos Rig'!$A:$IV</definedName>
    <definedName name="_bdm.38737A35BC3A413AB4949A35F4823BCB.edm" hidden="1" xml:space="preserve">  '[6]TNL_TMAR Simples'!$1:$1048576</definedName>
    <definedName name="_bdm.3A8AFC1AC7A642E6B1638D2789FE5EBC.edm" hidden="1" xml:space="preserve"> [7]main!$1:$1048576</definedName>
    <definedName name="_bdm.3AA314648F7D41538F469775CF3772CD.edm" hidden="1" xml:space="preserve"> '[6]Aumento de Capital'!$1:$1048576</definedName>
    <definedName name="_bdm.3B1F9AFA009D4417BC47BD3D13D80E64.edm" hidden="1" xml:space="preserve"> [7]main!$1:$1048576</definedName>
    <definedName name="_bdm.3BA5F0B67E5B402A83834604D73E0F04.edm" hidden="1">[12]Sheet1!$A:$IV</definedName>
    <definedName name="_bdm.3DC96EBB28FF45C592E658DD343F395A.edm" hidden="1" xml:space="preserve">    '[6]TNL_TMAR Simples'!$1:$1048576</definedName>
    <definedName name="_bdm.402EF4B3DEC74AB88E6557867AB10C8C.edm" hidden="1" xml:space="preserve"> [7]main!$1:$1048576</definedName>
    <definedName name="_bdm.408819E693C445CABC2AE57597E50A0E.edm" hidden="1" xml:space="preserve">  '[6]TNL_TMAR Simples'!$1:$1048576</definedName>
    <definedName name="_bdm.4091EB9904444978BB50097FF5585699.edm" hidden="1" xml:space="preserve">  '[6]Aumento de Capital'!$1:$1048576</definedName>
    <definedName name="_bdm.413CEE0BE1F94BDDA6EF09D369664620.edm" hidden="1" xml:space="preserve"> [7]main!$1:$1048576</definedName>
    <definedName name="_bdm.420A327401854CA0A0C3BFA94CC59D24.edm" hidden="1" xml:space="preserve">  '[6]Aumento de Capital'!$1:$1048576</definedName>
    <definedName name="_bdm.425BB8BA21E74083A5A7774DA22B8D7B.edm" hidden="1" xml:space="preserve">    '[6]Aumento de Capital'!$1:$1048576</definedName>
    <definedName name="_bdm.42C258923B15480F9AA8302F5DCA1740.edm" hidden="1">[13]Quarterly!$A:$IV</definedName>
    <definedName name="_bdm.4399EF5223764DBD8376E1CCF8F82F60.edm" hidden="1" xml:space="preserve">  '[6]TNL_TMAR Simples'!$1:$1048576</definedName>
    <definedName name="_bdm.44392CD45B7949A6B83CA376A1BB947C.edm" hidden="1" xml:space="preserve">  '[6]TNL_TMAR Simples'!$1:$1048576</definedName>
    <definedName name="_bdm.45FEE6B4CCAA44D7B699D3A6C7D13386.edm" hidden="1" xml:space="preserve"> [7]main!$1:$1048576</definedName>
    <definedName name="_bdm.4680C245BB8E4AEC8F946C390E3A20B5.edm" hidden="1" xml:space="preserve"> [7]main!$1:$1048576</definedName>
    <definedName name="_bdm.46A6CE6EBDE7486CA65A07EF0C1E2DEE.edm" hidden="1" xml:space="preserve"> '[6]Aumento de Capital'!$1:$1048576</definedName>
    <definedName name="_bdm.471C9F39EB4F43D9A997EEDA4FEC9FCA.edm" hidden="1" xml:space="preserve"> '[10]Sensibilidade Conversão ON-PN'!$1:$1048576</definedName>
    <definedName name="_bdm.47B43893394F489F8234FFC3D0C70D95.edm" hidden="1" xml:space="preserve">  '[6]Aumento de Capital'!$1:$1048576</definedName>
    <definedName name="_bdm.4849E8C5A9134887B8325221FE2B5C37.edm" hidden="1" xml:space="preserve">  '[6]TNL 1 e 2'!$1:$1048576</definedName>
    <definedName name="_bdm.4A6627AE8E0F46768F6EFB32DD25CE7A.edm" hidden="1" xml:space="preserve"> '[10]Avaliação das Participações'!$1:$1048576</definedName>
    <definedName name="_bdm.4C3C4B2C17D24E53A301245DCD61E151.edm" hidden="1" xml:space="preserve">  '[6]Aumento de Capital'!$1:$1048576</definedName>
    <definedName name="_bdm.4C6F9DA169754A069B4FE29892460BE9.edm" hidden="1" xml:space="preserve">  '[6]Aumento de Capital'!$1:$1048576</definedName>
    <definedName name="_bdm.4D69D57E635E45F982ED25E3765D3EDF.edm" hidden="1" xml:space="preserve">  [7]main!$1:$1048576</definedName>
    <definedName name="_bdm.4DD239B53A6D4C57BB9295E600623514.edm" hidden="1" xml:space="preserve">  '[6]TNL_TMAR Simples'!$1:$1048576</definedName>
    <definedName name="_bdm.4EC658AB58D54810AFB138208C612913.edm" hidden="1" xml:space="preserve"> '[6]Aumento de Capital'!$1:$1048576</definedName>
    <definedName name="_bdm.4EE9BFC7FCAF488E93724186A3E65D70.edm" hidden="1" xml:space="preserve"> '[6]Aumento de Capital'!$1:$1048576</definedName>
    <definedName name="_bdm.50E8C4A66D254F838530DC6A4D3BF4CC.edm" hidden="1" xml:space="preserve"> '[6]Aumento de Capital'!$1:$1048576</definedName>
    <definedName name="_bdm.513F338F7AC54F11844FF8BDB871080E.edm" hidden="1" xml:space="preserve">  '[6]TNL_TMAR Simples'!$1:$1048576</definedName>
    <definedName name="_bdm.516AD5B9BB31413F8837342095D980DF.edm" hidden="1" xml:space="preserve"> [7]main!$1:$1048576</definedName>
    <definedName name="_bdm.5290595669474F36A37D6136C8BB91D1.edm" hidden="1" xml:space="preserve"> [7]main!$1:$1048576</definedName>
    <definedName name="_bdm.52AE1FEDEC294F3597831B7C787DCDBA.edm" hidden="1" xml:space="preserve">  '[6]Aumento de Capital'!$1:$1048576</definedName>
    <definedName name="_bdm.52AEBB991BCA4EF38C8394F6F595ABEF.edm" hidden="1" xml:space="preserve">  '[8]Trading comps'!$1:$1048576</definedName>
    <definedName name="_bdm.52D7DEF25C1149AAB09C01589D7812B9.edm" hidden="1" xml:space="preserve"> [7]main!$1:$1048576</definedName>
    <definedName name="_bdm.52F8055BA91544FE86CEC076F68A89ED.edm" hidden="1" xml:space="preserve">  '[6]Aumento de Capital'!$1:$1048576</definedName>
    <definedName name="_bdm.553EB16886454397AFF566833AE7EC11.edm" hidden="1" xml:space="preserve"> '[6]Aumento de Capital'!$1:$1048576</definedName>
    <definedName name="_bdm.55E77FB8B7DE4D33AD9BDBF6AF356B55.edm" hidden="1" xml:space="preserve"> [7]main!$1:$1048576</definedName>
    <definedName name="_bdm.57EFA0052D0B4E61A404A1D91C5900B4.edm" hidden="1" xml:space="preserve"> [7]main!$1:$1048576</definedName>
    <definedName name="_bdm.58F13F2D62BF4E37A26EA5BC820B781D.edm" hidden="1" xml:space="preserve">  '[6]TNL_TMAR Simples'!$1:$1048576</definedName>
    <definedName name="_bdm.5958F9B170394BE4A0013AFEFB111098.edm" hidden="1" xml:space="preserve">  '[6]Aumento de Capital'!$1:$1048576</definedName>
    <definedName name="_bdm.5A0CC2244F594AD88E834D956AE0E90D.edm" hidden="1" xml:space="preserve">  '[6]TNL_TMAR Simples'!$1:$1048576</definedName>
    <definedName name="_bdm.5ABB453627E343C0B063D09E9BC7CCB9.edm" hidden="1" xml:space="preserve"> [7]main!$1:$1048576</definedName>
    <definedName name="_bdm.5B48CFF7344B4840812C04A612B4AC0F.edm" hidden="1" xml:space="preserve"> '[6]Aumento de Capital'!$1:$1048576</definedName>
    <definedName name="_bdm.5BEC41E98E2546CBBD0B72158CC3B974.edm" hidden="1" xml:space="preserve">  '[6]TNL_TMAR Simples'!$1:$1048576</definedName>
    <definedName name="_bdm.5CD7225B601A40CA925B243EF403C2A9.edm" hidden="1" xml:space="preserve">  '[6]Aumento de Capital'!$1:$1048576</definedName>
    <definedName name="_bdm.5D9471504BDD4A7BA33696120E9D90A0.edm" hidden="1" xml:space="preserve">  '[6]Aumento de Capital'!$1:$1048576</definedName>
    <definedName name="_bdm.5DF0037D1BA84F48BD7FD00858E93FF4.edm" hidden="1" xml:space="preserve">  '[6]Aumento de Capital'!$1:$1048576</definedName>
    <definedName name="_bdm.5E781F3DBDC64F0889D87133763FAA75.edm" hidden="1" xml:space="preserve">  '[6]Aumento de Capital'!$1:$1048576</definedName>
    <definedName name="_bdm.5F0F4E4EC94A4750BB00101B9C6374EF.edm" hidden="1" xml:space="preserve">  '[8]Trading comps'!$1:$1048576</definedName>
    <definedName name="_bdm.5F2A6D6647494A7EB47B9C8F9356E457.edm" hidden="1" xml:space="preserve">  '[6]Aumento de Capital'!$1:$1048576</definedName>
    <definedName name="_bdm.601CAC241D464C73AE897F51772DB247.edm" hidden="1" xml:space="preserve">  '[6]TNL_TMAR Simples'!$1:$1048576</definedName>
    <definedName name="_bdm.612C4B6ECC53400CBD83CA97435E1C97.edm" hidden="1" xml:space="preserve">  '[6]Aumento de Capital'!$1:$1048576</definedName>
    <definedName name="_bdm.6290E9216B1E49C19BB4ED821F88F175.edm" hidden="1" xml:space="preserve">  '[6]Debentures BNDES'!$1:$1048576</definedName>
    <definedName name="_bdm.6292C343E6D64CBA89D65F06A80A6A29.edm" hidden="1" xml:space="preserve"> '[10]Sensibilidade Conversão ON-PN'!$1:$1048576</definedName>
    <definedName name="_bdm.636C936A650043BBAA857493C20D1D06.edm" hidden="1" xml:space="preserve"> '[6]Aumento de Capital'!$1:$1048576</definedName>
    <definedName name="_bdm.63FC4F7990E3458799B8BAE2ACC50DF4.edm" hidden="1" xml:space="preserve">  '[6]TNL_TMAR Simples'!$1:$1048576</definedName>
    <definedName name="_bdm.652DA7F8AD47464889E99AA34BC21C73.edm" hidden="1" xml:space="preserve">  '[6]Aumento de Capital'!$1:$1048576</definedName>
    <definedName name="_bdm.6553C3C6AFB14273978B1A7A374B2E36.edm" hidden="1" xml:space="preserve"> [7]main!$1:$1048576</definedName>
    <definedName name="_bdm.657DD2716193468ABE2D48B0FC531B96.edm" hidden="1" xml:space="preserve">  '[6]Aumento de Capital'!$1:$1048576</definedName>
    <definedName name="_bdm.6792093D8D2045DF952B2ED774FE63FA.edm" hidden="1" xml:space="preserve"> '[6]Aumento de Capital'!$1:$1048576</definedName>
    <definedName name="_bdm.67A767ED08BB4689B341A6CE52AFFE8D.edm" hidden="1">'[7]Resumo TmarPart Estratégico'!$IV$1</definedName>
    <definedName name="_bdm.67CA7B64A1254329A3E52CD9419564A7.edm" hidden="1" xml:space="preserve"> '[6]Aumento de Capital'!$1:$1048576</definedName>
    <definedName name="_bdm.67CD53BBC8404627BACF4CB8A01DD180.edm" hidden="1" xml:space="preserve">  '[6]Aumento de Capital'!$1:$1048576</definedName>
    <definedName name="_bdm.67DF509C190243ECB08D25906F142F00.edm" hidden="1" xml:space="preserve">  '[6]Aumento de Capital'!$1:$1048576</definedName>
    <definedName name="_bdm.68205EFF4CD24A97BC0EC7731D2D29A9.edm" hidden="1" xml:space="preserve">  '[6]Aumento de Capital'!$1:$1048576</definedName>
    <definedName name="_bdm.6936036AEB914BAAB7F5B1FD918E6EBC.edm" hidden="1" xml:space="preserve">  '[6]Aumento de Capital'!$1:$1048576</definedName>
    <definedName name="_bdm.69400902903841CF923F767068352E05.edm" hidden="1" xml:space="preserve">  '[6]Aumento de Capital'!$1:$1048576</definedName>
    <definedName name="_bdm.698797876737415485FBEA94AC81D479.edm" hidden="1" xml:space="preserve">  '[6]Aumento de Capital'!$1:$1048576</definedName>
    <definedName name="_bdm.699CD8F11CD64CCEB68FD26E795FD379.edm" hidden="1">'[11]Current Portfolio'!$A:$IV</definedName>
    <definedName name="_bdm.6A84429F8EB7472BAD93702F39CF59A2.edm" hidden="1" xml:space="preserve">  '[6]TNL_TMAR Simples'!$1:$1048576</definedName>
    <definedName name="_bdm.6A906534141A449C92DDE242A7B03DB3.edm" hidden="1" xml:space="preserve"> '[6]Aumento de Capital'!$1:$1048576</definedName>
    <definedName name="_bdm.6C19386E94C44202B8BE1C4B3DA81960.edm" hidden="1" xml:space="preserve">  '[6]TNL_TMAR Simples'!$1:$1048576</definedName>
    <definedName name="_bdm.6CFFCCCB388A421B8BBE3C7A42CEB39E.edm" hidden="1" xml:space="preserve">  '[6]Aumento de Capital'!$1:$1048576</definedName>
    <definedName name="_bdm.6E6E7E57C9C3464AAD64BA9B2F8E0F04.edm" hidden="1" xml:space="preserve">  '[6]TNL_TMAR Simples'!$1:$1048576</definedName>
    <definedName name="_bdm.6E8C60BE1297424C9A8CFC1A3BFFE0CE.edm" hidden="1" xml:space="preserve">  '[8]Trading comps'!$1:$1048576</definedName>
    <definedName name="_bdm.6EDB78A202C046CFAFCB355B15791D8F.edm" hidden="1" xml:space="preserve"> '[10]Avaliação das Participações'!$1:$1048576</definedName>
    <definedName name="_bdm.6F4BB980B92C4FE5A9D9D9B9DA1B0EFB.edm" hidden="1" xml:space="preserve">  '[6]Aumento de Capital'!$1:$1048576</definedName>
    <definedName name="_bdm.6F9A64CA81034FBD9BC4E17F3F166E50.edm" hidden="1" xml:space="preserve"> [7]main!$1:$1048576</definedName>
    <definedName name="_bdm.6F9DACD75D6D4FDC854C0FAECA5EC329.edm" hidden="1">#REF!</definedName>
    <definedName name="_bdm.6FBEC8436328416C8DDC11A18BC10E91.edm" hidden="1" xml:space="preserve">  '[6]Aumento de Capital'!$1:$1048576</definedName>
    <definedName name="_bdm.7009D47FC75543A7A724F5AD4376982A.edm" hidden="1" xml:space="preserve">  '[6]TNL_TMAR Simples'!$1:$1048576</definedName>
    <definedName name="_bdm.702F188C13E84AF6BB9F1FD26169172C.edm" hidden="1" xml:space="preserve">  '[6]Aumento de Capital'!$1:$1048576</definedName>
    <definedName name="_bdm.70881BE8813A460D85E5BEC7CB723674.edm" hidden="1" xml:space="preserve">  '[6]Aumento de Capital'!$1:$1048576</definedName>
    <definedName name="_bdm.710AC6C4EC7E4715A026015AE255958C.edm" hidden="1">'[14]CME (original)'!$A$1:$IV$65536</definedName>
    <definedName name="_bdm.722E2405B5FD4B768782260CBA1F7894.edm" hidden="1" xml:space="preserve">  '[6]Aumento de Capital'!$1:$1048576</definedName>
    <definedName name="_bdm.7341FC734306498C8BCBF1F6BE64C677.edm" hidden="1" xml:space="preserve">    '[6]TNL_TMAR Simples'!$1:$1048576</definedName>
    <definedName name="_bdm.737DA5D767D24DFCBA70D2C59720FDD0.edm" hidden="1" xml:space="preserve">  '[6]TNL_TMAR Simples'!$1:$1048576</definedName>
    <definedName name="_bdm.73F1D414E4D24A469CD09690263A63C6.edm" hidden="1" xml:space="preserve"> '[6]Aumento de Capital'!$1:$1048576</definedName>
    <definedName name="_bdm.740B4783E1C74C38B85E46879D13A21B.edm" hidden="1" xml:space="preserve">  '[6]TNL_TMAR Simples'!$1:$1048576</definedName>
    <definedName name="_bdm.7413060AAEC94836B49D35BDAE7BF7A7.edm" hidden="1" xml:space="preserve">  '[6]TNL_TMAR Simples'!$1:$1048576</definedName>
    <definedName name="_bdm.749E9744EEE24C43B7CD2FC5DD8ADCDF.edm" hidden="1" xml:space="preserve">  '[6]TNL 1 e 2'!$1:$1048576</definedName>
    <definedName name="_bdm.75BB0BC422714AF6BB8DB35C01595BB8.edm" hidden="1" xml:space="preserve">  [6]Minoritários!$1:$1048576</definedName>
    <definedName name="_bdm.76E3880AFB3C497492C42DA80BFDC44D.edm" hidden="1" xml:space="preserve">  '[6]Aumento de Capital'!$1:$1048576</definedName>
    <definedName name="_bdm.783E5CBE46F941769399C2E21487FCCD.edm" hidden="1" xml:space="preserve">  '[8]Trading comps'!$1:$1048576</definedName>
    <definedName name="_bdm.7A2228AF6E8746C8BE2A3C40FE2592AD.edm" hidden="1" xml:space="preserve"> [7]main!$1:$1048576</definedName>
    <definedName name="_bdm.7B9E02E8FEC94D7C8D63BB8BD8A7F337.edm" hidden="1" xml:space="preserve">  '[6]TNL_TMAR Simples'!$1:$1048576</definedName>
    <definedName name="_bdm.7C1D8551B4BD4A6D84B8CF22BBAEEED7.edm" hidden="1" xml:space="preserve"> '[6]Aumento de Capital'!$1:$1048576</definedName>
    <definedName name="_bdm.7CF56D3E51AC4B188A5255F51A19EE4E.edm" hidden="1" xml:space="preserve">  '[6]Aumento de Capital'!$1:$1048576</definedName>
    <definedName name="_bdm.7D0636E8D8BD44CBBA5338621C9EB931.edm" hidden="1" xml:space="preserve"> [7]main!$1:$1048576</definedName>
    <definedName name="_bdm.7ECD45AF73FE45C7BCC517C0A173486D.edm" hidden="1" xml:space="preserve">  '[6]Aumento de Capital'!$1:$1048576</definedName>
    <definedName name="_bdm.7EEFA99238FF46BFB79CD79A28074FC5.edm" hidden="1" xml:space="preserve">  '[6]Aumento de Capital'!$1:$1048576</definedName>
    <definedName name="_bdm.7FCD5D8ACDF4402E8F23E84356F624AB.edm" hidden="1" xml:space="preserve"> '[10]Avaliação das Participações'!$1:$1048576</definedName>
    <definedName name="_bdm.7FCDCE45268A45649C45B3315166B94E.edm" hidden="1" xml:space="preserve"> '[6]Aumento de Capital'!$1:$1048576</definedName>
    <definedName name="_bdm.7FD772DF97374055B4694265741EF15F.edm" hidden="1" xml:space="preserve">  '[6]TNL 1 e 2'!$1:$1048576</definedName>
    <definedName name="_bdm.81EDEE3AEC6A4D58A7B2D6F5307B3172.edm" hidden="1" xml:space="preserve">  '[6]Aumento de Capital'!$1:$1048576</definedName>
    <definedName name="_bdm.8446535726FF4EC294369088B4FDCAB0.edm" hidden="1" xml:space="preserve"> '[10]Sensibilidade Conversão ON-PN'!$1:$1048576</definedName>
    <definedName name="_bdm.8616E117FA4F4559BD74DB412CC068D8.edm" hidden="1" xml:space="preserve"> '[6]Aumento de Capital'!$1:$1048576</definedName>
    <definedName name="_bdm.869D103A184C408DB2539C01B6FDF664.edm" hidden="1" xml:space="preserve"> '[9]Resumo Aval TmarPart'!$1:$1048576</definedName>
    <definedName name="_bdm.86EBE8A4A62B4D62B2CC6BF41302CE55.edm" hidden="1" xml:space="preserve"> [7]main!$1:$1048576</definedName>
    <definedName name="_bdm.870B1CFBCBBF49A09E2A1DFA1F2D8F90.edm" hidden="1" xml:space="preserve"> [7]main!$1:$1048576</definedName>
    <definedName name="_bdm.878050198CED412C8E624ADFFA0C8290.edm" hidden="1" xml:space="preserve">  '[6]Aumento de Capital'!$1:$1048576</definedName>
    <definedName name="_bdm.87B5A61F2AA14D74865344A372D5CD78.edm" hidden="1" xml:space="preserve">  '[6]TNL_TMAR Simples'!$1:$1048576</definedName>
    <definedName name="_bdm.88DDF7E2886F468DB0D4CD9331E29103.edm" hidden="1" xml:space="preserve">  '[6]Aumento de Capital'!$1:$1048576</definedName>
    <definedName name="_bdm.89762CB0FC3B459284827A2B1904F61F.edm" hidden="1" xml:space="preserve">  '[6]Aumento de Capital'!$1:$1048576</definedName>
    <definedName name="_bdm.8A48D40265AF4A9BBE46712FAD0E8AEB.edm" hidden="1" xml:space="preserve"> [7]main!$1:$1048576</definedName>
    <definedName name="_bdm.8A75900DCC52437DA300D07C94A1052F.edm" hidden="1" xml:space="preserve"> [7]main!$1:$1048576</definedName>
    <definedName name="_bdm.8B845DEDA4764240BB041D1DE3393E97.edm" hidden="1">#REF!</definedName>
    <definedName name="_bdm.8C542EDE2E714B6D98039218BFC6B009.edm" hidden="1" xml:space="preserve"> '[6]Aumento de Capital'!$1:$1048576</definedName>
    <definedName name="_bdm.8CCFE94991DB4BF2A884610204801C02.edm" hidden="1" xml:space="preserve">  '[6]Aumento de Capital'!$1:$1048576</definedName>
    <definedName name="_bdm.8E88F9CE394B4897A9AF4292EAA81453.edm" hidden="1" xml:space="preserve">  '[6]Aumento de Capital'!$1:$1048576</definedName>
    <definedName name="_bdm.8F506E83062540A3ADB0BE99A74860D0.edm" hidden="1" xml:space="preserve">  '[6]Aumento de Capital'!$1:$1048576</definedName>
    <definedName name="_bdm.8F9C106300EA469DB062E0DFF3B46499.edm" hidden="1" xml:space="preserve"> '[6]Aumento de Capital'!$1:$1048576</definedName>
    <definedName name="_bdm.905A6DB34DA741159D037A8E399EED46.edm" hidden="1" xml:space="preserve">  '[6]TNL_TMAR Simples'!$1:$1048576</definedName>
    <definedName name="_bdm.92A29DB5BCD749F58E5840D7230DAE7F.edm" hidden="1" xml:space="preserve">  '[8]Trading comps'!$1:$1048576</definedName>
    <definedName name="_bdm.92DE7D12C5B9409D99DE47153EEE9770.edm" hidden="1" xml:space="preserve"> '[10]Sensibilidade Conversão ON-PN'!$1:$1048576</definedName>
    <definedName name="_bdm.92F6D6A2ECD54BBA8010FE68B0FBE91D.edm" hidden="1" xml:space="preserve">  '[6]Aumento de Capital'!$1:$1048576</definedName>
    <definedName name="_bdm.934EE211A7CE4629AA4A0786FCF209DB.edm" hidden="1" xml:space="preserve">  '[6]Aumento de Capital'!$1:$1048576</definedName>
    <definedName name="_bdm.9371EE78A5944C77AC851A0A9D7EE1FD.edm" hidden="1" xml:space="preserve"> '[6]Aumento de Capital'!$1:$1048576</definedName>
    <definedName name="_bdm.93743DA9D76B4839BC99B45C9DE61DDD.edm" hidden="1" xml:space="preserve">  '[6]TNL_TMAR Simples'!$1:$1048576</definedName>
    <definedName name="_bdm.9447702CAD0A45A8BF37FBFBAFFED294.edm" hidden="1" xml:space="preserve">  '[6]Aumento de Capital'!$1:$1048576</definedName>
    <definedName name="_bdm.959E9AC27B0E4B3F9EFDC271FFC32EA4.edm" hidden="1" xml:space="preserve">  '[6]TNL_TMAR Simples'!$1:$1048576</definedName>
    <definedName name="_bdm.95B79F7FC2414E00B1DD2839223E1A22.edm" hidden="1" xml:space="preserve">  [6]Minoritários!$1:$1048576</definedName>
    <definedName name="_bdm.97744E9B8EA04F92969837BC1DADEDC1.edm" hidden="1" xml:space="preserve">  '[6]Aumento de Capital'!$1:$1048576</definedName>
    <definedName name="_bdm.981F2536C8874A2E99993C9FEE10597B.edm" hidden="1" xml:space="preserve">  '[6]TNL_TMAR Simples'!$1:$1048576</definedName>
    <definedName name="_bdm.98981C304D214BBD928CBD2A36CA2836.edm" hidden="1" xml:space="preserve"> [7]main!$1:$1048576</definedName>
    <definedName name="_bdm.9A9512BA309142BBB547DCEF4CA0FE5B.edm" hidden="1" xml:space="preserve">  '[6]Aumento de Capital'!$1:$1048576</definedName>
    <definedName name="_bdm.9D5A3D695E0542B78B9730A6079E10DD.edm" hidden="1" xml:space="preserve">  '[6]Aumento de Capital'!$1:$1048576</definedName>
    <definedName name="_bdm.9ECC9651F7324897A08E351AED00FEBB.edm" hidden="1" xml:space="preserve">  '[6]TNL_TMAR Simples'!$1:$1048576</definedName>
    <definedName name="_bdm.9FE02B0726454C5FA9A93FDBE429637E.edm" hidden="1" xml:space="preserve">  '[6]TNL_TMAR Simples'!$1:$1048576</definedName>
    <definedName name="_bdm.A033C6DCFA5F45A2A5E0F57311B29F93.edm" hidden="1" xml:space="preserve">  '[6]TNL_TMAR Simples'!$1:$1048576</definedName>
    <definedName name="_bdm.A03DF8BDC601450BAB4BA5B7B203ED67.edm" hidden="1" xml:space="preserve">  '[6]TNL_TMAR Simples'!$1:$1048576</definedName>
    <definedName name="_bdm.A0A90A8A6987458894DBF99B080853C5.edm" hidden="1" xml:space="preserve"> '[6]Aumento de Capital'!$1:$1048576</definedName>
    <definedName name="_bdm.A123ED8994514618972CD2183C482A15.edm" hidden="1" xml:space="preserve">  [6]Minoritários!$1:$1048576</definedName>
    <definedName name="_bdm.A2442A8B6182487A83887C8B5EC7588E.edm" hidden="1" xml:space="preserve">  '[6]Aumento de Capital'!$1:$1048576</definedName>
    <definedName name="_bdm.A45ABC3159B14C51A2E654CB7D2B431D.edm" hidden="1" xml:space="preserve">  '[6]TNL_TMAR Simples'!$1:$1048576</definedName>
    <definedName name="_bdm.A45DFA9FD74141D5A59699C13F54566B.edm" hidden="1" xml:space="preserve">  '[6]TNL 1 e 2'!$1:$1048576</definedName>
    <definedName name="_bdm.A4F3E199A49E4C47A01FEF6F8902F3D6.edm" hidden="1" xml:space="preserve"> [7]main!$1:$1048576</definedName>
    <definedName name="_bdm.A5318815CF0B4FBBB9B03A2B01F86D67.edm" hidden="1" xml:space="preserve">  '[6]Aumento de Capital'!$1:$1048576</definedName>
    <definedName name="_bdm.A5552BD11C13456FA16FFB39ECAAF9ED.edm" hidden="1">#REF!</definedName>
    <definedName name="_bdm.A55D997D0CA144319D5F4AD96065869F.edm" hidden="1" xml:space="preserve">  '[8]Trading comps'!$1:$1048576</definedName>
    <definedName name="_bdm.A6269F79EE6943C69E6C76CF3EBC1C4F.edm" hidden="1" xml:space="preserve">  '[6]Aumento de Capital'!$1:$1048576</definedName>
    <definedName name="_bdm.A78911217BFF4DBFAA0F3AF12871E309.edm" hidden="1">'[11]OffShore Portfolio'!$A:$IV</definedName>
    <definedName name="_bdm.A813BA84A6DA4816B98F6DB66ECF0216.edm" hidden="1" xml:space="preserve">  '[6]Aumento de Capital'!$1:$1048576</definedName>
    <definedName name="_bdm.A82570EB5F5144CE978D0424884ABAD4.edm" hidden="1" xml:space="preserve">  '[6]Aumento de Capital'!$1:$1048576</definedName>
    <definedName name="_bdm.A90A9838173A41C2968F4A8B8DC09A5B.edm" hidden="1" xml:space="preserve">  '[6]TNL_TMAR Simples'!$1:$1048576</definedName>
    <definedName name="_bdm.AAED2E590989470DA8E000A4D9141322.edm" hidden="1">#REF!</definedName>
    <definedName name="_bdm.AB359A75797D4AD8BD2335289881F73A.edm" hidden="1" xml:space="preserve">  '[6]OPA Voluntária BRT'!$1:$1048576</definedName>
    <definedName name="_bdm.AB497C52270C4F4696212E6AE1C64504.edm" hidden="1" xml:space="preserve"> [7]main!$1:$1048576</definedName>
    <definedName name="_bdm.ACA1141F73D749BAAE6E706A624D1143.edm" hidden="1" xml:space="preserve">  '[6]Aumento de Capital'!$1:$1048576</definedName>
    <definedName name="_bdm.AD02BC7C158A42628C00DAA3C35E3915.edm" hidden="1">[15]Comps!$A:$IV</definedName>
    <definedName name="_bdm.AD4B3D65631F431C8AD4A9858E589822.edm" hidden="1" xml:space="preserve"> '[6]Aumento de Capital'!$1:$1048576</definedName>
    <definedName name="_bdm.ADBB9B6EAAF849CDA1A9D147CF7F5595.edm" hidden="1" xml:space="preserve">  '[6]Aumento de Capital'!$1:$1048576</definedName>
    <definedName name="_bdm.AE096A554138464894D3AC545335E59F.edm" hidden="1" xml:space="preserve">  '[6]TNL_TMAR Simples'!$1:$1048576</definedName>
    <definedName name="_bdm.AFDBEC6ADD9C46EC90B6FA0DF6BB9A63.edm" hidden="1" xml:space="preserve"> [7]main!$1:$1048576</definedName>
    <definedName name="_bdm.AFF93C8BE33847BF935DD73FBBAAFC2F.edm" hidden="1" xml:space="preserve">  '[6]Aumento de Capital'!$1:$1048576</definedName>
    <definedName name="_bdm.B0AF1305EDE049AA8E514A4033BCF1EC.edm" hidden="1">#REF!</definedName>
    <definedName name="_bdm.B17D1A4E2CBE46879BF9759E0DCF8DF2.edm" hidden="1">[13]Forecast!$A:$IV</definedName>
    <definedName name="_bdm.B1FEB46BDB8E49A2B6BE880F28A95513.edm" hidden="1" xml:space="preserve"> [7]main!$1:$1048576</definedName>
    <definedName name="_bdm.B256590B439745F8B807327DA6C88D81.edm" hidden="1" xml:space="preserve"> '[6]Aumento de Capital'!$1:$1048576</definedName>
    <definedName name="_bdm.B2793DB9547F4B13954FEFB95FFFE55C.edm" hidden="1" xml:space="preserve">  '[10]Quadros Avaliação JP'!$1:$1048576</definedName>
    <definedName name="_bdm.B317521B54F745E78CBE8B5988ED0292.edm" hidden="1" xml:space="preserve">  '[6]TNL_TMAR Simples'!$1:$1048576</definedName>
    <definedName name="_bdm.B37DEC25C1DF45F6BEA4F8A1866C64AE.edm" hidden="1" xml:space="preserve">  '[6]Aumento de Capital'!$1:$1048576</definedName>
    <definedName name="_bdm.B3B3016041354146AC8CAA313939E510.edm" hidden="1" xml:space="preserve">  '[6]Aumento de Capital'!$1:$1048576</definedName>
    <definedName name="_bdm.B46DF7B706F140F1850E9010E105B421.edm" hidden="1" xml:space="preserve">  '[6]TNL_TMAR Simples'!$1:$1048576</definedName>
    <definedName name="_bdm.B47AF851CFD348A6A469A78C60708011.edm" hidden="1" xml:space="preserve">  '[6]Aumento de Capital'!$1:$1048576</definedName>
    <definedName name="_bdm.B4D958C3773E4C26B7161ADA44F93D55.edm" hidden="1" xml:space="preserve">  '[6]Aumento de Capital'!$1:$1048576</definedName>
    <definedName name="_bdm.B5CCE94FDE5B4E6394ADBC0D26A64C48.edm" hidden="1" xml:space="preserve">  '[6]TNL 1 e 2'!$1:$1048576</definedName>
    <definedName name="_bdm.B60AF8CDE93647D39FB3816BC153DD85.edm" hidden="1" xml:space="preserve"> [7]main!$1:$1048576</definedName>
    <definedName name="_bdm.B69D0B08889B405BA9D5D50FCEDDF639.edm" hidden="1" xml:space="preserve">  '[6]Aumento de Capital'!$1:$1048576</definedName>
    <definedName name="_bdm.B6F5F3F3405949F8A3EBA33234AF3A01.edm" hidden="1" xml:space="preserve">  '[6]Aumento de Capital'!$1:$1048576</definedName>
    <definedName name="_bdm.B841EFFE12E9488DAE41676E987A9AA9.edm" hidden="1" xml:space="preserve">  '[6]TNL_TMAR Simples'!$1:$1048576</definedName>
    <definedName name="_bdm.B924BFBECCDF4DC4A670F86C433A1FC9.edm" hidden="1" xml:space="preserve">  '[6]Aumento de Capital'!$1:$1048576</definedName>
    <definedName name="_bdm.B98C225F10424ED2AF905B9B6CB59667.edm" hidden="1" xml:space="preserve"> [7]main!$1:$1048576</definedName>
    <definedName name="_bdm.BA1CB1017E4C4C8396AD1BAAAFC8B4ED.edm" hidden="1" xml:space="preserve"> '[10]Avaliação das Participações'!$1:$1048576</definedName>
    <definedName name="_bdm.BA383BC43C9E43F189F3F3A144234079.edm" hidden="1" xml:space="preserve"> '[6]Aumento de Capital'!$1:$1048576</definedName>
    <definedName name="_bdm.BAC12E65783C497791CF296663CABD19.edm" hidden="1">[16]Output!$A:$IV</definedName>
    <definedName name="_bdm.BAC6DC5CE0274B93A5E7D06DEFC20DB3.edm" hidden="1" xml:space="preserve">  '[6]Aumento de Capital'!$1:$1048576</definedName>
    <definedName name="_bdm.BB3AE46F56964A33950DA4E3E44B25EE.edm" hidden="1" xml:space="preserve"> '[6]Aumento de Capital'!$1:$1048576</definedName>
    <definedName name="_bdm.BBD1BD6BAE6C44E0826535BCB6A3A726.edm" hidden="1" xml:space="preserve">  '[6]TNL_TMAR Simples'!$1:$1048576</definedName>
    <definedName name="_bdm.BC0AE9F00E6944C3B828A8C0E90843A6.edm" hidden="1" xml:space="preserve"> '[6]Aumento de Capital'!$1:$1048576</definedName>
    <definedName name="_bdm.BC242BEED65E466A8C97A8F485B6D0E4.edm" hidden="1" xml:space="preserve">  '[6]Aumento de Capital'!$1:$1048576</definedName>
    <definedName name="_bdm.BC288BB9D7564E468BD4C5877A894639.edm" hidden="1" xml:space="preserve">  '[6]Aumento de Capital'!$1:$1048576</definedName>
    <definedName name="_bdm.BC2BD283395947509145056EB610A765.edm" hidden="1" xml:space="preserve">  [7]main!$1:$1048576</definedName>
    <definedName name="_bdm.BD01F3F7A5924117BBCE74D96D72BA33.edm" hidden="1" xml:space="preserve"> '[10]Sensibilidade Conversão ON-PN'!$1:$1048576</definedName>
    <definedName name="_bdm.BE01BDFB9B164A928D5DF206A52A7618.edm" hidden="1" xml:space="preserve">  '[6]Aumento de Capital'!$1:$1048576</definedName>
    <definedName name="_bdm.BE20624FE57B4EF09144871A4CA620BD.edm" hidden="1" xml:space="preserve"> [7]main!$1:$1048576</definedName>
    <definedName name="_bdm.BEA7D2A4EF3B4E32B3FE4F6541AFFD78.edm" hidden="1" xml:space="preserve">  [6]Minoritários!$1:$1048576</definedName>
    <definedName name="_bdm.BF143FF13C8F480088D6847223373798.edm" hidden="1" xml:space="preserve">  '[6]TNL_TMAR Simples'!$1:$1048576</definedName>
    <definedName name="_bdm.BF7DCFD989AE4062B97308E0EA4E6116.edm" hidden="1" xml:space="preserve">  '[6]TNL_TMAR Simples'!$1:$1048576</definedName>
    <definedName name="_bdm.BFAFC5DA26424855A9B05F56E34D1E38.edm" hidden="1" xml:space="preserve">    '[6]TNL_TMAR Simples'!$1:$1048576</definedName>
    <definedName name="_bdm.BFC2D746790941A7AD09CFCCEE6FE652.edm" hidden="1" xml:space="preserve">  '[6]Aumento de Capital'!$1:$1048576</definedName>
    <definedName name="_bdm.BFD085A6153C4A8EB255216D0CA8C48E.edm" hidden="1" xml:space="preserve">  '[6]TNL_TMAR Simples'!$1:$1048576</definedName>
    <definedName name="_bdm.C0B3EE212ADD4B3A9E55F007D06B309B.edm" hidden="1">'[14]NASDAQ (rev)'!$A$1:$IV$65536</definedName>
    <definedName name="_bdm.C0D504E0853A4DCF874B367CDADA6082.edm" hidden="1" xml:space="preserve">    '[6]Aumento de Capital'!$1:$1048576</definedName>
    <definedName name="_bdm.C2D0850EB14C4AD5B86F62839572A184.edm" hidden="1" xml:space="preserve"> '[6]Aumento de Capital'!$1:$1048576</definedName>
    <definedName name="_bdm.C32CB2C414C64D778AC9CF684BB6D2E2.edm" hidden="1" xml:space="preserve">  '[6]TNL_TMAR Simples'!$1:$1048576</definedName>
    <definedName name="_bdm.C409E645325E4BE1A8984137B0BC61D4.edm" hidden="1" xml:space="preserve">  '[6]TNL_TMAR Simples'!$1:$1048576</definedName>
    <definedName name="_bdm.C42FF16EE0134B5A8CBC5F1C45A064C8.edm" hidden="1" xml:space="preserve">   '[8]Trading comps'!$1:$1048576</definedName>
    <definedName name="_bdm.C46EB1DBA8FB470E89175EFC8298FDE0.edm" hidden="1" xml:space="preserve">  '[6]Aumento de Capital'!$1:$1048576</definedName>
    <definedName name="_bdm.C489C9B15D7342A2A4E3500BF19B86F9.edm" hidden="1" xml:space="preserve"> '[6]Aumento de Capital'!$1:$1048576</definedName>
    <definedName name="_bdm.C51CDBC494A140E79721F353689FDF80.edm" hidden="1" xml:space="preserve"> '[6]Aumento de Capital'!$1:$1048576</definedName>
    <definedName name="_bdm.C528431DC18D4B25943ECA6CB831FDAF.edm" hidden="1" xml:space="preserve"> [7]main!$1:$1048576</definedName>
    <definedName name="_bdm.C5A29E6624984404A4A98B9782A32C48.edm" hidden="1" xml:space="preserve">  '[6]TNL_TMAR Simples'!$1:$1048576</definedName>
    <definedName name="_bdm.C5F236DC4C6740838557077DBD9ECAB1.edm" hidden="1" xml:space="preserve"> '[6]Aumento de Capital'!$1:$1048576</definedName>
    <definedName name="_bdm.C63CA0AFA9C544D4AD4493D67268FE4A.edm" hidden="1" xml:space="preserve"> '[6]Aumento de Capital'!$1:$1048576</definedName>
    <definedName name="_bdm.C647F56DC92E4443B2309B949332965F.edm" hidden="1" xml:space="preserve">  '[6]Aumento de Capital'!$1:$1048576</definedName>
    <definedName name="_bdm.C78FEA792E82410AB71BCF5C629649D9.edm" hidden="1" xml:space="preserve">  '[6]TNL_TMAR Simples'!$1:$1048576</definedName>
    <definedName name="_bdm.C8839B4805FD4A768E1463B2198C90AB.edm" hidden="1" xml:space="preserve">  '[6]Aumento de Capital'!$1:$1048576</definedName>
    <definedName name="_bdm.C8C2E8761EC84B28BF424E297CC589C8.edm" hidden="1" xml:space="preserve">  '[6]Aumento de Capital'!$1:$1048576</definedName>
    <definedName name="_bdm.C920BCEA873646C9AAF679C098BDBAEF.edm" hidden="1" xml:space="preserve">  '[6]TNL_TMAR Simples'!$1:$1048576</definedName>
    <definedName name="_bdm.C9383EC514574A948F0E0972B4864F34.edm" hidden="1" xml:space="preserve">  '[6]Aumento de Capital'!$1:$1048576</definedName>
    <definedName name="_bdm.C9FCE63A4C354204AB1BD4D4BE59AE5A.edm" hidden="1" xml:space="preserve">  '[6]TNL_TMAR Simples'!$1:$1048576</definedName>
    <definedName name="_bdm.CAA7A150B38C444CA23997A73199497C.edm" hidden="1" xml:space="preserve"> '[9]Avaliação TMar-&gt;TNL'!$1:$1048576</definedName>
    <definedName name="_bdm.CB068EBCF3DE421B8DBDF4A975ADD2E0.edm" hidden="1" xml:space="preserve"> [7]main!$1:$1048576</definedName>
    <definedName name="_bdm.CC0F926CE87F4DBE84B152AFEB7BF43D.edm" hidden="1" xml:space="preserve">  '[6]TNL_TMAR Simples'!$1:$1048576</definedName>
    <definedName name="_bdm.CC10F4C8505E4ECBAF218DD2C4633C98.edm" hidden="1" xml:space="preserve"> '[6]Aumento de Capital'!$1:$1048576</definedName>
    <definedName name="_bdm.CD42979E95C9409697059C59BD1A0E53.edm" hidden="1" xml:space="preserve">  '[6]Aumento de Capital'!$1:$1048576</definedName>
    <definedName name="_bdm.CD6517E42E024D5D8EED4ECF36E82780.edm" hidden="1" xml:space="preserve">  '[6]Aumento de Capital'!$1:$1048576</definedName>
    <definedName name="_bdm.CDEB599349BF4A10A5D92327C92428A3.edm" hidden="1" xml:space="preserve">  '[6]TNL_TMAR Simples'!$1:$1048576</definedName>
    <definedName name="_bdm.CEF1386C1C9C4D95A00DFA7AEE01CB8B.edm" hidden="1" xml:space="preserve">  '[6]Aumento de Capital'!$1:$1048576</definedName>
    <definedName name="_bdm.CFAD62256C804BE4A092DA18A424B998.edm" hidden="1" xml:space="preserve">  [6]Minoritários!$1:$1048576</definedName>
    <definedName name="_bdm.D04C46DE5B3246EAAF951F587F4E6A4A.edm" hidden="1" xml:space="preserve"> '[6]Aumento de Capital'!$1:$1048576</definedName>
    <definedName name="_bdm.D072251A95184D6797E4334B94EFFA1D.edm" hidden="1" xml:space="preserve">  '[6]TNL_TMAR Simples'!$1:$1048576</definedName>
    <definedName name="_bdm.D08B361AC0D94A9A9E9BCE7B6F7BA942.edm" hidden="1" xml:space="preserve"> [7]main!$1:$1048576</definedName>
    <definedName name="_bdm.D13D1FB7C4C14C4B9446ADFFBE18DD37.edm" hidden="1" xml:space="preserve"> '[6]Aumento de Capital'!$1:$1048576</definedName>
    <definedName name="_bdm.D182F8E36CD34496952216B3CB39E610.edm" hidden="1" xml:space="preserve">  '[6]Aumento de Capital'!$1:$1048576</definedName>
    <definedName name="_bdm.D250ACF145044092A1255C3A00DABD29.edm" hidden="1" xml:space="preserve">  '[6]TNL_TMAR Simples'!$1:$1048576</definedName>
    <definedName name="_bdm.D2B9511B280A4D2DAB26EDC0AEBDE3B1.edm" hidden="1" xml:space="preserve">  [6]Minoritários!$1:$1048576</definedName>
    <definedName name="_bdm.D3B85AB1BC6F4728A6EE562CF3425514.edm" hidden="1" xml:space="preserve">  '[8]Trading comps'!$1:$1048576</definedName>
    <definedName name="_bdm.D3CA85A4A94343CD845F7E9A654EA875.edm" hidden="1" xml:space="preserve"> [7]main!$1:$1048576</definedName>
    <definedName name="_bdm.D3FBDFDF277448B097B4BD556328CB4F.edm" hidden="1" xml:space="preserve"> [7]main!$1:$1048576</definedName>
    <definedName name="_bdm.D42D94D8BF20405B986BD41817FE8BE1.edm" hidden="1" xml:space="preserve">  '[6]Aumento de Capital'!$1:$1048576</definedName>
    <definedName name="_bdm.D48F732E64CD4C6CAA351D940CBA6AC8.edm" hidden="1" xml:space="preserve"> '[6]Aumento de Capital'!$1:$1048576</definedName>
    <definedName name="_bdm.D4DC257E847E4EB5A478383A94E73413.edm" hidden="1" xml:space="preserve">  '[6]TNL_TMAR Simples'!$1:$1048576</definedName>
    <definedName name="_bdm.D599C0D51D0E4D7B85839CA60093D87F.edm" hidden="1" xml:space="preserve"> '[9]Avaliação TMar-&gt;TNL'!$1:$1048576</definedName>
    <definedName name="_bdm.D5BDB9C0477943049D8B5DCC01D97A6A.edm" hidden="1" xml:space="preserve">  '[6]TNL_TMAR Simples'!$1:$1048576</definedName>
    <definedName name="_bdm.D6029CFF5B4E4220843397CA2E69AABB.edm" hidden="1" xml:space="preserve">  '[6]TNL_TMAR Simples'!$1:$1048576</definedName>
    <definedName name="_bdm.D6BA67C410314D37A73696A431DA4CCC.edm" hidden="1" xml:space="preserve">  '[6]TNL_TMAR Simples'!$1:$1048576</definedName>
    <definedName name="_bdm.D702AC9A9ECD473192A63E1211AB36A0.edm" hidden="1" xml:space="preserve">  '[6]OPA Voluntária BRT'!$1:$1048576</definedName>
    <definedName name="_bdm.D712AA8444B04BEFBAF6F4F61A46CC28.edm" hidden="1" xml:space="preserve">  '[6]Aumento de Capital'!$1:$1048576</definedName>
    <definedName name="_bdm.D733FEB2936A4F7ABA317F642E521E29.edm" hidden="1" xml:space="preserve"> '[6]Aumento de Capital'!$1:$1048576</definedName>
    <definedName name="_bdm.D7917BEFCBC44B6AA5011EB7405EB462.edm" hidden="1" xml:space="preserve"> [7]main!$1:$1048576</definedName>
    <definedName name="_bdm.D7A674489014407E8DB64E3592840386.edm" hidden="1" xml:space="preserve"> [7]main!$1:$1048576</definedName>
    <definedName name="_bdm.D7C94B8E8C624050B4BF38484DDDEA0C.edm" hidden="1" xml:space="preserve">  '[6]Aumento de Capital'!$1:$1048576</definedName>
    <definedName name="_bdm.D8ACD485537F4CC6B586542AC62CA582.edm" hidden="1" xml:space="preserve">  '[6]TNL_TMAR Simples'!$1:$1048576</definedName>
    <definedName name="_bdm.DA08388848894B74B36693E4CD21F653.edm" hidden="1" xml:space="preserve">    '[6]Aumento de Capital'!$1:$1048576</definedName>
    <definedName name="_bdm.DA7C0BD262C3446A90561F93D49FBA23.edm" hidden="1" xml:space="preserve">  '[6]Aumento de Capital'!$1:$1048576</definedName>
    <definedName name="_bdm.DB63DC6AA32C4F4BBC75CD317DB33599.edm" hidden="1" xml:space="preserve">  [7]main!$1:$1048576</definedName>
    <definedName name="_bdm.DB9C9D7B1EB74331BAE1461C85E2D2C2.edm" hidden="1" xml:space="preserve"> [7]main!$1:$1048576</definedName>
    <definedName name="_bdm.DBF71A54F63744AC9C0D3832B886BFC7.edm" hidden="1" xml:space="preserve"> '[6]Aumento de Capital'!$1:$1048576</definedName>
    <definedName name="_bdm.DBFF013982B4411BB9BDA9548860E3C8.edm" hidden="1" xml:space="preserve">    '[6]TNL_TMAR Simples'!$1:$1048576</definedName>
    <definedName name="_bdm.DDF0DF4E210B4863B54373C4407823C3.edm" hidden="1" xml:space="preserve"> '[7]Preços de mercado'!$1:$1048576</definedName>
    <definedName name="_bdm.DE1666D2AD9F403C8640068042A3BBF5.edm" hidden="1" xml:space="preserve">  [6]Minoritários!$1:$1048576</definedName>
    <definedName name="_bdm.DE3557A4A3644BE9A60DCD1B86BC220A.edm" hidden="1" xml:space="preserve"> '[10]Sensibilidade Conversão ON-PN'!$1:$1048576</definedName>
    <definedName name="_bdm.DEA4029BF4EB48FAAAB46D8A429ABC30.edm" hidden="1" xml:space="preserve">  '[6]TNL_TMAR Simples'!$1:$1048576</definedName>
    <definedName name="_bdm.DFD11871DCB44F8EA0C96E964C1F62DA.edm" hidden="1" xml:space="preserve"> [7]main!$1:$1048576</definedName>
    <definedName name="_bdm.E01A1FF14B73455FA12803EFA2A20789.edm" hidden="1" xml:space="preserve"> [7]main!$1:$1048576</definedName>
    <definedName name="_bdm.E08839B5455345EFBF96CBC09B2D2571.edm" hidden="1" xml:space="preserve"> '[10]Avaliação das Participações'!$1:$1048576</definedName>
    <definedName name="_bdm.E1B6F6D5AD844DD18208B04A162D5090.edm" hidden="1" xml:space="preserve">  '[6]Aumento de Capital'!$1:$1048576</definedName>
    <definedName name="_bdm.E21F79B8ABD449838B86A6EF3BBDAD90.edm" hidden="1" xml:space="preserve">  '[8]Trading comps'!$1:$1048576</definedName>
    <definedName name="_bdm.E25BF672C2E64CC0A63C533D88647C65.edm" hidden="1">'[11]Consolidated Cash Flow'!$A:$IV</definedName>
    <definedName name="_bdm.E30D27A89FF94B9CA9431C78A76DE2DF.edm" hidden="1" xml:space="preserve">  '[6]Aumento de Capital'!$1:$1048576</definedName>
    <definedName name="_bdm.E46157E129E142528F964A2374A7707E.edm" hidden="1" xml:space="preserve">  '[6]Aumento de Capital'!$1:$1048576</definedName>
    <definedName name="_bdm.E48CEEF55EFD4DC2B86E2633B5E8FD8C.edm" hidden="1" xml:space="preserve">  '[6]Aumento de Capital'!$1:$1048576</definedName>
    <definedName name="_bdm.E4AF888FE7BD4045A62834560FC03222.edm" hidden="1" xml:space="preserve">  '[6]Aumento de Capital'!$1:$1048576</definedName>
    <definedName name="_bdm.E4CF1283C9C149C692B20241539A83C9.edm" hidden="1" xml:space="preserve">  '[6]Aumento de Capital'!$1:$1048576</definedName>
    <definedName name="_bdm.E4D39378AE0840CC9A93ED527AD46312.edm" hidden="1" xml:space="preserve">  '[6]Aumento de Capital'!$1:$1048576</definedName>
    <definedName name="_bdm.E4D5D81920064AE3BA8DC6750C83EF79.edm" hidden="1" xml:space="preserve"> '[6]Aumento de Capital'!$1:$1048576</definedName>
    <definedName name="_bdm.E5658B68588E46B58A43D16673B5E655.edm" hidden="1" xml:space="preserve">  '[6]TNL_TMAR Simples'!$1:$1048576</definedName>
    <definedName name="_bdm.E659841E550A4A1EB0B6C844363AC077.edm" hidden="1" xml:space="preserve"> [7]main!$1:$1048576</definedName>
    <definedName name="_bdm.E65D502C8B064BC3A6F109351BF8037E.edm" hidden="1" xml:space="preserve">  '[6]TNL_TMAR Simples'!$1:$1048576</definedName>
    <definedName name="_bdm.E85BDA202746449BB582A37B5FF1C9C9.edm" hidden="1" xml:space="preserve"> '[6]Aumento de Capital'!$1:$1048576</definedName>
    <definedName name="_bdm.E8C31A82CBBE490A8BC89FE648D5A57D.edm" hidden="1" xml:space="preserve"> [7]main!$1:$1048576</definedName>
    <definedName name="_bdm.E8C70D4BD602445E9AEE5B94D44DABC0.edm" hidden="1" xml:space="preserve">  '[6]Aumento de Capital'!$1:$1048576</definedName>
    <definedName name="_bdm.E94D2E6FA97E4D7A8D4F47902DBF6D06.edm" hidden="1" xml:space="preserve">  '[6]TNL 1 e 2'!$1:$1048576</definedName>
    <definedName name="_bdm.EA56479A4FFF48E49B8E70174D9EC0BB.edm" hidden="1" xml:space="preserve">  '[6]Aumento de Capital'!$1:$1048576</definedName>
    <definedName name="_bdm.EA756B491E98464EBA8FD85C9F63E14E.edm" hidden="1" xml:space="preserve"> '[6]Aumento de Capital'!$1:$1048576</definedName>
    <definedName name="_bdm.EA993DD87A6C4E609D12CBD270F88067.edm" hidden="1" xml:space="preserve"> '[10]Avaliação das Participações'!$1:$1048576</definedName>
    <definedName name="_bdm.EAF05C5B86EB4FA3B505C263FEB215A3.edm" hidden="1" xml:space="preserve"> [7]main!$1:$1048576</definedName>
    <definedName name="_bdm.EAF5B01284C44C1C9E24FCFCFFDAD1C4.edm" hidden="1" xml:space="preserve">  '[6]Aumento de Capital'!$1:$1048576</definedName>
    <definedName name="_bdm.EB3B7303CA6B45F5A71299C964BC0DBF.edm" hidden="1" xml:space="preserve">  '[6]Aumento de Capital'!$1:$1048576</definedName>
    <definedName name="_bdm.EB68B52410DB4DEBB995B08DDFDF03AB.edm" hidden="1" xml:space="preserve"> '[6]Aumento de Capital'!$1:$1048576</definedName>
    <definedName name="_bdm.ECC35B303AC641AD9723EF54E4367A4B.edm" hidden="1" xml:space="preserve">  '[6]Aumento de Capital'!$1:$1048576</definedName>
    <definedName name="_bdm.ED371748F146409583366CC7BC089E23.edm" hidden="1" xml:space="preserve">  '[6]Aumento de Capital'!$1:$1048576</definedName>
    <definedName name="_bdm.EDAA0EBCAC284E788343F71E18A8EC71.edm" hidden="1" xml:space="preserve">  '[6]Aumento de Capital'!$1:$1048576</definedName>
    <definedName name="_bdm.EDDBADB6DF474C77837580FC78710989.edm" hidden="1" xml:space="preserve">  '[6]TNL_TMAR Simples'!$1:$1048576</definedName>
    <definedName name="_bdm.EEC11EA3246F421A8A93D0793ADA3D23.edm" hidden="1" xml:space="preserve">  '[6]Debentures BNDES'!$1:$1048576</definedName>
    <definedName name="_bdm.EEE3E104A5B84984B66FA7FFBB833C3B.edm" hidden="1" xml:space="preserve">  '[6]Aumento de Capital'!$1:$1048576</definedName>
    <definedName name="_bdm.EF28FFBFA75A4E61BBB76FEFAA7C1A53.edm" hidden="1" xml:space="preserve">  [6]Resumo!$1:$1048576</definedName>
    <definedName name="_bdm.F04BB84776C5450F85730BD760D1C9C8.edm" hidden="1" xml:space="preserve">  '[6]Aumento de Capital'!$1:$1048576</definedName>
    <definedName name="_bdm.F10BB5319BB54604AA8F45F378BF0565.edm" hidden="1" xml:space="preserve"> '[6]Aumento de Capital'!$1:$1048576</definedName>
    <definedName name="_bdm.F1210EF97D6A45ADA17C3D7D0F85F489.edm" hidden="1" xml:space="preserve"> '[6]Aumento de Capital'!$1:$1048576</definedName>
    <definedName name="_bdm.F1CD4634C577422BB05AEF6B4BA429A2.edm" hidden="1" xml:space="preserve">  '[6]Aumento de Capital'!$1:$1048576</definedName>
    <definedName name="_bdm.F1D7170B8FDF465E8A1CCEFC4F4F7273.edm" hidden="1" xml:space="preserve">  '[6]TNL_TMAR Simples'!$1:$1048576</definedName>
    <definedName name="_bdm.F3E0A2EF224E4C0EB42DD926D389D99D.edm" hidden="1" xml:space="preserve">  '[6]Aumento de Capital'!$1:$1048576</definedName>
    <definedName name="_bdm.F45A87637BAF4F30825CFA0849A5B158.edm" hidden="1" xml:space="preserve"> '[6]Aumento de Capital'!$1:$1048576</definedName>
    <definedName name="_bdm.F45B926099ED4CE08ADFA9F3C7F2F891.edm" hidden="1">#REF!</definedName>
    <definedName name="_bdm.F4D27409E0EF40A5AABEF08A660B1B5F.edm" hidden="1" xml:space="preserve">  '[6]TNL_TMAR Simples'!$1:$1048576</definedName>
    <definedName name="_bdm.F572F41CF83D4D52A9586CAF9B233C17.edm" hidden="1" xml:space="preserve">  '[6]Aumento de Capital'!$1:$1048576</definedName>
    <definedName name="_bdm.F6D349E5A6E34CD2BA5B28D239A5D1F1.edm" hidden="1" xml:space="preserve">  '[6]TNL 1 e 2'!$1:$1048576</definedName>
    <definedName name="_bdm.F77D934A1F7C40C9BBAC55F06C96B4F1.edm" hidden="1" xml:space="preserve">  '[6]Aumento de Capital'!$1:$1048576</definedName>
    <definedName name="_bdm.F8BDE0A5C40941A796669D6DF1AB9FD4.edm" hidden="1" xml:space="preserve"> '[6]Aumento de Capital'!$1:$1048576</definedName>
    <definedName name="_bdm.FA81265982004778BA7022A13E5DEC4E.edm" hidden="1" xml:space="preserve">  '[6]Aumento de Capital'!$1:$1048576</definedName>
    <definedName name="_bdm.FB60952F77964231B9D2D31C15B20A04.edm" hidden="1" xml:space="preserve">  '[10]Sensibilidade Conversão ON-PN'!$1:$1048576</definedName>
    <definedName name="_bdm.FB9079A09E0643998A5BDC5A3D7A6FB6.edm" hidden="1" xml:space="preserve">  '[6]Aumento de Capital'!$1:$1048576</definedName>
    <definedName name="_bdm.FBF983D235A3410E8C33EE6666754B1A.edm" hidden="1" xml:space="preserve">  '[6]Aumento de Capital'!$1:$1048576</definedName>
    <definedName name="_bdm.FC23C64A9BE84069BA0B4E97F8D42183.edm" hidden="1">'[11]Graficos Guanambi'!$A:$IV</definedName>
    <definedName name="_bdm.FC5D51E64C114CDCBDD81A3735B9A4CD.edm" hidden="1" xml:space="preserve">  '[6]Aumento de Capital'!$1:$1048576</definedName>
    <definedName name="_bdm.FC7849EAEB3348F380C96F0E86C3B7A3.edm" hidden="1" xml:space="preserve">  '[6]Aumento de Capital'!$1:$1048576</definedName>
    <definedName name="_bdm.FC9F40A8FA864D22A8A9B6ACC5D8C8F1.edm" hidden="1">'[13]Sensitivity analysis'!$A:$IV</definedName>
    <definedName name="_bdm.FCD0B20EC2A245B4A1DC5EFEBBF95E25.edm" hidden="1" xml:space="preserve">  '[8]Trading comps'!$1:$1048576</definedName>
    <definedName name="_bdm.FCD40190CB3C482EA57B37CE30B97BFC.edm" hidden="1" xml:space="preserve">  '[6]TNL 1 e 2'!$1:$1048576</definedName>
    <definedName name="_bdm.FD0FB997A59D44D4A7C561D40BAE2B0A.edm" hidden="1" xml:space="preserve">  '[6]Aumento de Capital'!$1:$1048576</definedName>
    <definedName name="_bdm.FD619B2BE6384A92B9B607A3214BB6AD.edm" hidden="1" xml:space="preserve">  '[6]TNL_TMAR Simples'!$1:$1048576</definedName>
    <definedName name="_bdm.FD90EDC585044C769A031D3B6C126A9F.edm" hidden="1" xml:space="preserve"> '[6]Aumento de Capital'!$1:$1048576</definedName>
    <definedName name="_bdm.FDF6EB70FD864825A3BCD3C3A467DEFC.edm" hidden="1" xml:space="preserve">  '[6]Aumento de Capital'!$1:$1048576</definedName>
    <definedName name="_bdm.FE6989CCE97845AAB0B142D6987B5EAF.edm" hidden="1" xml:space="preserve">  '[6]Aumento de Capital'!$1:$1048576</definedName>
    <definedName name="_bdm.FE7E29554D7A49769AD53B781287B701.edm" hidden="1" xml:space="preserve">  '[6]Aumento de Capital'!$1:$1048576</definedName>
    <definedName name="_bdm.FF85DBD643924D11ACA5DC95986BC129.edm" hidden="1" xml:space="preserve">  '[6]Aumento de Capital'!$1:$1048576</definedName>
    <definedName name="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4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6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U4" hidden="1">{"Page 1",#N/A,TRUE,"Sheet1";"Page 2",#N/A,TRUE,"Sheet1"}</definedName>
    <definedName name="_Fill" hidden="1">#REF!</definedName>
    <definedName name="_xlnm._FilterDatabase" localSheetId="0" hidden="1">Vito!$A$9:$P$132</definedName>
    <definedName name="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Key1" hidden="1">[17]Factset!#REF!</definedName>
    <definedName name="_Key2" hidden="1">#REF!</definedName>
    <definedName name="_KeyAriane" hidden="1">[17]Factset!#REF!</definedName>
    <definedName name="_Order1" hidden="1">0</definedName>
    <definedName name="_Order2" hidden="1">255</definedName>
    <definedName name="_PRP2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_Regression_Out" hidden="1">'[14]Football Field'!$F$77:$F$77</definedName>
    <definedName name="_Regression_X" hidden="1">#REF!</definedName>
    <definedName name="_Regression_Y" hidden="1">'[14]Football Field'!$D$79:$D$81</definedName>
    <definedName name="_Sort" hidden="1">[17]Factset!#REF!</definedName>
    <definedName name="_Table1_In1" hidden="1">[18]Consolidated!#REF!</definedName>
    <definedName name="_Table1_Out" hidden="1">[18]Consolidated!#REF!</definedName>
    <definedName name="_Table2_In1" hidden="1">[18]Consolidated!#REF!</definedName>
    <definedName name="_Table2_In2" hidden="1">#REF!</definedName>
    <definedName name="_Table2_Out" hidden="1">[18]Consolidated!#REF!</definedName>
    <definedName name="_Table3_In2" hidden="1">'[14]Football Field'!$P$12:$P$12</definedName>
    <definedName name="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a" hidden="1">{"'REL CUSTODIF'!$B$1:$H$72"}</definedName>
    <definedName name="aa" hidden="1">{"'REL CUSTODIF'!$B$1:$H$72"}</definedName>
    <definedName name="AAA" hidden="1">'[2]Monthly Forecast'!#REF!</definedName>
    <definedName name="AAA_DOCTOPS" hidden="1">"AAA_SET"</definedName>
    <definedName name="AAA_duser" hidden="1">"OFF"</definedName>
    <definedName name="AAAAAAAAAAAAA" hidden="1">'[14]Football Field'!#REF!</definedName>
    <definedName name="aaaaaaaaaaaaaaaaaaa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" hidden="1">{"page1",#N/A,FALSE,"PF";"page2",#N/A,FALSE,"PF";"page3",#N/A,FALSE,"PF";"page4",#N/A,FALSE,"Bal_Sht"}</definedName>
    <definedName name="ab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BRIL" hidden="1">{#N/A,#N/A,FALSE,"GP";#N/A,#N/A,FALSE,"Summary"}</definedName>
    <definedName name="AccessDatabase" hidden="1">"H:\Comps Table\Comp Sheet V4.1 (25th May 2000).mdb"</definedName>
    <definedName name="ads" hidden="1">{"page1",#N/A,FALSE,"PF";"page2",#N/A,FALSE,"PF";"page3",#N/A,FALSE,"PF";"page4",#N/A,FALSE,"Bal_Sht"}</definedName>
    <definedName name="adsf" hidden="1">{"balsheet",#N/A,FALSE,"TEMPLATE";"income",#N/A,FALSE,"TEMPLATE";"ratios1",#N/A,FALSE,"TEMPLATE";"ratios2",#N/A,FALSE,"TEMPLATE";"sources",#N/A,FALSE,"TEMPLATE";"earned",#N/A,FALSE,"TEMPLATE";"dividends",#N/A,FALSE,"TEMPLATE";"portfolio",#N/A,FALSE,"TEMPLATE";"bonds",#N/A,FALSE,"TEMPLATE";"payouts",#N/A,FALSE,"TEMPLATE";"losses1",#N/A,FALSE,"TEMPLATE";"losses2",#N/A,FALSE,"TEMPLATE"}</definedName>
    <definedName name="Agenda" hidden="1">{#N/A,#N/A,FALSE,"SUMMARY";#N/A,#N/A,FALSE,"BPCS TOTAL";#N/A,#N/A,FALSE,"IBIZ TOTAL";#N/A,#N/A,FALSE,"INFIN TOTAL";#N/A,#N/A,FALSE,"CORP Consolidated";#N/A,#N/A,FALSE,"NA Consolidated";#N/A,#N/A,FALSE,"APJ Consolidated";#N/A,#N/A,FALSE,"EMEA Consolidated";#N/A,#N/A,FALSE,"LA Consolidated";#N/A,#N/A,FALSE,"OGS SUMMARY";#N/A,#N/A,FALSE,"Changes"}</definedName>
    <definedName name="Agenda_Capex" hidden="1">{#N/A,#N/A,FALSE,"SUMMARY";#N/A,#N/A,FALSE,"BPCS TOTAL";#N/A,#N/A,FALSE,"IBIZ TOTAL";#N/A,#N/A,FALSE,"INFIN TOTAL";#N/A,#N/A,FALSE,"CORP Consolidated";#N/A,#N/A,FALSE,"NA Consolidated";#N/A,#N/A,FALSE,"APJ Consolidated";#N/A,#N/A,FALSE,"EMEA Consolidated";#N/A,#N/A,FALSE,"LA Consolidated";#N/A,#N/A,FALSE,"OGS SUMMARY";#N/A,#N/A,FALSE,"Changes"}</definedName>
    <definedName name="AGenda1" hidden="1">{#N/A,#N/A,FALSE,"SUMMARY";#N/A,#N/A,FALSE,"BPCS TOTAL";#N/A,#N/A,FALSE,"IBIZ TOTAL";#N/A,#N/A,FALSE,"INFIN TOTAL";#N/A,#N/A,FALSE,"CORP Consolidated";#N/A,#N/A,FALSE,"NA Consolidated";#N/A,#N/A,FALSE,"APJ Consolidated";#N/A,#N/A,FALSE,"EMEA Consolidated";#N/A,#N/A,FALSE,"LA Consolidated";#N/A,#N/A,FALSE,"OGS SUMMARY";#N/A,#N/A,FALSE,"Changes"}</definedName>
    <definedName name="ago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s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nscount" hidden="1">1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re" hidden="1">{#N/A,#N/A,FALSE,"Sheet1"}</definedName>
    <definedName name="as" hidden="1">{#N/A,#N/A,FALSE,"Sheet1"}</definedName>
    <definedName name="AS2DocOpenMode" hidden="1">"AS2DocumentEdit"</definedName>
    <definedName name="asd" hidden="1">{#N/A,#N/A,FALSE,"GERAL";#N/A,#N/A,FALSE,"LOCAÇÃO";#N/A,#N/A,FALSE,"FRETAMENTO";#N/A,#N/A,FALSE,"CARRETAS"}</definedName>
    <definedName name="asdfc" hidden="1">{"sens1\",#N/A,FALSE,"PF";"sens2",#N/A,FALSE,"PF";"sens3",#N/A,FALSE,"PF";"sens4",#N/A,FALSE,"PF"}</definedName>
    <definedName name="Atb_CentroDeCusto">#REF!</definedName>
    <definedName name="AVP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b" hidden="1">{"'REL CUSTODIF'!$B$1:$H$72"}</definedName>
    <definedName name="bg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igsheet5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LPH1" hidden="1">#REF!</definedName>
    <definedName name="BLPH10" hidden="1">[19]Historical!#REF!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3" hidden="1">#REF!</definedName>
    <definedName name="BLPH4" hidden="1">#REF!</definedName>
    <definedName name="BLPH5" hidden="1">#REF!</definedName>
    <definedName name="BLPH58" hidden="1">[20]Indian_Second_hist!#REF!</definedName>
    <definedName name="BLPH59" hidden="1">[20]Indian_Second_hist!#REF!</definedName>
    <definedName name="BLPH6" hidden="1">[19]Historical!#REF!</definedName>
    <definedName name="BLPH60" hidden="1">[20]Indian_Second_hist!#REF!</definedName>
    <definedName name="BLPH62" hidden="1">[20]Indian_Second_hist!#REF!</definedName>
    <definedName name="BLPH63" hidden="1">[20]Indian_Second_hist!#REF!</definedName>
    <definedName name="BLPH64" hidden="1">[20]Indian_Second_hist!#REF!</definedName>
    <definedName name="BLPH65" hidden="1">[20]Indian_Second_hist!#REF!</definedName>
    <definedName name="BLPH67" hidden="1">[20]Indian_Second_hist!#REF!</definedName>
    <definedName name="BLPH7" hidden="1">[19]Historical!#REF!</definedName>
    <definedName name="BLPH8" hidden="1">[19]Historical!#REF!</definedName>
    <definedName name="BLPH9" hidden="1">[19]Historical!#REF!</definedName>
    <definedName name="c_c" hidden="1">{"'REL CUSTODIF'!$B$1:$H$72"}</definedName>
    <definedName name="Cad_ContaGer">[21]Cad_ContaGer!#REF!</definedName>
    <definedName name="Cad_Dimensao2">#REF!</definedName>
    <definedName name="Cad_Dimensao3">#REF!</definedName>
    <definedName name="Cad_Dimensao4">#REF!</definedName>
    <definedName name="Cad_DirecObj">#REF!</definedName>
    <definedName name="Cad_DirecRec">#REF!</definedName>
    <definedName name="Captação_Acionistas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_opts" hidden="1">"1, 6, 1, False, 2, False, False, , 0, False, True, 1, 2"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" hidden="1">[22]Add_Callout!#REF!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" hidden="1">[23]Stacked_Column_w_labels!$B$5:$E$12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" hidden="1">[23]Stacked_Column_w_labels!$B$5:$E$12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" hidden="1">'[24]1997 IPO'!#REF!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" hidden="1">[22]Scatter!#REF!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3E9564D_opts" hidden="1">"1, 10, 1, False, 2, False, False, , 0, False, True, 2, 1"</definedName>
    <definedName name="cb_sChart13E9574C_opts" hidden="1">"1, 10, 1, False, 2, False, False, , 0, False, False, 2, 1"</definedName>
    <definedName name="cb_sChart1401F7BB_opts" hidden="1">"1, 10, 1, False, 2, False, False, , 0, False, False, 2, 1"</definedName>
    <definedName name="cb_sChart1401F88B_opts" hidden="1">"1, 10, 1, False, 2, False, False, , 0, False, False, 2, 1"</definedName>
    <definedName name="cb_sChart1401F9C4_opts" hidden="1">"1, 10, 1, False, 2, False, False, , 0, False, False, 2, 1"</definedName>
    <definedName name="cb_sChart1401FA71_opts" hidden="1">"1, 10, 1, False, 2, False, False, , 0, False, False, 2, 1"</definedName>
    <definedName name="cb_sChart1403FD66_opts" hidden="1">"1, 10, 1, False, 2, False, False, , 0, False, False, 2, 1"</definedName>
    <definedName name="cb_sChart140400A7_opts" hidden="1">"1, 10, 1, False, 2, False, False, , 0, False, False, 2, 1"</definedName>
    <definedName name="cb_sChart1406555A_opts" hidden="1">"1, 5, 1, False, 2, False, False, , 0, False, False, 1, 1"</definedName>
    <definedName name="cb_sChart140655E5_opts" hidden="1">"1, 3, 1, False, 2, False, False, , 0, False, False, 1, 1"</definedName>
    <definedName name="cb_sChart1406581C_opts" hidden="1">"1, 3, 1, False, 2, False, False, , 0, False, False, 1, 1"</definedName>
    <definedName name="cb_sChart14065ADE_opts" hidden="1">"1, 3, 1, False, 2, False, False, , 0, False, True, 1, 1"</definedName>
    <definedName name="cb_sChart14065BA3_opts" hidden="1">"1, 5, 1, False, 2, False, False, , 0, False, False, 1, 1"</definedName>
    <definedName name="cb_sChart15A07AA4_opts" hidden="1">"1, 9, 1, False, 2, False, False, , 0, False, False, 1, 2"</definedName>
    <definedName name="cb_sChart15A0819A_opts" hidden="1">"1, 4, 1, False, 2, False, False, , 0, False, False, 2, 1"</definedName>
    <definedName name="cb_sChart15A0820E_opts" hidden="1">"1, 1, 1, False, 2, False, False, , 0, False, False, 2, 2"</definedName>
    <definedName name="cb_sChart15A08324_opts" hidden="1">"1, 4, 1, False, 2, False, False, , 0, False, False, 1, 1"</definedName>
    <definedName name="cb_sChart15A083DD_opts" hidden="1">"1, 4, 1, False, 2, False, False, , 0, False, False, 1, 1"</definedName>
    <definedName name="cb_sChart15A08496_opts" hidden="1">"1, 1, 1, False, 2, False, False, , 0, False, False, 2, 2"</definedName>
    <definedName name="cb_sChart15A084F3_opts" hidden="1">"1, 1, 1, False, 2, False, False, , 0, False, False, 1, 1"</definedName>
    <definedName name="cb_sChart15A173D8_opts" hidden="1">"1, 4, 1, False, 2, False, False, , 0, False, False, 1, 1"</definedName>
    <definedName name="cb_sChart15A17491_opts" hidden="1">"1, 4, 1, False, 2, False, False, , 0, False, False, 1, 1"</definedName>
    <definedName name="cb_sChart15A1751C_opts" hidden="1">"1, 4, 1, False, 2, False, False, , 0, False, False, 1, 1"</definedName>
    <definedName name="cb_sChart15A17590_opts" hidden="1">"1, 4, 1, False, 2, False, False, , 0, False, False, 1, 1"</definedName>
    <definedName name="cb_sChart15A17869_opts" hidden="1">"1, 4, 1, False, 2, False, False, , 0, False, False, 1, 1"</definedName>
    <definedName name="cb_sChart15A178E8_opts" hidden="1">"1, 4, 1, False, 2, False, False, , 0, False, False, 2, 1"</definedName>
    <definedName name="cb_sChart15A17968_opts" hidden="1">"1, 4, 1, False, 2, False, False, , 0, False, False, 1, 1"</definedName>
    <definedName name="cb_sChart15A179F2_opts" hidden="1">"1, 1, 1, False, 2, False, False, , 0, False, False, 2, 1"</definedName>
    <definedName name="cb_sChart15A17A7D_opts" hidden="1">"1, 4, 1, False, 2, False, False, , 0, False, False, 1, 1"</definedName>
    <definedName name="cb_sChart15A17B08_opts" hidden="1">"1, 1, 1, False, 2, False, False, , 0, False, False, 2, 2"</definedName>
    <definedName name="cb_sChart161DB88B_opts" hidden="1">"1, 9, 1, False, 2, False, False, , 0, False, True, 1, 1"</definedName>
    <definedName name="cb_sChart161DBB4D_opts" hidden="1">"1, 1, 1, False, 2, False, False, , 0, False, True, 1,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C.Coligadas">OFFSET(#REF!,0,0,COUNTA(#REF!)-1,20)</definedName>
    <definedName name="CC.Dir.Executivas">OFFSET(#REF!,0,0,COUNTA(#REF!)-1,20)</definedName>
    <definedName name="CC.Diretorias">OFFSET(#REF!,0,0,COUNTA(#REF!)-1,20)</definedName>
    <definedName name="CC.DP.Conselho">OFFSET(#REF!,0,0,COUNTA(#REF!)-1,20)</definedName>
    <definedName name="CC.SI.GE">OFFSET(#REF!,0,0,COUNTA(#REF!)-1,20)</definedName>
    <definedName name="Chart" hidden="1">{"mgmt forecast",#N/A,FALSE,"Mgmt Forecast";"dcf table",#N/A,FALSE,"Mgmt Forecast";"sensitivity",#N/A,FALSE,"Mgmt Forecast";"table inputs",#N/A,FALSE,"Mgmt Forecast";"calculations",#N/A,FALSE,"Mgmt Forecast"}</definedName>
    <definedName name="CIQWBGuid" hidden="1">"61586b18-1d12-4bce-926d-35a39a32941e"</definedName>
    <definedName name="ComparatEU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result" hidden="1">{"FCB_ALL",#N/A,FALSE,"FCB"}</definedName>
    <definedName name="compresults" hidden="1">{"FCB_ALL",#N/A,FALSE,"FCB"}</definedName>
    <definedName name="Copia" hidden="1">'[2]Monthly Forecast'!#REF!</definedName>
    <definedName name="coucou" hidden="1">{#N/A,#N/A,TRUE,"Cover sheet";#N/A,#N/A,TRUE,"INPUTS";#N/A,#N/A,TRUE,"OUTPUTS";#N/A,#N/A,TRUE,"VALUATION"}</definedName>
    <definedName name="cu102.ShareScalingFactor" hidden="1">1000000</definedName>
    <definedName name="cu103.EmployeeScalingFactor" hidden="1">1000</definedName>
    <definedName name="cu107.DPSSymbol" hidden="1">"R$"</definedName>
    <definedName name="cu107.EPSSymbol" hidden="1">"R$"</definedName>
    <definedName name="cu71.ScalingFactor" hidden="1">1000000</definedName>
    <definedName name="Cwvu.ATIVOS2." hidden="1">'[25]ÍNDICES PASSADOS'!$2:$4,'[25]ÍNDICES PASSADOS'!$24:$47</definedName>
    <definedName name="Cwvu.GREY_ALL." hidden="1">#REF!</definedName>
    <definedName name="d" hidden="1">{"Monthly",#N/A,FALSE,"1.2"}</definedName>
    <definedName name="dddd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dois" hidden="1">#REF!</definedName>
    <definedName name="DRE_BA_HEADCOUNT_CLT">#REF!</definedName>
    <definedName name="DRE_BA_HEADCOUNT_TOTAL">#REF!</definedName>
    <definedName name="dsd" hidden="1">"CAVD7SCWJ2AXAA0RJGKFLUFZV"</definedName>
    <definedName name="dsfsdfdsf" hidden="1">{#N/A,#N/A,FALSE,"Valuation Summary";#N/A,#N/A,FALSE,"BT IS";#N/A,#N/A,FALSE,"BT CF";#N/A,#N/A,FALSE,"BT BS";#N/A,#N/A,FALSE,"BT FCF";#N/A,#N/A,FALSE,"BT Model";#N/A,#N/A,FALSE,"BT Finance"}</definedName>
    <definedName name="Dupont1" hidden="1">{#N/A,#N/A,FALSE,"COVER";#N/A,#N/A,FALSE,"VALUATION";#N/A,#N/A,FALSE,"FORECAST";#N/A,#N/A,FALSE,"FY ANALYSIS ";#N/A,#N/A,FALSE," HY ANALYSIS"}</definedName>
    <definedName name="EBITDA_Rec.Liquida_Graf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erew" hidden="1">{#N/A,#N/A,FALSE,"Sheet1"}</definedName>
    <definedName name="ev.Calculation" hidden="1">-4105</definedName>
    <definedName name="ev.Initialized" hidden="1">FALSE</definedName>
    <definedName name="f" hidden="1">{"'REL CUSTODIF'!$B$1:$H$72"}</definedName>
    <definedName name="fcb" hidden="1">{"FCB_ALL",#N/A,FALSE,"FCB"}</definedName>
    <definedName name="fd" hidden="1">'[2]Monthly Forecast'!#REF!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er" hidden="1">{"'REL CUSTODIF'!$B$1:$H$72"}</definedName>
    <definedName name="fgfg" hidden="1">{#N/A,#N/A,FALSE,"GERAL";#N/A,#N/A,FALSE,"LOCAÇÃO";#N/A,#N/A,FALSE,"FRETAMENTO";#N/A,#N/A,FALSE,"CARRETAS"}</definedName>
    <definedName name="fill1" hidden="1">'[14]Football Field'!#REF!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na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P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rank" hidden="1">{#N/A,#N/A,TRUE,"Cover sheet";#N/A,#N/A,TRUE,"DCF analysis";#N/A,#N/A,TRUE,"WACC calculation"}</definedName>
    <definedName name="fsd" hidden="1">{#N/A,#N/A,FALSE,"Sheet1"}</definedName>
    <definedName name="gfewrg" hidden="1">'[14]Football Field'!#REF!</definedName>
    <definedName name="gogo" hidden="1">{#N/A,#N/A,TRUE,"Cover sheet";#N/A,#N/A,TRUE,"INPUTS";#N/A,#N/A,TRUE,"OUTPUTS";#N/A,#N/A,TRUE,"VALUATION"}</definedName>
    <definedName name="Gupob01Real" hidden="1">{#N/A,#N/A,FALSE,"Suprimentos";#N/A,#N/A,FALSE,"Medicina e Segurança";#N/A,#N/A,FALSE,"Administração";#N/A,#N/A,FALSE,"Meio Ambiente";#N/A,#N/A,FALSE,"Operação (Mina)";#N/A,#N/A,FALSE,"Operação (Porto)"}</definedName>
    <definedName name="Heglund" hidden="1">{"LBO Summary",#N/A,FALSE,"Summary"}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TML_CodePage" hidden="1">1252</definedName>
    <definedName name="HTML_Control" hidden="1">{"'REL CUSTODIF'!$B$1:$H$72"}</definedName>
    <definedName name="HTML_Description" hidden="1">""</definedName>
    <definedName name="HTML_Email" hidden="1">""</definedName>
    <definedName name="HTML_Header" hidden="1">"REL CUSTODIF"</definedName>
    <definedName name="HTML_LastUpdate" hidden="1">"25/09/98"</definedName>
    <definedName name="HTML_LineAfter" hidden="1">FALSE</definedName>
    <definedName name="HTML_LineBefore" hidden="1">FALSE</definedName>
    <definedName name="HTML_Name" hidden="1">"CVRD"</definedName>
    <definedName name="HTML_OBDlg2" hidden="1">TRUE</definedName>
    <definedName name="HTML_OBDlg4" hidden="1">TRUE</definedName>
    <definedName name="HTML_OS" hidden="1">0</definedName>
    <definedName name="HTML_PathFile" hidden="1">"F:\SISTEMAS\CUSTO\Custo.htm"</definedName>
    <definedName name="HTML_PathFileMac" hidden="1">"Macintosh HD:HomePageStuff:New_Home_Page:datafile:ctryprem.html"</definedName>
    <definedName name="HTML_Title" hidden="1">"CUSTO98B"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huh?????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i" hidden="1">{"Qtr Op Mgd Q3",#N/A,FALSE,"Qtr-Op (Mng)";"Qtr Op Rpt Q3",#N/A,FALSE,"Qtr-Op (Rpt)";"Operating Vs Reported",#N/A,FALSE,"Rpt-Op Inc"}</definedName>
    <definedName name="Input" hidden="1">{"mgmt forecast",#N/A,FALSE,"Mgmt Forecast";"dcf table",#N/A,FALSE,"Mgmt Forecast";"sensitivity",#N/A,FALSE,"Mgmt Forecast";"table inputs",#N/A,FALSE,"Mgmt Forecast";"calculations",#N/A,FALSE,"Mgmt Forecast"}</definedName>
    <definedName name="invoicing" hidden="1">{#N/A,#N/A,FALSE,"Consolidating";#N/A,#N/A,FALSE,"Corp Summary";#N/A,#N/A,FALSE,"NA Summary";#N/A,#N/A,FALSE,"EMEA Summary";#N/A,#N/A,FALSE,"APJ Summary";#N/A,#N/A,FALSE,"LA Summary"}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FLOW_ACT_OR_EST" hidden="1">"c4154"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"c373"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" hidden="1">"IQ_EPS"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"c893"</definedName>
    <definedName name="IQ_FINANCING_CASH_SUPPL" hidden="1">"c899"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40000.8478819444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SHARE_ACT_OR_EST" hidden="1">"c4508"</definedName>
    <definedName name="IQ_REDEEM_PREF_STOCK" hidden="1">"c1059"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38953.9970717593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"c18"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"iQShowAll"</definedName>
    <definedName name="IsColHidden" hidden="1">FALSE</definedName>
    <definedName name="IsLTMColHidden" hidden="1">FALSE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jdslf" hidden="1">{#N/A,#N/A,FALSE,"Sheet1"}</definedName>
    <definedName name="kjsahjgsjhhsadkjsda" hidden="1">#REF!</definedName>
    <definedName name="kmh" hidden="1">{#N/A,#N/A,TRUE,"Cover sheet";#N/A,#N/A,TRUE,"DCF analysis";#N/A,#N/A,TRUE,"WACC calculation"}</definedName>
    <definedName name="ksjdaksjdkasjdas" hidden="1">#REF!</definedName>
    <definedName name="Lançamentos">#REF!</definedName>
    <definedName name="ljlkkjljljlk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ll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anutenção">#REF!</definedName>
    <definedName name="Merc" hidden="1">{"'REL CUSTODIF'!$B$1:$H$72"}</definedName>
    <definedName name="mkt_share" hidden="1">{#N/A,#N/A,FALSE,"Sheet1"}</definedName>
    <definedName name="mmmmm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MOA" hidden="1">{#N/A,#N/A,FALSE,"DEF1";#N/A,#N/A,FALSE,"DEF2";#N/A,#N/A,FALSE,"DEF3"}</definedName>
    <definedName name="NEW" hidden="1">{"Page 1",#N/A,TRUE,"Sheet1";"Page 2",#N/A,TRUE,"Sheet1"}</definedName>
    <definedName name="New_Input" hidden="1">{"mgmt forecast",#N/A,FALSE,"Mgmt Forecast";"dcf table",#N/A,FALSE,"Mgmt Forecast";"sensitivity",#N/A,FALSE,"Mgmt Forecast";"table inputs",#N/A,FALSE,"Mgmt Forecast";"calculations",#N/A,FALSE,"Mgmt Forecast"}</definedName>
    <definedName name="newbp1" hidden="1">{#N/A,#N/A,FALSE,"ACQ_GRAPHS";#N/A,#N/A,FALSE,"T_1 GRAPHS";#N/A,#N/A,FALSE,"T_2 GRAPHS";#N/A,#N/A,FALSE,"COMB_GRAPHS"}</definedName>
    <definedName name="newDC" hidden="1">{#N/A,#N/A,TRUE,"Cover sheet";#N/A,#N/A,TRUE,"DCF analysis";#N/A,#N/A,TRUE,"WACC calculation"}</definedName>
    <definedName name="OCT" hidden="1">{#N/A,#N/A,FALSE,"BL&amp;GPA";#N/A,#N/A,FALSE,"Summary";#N/A,#N/A,FALSE,"hts"}</definedName>
    <definedName name="PeriodoSollus">[26]DeParas!$B$2</definedName>
    <definedName name="Pos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visao" hidden="1">{"'Índice'!$A$1:$K$49"}</definedName>
    <definedName name="prolinks_001c2af882574a96aa7d9e0eca003e84" hidden="1" xml:space="preserve">        '[27]Capital structure'!$H$9:$K$36</definedName>
    <definedName name="prolinks_0277f53291384eada679c99b8d7c9192" hidden="1" xml:space="preserve">        '[27]Capital structure'!$C$9:$F$36</definedName>
    <definedName name="prolinks_041f9f0713bc4fee89d65b1959651f9a" hidden="1">#REF!</definedName>
    <definedName name="prolinks_0574634f06ec407ebb0810c46917f44f" hidden="1" xml:space="preserve">        '[27]Capital structure'!$C$9:$F$36</definedName>
    <definedName name="prolinks_0608c40e8a4348bf873ce737cda31ef5" hidden="1">#REF!</definedName>
    <definedName name="prolinks_071c25b23c954111b3d37dabe76fae1f" hidden="1" xml:space="preserve">        '[27]Capital structure'!$C$9:$F$36</definedName>
    <definedName name="prolinks_072fd603c47144558030d8b89b32cd6a" hidden="1">#REF!</definedName>
    <definedName name="prolinks_07ac5f0014eb4cca8e4d0a5eadeca32c" hidden="1" xml:space="preserve">        [28]shareholder!$J$23:$K$39</definedName>
    <definedName name="prolinks_0aad2374bbce4291bde5ed55aecf60fd" hidden="1">#REF!</definedName>
    <definedName name="prolinks_0b5bf793896940468b58335bd77e247e" hidden="1">[28]Outputs!#REF!</definedName>
    <definedName name="prolinks_0bd01fe587d14d26bd776d4a525bc86e" hidden="1" xml:space="preserve">        '[27]Capital structure'!$C$9:$F$36</definedName>
    <definedName name="prolinks_0df7721664dc4e4d8d1f3c2c17292d7a" hidden="1">[28]Outputs!#REF!</definedName>
    <definedName name="prolinks_0f0e4baddc4f4bf6951fe11914aea034" hidden="1">#REF!</definedName>
    <definedName name="prolinks_0f7c7189ad53469089043586bd55ff98" hidden="1">#REF!</definedName>
    <definedName name="prolinks_1297e45826464414b75da9efb794e8c4" hidden="1">#REF!</definedName>
    <definedName name="prolinks_18ec6dd08f17471ca90dcfe741a2a7a1" hidden="1" xml:space="preserve">        '[27]Output financials BVMF'!$A$3:$H$14</definedName>
    <definedName name="prolinks_192e6082f98f41f59c9d41fd2e45c2f1" hidden="1">'[29]Premissas Cetip'!#REF!</definedName>
    <definedName name="prolinks_1e844321c2264d82abd0a959b7ee3753" hidden="1" xml:space="preserve">        '[27]Capital structure'!$H$9:$K$36</definedName>
    <definedName name="prolinks_1eb92ad33ebf43fcb180ae86f96faa5c" hidden="1" xml:space="preserve">        '[27]Capital structure'!$C$9:$F$36</definedName>
    <definedName name="prolinks_1f959d5fe0244f55ade2ad39158c0ae8" hidden="1">#REF!</definedName>
    <definedName name="prolinks_20ba2a7138684040a6c964a3fb66dcb9" hidden="1" xml:space="preserve">        [27]RelacaodeTroca!$C$7:$G$15</definedName>
    <definedName name="prolinks_2167b06f13f14d4caff8fed552a7a819" hidden="1">#REF!</definedName>
    <definedName name="prolinks_2195d44f38c5482da417ea103a1271ed" hidden="1">#REF!</definedName>
    <definedName name="prolinks_21dc43c3a015473bb609d532e5edab30" hidden="1">[28]Outputs!#REF!</definedName>
    <definedName name="prolinks_2cad75253c3e4373ae9a5d06984582ef" hidden="1">#REF!</definedName>
    <definedName name="prolinks_2e05f5cf545548dd9e5e8c1ae471e7ee" hidden="1">'[29]Premissas Cetip'!#REF!</definedName>
    <definedName name="prolinks_2e2eac7f08a246dbbeaa65416f37c053" hidden="1">[28]Outputs!#REF!</definedName>
    <definedName name="prolinks_2eda8f0d40ac4976928417fbb30f2920" hidden="1">#REF!</definedName>
    <definedName name="prolinks_2f4caf31066c4d0dbed7fdbe167cce26" hidden="1">[28]Outputs!#REF!</definedName>
    <definedName name="prolinks_2fc85d1ae4f0425787b6fc503328b291" hidden="1">#REF!</definedName>
    <definedName name="prolinks_3366616293b44736ae9a1e7481343ec0" hidden="1" xml:space="preserve">        '[27]Capital structure'!$C$9:$F$36</definedName>
    <definedName name="prolinks_36c390c3ff6e4728996fca0c289a6db7" hidden="1" xml:space="preserve">        '[27]Output financials CTIP'!$A$3:$H$14</definedName>
    <definedName name="prolinks_382a95e06e0b46268003deaa7b5b6daf" hidden="1" xml:space="preserve">        '[27]Capital structure'!$H$9:$K$36</definedName>
    <definedName name="prolinks_386eff4b40f74230b2b70b56da18e75d" hidden="1" xml:space="preserve">        '[27]Capital structure'!$H$9:$K$36</definedName>
    <definedName name="prolinks_3933d8c0f9654befb6817c4766b950d6" hidden="1" xml:space="preserve">        '[27]Output financials BVMF'!$A$3:$H$14</definedName>
    <definedName name="prolinks_3b899031f7444bfa884a4946bb08bcb5" hidden="1">#REF!</definedName>
    <definedName name="prolinks_3c1b038083df41f3a1c770b9801c4e4e" hidden="1">'[29]Premissas Cetip'!#REF!</definedName>
    <definedName name="prolinks_3d09567f6d114f9794bbb5235c9e6a52" hidden="1">[28]Outputs!#REF!</definedName>
    <definedName name="prolinks_3f971dee45dd410e9e75a551063ac0db" hidden="1">#REF!</definedName>
    <definedName name="prolinks_3fdf505e3e244291b2cbf2e744665f03" hidden="1" xml:space="preserve">        [28]shareholder!$J$114:$K$130</definedName>
    <definedName name="prolinks_400896d03660400fa5f1776b2967543e" hidden="1" xml:space="preserve">        [27]RelacaodeTroca!$C$7:$G$15</definedName>
    <definedName name="prolinks_459f2d93a5254f1cb77b55e7799b1bfa" hidden="1">#REF!</definedName>
    <definedName name="prolinks_45d22c8fdeb545f1b0619bdbcfee8194" hidden="1" xml:space="preserve">        '[27]Capital structure'!$C$9:$F$36</definedName>
    <definedName name="prolinks_46069d9508a14b4aaad5ba78c0825f9d" hidden="1">#REF!</definedName>
    <definedName name="prolinks_481345a0e95949f9b4836e5ef0aac5ea" hidden="1" xml:space="preserve">        '[27]Capital structure'!$C$9:$F$36</definedName>
    <definedName name="prolinks_4ae2f4223e7642cf82e23cee656813ea" hidden="1">#REF!</definedName>
    <definedName name="prolinks_4ba229edbf334a2ba44ddb2b487cf5dc" hidden="1">#REF!</definedName>
    <definedName name="prolinks_4c90de14224741fe89aec633c71c7871" hidden="1" xml:space="preserve">        '[27]Capital structure'!$C$9:$F$36</definedName>
    <definedName name="prolinks_4dbac53a14a04fdebb5bc64dd483408d" hidden="1" xml:space="preserve">        '[27]Capital structure'!$C$9:$F$36</definedName>
    <definedName name="prolinks_522d6ce122cb4397bde78bbc36b907d7" hidden="1">'[29]Premissas Cetip'!#REF!</definedName>
    <definedName name="prolinks_5394606696a246958578926e86b1d16c" hidden="1">#REF!</definedName>
    <definedName name="prolinks_53cf150674f2454a867b79a28b6cf3b0" hidden="1">[28]Outputs!#REF!</definedName>
    <definedName name="prolinks_5469fbbde7ae416eb21b3229ad28014e" hidden="1">#REF!</definedName>
    <definedName name="prolinks_549df6443de14d71a008445b87cb7c82" hidden="1" xml:space="preserve">        '[27]Capital structure'!$C$9:$F$36</definedName>
    <definedName name="prolinks_56a4b832e19645ab82542e100b93a880" hidden="1">#REF!</definedName>
    <definedName name="prolinks_57c2a5d19ddc453fa20e5e68f08f2254" hidden="1">#REF!</definedName>
    <definedName name="prolinks_57e79b17cf4e42f5b5ceec613655d342" hidden="1" xml:space="preserve">        '[27]Output financials BVMF'!$A$3:$H$14</definedName>
    <definedName name="prolinks_5820f435f03f42c0b19d314b8303abb4" hidden="1">[28]Outputs!#REF!</definedName>
    <definedName name="prolinks_58d5a2c71c68430f9510a9c1faa1161d" hidden="1">#REF!</definedName>
    <definedName name="prolinks_58df658b07794b57809df6770ac2b56a" hidden="1">[28]Outputs!#REF!</definedName>
    <definedName name="prolinks_5dd0f7d548484f7da8e25b55ceb1e553" hidden="1">#REF!</definedName>
    <definedName name="prolinks_5e58f2ca062847eca7667a28f168ea76" hidden="1">#REF!</definedName>
    <definedName name="prolinks_5ee75246e4c0416182d91b94b687955c" hidden="1">#REF!</definedName>
    <definedName name="prolinks_60d44fdafe074219805491ddf18950a0" hidden="1" xml:space="preserve">        '[27]Capital structure'!$C$9:$F$36</definedName>
    <definedName name="prolinks_65f5ccec0322448598099cf67ca3635b" hidden="1">#REF!</definedName>
    <definedName name="prolinks_673f024432d34ea3bd4c47393a8848ee" hidden="1" xml:space="preserve">        '[27]Capital structure'!$H$9:$K$36</definedName>
    <definedName name="prolinks_67a5a281980e4b95a3d877a775fd3f22" hidden="1">#REF!</definedName>
    <definedName name="prolinks_6e7c7c8bec8d4ccf90ccb93300af5f43" hidden="1" xml:space="preserve">        [28]shareholder!$J$23:$K$39</definedName>
    <definedName name="prolinks_762210ee893e4db39917e80e80a3b4ba" hidden="1">[28]Outputs!#REF!</definedName>
    <definedName name="prolinks_7838205df4d347e098fd7d13f3cde2e2" hidden="1">#REF!</definedName>
    <definedName name="prolinks_7896bc8a29204e2987c9a1ea5488ad41" hidden="1">#REF!</definedName>
    <definedName name="prolinks_78ca1cea3cbf408fba101cbe8e5a0134" hidden="1" xml:space="preserve">        '[27]Capital structure'!$H$9:$K$36</definedName>
    <definedName name="prolinks_7bdb3cd495d64ebcb61b710af449391e" hidden="1">#REF!</definedName>
    <definedName name="prolinks_7c86a00c4e04431da0ee59023916aff0" hidden="1">[28]Outputs!#REF!</definedName>
    <definedName name="prolinks_7d52d789c99a423885848ad5a65f4895" hidden="1" xml:space="preserve">        '[27]Capital structure'!$C$9:$F$36</definedName>
    <definedName name="prolinks_7f8e9fdcaf264830a52e2285cef0e790" hidden="1">[28]Outputs!#REF!</definedName>
    <definedName name="prolinks_801668a0d1534e54a624d749b1a7e4e6" hidden="1">'[30]Premissas Cetip'!#REF!</definedName>
    <definedName name="prolinks_81b0729b06bc4a959e2f2fdfe94f7405" hidden="1">#REF!</definedName>
    <definedName name="prolinks_84c14fe5cec64619be293a5ba512336d" hidden="1">#REF!</definedName>
    <definedName name="prolinks_861f60d0269d45ccbf9be9c6e10281ac" hidden="1">#REF!</definedName>
    <definedName name="prolinks_86a2317d921644dc9a6e3f56a8b30652" hidden="1">#REF!</definedName>
    <definedName name="prolinks_898f5b04a69c45ea9693addcc455d34e" hidden="1">#REF!</definedName>
    <definedName name="prolinks_89c748eb44d840f5b8b296f628f04c6d" hidden="1">#REF!</definedName>
    <definedName name="prolinks_912d2b84a9464b09908b6dc5831ab375" hidden="1">#REF!</definedName>
    <definedName name="prolinks_937d89da486f45e5b7e9a6d72dafc6b7" hidden="1" xml:space="preserve">        '[27]Capital structure'!$H$9:$K$36</definedName>
    <definedName name="prolinks_941fb45931bb4cf4bd80df125ea9e6ea" hidden="1">#REF!</definedName>
    <definedName name="prolinks_95276f3273e2475fb9c0e11dad8ba555" hidden="1">#REF!</definedName>
    <definedName name="prolinks_953879f3ad7b46e8ba7a050ec49a5411" hidden="1">#REF!</definedName>
    <definedName name="prolinks_95528329550b40bfb35105ce8ea05156" hidden="1">#REF!</definedName>
    <definedName name="prolinks_96200f844f3c45378295106787cc3aed" hidden="1" xml:space="preserve">        '[27]Capital structure'!$H$9:$K$36</definedName>
    <definedName name="prolinks_966703f6134a446e8c770c27b177eecd" hidden="1" xml:space="preserve">        '[27]Capital structure'!$H$9:$K$36</definedName>
    <definedName name="prolinks_97947f8b6b564330bbe1489ab8ea5f83" hidden="1">#REF!</definedName>
    <definedName name="prolinks_9875cfaf06c54306aed1e3ec99fc485b" hidden="1">[28]Outputs!#REF!</definedName>
    <definedName name="prolinks_989aca0569e249c68303fb0f5ecab6f1" hidden="1">#REF!</definedName>
    <definedName name="prolinks_994df27b5c2f43f5b06bb2fd764f6050" hidden="1">#REF!</definedName>
    <definedName name="prolinks_9a78a772de4e483a99add1283942f588" hidden="1">[28]Outputs!#REF!</definedName>
    <definedName name="prolinks_a0a285786d6e45188df220ffd144cdae" hidden="1">[28]Outputs!#REF!</definedName>
    <definedName name="prolinks_a3763a0410f345f3af4e43d69cc96549" hidden="1">#REF!</definedName>
    <definedName name="prolinks_a4c83ff690664b32bf209be6bc637605" hidden="1">#REF!</definedName>
    <definedName name="prolinks_a50904258c0b40a6a0dc654087607033" hidden="1">'[29]Premissas Cetip'!#REF!</definedName>
    <definedName name="prolinks_a7b69f08438345aea5924c914e65b0a7" hidden="1">#REF!</definedName>
    <definedName name="prolinks_a7ca8556861e456cb0a5001edf2ad7fd" hidden="1">[28]Outputs!#REF!</definedName>
    <definedName name="prolinks_a92f998ecd334f9d8eba0cfaca546855" hidden="1">#REF!</definedName>
    <definedName name="prolinks_aa8399e320764d009e7a8c94a2c2c359" hidden="1" xml:space="preserve">        '[27]Capital structure'!$C$9:$F$36</definedName>
    <definedName name="prolinks_abdee289257f419884c45f67b8106123" hidden="1" xml:space="preserve">        '[27]Capital structure'!$C$9:$F$36</definedName>
    <definedName name="prolinks_ad2f8c1ce7754f629cbb7a7ae40ae67f" hidden="1">#REF!</definedName>
    <definedName name="prolinks_aed397b01000424794431b6fed936272" hidden="1">#REF!</definedName>
    <definedName name="prolinks_b036f74dcc0a46d2bb6d8bb3e08ae870" hidden="1">#REF!</definedName>
    <definedName name="prolinks_b2fb89ee4224464ea1e8f90d3ca25dbd" hidden="1">'[29]Premissas Cetip'!#REF!</definedName>
    <definedName name="prolinks_b421e0e13fac4b90ab3b0ab48fa71696" hidden="1">#REF!</definedName>
    <definedName name="prolinks_b696642e0a3f442daba3a55e3a9eb8c3" hidden="1" xml:space="preserve">        '[27]Capital structure'!$H$9:$K$36</definedName>
    <definedName name="prolinks_b6add732007c4fc0a77d88df38d48de2" hidden="1">'[29]Premissas Cetip'!#REF!</definedName>
    <definedName name="prolinks_b8115e99dd804e0395d5b7992872fbae" hidden="1">#REF!</definedName>
    <definedName name="prolinks_b878ded818ef40dab49c66b4baa914c3" hidden="1">#REF!</definedName>
    <definedName name="prolinks_ba80f96fd1754687851ffd7f9a8aa35a" hidden="1">[28]Outputs!#REF!</definedName>
    <definedName name="prolinks_bc207b0247724584807deb63bcc52e65" hidden="1">#REF!</definedName>
    <definedName name="prolinks_bf7ca8ef89334400a6389d3529f71f9c" hidden="1">#REF!</definedName>
    <definedName name="prolinks_c0b59150b22e44a79037e465f5ea71cb" hidden="1">[28]Outputs!#REF!</definedName>
    <definedName name="prolinks_c10dfa47e8924c5284ec84907414e2a8" hidden="1">#REF!</definedName>
    <definedName name="prolinks_c25c8fc20d944beea3fb8d98ab2a0345" hidden="1" xml:space="preserve">        '[27]Capital structure'!$H$9:$K$36</definedName>
    <definedName name="prolinks_c33a99db92fa4e359261dc5225c50f9a" hidden="1">'[28]GRV IMOB'!#REF!</definedName>
    <definedName name="prolinks_c37e18ce1cd247a0b761a3cf3f872237" hidden="1">#REF!</definedName>
    <definedName name="prolinks_c3aba31788fa43d7b41bcfc7f3022bc7" hidden="1">[31]Calculos!#REF!</definedName>
    <definedName name="prolinks_c3e6781373fe424aab5e62bb0afa54bb" hidden="1" xml:space="preserve">        '[27]Capital structure'!$H$9:$K$36</definedName>
    <definedName name="prolinks_c423a2772bef4bbab52170d608d0eb65" hidden="1">#REF!</definedName>
    <definedName name="prolinks_c570ec2e046d4a839e09d05e019778ec" hidden="1">#REF!</definedName>
    <definedName name="prolinks_c5a18bc50eaf46999e73217ba3e5be4d" hidden="1">#REF!</definedName>
    <definedName name="prolinks_cad651cba55f442d987a1e4d8d97bf4a" hidden="1" xml:space="preserve">        '[27]Output financials CTIP'!$A$3:$H$14</definedName>
    <definedName name="prolinks_cb50375eff484580826e966c7399e8fa" hidden="1">[28]Outputs!#REF!</definedName>
    <definedName name="prolinks_d04fd833905d4e7aadc969647024ceba" hidden="1">#REF!</definedName>
    <definedName name="prolinks_d090838f306a459c8bb3ea1f691688fe" hidden="1" xml:space="preserve">        '[27]Capital structure'!$C$9:$F$36</definedName>
    <definedName name="prolinks_d15500ceeb89439da466a4827b84870b" hidden="1">#REF!</definedName>
    <definedName name="prolinks_d2c3f911d2c84f698ef222757761a6cd" hidden="1">#REF!</definedName>
    <definedName name="prolinks_d363b8c422cd4f65afe303724902598f" hidden="1" xml:space="preserve">        '[27]Capital structure'!$C$9:$F$36</definedName>
    <definedName name="prolinks_d7f789ecea3e4068a881a19108bd6d90" hidden="1">#REF!</definedName>
    <definedName name="prolinks_db2aca4b3e56411a8f7bbdd0251c8200" hidden="1">#REF!</definedName>
    <definedName name="prolinks_dc48103feffe45d4a5896835b796b099" hidden="1">#REF!</definedName>
    <definedName name="prolinks_dd26b695d7454b6b83ad6b55ac4b2df3" hidden="1" xml:space="preserve">        '[27]Capital structure'!$H$9:$K$36</definedName>
    <definedName name="prolinks_e14c61723b3e4a188870b4a8f122c0ef" hidden="1">#REF!</definedName>
    <definedName name="prolinks_e1a6edb01195456a94d79d5b3647edbb" hidden="1">#REF!</definedName>
    <definedName name="prolinks_e4877d9244b249b0bb6c162271642767" hidden="1" xml:space="preserve">        '[27]Capital structure'!$C$9:$F$36</definedName>
    <definedName name="prolinks_e4d383cc433149fa831e5c7fc5f4f26e" hidden="1">'[29]Premissas Cetip'!#REF!</definedName>
    <definedName name="prolinks_e50ff0e3e49a490e9feed6e428be0028" hidden="1" xml:space="preserve">        '[27]Capital structure'!$H$9:$K$36</definedName>
    <definedName name="prolinks_e56b66dda7fb430bbc2f47c1c2c35c42" hidden="1">[28]Outputs!#REF!</definedName>
    <definedName name="prolinks_e8df34821c13442183c2796f0f2f14b6" hidden="1" xml:space="preserve">        '[27]Capital structure'!$H$9:$K$36</definedName>
    <definedName name="prolinks_ecfc1433ab96466abfa03b62cd897353" hidden="1" xml:space="preserve">        '[27]Capital structure'!$H$9:$K$36</definedName>
    <definedName name="prolinks_ef20b237d3174473854f269b26ca9ee5" hidden="1" xml:space="preserve">        [27]Volume!$D$9:$D$1314</definedName>
    <definedName name="prolinks_efb8aa8215924a13a0653c7519cc745e" hidden="1" xml:space="preserve">        [28]shareholder!$J$114:$K$130</definedName>
    <definedName name="prolinks_f1d7598aefe54eb29928feab8720b274" hidden="1" xml:space="preserve">        [27]RelacaodeTroca!$C$7:$G$15</definedName>
    <definedName name="prolinks_f298335596fa478db2dc54a7ebef6cc5" hidden="1">[28]Outputs!#REF!</definedName>
    <definedName name="prolinks_f40f8ace04c14adf9c0a20948a0ccefa" hidden="1">#REF!</definedName>
    <definedName name="prolinks_f42233c682764aa4bbc726a452bc4ed0" hidden="1">'[29]Premissas Cetip'!#REF!</definedName>
    <definedName name="prolinks_f4a36cd98dab4b8f94f8802cfdfb50a2" hidden="1" xml:space="preserve">        '[27]Capital structure'!$C$9:$F$36</definedName>
    <definedName name="prolinks_f4a5dcee65424781a71364a9f128b9b2" hidden="1" xml:space="preserve">        '[27]Capital structure'!$C$9:$F$36</definedName>
    <definedName name="prolinks_faf6adfb81d04791a7f154308adbedf1" hidden="1">#REF!</definedName>
    <definedName name="prolinks_fec00bc719ae480a94784410c534880b" hidden="1">#REF!</definedName>
    <definedName name="prolinks_ff8e7ecf905d4f2bad07273d58c899f9" hidden="1">[28]Outputs!#REF!</definedName>
    <definedName name="PUB_UserID" hidden="1">"MAYERX"</definedName>
    <definedName name="Q" hidden="1">{"Qtr Op Mgd Q2",#N/A,FALSE,"Qtr-Op (Mng)";"Qtr Op Rpt Q2",#N/A,FALSE,"Qtr-Op (Rpt)";"Operating Vs Reported",#N/A,FALSE,"Rpt-Op Inc"}</definedName>
    <definedName name="QQ" hidden="1">'[2]Monthly Forecast'!#REF!</definedName>
    <definedName name="qqqqq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qqqqqqqqq" hidden="1">'[2]Monthly Forecast'!#REF!</definedName>
    <definedName name="qsfd" hidden="1">{#N/A,#N/A,TRUE,"Cover sheet";#N/A,#N/A,TRUE,"INPUTS";#N/A,#N/A,TRUE,"OUTPUTS";#N/A,#N/A,TRUE,"VALUATION"}</definedName>
    <definedName name="quatro" hidden="1">#REF!</definedName>
    <definedName name="QWDSD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redo" hidden="1">{#N/A,#N/A,FALSE,"ACQ_GRAPHS";#N/A,#N/A,FALSE,"T_1 GRAPHS";#N/A,#N/A,FALSE,"T_2 GRAPHS";#N/A,#N/A,FALSE,"COMB_GRAPHS"}</definedName>
    <definedName name="rep" hidden="1">{#N/A,#N/A,FALSE,"COVER";#N/A,#N/A,FALSE,"VALUATION";#N/A,#N/A,FALSE,"FORECAST";#N/A,#N/A,FALSE,"FY ANALYSIS ";#N/A,#N/A,FALSE," HY ANALYSIS"}</definedName>
    <definedName name="results" hidden="1">{"FCB_ALL",#N/A,FALSE,"FCB"}</definedName>
    <definedName name="ReturnAnalysisII" hidden="1">{"'Sheet1'!$A$1:$H$145"}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Roger" hidden="1">"                                                                                                                                                                                                                                                            38"</definedName>
    <definedName name="rrr" hidden="1">#REF!</definedName>
    <definedName name="rthrh" hidden="1">'[14]Football Field'!#REF!</definedName>
    <definedName name="SAPBEXdnldView" hidden="1">"417TM8AIXQQOE7LHXAC1ZS80M"</definedName>
    <definedName name="SAPBEXrevision" hidden="1">1</definedName>
    <definedName name="SAPBEXsysID" hidden="1">"FWP"</definedName>
    <definedName name="SAPBEXwbID" hidden="1">"2T3WHTXQDJGCJ7Q6J7CVJQV67"</definedName>
    <definedName name="sdafsdfzSDfasdf" hidden="1">{#N/A,#N/A,FALSE,"Sheet1"}</definedName>
    <definedName name="sdf" hidden="1">{"page1",#N/A,FALSE,"Temp";"page2",#N/A,FALSE,"Temp";"page3",#N/A,FALSE,"Temp";"page4",#N/A,FALSE,"Temp";"page5",#N/A,FALSE,"Temp";"page6",#N/A,FALSE,"Temp"}</definedName>
    <definedName name="Seg_LBO_Summ" hidden="1">{"LBO Summary",#N/A,FALSE,"Summary"}</definedName>
    <definedName name="sencount" hidden="1">1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0.1076</definedName>
    <definedName name="ss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ssdf" hidden="1">{"sens1\",#N/A,FALSE,"PF";"sens2",#N/A,FALSE,"PF";"sens3",#N/A,FALSE,"PF";"sens4",#N/A,FALSE,"PF"}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sssssss" hidden="1">#REF!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wvu.quadro." hidden="1">'[32]TABELAS AUXILIARES'!$C$24:$X$49</definedName>
    <definedName name="teste" hidden="1">'[33]fluxo de caixa'!#REF!</definedName>
    <definedName name="tester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xtRefCopyRangeCount" hidden="1">4</definedName>
    <definedName name="tradcomp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end" hidden="1">{#N/A,#N/A,FALSE,"Aging Summary";#N/A,#N/A,FALSE,"Ratio Analysis";#N/A,#N/A,FALSE,"Test 120 Day Accts";#N/A,#N/A,FALSE,"Tickmarks"}</definedName>
    <definedName name="tres" hidden="1">#REF!</definedName>
    <definedName name="ttt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Univass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uuu" hidden="1">{"Acquiror Income Statement",#N/A,TRUE,"Acquiror";"Acquiror Balance Sheet",#N/A,TRUE,"Acquiror";"Acquiror Cash Flow",#N/A,TRUE,"Acquiror"}</definedName>
    <definedName name="v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Val_Apontamento_Timesheet">#REF!</definedName>
    <definedName name="VersaoSollus">[26]DeParas!$D$2</definedName>
    <definedName name="w" hidden="1">{"Qtr Op Mgd Q2",#N/A,FALSE,"Qtr-Op (Mng)";"Qtr Op Rpt Q2",#N/A,FALSE,"Qtr-Op (Rpt)";"Operating Vs Reported",#N/A,FALSE,"Rpt-Op Inc"}</definedName>
    <definedName name="Web" hidden="1">{#N/A,#N/A,FALSE,"Inputs - Prices &amp; Forecasts"}</definedName>
    <definedName name="wew" hidden="1">{#N/A,#N/A,FALSE,"Sheet1"}</definedName>
    <definedName name="wrn" hidden="1">{#N/A,#N/A,FALSE,"Sheet1"}</definedName>
    <definedName name="wrn.Acquiror._.Financial._.Statements." hidden="1">{"Acquiror Income Statement",#N/A,TRUE,"Acquiror";"Acquiror Balance Sheet",#N/A,TRUE,"Acquiror";"Acquiror Cash Flow",#N/A,TRUE,"Acquiror"}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Financial._.Statements.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uto._.Comp." hidden="1">{#N/A,#N/A,FALSE,"Sheet1"}</definedName>
    <definedName name="wrn.Auto._.Comp2." hidden="1">{#N/A,#N/A,FALSE,"Sheet1"}</definedName>
    <definedName name="wrn.Balanço." hidden="1">{#N/A,#N/A,FALSE,"BLDC";#N/A,#N/A,FALSE,"RESDC";#N/A,#N/A,FALSE,"BLFV";#N/A,#N/A,FALSE,"RESFV"}</definedName>
    <definedName name="wrn.Base." hidden="1">{#N/A,#N/A,FALSE,"Base Business Consol";#N/A,#N/A,FALSE,"Corp Base";#N/A,#N/A,FALSE,"EMEA Base";#N/A,#N/A,FALSE,"APJ Base";#N/A,#N/A,FALSE,"LA Summary"}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ook." hidden="1">{"EVA",#N/A,FALSE,"SMT2";#N/A,#N/A,FALSE,"Summary";#N/A,#N/A,FALSE,"Graphs";#N/A,#N/A,FALSE,"4 Panel"}</definedName>
    <definedName name="wrn.COMBINED." hidden="1">{#N/A,#N/A,FALSE,"INPUTS";#N/A,#N/A,FALSE,"PROFORMA BSHEET";#N/A,#N/A,FALSE,"COMBINED";#N/A,#N/A,FALSE,"HIGH YIELD";#N/A,#N/A,FALSE,"COMB_GRAPHS"}</definedName>
    <definedName name="wrn.compare." hidden="1">{"page1",#N/A,FALSE,"Temp";"page2",#N/A,FALSE,"Temp";"page3",#N/A,FALSE,"Temp";"page4",#N/A,FALSE,"Temp";"page5",#N/A,FALSE,"Temp";"page6",#N/A,FALSE,"Temp"}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nsolidated._.Financial._.Statements." hidden="1">{"Consolidated Income Statement",#N/A,FALSE,"Deal";"Consolidated Balance Sheet",#N/A,FALSE,"Deal";"Consolidated Cash Flow",#N/A,FALSE,"Deal"}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tabilidade." hidden="1">{#N/A,#N/A,FALSE,"APURAÇÃO DO RESULTADO";#N/A,#N/A,FALSE,"LUCRO REAL";#N/A,#N/A,FALSE,"CONTRIBUIÇÃO SOCIAL"}</definedName>
    <definedName name="wrn.Contribution._.Margin.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PV." hidden="1">{#N/A,#N/A,FALSE,"C.P.V."}</definedName>
    <definedName name="wrn.CSC._.All." hidden="1">{"Asia and Europe",#N/A,FALSE,"Selected Output 1";"United States",#N/A,FALSE,"Selected Output 1"}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ef9806." hidden="1">{#N/A,#N/A,FALSE,"DEF1";#N/A,#N/A,FALSE,"DEF2";#N/A,#N/A,FALSE,"DEF3"}</definedName>
    <definedName name="wrn.Demographic._.report.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velopment._.Hours." hidden="1">{#N/A,#N/A,FALSE,"July 95";#N/A,#N/A,FALSE,"Aug 95";#N/A,#N/A,FALSE,"Sep 95";#N/A,#N/A,FALSE,"October 95"}</definedName>
    <definedName name="wrn.DLPs._.DFCs." hidden="1">{"E002 D.L.P. Geral",#N/A,FALSE,"Ajuste";"E003 D.L.P. Produção Própria",#N/A,FALSE,"Ajuste";"E012 D.F.C. Produção Própria",#N/A,FALSE,"Resumo";"E007 D.L.P. Venda Fabricante",#N/A,FALSE,"Ajuste";"E017 D.F.C. Venda Fabricante",#N/A,FALSE,"Resumo-VF";"E009 D.L.P. VF Terceiro",#N/A,FALSE,"Ajuste";"E021 D.F.C. Venda Fabricante Terceiros",#N/A,FALSE,"Resumo-VFT";"E006 D.L.P. Revenda PFC",#N/A,FALSE,"Ajuste";"E014 D.F.C. Revenda PFC",#N/A,FALSE,"Ajuste";"E008 D.L.P. Produtos de Revenda",#N/A,FALSE,"Ajuste"}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MEA." hidden="1">{#N/A,#N/A,FALSE,"EMEA Target ";#N/A,#N/A,FALSE,"EMEA Summary";#N/A,#N/A,FALSE,"EMEA Base";#N/A,#N/A,FALSE,"EMEA Inf"}</definedName>
    <definedName name="wrn.ERELIMP." hidden="1">{#N/A,#N/A,FALSE,"FRETADOR";#N/A,#N/A,FALSE,"LOCADOR";#N/A,#N/A,FALSE,"TESPDOR";#N/A,#N/A,FALSE,"UNIDADEDOR"}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.._.A." hidden="1">{"Page 1",#N/A,TRUE,"Sheet1";"Page 2",#N/A,TRUE,"Sheet1"}</definedName>
    <definedName name="wrn.FCB." hidden="1">{"FCB_ALL",#N/A,FALSE,"FCB"}</definedName>
    <definedName name="wrn.fcb2" hidden="1">{"FCB_ALL",#N/A,FALSE,"FCB"}</definedName>
    <definedName name="wrn.fiscal." hidden="1">{#N/A,#N/A,FALSE,"APURAÇÃO DO RESULTADO";#N/A,#N/A,FALSE,"LUCRO REAL";#N/A,#N/A,FALSE,"CONTRIBUIÇÃO SOCIAL";#N/A,#N/A,FALSE,"PIS NOVO";#N/A,#N/A,FALSE,"PRO-LABORE";#N/A,#N/A,FALSE,"LEI 8383"}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 hidden="1">{#N/A,#N/A,FALSE,"Cover";#N/A,#N/A,FALSE,"Pres ";#N/A,#N/A,FALSE,"Outputs";#N/A,#N/A,FALSE,"Sensit";#N/A,#N/A,FALSE,"DCF ";#N/A,#N/A,FALSE,"Graphs";#N/A,#N/A,FALSE,"CFS";#N/A,#N/A,FALSE,"BS";#N/A,#N/A,FALSE,"PL";#N/A,#N/A,FALSE,"Control (In)";#N/A,#N/A,FALSE,"Broker (In)";#N/A,#N/A,FALSE,"In-House (In)";#N/A,#N/A,FALSE,"Assumptions";#N/A,#N/A,FALSE,"WACC";#N/A,#N/A,FALSE,"Check"}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RAPHS." hidden="1">{#N/A,#N/A,FALSE,"ACQ_GRAPHS";#N/A,#N/A,FALSE,"T_1 GRAPHS";#N/A,#N/A,FALSE,"T_2 GRAPHS";#N/A,#N/A,FALSE,"COMB_GRAPHS"}</definedName>
    <definedName name="wrn.imp." hidden="1">{"vue1",#N/A,FALSE,"synthese";"vue2",#N/A,FALSE,"synthese"}</definedName>
    <definedName name="wrn.IMP01." hidden="1">{#N/A,#N/A,FALSE,"PREVISÃO DE VENDAS"}</definedName>
    <definedName name="wrn.IMP02." hidden="1">{"IMP02",#N/A,FALSE,"PREVISÃO DE VENDAS"}</definedName>
    <definedName name="wrn.IMP03." hidden="1">{"IMP03",#N/A,FALSE,"PREVISÃO DE VENDAS"}</definedName>
    <definedName name="wrn.IMPRE." hidden="1">{#N/A,#N/A,FALSE,"GERAL";#N/A,#N/A,FALSE,"LOCAÇÃO";#N/A,#N/A,FALSE,"FRETAMENTO";#N/A,#N/A,FALSE,"CARRETAS"}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NVESTIMENTOS._.CORRENTES." hidden="1">{#N/A,#N/A,FALSE,"Suprimentos";#N/A,#N/A,FALSE,"Medicina e Segurança";#N/A,#N/A,FALSE,"Administração";#N/A,#N/A,FALSE,"Meio Ambiente";#N/A,#N/A,FALSE,"Operação (Mina)";#N/A,#N/A,FALSE,"Operação (Porto)"}</definedName>
    <definedName name="wrn.IPO._.Valuation." hidden="1">{"assumptions",#N/A,FALSE,"Scenario 1";"valuation",#N/A,FALSE,"Scenario 1"}</definedName>
    <definedName name="wrn.Latin._.America." hidden="1">{"rawdata",#N/A,TRUE,"CANTV";"in",#N/A,TRUE,"CANTV";"rawdata",#N/A,TRUE,"Entel";"in",#N/A,TRUE,"Entel";"rawdata",#N/A,TRUE,"TBra";"in",#N/A,TRUE,"TBra";"rawdata",#N/A,TRUE,"TArg";"in",#N/A,TRUE,"TArg";"rawdata",#N/A,TRUE,"TdArg";"in",#N/A,TRUE,"TdArg";"rawdata",#N/A,TRUE,"TdPer";"in",#N/A,TRUE,"TdPer";"rawdata",#N/A,TRUE,"CTC";"in",#N/A,TRUE,"CTC";"rawdata",#N/A,TRUE,"TMX";"in",#N/A,TRUE,"TMX"}</definedName>
    <definedName name="wrn.LBO._.Summary." hidden="1">{"LBO Summary",#N/A,FALSE,"Summary"}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OB." hidden="1">{"grossprem(LOB)",#N/A,FALSE,"TEMPLATE";"gpwgrowth(LOB)",#N/A,FALSE,"TEMPLATE";"retention(LOB)",#N/A,FALSE,"TEMPLATE";"netprem(LOB)",#N/A,FALSE,"TEMPLATE";"npwgrowth(LOB)",#N/A,FALSE,"TEMPLATE";"premearned(LOB)",#N/A,FALSE,"TEMPLATE";"lossratio(LOB)",#N/A,FALSE,"TEMPLATE";"commratio(LOB)",#N/A,FALSE,"TEMPLATE";"uwratio(LOB)",#N/A,FALSE,"TEMPLATE";"expenseratio(LOB)",#N/A,FALSE,"TEMPLATE";"combined(LOB)",#N/A,FALSE,"TEMPLATE";"savings(LOB)",#N/A,FALSE,"TEMPLATE";"GAAPexpense(LOB)",#N/A,FALSE,"TEMPLATE";"GAAPcombined(LOB)",#N/A,FALSE,"TEMPLATE";"DAC%(LOB)",#N/A,FALSE,"TEMPLATE";"DAC$(LOB)",#N/A,FALSE,"TEMPLATE";"lossdoll(LOB)",#N/A,FALSE,"TEMPLATE";"uwexpgrowth(LOB)",#N/A,FALSE,"TEMPLATE";"uwdoll(LOB)",#N/A,FALSE,"TEMPLATE";"commdoll(LOB)",#N/A,FALSE,"TEMPLATE";"expensedoll(LOB)",#N/A,FALSE,"TEMPLATE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ODEL." hidden="1">{"balsheet",#N/A,FALSE,"TEMPLATE";"income",#N/A,FALSE,"TEMPLATE";"ratios1",#N/A,FALSE,"TEMPLATE";"ratios2",#N/A,FALSE,"TEMPLATE";"sources",#N/A,FALSE,"TEMPLATE";"earned",#N/A,FALSE,"TEMPLATE";"dividends",#N/A,FALSE,"TEMPLATE";"portfolio",#N/A,FALSE,"TEMPLATE";"bonds",#N/A,FALSE,"TEMPLATE";"payouts",#N/A,FALSE,"TEMPLATE";"losses1",#N/A,FALSE,"TEMPLATE";"losses2",#N/A,FALSE,"TEMPLATE"}</definedName>
    <definedName name="wrn.Monthly._.Act._.P_L." hidden="1">{"Monthly",#N/A,FALSE,"1.2"}</definedName>
    <definedName name="wrn.Mor._.Pack._.January." hidden="1">{#N/A,#N/A,FALSE,"Contents";"Jan 96",#N/A,FALSE,"1.1";#N/A,#N/A,FALSE,"1.2";#N/A,#N/A,FALSE,"1.3";#N/A,#N/A,FALSE,"1.4";#N/A,#N/A,FALSE,"2.0";#N/A,#N/A,FALSE,"3.1";#N/A,#N/A,FALSE,"3.2";#N/A,#N/A,FALSE,"4.1";#N/A,#N/A,FALSE,"4.2";#N/A,#N/A,FALSE,"5.1";#N/A,#N/A,FALSE,"5.2";#N/A,#N/A,FALSE,"5.3";#N/A,#N/A,FALSE,"6.1";#N/A,#N/A,FALSE,"6.2";#N/A,#N/A,FALSE,"7.0";#N/A,#N/A,FALSE,"8.0"}</definedName>
    <definedName name="wrn.MRP._.Pack._.excl._.cash.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"}</definedName>
    <definedName name="wrn.MRP._.Pack._.excl._.commentary." hidden="1">{#N/A,#N/A,FALSE,"Header";#N/A,#N/A,FALSE,"Group Statement";#N/A,#N/A,FALSE,"Group P&amp;L Analysis";#N/A,#N/A,FALSE,"Tog Report";#N/A,#N/A,FALSE,"Customer Admin Report";#N/A,#N/A,FALSE,"Insure Report";#N/A,#N/A,FALSE,"XCS Report";#N/A,#N/A,FALSE,"Proc Report";#N/A,#N/A,FALSE,"New Entity (0502) Report";#N/A,#N/A,FALSE,"Bus Serv &amp; Invest ";#N/A,#N/A,FALSE,"Cash Flow"}</definedName>
    <definedName name="wrn.MRP._.Pack._.inc._.commentary." hidden="1">{#N/A,#N/A,FALSE,"Header";#N/A,#N/A,FALSE,"Group Statement";#N/A,#N/A,FALSE,"Tog Report";#N/A,#N/A,FALSE,"Togethr Comments";#N/A,#N/A,FALSE,"Customer Admin Report";#N/A,#N/A,FALSE,"Insure Report";#N/A,#N/A,FALSE,"Insure Comments";#N/A,#N/A,FALSE,"XCS Report";#N/A,#N/A,FALSE,"XCS Comments";#N/A,#N/A,FALSE,"Proc Report";#N/A,#N/A,FALSE,"Proc Comments";#N/A,#N/A,FALSE,"New Entity (0502) Report";#N/A,#N/A,FALSE,"Bus Serv &amp; Invest ";#N/A,#N/A,FALSE,"Cash Flow"}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orth._.America." hidden="1">{"rawdata",#N/A,TRUE,"AT&amp;T";"in",#N/A,TRUE,"AT&amp;T";"rawdata",#N/A,TRUE,"MCI";"in",#N/A,TRUE,"MCI";"rawdata",#N/A,TRUE,"Sprint";"in",#N/A,TRUE,"Sprint";"rawdata",#N/A,TRUE,"ALL";"in",#N/A,TRUE,"ALL";"rawdata",#N/A,TRUE,"Cent";"in",#N/A,TRUE,"Cent";"rawdata",#N/A,TRUE,"Cin";"in",#N/A,TRUE,"Cin";"rawdata",#N/A,TRUE,"Front";"in",#N/A,TRUE,"Front";"rawdata",#N/A,TRUE,"LCI";"in",#N/A,TRUE,"LCI";"rawdata",#N/A,TRUE,"MFS";"in",#N/A,TRUE,"MFS";"rawdata",#N/A,TRUE,"SNET";"in",#N/A,TRUE,"SNET";"rawdata",#N/A,TRUE,"World";"in",#N/A,TRUE,"World";"rawdata",#N/A,TRUE,"BCE";"in",#N/A,TRUE,"BCE";"rawdata",#N/A,TRUE,"Ameri";"in",#N/A,TRUE,"Ameri";"rawdata",#N/A,TRUE,"BellA";"in",#N/A,TRUE,"BellA";"rawdata",#N/A,TRUE,"BellS";"in",#N/A,TRUE,"BellS";"rawdata",#N/A,TRUE,"PacTel";"in",#N/A,TRUE,"PacTel";"rawdata",#N/A,TRUE,"NYN";"in",#N/A,TRUE,"NYN";"rawdata",#N/A,TRUE,"SBC";"in",#N/A,TRUE,"SBC";"rawdata",#N/A,TRUE,"USW";"in",#N/A,TRUE,"USW";"rawdata",#N/A,TRUE,"GTE";"in",#N/A,TRUE,"GTE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rçamento._.Geral." hidden="1">{"E001 Geração de Caixa Geral",#N/A,FALSE,"Ajuste";"E002 D.L.P. Geral",#N/A,FALSE,"Ajuste";"E003 D.L.P. Produção Própria",#N/A,FALSE,"Ajuste";"E004 Análise Orçamentária",#N/A,FALSE,"Ajuste";"E005 Instrumentos Análise Financeira",#N/A,FALSE,"Ajuste";"E006 D.L.P. Revenda PFC",#N/A,FALSE,"Ajuste";"E007 D.L.P. Venda Fabricante",#N/A,FALSE,"Ajuste";"E008 D.L.P. Produtos de Revenda",#N/A,FALSE,"Ajuste";"E009 D.L.P. VF Terceiro",#N/A,FALSE,"Ajuste";"E010 Previsão CF Produção Própria",#N/A,FALSE,"Pr.CxF";"E011 Preço Médio Produção Própria",#N/A,FALSE,"PrMédio";"E012 D.F.C. Produção Própria",#N/A,FALSE,"Resumo";"E013.01 Custo Produção Própria",#N/A,FALSE,"Vendas";"E013.02 Custo Produção Própria",#N/A,FALSE,"Vendas";"E013.03 Custo Produção Própria",#N/A,FALSE,"Vendas";"E013.04 Custo Produção Própria",#N/A,FALSE,"Vendas";"E013.05 Custo Produção Própria",#N/A,FALSE,"Vendas";"E013.06 Custo Produção Própria",#N/A,FALSE,"Vendas";"E013.07 Custo Produção Própria",#N/A,FALSE,"Vendas";"E013.08 Custo Produção Própria",#N/A,FALSE,"Vendas";"E013.09 Custo Produção Própria",#N/A,FALSE,"Vendas";"E013.10 Custo Produção Própria",#N/A,FALSE,"Vendas";"E013.11 Custo Produção Própria",#N/A,FALSE,"Vendas";"E013.12 Custo Produção Própria",#N/A,FALSE,"Vendas";"E014 D.F.C. Revenda PFC",#N/A,FALSE,"Ajuste";"E015 Previsão CF Venda Fabricante",#N/A,FALSE,"Pr.CxF-VF";"E016 Preço Médio VF",#N/A,FALSE,"PrMédio-VF";"E017 D.F.C. Venda Fabricante",#N/A,FALSE,"Resumo-VF";"E018.01 Custo Venda Fabricante",#N/A,FALSE,"Vendas Fab.";"E018.02 Custo Venda Fabricante",#N/A,FALSE,"Vendas Fab.";"E018.03 Custo Venda Fabricante",#N/A,FALSE,"Vendas Fab.";"E018.04 Custo Venda Fabricante",#N/A,FALSE,"Vendas Fab.";"E018.05 Custo Venda Fabricante",#N/A,FALSE,"Vendas Fab.";"E018.06 Custo Venda Fabricante",#N/A,FALSE,"Vendas Fab.";"E018.07 Custo Venda Fabricante",#N/A,FALSE,"Vendas Fab.";"E018.08 Custo Venda Fabricante",#N/A,FALSE,"Vendas Fab.";"E018.09 Custo Venda Fabricante",#N/A,FALSE,"Vendas Fab.";"E018.10 Custo Venda Fabricante",#N/A,FALSE,"Vendas Fab.";"E018.11 Custo Venda Fabricante",#N/A,FALSE,"Vendas Fab.";"E018.12 Custo Venda Fabricante",#N/A,FALSE,"Vendas Fab.";"E019 Previsão CF VFT",#N/A,FALSE,"Pr.CxF-VFT";"E020 Preço Médio VFT",#N/A,FALSE,"PrMédio-VFT";"E021 D.F.C. Venda Fabricante Terceiros",#N/A,FALSE,"Resumo-VFT";"E022.01 Custos VFT",#N/A,FALSE,"Vendas F. Terc.";"E022.02 Custos VFT",#N/A,FALSE,"Vendas F. Terc.";"E022.03 Custos VFT",#N/A,FALSE,"Vendas F. Terc.";"E022.04 Custos VFT",#N/A,FALSE,"Vendas F. Terc.";"E022.05 Custos VFT",#N/A,FALSE,"Vendas F. Terc.";"E022.06 Custos VFT",#N/A,FALSE,"Vendas F. Terc.";"E022.07 Custos VFT",#N/A,FALSE,"Vendas F. Terc.";"E022.08 Custos VFT",#N/A,FALSE,"Vendas F. Terc.";"E022.09 Custos VFT",#N/A,FALSE,"Vendas F. Terc.";"E022.10 Custos VFT",#N/A,FALSE,"Vendas F. Terc.";"E022.11 Custos VFT",#N/A,FALSE,"Vendas F. Terc.";"E022.12 Custos VFT",#N/A,FALSE,"Vendas F. Terc.";"E023 Despesas Por Centro de Custo",#N/A,FALSE,"Ajuste";"E024 Folha de Pagamento",#N/A,FALSE,"Folha";"E025 Previsão Vendas Produto Revenda",#N/A,FALSE,"Revenda";"E026 Preço de Custo Revenda",#N/A,FALSE,"Revenda";"E027 D.C. Revenda",#N/A,FALSE,"Revenda";"E028 Preço de Venda Revenda",#N/A,FALSE,"Revenda";"E029 D.F. Revenda",#N/A,FALSE,"Revenda";"E030 Impostos Revenda",#N/A,FALSE,"Revenda";"E031 D. Impostos Revenda",#N/A,FALSE,"Revenda";"E032 Despesas Revenda",#N/A,FALSE,"Revenda";"E033 Folha de Pagamento Revenda",#N/A,FALSE,"Revenda"}</definedName>
    <definedName name="wrn.ORÇAMENTO._.RCSA." hidden="1">{"E001 - GERAÇÃO DE CAIXA GERAL",#N/A,FALSE,"Ajuste";"E002 - DLP GERAL",#N/A,FALSE,"Ajuste"}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LANEJAMENTO._.1999." hidden="1">{#N/A,#N/A,FALSE,"PROJEÇÃO DE FATURAMENTO";#N/A,#N/A,FALSE,"Plano de Vendas - US$";#N/A,#N/A,FALSE,"CUSTOS COM MAT. PRIMA";#N/A,#N/A,FALSE," Plano de Produção";#N/A,#N/A,FALSE,"PROJEÇÃO DE GASTOS";#N/A,#N/A,FALSE,"PROGRAMA DE INVESTIMENTOS";#N/A,#N/A,FALSE,"INVESTIMENTOS EM PROCESSO";#N/A,#N/A,FALSE,"PROJEÇÃO DE RESULTADOS";#N/A,#N/A,FALSE,"FLUXO DE CAIXA";#N/A,#N/A,FALSE,"DEM.RESULTADO - EQUILIBRIO";#N/A,#N/A,FALSE,"FLUXO DE CAIXA - EQUILIBRIO"}</definedName>
    <definedName name="wrn.Presentation.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int." hidden="1">{"vi1",#N/A,FALSE,"Financial Statements";"vi2",#N/A,FALSE,"Financial Statements";#N/A,#N/A,FALSE,"DCF"}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Entire._.Business._.Case.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ept.." hidden="1">{#N/A,#N/A,FALSE,"GP";#N/A,#N/A,FALSE,"Summary"}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hidden="1">{"page1",#N/A,FALSE,"PF";"page2",#N/A,FALSE,"PF";"page3",#N/A,FALSE,"PF";"page4",#N/A,FALSE,"Bal_Sht"}</definedName>
    <definedName name="wrn.PrintCap." hidden="1">{"page1",#N/A,FALSE,"Capital";"page2",#N/A,FALSE,"Capital";"page3",#N/A,FALSE,"Capital"}</definedName>
    <definedName name="wrn.Product._.Detail.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Qtrs_PL." hidden="1">{"Quarters",#N/A,FALSE,"1.2"}</definedName>
    <definedName name="wrn.Region._.Totals." hidden="1">{#N/A,#N/A,FALSE,"SUMMARY";#N/A,#N/A,FALSE,"CORP Consolidated";#N/A,#N/A,FALSE,"NA Consolidated";#N/A,#N/A,FALSE,"APJ Consolidated";#N/A,#N/A,FALSE,"EMEA Consolidated";#N/A,#N/A,FALSE,"LA Consolidated"}</definedName>
    <definedName name="wrn.Region._.Totals._.w._.Bus._.Unit._.Totals." hidden="1">{#N/A,#N/A,FALSE,"SUMMARY";#N/A,#N/A,FALSE,"BPCS TOTAL";#N/A,#N/A,FALSE,"IBIZ TOTAL";#N/A,#N/A,FALSE,"INFIN TOTAL";#N/A,#N/A,FALSE,"CORP Consolidated";#N/A,#N/A,FALSE,"NA Consolidated";#N/A,#N/A,FALSE,"APJ Consolidated";#N/A,#N/A,FALSE,"EMEA Consolidated";#N/A,#N/A,FALSE,"LA Consolidated";#N/A,#N/A,FALSE,"OGS SUMMARY";#N/A,#N/A,FALSE,"Changes"}</definedName>
    <definedName name="wrn.Report1." hidden="1">{#N/A,#N/A,FALSE,"July 95";#N/A,#N/A,FALSE,"Aug 95";#N/A,#N/A,FALSE,"Sep 95";#N/A,#N/A,FALSE,"October 95";#N/A,#N/A,FALSE,"November 95";#N/A,#N/A,FALSE,"December 95";#N/A,#N/A,FALSE,"February 96";#N/A,#N/A,FALSE,"March 96"}</definedName>
    <definedName name="wrn.rpts." hidden="1">{#N/A,#N/A,TRUE,"Services";#N/A,#N/A,TRUE,"Sales - QM";#N/A,#N/A,TRUE,"Sales - HC";#N/A,#N/A,TRUE,"Int'l";#N/A,#N/A,TRUE,"PW Institute";#N/A,#N/A,TRUE,"Mktg Dept";#N/A,#N/A,TRUE,"R&amp;D";#N/A,#N/A,TRUE,"G&amp;A"}</definedName>
    <definedName name="wrn.sens." hidden="1">{"sens1\",#N/A,FALSE,"PF";"sens2",#N/A,FALSE,"PF";"sens3",#N/A,FALSE,"PF";"sens4",#N/A,FALSE,"PF"}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TAND_ALONE_BOTH." hidden="1">{"FCB_ALL",#N/A,FALSE,"FCB";"GREY_ALL",#N/A,FALSE,"GREY"}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ummary." hidden="1">{"Print Summary",#N/A,FALSE,"Bal_Graphs";"Print Summary",#N/A,FALSE,"DCF";"Print Summary",#N/A,FALSE,"Graphs";"Print Summary",#N/A,FALSE,"Summary"}</definedName>
    <definedName name="wrn.Summary._.Pages." hidden="1">{#N/A,#N/A,FALSE,"Target";#N/A,#N/A,FALSE,"Consolidating";#N/A,#N/A,FALSE,"Corp Summary";#N/A,#N/A,FALSE,"NA Summary";#N/A,#N/A,FALSE,"EMEA Summary";#N/A,#N/A,FALSE,"APJ Summary";#N/A,#N/A,FALSE,"LA 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ynergies.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Target._.Financial._.Statements." hidden="1">{"Target Income Statement",#N/A,FALSE,"Target";"Target Balance Sheet",#N/A,FALSE,"Target";"Target Cash Flow",#N/A,FALSE,"Target"}</definedName>
    <definedName name="wrn.Telet." hidden="1">{#N/A,#N/A,FALSE,"Valuation Summary";#N/A,#N/A,FALSE,"BT IS";#N/A,#N/A,FALSE,"BT CF";#N/A,#N/A,FALSE,"BT BS";#N/A,#N/A,FALSE,"BT FCF";#N/A,#N/A,FALSE,"BT Model";#N/A,#N/A,FALSE,"BT Finance"}</definedName>
    <definedName name="wrn.test." hidden="1">{"test2",#N/A,TRUE,"Prices"}</definedName>
    <definedName name="wrn.todo.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ransaction._.Overview.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weety." hidden="1">{#N/A,#N/A,FALSE,"A&amp;E";#N/A,#N/A,FALSE,"HighTop";#N/A,#N/A,FALSE,"JG";#N/A,#N/A,FALSE,"RI";#N/A,#N/A,FALSE,"woHT";#N/A,#N/A,FALSE,"woHT&amp;JG"}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riance._.Q4" hidden="1">{"Variance Q4",#N/A,FALSE,"Var"}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YTD_ROY_PL." hidden="1">{"ROY_YTD",#N/A,FALSE,"1.2"}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w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x" hidden="1">{#N/A,#N/A,FALSE,"Sheet1"}</definedName>
    <definedName name="XRefColumnsCount" hidden="1">1</definedName>
    <definedName name="XRefCopyRangeCount" hidden="1">2</definedName>
    <definedName name="XRefPasteRangeCount" hidden="1">1</definedName>
    <definedName name="xx" hidden="1">{#N/A,#N/A,FALSE,"Sheet1"}</definedName>
    <definedName name="y" hidden="1">{#N/A,#N/A,FALSE,"Sheet1"}</definedName>
    <definedName name="yy" hidden="1">{#N/A,#N/A,FALSE,"Sheet1"}</definedName>
    <definedName name="Z_755D9C89_ADDA_11D1_8C6F_00A0243B16D5_.wvu.Rows" hidden="1">'[25]ÍNDICES PASSADOS'!$2:$4,'[25]ÍNDICES PASSADOS'!$24:$47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7" i="1" l="1"/>
  <c r="C96" i="1"/>
  <c r="C95" i="1"/>
  <c r="C94" i="1"/>
  <c r="C93" i="1"/>
  <c r="C92" i="1"/>
  <c r="C91" i="1"/>
  <c r="C90" i="1"/>
  <c r="C89" i="1"/>
  <c r="C88" i="1"/>
  <c r="C87" i="1"/>
  <c r="C86" i="1"/>
  <c r="C85" i="1"/>
  <c r="O84" i="1"/>
  <c r="C83" i="1"/>
  <c r="C82" i="1"/>
  <c r="C81" i="1"/>
  <c r="C80" i="1"/>
  <c r="C79" i="1"/>
  <c r="C78" i="1"/>
  <c r="C77" i="1"/>
  <c r="C76" i="1"/>
  <c r="O75" i="1"/>
  <c r="C74" i="1"/>
  <c r="C73" i="1"/>
  <c r="C72" i="1"/>
  <c r="C71" i="1"/>
  <c r="C70" i="1"/>
  <c r="C69" i="1"/>
  <c r="C68" i="1"/>
  <c r="C67" i="1"/>
  <c r="C66" i="1"/>
  <c r="O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O44" i="1"/>
  <c r="C43" i="1"/>
  <c r="C42" i="1"/>
  <c r="C41" i="1"/>
  <c r="O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O12" i="1"/>
  <c r="C11" i="1"/>
  <c r="O10" i="1"/>
  <c r="O8" i="1"/>
  <c r="N8" i="1"/>
  <c r="E6" i="1" s="1"/>
  <c r="F6" i="1" s="1"/>
  <c r="E2" i="1" s="1"/>
  <c r="M8" i="1"/>
  <c r="L8" i="1"/>
  <c r="K8" i="1"/>
  <c r="J8" i="1"/>
  <c r="I8" i="1"/>
  <c r="H8" i="1"/>
  <c r="G8" i="1"/>
  <c r="F8" i="1"/>
  <c r="E8" i="1"/>
  <c r="P5" i="1"/>
  <c r="F5" i="1"/>
  <c r="P4" i="1"/>
  <c r="Q4" i="1" s="1"/>
  <c r="R4" i="1" s="1"/>
  <c r="H4" i="1"/>
  <c r="I4" i="1" s="1"/>
  <c r="J4" i="1" s="1"/>
  <c r="K4" i="1" s="1"/>
  <c r="L4" i="1" s="1"/>
  <c r="M4" i="1" s="1"/>
  <c r="Q3" i="1"/>
  <c r="R3" i="1" s="1"/>
  <c r="P3" i="1"/>
  <c r="P2" i="1"/>
  <c r="Q5" i="1" s="1"/>
  <c r="R5" i="1" s="1"/>
  <c r="E3" i="1" l="1"/>
  <c r="E1" i="1" s="1"/>
  <c r="Q2" i="1"/>
  <c r="R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Danylo</author>
  </authors>
  <commentList>
    <comment ref="D5" authorId="0" shapeId="0" xr:uid="{847E672B-0E9E-4327-A646-EF12D0517112}">
      <text>
        <r>
          <rPr>
            <b/>
            <sz val="9"/>
            <color indexed="81"/>
            <rFont val="Segoe UI"/>
            <family val="2"/>
          </rPr>
          <t>CMC:</t>
        </r>
        <r>
          <rPr>
            <sz val="9"/>
            <color indexed="81"/>
            <rFont val="Segoe UI"/>
            <family val="2"/>
          </rPr>
          <t xml:space="preserve">
Média realizada entre a soma dos custos de mana do deck</t>
        </r>
      </text>
    </comment>
    <comment ref="D6" authorId="0" shapeId="0" xr:uid="{D4679BEF-17E1-4B3C-96EA-F12413DDB00F}">
      <text>
        <r>
          <rPr>
            <b/>
            <sz val="9"/>
            <color indexed="81"/>
            <rFont val="Segoe UI"/>
            <family val="2"/>
          </rPr>
          <t>Potencial:</t>
        </r>
        <r>
          <rPr>
            <sz val="9"/>
            <color indexed="81"/>
            <rFont val="Segoe UI"/>
            <family val="2"/>
          </rPr>
          <t xml:space="preserve">
Relação entre Aceleradores e CMC médio</t>
        </r>
      </text>
    </comment>
    <comment ref="E9" authorId="0" shapeId="0" xr:uid="{62D1BAA8-10A9-474A-B52A-DF3D7D739353}">
      <text>
        <r>
          <rPr>
            <b/>
            <sz val="9"/>
            <color indexed="81"/>
            <rFont val="Segoe UI"/>
            <family val="2"/>
          </rPr>
          <t>Sinergia:</t>
        </r>
        <r>
          <rPr>
            <sz val="9"/>
            <color indexed="81"/>
            <rFont val="Segoe UI"/>
            <family val="2"/>
          </rPr>
          <t xml:space="preserve">
Relação direta com a Mecânica do Comandante</t>
        </r>
      </text>
    </comment>
    <comment ref="G9" authorId="0" shapeId="0" xr:uid="{E0D32593-8AEF-47B8-B165-8D28941A857A}">
      <text>
        <r>
          <rPr>
            <b/>
            <sz val="9"/>
            <color indexed="81"/>
            <rFont val="Segoe UI"/>
            <family val="2"/>
          </rPr>
          <t xml:space="preserve">Resiliência:
</t>
        </r>
        <r>
          <rPr>
            <sz val="9"/>
            <color indexed="81"/>
            <rFont val="Segoe UI"/>
            <family val="2"/>
          </rPr>
          <t>Ganho de Vida, Resistência a Magia, Anulações, Vigilância</t>
        </r>
      </text>
    </comment>
    <comment ref="H9" authorId="0" shapeId="0" xr:uid="{D9E45282-967D-4096-909F-33272B44B478}">
      <text>
        <r>
          <rPr>
            <b/>
            <sz val="9"/>
            <color indexed="81"/>
            <rFont val="Segoe UI"/>
            <family val="2"/>
          </rPr>
          <t>Recurso:</t>
        </r>
        <r>
          <rPr>
            <sz val="9"/>
            <color indexed="81"/>
            <rFont val="Segoe UI"/>
            <family val="2"/>
          </rPr>
          <t xml:space="preserve">
Criação de tokens, filtrar o deck, recursão de grave</t>
        </r>
      </text>
    </comment>
    <comment ref="I9" authorId="0" shapeId="0" xr:uid="{D8F8FC02-9249-4105-8ABF-9CE43EA62602}">
      <text>
        <r>
          <rPr>
            <b/>
            <sz val="9"/>
            <color indexed="81"/>
            <rFont val="Segoe UI"/>
            <family val="2"/>
          </rPr>
          <t>Draw:</t>
        </r>
        <r>
          <rPr>
            <sz val="9"/>
            <color indexed="81"/>
            <rFont val="Segoe UI"/>
            <family val="2"/>
          </rPr>
          <t xml:space="preserve">
Aumento do número de cartas na mão</t>
        </r>
      </text>
    </comment>
    <comment ref="J9" authorId="0" shapeId="0" xr:uid="{D9A591DC-30BD-41B2-98BC-A3E18E3A4EF9}">
      <text>
        <r>
          <rPr>
            <b/>
            <sz val="9"/>
            <color indexed="81"/>
            <rFont val="Segoe UI"/>
            <family val="2"/>
          </rPr>
          <t>Amplificador:</t>
        </r>
        <r>
          <rPr>
            <sz val="9"/>
            <color indexed="81"/>
            <rFont val="Segoe UI"/>
            <family val="2"/>
          </rPr>
          <t xml:space="preserve">
+X/+X, Copiar Mágicas, Proliferar, Golpe Duplo</t>
        </r>
      </text>
    </comment>
    <comment ref="K9" authorId="0" shapeId="0" xr:uid="{BFAB6669-2A78-4263-B6B9-F98C9059E6FB}">
      <text>
        <r>
          <rPr>
            <b/>
            <sz val="9"/>
            <color indexed="81"/>
            <rFont val="Segoe UI"/>
            <family val="2"/>
          </rPr>
          <t>Remoção:</t>
        </r>
        <r>
          <rPr>
            <sz val="9"/>
            <color indexed="81"/>
            <rFont val="Segoe UI"/>
            <family val="2"/>
          </rPr>
          <t xml:space="preserve">
Destrói, Exila, Devolve para a mão</t>
        </r>
      </text>
    </comment>
    <comment ref="L9" authorId="0" shapeId="0" xr:uid="{D522E779-78C6-4B5B-B2EB-025B37962222}">
      <text>
        <r>
          <rPr>
            <b/>
            <sz val="9"/>
            <color indexed="81"/>
            <rFont val="Segoe UI"/>
            <family val="2"/>
          </rPr>
          <t>Evasão:</t>
        </r>
        <r>
          <rPr>
            <sz val="9"/>
            <color indexed="81"/>
            <rFont val="Segoe UI"/>
            <family val="2"/>
          </rPr>
          <t xml:space="preserve">
Voar, Atropelar, Iniciativa, Toque Mortifero</t>
        </r>
      </text>
    </comment>
    <comment ref="M9" authorId="0" shapeId="0" xr:uid="{F5E157CC-FE58-4327-8DE8-C29CFA7CDFD5}">
      <text>
        <r>
          <rPr>
            <b/>
            <sz val="9"/>
            <color indexed="81"/>
            <rFont val="Segoe UI"/>
            <family val="2"/>
          </rPr>
          <t>Dano Direto:</t>
        </r>
        <r>
          <rPr>
            <sz val="9"/>
            <color indexed="81"/>
            <rFont val="Segoe UI"/>
            <family val="2"/>
          </rPr>
          <t xml:space="preserve">
Efeitos que diminuam a vida do oponente sem ser por combate</t>
        </r>
      </text>
    </comment>
    <comment ref="N9" authorId="0" shapeId="0" xr:uid="{A8A22BE4-ED0D-4ADD-9CBF-0B1ECDA020C3}">
      <text>
        <r>
          <rPr>
            <b/>
            <sz val="9"/>
            <color indexed="81"/>
            <rFont val="Segoe UI"/>
            <family val="2"/>
          </rPr>
          <t>Aceleradores:</t>
        </r>
        <r>
          <rPr>
            <sz val="9"/>
            <color indexed="81"/>
            <rFont val="Segoe UI"/>
            <family val="2"/>
          </rPr>
          <t xml:space="preserve">
Pedras de mana, tutores de terrenos, redutores de custo</t>
        </r>
      </text>
    </comment>
    <comment ref="O9" authorId="0" shapeId="0" xr:uid="{06272E12-2573-45F2-8A3F-52EDD56D0B51}">
      <text>
        <r>
          <rPr>
            <b/>
            <sz val="9"/>
            <color indexed="81"/>
            <rFont val="Segoe UI"/>
            <family val="2"/>
          </rPr>
          <t>Liga Magic:</t>
        </r>
        <r>
          <rPr>
            <sz val="9"/>
            <color indexed="81"/>
            <rFont val="Segoe UI"/>
            <family val="2"/>
          </rPr>
          <t xml:space="preserve">
23/11/2023</t>
        </r>
      </text>
    </comment>
  </commentList>
</comments>
</file>

<file path=xl/sharedStrings.xml><?xml version="1.0" encoding="utf-8"?>
<sst xmlns="http://schemas.openxmlformats.org/spreadsheetml/2006/main" count="236" uniqueCount="115">
  <si>
    <t>Pontuação Total Comandante Primário</t>
  </si>
  <si>
    <t>INS</t>
  </si>
  <si>
    <t>Pontuação Total Comandante Secundário</t>
  </si>
  <si>
    <t>#QTD</t>
  </si>
  <si>
    <t>ALT</t>
  </si>
  <si>
    <t>CMC</t>
  </si>
  <si>
    <t>7+</t>
  </si>
  <si>
    <t>MÉD</t>
  </si>
  <si>
    <t>CMC médio</t>
  </si>
  <si>
    <t>pts</t>
  </si>
  <si>
    <t>BAX</t>
  </si>
  <si>
    <t>Potencial de Aceleração</t>
  </si>
  <si>
    <t>Critérios</t>
  </si>
  <si>
    <t>#</t>
  </si>
  <si>
    <t>Sinergia Prim.</t>
  </si>
  <si>
    <t>Sinergia Secund.</t>
  </si>
  <si>
    <t>Resiliência</t>
  </si>
  <si>
    <t>Recurso</t>
  </si>
  <si>
    <t>Draw</t>
  </si>
  <si>
    <t>Amplif.</t>
  </si>
  <si>
    <t>Remoção</t>
  </si>
  <si>
    <t>Evasão</t>
  </si>
  <si>
    <t>Dano Dir.</t>
  </si>
  <si>
    <t>Acelerad.</t>
  </si>
  <si>
    <t>Valor</t>
  </si>
  <si>
    <t>Relevância</t>
  </si>
  <si>
    <t>Comandante (1)</t>
  </si>
  <si>
    <t>Vito, Espinho da Rosa do Ocaso</t>
  </si>
  <si>
    <t>Criaturas (27)</t>
  </si>
  <si>
    <t>Aristocrata Indulgente (Indulgent Aristocrat)</t>
  </si>
  <si>
    <t>Vampira da Lua Macabra</t>
  </si>
  <si>
    <t>Artista do Sangue</t>
  </si>
  <si>
    <t>Creeping Bloodsucker</t>
  </si>
  <si>
    <t>Etergênito Talentoso</t>
  </si>
  <si>
    <t>Sacerdotisa de Nulos do Oblívio</t>
  </si>
  <si>
    <t>Vampiro Cordial</t>
  </si>
  <si>
    <t>Barão Markov</t>
  </si>
  <si>
    <t>Drana, Libertadora de Malakir</t>
  </si>
  <si>
    <t>Espiã Confiante</t>
  </si>
  <si>
    <t>Necrófago Falcão da Noite</t>
  </si>
  <si>
    <t>Sacerdote da Praga Saqueador</t>
  </si>
  <si>
    <t>Vampiro Cativante</t>
  </si>
  <si>
    <t>Vampiro Falcão-da-Noite</t>
  </si>
  <si>
    <t>Buscadora de Santuários</t>
  </si>
  <si>
    <t>Guardião da Estirpe</t>
  </si>
  <si>
    <t>Henrika Domnathi</t>
  </si>
  <si>
    <t>Kalitas, Traidor de Ghet</t>
  </si>
  <si>
    <t>Presença Medonha</t>
  </si>
  <si>
    <t>Profeta do Crepúsculo</t>
  </si>
  <si>
    <t>Vampiro Noctívago</t>
  </si>
  <si>
    <t>Bruxa Sanguinária de Malakir</t>
  </si>
  <si>
    <t>Campeão do Crepúsculo</t>
  </si>
  <si>
    <t>Mercador Cinzento de Asfódelos</t>
  </si>
  <si>
    <t>Assombração da Torre Alta</t>
  </si>
  <si>
    <t>Espectro Nirkana</t>
  </si>
  <si>
    <t>Senhor Vampiro Audaz</t>
  </si>
  <si>
    <t>Planeswalkers (3)</t>
  </si>
  <si>
    <t>Sorin, Senhor Vampiro Imperioso</t>
  </si>
  <si>
    <t>Liliana dos Reinos Sombrios</t>
  </si>
  <si>
    <t xml:space="preserve"> </t>
  </si>
  <si>
    <t>Sorin Markov</t>
  </si>
  <si>
    <t>Mágicas (20)</t>
  </si>
  <si>
    <t>Pacto de Massacre</t>
  </si>
  <si>
    <t>Intervenção de Érebo</t>
  </si>
  <si>
    <t>Renascimento de Malakir</t>
  </si>
  <si>
    <t>Tutor Vampírico</t>
  </si>
  <si>
    <t>Alimentar o Enxame</t>
  </si>
  <si>
    <t>Dessangrar</t>
  </si>
  <si>
    <t>Tormento de Granizo Flamejante</t>
  </si>
  <si>
    <t>Tutor Demoníaco</t>
  </si>
  <si>
    <t>Despertar de Agadeem</t>
  </si>
  <si>
    <t>Dilúvio Tóxico</t>
  </si>
  <si>
    <t>Tutor Sinistro</t>
  </si>
  <si>
    <t>Brincadeira Mortal</t>
  </si>
  <si>
    <t>Danação</t>
  </si>
  <si>
    <t>Rogar ao Espelho</t>
  </si>
  <si>
    <t>Sangue Novo</t>
  </si>
  <si>
    <t>Surra de Hagra</t>
  </si>
  <si>
    <t>Ódio</t>
  </si>
  <si>
    <t>Comandar a Horda Medonha</t>
  </si>
  <si>
    <t>Sangue na Neve</t>
  </si>
  <si>
    <t>Tributo de Sangue</t>
  </si>
  <si>
    <t>Artefatos (9)</t>
  </si>
  <si>
    <t>Anel Solar</t>
  </si>
  <si>
    <t>Lança Sombria</t>
  </si>
  <si>
    <t>Tampo de Adivinhação do Sensei</t>
  </si>
  <si>
    <t>Jitte de Umezawa</t>
  </si>
  <si>
    <t>Manivela Mental</t>
  </si>
  <si>
    <t>Ornato de Azeviche</t>
  </si>
  <si>
    <t>Corneta do Arauto</t>
  </si>
  <si>
    <t>Monumento de Bontu</t>
  </si>
  <si>
    <t>Cidadela de Nicol Bolas</t>
  </si>
  <si>
    <t>Encantamentos (8)</t>
  </si>
  <si>
    <t>Ascensão do Grão-Vampiro</t>
  </si>
  <si>
    <t>Chamado do Anel</t>
  </si>
  <si>
    <t>O Massacre do Gancho de Carne</t>
  </si>
  <si>
    <t>Arena Phyrexiana</t>
  </si>
  <si>
    <t>Contatos no Mercado Negro</t>
  </si>
  <si>
    <t>Necropotência</t>
  </si>
  <si>
    <t>Pacto de Sangue</t>
  </si>
  <si>
    <t>Sangue Delicioso</t>
  </si>
  <si>
    <t>Terrenos (32)</t>
  </si>
  <si>
    <t>Caminho da Ascendência</t>
  </si>
  <si>
    <t>Casebre da Bruxa</t>
  </si>
  <si>
    <t>Castelo de Locthwain</t>
  </si>
  <si>
    <t>Cofres da Cabala</t>
  </si>
  <si>
    <t>Fortaleza da Cabala</t>
  </si>
  <si>
    <t>Mikokoro, Centro do Mar</t>
  </si>
  <si>
    <t>Nyktos, Santuário de Nyx</t>
  </si>
  <si>
    <t>Pântano da Neve</t>
  </si>
  <si>
    <t>Pântano das Sanguessugas</t>
  </si>
  <si>
    <t>Salão de Guerra</t>
  </si>
  <si>
    <t>Santuário de Tyrita</t>
  </si>
  <si>
    <t>Shizo, o Armazém da Morte</t>
  </si>
  <si>
    <t>Urborg, Tumba de Yawgmoth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</si>
</sst>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i/>
      <sz val="11"/>
      <color rgb="FF333333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5" fillId="6" borderId="2" applyNumberFormat="0" applyAlignment="0" applyProtection="0"/>
    <xf numFmtId="0" fontId="8" fillId="0" borderId="0" applyNumberFormat="0" applyFill="0" applyBorder="0" applyAlignment="0" applyProtection="0"/>
  </cellStyleXfs>
  <cellXfs count="41">
    <xf numFmtId="0" fontId="0" fillId="0" borderId="0" xfId="0"/>
    <xf numFmtId="0" fontId="7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6" fillId="0" borderId="3" xfId="0" applyFont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0" xfId="0" applyNumberFormat="1"/>
    <xf numFmtId="0" fontId="9" fillId="0" borderId="0" xfId="0" applyFont="1" applyAlignment="1">
      <alignment horizontal="right"/>
    </xf>
    <xf numFmtId="0" fontId="5" fillId="8" borderId="0" xfId="0" applyFont="1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9" borderId="0" xfId="0" applyFont="1" applyFill="1" applyAlignment="1">
      <alignment horizontal="center"/>
    </xf>
    <xf numFmtId="0" fontId="6" fillId="9" borderId="0" xfId="0" quotePrefix="1" applyFont="1" applyFill="1" applyAlignment="1">
      <alignment horizontal="center"/>
    </xf>
    <xf numFmtId="2" fontId="0" fillId="10" borderId="3" xfId="0" applyNumberForma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8" fontId="11" fillId="5" borderId="1" xfId="4" applyNumberFormat="1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12" fillId="12" borderId="3" xfId="0" applyFont="1" applyFill="1" applyBorder="1" applyAlignment="1">
      <alignment vertical="top" wrapText="1"/>
    </xf>
    <xf numFmtId="0" fontId="0" fillId="0" borderId="3" xfId="0" applyBorder="1" applyAlignment="1">
      <alignment horizontal="center"/>
    </xf>
    <xf numFmtId="8" fontId="6" fillId="0" borderId="3" xfId="0" applyNumberFormat="1" applyFont="1" applyBorder="1" applyAlignment="1">
      <alignment horizontal="center"/>
    </xf>
    <xf numFmtId="0" fontId="0" fillId="7" borderId="3" xfId="0" applyFill="1" applyBorder="1" applyAlignment="1">
      <alignment horizontal="center" vertical="center"/>
    </xf>
    <xf numFmtId="0" fontId="8" fillId="12" borderId="3" xfId="6" applyFill="1" applyBorder="1" applyAlignment="1">
      <alignment vertical="top" wrapText="1"/>
    </xf>
    <xf numFmtId="4" fontId="13" fillId="0" borderId="3" xfId="2" applyNumberFormat="1" applyFont="1" applyFill="1" applyBorder="1" applyAlignment="1">
      <alignment horizontal="center"/>
    </xf>
    <xf numFmtId="0" fontId="14" fillId="12" borderId="0" xfId="0" applyFont="1" applyFill="1" applyAlignment="1">
      <alignment horizontal="right" vertical="top" wrapText="1"/>
    </xf>
    <xf numFmtId="4" fontId="2" fillId="3" borderId="3" xfId="2" applyNumberFormat="1" applyBorder="1" applyAlignment="1">
      <alignment horizontal="center"/>
    </xf>
    <xf numFmtId="4" fontId="3" fillId="4" borderId="3" xfId="3" applyNumberFormat="1" applyBorder="1" applyAlignment="1">
      <alignment horizontal="center"/>
    </xf>
    <xf numFmtId="0" fontId="3" fillId="4" borderId="3" xfId="3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4" fontId="1" fillId="2" borderId="3" xfId="1" applyNumberFormat="1" applyBorder="1" applyAlignment="1">
      <alignment horizontal="center"/>
    </xf>
    <xf numFmtId="0" fontId="14" fillId="12" borderId="3" xfId="0" applyFont="1" applyFill="1" applyBorder="1" applyAlignment="1">
      <alignment horizontal="center" vertical="top" wrapText="1"/>
    </xf>
    <xf numFmtId="4" fontId="5" fillId="6" borderId="3" xfId="5" applyNumberFormat="1" applyBorder="1" applyAlignment="1">
      <alignment horizontal="center"/>
    </xf>
    <xf numFmtId="8" fontId="15" fillId="0" borderId="3" xfId="3" applyNumberFormat="1" applyFont="1" applyFill="1" applyBorder="1" applyAlignment="1">
      <alignment horizontal="center"/>
    </xf>
  </cellXfs>
  <cellStyles count="7">
    <cellStyle name="Bom" xfId="1" builtinId="26"/>
    <cellStyle name="Célula de Verificação" xfId="5" builtinId="23"/>
    <cellStyle name="Entrada" xfId="4" builtinId="20"/>
    <cellStyle name="Hiperlink" xfId="6" builtinId="8"/>
    <cellStyle name="Neutro" xfId="3" builtinId="28"/>
    <cellStyle name="Normal" xfId="0" builtinId="0"/>
    <cellStyle name="Ruim" xfId="2" builtinId="27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162560</xdr:rowOff>
    </xdr:from>
    <xdr:to>
      <xdr:col>3</xdr:col>
      <xdr:colOff>1506</xdr:colOff>
      <xdr:row>3</xdr:row>
      <xdr:rowOff>2540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79FCCBD-1375-4629-8F3D-A5E127F60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560"/>
          <a:ext cx="573006" cy="401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cs01\share\GENERAL\sucharita\satyamadr\comps\INFOSY1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.bmf.com.br/MASHIMA/FY97FI~1/BUDGET/MFCSTJ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MP\Archivos%20de%20programa\Microsoft%20Office\Office\XL8GAL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w_server1\SYS\Dados\Martins\SidecoF\BPLAN%20MES.xls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os/BackUp/Atividades%202024%20vDEZ.xlsx" TargetMode="External"/><Relationship Id="rId2" Type="http://schemas.openxmlformats.org/officeDocument/2006/relationships/externalLinkPath" Target="https://d.docs.live.net/cb90286d8e23fa69/Documentos/BackUp/Atividades%202024%20vDEZ.xlsx" TargetMode="External"/><Relationship Id="rId1" Type="http://schemas.openxmlformats.org/officeDocument/2006/relationships/externalLinkPath" Target="/cb90286d8e23fa69/Documentos/BackUp/Atividades%202024%20vDEZ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(2010-06-09)%20Arpoador_Avalia&#231;&#227;o%20&amp;%20endividamento%20v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(100114)%20P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(100116)%20An&#225;lise%20de%20Mercad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(090930)%20Reestrutura&#231;&#227;o%20v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(090930)%20&#193;rab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doriar\Configura&#231;&#245;es%20locais\Temporary%20Internet%20Files\OLK62\PresentationDat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BANKING/Meyer/Ghaffari/On-Line%20Broker%20Initiation/YEI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BANKING/Meyer/Company%20Research/ICE/Model/ICE%20Mode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dministrador\Configura&#231;&#245;es%20locais\Temporary%20Internet%20Files\Content.Outlook\UX4XZFP3\(100107)%20Nasdaq%20IP%20Valuation%20(version%202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.bmf.com.br/My%20Documents/Healthcare/Prospecting/Droga%20Raia/Model/Droga%20Raia%20Model-Preliminary-06.20.08-DR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Startup" Target="BANKING/Meyer/Company%20Research/ET/Model/ET%20Model%20Base%20Cas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3\brochkind\Private%20Companies\Axerra\Axerra_valuationmodel_v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.bmf.com.br/Documents%20and%20Settings/TKUO/Desktop/My%20Briefcase/My%20Documents/Fresh%20Direct/Banking/C%20L%20I%20E%20N%20T%20S/Handex(new)/Handex%20model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.bmf.com.br/Documents%20and%20Settings/tgoodson/Desktop/My%20Briefcase/My%20Documents/Security/Entrust/Entu_historical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.bmf.com.br/BT/Mahindra%20BT/GA%20Org/Comps/All%20Comps_combined_Jan%2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5.%20Projetos%20e%20Consultoria\B3\PS0480\04.%20Racional%20de%20TI\Racional%20de%20Tecnologia%202018%20-%20Tratamento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pg\John%20D\CHARTBUILDER\tester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pg\John%20D\CHARTBUILDER\CB%20Problem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CM\CONV%20BOILERS\ssb_boiler_us%20equity%20mkt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(091002)%20Pr&#234;mios_ON_P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goulart\AppData\Local\Microsoft\Windows\INetCache\Content.Outlook\B8QDJPFS\3.%20Tratamento%20de%20Recursos%20-%20Itens%20e%20Alocacoes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ial%20Institutions\BM&amp;F%20Bovespa\Projeto%20Faria%20Lima\Presentations\2015.11.03%20-%20Kick-off\Cetip%20analysis%20-%20backup%203T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partilhados\Macros_Departamentais-060\Planejamento%20Financeiro\BP\BP%20BVMF\Projeto%20Faria%20Lima%20-%20Model%20-%20versao%20para%20envio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partilhados\Macros_Departamentais-060\Planejamento%20Financeiro\BP\BP%20BVMF\Business_Plan_BVMF%204T16%2006.12.2016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partilhados\Macros_Departamentais-060\Planejamento%20Financeiro\BP\BP%20BVMF\BP_B3_Modelo%20Mensal%20-%202T17%20PE%2005062017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partamental\Intra_Gerencias\INTRA_DF-GC\DF-CRCO\Estudos\Beta\Mecanica%20-%20Ajuste%20da%20Oferta%20v11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EIM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dmFin\Or&#231;amentos\2000\Bens%20Us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Template"/>
      <sheetName val="Tables"/>
      <sheetName val="Rates"/>
      <sheetName val="Q299"/>
      <sheetName val="Model"/>
      <sheetName val="GE3"/>
      <sheetName val="GE 2"/>
      <sheetName val="Access Conditions Model ii"/>
      <sheetName val="GE_2"/>
      <sheetName val="Access_Conditions_Model_ii"/>
      <sheetName val="CONTAS"/>
      <sheetName val="MESES"/>
      <sheetName val="ÁREAS"/>
      <sheetName val="LISTAS"/>
      <sheetName val="Moedas"/>
      <sheetName val="Cotação"/>
      <sheetName val="lista"/>
      <sheetName val="Classific Capex"/>
      <sheetName val="Centro de Custo"/>
      <sheetName val="Plan2"/>
      <sheetName val="Clas. CAPEX"/>
      <sheetName val="CETIP"/>
      <sheetName val="Monthly Forecast"/>
      <sheetName val="Herramientas para análisis-VBA"/>
      <sheetName val="CONSSID12-96"/>
      <sheetName val="Aumento de Capital"/>
      <sheetName val="Resumo TmarPart Estratégico"/>
      <sheetName val="TNL_TMAR Simples"/>
      <sheetName val="main"/>
      <sheetName val="Trading comps"/>
      <sheetName val="TNL 1 e 2"/>
      <sheetName val="Avaliação TMar-&gt;TNL"/>
      <sheetName val="Debentures BNDES"/>
      <sheetName val="Avaliação das Participações"/>
      <sheetName val="Resumo Aval TmarPart"/>
      <sheetName val="CF"/>
      <sheetName val="OPA Voluntária BRT"/>
      <sheetName val="Graficos Rig"/>
      <sheetName val="Sheet1"/>
      <sheetName val="Quarterly"/>
      <sheetName val="Sensibilidade Conversão ON-PN"/>
      <sheetName val="Current Portfolio"/>
      <sheetName val="CME (original)"/>
      <sheetName val="Minoritários"/>
      <sheetName val="OffShore Portfolio"/>
      <sheetName val="Comps"/>
      <sheetName val="Forecast"/>
      <sheetName val="Quadros Avaliação JP"/>
      <sheetName val="Output"/>
      <sheetName val="NASDAQ (rev)"/>
      <sheetName val="Preços de mercado"/>
      <sheetName val="Consolidated Cash Flow"/>
      <sheetName val="Resumo"/>
      <sheetName val="Graficos Guanambi"/>
      <sheetName val="Sensitivity analysis"/>
      <sheetName val="Factset"/>
      <sheetName val="Football Field"/>
      <sheetName val="Consolidated"/>
      <sheetName val="Historical"/>
      <sheetName val="Indian_Second_hist"/>
      <sheetName val="Add_Callout"/>
      <sheetName val="Stacked_Column_w_labels"/>
      <sheetName val="1997 IPO"/>
      <sheetName val="Scatter"/>
      <sheetName val="2.5 Coligadas"/>
      <sheetName val="2.2 Dir.Executivas"/>
      <sheetName val="2.3 Diretorias"/>
      <sheetName val="2.1 DP.Conselho"/>
      <sheetName val="2.4 SI.GE"/>
      <sheetName val="ÍNDICES PASSADOS"/>
      <sheetName val="Capital structure"/>
      <sheetName val="shareholder"/>
      <sheetName val="Outputs"/>
      <sheetName val="Output financials BVMF"/>
      <sheetName val="Premissas Cetip"/>
      <sheetName val="RelacaodeTroca"/>
      <sheetName val="Output financials CTIP"/>
      <sheetName val="GRV IMOB"/>
      <sheetName val="Calculos"/>
      <sheetName val="Volume"/>
      <sheetName val="TABELAS AUXILIARES"/>
      <sheetName val="fluxo de caixa"/>
    </sheetNames>
    <sheetDataSet>
      <sheetData sheetId="0" refreshError="1"/>
      <sheetData sheetId="1" refreshError="1"/>
      <sheetData sheetId="2" refreshError="1"/>
      <sheetData sheetId="3"/>
      <sheetData sheetId="4" refreshError="1">
        <row r="453">
          <cell r="A453" t="str">
            <v>Tata Consultancy</v>
          </cell>
          <cell r="B453">
            <v>4205.2</v>
          </cell>
        </row>
        <row r="454">
          <cell r="A454" t="str">
            <v>HCL Consulting</v>
          </cell>
          <cell r="B454">
            <v>2705.1</v>
          </cell>
        </row>
        <row r="455">
          <cell r="A455" t="str">
            <v>Wipro</v>
          </cell>
          <cell r="B455">
            <v>1639</v>
          </cell>
        </row>
        <row r="456">
          <cell r="A456" t="str">
            <v>Pentafour Software</v>
          </cell>
          <cell r="B456">
            <v>1002.7</v>
          </cell>
        </row>
        <row r="457">
          <cell r="A457" t="str">
            <v>Tata Unisys</v>
          </cell>
          <cell r="B457">
            <v>922.5</v>
          </cell>
        </row>
        <row r="458">
          <cell r="A458" t="str">
            <v>Silverline Ind.</v>
          </cell>
          <cell r="B458">
            <v>810</v>
          </cell>
        </row>
        <row r="459">
          <cell r="A459" t="str">
            <v>Infosys</v>
          </cell>
          <cell r="B459">
            <v>803.4</v>
          </cell>
        </row>
        <row r="460">
          <cell r="A460" t="str">
            <v>Fujitsu ICIM</v>
          </cell>
          <cell r="B460">
            <v>650</v>
          </cell>
        </row>
        <row r="461">
          <cell r="A461" t="str">
            <v>Square D Software</v>
          </cell>
          <cell r="B461">
            <v>573.1</v>
          </cell>
        </row>
        <row r="462">
          <cell r="A462" t="str">
            <v>Patni Computer Systems</v>
          </cell>
          <cell r="B462">
            <v>560</v>
          </cell>
        </row>
        <row r="469">
          <cell r="A469" t="str">
            <v>FY1992</v>
          </cell>
          <cell r="B469">
            <v>88.787569000000005</v>
          </cell>
          <cell r="C469">
            <v>22.481446000000005</v>
          </cell>
        </row>
        <row r="470">
          <cell r="A470" t="str">
            <v>FY1993</v>
          </cell>
          <cell r="B470">
            <v>137.184933</v>
          </cell>
          <cell r="C470">
            <v>35.089639999999996</v>
          </cell>
        </row>
        <row r="471">
          <cell r="A471" t="str">
            <v>FY1994</v>
          </cell>
          <cell r="B471">
            <v>288.98526500000003</v>
          </cell>
          <cell r="C471">
            <v>80.919432000000029</v>
          </cell>
        </row>
        <row r="472">
          <cell r="A472" t="str">
            <v>FY1995</v>
          </cell>
          <cell r="B472">
            <v>554.19435799999997</v>
          </cell>
          <cell r="C472">
            <v>133.24426599999995</v>
          </cell>
        </row>
        <row r="473">
          <cell r="A473" t="str">
            <v>FY1996</v>
          </cell>
          <cell r="B473">
            <v>885.55399999999997</v>
          </cell>
          <cell r="C473">
            <v>210.1</v>
          </cell>
        </row>
        <row r="474">
          <cell r="A474" t="str">
            <v>FY1997E</v>
          </cell>
          <cell r="B474">
            <v>1392.2</v>
          </cell>
          <cell r="C474">
            <v>333.89999999999992</v>
          </cell>
        </row>
        <row r="475">
          <cell r="A475" t="str">
            <v>FY1998E</v>
          </cell>
          <cell r="B475">
            <v>2576.573488</v>
          </cell>
          <cell r="C475">
            <v>603.63307900000018</v>
          </cell>
        </row>
        <row r="483">
          <cell r="A483" t="str">
            <v>FY1990</v>
          </cell>
          <cell r="B483">
            <v>1.55</v>
          </cell>
          <cell r="C483">
            <v>1.01</v>
          </cell>
        </row>
        <row r="484">
          <cell r="A484" t="str">
            <v>FY1991</v>
          </cell>
          <cell r="B484">
            <v>2.35</v>
          </cell>
          <cell r="C484">
            <v>1.87</v>
          </cell>
        </row>
        <row r="485">
          <cell r="A485" t="str">
            <v>FY1992</v>
          </cell>
          <cell r="B485">
            <v>4.3</v>
          </cell>
          <cell r="C485">
            <v>3.2</v>
          </cell>
        </row>
        <row r="486">
          <cell r="A486" t="str">
            <v>FY1993</v>
          </cell>
          <cell r="B486">
            <v>6.75</v>
          </cell>
          <cell r="C486">
            <v>4.9000000000000004</v>
          </cell>
        </row>
        <row r="487">
          <cell r="A487" t="str">
            <v>FY1994</v>
          </cell>
          <cell r="B487">
            <v>10.199999999999999</v>
          </cell>
          <cell r="C487">
            <v>6.95</v>
          </cell>
        </row>
        <row r="488">
          <cell r="A488" t="str">
            <v>FY1995</v>
          </cell>
          <cell r="B488">
            <v>15.35</v>
          </cell>
          <cell r="C488">
            <v>10.7</v>
          </cell>
        </row>
        <row r="489">
          <cell r="A489" t="str">
            <v>FY1996</v>
          </cell>
          <cell r="B489">
            <v>25.2</v>
          </cell>
          <cell r="C489">
            <v>16.7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Forecast"/>
      <sheetName val="Monthly_Forecast"/>
    </sheetNames>
    <sheetDataSet>
      <sheetData sheetId="0" refreshError="1">
        <row r="49">
          <cell r="C49" t="str">
            <v>L/C</v>
          </cell>
          <cell r="G49" t="str">
            <v>US$</v>
          </cell>
        </row>
        <row r="50">
          <cell r="C50">
            <v>36064</v>
          </cell>
          <cell r="G50">
            <v>317</v>
          </cell>
        </row>
        <row r="51">
          <cell r="C51">
            <v>26565</v>
          </cell>
          <cell r="G51">
            <v>233</v>
          </cell>
        </row>
        <row r="52">
          <cell r="C52">
            <v>21221</v>
          </cell>
          <cell r="G52">
            <v>186</v>
          </cell>
        </row>
        <row r="53">
          <cell r="C53">
            <v>560</v>
          </cell>
          <cell r="G53">
            <v>5</v>
          </cell>
        </row>
        <row r="54">
          <cell r="C54">
            <v>300</v>
          </cell>
          <cell r="G54">
            <v>3</v>
          </cell>
        </row>
        <row r="55">
          <cell r="C55">
            <v>500</v>
          </cell>
          <cell r="G55">
            <v>4</v>
          </cell>
        </row>
        <row r="56">
          <cell r="C56">
            <v>10000</v>
          </cell>
          <cell r="G56">
            <v>88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8GALRY"/>
      <sheetName val="Herramientas para análisis-VBA"/>
      <sheetName val="Listavba"/>
      <sheetName val="#¡REF"/>
      <sheetName val="Barras rústico"/>
      <sheetName val="Logarítmico"/>
      <sheetName val="Columnas y áreas"/>
      <sheetName val="Líneas en dos ejes"/>
      <sheetName val="Líneas y columnas 2"/>
      <sheetName val="Líneas y columnas 1"/>
      <sheetName val="Líneas suavizadas"/>
      <sheetName val="Conos"/>
      <sheetName val="Áreas 3D en color"/>
      <sheetName val="Tubos"/>
      <sheetName val="Circular llamativo"/>
      <sheetName val="Apilado en colores"/>
      <sheetName val="Columnas en profundidad"/>
      <sheetName val="Circular azul"/>
      <sheetName val="Barras flotantes"/>
      <sheetName val="Líneas coloridas"/>
      <sheetName val="Columnas en gris"/>
      <sheetName val="Áreas en gris, cronológico"/>
      <sheetName val="Áreas en gris"/>
      <sheetName val="Circular en gr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LAN MES"/>
      <sheetName val="CONSSID12-96"/>
      <sheetName val="DespAdm"/>
      <sheetName val="Global Depreciação"/>
      <sheetName val="REFERENCIA"/>
      <sheetName val="Lacesa"/>
      <sheetName val="PMO@2016-07"/>
      <sheetName val="Fluxo de Caixa Apresentação"/>
      <sheetName val="Câmbio"/>
      <sheetName val="DePara"/>
      <sheetName val="PMO@2017-06"/>
      <sheetName val="PMO@2017-08"/>
      <sheetName val="RF-G7"/>
      <sheetName val="Dados"/>
      <sheetName val="Painel"/>
      <sheetName val="Dados M3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| OUTROS &gt;&gt;&gt;"/>
      <sheetName val="CARRO 2024.5"/>
      <sheetName val="Lotofácil"/>
      <sheetName val="Batman"/>
      <sheetName val="SÉRIES"/>
      <sheetName val="SWOT"/>
      <sheetName val="Senado"/>
      <sheetName val="Controle Horas"/>
      <sheetName val="Vagas"/>
      <sheetName val="JobHunter"/>
      <sheetName val="CV"/>
      <sheetName val="HORÁRIO"/>
      <sheetName val="GRÁF"/>
      <sheetName val="| FAC &gt;&gt;&gt;"/>
      <sheetName val="RESUMO"/>
      <sheetName val="1. COA"/>
      <sheetName val="2. COS"/>
      <sheetName val="3. DEM"/>
      <sheetName val="4. CGE"/>
      <sheetName val="5. FIC"/>
      <sheetName val="6. ADC"/>
      <sheetName val="Base."/>
      <sheetName val="FIN_2024 (2)"/>
      <sheetName val="| $$$ &gt;&gt;&gt;"/>
      <sheetName val="FIN_24"/>
      <sheetName val="FIN_2024"/>
      <sheetName val="Tab_Dim"/>
      <sheetName val="Outros"/>
      <sheetName val="Comida"/>
      <sheetName val="Compras"/>
      <sheetName val="Cartões"/>
      <sheetName val="Cartão_BB"/>
      <sheetName val="| $$$² &gt;&gt;&gt;"/>
      <sheetName val="Ações (Google)"/>
      <sheetName val="Ações (Real)"/>
      <sheetName val="Ações (Hist)"/>
      <sheetName val="Ações (Esp)"/>
      <sheetName val="| SPFC &gt;&gt;&gt;"/>
      <sheetName val="SPFC 23-24"/>
      <sheetName val="LIB 2024"/>
      <sheetName val="BR 2024"/>
      <sheetName val="BR 2024 (13a)"/>
      <sheetName val="Cartola"/>
      <sheetName val="| MTG &gt;&gt;&gt;"/>
      <sheetName val="DECKS"/>
      <sheetName val="DECKS (2)"/>
      <sheetName val="Boxes"/>
      <sheetName val="Kits_2024"/>
      <sheetName val="Demons"/>
      <sheetName val="Foundations"/>
      <sheetName val="Modelo"/>
      <sheetName val="Heads I"/>
      <sheetName val="Queen"/>
      <sheetName val="Giada"/>
      <sheetName val="Vito"/>
      <sheetName val="Clavileño (old)"/>
      <sheetName val="Strefan"/>
      <sheetName val="Clavileño"/>
      <sheetName val="Head I win"/>
      <sheetName val="From Cute"/>
      <sheetName val="MTG - Apag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inel de controle"/>
      <sheetName val="Composição acionária"/>
      <sheetName val="Deal PT"/>
      <sheetName val="PT_Simulação aumento de capital"/>
      <sheetName val="Valor TmarPart"/>
      <sheetName val="Preços de mercado"/>
      <sheetName val="TNL 1 e 2"/>
      <sheetName val="TNL_TMAR Simples"/>
      <sheetName val="Minoritários"/>
      <sheetName val="Aumento de Capital"/>
      <sheetName val="Debentures BNDES"/>
      <sheetName val="OPA Voluntária BRT"/>
      <sheetName val="Pulverização"/>
      <sheetName val="Div. Liq."/>
      <sheetName val="Resumo"/>
      <sheetName val="Parametros"/>
      <sheetName val="Geral"/>
      <sheetName val="Bradesco Atual"/>
      <sheetName val="ExclusivosAtualAnt"/>
      <sheetName val="BancoCompradores"/>
      <sheetName val="BancoVendedores"/>
      <sheetName val="CBLC Atual"/>
      <sheetName val="ComparaAntAtual"/>
      <sheetName val="ComparaAtualAnt"/>
      <sheetName val="CompradoresVendedor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Cenário</v>
          </cell>
          <cell r="D2" t="str">
            <v>Sem Incorporação BRT</v>
          </cell>
        </row>
        <row r="4">
          <cell r="B4" t="str">
            <v>Avaliação TMAR</v>
          </cell>
          <cell r="D4">
            <v>1</v>
          </cell>
          <cell r="E4" t="str">
            <v>1 - Mercado / 2- TMAR5</v>
          </cell>
        </row>
        <row r="6">
          <cell r="B6" t="str">
            <v>Prêmio TNL sobre TMAR na incorporação</v>
          </cell>
          <cell r="D6">
            <v>1</v>
          </cell>
          <cell r="E6" t="str">
            <v>1 - Sem prêmio / 2- Prêmio de negociação da TNL</v>
          </cell>
        </row>
        <row r="8">
          <cell r="B8" t="str">
            <v>Prêmio ON/PN na TMAR p/ cenário 2- Múltiplo</v>
          </cell>
          <cell r="D8">
            <v>0</v>
          </cell>
        </row>
        <row r="10">
          <cell r="B10" t="str">
            <v>Prêmio ON/PN na TNL 2</v>
          </cell>
          <cell r="D10">
            <v>0</v>
          </cell>
        </row>
        <row r="12">
          <cell r="B12" t="str">
            <v>Nova dívida na TNL 2 pré-incorporação</v>
          </cell>
          <cell r="D12">
            <v>1000</v>
          </cell>
        </row>
        <row r="14">
          <cell r="A14" t="str">
            <v>Spin-off TNL</v>
          </cell>
        </row>
        <row r="16">
          <cell r="B16" t="str">
            <v>Avaliação das ONs da TMAR detidas pela TNL</v>
          </cell>
        </row>
        <row r="17">
          <cell r="B17" t="str">
            <v>Valor por Ação (R$/ação)1</v>
          </cell>
          <cell r="D17">
            <v>60.13529247348486</v>
          </cell>
        </row>
        <row r="18">
          <cell r="B18" t="str">
            <v>Número de ações (MM)</v>
          </cell>
          <cell r="D18">
            <v>104.227873</v>
          </cell>
        </row>
        <row r="19">
          <cell r="A19" t="str">
            <v>(A)</v>
          </cell>
          <cell r="B19" t="str">
            <v>Valor total</v>
          </cell>
          <cell r="D19">
            <v>6267.773626744236</v>
          </cell>
        </row>
        <row r="21">
          <cell r="B21" t="str">
            <v>Avaliação das PNs da TMAR detidas pela TNL</v>
          </cell>
        </row>
        <row r="22">
          <cell r="B22" t="str">
            <v>Valor por Ação (R$/ação)1</v>
          </cell>
          <cell r="D22">
            <v>47.177380203761885</v>
          </cell>
        </row>
        <row r="23">
          <cell r="B23" t="str">
            <v>Número de ações (MM)</v>
          </cell>
          <cell r="D23">
            <v>91.249773000000005</v>
          </cell>
        </row>
        <row r="24">
          <cell r="A24" t="str">
            <v>(B)</v>
          </cell>
          <cell r="B24" t="str">
            <v>Valor total</v>
          </cell>
          <cell r="D24">
            <v>4304.9252343279659</v>
          </cell>
        </row>
        <row r="26">
          <cell r="A26" t="str">
            <v>(C)</v>
          </cell>
          <cell r="B26" t="str">
            <v>Prêmio TNL sobre TMAR</v>
          </cell>
          <cell r="C26">
            <v>0.10324094945466555</v>
          </cell>
          <cell r="D26">
            <v>0</v>
          </cell>
        </row>
        <row r="28">
          <cell r="B28" t="str">
            <v>Avaliação TNL</v>
          </cell>
        </row>
        <row r="29">
          <cell r="A29" t="str">
            <v>(D)= (A)*(1+(C))</v>
          </cell>
          <cell r="B29" t="str">
            <v>Participação em ONs de TMAR</v>
          </cell>
          <cell r="C29">
            <v>6914.8645269362232</v>
          </cell>
          <cell r="D29">
            <v>6267.773626744236</v>
          </cell>
        </row>
        <row r="30">
          <cell r="A30" t="str">
            <v>(E)= (B)*(1+(C))</v>
          </cell>
          <cell r="B30" t="str">
            <v>Participação em PNs de TMAR</v>
          </cell>
          <cell r="C30">
            <v>4749.3698028513336</v>
          </cell>
          <cell r="D30">
            <v>4304.9252343279659</v>
          </cell>
        </row>
        <row r="31">
          <cell r="A31" t="str">
            <v>(D)+(E)</v>
          </cell>
          <cell r="B31" t="str">
            <v>Valor da participação</v>
          </cell>
          <cell r="D31">
            <v>6267.773626744236</v>
          </cell>
        </row>
        <row r="32">
          <cell r="B32" t="str">
            <v>(-) Divida Líquida</v>
          </cell>
          <cell r="D32">
            <v>1204.2898845947002</v>
          </cell>
        </row>
        <row r="33">
          <cell r="B33" t="str">
            <v>Valor total</v>
          </cell>
          <cell r="D33">
            <v>5063.4837421495358</v>
          </cell>
        </row>
        <row r="35">
          <cell r="B35" t="str">
            <v>TNL 1</v>
          </cell>
        </row>
        <row r="36">
          <cell r="A36" t="str">
            <v>(D)</v>
          </cell>
          <cell r="B36" t="str">
            <v>Participação em ONs de TMAR</v>
          </cell>
          <cell r="C36">
            <v>6914.8645269362232</v>
          </cell>
          <cell r="D36">
            <v>6267.773626744236</v>
          </cell>
        </row>
        <row r="37">
          <cell r="B37" t="str">
            <v>(-) Divida líquida</v>
          </cell>
          <cell r="C37">
            <v>0</v>
          </cell>
          <cell r="D37">
            <v>0</v>
          </cell>
        </row>
        <row r="38">
          <cell r="B38" t="str">
            <v>Valor total</v>
          </cell>
          <cell r="C38">
            <v>6914.8645269362232</v>
          </cell>
          <cell r="D38">
            <v>6267.773626744236</v>
          </cell>
        </row>
        <row r="40">
          <cell r="B40" t="str">
            <v>TNL 2</v>
          </cell>
        </row>
        <row r="41">
          <cell r="A41" t="str">
            <v>(E)</v>
          </cell>
          <cell r="B41" t="str">
            <v>Participação em PNs de TMAR</v>
          </cell>
          <cell r="C41">
            <v>4749.3698028513336</v>
          </cell>
          <cell r="D41">
            <v>4304.9252343279659</v>
          </cell>
        </row>
        <row r="42">
          <cell r="B42" t="str">
            <v>(-) Divida líquida atual ²</v>
          </cell>
          <cell r="C42">
            <v>1204.2898845947002</v>
          </cell>
          <cell r="D42">
            <v>1204.2898845947002</v>
          </cell>
        </row>
        <row r="43">
          <cell r="B43" t="str">
            <v>(-) Dividendos extraordinários</v>
          </cell>
          <cell r="C43">
            <v>1000</v>
          </cell>
          <cell r="D43">
            <v>1000</v>
          </cell>
        </row>
        <row r="44">
          <cell r="B44" t="str">
            <v>Valor total</v>
          </cell>
          <cell r="C44">
            <v>2545.0799182566334</v>
          </cell>
          <cell r="D44">
            <v>2100.6353497332657</v>
          </cell>
        </row>
        <row r="45">
          <cell r="B45" t="str">
            <v># ações TNL</v>
          </cell>
          <cell r="C45">
            <v>382.61136299999998</v>
          </cell>
          <cell r="D45">
            <v>382.61136299999998</v>
          </cell>
        </row>
        <row r="46">
          <cell r="B46" t="str">
            <v>Valor por Ação (R$/ação)</v>
          </cell>
          <cell r="C46">
            <v>6.6518670493762455</v>
          </cell>
          <cell r="D46">
            <v>5.4902586615893734</v>
          </cell>
        </row>
        <row r="49">
          <cell r="A49" t="str">
            <v>Avaliação por ação da TNL 2</v>
          </cell>
        </row>
        <row r="51">
          <cell r="B51" t="str">
            <v>Número de ações TNL 2</v>
          </cell>
        </row>
        <row r="52">
          <cell r="B52" t="str">
            <v>ON</v>
          </cell>
          <cell r="D52">
            <v>127.59085200000001</v>
          </cell>
        </row>
        <row r="53">
          <cell r="B53" t="str">
            <v>PN</v>
          </cell>
          <cell r="D53">
            <v>255.020511</v>
          </cell>
        </row>
        <row r="55">
          <cell r="B55" t="str">
            <v>Valor por ação TNL 2</v>
          </cell>
        </row>
        <row r="56">
          <cell r="B56" t="str">
            <v>ON</v>
          </cell>
          <cell r="D56">
            <v>5.4902586615893734</v>
          </cell>
        </row>
        <row r="57">
          <cell r="B57" t="str">
            <v>PN</v>
          </cell>
          <cell r="D57">
            <v>5.4902586615893734</v>
          </cell>
        </row>
        <row r="60">
          <cell r="A60" t="str">
            <v>Incorporação TNL 2 na TMAR</v>
          </cell>
        </row>
        <row r="62">
          <cell r="B62" t="str">
            <v>Relação de troca</v>
          </cell>
        </row>
        <row r="63">
          <cell r="B63" t="str">
            <v>ON TNL2</v>
          </cell>
          <cell r="D63">
            <v>0.11637481008645717</v>
          </cell>
          <cell r="E63" t="str">
            <v>TMAR5</v>
          </cell>
        </row>
        <row r="64">
          <cell r="B64" t="str">
            <v>PN TNL2</v>
          </cell>
          <cell r="D64">
            <v>0.11637481008645717</v>
          </cell>
          <cell r="E64" t="str">
            <v>TMAR5</v>
          </cell>
        </row>
        <row r="66">
          <cell r="B66" t="str">
            <v>Novas ações TMAR5 emitidas pra TNL2</v>
          </cell>
        </row>
        <row r="67">
          <cell r="B67" t="str">
            <v>ON</v>
          </cell>
          <cell r="D67">
            <v>14.848361170269266</v>
          </cell>
        </row>
        <row r="68">
          <cell r="B68" t="str">
            <v>PN</v>
          </cell>
          <cell r="D68">
            <v>29.677963535776261</v>
          </cell>
        </row>
        <row r="70">
          <cell r="E70" t="str">
            <v>Nova composição acionária Telemar Norte Leste S.A. (milhões de ações)</v>
          </cell>
        </row>
        <row r="71">
          <cell r="F71" t="str">
            <v>ON</v>
          </cell>
          <cell r="H71" t="str">
            <v>PN</v>
          </cell>
          <cell r="J71" t="str">
            <v>Total</v>
          </cell>
        </row>
        <row r="72">
          <cell r="F72" t="str">
            <v># ações</v>
          </cell>
          <cell r="G72" t="str">
            <v>%</v>
          </cell>
          <cell r="H72" t="str">
            <v># ações</v>
          </cell>
          <cell r="I72" t="str">
            <v>%</v>
          </cell>
          <cell r="J72" t="str">
            <v># ações</v>
          </cell>
          <cell r="K72" t="str">
            <v>%</v>
          </cell>
        </row>
        <row r="73">
          <cell r="E73" t="str">
            <v>TNL1</v>
          </cell>
          <cell r="F73">
            <v>104227.87300000001</v>
          </cell>
          <cell r="G73">
            <v>0.97351823190835707</v>
          </cell>
          <cell r="H73">
            <v>0</v>
          </cell>
          <cell r="I73">
            <v>0</v>
          </cell>
          <cell r="J73">
            <v>104227.87300000001</v>
          </cell>
          <cell r="K73">
            <v>0.54379408003787877</v>
          </cell>
        </row>
        <row r="74">
          <cell r="E74" t="str">
            <v>Acionistas TNL2</v>
          </cell>
          <cell r="F74">
            <v>0</v>
          </cell>
          <cell r="G74">
            <v>0</v>
          </cell>
          <cell r="H74">
            <v>44526.324706045525</v>
          </cell>
          <cell r="I74">
            <v>0.52628594941121953</v>
          </cell>
          <cell r="J74">
            <v>44526.324706045525</v>
          </cell>
          <cell r="K74">
            <v>0.2323097563450412</v>
          </cell>
        </row>
        <row r="75">
          <cell r="E75" t="str">
            <v>Tmar Part.</v>
          </cell>
          <cell r="F75">
            <v>0</v>
          </cell>
          <cell r="G75">
            <v>0</v>
          </cell>
          <cell r="H75">
            <v>13079.175999999999</v>
          </cell>
          <cell r="I75">
            <v>0.15459139293708313</v>
          </cell>
          <cell r="J75">
            <v>13079.175999999999</v>
          </cell>
          <cell r="K75">
            <v>6.8238737641451275E-2</v>
          </cell>
        </row>
        <row r="76">
          <cell r="E76" t="str">
            <v>Outros- Atuais Tmar</v>
          </cell>
          <cell r="F76">
            <v>2835.22</v>
          </cell>
          <cell r="G76">
            <v>2.6481768091642932E-2</v>
          </cell>
          <cell r="H76">
            <v>26999.312999999998</v>
          </cell>
          <cell r="I76">
            <v>0.31912265765169739</v>
          </cell>
          <cell r="J76">
            <v>29834.532999999999</v>
          </cell>
          <cell r="K76">
            <v>0.15565742597562876</v>
          </cell>
        </row>
        <row r="77">
          <cell r="E77" t="str">
            <v>Outros - BRTO3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</row>
        <row r="78">
          <cell r="E78" t="str">
            <v>Outros - BRTO4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  <row r="79">
          <cell r="E79" t="str">
            <v>Total ex-tesouraria</v>
          </cell>
          <cell r="F79">
            <v>107063.09300000001</v>
          </cell>
          <cell r="G79">
            <v>1</v>
          </cell>
          <cell r="H79">
            <v>84604.813706045519</v>
          </cell>
          <cell r="I79">
            <v>1</v>
          </cell>
          <cell r="J79">
            <v>191667.90670604553</v>
          </cell>
          <cell r="K79">
            <v>1</v>
          </cell>
        </row>
        <row r="81">
          <cell r="E81" t="str">
            <v>% ON / Total</v>
          </cell>
          <cell r="F81">
            <v>0.55858643650863782</v>
          </cell>
        </row>
        <row r="83">
          <cell r="E83" t="str">
            <v>Nova composição acionária Telemar Norte Leste S.A. pós-incorporação da TNL2 (milhões de ações)</v>
          </cell>
        </row>
        <row r="84">
          <cell r="F84" t="str">
            <v>ON</v>
          </cell>
          <cell r="H84" t="str">
            <v>PN</v>
          </cell>
          <cell r="J84" t="str">
            <v>Total</v>
          </cell>
          <cell r="N84" t="str">
            <v>ON</v>
          </cell>
          <cell r="P84" t="str">
            <v>PN</v>
          </cell>
          <cell r="R84" t="str">
            <v>Total</v>
          </cell>
        </row>
        <row r="85">
          <cell r="F85" t="str">
            <v># ações</v>
          </cell>
          <cell r="G85" t="str">
            <v>%</v>
          </cell>
          <cell r="H85" t="str">
            <v># ações</v>
          </cell>
          <cell r="I85" t="str">
            <v>%</v>
          </cell>
          <cell r="J85" t="str">
            <v># ações</v>
          </cell>
          <cell r="K85" t="str">
            <v>%</v>
          </cell>
          <cell r="N85" t="str">
            <v># ações</v>
          </cell>
          <cell r="O85" t="str">
            <v>%</v>
          </cell>
          <cell r="P85" t="str">
            <v># ações</v>
          </cell>
          <cell r="Q85" t="str">
            <v>%</v>
          </cell>
          <cell r="R85" t="str">
            <v># ações</v>
          </cell>
          <cell r="S85" t="str">
            <v>%</v>
          </cell>
        </row>
        <row r="86">
          <cell r="E86" t="str">
            <v>TNL1</v>
          </cell>
          <cell r="F86">
            <v>104227.87300000001</v>
          </cell>
          <cell r="G86">
            <v>0.97351823190835707</v>
          </cell>
          <cell r="H86">
            <v>0</v>
          </cell>
          <cell r="I86">
            <v>0</v>
          </cell>
          <cell r="J86">
            <v>104227.87300000001</v>
          </cell>
          <cell r="K86">
            <v>0.54379408003787888</v>
          </cell>
          <cell r="M86" t="str">
            <v>TNL1</v>
          </cell>
          <cell r="N86">
            <v>104.227873</v>
          </cell>
          <cell r="O86">
            <v>0.97351823190835696</v>
          </cell>
          <cell r="P86">
            <v>0</v>
          </cell>
          <cell r="Q86">
            <v>0</v>
          </cell>
          <cell r="R86">
            <v>104.227873</v>
          </cell>
          <cell r="S86">
            <v>0.54379408003787888</v>
          </cell>
        </row>
        <row r="87">
          <cell r="E87" t="str">
            <v>Tmar Part.</v>
          </cell>
          <cell r="F87">
            <v>0</v>
          </cell>
          <cell r="G87">
            <v>0</v>
          </cell>
          <cell r="H87">
            <v>21051.337752252148</v>
          </cell>
          <cell r="I87">
            <v>0.24881962184083037</v>
          </cell>
          <cell r="J87">
            <v>21051.337752252148</v>
          </cell>
          <cell r="K87">
            <v>0.10983235594333413</v>
          </cell>
          <cell r="M87" t="str">
            <v>Tmar Part.</v>
          </cell>
          <cell r="N87">
            <v>0</v>
          </cell>
          <cell r="O87">
            <v>0</v>
          </cell>
          <cell r="P87">
            <v>21.051337752252149</v>
          </cell>
          <cell r="Q87">
            <v>0.24881962184083037</v>
          </cell>
          <cell r="R87">
            <v>21.051337752252149</v>
          </cell>
          <cell r="S87">
            <v>0.10983235594333414</v>
          </cell>
        </row>
        <row r="88">
          <cell r="E88" t="str">
            <v>AG Telecom</v>
          </cell>
          <cell r="F88">
            <v>0</v>
          </cell>
          <cell r="G88">
            <v>0</v>
          </cell>
          <cell r="H88">
            <v>1396.8410267272411</v>
          </cell>
          <cell r="I88">
            <v>1.6510183824533717E-2</v>
          </cell>
          <cell r="J88">
            <v>1396.8410267272411</v>
          </cell>
          <cell r="K88">
            <v>7.2878190758848757E-3</v>
          </cell>
          <cell r="M88" t="str">
            <v>AG Telecom</v>
          </cell>
          <cell r="N88">
            <v>0</v>
          </cell>
          <cell r="O88">
            <v>0</v>
          </cell>
          <cell r="P88">
            <v>1.3968410267272411</v>
          </cell>
          <cell r="Q88">
            <v>1.6510183824533717E-2</v>
          </cell>
          <cell r="R88">
            <v>1.3968410267272411</v>
          </cell>
          <cell r="S88">
            <v>7.2878190758848757E-3</v>
          </cell>
        </row>
        <row r="89">
          <cell r="E89" t="str">
            <v>L.F. Tel</v>
          </cell>
          <cell r="F89">
            <v>0</v>
          </cell>
          <cell r="G89">
            <v>0</v>
          </cell>
          <cell r="H89">
            <v>1396.8410267272413</v>
          </cell>
          <cell r="I89">
            <v>1.6510183824533717E-2</v>
          </cell>
          <cell r="J89">
            <v>1396.8410267272413</v>
          </cell>
          <cell r="K89">
            <v>7.2878190758848774E-3</v>
          </cell>
          <cell r="M89" t="str">
            <v>L.F. Tel</v>
          </cell>
          <cell r="N89">
            <v>0</v>
          </cell>
          <cell r="O89">
            <v>0</v>
          </cell>
          <cell r="P89">
            <v>1.3968410267272413</v>
          </cell>
          <cell r="Q89">
            <v>1.6510183824533717E-2</v>
          </cell>
          <cell r="R89">
            <v>1.3968410267272413</v>
          </cell>
          <cell r="S89">
            <v>7.2878190758848766E-3</v>
          </cell>
        </row>
        <row r="90">
          <cell r="E90" t="str">
            <v>Outros- Tmar Part.</v>
          </cell>
          <cell r="F90">
            <v>0</v>
          </cell>
          <cell r="G90">
            <v>0</v>
          </cell>
          <cell r="H90">
            <v>3264.0485538573676</v>
          </cell>
          <cell r="I90">
            <v>3.8579939023305615E-2</v>
          </cell>
          <cell r="J90">
            <v>3264.0485538573676</v>
          </cell>
          <cell r="K90">
            <v>1.70297083635568E-2</v>
          </cell>
          <cell r="M90" t="str">
            <v>Outros- TNL</v>
          </cell>
          <cell r="N90">
            <v>0</v>
          </cell>
          <cell r="O90">
            <v>0</v>
          </cell>
          <cell r="P90">
            <v>33.760480900338891</v>
          </cell>
          <cell r="Q90">
            <v>0.3990373528584048</v>
          </cell>
          <cell r="R90">
            <v>33.760480900338891</v>
          </cell>
          <cell r="S90">
            <v>0.17614049989138861</v>
          </cell>
        </row>
        <row r="91">
          <cell r="E91" t="str">
            <v>Outros- TNL</v>
          </cell>
          <cell r="F91">
            <v>0</v>
          </cell>
          <cell r="G91">
            <v>0</v>
          </cell>
          <cell r="H91">
            <v>30496.432346481524</v>
          </cell>
          <cell r="I91">
            <v>0.36045741383509922</v>
          </cell>
          <cell r="J91">
            <v>30496.432346481524</v>
          </cell>
          <cell r="K91">
            <v>0.15911079152783184</v>
          </cell>
          <cell r="M91" t="str">
            <v>Outros- Atuais Tmar</v>
          </cell>
          <cell r="N91">
            <v>2.8352199999999996</v>
          </cell>
          <cell r="O91">
            <v>2.6481768091642929E-2</v>
          </cell>
          <cell r="P91">
            <v>26.999312999999997</v>
          </cell>
          <cell r="Q91">
            <v>0.31912265765169734</v>
          </cell>
          <cell r="R91">
            <v>29.834533</v>
          </cell>
          <cell r="S91">
            <v>0.15565742597562879</v>
          </cell>
        </row>
        <row r="92">
          <cell r="E92" t="str">
            <v>Outros- Atuais Tmar</v>
          </cell>
          <cell r="F92">
            <v>2835.22</v>
          </cell>
          <cell r="G92">
            <v>2.6481768091642932E-2</v>
          </cell>
          <cell r="H92">
            <v>26999.312999999998</v>
          </cell>
          <cell r="I92">
            <v>0.31912265765169739</v>
          </cell>
          <cell r="J92">
            <v>29834.532999999999</v>
          </cell>
          <cell r="K92">
            <v>0.15565742597562879</v>
          </cell>
        </row>
        <row r="93">
          <cell r="E93" t="str">
            <v>Outros- BRTO3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</row>
        <row r="94">
          <cell r="E94" t="str">
            <v>Outros- BRTO4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M94" t="str">
            <v>Total (ex-tesour.)</v>
          </cell>
          <cell r="N94">
            <v>107.06309300000001</v>
          </cell>
          <cell r="O94">
            <v>0.99999999999999989</v>
          </cell>
          <cell r="P94">
            <v>84.604813706045519</v>
          </cell>
          <cell r="Q94">
            <v>0.99999999999999989</v>
          </cell>
          <cell r="R94">
            <v>191.6679067060455</v>
          </cell>
          <cell r="S94">
            <v>1</v>
          </cell>
        </row>
        <row r="95">
          <cell r="E95" t="str">
            <v>Total (ex-tesour.)</v>
          </cell>
          <cell r="F95">
            <v>107063.09300000001</v>
          </cell>
          <cell r="G95">
            <v>1</v>
          </cell>
          <cell r="H95">
            <v>84604.813706045519</v>
          </cell>
          <cell r="I95">
            <v>1</v>
          </cell>
          <cell r="J95">
            <v>191667.9067060455</v>
          </cell>
          <cell r="K95">
            <v>1</v>
          </cell>
        </row>
        <row r="96">
          <cell r="Q96" t="str">
            <v>% diret/indireto</v>
          </cell>
          <cell r="S96" t="str">
            <v>Total</v>
          </cell>
        </row>
        <row r="97">
          <cell r="E97" t="str">
            <v>% ON / Total</v>
          </cell>
          <cell r="F97">
            <v>0.55858643650863782</v>
          </cell>
          <cell r="M97" t="str">
            <v>% ON / Total</v>
          </cell>
          <cell r="N97">
            <v>0.55858643650863782</v>
          </cell>
          <cell r="Q97" t="str">
            <v>% Tmar Part</v>
          </cell>
          <cell r="S97">
            <v>0.20719530684034609</v>
          </cell>
        </row>
        <row r="98">
          <cell r="Q98" t="str">
            <v>% AG/LF</v>
          </cell>
          <cell r="S98">
            <v>6.4387783138988436E-2</v>
          </cell>
        </row>
        <row r="101">
          <cell r="A101" t="str">
            <v>Valor TMAR Part e AG/LF</v>
          </cell>
        </row>
        <row r="103">
          <cell r="B103" t="str">
            <v>Situação atual</v>
          </cell>
          <cell r="M103" t="str">
            <v>Após transação</v>
          </cell>
        </row>
        <row r="105">
          <cell r="B105" t="str">
            <v>Avaliação TNL</v>
          </cell>
          <cell r="M105" t="str">
            <v>Avaliação TNL 1</v>
          </cell>
        </row>
        <row r="106">
          <cell r="B106" t="str">
            <v>Número de ações TMAR detidas</v>
          </cell>
          <cell r="M106" t="str">
            <v>Número de ações TMAR detidas</v>
          </cell>
        </row>
        <row r="107">
          <cell r="B107" t="str">
            <v>ON</v>
          </cell>
          <cell r="D107">
            <v>104.227873</v>
          </cell>
          <cell r="M107" t="str">
            <v>ON</v>
          </cell>
          <cell r="Q107">
            <v>104.227873</v>
          </cell>
        </row>
        <row r="108">
          <cell r="B108" t="str">
            <v>PN</v>
          </cell>
          <cell r="D108">
            <v>91.249773000000005</v>
          </cell>
          <cell r="M108" t="str">
            <v>PN</v>
          </cell>
          <cell r="Q108">
            <v>0</v>
          </cell>
        </row>
        <row r="109">
          <cell r="B109" t="str">
            <v>Preço por ação</v>
          </cell>
          <cell r="M109" t="str">
            <v>Preço por ação</v>
          </cell>
        </row>
        <row r="110">
          <cell r="B110" t="str">
            <v>ON</v>
          </cell>
          <cell r="D110">
            <v>60.13529247348486</v>
          </cell>
          <cell r="M110" t="str">
            <v>ON</v>
          </cell>
          <cell r="Q110">
            <v>60.13529247348486</v>
          </cell>
        </row>
        <row r="111">
          <cell r="B111" t="str">
            <v>PN</v>
          </cell>
          <cell r="D111">
            <v>47.177380203761885</v>
          </cell>
          <cell r="M111" t="str">
            <v>PN</v>
          </cell>
          <cell r="Q111">
            <v>47.177380203761885</v>
          </cell>
        </row>
        <row r="113">
          <cell r="B113" t="str">
            <v>EV TNL</v>
          </cell>
          <cell r="D113">
            <v>10572.698861072202</v>
          </cell>
          <cell r="M113" t="str">
            <v>EV TNL 1</v>
          </cell>
          <cell r="Q113">
            <v>6267.773626744236</v>
          </cell>
        </row>
        <row r="114">
          <cell r="B114" t="str">
            <v>(-) Dívida líquida controladora</v>
          </cell>
          <cell r="D114">
            <v>1204.2898845947002</v>
          </cell>
          <cell r="M114" t="str">
            <v>(-) Dívida líquida controladora</v>
          </cell>
          <cell r="Q114">
            <v>0</v>
          </cell>
        </row>
        <row r="115">
          <cell r="B115" t="str">
            <v>Equity value TNL</v>
          </cell>
          <cell r="D115">
            <v>9368.4089764775017</v>
          </cell>
          <cell r="M115" t="str">
            <v>Equity value TNL 1</v>
          </cell>
          <cell r="Q115">
            <v>6267.773626744236</v>
          </cell>
        </row>
        <row r="116">
          <cell r="B116" t="str">
            <v>% TMAR Part na TNL</v>
          </cell>
          <cell r="D116">
            <v>0.17904378600486051</v>
          </cell>
          <cell r="M116" t="str">
            <v>% TMAR Part na TNL 1</v>
          </cell>
          <cell r="Q116">
            <v>0.17904378600486051</v>
          </cell>
        </row>
        <row r="117">
          <cell r="B117" t="str">
            <v>Valor TMAR Part em TNL</v>
          </cell>
          <cell r="D117">
            <v>1677.355411990452</v>
          </cell>
          <cell r="M117" t="str">
            <v>Valor TMAR Part em TNL 1</v>
          </cell>
          <cell r="Q117">
            <v>1122.2059199537034</v>
          </cell>
        </row>
        <row r="119">
          <cell r="B119" t="str">
            <v>Avaliação das PNs da TMAR detidas pela TMAR Part</v>
          </cell>
          <cell r="M119" t="str">
            <v>Avaliação das PNs da TMAR detidas pela TMAR Part</v>
          </cell>
        </row>
        <row r="120">
          <cell r="B120" t="str">
            <v>Valor por Ação</v>
          </cell>
          <cell r="D120">
            <v>47.177380203761885</v>
          </cell>
          <cell r="M120" t="str">
            <v>Valor por Ação</v>
          </cell>
          <cell r="Q120">
            <v>47.177380203761885</v>
          </cell>
        </row>
        <row r="121">
          <cell r="B121" t="str">
            <v>Número de ações</v>
          </cell>
          <cell r="D121">
            <v>13.079176</v>
          </cell>
          <cell r="M121" t="str">
            <v>Número de ações</v>
          </cell>
          <cell r="Q121">
            <v>21.051337752252149</v>
          </cell>
        </row>
        <row r="122">
          <cell r="B122" t="str">
            <v>Valor total</v>
          </cell>
          <cell r="D122">
            <v>617.04125890391754</v>
          </cell>
          <cell r="M122" t="str">
            <v>Valor total</v>
          </cell>
          <cell r="Q122">
            <v>993.14696493580573</v>
          </cell>
        </row>
        <row r="124">
          <cell r="B124" t="str">
            <v>EV TMAR Part</v>
          </cell>
          <cell r="D124">
            <v>2294.3966708943694</v>
          </cell>
          <cell r="M124" t="str">
            <v>EV TMAR Part</v>
          </cell>
          <cell r="Q124">
            <v>2115.3528848895094</v>
          </cell>
        </row>
        <row r="125">
          <cell r="B125" t="str">
            <v>(-) Dívida líquida controladora</v>
          </cell>
          <cell r="D125">
            <v>2036.9273357996999</v>
          </cell>
          <cell r="M125" t="str">
            <v>(-) Dívida líquida controladora</v>
          </cell>
          <cell r="Q125">
            <v>2036.9273357996999</v>
          </cell>
        </row>
        <row r="126">
          <cell r="B126" t="str">
            <v>Equity value TMAR Part</v>
          </cell>
          <cell r="D126">
            <v>257.46933509466953</v>
          </cell>
          <cell r="M126" t="str">
            <v>Equity value TMAR Part</v>
          </cell>
          <cell r="Q126">
            <v>78.425549089809465</v>
          </cell>
        </row>
        <row r="127">
          <cell r="B127" t="str">
            <v>% AG/LF na TMAR Part</v>
          </cell>
          <cell r="D127">
            <v>0.19325018044186537</v>
          </cell>
          <cell r="M127" t="str">
            <v>% AG/LF na TMAR Part</v>
          </cell>
          <cell r="Q127">
            <v>0.19325018044186537</v>
          </cell>
        </row>
        <row r="128">
          <cell r="B128" t="str">
            <v>Valor AG/LF via TMAR Part</v>
          </cell>
          <cell r="D128">
            <v>49.755995465291988</v>
          </cell>
          <cell r="M128" t="str">
            <v>Valor AG/LF via TMAR Part</v>
          </cell>
          <cell r="Q128">
            <v>15.15575151285805</v>
          </cell>
        </row>
        <row r="130">
          <cell r="B130" t="str">
            <v>Participação direta AG/LF na TNL</v>
          </cell>
          <cell r="D130">
            <v>3.1371127887803996E-2</v>
          </cell>
          <cell r="M130" t="str">
            <v>Participação direta AG/LF na TNL 1</v>
          </cell>
          <cell r="Q130">
            <v>3.1371127887803996E-2</v>
          </cell>
        </row>
        <row r="131">
          <cell r="B131" t="str">
            <v>Valor AG/LF em TNL</v>
          </cell>
          <cell r="D131">
            <v>293.89755610632665</v>
          </cell>
          <cell r="M131" t="str">
            <v>Valor AG/LF em TNL</v>
          </cell>
          <cell r="Q131">
            <v>196.6271280163985</v>
          </cell>
        </row>
        <row r="133">
          <cell r="B133" t="str">
            <v>EV AG/LF</v>
          </cell>
          <cell r="D133">
            <v>343.65355157161866</v>
          </cell>
          <cell r="M133" t="str">
            <v>Avaliação das PNs da TMAR detidas por AG/LF</v>
          </cell>
        </row>
        <row r="134">
          <cell r="B134" t="str">
            <v>(-) Dívida líquida controladora</v>
          </cell>
          <cell r="D134">
            <v>603.04987399000004</v>
          </cell>
          <cell r="M134" t="str">
            <v>Valor por Ação</v>
          </cell>
          <cell r="Q134">
            <v>47.177380203761885</v>
          </cell>
        </row>
        <row r="135">
          <cell r="B135" t="str">
            <v>Equity value AG/LF</v>
          </cell>
          <cell r="D135">
            <v>-259.39632241838137</v>
          </cell>
          <cell r="M135" t="str">
            <v>Número de ações</v>
          </cell>
          <cell r="Q135">
            <v>1.3968410267272411</v>
          </cell>
        </row>
        <row r="136">
          <cell r="M136" t="str">
            <v>Valor total</v>
          </cell>
          <cell r="Q136">
            <v>65.899300202124167</v>
          </cell>
        </row>
        <row r="137">
          <cell r="B137" t="str">
            <v>% TMAR Part na TNL</v>
          </cell>
          <cell r="D137">
            <v>0.17904378600486051</v>
          </cell>
        </row>
        <row r="138">
          <cell r="B138" t="str">
            <v>% TNL na TMAR</v>
          </cell>
          <cell r="D138">
            <v>0.81998630361407188</v>
          </cell>
          <cell r="M138" t="str">
            <v>EV AG/LF</v>
          </cell>
          <cell r="Q138">
            <v>277.6821797313807</v>
          </cell>
        </row>
        <row r="139">
          <cell r="B139" t="str">
            <v>Participação indireta TMAR Part na TMAR</v>
          </cell>
          <cell r="D139">
            <v>0.14681345227119447</v>
          </cell>
          <cell r="M139" t="str">
            <v>(-) Dívida líquida controladora</v>
          </cell>
          <cell r="Q139">
            <v>603.04987399000004</v>
          </cell>
        </row>
        <row r="140">
          <cell r="M140" t="str">
            <v>Equity value AG/LF</v>
          </cell>
          <cell r="Q140">
            <v>-325.36769425861934</v>
          </cell>
        </row>
        <row r="141">
          <cell r="B141" t="str">
            <v>Participação direta TMAR Part na TMAR</v>
          </cell>
          <cell r="D141">
            <v>5.4864304957702843E-2</v>
          </cell>
        </row>
        <row r="142">
          <cell r="M142" t="str">
            <v>% TMAR Part na TNL 1</v>
          </cell>
          <cell r="Q142">
            <v>0.17904378600486051</v>
          </cell>
        </row>
        <row r="143">
          <cell r="B143" t="str">
            <v>Participação direta e indireta da TMAR Part na TMAR</v>
          </cell>
          <cell r="D143">
            <v>0.2016777572288973</v>
          </cell>
          <cell r="M143" t="str">
            <v>% TNL 1 na TMAR</v>
          </cell>
          <cell r="Q143">
            <v>0.54379408003787888</v>
          </cell>
        </row>
        <row r="144">
          <cell r="M144" t="str">
            <v>Participação indireta TMAR Part na TMAR</v>
          </cell>
          <cell r="Q144">
            <v>9.7362950897011968E-2</v>
          </cell>
        </row>
        <row r="145">
          <cell r="B145" t="str">
            <v>% AG/LF na TMAR Part</v>
          </cell>
          <cell r="D145">
            <v>0.19325018044186537</v>
          </cell>
        </row>
        <row r="146">
          <cell r="B146" t="str">
            <v>Participação AG/LF na TMAR via TMAR Part</v>
          </cell>
          <cell r="D146">
            <v>3.8974262975595121E-2</v>
          </cell>
          <cell r="M146" t="str">
            <v>Participação direta TMAR Part na TMAR</v>
          </cell>
          <cell r="Q146">
            <v>0.10983235594333413</v>
          </cell>
        </row>
        <row r="148">
          <cell r="B148" t="str">
            <v>Participação direta AG/LF na TNL</v>
          </cell>
          <cell r="D148">
            <v>3.1371127887803996E-2</v>
          </cell>
          <cell r="M148" t="str">
            <v>Participação direta e indireta da TMAR Part na TMAR</v>
          </cell>
          <cell r="Q148">
            <v>0.20719530684034609</v>
          </cell>
        </row>
        <row r="149">
          <cell r="B149" t="str">
            <v>% TNL na TMAR</v>
          </cell>
          <cell r="D149">
            <v>0.81998630361407188</v>
          </cell>
        </row>
        <row r="150">
          <cell r="B150" t="str">
            <v>Participação indiretaAG/LF na TMAR via TNL</v>
          </cell>
          <cell r="D150">
            <v>2.5723895196924723E-2</v>
          </cell>
          <cell r="M150" t="str">
            <v>% AG/LF na TMAR Part</v>
          </cell>
          <cell r="Q150">
            <v>0.19325018044186537</v>
          </cell>
        </row>
        <row r="151">
          <cell r="M151" t="str">
            <v>Participação AG/LF na TMAR via TMAR Part</v>
          </cell>
          <cell r="Q151">
            <v>4.0040530433604546E-2</v>
          </cell>
        </row>
        <row r="152">
          <cell r="B152" t="str">
            <v>Participação direta e indireta de AG/LF na TMAR</v>
          </cell>
          <cell r="D152">
            <v>6.4698158172519837E-2</v>
          </cell>
        </row>
        <row r="153">
          <cell r="M153" t="str">
            <v>Participação direta AG/LF na TNL 1</v>
          </cell>
          <cell r="Q153">
            <v>3.1371127887803996E-2</v>
          </cell>
        </row>
        <row r="154">
          <cell r="M154" t="str">
            <v>% TNL 1 na TMAR</v>
          </cell>
          <cell r="Q154">
            <v>0.54379408003787888</v>
          </cell>
        </row>
        <row r="155">
          <cell r="M155" t="str">
            <v>Participação indiretaAG/LF na TMAR via TNL</v>
          </cell>
          <cell r="Q155">
            <v>1.7059433629499021E-2</v>
          </cell>
        </row>
        <row r="157">
          <cell r="M157" t="str">
            <v>Participação direta de AG/LF na TMAR</v>
          </cell>
          <cell r="Q157">
            <v>7.2878190758848757E-3</v>
          </cell>
        </row>
        <row r="159">
          <cell r="M159" t="str">
            <v>Participação direta e indireta de AG/LF na TMAR</v>
          </cell>
          <cell r="Q159">
            <v>6.4387783138988436E-2</v>
          </cell>
        </row>
      </sheetData>
      <sheetData sheetId="7">
        <row r="2">
          <cell r="B2" t="str">
            <v>Cenário</v>
          </cell>
          <cell r="C2" t="str">
            <v>Sem Incorporação BRT</v>
          </cell>
        </row>
        <row r="3">
          <cell r="L3" t="str">
            <v>Mercado TNL e TMAR</v>
          </cell>
          <cell r="M3" t="str">
            <v>Mercado TNL e TMAR5</v>
          </cell>
          <cell r="N3" t="str">
            <v>SOTP TNL e Mercado TMAR</v>
          </cell>
          <cell r="O3" t="str">
            <v>SOTP TNL e TMAR5</v>
          </cell>
        </row>
        <row r="4">
          <cell r="B4" t="str">
            <v>Avaliação TNL</v>
          </cell>
          <cell r="C4">
            <v>1</v>
          </cell>
          <cell r="D4" t="str">
            <v>1 - Mercado / 2- SOTP / 3 - Valor DCF</v>
          </cell>
          <cell r="L4">
            <v>1</v>
          </cell>
          <cell r="M4">
            <v>1</v>
          </cell>
          <cell r="N4">
            <v>2</v>
          </cell>
          <cell r="O4">
            <v>2</v>
          </cell>
        </row>
        <row r="6">
          <cell r="B6" t="str">
            <v>Avaliação TMAR</v>
          </cell>
          <cell r="C6">
            <v>1</v>
          </cell>
          <cell r="D6" t="str">
            <v>1 - Mercado / 2- TMAR5 / 3 - Valor DCF / 4 - Mesmo gap TNL</v>
          </cell>
          <cell r="L6">
            <v>1</v>
          </cell>
          <cell r="M6">
            <v>2</v>
          </cell>
          <cell r="N6">
            <v>1</v>
          </cell>
          <cell r="O6">
            <v>2</v>
          </cell>
        </row>
        <row r="8">
          <cell r="B8" t="str">
            <v>Prêmio TNL sobre TMAR na incorporação</v>
          </cell>
          <cell r="C8">
            <v>1</v>
          </cell>
          <cell r="D8" t="str">
            <v>1 - Sem prêmio / 2- Prêmio de negociação da TNL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</row>
        <row r="12">
          <cell r="B12" t="str">
            <v>Prêmio ON/PN na TNL</v>
          </cell>
          <cell r="C12">
            <v>3</v>
          </cell>
          <cell r="D12" t="str">
            <v>1- GAP TNL</v>
          </cell>
          <cell r="E12">
            <v>0.30990909615051998</v>
          </cell>
          <cell r="L12">
            <v>3</v>
          </cell>
          <cell r="M12">
            <v>3</v>
          </cell>
          <cell r="N12">
            <v>3</v>
          </cell>
          <cell r="O12">
            <v>3</v>
          </cell>
        </row>
        <row r="13">
          <cell r="D13" t="str">
            <v>2- GAP TMAR</v>
          </cell>
          <cell r="E13">
            <v>0.27466366749821614</v>
          </cell>
        </row>
        <row r="14">
          <cell r="D14" t="str">
            <v>3- ON=PN</v>
          </cell>
          <cell r="E14">
            <v>0</v>
          </cell>
        </row>
        <row r="16">
          <cell r="B16" t="str">
            <v>Nova dívida na TNL 2 pré-incorporação</v>
          </cell>
          <cell r="C16">
            <v>0</v>
          </cell>
        </row>
        <row r="18">
          <cell r="A18" t="str">
            <v>Avaliação SOTP TNL</v>
          </cell>
        </row>
        <row r="20">
          <cell r="B20" t="str">
            <v>Avaliação das PNs da TMAR detidas pela TNL</v>
          </cell>
        </row>
        <row r="21">
          <cell r="B21" t="str">
            <v>Valor por Ação</v>
          </cell>
          <cell r="C21">
            <v>47.177380203761885</v>
          </cell>
        </row>
        <row r="22">
          <cell r="B22" t="str">
            <v>Número de ações</v>
          </cell>
          <cell r="C22">
            <v>91.249773000000005</v>
          </cell>
        </row>
        <row r="23">
          <cell r="B23" t="str">
            <v>Valor total</v>
          </cell>
          <cell r="C23">
            <v>4304.9252343279659</v>
          </cell>
        </row>
        <row r="25">
          <cell r="B25" t="str">
            <v>Avaliação das ONs da TMAR detidas pela TNL</v>
          </cell>
        </row>
        <row r="26">
          <cell r="B26" t="str">
            <v>Valor por Ação</v>
          </cell>
          <cell r="C26">
            <v>60.13529247348486</v>
          </cell>
        </row>
        <row r="27">
          <cell r="B27" t="str">
            <v>Número de ações</v>
          </cell>
          <cell r="C27">
            <v>104.227873</v>
          </cell>
        </row>
        <row r="28">
          <cell r="B28" t="str">
            <v>Valor total</v>
          </cell>
          <cell r="C28">
            <v>6267.773626744236</v>
          </cell>
        </row>
        <row r="30">
          <cell r="B30" t="str">
            <v>Prêmio TNL sobre TMAR na incorporação</v>
          </cell>
          <cell r="C30">
            <v>0</v>
          </cell>
        </row>
        <row r="32">
          <cell r="B32" t="str">
            <v>Avaliação TNL</v>
          </cell>
        </row>
        <row r="33">
          <cell r="B33" t="str">
            <v>Participação em PNs de TMAR</v>
          </cell>
          <cell r="C33">
            <v>4304.9252343279659</v>
          </cell>
        </row>
        <row r="34">
          <cell r="B34" t="str">
            <v>Participação em ONs de TMAR</v>
          </cell>
          <cell r="C34">
            <v>6267.773626744236</v>
          </cell>
        </row>
        <row r="35">
          <cell r="B35" t="str">
            <v>Valor da participação</v>
          </cell>
          <cell r="C35">
            <v>10572.698861072202</v>
          </cell>
        </row>
        <row r="36">
          <cell r="B36" t="str">
            <v>(-) Divida Líquida</v>
          </cell>
          <cell r="C36">
            <v>1204.2898845947002</v>
          </cell>
        </row>
        <row r="37">
          <cell r="B37" t="str">
            <v>Valor total</v>
          </cell>
          <cell r="C37">
            <v>9368.4089764775017</v>
          </cell>
        </row>
        <row r="39">
          <cell r="B39" t="str">
            <v>GAP ON/PN TNL a mercado</v>
          </cell>
          <cell r="C39">
            <v>0</v>
          </cell>
        </row>
        <row r="41">
          <cell r="B41" t="str">
            <v>Valor por ação TNL</v>
          </cell>
        </row>
        <row r="42">
          <cell r="B42" t="str">
            <v>ON</v>
          </cell>
          <cell r="C42">
            <v>24.485443670624864</v>
          </cell>
        </row>
        <row r="43">
          <cell r="B43" t="str">
            <v>PN</v>
          </cell>
          <cell r="C43">
            <v>24.485443670624864</v>
          </cell>
        </row>
        <row r="45">
          <cell r="A45" t="str">
            <v>Avaliação por ação da TNL</v>
          </cell>
        </row>
        <row r="47">
          <cell r="B47" t="str">
            <v>Número de ações TNL</v>
          </cell>
        </row>
        <row r="48">
          <cell r="B48" t="str">
            <v>ON controle</v>
          </cell>
          <cell r="C48">
            <v>68.504187000000002</v>
          </cell>
        </row>
        <row r="49">
          <cell r="B49" t="str">
            <v>ON minoritário</v>
          </cell>
          <cell r="C49">
            <v>59.086664999999996</v>
          </cell>
        </row>
        <row r="50">
          <cell r="B50" t="str">
            <v>PN</v>
          </cell>
          <cell r="C50">
            <v>255.020511</v>
          </cell>
        </row>
        <row r="52">
          <cell r="B52" t="str">
            <v>Valor por ação TNL a mercado</v>
          </cell>
        </row>
        <row r="53">
          <cell r="B53" t="str">
            <v xml:space="preserve">ON </v>
          </cell>
          <cell r="C53">
            <v>32.456428571428575</v>
          </cell>
        </row>
        <row r="54">
          <cell r="B54" t="str">
            <v>ON minoritario</v>
          </cell>
          <cell r="C54">
            <v>32.456428571428575</v>
          </cell>
        </row>
        <row r="55">
          <cell r="B55" t="str">
            <v>PN</v>
          </cell>
          <cell r="C55">
            <v>24.777619047619048</v>
          </cell>
        </row>
        <row r="57">
          <cell r="B57" t="str">
            <v>Distribuição de dividendo extraordinário na TNL (R$MM)</v>
          </cell>
          <cell r="C57">
            <v>0</v>
          </cell>
        </row>
        <row r="58">
          <cell r="B58" t="str">
            <v>Dividendo por ação</v>
          </cell>
          <cell r="C58">
            <v>0</v>
          </cell>
          <cell r="D58">
            <v>0</v>
          </cell>
        </row>
        <row r="60">
          <cell r="B60" t="str">
            <v>Valor por ação TNL ajustado p/ dividendo</v>
          </cell>
        </row>
        <row r="61">
          <cell r="B61" t="str">
            <v xml:space="preserve">ON </v>
          </cell>
          <cell r="C61">
            <v>32.456428571428575</v>
          </cell>
        </row>
        <row r="62">
          <cell r="B62" t="str">
            <v>ON minoritáio</v>
          </cell>
          <cell r="C62">
            <v>32.456428571428575</v>
          </cell>
          <cell r="D62">
            <v>0.30990909615051998</v>
          </cell>
        </row>
        <row r="63">
          <cell r="B63" t="str">
            <v>PN</v>
          </cell>
          <cell r="C63">
            <v>24.777619047619048</v>
          </cell>
          <cell r="D63">
            <v>1.30990909615052</v>
          </cell>
        </row>
        <row r="66">
          <cell r="A66" t="str">
            <v>Avaliação por ação da TMAR</v>
          </cell>
        </row>
        <row r="68">
          <cell r="B68" t="str">
            <v>Número de ações TMAR</v>
          </cell>
        </row>
        <row r="69">
          <cell r="B69" t="str">
            <v>ON</v>
          </cell>
          <cell r="C69">
            <v>107.06309300000001</v>
          </cell>
        </row>
        <row r="70">
          <cell r="B70" t="str">
            <v>PN</v>
          </cell>
          <cell r="C70">
            <v>131.328262</v>
          </cell>
        </row>
        <row r="72">
          <cell r="B72" t="str">
            <v>Valor por ação TMAR</v>
          </cell>
        </row>
        <row r="73">
          <cell r="B73" t="str">
            <v>ON</v>
          </cell>
          <cell r="C73">
            <v>60.13529247348486</v>
          </cell>
        </row>
        <row r="74">
          <cell r="B74" t="str">
            <v>ON minoritáio</v>
          </cell>
          <cell r="C74">
            <v>60.13529247348486</v>
          </cell>
          <cell r="D74">
            <v>0.27466366749821614</v>
          </cell>
        </row>
        <row r="75">
          <cell r="B75" t="str">
            <v>PN</v>
          </cell>
          <cell r="C75">
            <v>47.177380203761885</v>
          </cell>
        </row>
        <row r="78">
          <cell r="A78" t="str">
            <v>Incorporação TNL na TMAR - Opção pacote ON+PN</v>
          </cell>
        </row>
        <row r="80">
          <cell r="E80" t="str">
            <v>Pacote com ONs TMAR</v>
          </cell>
        </row>
        <row r="81">
          <cell r="E81" t="str">
            <v>TNLP3</v>
          </cell>
          <cell r="F81">
            <v>0.539723467475267</v>
          </cell>
          <cell r="G81" t="str">
            <v>TMAR3</v>
          </cell>
        </row>
        <row r="82">
          <cell r="E82" t="str">
            <v>TNLP3 (minoritário)</v>
          </cell>
          <cell r="F82">
            <v>0.539723467475267</v>
          </cell>
          <cell r="G82" t="str">
            <v>TMAR3</v>
          </cell>
        </row>
        <row r="83">
          <cell r="E83" t="str">
            <v>TNLP4</v>
          </cell>
          <cell r="F83">
            <v>0</v>
          </cell>
          <cell r="G83" t="str">
            <v>TMAR3</v>
          </cell>
        </row>
        <row r="84">
          <cell r="E84" t="str">
            <v>+</v>
          </cell>
          <cell r="F84">
            <v>0.52520124984903893</v>
          </cell>
          <cell r="G84" t="str">
            <v>TMAR5</v>
          </cell>
        </row>
        <row r="86">
          <cell r="B86" t="str">
            <v>Novas ON TMAR para atuais PN TNL</v>
          </cell>
          <cell r="C86">
            <v>0</v>
          </cell>
          <cell r="E86" t="str">
            <v>Pacote com caixa</v>
          </cell>
        </row>
        <row r="87">
          <cell r="B87" t="str">
            <v xml:space="preserve">Valor PN TMAR </v>
          </cell>
          <cell r="C87">
            <v>24.777619047619048</v>
          </cell>
          <cell r="E87" t="str">
            <v>TNLP3</v>
          </cell>
          <cell r="F87">
            <v>0.539723467475267</v>
          </cell>
          <cell r="G87" t="str">
            <v>TMAR3</v>
          </cell>
        </row>
        <row r="88">
          <cell r="B88" t="str">
            <v>TNLP4</v>
          </cell>
          <cell r="C88">
            <v>0.52520124984903893</v>
          </cell>
          <cell r="D88" t="str">
            <v>TMAR5</v>
          </cell>
          <cell r="E88" t="str">
            <v>TNLP4</v>
          </cell>
          <cell r="F88">
            <v>5.6640836054851853</v>
          </cell>
          <cell r="G88" t="str">
            <v>R$/ação</v>
          </cell>
        </row>
        <row r="89">
          <cell r="E89" t="str">
            <v>+</v>
          </cell>
          <cell r="F89">
            <v>0.4051419421676527</v>
          </cell>
          <cell r="G89" t="str">
            <v>TMAR5</v>
          </cell>
        </row>
        <row r="90">
          <cell r="B90" t="str">
            <v>Cálculo desembolso TMAR na opção c/ caixa</v>
          </cell>
        </row>
        <row r="91">
          <cell r="B91" t="str">
            <v>ONs a serem emitidas pra ONs TNL</v>
          </cell>
          <cell r="C91">
            <v>68.863777059563617</v>
          </cell>
        </row>
        <row r="92">
          <cell r="B92" t="str">
            <v>Máx. PNs</v>
          </cell>
          <cell r="C92">
            <v>143.39799411912725</v>
          </cell>
        </row>
        <row r="93">
          <cell r="B93" t="str">
            <v>Máx. Emissão de PNs</v>
          </cell>
          <cell r="C93">
            <v>103.31950511912724</v>
          </cell>
        </row>
        <row r="94">
          <cell r="B94" t="str">
            <v># atual PN TNL</v>
          </cell>
          <cell r="C94">
            <v>255.020511</v>
          </cell>
        </row>
        <row r="95">
          <cell r="B95" t="str">
            <v>Máx. Relação de troca sem emissão de novas Ons</v>
          </cell>
          <cell r="C95">
            <v>0.4051419421676527</v>
          </cell>
        </row>
        <row r="96">
          <cell r="B96" t="str">
            <v xml:space="preserve">Equivalente caixa </v>
          </cell>
          <cell r="C96">
            <v>19.113535442133863</v>
          </cell>
        </row>
        <row r="97">
          <cell r="B97" t="str">
            <v>Valor remanescente a ser pago em caixa para acionistas</v>
          </cell>
          <cell r="C97">
            <v>5.6640836054851853</v>
          </cell>
        </row>
        <row r="98">
          <cell r="B98" t="str">
            <v>Valor total desembolso TMAR</v>
          </cell>
          <cell r="C98">
            <v>1444.4574954175544</v>
          </cell>
        </row>
        <row r="100">
          <cell r="B100" t="str">
            <v>Cálculo desembolso Tmar Part p/ assegurar controle na opção Ons</v>
          </cell>
        </row>
        <row r="101">
          <cell r="B101" t="str">
            <v>Novo total de Ons TMAR</v>
          </cell>
          <cell r="C101">
            <v>71698.997059563611</v>
          </cell>
        </row>
        <row r="102">
          <cell r="B102" t="str">
            <v>% desejado</v>
          </cell>
          <cell r="C102">
            <v>0.501</v>
          </cell>
        </row>
        <row r="103">
          <cell r="B103" t="str">
            <v>Ons totais Tmar Part</v>
          </cell>
          <cell r="C103">
            <v>35921.197526841366</v>
          </cell>
        </row>
        <row r="104">
          <cell r="B104" t="str">
            <v># Ons Tmar Part pós incorporação</v>
          </cell>
          <cell r="C104">
            <v>36973.317344214112</v>
          </cell>
        </row>
        <row r="105">
          <cell r="B105" t="str">
            <v>Ons a comprar</v>
          </cell>
          <cell r="C105">
            <v>-1052.1198173727462</v>
          </cell>
        </row>
        <row r="106">
          <cell r="B106" t="str">
            <v>Valor a desembolsar</v>
          </cell>
          <cell r="C106">
            <v>-63.269532934859569</v>
          </cell>
        </row>
        <row r="108">
          <cell r="B108" t="str">
            <v>Cenário</v>
          </cell>
          <cell r="C108">
            <v>1</v>
          </cell>
          <cell r="D108" t="str">
            <v>1- Pacote com ON / 2- Pacote com caixa</v>
          </cell>
        </row>
        <row r="110">
          <cell r="B110" t="str">
            <v>Relações de troca finais</v>
          </cell>
        </row>
        <row r="111">
          <cell r="B111" t="str">
            <v>TNLP3 (controle)</v>
          </cell>
          <cell r="C111">
            <v>0.539723467475267</v>
          </cell>
          <cell r="D111" t="str">
            <v>TMAR3</v>
          </cell>
        </row>
        <row r="112">
          <cell r="B112" t="str">
            <v>TNLP3 (minoritário)</v>
          </cell>
          <cell r="C112">
            <v>0.539723467475267</v>
          </cell>
          <cell r="D112" t="str">
            <v>TMAR3</v>
          </cell>
        </row>
        <row r="113">
          <cell r="B113" t="str">
            <v>TNLP4</v>
          </cell>
          <cell r="C113">
            <v>0.52520124984903893</v>
          </cell>
          <cell r="D113" t="str">
            <v>TMAR5</v>
          </cell>
        </row>
        <row r="114">
          <cell r="C114">
            <v>0</v>
          </cell>
          <cell r="D114" t="str">
            <v>TMAR3</v>
          </cell>
        </row>
        <row r="116">
          <cell r="B116" t="str">
            <v>Novas açoes de TMAR emitidas p/ acionistas TNL</v>
          </cell>
        </row>
        <row r="117">
          <cell r="C117" t="str">
            <v>ON</v>
          </cell>
          <cell r="E117" t="str">
            <v>PN</v>
          </cell>
          <cell r="G117" t="str">
            <v>Total</v>
          </cell>
        </row>
        <row r="118">
          <cell r="C118" t="str">
            <v># ações</v>
          </cell>
          <cell r="D118" t="str">
            <v>%</v>
          </cell>
          <cell r="E118" t="str">
            <v># ações</v>
          </cell>
          <cell r="F118" t="str">
            <v>%</v>
          </cell>
          <cell r="G118" t="str">
            <v># ações</v>
          </cell>
          <cell r="H118" t="str">
            <v>%</v>
          </cell>
        </row>
        <row r="119">
          <cell r="B119" t="str">
            <v>Telemar Participações</v>
          </cell>
          <cell r="C119">
            <v>36973.317344214112</v>
          </cell>
          <cell r="D119">
            <v>0.53690516150797396</v>
          </cell>
          <cell r="E119">
            <v>0</v>
          </cell>
          <cell r="F119">
            <v>0</v>
          </cell>
          <cell r="G119">
            <v>36973.317344214112</v>
          </cell>
          <cell r="H119">
            <v>0.18231340761573589</v>
          </cell>
        </row>
        <row r="120">
          <cell r="B120" t="str">
            <v>AG Telecom Part. S.A.</v>
          </cell>
          <cell r="C120">
            <v>318.46383198378129</v>
          </cell>
          <cell r="D120">
            <v>4.6245478476779822E-3</v>
          </cell>
          <cell r="E120">
            <v>5994.0693444020962</v>
          </cell>
          <cell r="F120">
            <v>4.4752870877903618E-2</v>
          </cell>
          <cell r="G120">
            <v>6312.5331763858776</v>
          </cell>
          <cell r="H120">
            <v>3.1126756178246753E-2</v>
          </cell>
        </row>
        <row r="121">
          <cell r="B121" t="str">
            <v>L.F. Tel S.A.</v>
          </cell>
          <cell r="C121">
            <v>318.57177667727638</v>
          </cell>
          <cell r="D121">
            <v>4.6261153581763055E-3</v>
          </cell>
          <cell r="E121">
            <v>5993.9643041521267</v>
          </cell>
          <cell r="F121">
            <v>4.475208662725956E-2</v>
          </cell>
          <cell r="G121">
            <v>6312.5360808294026</v>
          </cell>
          <cell r="H121">
            <v>3.1126770499899079E-2</v>
          </cell>
        </row>
        <row r="122">
          <cell r="B122" t="str">
            <v>Outros - Tmar Part</v>
          </cell>
          <cell r="C122">
            <v>4342.6808655690302</v>
          </cell>
          <cell r="D122">
            <v>6.3061903528945779E-2</v>
          </cell>
          <cell r="E122">
            <v>10504.866369383039</v>
          </cell>
          <cell r="F122">
            <v>7.8431346253556855E-2</v>
          </cell>
          <cell r="G122">
            <v>14847.547234952068</v>
          </cell>
          <cell r="H122">
            <v>7.3212444150979258E-2</v>
          </cell>
        </row>
        <row r="123">
          <cell r="B123" t="str">
            <v>Outros - TNL</v>
          </cell>
          <cell r="C123">
            <v>26910.743241119406</v>
          </cell>
          <cell r="D123">
            <v>0.39078227175722591</v>
          </cell>
          <cell r="E123">
            <v>111444.19109640332</v>
          </cell>
          <cell r="F123">
            <v>0.83206369624127996</v>
          </cell>
          <cell r="G123">
            <v>138354.93433752272</v>
          </cell>
          <cell r="H123">
            <v>0.68222062155513896</v>
          </cell>
        </row>
        <row r="124">
          <cell r="B124" t="str">
            <v>Total ex-tesouraria</v>
          </cell>
          <cell r="C124">
            <v>68863.77705956361</v>
          </cell>
          <cell r="D124">
            <v>0.99999999999999989</v>
          </cell>
          <cell r="E124">
            <v>133937.09111434058</v>
          </cell>
          <cell r="F124">
            <v>1</v>
          </cell>
          <cell r="G124">
            <v>202800.86817390419</v>
          </cell>
          <cell r="H124">
            <v>1</v>
          </cell>
        </row>
        <row r="126">
          <cell r="B126" t="str">
            <v>Nova composição acionária Telemar Norte Leste S.A. pós-incorporação da TNL (milhões de ações)</v>
          </cell>
        </row>
        <row r="127">
          <cell r="C127" t="str">
            <v>ON</v>
          </cell>
          <cell r="E127" t="str">
            <v>PN</v>
          </cell>
          <cell r="G127" t="str">
            <v>Total</v>
          </cell>
          <cell r="N127" t="str">
            <v>ON</v>
          </cell>
          <cell r="P127" t="str">
            <v>PN</v>
          </cell>
          <cell r="R127" t="str">
            <v>Total</v>
          </cell>
        </row>
        <row r="128">
          <cell r="C128" t="str">
            <v># ações</v>
          </cell>
          <cell r="D128" t="str">
            <v>%</v>
          </cell>
          <cell r="E128" t="str">
            <v># ações</v>
          </cell>
          <cell r="F128" t="str">
            <v>%</v>
          </cell>
          <cell r="G128" t="str">
            <v># ações</v>
          </cell>
          <cell r="H128" t="str">
            <v>%</v>
          </cell>
          <cell r="N128" t="str">
            <v># ações</v>
          </cell>
          <cell r="O128" t="str">
            <v>%</v>
          </cell>
          <cell r="P128" t="str">
            <v># ações</v>
          </cell>
          <cell r="Q128" t="str">
            <v>%</v>
          </cell>
          <cell r="R128" t="str">
            <v># ações</v>
          </cell>
          <cell r="S128" t="str">
            <v>%</v>
          </cell>
        </row>
        <row r="129">
          <cell r="B129" t="str">
            <v>AG Telecom Part. S.A.</v>
          </cell>
          <cell r="C129">
            <v>318.46383198378129</v>
          </cell>
          <cell r="D129">
            <v>4.4416776390779769E-3</v>
          </cell>
          <cell r="E129">
            <v>5994.0693444020962</v>
          </cell>
          <cell r="F129">
            <v>3.4445590104423794E-2</v>
          </cell>
          <cell r="G129">
            <v>6312.5331763858776</v>
          </cell>
          <cell r="H129">
            <v>2.5690511523531592E-2</v>
          </cell>
          <cell r="M129" t="str">
            <v>Tmar Part</v>
          </cell>
          <cell r="N129">
            <v>36.973317344214109</v>
          </cell>
          <cell r="O129">
            <v>0.51567412182207661</v>
          </cell>
          <cell r="P129">
            <v>13.079176</v>
          </cell>
          <cell r="Q129">
            <v>7.5160948182950368E-2</v>
          </cell>
          <cell r="R129">
            <v>50.052493344214113</v>
          </cell>
          <cell r="S129">
            <v>0.20370176617071245</v>
          </cell>
        </row>
        <row r="130">
          <cell r="B130" t="str">
            <v>L.F. Tel S.A.</v>
          </cell>
          <cell r="C130">
            <v>318.57177667727638</v>
          </cell>
          <cell r="D130">
            <v>4.4431831649280164E-3</v>
          </cell>
          <cell r="E130">
            <v>5993.9643041521267</v>
          </cell>
          <cell r="F130">
            <v>3.4444986478875436E-2</v>
          </cell>
          <cell r="G130">
            <v>6312.5360808294026</v>
          </cell>
          <cell r="H130">
            <v>2.5690523343927265E-2</v>
          </cell>
          <cell r="M130" t="str">
            <v>AG Tel</v>
          </cell>
          <cell r="N130">
            <v>0.31846383198378131</v>
          </cell>
          <cell r="O130">
            <v>4.4416776390779778E-3</v>
          </cell>
          <cell r="P130">
            <v>5.9940693444020958</v>
          </cell>
          <cell r="Q130">
            <v>3.4445590104423794E-2</v>
          </cell>
          <cell r="R130">
            <v>6.3125331763858767</v>
          </cell>
          <cell r="S130">
            <v>2.5690511523531585E-2</v>
          </cell>
        </row>
        <row r="131">
          <cell r="B131" t="str">
            <v>Outros - Tmar Part</v>
          </cell>
          <cell r="C131">
            <v>4342.6808655690302</v>
          </cell>
          <cell r="D131">
            <v>6.056822331784318E-2</v>
          </cell>
          <cell r="E131">
            <v>10504.866369383039</v>
          </cell>
          <cell r="F131">
            <v>6.0367389876702968E-2</v>
          </cell>
          <cell r="G131">
            <v>14847.547234952068</v>
          </cell>
          <cell r="H131">
            <v>6.0425992652620428E-2</v>
          </cell>
          <cell r="M131" t="str">
            <v>L.F. Tel</v>
          </cell>
          <cell r="N131">
            <v>0.31857177667727637</v>
          </cell>
          <cell r="O131">
            <v>4.4431831649280173E-3</v>
          </cell>
          <cell r="P131">
            <v>5.9939643041521267</v>
          </cell>
          <cell r="Q131">
            <v>3.4444986478875443E-2</v>
          </cell>
          <cell r="R131">
            <v>6.3125360808294033</v>
          </cell>
          <cell r="S131">
            <v>2.5690523343927265E-2</v>
          </cell>
        </row>
        <row r="132">
          <cell r="B132" t="str">
            <v>Outros - TNL</v>
          </cell>
          <cell r="C132">
            <v>26910.743241119406</v>
          </cell>
          <cell r="D132">
            <v>0.37532942362866567</v>
          </cell>
          <cell r="E132">
            <v>111444.19109640332</v>
          </cell>
          <cell r="F132">
            <v>0.64042651251788241</v>
          </cell>
          <cell r="G132">
            <v>138354.93433752272</v>
          </cell>
          <cell r="H132">
            <v>0.5630717392871738</v>
          </cell>
          <cell r="M132" t="str">
            <v>Outros- TNL</v>
          </cell>
          <cell r="N132">
            <v>31.253424106688435</v>
          </cell>
          <cell r="O132">
            <v>0.43589764694650895</v>
          </cell>
          <cell r="P132">
            <v>121.94905746578635</v>
          </cell>
          <cell r="Q132">
            <v>0.7007939023945855</v>
          </cell>
          <cell r="R132">
            <v>153.2024815724748</v>
          </cell>
          <cell r="S132">
            <v>0.62349773193979419</v>
          </cell>
        </row>
        <row r="133">
          <cell r="B133" t="str">
            <v>Telemar Participações</v>
          </cell>
          <cell r="C133">
            <v>36973.317344214112</v>
          </cell>
          <cell r="D133">
            <v>0.5156741218220765</v>
          </cell>
          <cell r="E133">
            <v>13079.175999999999</v>
          </cell>
          <cell r="F133">
            <v>7.5160948182950355E-2</v>
          </cell>
          <cell r="G133">
            <v>50052.493344214112</v>
          </cell>
          <cell r="H133">
            <v>0.20370176617071248</v>
          </cell>
          <cell r="M133" t="str">
            <v>Outros- TMAR</v>
          </cell>
          <cell r="N133">
            <v>2.8352199999999996</v>
          </cell>
          <cell r="O133">
            <v>3.9543370427408547E-2</v>
          </cell>
          <cell r="P133">
            <v>26.999312999999997</v>
          </cell>
          <cell r="Q133">
            <v>0.15515457283916495</v>
          </cell>
          <cell r="R133">
            <v>29.834532999999997</v>
          </cell>
          <cell r="S133">
            <v>0.12141946702203445</v>
          </cell>
        </row>
        <row r="134">
          <cell r="B134" t="str">
            <v>Outros - Atuais TMAR</v>
          </cell>
          <cell r="C134">
            <v>2835.22</v>
          </cell>
          <cell r="D134">
            <v>3.954337042740854E-2</v>
          </cell>
          <cell r="E134">
            <v>26999.312999999998</v>
          </cell>
          <cell r="F134">
            <v>0.15515457283916495</v>
          </cell>
          <cell r="G134">
            <v>29834.532999999999</v>
          </cell>
          <cell r="H134">
            <v>0.12141946702203446</v>
          </cell>
          <cell r="M134" t="str">
            <v>Total</v>
          </cell>
          <cell r="N134">
            <v>71.698997059563595</v>
          </cell>
          <cell r="O134">
            <v>1.0000000000000002</v>
          </cell>
          <cell r="P134">
            <v>174.01558011434057</v>
          </cell>
          <cell r="Q134">
            <v>1</v>
          </cell>
          <cell r="R134">
            <v>245.71457717390419</v>
          </cell>
          <cell r="S134">
            <v>0.99999999999999989</v>
          </cell>
        </row>
        <row r="135">
          <cell r="B135" t="str">
            <v>Outros - BRTO3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B136" t="str">
            <v>Outros - BRTO4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M136" t="str">
            <v>% ON / Total</v>
          </cell>
          <cell r="N136">
            <v>0.29179789772431253</v>
          </cell>
        </row>
        <row r="137">
          <cell r="B137" t="str">
            <v>Total ex-tesouraria</v>
          </cell>
          <cell r="C137">
            <v>71698.997059563611</v>
          </cell>
          <cell r="D137">
            <v>0.99999999999999989</v>
          </cell>
          <cell r="E137">
            <v>174015.58011434058</v>
          </cell>
          <cell r="F137">
            <v>1</v>
          </cell>
          <cell r="G137">
            <v>245714.57717390417</v>
          </cell>
          <cell r="H137">
            <v>1</v>
          </cell>
        </row>
        <row r="139">
          <cell r="B139" t="str">
            <v>% ON / Total</v>
          </cell>
          <cell r="C139">
            <v>0.29179789772431264</v>
          </cell>
        </row>
        <row r="141">
          <cell r="B141" t="str">
            <v>Ações que TmarPart deveria comprar para garantir 50,1%</v>
          </cell>
          <cell r="C141">
            <v>0</v>
          </cell>
        </row>
        <row r="142">
          <cell r="B142" t="str">
            <v>Relação de troca TNLP3/TMAR3</v>
          </cell>
          <cell r="C142">
            <v>0.539723467475267</v>
          </cell>
        </row>
        <row r="143">
          <cell r="B143" t="str">
            <v>Número de TNLP3 para aquisição pré-incorporação</v>
          </cell>
          <cell r="C143">
            <v>0</v>
          </cell>
        </row>
        <row r="144">
          <cell r="B144" t="str">
            <v>Preço TNLP3</v>
          </cell>
          <cell r="C144">
            <v>32.456428571428575</v>
          </cell>
        </row>
        <row r="145">
          <cell r="B145" t="str">
            <v>Desembolso Tmar Part</v>
          </cell>
          <cell r="C145">
            <v>0</v>
          </cell>
        </row>
        <row r="148">
          <cell r="A148" t="str">
            <v>Incorporação TNL na TMAR - Opção bonificação em Ons pós-deal</v>
          </cell>
        </row>
        <row r="150">
          <cell r="B150" t="str">
            <v>Relação de troca</v>
          </cell>
        </row>
        <row r="151">
          <cell r="B151" t="str">
            <v>TNLP3</v>
          </cell>
          <cell r="C151">
            <v>0.539723467475267</v>
          </cell>
          <cell r="D151" t="str">
            <v>TMAR3</v>
          </cell>
        </row>
        <row r="152">
          <cell r="B152" t="str">
            <v>TNLP4</v>
          </cell>
          <cell r="C152">
            <v>0.52520124984903893</v>
          </cell>
          <cell r="D152" t="str">
            <v>TMAR5</v>
          </cell>
        </row>
        <row r="155">
          <cell r="B155" t="str">
            <v>Novas açoes de TMAR emitidas p/ acionistas TNL</v>
          </cell>
        </row>
        <row r="156">
          <cell r="C156" t="str">
            <v>ON</v>
          </cell>
          <cell r="E156" t="str">
            <v>PN</v>
          </cell>
          <cell r="G156" t="str">
            <v>Total</v>
          </cell>
        </row>
        <row r="157">
          <cell r="C157" t="str">
            <v># ações</v>
          </cell>
          <cell r="D157" t="str">
            <v>%</v>
          </cell>
          <cell r="E157" t="str">
            <v># ações</v>
          </cell>
          <cell r="F157" t="str">
            <v>%</v>
          </cell>
          <cell r="G157" t="str">
            <v># ações</v>
          </cell>
          <cell r="H157" t="str">
            <v>%</v>
          </cell>
        </row>
        <row r="158">
          <cell r="B158" t="str">
            <v>Telemar Participações</v>
          </cell>
          <cell r="C158">
            <v>36973.317344214112</v>
          </cell>
          <cell r="D158">
            <v>0.53690516150797396</v>
          </cell>
          <cell r="E158">
            <v>0</v>
          </cell>
          <cell r="F158">
            <v>0</v>
          </cell>
          <cell r="G158">
            <v>36973.317344214112</v>
          </cell>
          <cell r="H158">
            <v>0.18231340761573589</v>
          </cell>
        </row>
        <row r="159">
          <cell r="B159" t="str">
            <v>AG Telecom Part. S.A.</v>
          </cell>
          <cell r="C159">
            <v>318.46383198378129</v>
          </cell>
          <cell r="D159">
            <v>4.6245478476779822E-3</v>
          </cell>
          <cell r="E159">
            <v>5994.0693444020962</v>
          </cell>
          <cell r="F159">
            <v>4.4752870877903618E-2</v>
          </cell>
          <cell r="G159">
            <v>6312.5331763858776</v>
          </cell>
          <cell r="H159">
            <v>3.1126756178246753E-2</v>
          </cell>
        </row>
        <row r="160">
          <cell r="B160" t="str">
            <v>L.F. Tel S.A.</v>
          </cell>
          <cell r="C160">
            <v>318.57177667727638</v>
          </cell>
          <cell r="D160">
            <v>4.6261153581763055E-3</v>
          </cell>
          <cell r="E160">
            <v>5993.9643041521267</v>
          </cell>
          <cell r="F160">
            <v>4.475208662725956E-2</v>
          </cell>
          <cell r="G160">
            <v>6312.5360808294026</v>
          </cell>
          <cell r="H160">
            <v>3.1126770499899079E-2</v>
          </cell>
        </row>
        <row r="161">
          <cell r="B161" t="str">
            <v>Outros - Tmar Part</v>
          </cell>
          <cell r="C161">
            <v>4342.6808655690302</v>
          </cell>
          <cell r="D161">
            <v>6.3061903528945779E-2</v>
          </cell>
          <cell r="E161">
            <v>10504.866369383039</v>
          </cell>
          <cell r="F161">
            <v>7.8431346253556855E-2</v>
          </cell>
          <cell r="G161">
            <v>14847.547234952068</v>
          </cell>
          <cell r="H161">
            <v>7.3212444150979258E-2</v>
          </cell>
        </row>
        <row r="162">
          <cell r="B162" t="str">
            <v>Outros - TNL</v>
          </cell>
          <cell r="C162">
            <v>26910.743241119406</v>
          </cell>
          <cell r="D162">
            <v>0.39078227175722591</v>
          </cell>
          <cell r="E162">
            <v>111444.19109640332</v>
          </cell>
          <cell r="F162">
            <v>0.83206369624127996</v>
          </cell>
          <cell r="G162">
            <v>138354.93433752272</v>
          </cell>
          <cell r="H162">
            <v>0.68222062155513896</v>
          </cell>
        </row>
        <row r="163">
          <cell r="B163" t="str">
            <v>Total ex-tesouraria</v>
          </cell>
          <cell r="C163">
            <v>68863.77705956361</v>
          </cell>
          <cell r="D163">
            <v>0.99999999999999989</v>
          </cell>
          <cell r="E163">
            <v>133937.09111434058</v>
          </cell>
          <cell r="F163">
            <v>1</v>
          </cell>
          <cell r="G163">
            <v>202800.86817390419</v>
          </cell>
          <cell r="H163">
            <v>1</v>
          </cell>
        </row>
        <row r="165">
          <cell r="B165" t="str">
            <v>Nova composição acionária Telemar Norte Leste S.A. pós-incorporação da TNL (milhões de ações)</v>
          </cell>
        </row>
        <row r="166">
          <cell r="C166" t="str">
            <v>ON</v>
          </cell>
          <cell r="E166" t="str">
            <v>PN</v>
          </cell>
          <cell r="G166" t="str">
            <v>Total</v>
          </cell>
          <cell r="N166" t="str">
            <v>ON</v>
          </cell>
          <cell r="P166" t="str">
            <v>PN</v>
          </cell>
          <cell r="R166" t="str">
            <v>Total</v>
          </cell>
        </row>
        <row r="167">
          <cell r="C167" t="str">
            <v># ações</v>
          </cell>
          <cell r="D167" t="str">
            <v>%</v>
          </cell>
          <cell r="E167" t="str">
            <v># ações</v>
          </cell>
          <cell r="F167" t="str">
            <v>%</v>
          </cell>
          <cell r="G167" t="str">
            <v># ações</v>
          </cell>
          <cell r="H167" t="str">
            <v>%</v>
          </cell>
          <cell r="M167" t="str">
            <v>(milhões)</v>
          </cell>
          <cell r="N167" t="str">
            <v># ações</v>
          </cell>
          <cell r="O167" t="str">
            <v>%</v>
          </cell>
          <cell r="P167" t="str">
            <v># ações</v>
          </cell>
          <cell r="Q167" t="str">
            <v>%</v>
          </cell>
          <cell r="R167" t="str">
            <v># ações</v>
          </cell>
          <cell r="S167" t="str">
            <v>%</v>
          </cell>
        </row>
        <row r="168">
          <cell r="B168" t="str">
            <v>AG Telecom Part. S.A.</v>
          </cell>
          <cell r="C168">
            <v>318.46383198378129</v>
          </cell>
          <cell r="D168">
            <v>4.4416776390779769E-3</v>
          </cell>
          <cell r="E168">
            <v>5994.0693444020962</v>
          </cell>
          <cell r="F168">
            <v>3.4445590104423794E-2</v>
          </cell>
          <cell r="G168">
            <v>6312.5331763858776</v>
          </cell>
          <cell r="H168">
            <v>2.5690511523531592E-2</v>
          </cell>
          <cell r="M168" t="str">
            <v>Tmar Part</v>
          </cell>
          <cell r="N168">
            <v>36.973317344214109</v>
          </cell>
          <cell r="O168">
            <v>0.42494313747277934</v>
          </cell>
          <cell r="P168">
            <v>13.079176</v>
          </cell>
          <cell r="Q168">
            <v>7.5160902813909192E-2</v>
          </cell>
          <cell r="R168">
            <v>50.052493344214113</v>
          </cell>
          <cell r="S168">
            <v>0.19175483751882577</v>
          </cell>
        </row>
        <row r="169">
          <cell r="B169" t="str">
            <v>L.F. Tel S.A.</v>
          </cell>
          <cell r="C169">
            <v>318.57177667727638</v>
          </cell>
          <cell r="D169">
            <v>4.4431831649280164E-3</v>
          </cell>
          <cell r="E169">
            <v>5993.9643041521267</v>
          </cell>
          <cell r="F169">
            <v>3.4444986478875436E-2</v>
          </cell>
          <cell r="G169">
            <v>6312.5360808294026</v>
          </cell>
          <cell r="H169">
            <v>2.5690523343927265E-2</v>
          </cell>
          <cell r="M169" t="str">
            <v>AG Tel</v>
          </cell>
          <cell r="N169">
            <v>0.31846383198378131</v>
          </cell>
          <cell r="O169">
            <v>3.6601806290440823E-3</v>
          </cell>
          <cell r="P169">
            <v>5.9940693444020958</v>
          </cell>
          <cell r="Q169">
            <v>3.4445569312198131E-2</v>
          </cell>
          <cell r="R169">
            <v>6.3125331763858767</v>
          </cell>
          <cell r="S169">
            <v>2.4183785715641989E-2</v>
          </cell>
        </row>
        <row r="170">
          <cell r="B170" t="str">
            <v>Outros - Tmar Part</v>
          </cell>
          <cell r="C170">
            <v>4342.6808655690302</v>
          </cell>
          <cell r="D170">
            <v>6.056822331784318E-2</v>
          </cell>
          <cell r="E170">
            <v>10504.866369383039</v>
          </cell>
          <cell r="F170">
            <v>6.0367389876702968E-2</v>
          </cell>
          <cell r="G170">
            <v>14847.547234952068</v>
          </cell>
          <cell r="H170">
            <v>6.0425992652620428E-2</v>
          </cell>
          <cell r="M170" t="str">
            <v>L.F. Tel</v>
          </cell>
          <cell r="N170">
            <v>0.31846383198378131</v>
          </cell>
          <cell r="O170">
            <v>3.6601806290440823E-3</v>
          </cell>
          <cell r="P170">
            <v>5.9940693444020958</v>
          </cell>
          <cell r="Q170">
            <v>3.4445569312198131E-2</v>
          </cell>
          <cell r="R170">
            <v>6.3125331763858767</v>
          </cell>
          <cell r="S170">
            <v>2.4183785715641989E-2</v>
          </cell>
        </row>
        <row r="171">
          <cell r="B171" t="str">
            <v>Outros - TNL</v>
          </cell>
          <cell r="C171">
            <v>26910.743241119406</v>
          </cell>
          <cell r="D171">
            <v>0.37532942362866567</v>
          </cell>
          <cell r="E171">
            <v>111444.19109640332</v>
          </cell>
          <cell r="F171">
            <v>0.64042651251788241</v>
          </cell>
          <cell r="G171">
            <v>138354.93433752272</v>
          </cell>
          <cell r="H171">
            <v>0.5630717392871738</v>
          </cell>
          <cell r="M171" t="str">
            <v>Outros- TNL</v>
          </cell>
          <cell r="N171">
            <v>31.253424106688435</v>
          </cell>
          <cell r="O171">
            <v>0.35920304291391608</v>
          </cell>
          <cell r="P171">
            <v>121.94905746578635</v>
          </cell>
          <cell r="Q171">
            <v>0.70079347937773717</v>
          </cell>
          <cell r="R171">
            <v>153.2024815724748</v>
          </cell>
          <cell r="S171">
            <v>0.58693014071009741</v>
          </cell>
        </row>
        <row r="172">
          <cell r="B172" t="str">
            <v>Telemar Participações</v>
          </cell>
          <cell r="C172">
            <v>36973.317344214112</v>
          </cell>
          <cell r="D172">
            <v>0.5156741218220765</v>
          </cell>
          <cell r="E172">
            <v>13079.175999999999</v>
          </cell>
          <cell r="F172">
            <v>7.5160948182950355E-2</v>
          </cell>
          <cell r="G172">
            <v>50052.493344214112</v>
          </cell>
          <cell r="H172">
            <v>0.20370176617071248</v>
          </cell>
          <cell r="M172" t="str">
            <v>Outros- TMAR</v>
          </cell>
          <cell r="N172">
            <v>2.8352199999999996</v>
          </cell>
          <cell r="O172">
            <v>3.2585858363994254E-2</v>
          </cell>
          <cell r="P172">
            <v>26.999312999999997</v>
          </cell>
          <cell r="Q172">
            <v>0.15515447918395736</v>
          </cell>
          <cell r="R172">
            <v>29.834532999999997</v>
          </cell>
          <cell r="S172">
            <v>0.11429832253354393</v>
          </cell>
        </row>
        <row r="173">
          <cell r="B173" t="str">
            <v>Outros - Atuais TMAR</v>
          </cell>
          <cell r="C173">
            <v>2835.22</v>
          </cell>
          <cell r="D173">
            <v>3.954337042740854E-2</v>
          </cell>
          <cell r="E173">
            <v>26999.312999999998</v>
          </cell>
          <cell r="F173">
            <v>0.15515457283916495</v>
          </cell>
          <cell r="G173">
            <v>29834.532999999999</v>
          </cell>
          <cell r="H173">
            <v>0.12141946702203446</v>
          </cell>
          <cell r="M173" t="str">
            <v>Total</v>
          </cell>
          <cell r="N173">
            <v>71.698889114870099</v>
          </cell>
          <cell r="O173">
            <v>0.824052400008778</v>
          </cell>
          <cell r="P173">
            <v>174.01568515459056</v>
          </cell>
          <cell r="Q173">
            <v>1</v>
          </cell>
          <cell r="R173">
            <v>245.71457426946066</v>
          </cell>
          <cell r="S173">
            <v>0.94135087219375113</v>
          </cell>
        </row>
        <row r="174">
          <cell r="B174" t="str">
            <v>Outros - BRTO3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B175" t="str">
            <v>Outros - BRTO4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M175" t="str">
            <v>% ON / Total</v>
          </cell>
          <cell r="N175">
            <v>0.29179746186419597</v>
          </cell>
        </row>
        <row r="176">
          <cell r="B176" t="str">
            <v>Total ex-tesouraria</v>
          </cell>
          <cell r="C176">
            <v>71698.997059563611</v>
          </cell>
          <cell r="D176">
            <v>0.99999999999999989</v>
          </cell>
          <cell r="E176">
            <v>174015.58011434058</v>
          </cell>
          <cell r="F176">
            <v>1</v>
          </cell>
          <cell r="G176">
            <v>245714.57717390417</v>
          </cell>
          <cell r="H176">
            <v>1</v>
          </cell>
        </row>
        <row r="178">
          <cell r="B178" t="str">
            <v>% ON / Total</v>
          </cell>
          <cell r="C178">
            <v>0.29179789772431264</v>
          </cell>
        </row>
        <row r="180">
          <cell r="B180" t="str">
            <v>Necessidade de emissão de novas ONs</v>
          </cell>
          <cell r="D180">
            <v>15308.79299760671</v>
          </cell>
        </row>
        <row r="181">
          <cell r="B181" t="str">
            <v>Bonificação em ON para cada acionista</v>
          </cell>
          <cell r="D181">
            <v>6.230315341353123E-2</v>
          </cell>
        </row>
        <row r="183">
          <cell r="B183" t="str">
            <v>Composição acionária Telemar Norte Leste S.A. pós-bonificação (milhões de ações)</v>
          </cell>
        </row>
        <row r="184">
          <cell r="C184" t="str">
            <v>ON</v>
          </cell>
          <cell r="E184" t="str">
            <v>PN</v>
          </cell>
          <cell r="G184" t="str">
            <v>Total</v>
          </cell>
          <cell r="N184" t="str">
            <v>ON</v>
          </cell>
          <cell r="P184" t="str">
            <v>PN</v>
          </cell>
          <cell r="R184" t="str">
            <v>Total</v>
          </cell>
        </row>
        <row r="185">
          <cell r="C185" t="str">
            <v># ações</v>
          </cell>
          <cell r="D185" t="str">
            <v>%</v>
          </cell>
          <cell r="E185" t="str">
            <v># ações</v>
          </cell>
          <cell r="F185" t="str">
            <v>%</v>
          </cell>
          <cell r="G185" t="str">
            <v># ações</v>
          </cell>
          <cell r="H185" t="str">
            <v>%</v>
          </cell>
          <cell r="N185" t="str">
            <v># ações</v>
          </cell>
          <cell r="O185" t="str">
            <v>%</v>
          </cell>
          <cell r="P185" t="str">
            <v># ações</v>
          </cell>
          <cell r="Q185" t="str">
            <v>%</v>
          </cell>
          <cell r="R185" t="str">
            <v># ações</v>
          </cell>
          <cell r="S185" t="str">
            <v>%</v>
          </cell>
        </row>
        <row r="186">
          <cell r="B186" t="str">
            <v>AG Telecom Part. S.A.</v>
          </cell>
          <cell r="C186">
            <v>711.75455490015622</v>
          </cell>
          <cell r="D186">
            <v>8.1803543617471816E-3</v>
          </cell>
          <cell r="E186">
            <v>5994.0693444020962</v>
          </cell>
          <cell r="F186">
            <v>3.4445590104423794E-2</v>
          </cell>
          <cell r="G186">
            <v>6705.8238993022524</v>
          </cell>
          <cell r="H186">
            <v>2.5690511523531592E-2</v>
          </cell>
          <cell r="M186" t="str">
            <v>Tmar Part</v>
          </cell>
          <cell r="N186">
            <v>40.091745515768437</v>
          </cell>
          <cell r="O186">
            <v>0.46078397476814226</v>
          </cell>
          <cell r="P186">
            <v>13.079176</v>
          </cell>
          <cell r="Q186">
            <v>7.5160902813909192E-2</v>
          </cell>
          <cell r="R186">
            <v>53.170921515768441</v>
          </cell>
          <cell r="S186">
            <v>0.20370176857854796</v>
          </cell>
        </row>
        <row r="187">
          <cell r="B187" t="str">
            <v>L.F. Tel S.A.</v>
          </cell>
          <cell r="C187">
            <v>711.86268054964182</v>
          </cell>
          <cell r="D187">
            <v>8.181597074030926E-3</v>
          </cell>
          <cell r="E187">
            <v>5993.9643041521267</v>
          </cell>
          <cell r="F187">
            <v>3.4444986478875436E-2</v>
          </cell>
          <cell r="G187">
            <v>6705.8269847017682</v>
          </cell>
          <cell r="H187">
            <v>2.5690523343927265E-2</v>
          </cell>
          <cell r="M187" t="str">
            <v>AG Tel</v>
          </cell>
          <cell r="N187">
            <v>0.71175455490015627</v>
          </cell>
          <cell r="O187">
            <v>8.1803645275866661E-3</v>
          </cell>
          <cell r="P187">
            <v>5.9940693444020958</v>
          </cell>
          <cell r="Q187">
            <v>3.4445569312198131E-2</v>
          </cell>
          <cell r="R187">
            <v>6.7058238993022519</v>
          </cell>
          <cell r="S187">
            <v>2.5690511827203596E-2</v>
          </cell>
        </row>
        <row r="188">
          <cell r="B188" t="str">
            <v>Outros - Tmar Part</v>
          </cell>
          <cell r="C188">
            <v>5267.7298787629006</v>
          </cell>
          <cell r="D188">
            <v>6.0543198204455334E-2</v>
          </cell>
          <cell r="E188">
            <v>10504.866369383039</v>
          </cell>
          <cell r="F188">
            <v>6.0367389876702968E-2</v>
          </cell>
          <cell r="G188">
            <v>15772.596248145939</v>
          </cell>
          <cell r="H188">
            <v>6.0425992652620428E-2</v>
          </cell>
          <cell r="M188" t="str">
            <v>L.F. Tel</v>
          </cell>
          <cell r="N188">
            <v>0.71175455490015627</v>
          </cell>
          <cell r="O188">
            <v>8.1803645275866661E-3</v>
          </cell>
          <cell r="P188">
            <v>5.9940693444020958</v>
          </cell>
          <cell r="Q188">
            <v>3.4445569312198131E-2</v>
          </cell>
          <cell r="R188">
            <v>6.7058238993022519</v>
          </cell>
          <cell r="S188">
            <v>2.5690511827203596E-2</v>
          </cell>
        </row>
        <row r="189">
          <cell r="B189" t="str">
            <v>Outros - TNL</v>
          </cell>
          <cell r="C189">
            <v>35530.691940669123</v>
          </cell>
          <cell r="D189">
            <v>0.40836219282575648</v>
          </cell>
          <cell r="E189">
            <v>111444.19109640332</v>
          </cell>
          <cell r="F189">
            <v>0.64042651251788241</v>
          </cell>
          <cell r="G189">
            <v>146974.88303707243</v>
          </cell>
          <cell r="H189">
            <v>0.5630717392871738</v>
          </cell>
          <cell r="M189" t="str">
            <v>Outros- TNL</v>
          </cell>
          <cell r="N189">
            <v>40.798421819432029</v>
          </cell>
          <cell r="O189">
            <v>0.46890597374542542</v>
          </cell>
          <cell r="P189">
            <v>121.94905746578635</v>
          </cell>
          <cell r="Q189">
            <v>0.70079347937773717</v>
          </cell>
          <cell r="R189">
            <v>162.74747928521839</v>
          </cell>
          <cell r="S189">
            <v>0.62349773930978414</v>
          </cell>
        </row>
        <row r="190">
          <cell r="B190" t="str">
            <v>Telemar Participações</v>
          </cell>
          <cell r="C190">
            <v>40091.745515768438</v>
          </cell>
          <cell r="D190">
            <v>0.46078340214623659</v>
          </cell>
          <cell r="E190">
            <v>13079.175999999999</v>
          </cell>
          <cell r="F190">
            <v>7.5160948182950355E-2</v>
          </cell>
          <cell r="G190">
            <v>53170.921515768438</v>
          </cell>
          <cell r="H190">
            <v>0.20370176617071248</v>
          </cell>
          <cell r="M190" t="str">
            <v>Outros- TMAR</v>
          </cell>
          <cell r="N190">
            <v>4.6940054865200604</v>
          </cell>
          <cell r="O190">
            <v>5.3949322431259182E-2</v>
          </cell>
          <cell r="P190">
            <v>26.999312999999997</v>
          </cell>
          <cell r="Q190">
            <v>0.15515447918395736</v>
          </cell>
          <cell r="R190">
            <v>31.693318486520056</v>
          </cell>
          <cell r="S190">
            <v>0.12141946845726058</v>
          </cell>
        </row>
        <row r="191">
          <cell r="B191" t="str">
            <v>Outros - Atuais TMAR</v>
          </cell>
          <cell r="C191">
            <v>4694.00548652006</v>
          </cell>
          <cell r="D191">
            <v>5.3949255387773482E-2</v>
          </cell>
          <cell r="E191">
            <v>26999.312999999998</v>
          </cell>
          <cell r="F191">
            <v>0.15515457283916495</v>
          </cell>
          <cell r="G191">
            <v>31693.31848652006</v>
          </cell>
          <cell r="H191">
            <v>0.12141946702203446</v>
          </cell>
          <cell r="M191" t="str">
            <v>Total</v>
          </cell>
          <cell r="N191">
            <v>87.007681931520821</v>
          </cell>
          <cell r="O191">
            <v>1.0000000000000002</v>
          </cell>
          <cell r="P191">
            <v>174.01568515459056</v>
          </cell>
          <cell r="Q191">
            <v>1</v>
          </cell>
          <cell r="R191">
            <v>261.02336708611142</v>
          </cell>
          <cell r="S191">
            <v>0.99999999999999989</v>
          </cell>
        </row>
        <row r="192">
          <cell r="B192" t="str">
            <v>Outros - BRTO3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Outros - BRTO4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M193" t="str">
            <v>% ON / Total</v>
          </cell>
          <cell r="N193">
            <v>0.33333292303603246</v>
          </cell>
        </row>
        <row r="194">
          <cell r="B194" t="str">
            <v>Total ex-tesouraria</v>
          </cell>
          <cell r="C194">
            <v>87007.790057170321</v>
          </cell>
          <cell r="D194">
            <v>1</v>
          </cell>
          <cell r="E194">
            <v>174015.58011434058</v>
          </cell>
          <cell r="F194">
            <v>1</v>
          </cell>
          <cell r="G194">
            <v>261023.37017151088</v>
          </cell>
          <cell r="H194">
            <v>1</v>
          </cell>
        </row>
        <row r="196">
          <cell r="B196" t="str">
            <v>% ON / Total</v>
          </cell>
          <cell r="C196">
            <v>0.33333333333333343</v>
          </cell>
        </row>
        <row r="198">
          <cell r="B198" t="str">
            <v>Ações que TmarPart deveria comprar para garantir 50,1%</v>
          </cell>
          <cell r="C198">
            <v>3499.1573028738931</v>
          </cell>
        </row>
        <row r="199">
          <cell r="B199" t="str">
            <v>Número de ações ajustado para pré-bonificação</v>
          </cell>
          <cell r="C199">
            <v>3293.9347790034735</v>
          </cell>
        </row>
        <row r="200">
          <cell r="B200" t="str">
            <v>Relação de troca TNLP3/TMAR3</v>
          </cell>
          <cell r="C200">
            <v>0.539723467475267</v>
          </cell>
        </row>
        <row r="201">
          <cell r="B201" t="str">
            <v>Número de TNLP3 para aquisição pré-incorporação</v>
          </cell>
          <cell r="C201">
            <v>6103.0045523347917</v>
          </cell>
        </row>
        <row r="202">
          <cell r="B202" t="str">
            <v>Preço TNLP3</v>
          </cell>
          <cell r="C202">
            <v>32.456428571428575</v>
          </cell>
        </row>
        <row r="203">
          <cell r="B203" t="str">
            <v>Desembolso Tmar Part</v>
          </cell>
          <cell r="C203">
            <v>198.0817313239576</v>
          </cell>
        </row>
        <row r="205">
          <cell r="B205" t="str">
            <v xml:space="preserve">Análise dividendos </v>
          </cell>
          <cell r="C205">
            <v>2</v>
          </cell>
          <cell r="D205" t="str">
            <v>1- Pacotes / 2- Bonificação</v>
          </cell>
        </row>
        <row r="207">
          <cell r="B207" t="str">
            <v>Distribuição do dividendo extraordinário pré-incorporação</v>
          </cell>
          <cell r="F207" t="str">
            <v>Distribuição do dividendo extraordinário pré-incorporação</v>
          </cell>
        </row>
        <row r="209">
          <cell r="B209" t="str">
            <v>Dividendo extraordinário</v>
          </cell>
          <cell r="D209">
            <v>1000</v>
          </cell>
          <cell r="H209" t="str">
            <v xml:space="preserve">% </v>
          </cell>
          <cell r="I209" t="str">
            <v>Compra TNLP3</v>
          </cell>
        </row>
        <row r="210">
          <cell r="B210" t="str">
            <v>Dividendo por ação</v>
          </cell>
          <cell r="D210">
            <v>2.6136181428568812</v>
          </cell>
          <cell r="F210" t="str">
            <v>Cenários</v>
          </cell>
          <cell r="H210" t="str">
            <v>cap. total</v>
          </cell>
          <cell r="I210" t="str">
            <v>p/ 50.1% (R$MM)</v>
          </cell>
        </row>
        <row r="212">
          <cell r="B212" t="str">
            <v>Número de ações Tmar Part na TNL pré-incorporação</v>
          </cell>
          <cell r="D212">
            <v>68.504187000000002</v>
          </cell>
          <cell r="F212" t="str">
            <v>Pacote c/ ONs TMAR</v>
          </cell>
          <cell r="H212">
            <v>0.19411196034931821</v>
          </cell>
          <cell r="I212">
            <v>407.61150389500989</v>
          </cell>
        </row>
        <row r="213">
          <cell r="B213" t="str">
            <v>Dividendos para Tmar Part</v>
          </cell>
          <cell r="D213">
            <v>179.04378600486052</v>
          </cell>
          <cell r="F213" t="str">
            <v>Pacote c/ caixa</v>
          </cell>
          <cell r="H213">
            <v>0.24163866447943771</v>
          </cell>
          <cell r="I213">
            <v>0</v>
          </cell>
        </row>
        <row r="214">
          <cell r="F214" t="str">
            <v>C/ Bonificação em ONs</v>
          </cell>
          <cell r="H214">
            <v>0.19300547995548351</v>
          </cell>
          <cell r="I214">
            <v>346.52092373541126</v>
          </cell>
        </row>
        <row r="215">
          <cell r="B215" t="str">
            <v>Distribuição do dividendo extraordinário pós-incorporação</v>
          </cell>
        </row>
        <row r="217">
          <cell r="B217" t="str">
            <v>Dividendo extraordinário</v>
          </cell>
          <cell r="D217">
            <v>1000</v>
          </cell>
          <cell r="F217" t="str">
            <v>Distribuição do dividendo extraordinário pós-incorporação</v>
          </cell>
        </row>
        <row r="219">
          <cell r="B219" t="str">
            <v>Número de ações Tmar Part na TNL pós-incorporação</v>
          </cell>
          <cell r="G219" t="str">
            <v>Aumento divi</v>
          </cell>
          <cell r="H219" t="str">
            <v xml:space="preserve">% </v>
          </cell>
          <cell r="I219" t="str">
            <v xml:space="preserve">Compra TNLP3 </v>
          </cell>
        </row>
        <row r="220">
          <cell r="B220" t="str">
            <v>ON</v>
          </cell>
          <cell r="D220">
            <v>40.091745515768437</v>
          </cell>
          <cell r="F220" t="str">
            <v>Cenários</v>
          </cell>
          <cell r="G220" t="str">
            <v xml:space="preserve"> dendos(R$MM)1</v>
          </cell>
          <cell r="H220" t="str">
            <v>cap. total</v>
          </cell>
          <cell r="I220" t="str">
            <v>p/ 50.1% (R$MM)</v>
          </cell>
        </row>
        <row r="221">
          <cell r="B221" t="str">
            <v>PN</v>
          </cell>
          <cell r="D221">
            <v>13.079176</v>
          </cell>
        </row>
        <row r="222">
          <cell r="F222" t="str">
            <v>Pacote c/ ONs TMAR</v>
          </cell>
          <cell r="G222">
            <v>5.9679708338375406</v>
          </cell>
          <cell r="H222">
            <v>0.19214671257849195</v>
          </cell>
          <cell r="I222">
            <v>360.39778552335503</v>
          </cell>
        </row>
        <row r="223">
          <cell r="B223" t="str">
            <v>Dividendo por ação</v>
          </cell>
          <cell r="F223" t="str">
            <v>Pacote c/ caixa</v>
          </cell>
          <cell r="G223">
            <v>48.063120667501494</v>
          </cell>
          <cell r="H223">
            <v>0.23584979160782157</v>
          </cell>
          <cell r="I223">
            <v>0</v>
          </cell>
        </row>
        <row r="224">
          <cell r="B224" t="str">
            <v>ON</v>
          </cell>
          <cell r="D224">
            <v>3.5916323293363801</v>
          </cell>
          <cell r="F224" t="str">
            <v>C/ Bonificação em ONs</v>
          </cell>
          <cell r="G224">
            <v>4.5690716471479504</v>
          </cell>
          <cell r="H224">
            <v>0.19112796043482438</v>
          </cell>
          <cell r="I224">
            <v>314.04666166883862</v>
          </cell>
        </row>
        <row r="225">
          <cell r="B225" t="str">
            <v>PN</v>
          </cell>
          <cell r="D225">
            <v>3.9507955622700184</v>
          </cell>
        </row>
        <row r="227">
          <cell r="B227" t="str">
            <v>Se emitidas TMAR7, ON ou PN</v>
          </cell>
          <cell r="D227">
            <v>3.8310746319891762</v>
          </cell>
        </row>
        <row r="229">
          <cell r="B229" t="str">
            <v>Dividendos para Tmar Part</v>
          </cell>
          <cell r="C229" t="str">
            <v>Variação</v>
          </cell>
          <cell r="D229" t="str">
            <v>Total</v>
          </cell>
        </row>
        <row r="230">
          <cell r="B230" t="str">
            <v>Sem TMAR7</v>
          </cell>
          <cell r="C230">
            <v>9.2849767082100687E-2</v>
          </cell>
          <cell r="D230">
            <v>195.6679598329093</v>
          </cell>
          <cell r="E230">
            <v>16.624173828048782</v>
          </cell>
        </row>
        <row r="231">
          <cell r="B231" t="str">
            <v>Com TMAR7</v>
          </cell>
          <cell r="C231">
            <v>0.13772040417542364</v>
          </cell>
          <cell r="D231">
            <v>203.70176857854796</v>
          </cell>
          <cell r="E231">
            <v>24.657982573687434</v>
          </cell>
        </row>
        <row r="233">
          <cell r="A233" t="str">
            <v>OUTPUTS</v>
          </cell>
        </row>
        <row r="235">
          <cell r="C235" t="str">
            <v>ON</v>
          </cell>
          <cell r="D235" t="str">
            <v>PN</v>
          </cell>
        </row>
        <row r="236">
          <cell r="B236" t="str">
            <v>Preços TNL1</v>
          </cell>
          <cell r="C236">
            <v>32.456428571428575</v>
          </cell>
          <cell r="D236">
            <v>24.777619047619048</v>
          </cell>
        </row>
        <row r="237">
          <cell r="B237" t="str">
            <v>Preços TMAR1</v>
          </cell>
          <cell r="C237">
            <v>60.13529247348486</v>
          </cell>
          <cell r="D237">
            <v>47.177380203761885</v>
          </cell>
        </row>
        <row r="239">
          <cell r="B239" t="str">
            <v>Relações de troca</v>
          </cell>
        </row>
        <row r="241">
          <cell r="B241" t="str">
            <v>Pacote com ONs TMAR</v>
          </cell>
        </row>
        <row r="242">
          <cell r="B242" t="str">
            <v>TNLP3</v>
          </cell>
          <cell r="C242">
            <v>0.539723467475267</v>
          </cell>
          <cell r="D242" t="str">
            <v>TMAR3</v>
          </cell>
        </row>
        <row r="243">
          <cell r="B243" t="str">
            <v>TNLP4</v>
          </cell>
          <cell r="C243">
            <v>0</v>
          </cell>
          <cell r="D243" t="str">
            <v>TMAR3</v>
          </cell>
        </row>
        <row r="244">
          <cell r="B244" t="str">
            <v>+</v>
          </cell>
          <cell r="C244">
            <v>0.52520124984903893</v>
          </cell>
          <cell r="D244" t="str">
            <v>TMAR5</v>
          </cell>
        </row>
        <row r="246">
          <cell r="B246" t="str">
            <v>Pacote com caixa</v>
          </cell>
        </row>
        <row r="247">
          <cell r="B247" t="str">
            <v>TNLP3</v>
          </cell>
          <cell r="C247">
            <v>0.539723467475267</v>
          </cell>
          <cell r="D247" t="str">
            <v>TMAR3</v>
          </cell>
        </row>
        <row r="248">
          <cell r="B248" t="str">
            <v>TNLP4</v>
          </cell>
          <cell r="C248">
            <v>5.6640836054851853</v>
          </cell>
          <cell r="D248" t="str">
            <v>R$/ação</v>
          </cell>
        </row>
        <row r="249">
          <cell r="B249" t="str">
            <v>+</v>
          </cell>
          <cell r="C249">
            <v>0.4051419421676527</v>
          </cell>
          <cell r="D249" t="str">
            <v>TMAR5</v>
          </cell>
        </row>
        <row r="251">
          <cell r="B251" t="str">
            <v>Considerando bonificação em ONs pós-incorporação</v>
          </cell>
        </row>
        <row r="252">
          <cell r="B252" t="str">
            <v>TNLP3</v>
          </cell>
          <cell r="C252">
            <v>0.539723467475267</v>
          </cell>
          <cell r="D252" t="str">
            <v>TMAR3</v>
          </cell>
        </row>
        <row r="253">
          <cell r="B253" t="str">
            <v>TNLP4</v>
          </cell>
          <cell r="C253">
            <v>0.52520124984903893</v>
          </cell>
          <cell r="D253" t="str">
            <v>TMAR5</v>
          </cell>
        </row>
        <row r="255">
          <cell r="D255" t="str">
            <v xml:space="preserve">Pacotes </v>
          </cell>
          <cell r="E255" t="str">
            <v>Bonificação</v>
          </cell>
        </row>
        <row r="256">
          <cell r="B256" t="str">
            <v>Participação direta TMAR Part na TMAR</v>
          </cell>
          <cell r="D256">
            <v>0.20370176617071245</v>
          </cell>
          <cell r="E256">
            <v>0.20370176857854796</v>
          </cell>
        </row>
        <row r="258">
          <cell r="B258" t="str">
            <v>% AG/LF na TMAR Part</v>
          </cell>
          <cell r="D258">
            <v>0.19325018044186537</v>
          </cell>
          <cell r="E258">
            <v>0.19325018044186537</v>
          </cell>
        </row>
        <row r="259">
          <cell r="B259" t="str">
            <v>Participação AG/LF na TMAR via TMAR Part</v>
          </cell>
          <cell r="D259">
            <v>3.9365403068816848E-2</v>
          </cell>
          <cell r="E259">
            <v>3.9365403534131496E-2</v>
          </cell>
        </row>
        <row r="261">
          <cell r="B261" t="str">
            <v>Participação direta AG/LF na TMAR</v>
          </cell>
          <cell r="D261">
            <v>2.5690511523531585E-2</v>
          </cell>
          <cell r="E261">
            <v>2.5690511827203596E-2</v>
          </cell>
        </row>
        <row r="263">
          <cell r="B263" t="str">
            <v>Participação direta e indireta de AG/LF na TMAR</v>
          </cell>
          <cell r="D263">
            <v>6.5055914592348441E-2</v>
          </cell>
          <cell r="E263">
            <v>6.5055915361335093E-2</v>
          </cell>
        </row>
        <row r="266">
          <cell r="A266" t="str">
            <v>Incorporação TNL na TMAR - Opção conversão ON/PN pré-deal</v>
          </cell>
        </row>
        <row r="268">
          <cell r="B268" t="str">
            <v>Relação de troca</v>
          </cell>
        </row>
        <row r="269">
          <cell r="B269" t="str">
            <v>TNLP3</v>
          </cell>
          <cell r="C269">
            <v>0.539723467475267</v>
          </cell>
          <cell r="D269" t="str">
            <v>TMAR3</v>
          </cell>
        </row>
        <row r="270">
          <cell r="B270" t="str">
            <v>TNLP4</v>
          </cell>
          <cell r="C270">
            <v>0.52520124984903893</v>
          </cell>
          <cell r="D270" t="str">
            <v>TMAR5</v>
          </cell>
        </row>
        <row r="272">
          <cell r="B272" t="str">
            <v>Novas açoes de TMAR emitidas p/ acionistas TNL</v>
          </cell>
        </row>
        <row r="273">
          <cell r="C273" t="str">
            <v>ON</v>
          </cell>
          <cell r="E273" t="str">
            <v>PN</v>
          </cell>
          <cell r="G273" t="str">
            <v>Total</v>
          </cell>
          <cell r="N273" t="str">
            <v>ON</v>
          </cell>
          <cell r="P273" t="str">
            <v>PN</v>
          </cell>
          <cell r="R273" t="str">
            <v>Total</v>
          </cell>
        </row>
        <row r="274">
          <cell r="C274" t="str">
            <v># ações</v>
          </cell>
          <cell r="D274" t="str">
            <v>%</v>
          </cell>
          <cell r="E274" t="str">
            <v># ações</v>
          </cell>
          <cell r="F274" t="str">
            <v>%</v>
          </cell>
          <cell r="G274" t="str">
            <v># ações</v>
          </cell>
          <cell r="H274" t="str">
            <v>%</v>
          </cell>
          <cell r="M274" t="str">
            <v>(milhões)</v>
          </cell>
          <cell r="N274" t="str">
            <v># ações</v>
          </cell>
          <cell r="O274" t="str">
            <v>%</v>
          </cell>
          <cell r="P274" t="str">
            <v># ações</v>
          </cell>
          <cell r="Q274" t="str">
            <v>%</v>
          </cell>
          <cell r="R274" t="str">
            <v># ações</v>
          </cell>
          <cell r="S274" t="str">
            <v>%</v>
          </cell>
        </row>
        <row r="275">
          <cell r="B275" t="str">
            <v>Telemar Participações</v>
          </cell>
          <cell r="C275">
            <v>36973.317344214112</v>
          </cell>
          <cell r="D275">
            <v>0.53690516150797396</v>
          </cell>
          <cell r="E275">
            <v>0</v>
          </cell>
          <cell r="F275">
            <v>0</v>
          </cell>
          <cell r="G275">
            <v>36973.317344214112</v>
          </cell>
          <cell r="H275">
            <v>0.18231340761573589</v>
          </cell>
          <cell r="M275" t="str">
            <v>TmarPart</v>
          </cell>
          <cell r="N275">
            <v>36.973317344214109</v>
          </cell>
          <cell r="O275">
            <v>0.53690516150797396</v>
          </cell>
          <cell r="P275">
            <v>0</v>
          </cell>
          <cell r="Q275">
            <v>0</v>
          </cell>
          <cell r="R275">
            <v>36.973317344214109</v>
          </cell>
          <cell r="S275">
            <v>0.18231340761573589</v>
          </cell>
        </row>
        <row r="276">
          <cell r="B276" t="str">
            <v>AG Telecom Part. S.A.</v>
          </cell>
          <cell r="C276">
            <v>318.46383198378129</v>
          </cell>
          <cell r="D276">
            <v>4.6245478476779822E-3</v>
          </cell>
          <cell r="E276">
            <v>5994.0693444020962</v>
          </cell>
          <cell r="F276">
            <v>4.4752870877903618E-2</v>
          </cell>
          <cell r="G276">
            <v>6312.5331763858776</v>
          </cell>
          <cell r="H276">
            <v>3.1126756178246753E-2</v>
          </cell>
          <cell r="M276" t="str">
            <v>AG Tel</v>
          </cell>
          <cell r="N276">
            <v>0.31846383198378131</v>
          </cell>
          <cell r="O276">
            <v>4.624547847677983E-3</v>
          </cell>
          <cell r="P276">
            <v>5.9940693444020958</v>
          </cell>
          <cell r="Q276">
            <v>4.4752870877903618E-2</v>
          </cell>
          <cell r="R276">
            <v>6.3125331763858776</v>
          </cell>
          <cell r="S276">
            <v>3.1126756178246756E-2</v>
          </cell>
        </row>
        <row r="277">
          <cell r="B277" t="str">
            <v>L.F. Tel S.A.</v>
          </cell>
          <cell r="C277">
            <v>318.57177667727638</v>
          </cell>
          <cell r="D277">
            <v>4.6261153581763055E-3</v>
          </cell>
          <cell r="E277">
            <v>5993.9643041521267</v>
          </cell>
          <cell r="F277">
            <v>4.475208662725956E-2</v>
          </cell>
          <cell r="G277">
            <v>6312.5360808294026</v>
          </cell>
          <cell r="H277">
            <v>3.1126770499899079E-2</v>
          </cell>
          <cell r="M277" t="str">
            <v>L.F. Tel</v>
          </cell>
          <cell r="N277">
            <v>0.31857177667727637</v>
          </cell>
          <cell r="O277">
            <v>4.6261153581763064E-3</v>
          </cell>
          <cell r="P277">
            <v>5.9939643041521267</v>
          </cell>
          <cell r="Q277">
            <v>4.4752086627259567E-2</v>
          </cell>
          <cell r="R277">
            <v>6.3125360808294024</v>
          </cell>
          <cell r="S277">
            <v>3.1126770499899079E-2</v>
          </cell>
        </row>
        <row r="278">
          <cell r="B278" t="str">
            <v>Outros - Tmar Part</v>
          </cell>
          <cell r="C278">
            <v>4342.6808655690302</v>
          </cell>
          <cell r="D278">
            <v>6.3061903528945779E-2</v>
          </cell>
          <cell r="E278">
            <v>10504.866369383039</v>
          </cell>
          <cell r="F278">
            <v>7.8431346253556855E-2</v>
          </cell>
          <cell r="G278">
            <v>14847.547234952068</v>
          </cell>
          <cell r="H278">
            <v>7.3212444150979258E-2</v>
          </cell>
          <cell r="M278" t="str">
            <v>Outros TmarPart</v>
          </cell>
          <cell r="N278">
            <v>4.3426808655690303</v>
          </cell>
          <cell r="O278">
            <v>6.3061903528945792E-2</v>
          </cell>
          <cell r="P278">
            <v>10.504866369383038</v>
          </cell>
          <cell r="Q278">
            <v>7.8431346253556841E-2</v>
          </cell>
          <cell r="R278">
            <v>14.847547234952067</v>
          </cell>
          <cell r="S278">
            <v>7.3212444150979258E-2</v>
          </cell>
        </row>
        <row r="279">
          <cell r="B279" t="str">
            <v>Outros - TNL</v>
          </cell>
          <cell r="C279">
            <v>26910.743241119406</v>
          </cell>
          <cell r="D279">
            <v>0.39078227175722591</v>
          </cell>
          <cell r="E279">
            <v>111444.19109640332</v>
          </cell>
          <cell r="F279">
            <v>0.83206369624127996</v>
          </cell>
          <cell r="G279">
            <v>138354.93433752272</v>
          </cell>
          <cell r="H279">
            <v>0.68222062155513896</v>
          </cell>
          <cell r="M279" t="str">
            <v xml:space="preserve">Outros </v>
          </cell>
          <cell r="N279">
            <v>26.910743241119405</v>
          </cell>
          <cell r="O279">
            <v>0.39078227175722596</v>
          </cell>
          <cell r="P279">
            <v>111.44419109640332</v>
          </cell>
          <cell r="Q279">
            <v>0.83206369624127996</v>
          </cell>
          <cell r="R279">
            <v>138.35493433752271</v>
          </cell>
          <cell r="S279">
            <v>0.68222062155513896</v>
          </cell>
        </row>
        <row r="280">
          <cell r="B280" t="str">
            <v>Total ex-tesouraria</v>
          </cell>
          <cell r="C280">
            <v>68863.77705956361</v>
          </cell>
          <cell r="D280">
            <v>0.99999999999999989</v>
          </cell>
          <cell r="E280">
            <v>133937.09111434058</v>
          </cell>
          <cell r="F280">
            <v>1</v>
          </cell>
          <cell r="G280">
            <v>202800.86817390419</v>
          </cell>
          <cell r="H280">
            <v>1</v>
          </cell>
          <cell r="M280" t="str">
            <v>Total</v>
          </cell>
          <cell r="N280">
            <v>68.863777059563603</v>
          </cell>
          <cell r="O280">
            <v>1</v>
          </cell>
          <cell r="P280">
            <v>133.93709111434057</v>
          </cell>
          <cell r="Q280">
            <v>1</v>
          </cell>
          <cell r="R280">
            <v>202.80086817390418</v>
          </cell>
          <cell r="S280">
            <v>1</v>
          </cell>
        </row>
        <row r="282">
          <cell r="B282" t="str">
            <v># ações TMAR hoje (excluindo ações detidas pela TNL)</v>
          </cell>
        </row>
        <row r="283">
          <cell r="B283" t="str">
            <v>ON</v>
          </cell>
          <cell r="D283">
            <v>2835.22</v>
          </cell>
        </row>
        <row r="284">
          <cell r="B284" t="str">
            <v>PN</v>
          </cell>
          <cell r="D284">
            <v>40078.489000000001</v>
          </cell>
        </row>
        <row r="286">
          <cell r="B286" t="str">
            <v>Ações totais da TMAR após emissão para acionistas TNL (mil)</v>
          </cell>
        </row>
        <row r="287">
          <cell r="B287" t="str">
            <v>ON</v>
          </cell>
          <cell r="D287">
            <v>71698.997059563611</v>
          </cell>
        </row>
        <row r="288">
          <cell r="B288" t="str">
            <v>PN</v>
          </cell>
          <cell r="D288">
            <v>174015.58011434058</v>
          </cell>
        </row>
        <row r="289">
          <cell r="B289" t="str">
            <v>% ON / PN</v>
          </cell>
          <cell r="D289">
            <v>0.41202630829062709</v>
          </cell>
        </row>
        <row r="290">
          <cell r="B290" t="str">
            <v>% alvo ON/ PN</v>
          </cell>
          <cell r="D290">
            <v>0.5</v>
          </cell>
        </row>
        <row r="291">
          <cell r="B291" t="str">
            <v>% ON / Capital total</v>
          </cell>
          <cell r="D291">
            <v>0.29179789772431258</v>
          </cell>
        </row>
        <row r="292">
          <cell r="B292" t="str">
            <v>% alvo ON/ Capital total</v>
          </cell>
          <cell r="D292">
            <v>0.33333333333333298</v>
          </cell>
        </row>
        <row r="294">
          <cell r="B294" t="str">
            <v>Relação de troca (TMAR5/TMAR3)</v>
          </cell>
          <cell r="D294">
            <v>0.78452067435380912</v>
          </cell>
        </row>
        <row r="296">
          <cell r="B296" t="str">
            <v>Migração PN p/ ON TMAR pré-transaçãopara equilíbrio</v>
          </cell>
          <cell r="D296">
            <v>11917.903155048805</v>
          </cell>
        </row>
        <row r="297">
          <cell r="B297" t="str">
            <v>Novas ações ON criadas</v>
          </cell>
          <cell r="D297">
            <v>9349.8414200822772</v>
          </cell>
        </row>
        <row r="298">
          <cell r="S298" t="str">
            <v>Espaço para migração</v>
          </cell>
        </row>
        <row r="299">
          <cell r="B299" t="str">
            <v>Espaço para migração</v>
          </cell>
          <cell r="C299" t="str">
            <v>% PNs1</v>
          </cell>
          <cell r="D299" t="str">
            <v>PNs convertidas</v>
          </cell>
          <cell r="E299" t="str">
            <v>ONs recebidas</v>
          </cell>
          <cell r="O299" t="str">
            <v>% PNs1</v>
          </cell>
          <cell r="P299" t="str">
            <v>PNs convertidas</v>
          </cell>
          <cell r="S299" t="str">
            <v>ONs recebidas</v>
          </cell>
        </row>
        <row r="300">
          <cell r="B300" t="str">
            <v>TmarPart</v>
          </cell>
          <cell r="C300">
            <v>0.32633904935887176</v>
          </cell>
          <cell r="D300">
            <v>3889.2771859697255</v>
          </cell>
          <cell r="E300">
            <v>3051.2183606858539</v>
          </cell>
          <cell r="M300" t="str">
            <v>TmarPart</v>
          </cell>
          <cell r="O300">
            <v>0.32633904935887176</v>
          </cell>
          <cell r="Q300">
            <v>3889.2771859697255</v>
          </cell>
          <cell r="S300">
            <v>3051.2183606858539</v>
          </cell>
        </row>
        <row r="301">
          <cell r="B301" t="str">
            <v>Minoritários</v>
          </cell>
          <cell r="C301">
            <v>0.67366095064112819</v>
          </cell>
          <cell r="D301">
            <v>8028.6259690790794</v>
          </cell>
          <cell r="E301">
            <v>6298.6230593964228</v>
          </cell>
          <cell r="M301" t="str">
            <v>Minoritários</v>
          </cell>
          <cell r="O301">
            <v>0.67366095064112819</v>
          </cell>
          <cell r="Q301">
            <v>8028.6259690790794</v>
          </cell>
          <cell r="S301">
            <v>6298.6230593964228</v>
          </cell>
        </row>
        <row r="302">
          <cell r="M302" t="str">
            <v>Total</v>
          </cell>
          <cell r="O302">
            <v>1</v>
          </cell>
          <cell r="Q302">
            <v>11917.903155048805</v>
          </cell>
          <cell r="S302">
            <v>9349.8414200822772</v>
          </cell>
        </row>
        <row r="303">
          <cell r="B303" t="str">
            <v>Adesão dos minoritários à migração</v>
          </cell>
          <cell r="C303">
            <v>0.25</v>
          </cell>
        </row>
        <row r="305">
          <cell r="D305" t="str">
            <v>PNs convertidas</v>
          </cell>
          <cell r="E305" t="str">
            <v>ONs recebidas</v>
          </cell>
        </row>
        <row r="306">
          <cell r="B306" t="str">
            <v>TmarPart</v>
          </cell>
          <cell r="D306">
            <v>9910.7466627790345</v>
          </cell>
          <cell r="E306">
            <v>7775.185655233171</v>
          </cell>
          <cell r="M306" t="str">
            <v>Adesão dos minoritários à migração</v>
          </cell>
          <cell r="Q306">
            <v>0.25</v>
          </cell>
        </row>
        <row r="307">
          <cell r="B307" t="str">
            <v>Minoritários</v>
          </cell>
          <cell r="D307">
            <v>2007.1564922697698</v>
          </cell>
          <cell r="E307">
            <v>1574.6557648491059</v>
          </cell>
        </row>
        <row r="308">
          <cell r="Q308" t="str">
            <v>PNs convertidas</v>
          </cell>
          <cell r="S308" t="str">
            <v>ONs recebidas</v>
          </cell>
        </row>
        <row r="309">
          <cell r="B309" t="str">
            <v>Nova composição acionária Telemar Norte Leste S.A. pré-incorporação da TNL (milhões de ações)</v>
          </cell>
          <cell r="M309" t="str">
            <v>TmarPart</v>
          </cell>
          <cell r="Q309">
            <v>9910.7466627790345</v>
          </cell>
          <cell r="S309">
            <v>7775.185655233171</v>
          </cell>
        </row>
        <row r="310">
          <cell r="C310" t="str">
            <v>ON</v>
          </cell>
          <cell r="E310" t="str">
            <v>PN</v>
          </cell>
          <cell r="G310" t="str">
            <v>Total</v>
          </cell>
          <cell r="M310" t="str">
            <v>Minoritários</v>
          </cell>
          <cell r="Q310">
            <v>2007.1564922697698</v>
          </cell>
          <cell r="S310">
            <v>1574.6557648491059</v>
          </cell>
        </row>
        <row r="311">
          <cell r="C311" t="str">
            <v># ações</v>
          </cell>
          <cell r="D311" t="str">
            <v>%</v>
          </cell>
          <cell r="E311" t="str">
            <v># ações</v>
          </cell>
          <cell r="F311" t="str">
            <v>%</v>
          </cell>
          <cell r="G311" t="str">
            <v># ações</v>
          </cell>
          <cell r="H311" t="str">
            <v>%</v>
          </cell>
          <cell r="M311" t="str">
            <v>Total</v>
          </cell>
          <cell r="Q311">
            <v>11917.903155048803</v>
          </cell>
          <cell r="S311">
            <v>9349.8414200822772</v>
          </cell>
        </row>
        <row r="312">
          <cell r="B312" t="str">
            <v>Tele Norte Leste Part. S.A.</v>
          </cell>
          <cell r="C312">
            <v>104227.87300000001</v>
          </cell>
          <cell r="D312">
            <v>0.89532897284324242</v>
          </cell>
          <cell r="E312">
            <v>91249.773000000001</v>
          </cell>
          <cell r="F312">
            <v>0.76416965732833608</v>
          </cell>
          <cell r="G312">
            <v>195477.64600000001</v>
          </cell>
          <cell r="H312">
            <v>0.82891576694380897</v>
          </cell>
        </row>
        <row r="313">
          <cell r="B313" t="str">
            <v>Telemar Participações</v>
          </cell>
          <cell r="C313">
            <v>7775.185655233171</v>
          </cell>
          <cell r="D313">
            <v>6.6789705920271697E-2</v>
          </cell>
          <cell r="E313">
            <v>3168.429337220965</v>
          </cell>
          <cell r="F313">
            <v>2.6533957086043291E-2</v>
          </cell>
          <cell r="G313">
            <v>10943.614992454135</v>
          </cell>
          <cell r="H313">
            <v>4.6405996799285608E-2</v>
          </cell>
        </row>
        <row r="314">
          <cell r="B314" t="str">
            <v>Outros - Atuais TMAR</v>
          </cell>
          <cell r="C314">
            <v>4409.8757648491055</v>
          </cell>
          <cell r="D314">
            <v>3.7881321236485917E-2</v>
          </cell>
          <cell r="E314">
            <v>24992.156507730229</v>
          </cell>
          <cell r="F314">
            <v>0.20929638558562061</v>
          </cell>
          <cell r="G314">
            <v>29402.032272579334</v>
          </cell>
          <cell r="H314">
            <v>0.12467823625690541</v>
          </cell>
        </row>
        <row r="315">
          <cell r="B315" t="str">
            <v>Outros - BRTO3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B316" t="str">
            <v>Outros - BRTO4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Total ex-tesouraria</v>
          </cell>
          <cell r="C317">
            <v>116412.93442008228</v>
          </cell>
          <cell r="D317">
            <v>1</v>
          </cell>
          <cell r="E317">
            <v>119410.3588449512</v>
          </cell>
          <cell r="F317">
            <v>1</v>
          </cell>
          <cell r="G317">
            <v>235823.29326503348</v>
          </cell>
          <cell r="H317">
            <v>1</v>
          </cell>
        </row>
        <row r="318">
          <cell r="B318" t="str">
            <v>Ações em Tesouraria</v>
          </cell>
          <cell r="C318">
            <v>0</v>
          </cell>
          <cell r="E318">
            <v>223.5</v>
          </cell>
          <cell r="G318">
            <v>223.5</v>
          </cell>
        </row>
        <row r="319">
          <cell r="B319" t="str">
            <v>Total ex-tesouraria</v>
          </cell>
          <cell r="C319">
            <v>116412.93442008228</v>
          </cell>
          <cell r="E319">
            <v>119633.8588449512</v>
          </cell>
          <cell r="G319">
            <v>236046.79326503348</v>
          </cell>
        </row>
        <row r="321">
          <cell r="B321" t="str">
            <v>% ON / Total</v>
          </cell>
          <cell r="C321">
            <v>0.49364476599540102</v>
          </cell>
        </row>
        <row r="323">
          <cell r="B323" t="str">
            <v>Composição acionária Telemar Norte Leste S.A. pós-incorporação (milhões de ações)</v>
          </cell>
        </row>
        <row r="324">
          <cell r="C324" t="str">
            <v>ON</v>
          </cell>
          <cell r="E324" t="str">
            <v>PN</v>
          </cell>
          <cell r="G324" t="str">
            <v>Total</v>
          </cell>
          <cell r="N324" t="str">
            <v>ON</v>
          </cell>
          <cell r="P324" t="str">
            <v>PN</v>
          </cell>
          <cell r="R324" t="str">
            <v>Total</v>
          </cell>
        </row>
        <row r="325">
          <cell r="C325" t="str">
            <v># ações</v>
          </cell>
          <cell r="D325" t="str">
            <v>%</v>
          </cell>
          <cell r="E325" t="str">
            <v># ações</v>
          </cell>
          <cell r="F325" t="str">
            <v>%</v>
          </cell>
          <cell r="G325" t="str">
            <v># ações</v>
          </cell>
          <cell r="H325" t="str">
            <v>%</v>
          </cell>
          <cell r="N325" t="str">
            <v># ações</v>
          </cell>
          <cell r="O325" t="str">
            <v>%</v>
          </cell>
          <cell r="P325" t="str">
            <v># ações</v>
          </cell>
          <cell r="Q325" t="str">
            <v>%</v>
          </cell>
          <cell r="R325" t="str">
            <v># ações</v>
          </cell>
          <cell r="S325" t="str">
            <v>%</v>
          </cell>
        </row>
        <row r="326">
          <cell r="B326" t="str">
            <v>AG Telecom Part. S.A.</v>
          </cell>
          <cell r="C326">
            <v>318.46383198378129</v>
          </cell>
          <cell r="D326">
            <v>3.9292831082799341E-3</v>
          </cell>
          <cell r="E326">
            <v>5994.0693444020962</v>
          </cell>
          <cell r="F326">
            <v>3.6978132301719605E-2</v>
          </cell>
          <cell r="G326">
            <v>6312.5331763858776</v>
          </cell>
          <cell r="H326">
            <v>2.5961849237239713E-2</v>
          </cell>
          <cell r="M326" t="str">
            <v>Tmar Part</v>
          </cell>
          <cell r="N326">
            <v>44.74850299944729</v>
          </cell>
          <cell r="O326">
            <v>0.55211775811796682</v>
          </cell>
          <cell r="P326">
            <v>3.1684293372209651</v>
          </cell>
          <cell r="Q326">
            <v>1.9546420384646629E-2</v>
          </cell>
          <cell r="R326">
            <v>47.916932336668253</v>
          </cell>
          <cell r="S326">
            <v>0.1970701996290867</v>
          </cell>
        </row>
        <row r="327">
          <cell r="B327" t="str">
            <v>L.F. Tel S.A.</v>
          </cell>
          <cell r="C327">
            <v>318.57177667727638</v>
          </cell>
          <cell r="D327">
            <v>3.9306149557871897E-3</v>
          </cell>
          <cell r="E327">
            <v>5993.9643041521267</v>
          </cell>
          <cell r="F327">
            <v>3.6977484295826243E-2</v>
          </cell>
          <cell r="G327">
            <v>6312.5360808294026</v>
          </cell>
          <cell r="H327">
            <v>2.5961861182479892E-2</v>
          </cell>
          <cell r="M327" t="str">
            <v>AG Tel</v>
          </cell>
          <cell r="N327">
            <v>0.31846383198378131</v>
          </cell>
          <cell r="O327">
            <v>3.9292831082799341E-3</v>
          </cell>
          <cell r="P327">
            <v>5.9940693444020958</v>
          </cell>
          <cell r="Q327">
            <v>3.6978132301719598E-2</v>
          </cell>
          <cell r="R327">
            <v>6.3125331763858767</v>
          </cell>
          <cell r="S327">
            <v>2.5961849237239709E-2</v>
          </cell>
        </row>
        <row r="328">
          <cell r="B328" t="str">
            <v>Outros - Tmar Part</v>
          </cell>
          <cell r="C328">
            <v>4342.6808655690302</v>
          </cell>
          <cell r="D328">
            <v>5.3581037643859943E-2</v>
          </cell>
          <cell r="E328">
            <v>10504.866369383039</v>
          </cell>
          <cell r="F328">
            <v>6.4805779863342322E-2</v>
          </cell>
          <cell r="G328">
            <v>14847.547234952068</v>
          </cell>
          <cell r="H328">
            <v>6.1064199123514858E-2</v>
          </cell>
          <cell r="M328" t="str">
            <v>L.F. Tel</v>
          </cell>
          <cell r="N328">
            <v>0.31857177667727637</v>
          </cell>
          <cell r="O328">
            <v>3.9306149557871897E-3</v>
          </cell>
          <cell r="P328">
            <v>5.9939643041521267</v>
          </cell>
          <cell r="Q328">
            <v>3.6977484295826236E-2</v>
          </cell>
          <cell r="R328">
            <v>6.3125360808294033</v>
          </cell>
          <cell r="S328">
            <v>2.5961861182479892E-2</v>
          </cell>
        </row>
        <row r="329">
          <cell r="B329" t="str">
            <v>Outros - TNL</v>
          </cell>
          <cell r="C329">
            <v>26910.743241119406</v>
          </cell>
          <cell r="D329">
            <v>0.33203120175346629</v>
          </cell>
          <cell r="E329">
            <v>111444.19109640332</v>
          </cell>
          <cell r="F329">
            <v>0.68751257381924569</v>
          </cell>
          <cell r="G329">
            <v>138354.93433752272</v>
          </cell>
          <cell r="H329">
            <v>0.56901878313065257</v>
          </cell>
          <cell r="M329" t="str">
            <v>Outros- TNL</v>
          </cell>
          <cell r="N329">
            <v>31.253424106688435</v>
          </cell>
          <cell r="O329">
            <v>0.38561223939732625</v>
          </cell>
          <cell r="P329">
            <v>121.94905746578635</v>
          </cell>
          <cell r="Q329">
            <v>0.75231835368258781</v>
          </cell>
          <cell r="R329">
            <v>153.2024815724748</v>
          </cell>
          <cell r="S329">
            <v>0.63008298225416737</v>
          </cell>
        </row>
        <row r="330">
          <cell r="B330" t="str">
            <v>Telemar Participações</v>
          </cell>
          <cell r="C330">
            <v>44748.502999447286</v>
          </cell>
          <cell r="D330">
            <v>0.55211775811796682</v>
          </cell>
          <cell r="E330">
            <v>3168.429337220965</v>
          </cell>
          <cell r="F330">
            <v>1.9546420384646629E-2</v>
          </cell>
          <cell r="G330">
            <v>47916.932336668251</v>
          </cell>
          <cell r="H330">
            <v>0.1970701996290867</v>
          </cell>
          <cell r="M330" t="str">
            <v>Outros- TMAR</v>
          </cell>
          <cell r="N330">
            <v>4.4098757648491054</v>
          </cell>
          <cell r="O330">
            <v>5.441010442063985E-2</v>
          </cell>
          <cell r="P330">
            <v>24.992156507730229</v>
          </cell>
          <cell r="Q330">
            <v>0.15417960933521957</v>
          </cell>
          <cell r="R330">
            <v>29.402032272579333</v>
          </cell>
          <cell r="S330">
            <v>0.12092310769702633</v>
          </cell>
        </row>
        <row r="331">
          <cell r="B331" t="str">
            <v>Outros - Atuais TMAR</v>
          </cell>
          <cell r="C331">
            <v>4409.8757648491055</v>
          </cell>
          <cell r="D331">
            <v>5.441010442063985E-2</v>
          </cell>
          <cell r="E331">
            <v>24992.156507730229</v>
          </cell>
          <cell r="F331">
            <v>0.15417960933521957</v>
          </cell>
          <cell r="G331">
            <v>29402.032272579334</v>
          </cell>
          <cell r="H331">
            <v>0.12092310769702634</v>
          </cell>
          <cell r="M331" t="str">
            <v>Total</v>
          </cell>
          <cell r="N331">
            <v>81.04883847964588</v>
          </cell>
          <cell r="O331">
            <v>1</v>
          </cell>
          <cell r="P331">
            <v>162.09767695929179</v>
          </cell>
          <cell r="Q331">
            <v>0.99999999999999989</v>
          </cell>
          <cell r="R331">
            <v>243.14651543893766</v>
          </cell>
          <cell r="S331">
            <v>1</v>
          </cell>
        </row>
        <row r="332">
          <cell r="B332" t="str">
            <v>Outros - BRTO3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3">
          <cell r="B333" t="str">
            <v>Outros - BRTO4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J333" t="str">
            <v>% TMAR3/KT</v>
          </cell>
          <cell r="K333" t="str">
            <v>%TNLP3/KT</v>
          </cell>
          <cell r="M333" t="str">
            <v>% ON / Total</v>
          </cell>
          <cell r="N333">
            <v>0.33333333333333331</v>
          </cell>
        </row>
        <row r="334">
          <cell r="B334" t="str">
            <v>Total ex-tesouraria</v>
          </cell>
          <cell r="C334">
            <v>81048.838479645885</v>
          </cell>
          <cell r="D334">
            <v>1</v>
          </cell>
          <cell r="E334">
            <v>162097.67695929177</v>
          </cell>
          <cell r="F334">
            <v>1</v>
          </cell>
          <cell r="G334">
            <v>243146.51543893764</v>
          </cell>
          <cell r="H334">
            <v>1</v>
          </cell>
          <cell r="J334">
            <v>1.1660541360758343E-2</v>
          </cell>
          <cell r="K334">
            <v>0.28321926364129879</v>
          </cell>
        </row>
        <row r="335">
          <cell r="J335" t="str">
            <v>% TMAR5/KT</v>
          </cell>
          <cell r="K335" t="str">
            <v>%TNLP4/KT</v>
          </cell>
        </row>
        <row r="336">
          <cell r="B336" t="str">
            <v>% ON / Total</v>
          </cell>
          <cell r="C336">
            <v>0.33333333333333337</v>
          </cell>
          <cell r="J336">
            <v>0.1542708814778537</v>
          </cell>
          <cell r="K336">
            <v>0.55084931352008926</v>
          </cell>
        </row>
        <row r="339">
          <cell r="B339" t="str">
            <v>Impacto no fluxo de dividendos</v>
          </cell>
        </row>
        <row r="341">
          <cell r="B341" t="str">
            <v>Fluxo de dividendos atual</v>
          </cell>
        </row>
        <row r="343">
          <cell r="B343" t="str">
            <v>Dividendo total distribuído pela TMAR</v>
          </cell>
          <cell r="D343">
            <v>1000</v>
          </cell>
        </row>
        <row r="345">
          <cell r="B345" t="str">
            <v>Número de ações TMAR</v>
          </cell>
        </row>
        <row r="346">
          <cell r="B346" t="str">
            <v>ON</v>
          </cell>
          <cell r="D346">
            <v>107.06309300000001</v>
          </cell>
        </row>
        <row r="347">
          <cell r="B347" t="str">
            <v>PN</v>
          </cell>
          <cell r="D347">
            <v>131.328262</v>
          </cell>
        </row>
        <row r="349">
          <cell r="B349" t="str">
            <v>Dividendo por ação TMAR</v>
          </cell>
        </row>
        <row r="350">
          <cell r="B350" t="str">
            <v>ON</v>
          </cell>
          <cell r="D350">
            <v>3.9757608800437669</v>
          </cell>
        </row>
        <row r="351">
          <cell r="B351" t="str">
            <v>PN</v>
          </cell>
          <cell r="D351">
            <v>4.373336968048144</v>
          </cell>
        </row>
        <row r="353">
          <cell r="B353" t="str">
            <v>Dividendos totais recebidos pela TNL</v>
          </cell>
          <cell r="D353">
            <v>813.45110567047141</v>
          </cell>
        </row>
        <row r="354">
          <cell r="B354" t="str">
            <v>Dividendo por ação TNL</v>
          </cell>
          <cell r="D354">
            <v>2.1260505681073338</v>
          </cell>
        </row>
        <row r="356">
          <cell r="B356" t="str">
            <v>Dividendos totais TmarPart</v>
          </cell>
        </row>
        <row r="357">
          <cell r="B357" t="str">
            <v>Via TNL</v>
          </cell>
          <cell r="D357">
            <v>145.64336568908107</v>
          </cell>
        </row>
        <row r="358">
          <cell r="B358" t="str">
            <v>Participação direta na TmarPart</v>
          </cell>
          <cell r="D358">
            <v>57.19964391240805</v>
          </cell>
        </row>
        <row r="359">
          <cell r="B359" t="str">
            <v>Dividendos totais para Tmar Part</v>
          </cell>
          <cell r="D359">
            <v>202.84300960148911</v>
          </cell>
        </row>
        <row r="361">
          <cell r="B361" t="str">
            <v>Dividendos totais AG/LF</v>
          </cell>
        </row>
        <row r="362">
          <cell r="B362" t="str">
            <v>Via TmarPart</v>
          </cell>
          <cell r="D362">
            <v>39.199448206858804</v>
          </cell>
        </row>
        <row r="363">
          <cell r="B363" t="str">
            <v>Participação direta na TNL</v>
          </cell>
          <cell r="D363">
            <v>25.518878666463923</v>
          </cell>
        </row>
        <row r="364">
          <cell r="B364" t="str">
            <v>Dividendos totais para AG/LF</v>
          </cell>
          <cell r="D364">
            <v>64.718326873322724</v>
          </cell>
        </row>
        <row r="366">
          <cell r="B366" t="str">
            <v>Fluxo de dividendos pós-incorporação</v>
          </cell>
        </row>
        <row r="368">
          <cell r="B368" t="str">
            <v>Dividendo total distribuído pela TMAR</v>
          </cell>
          <cell r="D368">
            <v>1000</v>
          </cell>
        </row>
        <row r="370">
          <cell r="B370" t="str">
            <v>Caso-base</v>
          </cell>
        </row>
        <row r="372">
          <cell r="B372" t="str">
            <v>Número de ações TMAR</v>
          </cell>
          <cell r="E372" t="str">
            <v>Conversão</v>
          </cell>
          <cell r="F372" t="str">
            <v>Bonificação</v>
          </cell>
        </row>
        <row r="373">
          <cell r="B373" t="str">
            <v>ON</v>
          </cell>
          <cell r="D373">
            <v>81.04883847964588</v>
          </cell>
          <cell r="E373">
            <v>81.04883847964588</v>
          </cell>
          <cell r="F373">
            <v>87.007681931520821</v>
          </cell>
        </row>
        <row r="374">
          <cell r="B374" t="str">
            <v>PN</v>
          </cell>
          <cell r="D374">
            <v>162.09767695929179</v>
          </cell>
          <cell r="E374">
            <v>162.09767695929179</v>
          </cell>
          <cell r="F374">
            <v>174.01568515459056</v>
          </cell>
        </row>
        <row r="376">
          <cell r="B376" t="str">
            <v>Dividendo por ação TMAR</v>
          </cell>
        </row>
        <row r="377">
          <cell r="B377" t="str">
            <v>ON</v>
          </cell>
          <cell r="D377">
            <v>3.8556999194810091</v>
          </cell>
        </row>
        <row r="378">
          <cell r="B378" t="str">
            <v>PN</v>
          </cell>
          <cell r="D378">
            <v>4.2412699114291099</v>
          </cell>
        </row>
        <row r="380">
          <cell r="C380" t="str">
            <v>Variação</v>
          </cell>
          <cell r="D380" t="str">
            <v>Total</v>
          </cell>
          <cell r="F380" t="str">
            <v>Impacto dividendos</v>
          </cell>
          <cell r="G380" t="str">
            <v xml:space="preserve">Antes </v>
          </cell>
          <cell r="H380" t="str">
            <v>Depois</v>
          </cell>
        </row>
        <row r="381">
          <cell r="B381" t="str">
            <v>Dividendos para Tmar Part</v>
          </cell>
          <cell r="C381">
            <v>-8.3158134008755602E-2</v>
          </cell>
          <cell r="D381">
            <v>185.97496342630919</v>
          </cell>
          <cell r="F381" t="str">
            <v>TMAR3</v>
          </cell>
          <cell r="G381">
            <v>11.272156762317689</v>
          </cell>
          <cell r="H381">
            <v>10.931757525710944</v>
          </cell>
          <cell r="I381">
            <v>-3.019823479963335E-2</v>
          </cell>
        </row>
        <row r="382">
          <cell r="F382" t="str">
            <v>TMAR5</v>
          </cell>
          <cell r="G382">
            <v>175.27673756721089</v>
          </cell>
          <cell r="H382">
            <v>155.48682824297941</v>
          </cell>
          <cell r="I382">
            <v>-0.11290665035708414</v>
          </cell>
        </row>
        <row r="383">
          <cell r="C383" t="str">
            <v>Variação</v>
          </cell>
          <cell r="D383" t="str">
            <v>Total</v>
          </cell>
          <cell r="F383" t="str">
            <v>TNLP3</v>
          </cell>
          <cell r="G383">
            <v>271.2646033798988</v>
          </cell>
          <cell r="H383">
            <v>265.51805966371757</v>
          </cell>
          <cell r="I383">
            <v>-2.1184274116786805E-2</v>
          </cell>
        </row>
        <row r="384">
          <cell r="B384" t="str">
            <v>Dividendos para AG/LF</v>
          </cell>
          <cell r="C384">
            <v>-3.2885039023262341E-2</v>
          </cell>
          <cell r="D384">
            <v>62.590062168573255</v>
          </cell>
          <cell r="F384" t="str">
            <v>TNLP4</v>
          </cell>
          <cell r="G384">
            <v>542.18650229057278</v>
          </cell>
          <cell r="H384">
            <v>568.06335456759189</v>
          </cell>
          <cell r="I384">
            <v>4.7726847067747435E-2</v>
          </cell>
        </row>
        <row r="386">
          <cell r="B386" t="str">
            <v>C/ distribuição de TMAR7 para acionistas TNLP4</v>
          </cell>
        </row>
        <row r="388">
          <cell r="B388" t="str">
            <v>Dividendo total distribuído pela TMAR</v>
          </cell>
          <cell r="D388">
            <v>1000</v>
          </cell>
        </row>
        <row r="390">
          <cell r="B390" t="str">
            <v>Número de ações TMAR</v>
          </cell>
        </row>
        <row r="391">
          <cell r="B391" t="str">
            <v>ON</v>
          </cell>
          <cell r="D391">
            <v>81.04883847964588</v>
          </cell>
        </row>
        <row r="392">
          <cell r="B392" t="str">
            <v>TMAR5</v>
          </cell>
          <cell r="D392">
            <v>28.1605858449512</v>
          </cell>
        </row>
        <row r="393">
          <cell r="B393" t="str">
            <v>TMAR7</v>
          </cell>
          <cell r="D393">
            <v>133.93709111434055</v>
          </cell>
        </row>
        <row r="395">
          <cell r="B395" t="str">
            <v>Dividendo por ação TMAR</v>
          </cell>
        </row>
        <row r="396">
          <cell r="B396" t="str">
            <v>ON</v>
          </cell>
          <cell r="D396">
            <v>4.0656591921368106</v>
          </cell>
        </row>
        <row r="397">
          <cell r="B397" t="str">
            <v>TMAR5</v>
          </cell>
          <cell r="D397">
            <v>4.4722251113504923</v>
          </cell>
        </row>
        <row r="398">
          <cell r="B398" t="str">
            <v>TMAR7</v>
          </cell>
          <cell r="D398">
            <v>4.0656591921368106</v>
          </cell>
        </row>
        <row r="400">
          <cell r="C400" t="str">
            <v>Variação</v>
          </cell>
          <cell r="D400" t="str">
            <v>Total</v>
          </cell>
        </row>
        <row r="401">
          <cell r="B401" t="str">
            <v>Dividendos para Tmar Part</v>
          </cell>
          <cell r="C401">
            <v>-3.3232191807885281E-2</v>
          </cell>
          <cell r="D401">
            <v>196.10209179952372</v>
          </cell>
        </row>
        <row r="403">
          <cell r="C403" t="str">
            <v>Variação</v>
          </cell>
          <cell r="D403" t="str">
            <v>Total</v>
          </cell>
        </row>
        <row r="404">
          <cell r="B404" t="str">
            <v>Dividendos para AG/LF</v>
          </cell>
          <cell r="C404">
            <v>-1.7876755622256324E-2</v>
          </cell>
          <cell r="D404">
            <v>63.561373159527029</v>
          </cell>
        </row>
      </sheetData>
      <sheetData sheetId="8">
        <row r="2">
          <cell r="B2" t="str">
            <v>Polo</v>
          </cell>
          <cell r="H2" t="str">
            <v>CSHG</v>
          </cell>
          <cell r="N2" t="str">
            <v>Brandes</v>
          </cell>
          <cell r="T2" t="str">
            <v>Previ (part. Direta)</v>
          </cell>
          <cell r="Z2" t="str">
            <v>Norges Bank</v>
          </cell>
          <cell r="AF2" t="str">
            <v>BNDES</v>
          </cell>
          <cell r="AL2" t="str">
            <v>Eton Park</v>
          </cell>
        </row>
        <row r="4">
          <cell r="B4" t="str">
            <v>Situação atual</v>
          </cell>
          <cell r="H4" t="str">
            <v>Situação atual</v>
          </cell>
          <cell r="N4" t="str">
            <v>Situação atual</v>
          </cell>
          <cell r="T4" t="str">
            <v>Situação atual</v>
          </cell>
          <cell r="Z4" t="str">
            <v>Situação atual</v>
          </cell>
          <cell r="AF4" t="str">
            <v>Situação atual</v>
          </cell>
          <cell r="AL4" t="str">
            <v>Situação atual</v>
          </cell>
        </row>
        <row r="5">
          <cell r="D5" t="str">
            <v># ações (mil)</v>
          </cell>
          <cell r="E5" t="str">
            <v>% classe</v>
          </cell>
          <cell r="F5" t="str">
            <v>% econômico</v>
          </cell>
          <cell r="J5" t="str">
            <v># ações (mil)</v>
          </cell>
          <cell r="K5" t="str">
            <v>% classe</v>
          </cell>
          <cell r="L5" t="str">
            <v>% econômico</v>
          </cell>
          <cell r="P5" t="str">
            <v># ações (mil)</v>
          </cell>
          <cell r="Q5" t="str">
            <v>% classe</v>
          </cell>
          <cell r="R5" t="str">
            <v>% econômico</v>
          </cell>
          <cell r="V5" t="str">
            <v># ações (mil)</v>
          </cell>
          <cell r="W5" t="str">
            <v>% classe</v>
          </cell>
          <cell r="X5" t="str">
            <v>% econômico</v>
          </cell>
          <cell r="AB5" t="str">
            <v># ações (mil)</v>
          </cell>
          <cell r="AC5" t="str">
            <v>% classe</v>
          </cell>
          <cell r="AD5" t="str">
            <v>% econômico</v>
          </cell>
          <cell r="AH5" t="str">
            <v># ações (mil)</v>
          </cell>
          <cell r="AI5" t="str">
            <v>% classe</v>
          </cell>
          <cell r="AJ5" t="str">
            <v>% econômico</v>
          </cell>
          <cell r="AN5" t="str">
            <v># ações (mil)</v>
          </cell>
          <cell r="AO5" t="str">
            <v>% classe</v>
          </cell>
          <cell r="AP5" t="str">
            <v>% econômico</v>
          </cell>
        </row>
        <row r="6">
          <cell r="B6" t="str">
            <v>TMAR3</v>
          </cell>
          <cell r="D6">
            <v>0</v>
          </cell>
          <cell r="E6">
            <v>0</v>
          </cell>
          <cell r="F6">
            <v>0</v>
          </cell>
          <cell r="H6" t="str">
            <v>TMAR3</v>
          </cell>
          <cell r="J6">
            <v>387.26100000000002</v>
          </cell>
          <cell r="K6">
            <v>3.6171288270179154E-3</v>
          </cell>
          <cell r="L6">
            <v>1.6244758540006621E-3</v>
          </cell>
          <cell r="N6" t="str">
            <v>TMAR3</v>
          </cell>
          <cell r="P6">
            <v>0</v>
          </cell>
          <cell r="Q6">
            <v>0</v>
          </cell>
          <cell r="R6">
            <v>0</v>
          </cell>
          <cell r="T6" t="str">
            <v>TMAR3</v>
          </cell>
          <cell r="V6">
            <v>0</v>
          </cell>
          <cell r="W6">
            <v>0</v>
          </cell>
          <cell r="X6">
            <v>0</v>
          </cell>
          <cell r="Z6" t="str">
            <v>TMAR3</v>
          </cell>
          <cell r="AB6">
            <v>0</v>
          </cell>
          <cell r="AC6">
            <v>0</v>
          </cell>
          <cell r="AD6">
            <v>0</v>
          </cell>
          <cell r="AF6" t="str">
            <v>TMAR3</v>
          </cell>
          <cell r="AH6">
            <v>0</v>
          </cell>
          <cell r="AI6">
            <v>0</v>
          </cell>
          <cell r="AJ6">
            <v>0</v>
          </cell>
          <cell r="AL6" t="str">
            <v>TMAR3</v>
          </cell>
          <cell r="AN6">
            <v>45.5</v>
          </cell>
          <cell r="AO6">
            <v>4.2498305181599787E-4</v>
          </cell>
          <cell r="AP6">
            <v>1.9086262586996914E-4</v>
          </cell>
        </row>
        <row r="7">
          <cell r="B7" t="str">
            <v>TMAR5</v>
          </cell>
          <cell r="D7">
            <v>906.66</v>
          </cell>
          <cell r="E7">
            <v>6.9037691216838008E-3</v>
          </cell>
          <cell r="F7">
            <v>3.803241942225631E-3</v>
          </cell>
          <cell r="H7" t="str">
            <v>TMAR5</v>
          </cell>
          <cell r="J7">
            <v>1130.4169999999999</v>
          </cell>
          <cell r="K7">
            <v>8.6075684150910339E-3</v>
          </cell>
          <cell r="L7">
            <v>4.741853998858305E-3</v>
          </cell>
          <cell r="N7" t="str">
            <v>TMAR5</v>
          </cell>
          <cell r="P7">
            <v>0</v>
          </cell>
          <cell r="Q7">
            <v>0</v>
          </cell>
          <cell r="R7">
            <v>0</v>
          </cell>
          <cell r="T7" t="str">
            <v>TMAR5</v>
          </cell>
          <cell r="V7">
            <v>775.48</v>
          </cell>
          <cell r="W7">
            <v>5.9048980637541682E-3</v>
          </cell>
          <cell r="X7">
            <v>3.2529703101020586E-3</v>
          </cell>
          <cell r="Z7" t="str">
            <v>TMAR5</v>
          </cell>
          <cell r="AB7">
            <v>1318.9760000000001</v>
          </cell>
          <cell r="AC7">
            <v>1.0043352283151362E-2</v>
          </cell>
          <cell r="AD7">
            <v>5.5328180839443611E-3</v>
          </cell>
          <cell r="AF7" t="str">
            <v>TMAR5</v>
          </cell>
          <cell r="AH7">
            <v>373.27600000000001</v>
          </cell>
          <cell r="AI7">
            <v>2.842312799357689E-3</v>
          </cell>
          <cell r="AJ7">
            <v>1.5658118139393099E-3</v>
          </cell>
          <cell r="AL7" t="str">
            <v>TMAR5</v>
          </cell>
          <cell r="AN7">
            <v>0</v>
          </cell>
          <cell r="AO7">
            <v>0</v>
          </cell>
          <cell r="AP7">
            <v>0</v>
          </cell>
        </row>
        <row r="8">
          <cell r="B8" t="str">
            <v>TNLP3</v>
          </cell>
          <cell r="D8">
            <v>433.1</v>
          </cell>
          <cell r="E8">
            <v>3.3944439841188611E-3</v>
          </cell>
          <cell r="F8">
            <v>1.1319580176713153E-3</v>
          </cell>
          <cell r="H8" t="str">
            <v>TNLP3</v>
          </cell>
          <cell r="J8">
            <v>200</v>
          </cell>
          <cell r="K8">
            <v>1.5675104983231868E-3</v>
          </cell>
          <cell r="L8">
            <v>5.2272362857137616E-4</v>
          </cell>
          <cell r="N8" t="str">
            <v>TNLP3</v>
          </cell>
          <cell r="P8">
            <v>0</v>
          </cell>
          <cell r="Q8">
            <v>0</v>
          </cell>
          <cell r="R8">
            <v>0</v>
          </cell>
          <cell r="T8" t="str">
            <v>TNLP3</v>
          </cell>
          <cell r="V8">
            <v>6857.0870000000004</v>
          </cell>
          <cell r="W8">
            <v>5.3742779302077236E-2</v>
          </cell>
          <cell r="X8">
            <v>1.7921806990348062E-2</v>
          </cell>
          <cell r="Z8" t="str">
            <v>TNLP3</v>
          </cell>
          <cell r="AB8">
            <v>274.65499999999997</v>
          </cell>
          <cell r="AC8">
            <v>2.1526229795847743E-3</v>
          </cell>
          <cell r="AD8">
            <v>7.1784329102635657E-4</v>
          </cell>
          <cell r="AF8" t="str">
            <v>TNLP3</v>
          </cell>
          <cell r="AH8">
            <v>774.83500000000004</v>
          </cell>
          <cell r="AI8">
            <v>6.0728099848412322E-3</v>
          </cell>
          <cell r="AJ8">
            <v>2.0251228137205114E-3</v>
          </cell>
          <cell r="AL8" t="str">
            <v>TNLP3</v>
          </cell>
          <cell r="AN8">
            <v>3170</v>
          </cell>
          <cell r="AO8">
            <v>2.4845041398422512E-2</v>
          </cell>
          <cell r="AP8">
            <v>8.2851695128563132E-3</v>
          </cell>
        </row>
        <row r="9">
          <cell r="B9" t="str">
            <v>TNLP4</v>
          </cell>
          <cell r="D9">
            <v>76.2</v>
          </cell>
          <cell r="E9">
            <v>2.9879949538647109E-4</v>
          </cell>
          <cell r="F9">
            <v>1.9915770248569433E-4</v>
          </cell>
          <cell r="H9" t="str">
            <v>TNLP4</v>
          </cell>
          <cell r="J9">
            <v>541.49099999999999</v>
          </cell>
          <cell r="K9">
            <v>2.1233233275107038E-3</v>
          </cell>
          <cell r="L9">
            <v>1.4152507017937154E-3</v>
          </cell>
          <cell r="N9" t="str">
            <v>TNLP4</v>
          </cell>
          <cell r="P9">
            <v>15847</v>
          </cell>
          <cell r="Q9">
            <v>6.2140099782013222E-2</v>
          </cell>
          <cell r="R9">
            <v>4.1418006709852996E-2</v>
          </cell>
          <cell r="T9" t="str">
            <v>TNLP4</v>
          </cell>
          <cell r="V9">
            <v>11730.869000000001</v>
          </cell>
          <cell r="W9">
            <v>4.5999707843107571E-2</v>
          </cell>
          <cell r="X9">
            <v>3.066001204987736E-2</v>
          </cell>
          <cell r="Z9" t="str">
            <v>TNLP4</v>
          </cell>
          <cell r="AB9">
            <v>484.75400000000002</v>
          </cell>
          <cell r="AC9">
            <v>1.9008431835508322E-3</v>
          </cell>
          <cell r="AD9">
            <v>1.2669618492224446E-3</v>
          </cell>
          <cell r="AF9" t="str">
            <v>TNLP4</v>
          </cell>
          <cell r="AH9">
            <v>5626.7629999999999</v>
          </cell>
          <cell r="AI9">
            <v>2.2063962533586171E-2</v>
          </cell>
          <cell r="AJ9">
            <v>1.4706209862355813E-2</v>
          </cell>
          <cell r="AL9" t="str">
            <v>TNLP4</v>
          </cell>
          <cell r="AN9">
            <v>0</v>
          </cell>
          <cell r="AO9">
            <v>0</v>
          </cell>
          <cell r="AP9">
            <v>0</v>
          </cell>
        </row>
        <row r="10">
          <cell r="B10" t="str">
            <v>% direto e indireto da TMAR</v>
          </cell>
          <cell r="F10">
            <v>4.8947386012797604E-3</v>
          </cell>
          <cell r="H10" t="str">
            <v>% direto e indireto da TMAR</v>
          </cell>
          <cell r="L10">
            <v>7.9554422605139941E-3</v>
          </cell>
          <cell r="N10" t="str">
            <v>% direto e indireto da TMAR</v>
          </cell>
          <cell r="R10">
            <v>3.3962198225075187E-2</v>
          </cell>
          <cell r="T10" t="str">
            <v>% direto e indireto da TMAR</v>
          </cell>
          <cell r="X10">
            <v>4.3089396527744232E-2</v>
          </cell>
          <cell r="Z10" t="str">
            <v>% direto e indireto da TMAR</v>
          </cell>
          <cell r="AD10">
            <v>7.1603311142911848E-3</v>
          </cell>
          <cell r="AF10" t="str">
            <v>% direto e indireto da TMAR</v>
          </cell>
          <cell r="AJ10">
            <v>1.5285275449532473E-2</v>
          </cell>
          <cell r="AL10" t="str">
            <v>% direto e indireto da TMAR</v>
          </cell>
          <cell r="AP10">
            <v>6.9845881495330187E-3</v>
          </cell>
        </row>
        <row r="12">
          <cell r="D12" t="str">
            <v>Total</v>
          </cell>
          <cell r="E12" t="str">
            <v>TMAR</v>
          </cell>
          <cell r="F12" t="str">
            <v>TNL</v>
          </cell>
          <cell r="J12" t="str">
            <v>Total</v>
          </cell>
          <cell r="K12" t="str">
            <v>TMAR</v>
          </cell>
          <cell r="L12" t="str">
            <v>TNL</v>
          </cell>
          <cell r="P12" t="str">
            <v>Total</v>
          </cell>
          <cell r="Q12" t="str">
            <v>TMAR</v>
          </cell>
          <cell r="R12" t="str">
            <v>TNL</v>
          </cell>
          <cell r="V12" t="str">
            <v>Total</v>
          </cell>
          <cell r="W12" t="str">
            <v>TMAR</v>
          </cell>
          <cell r="X12" t="str">
            <v>TNL</v>
          </cell>
          <cell r="AB12" t="str">
            <v>Total</v>
          </cell>
          <cell r="AC12" t="str">
            <v>TMAR</v>
          </cell>
          <cell r="AD12" t="str">
            <v>TNL</v>
          </cell>
          <cell r="AH12" t="str">
            <v>Total</v>
          </cell>
          <cell r="AI12" t="str">
            <v>TMAR</v>
          </cell>
          <cell r="AJ12" t="str">
            <v>TNL</v>
          </cell>
          <cell r="AN12" t="str">
            <v>Total</v>
          </cell>
          <cell r="AO12" t="str">
            <v>TMAR</v>
          </cell>
          <cell r="AP12" t="str">
            <v>TNL</v>
          </cell>
        </row>
        <row r="13">
          <cell r="B13" t="str">
            <v>Valor da posição</v>
          </cell>
          <cell r="D13">
            <v>64.988626400000001</v>
          </cell>
          <cell r="E13">
            <v>46.049261399999999</v>
          </cell>
          <cell r="F13">
            <v>18.939365000000002</v>
          </cell>
          <cell r="H13" t="str">
            <v>Valor da posição</v>
          </cell>
          <cell r="J13">
            <v>106.16213155999999</v>
          </cell>
          <cell r="K13">
            <v>83.14350026999999</v>
          </cell>
          <cell r="L13">
            <v>23.018631290000002</v>
          </cell>
          <cell r="N13" t="str">
            <v>Valor da posição</v>
          </cell>
          <cell r="P13">
            <v>446.72692999999998</v>
          </cell>
          <cell r="Q13">
            <v>0</v>
          </cell>
          <cell r="R13">
            <v>446.72692999999998</v>
          </cell>
          <cell r="T13" t="str">
            <v>Valor da posição</v>
          </cell>
          <cell r="V13">
            <v>635.9290893000001</v>
          </cell>
          <cell r="W13">
            <v>39.386629200000002</v>
          </cell>
          <cell r="X13">
            <v>596.54246010000008</v>
          </cell>
          <cell r="Z13" t="str">
            <v>Valor da posição</v>
          </cell>
          <cell r="AB13">
            <v>91.304380650000013</v>
          </cell>
          <cell r="AC13">
            <v>66.990791040000005</v>
          </cell>
          <cell r="AD13">
            <v>24.313589610000008</v>
          </cell>
          <cell r="AF13" t="str">
            <v>Valor da posição</v>
          </cell>
          <cell r="AH13">
            <v>207.61748996</v>
          </cell>
          <cell r="AI13">
            <v>18.958688040000002</v>
          </cell>
          <cell r="AJ13">
            <v>188.65880192</v>
          </cell>
          <cell r="AL13" t="str">
            <v>Valor da posição</v>
          </cell>
          <cell r="AN13">
            <v>125.92392000000001</v>
          </cell>
          <cell r="AO13">
            <v>3.0230199999999998</v>
          </cell>
          <cell r="AP13">
            <v>122.90090000000001</v>
          </cell>
        </row>
        <row r="14">
          <cell r="B14" t="str">
            <v>TMAR3</v>
          </cell>
          <cell r="D14">
            <v>0</v>
          </cell>
          <cell r="J14">
            <v>25.729620839999999</v>
          </cell>
          <cell r="P14">
            <v>0</v>
          </cell>
          <cell r="V14">
            <v>0</v>
          </cell>
          <cell r="AB14">
            <v>0</v>
          </cell>
          <cell r="AH14">
            <v>0</v>
          </cell>
          <cell r="AN14">
            <v>3.0230199999999998</v>
          </cell>
        </row>
        <row r="15">
          <cell r="B15" t="str">
            <v>TMAR5</v>
          </cell>
          <cell r="D15">
            <v>46.049261399999999</v>
          </cell>
          <cell r="J15">
            <v>57.413879429999994</v>
          </cell>
          <cell r="P15">
            <v>0</v>
          </cell>
          <cell r="V15">
            <v>39.386629200000002</v>
          </cell>
          <cell r="AB15">
            <v>66.990791040000005</v>
          </cell>
          <cell r="AH15">
            <v>18.958688040000002</v>
          </cell>
          <cell r="AN15">
            <v>0</v>
          </cell>
        </row>
        <row r="16">
          <cell r="B16" t="str">
            <v>TNLP3</v>
          </cell>
          <cell r="D16">
            <v>16.791287000000004</v>
          </cell>
          <cell r="J16">
            <v>7.7540000000000013</v>
          </cell>
          <cell r="P16">
            <v>0</v>
          </cell>
          <cell r="V16">
            <v>265.84926299</v>
          </cell>
          <cell r="AB16">
            <v>10.648374349999999</v>
          </cell>
          <cell r="AH16">
            <v>30.040352950000003</v>
          </cell>
          <cell r="AN16">
            <v>122.90090000000001</v>
          </cell>
        </row>
        <row r="17">
          <cell r="B17" t="str">
            <v>TNLP4</v>
          </cell>
          <cell r="D17">
            <v>2.1480779999999999</v>
          </cell>
          <cell r="J17">
            <v>15.264631290000001</v>
          </cell>
          <cell r="P17">
            <v>446.72692999999998</v>
          </cell>
          <cell r="V17">
            <v>330.69319711000003</v>
          </cell>
          <cell r="AB17">
            <v>13.66521526</v>
          </cell>
          <cell r="AH17">
            <v>158.61844897</v>
          </cell>
          <cell r="AN17">
            <v>0</v>
          </cell>
        </row>
        <row r="19">
          <cell r="B19" t="str">
            <v>Situação pós-transação</v>
          </cell>
          <cell r="H19" t="str">
            <v>Situação pós-transação</v>
          </cell>
          <cell r="N19" t="str">
            <v>Situação pós-transação</v>
          </cell>
          <cell r="T19" t="str">
            <v>Situação pós-transação</v>
          </cell>
          <cell r="Z19" t="str">
            <v>Situação pós-transação</v>
          </cell>
          <cell r="AF19" t="str">
            <v>Situação pós-transação</v>
          </cell>
          <cell r="AL19" t="str">
            <v>Situação pós-transação</v>
          </cell>
        </row>
        <row r="20">
          <cell r="D20" t="str">
            <v># ações (mil)</v>
          </cell>
          <cell r="E20" t="str">
            <v>% classe</v>
          </cell>
          <cell r="F20" t="str">
            <v>% econômico</v>
          </cell>
          <cell r="J20" t="str">
            <v># ações (mil)</v>
          </cell>
          <cell r="K20" t="str">
            <v>% classe</v>
          </cell>
          <cell r="L20" t="str">
            <v>% econômico</v>
          </cell>
          <cell r="P20" t="str">
            <v># ações (mil)</v>
          </cell>
          <cell r="Q20" t="str">
            <v>% classe</v>
          </cell>
          <cell r="R20" t="str">
            <v>% econômico</v>
          </cell>
          <cell r="V20" t="str">
            <v># ações (mil)</v>
          </cell>
          <cell r="W20" t="str">
            <v>% classe</v>
          </cell>
          <cell r="X20" t="str">
            <v>% econômico</v>
          </cell>
          <cell r="AB20" t="str">
            <v># ações (mil)</v>
          </cell>
          <cell r="AC20" t="str">
            <v>% classe</v>
          </cell>
          <cell r="AD20" t="str">
            <v>% econômico</v>
          </cell>
          <cell r="AH20" t="str">
            <v># ações (mil)</v>
          </cell>
          <cell r="AI20" t="str">
            <v>% classe</v>
          </cell>
          <cell r="AJ20" t="str">
            <v>% econômico</v>
          </cell>
          <cell r="AN20" t="str">
            <v># ações (mil)</v>
          </cell>
          <cell r="AO20" t="str">
            <v>% classe</v>
          </cell>
          <cell r="AP20" t="str">
            <v>% econômico</v>
          </cell>
        </row>
        <row r="21">
          <cell r="B21" t="str">
            <v>TMAR3</v>
          </cell>
          <cell r="D21">
            <v>233.75423376353814</v>
          </cell>
          <cell r="E21">
            <v>2.8841157769613412E-3</v>
          </cell>
          <cell r="F21">
            <v>9.6137192565378044E-4</v>
          </cell>
          <cell r="H21" t="str">
            <v>TMAR3</v>
          </cell>
          <cell r="J21">
            <v>495.20569349505342</v>
          </cell>
          <cell r="K21">
            <v>6.1099665681133286E-3</v>
          </cell>
          <cell r="L21">
            <v>2.0366555227044427E-3</v>
          </cell>
          <cell r="N21" t="str">
            <v>TMAR3</v>
          </cell>
          <cell r="P21">
            <v>0</v>
          </cell>
          <cell r="Q21">
            <v>0</v>
          </cell>
          <cell r="R21">
            <v>0</v>
          </cell>
          <cell r="T21" t="str">
            <v>TMAR3</v>
          </cell>
          <cell r="V21">
            <v>3700.9307724195764</v>
          </cell>
          <cell r="W21">
            <v>4.5662971139913446E-2</v>
          </cell>
          <cell r="X21">
            <v>1.522099037997115E-2</v>
          </cell>
          <cell r="Z21" t="str">
            <v>TMAR3</v>
          </cell>
          <cell r="AB21">
            <v>148.23774895941943</v>
          </cell>
          <cell r="AC21">
            <v>1.8289928855260149E-3</v>
          </cell>
          <cell r="AD21">
            <v>6.0966429517533838E-4</v>
          </cell>
          <cell r="AF21" t="str">
            <v>TMAR3</v>
          </cell>
          <cell r="AH21">
            <v>418.19663292119856</v>
          </cell>
          <cell r="AI21">
            <v>5.1598103164207827E-3</v>
          </cell>
          <cell r="AJ21">
            <v>1.7199367721402611E-3</v>
          </cell>
          <cell r="AL21" t="str">
            <v>TMAR3</v>
          </cell>
          <cell r="AN21">
            <v>1756.4233918965965</v>
          </cell>
          <cell r="AO21">
            <v>2.1671172898272861E-2</v>
          </cell>
          <cell r="AP21">
            <v>7.2237242994242874E-3</v>
          </cell>
        </row>
        <row r="22">
          <cell r="B22" t="str">
            <v>TMAR5</v>
          </cell>
          <cell r="D22">
            <v>946.6803352384967</v>
          </cell>
          <cell r="E22">
            <v>5.840184467765323E-3</v>
          </cell>
          <cell r="F22">
            <v>3.8934563118435488E-3</v>
          </cell>
          <cell r="H22" t="str">
            <v>TMAR5</v>
          </cell>
          <cell r="J22">
            <v>1414.8087499820058</v>
          </cell>
          <cell r="K22">
            <v>8.7281247734186367E-3</v>
          </cell>
          <cell r="L22">
            <v>5.8187498489457581E-3</v>
          </cell>
          <cell r="N22" t="str">
            <v>TMAR5</v>
          </cell>
          <cell r="P22">
            <v>8322.8642063577208</v>
          </cell>
          <cell r="Q22">
            <v>5.1344746960487748E-2</v>
          </cell>
          <cell r="R22">
            <v>3.4229831306991837E-2</v>
          </cell>
          <cell r="T22" t="str">
            <v>TMAR5</v>
          </cell>
          <cell r="V22">
            <v>6936.5470606153467</v>
          </cell>
          <cell r="W22">
            <v>4.279239030894532E-2</v>
          </cell>
          <cell r="X22">
            <v>2.8528260205963551E-2</v>
          </cell>
          <cell r="Z22" t="str">
            <v>TMAR5</v>
          </cell>
          <cell r="AB22">
            <v>1573.5694066693211</v>
          </cell>
          <cell r="AC22">
            <v>9.7075382953482909E-3</v>
          </cell>
          <cell r="AD22">
            <v>6.4716921968988603E-3</v>
          </cell>
          <cell r="AF22" t="str">
            <v>TMAR5</v>
          </cell>
          <cell r="AH22">
            <v>3328.4589602043275</v>
          </cell>
          <cell r="AI22">
            <v>2.0533662311769073E-2</v>
          </cell>
          <cell r="AJ22">
            <v>1.368910820784605E-2</v>
          </cell>
          <cell r="AL22" t="str">
            <v>TMAR5</v>
          </cell>
          <cell r="AN22">
            <v>0</v>
          </cell>
          <cell r="AO22">
            <v>0</v>
          </cell>
          <cell r="AP22">
            <v>0</v>
          </cell>
        </row>
        <row r="23">
          <cell r="B23" t="str">
            <v>Total</v>
          </cell>
          <cell r="F23">
            <v>4.8548282374973294E-3</v>
          </cell>
          <cell r="H23" t="str">
            <v>Total</v>
          </cell>
          <cell r="L23">
            <v>7.8554053716502013E-3</v>
          </cell>
          <cell r="N23" t="str">
            <v>Total</v>
          </cell>
          <cell r="R23">
            <v>3.4229831306991837E-2</v>
          </cell>
          <cell r="T23" t="str">
            <v>Total</v>
          </cell>
          <cell r="X23">
            <v>4.37492505859347E-2</v>
          </cell>
          <cell r="Z23" t="str">
            <v>Total</v>
          </cell>
          <cell r="AD23">
            <v>7.0813564920741987E-3</v>
          </cell>
          <cell r="AF23" t="str">
            <v>Total</v>
          </cell>
          <cell r="AJ23">
            <v>1.5409044979986311E-2</v>
          </cell>
          <cell r="AL23" t="str">
            <v>Total</v>
          </cell>
          <cell r="AP23">
            <v>7.2237242994242874E-3</v>
          </cell>
        </row>
        <row r="24">
          <cell r="B24" t="str">
            <v>% diluição</v>
          </cell>
          <cell r="F24">
            <v>-8.153727304660574E-3</v>
          </cell>
          <cell r="H24" t="str">
            <v>% diluição</v>
          </cell>
          <cell r="L24">
            <v>-1.257464834611588E-2</v>
          </cell>
          <cell r="N24" t="str">
            <v>% diluição</v>
          </cell>
          <cell r="R24">
            <v>7.8803227088830585E-3</v>
          </cell>
          <cell r="T24" t="str">
            <v>% diluição</v>
          </cell>
          <cell r="X24">
            <v>1.5313606394222745E-2</v>
          </cell>
          <cell r="Z24" t="str">
            <v>% diluição</v>
          </cell>
          <cell r="AD24">
            <v>-1.1029465112215586E-2</v>
          </cell>
          <cell r="AF24" t="str">
            <v>% diluição</v>
          </cell>
          <cell r="AJ24">
            <v>8.0973045505452479E-3</v>
          </cell>
          <cell r="AL24" t="str">
            <v>% diluição</v>
          </cell>
          <cell r="AP24">
            <v>3.4237688002728861E-2</v>
          </cell>
        </row>
        <row r="26">
          <cell r="B26" t="str">
            <v>Impacto no fluxo de dividendos</v>
          </cell>
          <cell r="H26" t="str">
            <v>Impacto no fluxo de dividendos</v>
          </cell>
          <cell r="N26" t="str">
            <v>Impacto no fluxo de dividendos</v>
          </cell>
          <cell r="T26" t="str">
            <v>Impacto no fluxo de dividendos</v>
          </cell>
          <cell r="Z26" t="str">
            <v>Impacto no fluxo de dividendos</v>
          </cell>
          <cell r="AF26" t="str">
            <v>Impacto no fluxo de dividendos</v>
          </cell>
          <cell r="AL26" t="str">
            <v>Impacto no fluxo de dividendos</v>
          </cell>
        </row>
        <row r="28">
          <cell r="B28" t="str">
            <v>Fluxo de dividendos atual</v>
          </cell>
          <cell r="H28" t="str">
            <v>Fluxo de dividendos atual</v>
          </cell>
          <cell r="N28" t="str">
            <v>Fluxo de dividendos atual</v>
          </cell>
          <cell r="T28" t="str">
            <v>Fluxo de dividendos atual</v>
          </cell>
          <cell r="Z28" t="str">
            <v>Fluxo de dividendos atual</v>
          </cell>
          <cell r="AF28" t="str">
            <v>Fluxo de dividendos atual</v>
          </cell>
          <cell r="AL28" t="str">
            <v>Fluxo de dividendos atual</v>
          </cell>
        </row>
        <row r="30">
          <cell r="B30" t="str">
            <v>Dividendo total distribuído pela TMAR</v>
          </cell>
          <cell r="F30">
            <v>1000</v>
          </cell>
          <cell r="H30" t="str">
            <v>Dividendo total distribuído pela TMAR</v>
          </cell>
          <cell r="L30">
            <v>1000</v>
          </cell>
          <cell r="N30" t="str">
            <v>Dividendo total distribuído pela TMAR</v>
          </cell>
          <cell r="R30">
            <v>1000</v>
          </cell>
          <cell r="T30" t="str">
            <v>Dividendo total distribuído pela TMAR</v>
          </cell>
          <cell r="X30">
            <v>1000</v>
          </cell>
          <cell r="Z30" t="str">
            <v>Dividendo total distribuído pela TMAR</v>
          </cell>
          <cell r="AD30">
            <v>1000</v>
          </cell>
          <cell r="AF30" t="str">
            <v>Dividendo total distribuído pela TMAR</v>
          </cell>
          <cell r="AJ30">
            <v>1000</v>
          </cell>
          <cell r="AL30" t="str">
            <v>Dividendo total distribuído pela TMAR</v>
          </cell>
          <cell r="AP30">
            <v>1000</v>
          </cell>
        </row>
        <row r="32">
          <cell r="B32" t="str">
            <v>Número de ações TMAR</v>
          </cell>
          <cell r="H32" t="str">
            <v>Número de ações TMAR</v>
          </cell>
          <cell r="N32" t="str">
            <v>Número de ações TMAR</v>
          </cell>
          <cell r="T32" t="str">
            <v>Número de ações TMAR</v>
          </cell>
          <cell r="Z32" t="str">
            <v>Número de ações TMAR</v>
          </cell>
          <cell r="AF32" t="str">
            <v>Número de ações TMAR</v>
          </cell>
          <cell r="AL32" t="str">
            <v>Número de ações TMAR</v>
          </cell>
        </row>
        <row r="33">
          <cell r="B33" t="str">
            <v>ON</v>
          </cell>
          <cell r="F33">
            <v>107.06309300000001</v>
          </cell>
          <cell r="H33" t="str">
            <v>ON</v>
          </cell>
          <cell r="L33">
            <v>107.06309300000001</v>
          </cell>
          <cell r="N33" t="str">
            <v>ON</v>
          </cell>
          <cell r="R33">
            <v>107.06309300000001</v>
          </cell>
          <cell r="T33" t="str">
            <v>ON</v>
          </cell>
          <cell r="X33">
            <v>107.06309300000001</v>
          </cell>
          <cell r="Z33" t="str">
            <v>ON</v>
          </cell>
          <cell r="AD33">
            <v>107.06309300000001</v>
          </cell>
          <cell r="AF33" t="str">
            <v>ON</v>
          </cell>
          <cell r="AJ33">
            <v>107.06309300000001</v>
          </cell>
          <cell r="AL33" t="str">
            <v>ON</v>
          </cell>
          <cell r="AP33">
            <v>107.06309300000001</v>
          </cell>
        </row>
        <row r="34">
          <cell r="B34" t="str">
            <v>PN</v>
          </cell>
          <cell r="F34">
            <v>131.328262</v>
          </cell>
          <cell r="H34" t="str">
            <v>PN</v>
          </cell>
          <cell r="L34">
            <v>131.328262</v>
          </cell>
          <cell r="N34" t="str">
            <v>PN</v>
          </cell>
          <cell r="R34">
            <v>131.328262</v>
          </cell>
          <cell r="T34" t="str">
            <v>PN</v>
          </cell>
          <cell r="X34">
            <v>131.328262</v>
          </cell>
          <cell r="Z34" t="str">
            <v>PN</v>
          </cell>
          <cell r="AD34">
            <v>131.328262</v>
          </cell>
          <cell r="AF34" t="str">
            <v>PN</v>
          </cell>
          <cell r="AJ34">
            <v>131.328262</v>
          </cell>
          <cell r="AL34" t="str">
            <v>PN</v>
          </cell>
          <cell r="AP34">
            <v>131.328262</v>
          </cell>
        </row>
        <row r="36">
          <cell r="B36" t="str">
            <v>Dividendo por ação TMAR</v>
          </cell>
          <cell r="H36" t="str">
            <v>Dividendo por ação TMAR</v>
          </cell>
          <cell r="N36" t="str">
            <v>Dividendo por ação TMAR</v>
          </cell>
          <cell r="T36" t="str">
            <v>Dividendo por ação TMAR</v>
          </cell>
          <cell r="Z36" t="str">
            <v>Dividendo por ação TMAR</v>
          </cell>
          <cell r="AF36" t="str">
            <v>Dividendo por ação TMAR</v>
          </cell>
          <cell r="AL36" t="str">
            <v>Dividendo por ação TMAR</v>
          </cell>
        </row>
        <row r="37">
          <cell r="B37" t="str">
            <v>ON</v>
          </cell>
          <cell r="F37">
            <v>3.9757608800437669</v>
          </cell>
          <cell r="H37" t="str">
            <v>ON</v>
          </cell>
          <cell r="L37">
            <v>3.9757608800437669</v>
          </cell>
          <cell r="N37" t="str">
            <v>ON</v>
          </cell>
          <cell r="R37">
            <v>3.9757608800437669</v>
          </cell>
          <cell r="T37" t="str">
            <v>ON</v>
          </cell>
          <cell r="X37">
            <v>3.9757608800437669</v>
          </cell>
          <cell r="Z37" t="str">
            <v>ON</v>
          </cell>
          <cell r="AD37">
            <v>3.9757608800437669</v>
          </cell>
          <cell r="AF37" t="str">
            <v>ON</v>
          </cell>
          <cell r="AJ37">
            <v>3.9757608800437669</v>
          </cell>
          <cell r="AL37" t="str">
            <v>ON</v>
          </cell>
          <cell r="AP37">
            <v>3.9757608800437669</v>
          </cell>
        </row>
        <row r="38">
          <cell r="B38" t="str">
            <v>PN</v>
          </cell>
          <cell r="F38">
            <v>4.373336968048144</v>
          </cell>
          <cell r="H38" t="str">
            <v>PN</v>
          </cell>
          <cell r="L38">
            <v>4.373336968048144</v>
          </cell>
          <cell r="N38" t="str">
            <v>PN</v>
          </cell>
          <cell r="R38">
            <v>4.373336968048144</v>
          </cell>
          <cell r="T38" t="str">
            <v>PN</v>
          </cell>
          <cell r="X38">
            <v>4.373336968048144</v>
          </cell>
          <cell r="Z38" t="str">
            <v>PN</v>
          </cell>
          <cell r="AD38">
            <v>4.373336968048144</v>
          </cell>
          <cell r="AF38" t="str">
            <v>PN</v>
          </cell>
          <cell r="AJ38">
            <v>4.373336968048144</v>
          </cell>
          <cell r="AL38" t="str">
            <v>PN</v>
          </cell>
          <cell r="AP38">
            <v>4.373336968048144</v>
          </cell>
        </row>
        <row r="40">
          <cell r="B40" t="str">
            <v>Dividendos totais recebidos pela TNL</v>
          </cell>
          <cell r="F40">
            <v>813.45110567047141</v>
          </cell>
          <cell r="H40" t="str">
            <v>Dividendos totais recebidos pela TNL</v>
          </cell>
          <cell r="L40">
            <v>813.45110567047141</v>
          </cell>
          <cell r="N40" t="str">
            <v>Dividendos totais recebidos pela TNL</v>
          </cell>
          <cell r="R40">
            <v>813.45110567047141</v>
          </cell>
          <cell r="T40" t="str">
            <v>Dividendos totais recebidos pela TNL</v>
          </cell>
          <cell r="X40">
            <v>813.45110567047141</v>
          </cell>
          <cell r="Z40" t="str">
            <v>Dividendos totais recebidos pela TNL</v>
          </cell>
          <cell r="AD40">
            <v>813.45110567047141</v>
          </cell>
          <cell r="AF40" t="str">
            <v>Dividendos totais recebidos pela TNL</v>
          </cell>
          <cell r="AJ40">
            <v>813.45110567047141</v>
          </cell>
          <cell r="AL40" t="str">
            <v>Dividendos totais recebidos pela TNL</v>
          </cell>
          <cell r="AP40">
            <v>813.45110567047141</v>
          </cell>
        </row>
        <row r="41">
          <cell r="B41" t="str">
            <v>Dividendo por ação TNL</v>
          </cell>
          <cell r="F41">
            <v>2.1260505681073338</v>
          </cell>
          <cell r="H41" t="str">
            <v>Dividendo por ação TNL</v>
          </cell>
          <cell r="L41">
            <v>2.1260505681073338</v>
          </cell>
          <cell r="N41" t="str">
            <v>Dividendo por ação TNL</v>
          </cell>
          <cell r="R41">
            <v>2.1260505681073338</v>
          </cell>
          <cell r="T41" t="str">
            <v>Dividendo por ação TNL</v>
          </cell>
          <cell r="X41">
            <v>2.1260505681073338</v>
          </cell>
          <cell r="Z41" t="str">
            <v>Dividendo por ação TNL</v>
          </cell>
          <cell r="AD41">
            <v>2.1260505681073338</v>
          </cell>
          <cell r="AF41" t="str">
            <v>Dividendo por ação TNL</v>
          </cell>
          <cell r="AJ41">
            <v>2.1260505681073338</v>
          </cell>
          <cell r="AL41" t="str">
            <v>Dividendo por ação TNL</v>
          </cell>
          <cell r="AP41">
            <v>2.1260505681073338</v>
          </cell>
        </row>
        <row r="43">
          <cell r="B43" t="str">
            <v>Dividendos totais Polo</v>
          </cell>
          <cell r="H43" t="str">
            <v>Dividendos totais Polo</v>
          </cell>
          <cell r="N43" t="str">
            <v>Dividendos totais Polo</v>
          </cell>
          <cell r="T43" t="str">
            <v>Dividendos totais Polo</v>
          </cell>
          <cell r="Z43" t="str">
            <v>Dividendos totais Polo</v>
          </cell>
          <cell r="AF43" t="str">
            <v>Dividendos totais Polo</v>
          </cell>
          <cell r="AL43" t="str">
            <v>Dividendos totais Polo</v>
          </cell>
        </row>
        <row r="44">
          <cell r="B44" t="str">
            <v>Via TNL</v>
          </cell>
          <cell r="F44">
            <v>1.0827975543370651</v>
          </cell>
          <cell r="H44" t="str">
            <v>Via TNL</v>
          </cell>
          <cell r="L44">
            <v>1.5764473617964749</v>
          </cell>
          <cell r="N44" t="str">
            <v>Via TNL</v>
          </cell>
          <cell r="R44">
            <v>33.691523352796921</v>
          </cell>
          <cell r="T44" t="str">
            <v>Via TNL</v>
          </cell>
          <cell r="X44">
            <v>39.518934413754124</v>
          </cell>
          <cell r="Z44" t="str">
            <v>Via TNL</v>
          </cell>
          <cell r="AD44">
            <v>1.6145419358758222</v>
          </cell>
          <cell r="AF44" t="str">
            <v>Via TNL</v>
          </cell>
          <cell r="AJ44">
            <v>13.610121064694772</v>
          </cell>
          <cell r="AL44" t="str">
            <v>Via TNL</v>
          </cell>
          <cell r="AP44">
            <v>6.7395803009002488</v>
          </cell>
        </row>
        <row r="45">
          <cell r="B45" t="str">
            <v>Participação direta na TMAR</v>
          </cell>
          <cell r="F45">
            <v>3.9651296954505302</v>
          </cell>
          <cell r="H45" t="str">
            <v>Participação direta na TMAR</v>
          </cell>
          <cell r="L45">
            <v>6.4833515895767073</v>
          </cell>
          <cell r="N45" t="str">
            <v>Participação direta na TMAR</v>
          </cell>
          <cell r="R45">
            <v>0</v>
          </cell>
          <cell r="T45" t="str">
            <v>Participação direta na TMAR</v>
          </cell>
          <cell r="X45">
            <v>3.3914353519819747</v>
          </cell>
          <cell r="Z45" t="str">
            <v>Participação direta na TMAR</v>
          </cell>
          <cell r="AD45">
            <v>5.7683265007682696</v>
          </cell>
          <cell r="AF45" t="str">
            <v>Participação direta na TMAR</v>
          </cell>
          <cell r="AJ45">
            <v>1.632461730085139</v>
          </cell>
          <cell r="AL45" t="str">
            <v>Participação direta na TMAR</v>
          </cell>
          <cell r="AP45">
            <v>0.1808971200419914</v>
          </cell>
        </row>
        <row r="46">
          <cell r="B46" t="str">
            <v>Dividendos totais Polo</v>
          </cell>
          <cell r="F46">
            <v>5.0479272497875955</v>
          </cell>
          <cell r="H46" t="str">
            <v>Dividendos totais Polo</v>
          </cell>
          <cell r="L46">
            <v>8.0597989513731818</v>
          </cell>
          <cell r="N46" t="str">
            <v>Dividendos totais Polo</v>
          </cell>
          <cell r="R46">
            <v>33.691523352796921</v>
          </cell>
          <cell r="T46" t="str">
            <v>Dividendos totais Polo</v>
          </cell>
          <cell r="X46">
            <v>42.9103697657361</v>
          </cell>
          <cell r="Z46" t="str">
            <v>Dividendos totais Polo</v>
          </cell>
          <cell r="AD46">
            <v>7.3828684366440918</v>
          </cell>
          <cell r="AF46" t="str">
            <v>Dividendos totais Polo</v>
          </cell>
          <cell r="AJ46">
            <v>15.24258279477991</v>
          </cell>
          <cell r="AL46" t="str">
            <v>Dividendos totais Polo</v>
          </cell>
          <cell r="AP46">
            <v>6.9204774209422402</v>
          </cell>
        </row>
        <row r="48">
          <cell r="B48" t="str">
            <v>Fluxo de dividendos pós-incorporação</v>
          </cell>
          <cell r="H48" t="str">
            <v>Fluxo de dividendos pós-incorporação</v>
          </cell>
          <cell r="N48" t="str">
            <v>Fluxo de dividendos pós-incorporação</v>
          </cell>
          <cell r="T48" t="str">
            <v>Fluxo de dividendos pós-incorporação</v>
          </cell>
          <cell r="Z48" t="str">
            <v>Fluxo de dividendos pós-incorporação</v>
          </cell>
          <cell r="AF48" t="str">
            <v>Fluxo de dividendos pós-incorporação</v>
          </cell>
          <cell r="AL48" t="str">
            <v>Fluxo de dividendos pós-incorporação</v>
          </cell>
        </row>
        <row r="50">
          <cell r="B50" t="str">
            <v>Dividendo total distribuído pela TMAR</v>
          </cell>
          <cell r="F50">
            <v>1000</v>
          </cell>
          <cell r="H50" t="str">
            <v>Dividendo total distribuído pela TMAR</v>
          </cell>
          <cell r="L50">
            <v>1000</v>
          </cell>
          <cell r="N50" t="str">
            <v>Dividendo total distribuído pela TMAR</v>
          </cell>
          <cell r="R50">
            <v>1000</v>
          </cell>
          <cell r="T50" t="str">
            <v>Dividendo total distribuído pela TMAR</v>
          </cell>
          <cell r="X50">
            <v>1000</v>
          </cell>
          <cell r="Z50" t="str">
            <v>Dividendo total distribuído pela TMAR</v>
          </cell>
          <cell r="AD50">
            <v>1000</v>
          </cell>
          <cell r="AF50" t="str">
            <v>Dividendo total distribuído pela TMAR</v>
          </cell>
          <cell r="AJ50">
            <v>1000</v>
          </cell>
          <cell r="AL50" t="str">
            <v>Dividendo total distribuído pela TMAR</v>
          </cell>
          <cell r="AP50">
            <v>1000</v>
          </cell>
        </row>
        <row r="52">
          <cell r="B52" t="str">
            <v>Número de ações TMAR</v>
          </cell>
          <cell r="H52" t="str">
            <v>Número de ações TMAR</v>
          </cell>
          <cell r="N52" t="str">
            <v>Número de ações TMAR</v>
          </cell>
          <cell r="T52" t="str">
            <v>Número de ações TMAR</v>
          </cell>
          <cell r="Z52" t="str">
            <v>Número de ações TMAR</v>
          </cell>
          <cell r="AF52" t="str">
            <v>Número de ações TMAR</v>
          </cell>
          <cell r="AL52" t="str">
            <v>Número de ações TMAR</v>
          </cell>
        </row>
        <row r="53">
          <cell r="B53" t="str">
            <v>ON</v>
          </cell>
          <cell r="F53">
            <v>81.04883847964588</v>
          </cell>
          <cell r="H53" t="str">
            <v>ON</v>
          </cell>
          <cell r="L53">
            <v>81.04883847964588</v>
          </cell>
          <cell r="N53" t="str">
            <v>ON</v>
          </cell>
          <cell r="R53">
            <v>81.04883847964588</v>
          </cell>
          <cell r="T53" t="str">
            <v>ON</v>
          </cell>
          <cell r="X53">
            <v>81.04883847964588</v>
          </cell>
          <cell r="Z53" t="str">
            <v>ON</v>
          </cell>
          <cell r="AD53">
            <v>81.04883847964588</v>
          </cell>
          <cell r="AF53" t="str">
            <v>ON</v>
          </cell>
          <cell r="AJ53">
            <v>81.04883847964588</v>
          </cell>
          <cell r="AL53" t="str">
            <v>ON</v>
          </cell>
          <cell r="AP53">
            <v>81.04883847964588</v>
          </cell>
        </row>
        <row r="54">
          <cell r="B54" t="str">
            <v>PN</v>
          </cell>
          <cell r="F54">
            <v>162.09767695929179</v>
          </cell>
          <cell r="H54" t="str">
            <v>PN</v>
          </cell>
          <cell r="L54">
            <v>162.09767695929179</v>
          </cell>
          <cell r="N54" t="str">
            <v>PN</v>
          </cell>
          <cell r="R54">
            <v>162.09767695929179</v>
          </cell>
          <cell r="T54" t="str">
            <v>PN</v>
          </cell>
          <cell r="X54">
            <v>162.09767695929179</v>
          </cell>
          <cell r="Z54" t="str">
            <v>PN</v>
          </cell>
          <cell r="AD54">
            <v>162.09767695929179</v>
          </cell>
          <cell r="AF54" t="str">
            <v>PN</v>
          </cell>
          <cell r="AJ54">
            <v>162.09767695929179</v>
          </cell>
          <cell r="AL54" t="str">
            <v>PN</v>
          </cell>
          <cell r="AP54">
            <v>162.09767695929179</v>
          </cell>
        </row>
        <row r="56">
          <cell r="B56" t="str">
            <v>Dividendo por ação TMAR</v>
          </cell>
          <cell r="H56" t="str">
            <v>Dividendo por ação TMAR</v>
          </cell>
          <cell r="N56" t="str">
            <v>Dividendo por ação TMAR</v>
          </cell>
          <cell r="T56" t="str">
            <v>Dividendo por ação TMAR</v>
          </cell>
          <cell r="Z56" t="str">
            <v>Dividendo por ação TMAR</v>
          </cell>
          <cell r="AF56" t="str">
            <v>Dividendo por ação TMAR</v>
          </cell>
          <cell r="AL56" t="str">
            <v>Dividendo por ação TMAR</v>
          </cell>
        </row>
        <row r="57">
          <cell r="B57" t="str">
            <v>ON</v>
          </cell>
          <cell r="F57">
            <v>3.8556999194810091</v>
          </cell>
          <cell r="H57" t="str">
            <v>ON</v>
          </cell>
          <cell r="L57">
            <v>3.8556999194810091</v>
          </cell>
          <cell r="N57" t="str">
            <v>ON</v>
          </cell>
          <cell r="R57">
            <v>3.8556999194810091</v>
          </cell>
          <cell r="T57" t="str">
            <v>ON</v>
          </cell>
          <cell r="X57">
            <v>3.8556999194810091</v>
          </cell>
          <cell r="Z57" t="str">
            <v>ON</v>
          </cell>
          <cell r="AD57">
            <v>3.8556999194810091</v>
          </cell>
          <cell r="AF57" t="str">
            <v>ON</v>
          </cell>
          <cell r="AJ57">
            <v>3.8556999194810091</v>
          </cell>
          <cell r="AL57" t="str">
            <v>ON</v>
          </cell>
          <cell r="AP57">
            <v>3.8556999194810091</v>
          </cell>
        </row>
        <row r="58">
          <cell r="B58" t="str">
            <v>PN</v>
          </cell>
          <cell r="F58">
            <v>4.2412699114291099</v>
          </cell>
          <cell r="H58" t="str">
            <v>PN</v>
          </cell>
          <cell r="L58">
            <v>4.2412699114291099</v>
          </cell>
          <cell r="N58" t="str">
            <v>PN</v>
          </cell>
          <cell r="R58">
            <v>4.2412699114291099</v>
          </cell>
          <cell r="T58" t="str">
            <v>PN</v>
          </cell>
          <cell r="X58">
            <v>4.2412699114291099</v>
          </cell>
          <cell r="Z58" t="str">
            <v>PN</v>
          </cell>
          <cell r="AD58">
            <v>4.2412699114291099</v>
          </cell>
          <cell r="AF58" t="str">
            <v>PN</v>
          </cell>
          <cell r="AJ58">
            <v>4.2412699114291099</v>
          </cell>
          <cell r="AL58" t="str">
            <v>PN</v>
          </cell>
          <cell r="AP58">
            <v>4.2412699114291099</v>
          </cell>
        </row>
        <row r="60">
          <cell r="E60" t="str">
            <v>Variação</v>
          </cell>
          <cell r="F60" t="str">
            <v>Total</v>
          </cell>
          <cell r="K60" t="str">
            <v>Variação</v>
          </cell>
          <cell r="L60" t="str">
            <v>Total</v>
          </cell>
          <cell r="Q60" t="str">
            <v>Variação</v>
          </cell>
          <cell r="R60" t="str">
            <v>Total</v>
          </cell>
          <cell r="W60" t="str">
            <v>Variação</v>
          </cell>
          <cell r="X60" t="str">
            <v>Total</v>
          </cell>
          <cell r="AC60" t="str">
            <v>Variação</v>
          </cell>
          <cell r="AD60" t="str">
            <v>Total</v>
          </cell>
          <cell r="AI60" t="str">
            <v>Variação</v>
          </cell>
          <cell r="AJ60" t="str">
            <v>Total</v>
          </cell>
          <cell r="AO60" t="str">
            <v>Variação</v>
          </cell>
          <cell r="AP60" t="str">
            <v>Total</v>
          </cell>
        </row>
        <row r="61">
          <cell r="B61" t="str">
            <v>Dividendos para Polo</v>
          </cell>
          <cell r="E61">
            <v>-2.605311871403293E-2</v>
          </cell>
          <cell r="F61">
            <v>4.9164130018890777</v>
          </cell>
          <cell r="H61" t="str">
            <v>Dividendos para Polo</v>
          </cell>
          <cell r="K61">
            <v>-1.8592103601656751E-2</v>
          </cell>
          <cell r="L61">
            <v>7.9099503342607269</v>
          </cell>
          <cell r="N61" t="str">
            <v>Dividendos para Polo</v>
          </cell>
          <cell r="Q61">
            <v>4.772684706774788E-2</v>
          </cell>
          <cell r="R61">
            <v>35.299513535335315</v>
          </cell>
          <cell r="T61" t="str">
            <v>Dividendos para Polo</v>
          </cell>
          <cell r="W61">
            <v>1.8155915624592067E-2</v>
          </cell>
          <cell r="X61">
            <v>43.689446818622848</v>
          </cell>
          <cell r="Z61" t="str">
            <v>Dividendos para Polo</v>
          </cell>
          <cell r="AC61">
            <v>-1.8607345240423734E-2</v>
          </cell>
          <cell r="AD61">
            <v>7.2454928547788278</v>
          </cell>
          <cell r="AF61" t="str">
            <v>Dividendos para Polo</v>
          </cell>
          <cell r="AI61">
            <v>3.1933614860174098E-2</v>
          </cell>
          <cell r="AJ61">
            <v>15.729333563222729</v>
          </cell>
          <cell r="AL61" t="str">
            <v>Dividendos para Polo</v>
          </cell>
          <cell r="AO61">
            <v>-2.141989363094976E-2</v>
          </cell>
          <cell r="AP61">
            <v>6.7722415307102679</v>
          </cell>
        </row>
        <row r="63">
          <cell r="AX63" t="str">
            <v>% direto e</v>
          </cell>
          <cell r="AZ63" t="str">
            <v>Ganho/diluição²</v>
          </cell>
        </row>
        <row r="64">
          <cell r="F64" t="str">
            <v>TMAR</v>
          </cell>
          <cell r="G64" t="str">
            <v>TNL</v>
          </cell>
          <cell r="AS64" t="str">
            <v>Valor (R$MM)1</v>
          </cell>
          <cell r="AT64" t="str">
            <v>% TMAR3</v>
          </cell>
          <cell r="AU64" t="str">
            <v>%TMAR5</v>
          </cell>
          <cell r="AV64" t="str">
            <v>%TNLP3</v>
          </cell>
          <cell r="AW64" t="str">
            <v>%TNLP4</v>
          </cell>
          <cell r="AX64" t="str">
            <v>indireto TMAR</v>
          </cell>
          <cell r="AY64" t="str">
            <v>Participação</v>
          </cell>
          <cell r="AZ64" t="str">
            <v>Dividendo</v>
          </cell>
        </row>
        <row r="65">
          <cell r="B65" t="str">
            <v xml:space="preserve">Preço de mercado </v>
          </cell>
        </row>
        <row r="66">
          <cell r="B66" t="str">
            <v>ON</v>
          </cell>
          <cell r="E66" t="str">
            <v>R$ / ação</v>
          </cell>
          <cell r="F66">
            <v>64.161143139000004</v>
          </cell>
          <cell r="G66">
            <v>38.18</v>
          </cell>
          <cell r="AR66" t="str">
            <v>Polo</v>
          </cell>
          <cell r="AS66">
            <v>64.988626400000001</v>
          </cell>
          <cell r="AT66">
            <v>0</v>
          </cell>
          <cell r="AU66">
            <v>0.70857416060112322</v>
          </cell>
          <cell r="AV66">
            <v>0.25837270196558582</v>
          </cell>
          <cell r="AW66">
            <v>3.3053137433290941E-2</v>
          </cell>
          <cell r="AX66">
            <v>4.8947386012797604E-3</v>
          </cell>
          <cell r="AY66">
            <v>-8.153727304660574E-3</v>
          </cell>
          <cell r="AZ66">
            <v>-2.605311871403293E-2</v>
          </cell>
        </row>
        <row r="67">
          <cell r="B67" t="str">
            <v>PN</v>
          </cell>
          <cell r="E67" t="str">
            <v>R$ / ação</v>
          </cell>
          <cell r="F67">
            <v>48.300475867000003</v>
          </cell>
          <cell r="G67">
            <v>28.73</v>
          </cell>
        </row>
        <row r="68">
          <cell r="B68" t="str">
            <v># ações</v>
          </cell>
          <cell r="AR68" t="str">
            <v>Norges Bank</v>
          </cell>
          <cell r="AS68">
            <v>91.304380650000013</v>
          </cell>
          <cell r="AT68">
            <v>0</v>
          </cell>
          <cell r="AU68">
            <v>0.73370840000325876</v>
          </cell>
          <cell r="AV68">
            <v>0.11662501047807061</v>
          </cell>
          <cell r="AW68">
            <v>0.14966658951867057</v>
          </cell>
          <cell r="AX68">
            <v>7.1603311142911848E-3</v>
          </cell>
          <cell r="AY68">
            <v>-1.1029465112215586E-2</v>
          </cell>
          <cell r="AZ68">
            <v>-1.8607345240423734E-2</v>
          </cell>
        </row>
        <row r="69">
          <cell r="B69" t="str">
            <v>ON</v>
          </cell>
          <cell r="E69" t="str">
            <v>MM</v>
          </cell>
          <cell r="F69">
            <v>107.06309300000001</v>
          </cell>
          <cell r="G69">
            <v>127.59085200000001</v>
          </cell>
        </row>
        <row r="70">
          <cell r="B70" t="str">
            <v>PN</v>
          </cell>
          <cell r="E70" t="str">
            <v>MM</v>
          </cell>
          <cell r="F70">
            <v>131.328262</v>
          </cell>
          <cell r="G70">
            <v>255.020511</v>
          </cell>
          <cell r="AR70" t="str">
            <v>CSHG</v>
          </cell>
          <cell r="AS70">
            <v>106.16213155999999</v>
          </cell>
          <cell r="AT70">
            <v>0.24236156962860442</v>
          </cell>
          <cell r="AU70">
            <v>0.54081317496485282</v>
          </cell>
          <cell r="AV70">
            <v>7.3039226756837008E-2</v>
          </cell>
          <cell r="AW70">
            <v>0.14378602864970585</v>
          </cell>
          <cell r="AX70">
            <v>7.9554422605139941E-3</v>
          </cell>
          <cell r="AY70">
            <v>-1.257464834611588E-2</v>
          </cell>
          <cell r="AZ70">
            <v>-1.8592103601656751E-2</v>
          </cell>
        </row>
        <row r="72">
          <cell r="B72" t="str">
            <v>Valor de mercado</v>
          </cell>
          <cell r="E72" t="str">
            <v>R$ MM</v>
          </cell>
          <cell r="F72">
            <v>13212.507984263124</v>
          </cell>
          <cell r="G72">
            <v>12198.158010390001</v>
          </cell>
          <cell r="AR72" t="str">
            <v>Eton Park</v>
          </cell>
          <cell r="AS72">
            <v>125.92392000000001</v>
          </cell>
          <cell r="AT72">
            <v>2.4006717707009118E-2</v>
          </cell>
          <cell r="AU72">
            <v>0</v>
          </cell>
          <cell r="AV72">
            <v>0.97599328229299087</v>
          </cell>
          <cell r="AW72">
            <v>0</v>
          </cell>
          <cell r="AX72">
            <v>6.9845881495330187E-3</v>
          </cell>
          <cell r="AY72">
            <v>3.4237688002728861E-2</v>
          </cell>
          <cell r="AZ72">
            <v>-2.141989363094976E-2</v>
          </cell>
        </row>
        <row r="73">
          <cell r="B73" t="str">
            <v>(+) Dívida líquida</v>
          </cell>
          <cell r="E73" t="str">
            <v>R$ MM</v>
          </cell>
          <cell r="F73">
            <v>21182.968999999997</v>
          </cell>
          <cell r="G73">
            <v>21270.815000000002</v>
          </cell>
        </row>
        <row r="74">
          <cell r="B74" t="str">
            <v>(+) Outros Ajustes</v>
          </cell>
          <cell r="E74" t="str">
            <v>R$ MM</v>
          </cell>
          <cell r="F74">
            <v>678.90731999999844</v>
          </cell>
          <cell r="G74">
            <v>1868.9352445947043</v>
          </cell>
          <cell r="AR74" t="str">
            <v>Brandes</v>
          </cell>
          <cell r="AS74">
            <v>446.72692999999998</v>
          </cell>
          <cell r="AT74">
            <v>0</v>
          </cell>
          <cell r="AU74">
            <v>0</v>
          </cell>
          <cell r="AV74">
            <v>0</v>
          </cell>
          <cell r="AW74">
            <v>1</v>
          </cell>
          <cell r="AX74">
            <v>3.3962198225075187E-2</v>
          </cell>
          <cell r="AY74">
            <v>7.8803227088830585E-3</v>
          </cell>
          <cell r="AZ74">
            <v>4.772684706774788E-2</v>
          </cell>
        </row>
        <row r="75">
          <cell r="B75" t="str">
            <v>(+) Part. Min. BRT</v>
          </cell>
          <cell r="E75" t="str">
            <v>R$ MM</v>
          </cell>
          <cell r="F75">
            <v>3858.2182759571228</v>
          </cell>
          <cell r="G75">
            <v>3858.2182759571228</v>
          </cell>
        </row>
        <row r="76">
          <cell r="B76" t="str">
            <v>(+) Part. Min. TMAR</v>
          </cell>
          <cell r="E76" t="str">
            <v>R$ MM</v>
          </cell>
          <cell r="F76" t="str">
            <v>n.a.</v>
          </cell>
          <cell r="G76">
            <v>2378.4324007757923</v>
          </cell>
        </row>
        <row r="77">
          <cell r="B77" t="str">
            <v>Enterprise value</v>
          </cell>
          <cell r="E77" t="str">
            <v>R$ MM</v>
          </cell>
          <cell r="F77">
            <v>38932.602580220242</v>
          </cell>
          <cell r="G77">
            <v>41574.55893171762</v>
          </cell>
        </row>
        <row r="78">
          <cell r="B78" t="str">
            <v>EBITDA LTM</v>
          </cell>
          <cell r="E78" t="str">
            <v>R$ MM</v>
          </cell>
          <cell r="F78">
            <v>10075</v>
          </cell>
          <cell r="G78">
            <v>10019</v>
          </cell>
        </row>
        <row r="79">
          <cell r="B79" t="str">
            <v>Múltiplo EV/EBITDA LTM</v>
          </cell>
          <cell r="F79">
            <v>3.8642781717340191</v>
          </cell>
          <cell r="G79">
            <v>4.1495717069285973</v>
          </cell>
        </row>
        <row r="81">
          <cell r="G81" t="str">
            <v>TMAR + TNL</v>
          </cell>
        </row>
        <row r="83">
          <cell r="B83" t="str">
            <v>Valor de mercado TNL</v>
          </cell>
          <cell r="F83" t="str">
            <v>R$ MM</v>
          </cell>
          <cell r="G83">
            <v>12198.158010390001</v>
          </cell>
        </row>
        <row r="84">
          <cell r="B84" t="str">
            <v>(+) Dívida líquida da TNL (controladora)</v>
          </cell>
          <cell r="F84" t="str">
            <v>R$ MM</v>
          </cell>
          <cell r="G84">
            <v>1204.2898845947002</v>
          </cell>
        </row>
        <row r="85">
          <cell r="B85" t="str">
            <v>EV TNL comparável a part. na TMAR</v>
          </cell>
          <cell r="F85" t="str">
            <v>R$ MM</v>
          </cell>
          <cell r="G85">
            <v>13402.447894984702</v>
          </cell>
        </row>
        <row r="86">
          <cell r="B86" t="str">
            <v>% detido da TMAR</v>
          </cell>
          <cell r="G86">
            <v>0.81998630361407188</v>
          </cell>
        </row>
        <row r="87">
          <cell r="B87" t="str">
            <v>Valor implícito TMAR</v>
          </cell>
          <cell r="E87" t="str">
            <v>R$ MM</v>
          </cell>
          <cell r="G87">
            <v>16344.721656829757</v>
          </cell>
        </row>
        <row r="89">
          <cell r="B89" t="str">
            <v>Gap ON/PN da TNL1</v>
          </cell>
          <cell r="G89">
            <v>0.3289244691959623</v>
          </cell>
        </row>
        <row r="91">
          <cell r="B91" t="str">
            <v># ações pós-incorporação2</v>
          </cell>
        </row>
        <row r="92">
          <cell r="B92" t="str">
            <v>ON</v>
          </cell>
          <cell r="E92" t="str">
            <v>MM</v>
          </cell>
          <cell r="G92">
            <v>81.04883847964588</v>
          </cell>
        </row>
        <row r="93">
          <cell r="B93" t="str">
            <v>PN</v>
          </cell>
          <cell r="E93" t="str">
            <v>MM</v>
          </cell>
          <cell r="G93">
            <v>162.09767695929176</v>
          </cell>
        </row>
        <row r="95">
          <cell r="B95" t="str">
            <v>Preço por ação</v>
          </cell>
        </row>
        <row r="96">
          <cell r="B96" t="str">
            <v>ON</v>
          </cell>
          <cell r="E96" t="str">
            <v>R$/ação</v>
          </cell>
          <cell r="G96">
            <v>80.505785249702257</v>
          </cell>
        </row>
        <row r="97">
          <cell r="B97" t="str">
            <v>PN</v>
          </cell>
          <cell r="E97" t="str">
            <v>R$/ação</v>
          </cell>
          <cell r="G97">
            <v>60.579654537033683</v>
          </cell>
        </row>
        <row r="99">
          <cell r="B99" t="str">
            <v>Ganho/perda em relação ao valor atual1</v>
          </cell>
        </row>
        <row r="100">
          <cell r="B100" t="str">
            <v>TMAR3</v>
          </cell>
          <cell r="G100">
            <v>0.25474362380503246</v>
          </cell>
        </row>
        <row r="101">
          <cell r="B101" t="str">
            <v>TMAR5</v>
          </cell>
          <cell r="G101">
            <v>0.25422479695325517</v>
          </cell>
        </row>
        <row r="102">
          <cell r="B102" t="str">
            <v>TNLP3</v>
          </cell>
          <cell r="G102">
            <v>0.13805294831819026</v>
          </cell>
        </row>
        <row r="103">
          <cell r="B103" t="str">
            <v>TNLP4</v>
          </cell>
          <cell r="G103">
            <v>0.10743161428030246</v>
          </cell>
        </row>
      </sheetData>
      <sheetData sheetId="9">
        <row r="3">
          <cell r="B3" t="str">
            <v>Passo 1: OPA</v>
          </cell>
        </row>
        <row r="4">
          <cell r="B4" t="str">
            <v>Preço de TMAR51</v>
          </cell>
          <cell r="H4">
            <v>47.177380203761885</v>
          </cell>
        </row>
        <row r="5">
          <cell r="B5" t="str">
            <v>Prêmio na OPA</v>
          </cell>
          <cell r="H5">
            <v>0</v>
          </cell>
        </row>
        <row r="6">
          <cell r="B6" t="str">
            <v>Valor da TMAR5 na OPA</v>
          </cell>
          <cell r="H6">
            <v>47.177380203761885</v>
          </cell>
        </row>
        <row r="8">
          <cell r="B8" t="str">
            <v>Ações PN de TMAR detidas por TmarPart</v>
          </cell>
          <cell r="H8">
            <v>13079.175999999999</v>
          </cell>
        </row>
        <row r="9">
          <cell r="B9" t="str">
            <v>Valor da participação da TmarPart na TMAR</v>
          </cell>
          <cell r="H9">
            <v>617.04125890391754</v>
          </cell>
          <cell r="I9">
            <v>1</v>
          </cell>
        </row>
        <row r="11">
          <cell r="B11" t="str">
            <v>Ações PN de TMAR detidas por minoritários</v>
          </cell>
          <cell r="H11">
            <v>26999.312999999998</v>
          </cell>
        </row>
        <row r="12">
          <cell r="B12" t="str">
            <v>Valor da participação dos minoritários na TMAR</v>
          </cell>
          <cell r="H12">
            <v>1273.7568546413709</v>
          </cell>
        </row>
        <row r="14">
          <cell r="B14" t="str">
            <v>Aceitação dos minoritários na OPA</v>
          </cell>
          <cell r="H14">
            <v>0</v>
          </cell>
        </row>
        <row r="16">
          <cell r="B16" t="str">
            <v>Valor das Notas emitidas pela TNL</v>
          </cell>
          <cell r="H16">
            <v>617.04125890391754</v>
          </cell>
        </row>
        <row r="18">
          <cell r="B18" t="str">
            <v>Passo 2a: Aumento de capital TNL</v>
          </cell>
        </row>
        <row r="19">
          <cell r="B19" t="str">
            <v>Escolha parcela TmarPart</v>
          </cell>
          <cell r="H19">
            <v>1</v>
          </cell>
        </row>
        <row r="20">
          <cell r="B20" t="str">
            <v>(1 - % TmarPart no capital da TNL; 2 - % Ons no capital da TNL)</v>
          </cell>
        </row>
        <row r="22">
          <cell r="B22" t="str">
            <v>Valor comprometido pela TmarPart para aumento de capital2</v>
          </cell>
          <cell r="H22">
            <v>617.04125890391754</v>
          </cell>
        </row>
        <row r="23">
          <cell r="B23" t="str">
            <v>% do aumento referente a TmarPart</v>
          </cell>
          <cell r="H23">
            <v>0.17904378600486051</v>
          </cell>
        </row>
        <row r="25">
          <cell r="B25" t="str">
            <v>Valor total do aumento de capital</v>
          </cell>
          <cell r="H25">
            <v>3446.3148522069719</v>
          </cell>
        </row>
        <row r="27">
          <cell r="E27" t="str">
            <v>Valor potencial do aporte</v>
          </cell>
          <cell r="G27" t="str">
            <v>% adesão</v>
          </cell>
          <cell r="H27" t="str">
            <v>Valor do aporte</v>
          </cell>
        </row>
        <row r="28">
          <cell r="B28" t="str">
            <v>TmarPart</v>
          </cell>
          <cell r="F28">
            <v>617.04125890391754</v>
          </cell>
          <cell r="H28">
            <v>617.04125890391754</v>
          </cell>
        </row>
        <row r="29">
          <cell r="B29" t="str">
            <v>Minoritários ON</v>
          </cell>
          <cell r="F29">
            <v>532.21433247626214</v>
          </cell>
          <cell r="G29">
            <v>0</v>
          </cell>
          <cell r="H29">
            <v>0</v>
          </cell>
        </row>
        <row r="30">
          <cell r="B30" t="str">
            <v>Minoritários PN</v>
          </cell>
          <cell r="F30">
            <v>2297.0592608267921</v>
          </cell>
          <cell r="G30">
            <v>0</v>
          </cell>
          <cell r="H30">
            <v>0</v>
          </cell>
        </row>
        <row r="32">
          <cell r="B32" t="str">
            <v>Total</v>
          </cell>
          <cell r="F32">
            <v>3446.3148522069719</v>
          </cell>
          <cell r="H32">
            <v>617.04125890391754</v>
          </cell>
        </row>
        <row r="34">
          <cell r="B34" t="str">
            <v>Passo 2b: Resgate/Conversão das Notas</v>
          </cell>
        </row>
        <row r="35">
          <cell r="B35" t="str">
            <v>Preço no aumento de capital</v>
          </cell>
          <cell r="H35">
            <v>1</v>
          </cell>
        </row>
        <row r="36">
          <cell r="B36" t="str">
            <v>(1 - ON/PN; 2 - Tudo ON; 3 - Tudo PN)</v>
          </cell>
        </row>
        <row r="37">
          <cell r="B37" t="str">
            <v>Preços do aumento de capital da TNL1</v>
          </cell>
        </row>
        <row r="38">
          <cell r="B38" t="str">
            <v>ONs</v>
          </cell>
          <cell r="H38">
            <v>32.456428571428575</v>
          </cell>
          <cell r="I38">
            <v>32.456428571428575</v>
          </cell>
        </row>
        <row r="39">
          <cell r="B39" t="str">
            <v>PNs</v>
          </cell>
          <cell r="H39">
            <v>24.777619047619048</v>
          </cell>
          <cell r="I39">
            <v>24.777619047619048</v>
          </cell>
        </row>
        <row r="41">
          <cell r="B41" t="str">
            <v>Para TmarPart</v>
          </cell>
        </row>
        <row r="42">
          <cell r="B42" t="str">
            <v>Valor em ações de TNL</v>
          </cell>
          <cell r="H42">
            <v>617.04125890391754</v>
          </cell>
        </row>
        <row r="43">
          <cell r="B43" t="str">
            <v>Valor em caixa</v>
          </cell>
          <cell r="H43">
            <v>0</v>
          </cell>
        </row>
        <row r="44">
          <cell r="B44" t="str">
            <v>Total</v>
          </cell>
          <cell r="H44">
            <v>617.04125890391754</v>
          </cell>
        </row>
        <row r="46">
          <cell r="B46" t="str">
            <v>Para os Minoritários TMAR</v>
          </cell>
        </row>
        <row r="47">
          <cell r="B47" t="str">
            <v>Valor restante em Notas</v>
          </cell>
          <cell r="H47">
            <v>0</v>
          </cell>
        </row>
        <row r="48">
          <cell r="B48" t="str">
            <v>Valor aportado pelos min. da TNL2</v>
          </cell>
          <cell r="H48">
            <v>0</v>
          </cell>
        </row>
        <row r="49">
          <cell r="B49" t="str">
            <v>Restante para conversão em ações PN de TNL</v>
          </cell>
          <cell r="H49">
            <v>0</v>
          </cell>
        </row>
        <row r="51">
          <cell r="B51" t="str">
            <v>Caixa restante na TmarPart</v>
          </cell>
          <cell r="H51">
            <v>0</v>
          </cell>
        </row>
        <row r="52">
          <cell r="B52" t="str">
            <v>Caixa restante na TNL</v>
          </cell>
          <cell r="H52">
            <v>0</v>
          </cell>
        </row>
        <row r="57">
          <cell r="L57" t="str">
            <v>Estrutura societária pós-transação</v>
          </cell>
        </row>
        <row r="58">
          <cell r="L58" t="str">
            <v>TMAR</v>
          </cell>
        </row>
        <row r="59">
          <cell r="M59" t="str">
            <v>ON</v>
          </cell>
          <cell r="O59" t="str">
            <v>PN</v>
          </cell>
          <cell r="Q59" t="str">
            <v>Total</v>
          </cell>
        </row>
        <row r="60">
          <cell r="M60" t="str">
            <v># ações</v>
          </cell>
          <cell r="N60" t="str">
            <v>%</v>
          </cell>
          <cell r="O60" t="str">
            <v># ações</v>
          </cell>
          <cell r="P60" t="str">
            <v>%</v>
          </cell>
          <cell r="Q60" t="str">
            <v># ações</v>
          </cell>
          <cell r="R60" t="str">
            <v>%</v>
          </cell>
        </row>
        <row r="61">
          <cell r="L61" t="str">
            <v>TNL</v>
          </cell>
          <cell r="M61">
            <v>104.227873</v>
          </cell>
          <cell r="N61">
            <v>0.97351823190835696</v>
          </cell>
          <cell r="O61">
            <v>104.32894900000001</v>
          </cell>
          <cell r="P61">
            <v>0.79441353605974019</v>
          </cell>
          <cell r="Q61">
            <v>208.55682200000001</v>
          </cell>
          <cell r="R61">
            <v>0.87485060857177477</v>
          </cell>
        </row>
        <row r="62">
          <cell r="L62" t="str">
            <v>TmarPart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L63" t="str">
            <v>Min.</v>
          </cell>
          <cell r="M63">
            <v>2.8352199999999996</v>
          </cell>
          <cell r="N63">
            <v>2.6481768091642929E-2</v>
          </cell>
          <cell r="O63">
            <v>26.999312999999997</v>
          </cell>
          <cell r="P63">
            <v>0.20558646394025984</v>
          </cell>
          <cell r="Q63">
            <v>29.834532999999997</v>
          </cell>
          <cell r="R63">
            <v>0.12514939142822523</v>
          </cell>
        </row>
        <row r="65">
          <cell r="L65" t="str">
            <v>Total</v>
          </cell>
          <cell r="M65">
            <v>107.06309300000001</v>
          </cell>
          <cell r="N65">
            <v>1</v>
          </cell>
          <cell r="O65">
            <v>131.328262</v>
          </cell>
          <cell r="P65">
            <v>1</v>
          </cell>
          <cell r="Q65">
            <v>238.391355</v>
          </cell>
          <cell r="R65">
            <v>1</v>
          </cell>
        </row>
        <row r="67">
          <cell r="L67" t="str">
            <v>TNL</v>
          </cell>
        </row>
        <row r="68">
          <cell r="M68" t="str">
            <v>ON</v>
          </cell>
          <cell r="P68" t="str">
            <v>PN</v>
          </cell>
          <cell r="R68" t="str">
            <v>Total</v>
          </cell>
        </row>
        <row r="69">
          <cell r="M69" t="str">
            <v># ações</v>
          </cell>
          <cell r="N69" t="str">
            <v>%</v>
          </cell>
          <cell r="O69" t="str">
            <v># ações</v>
          </cell>
          <cell r="P69" t="str">
            <v>%</v>
          </cell>
          <cell r="Q69" t="str">
            <v># ações</v>
          </cell>
          <cell r="R69" t="str">
            <v>%</v>
          </cell>
        </row>
        <row r="70">
          <cell r="L70" t="str">
            <v>TmarPart</v>
          </cell>
          <cell r="M70">
            <v>87.515559663691647</v>
          </cell>
          <cell r="N70">
            <v>0.59695928806301568</v>
          </cell>
          <cell r="O70">
            <v>0</v>
          </cell>
          <cell r="P70">
            <v>0</v>
          </cell>
          <cell r="Q70">
            <v>87.515559663691647</v>
          </cell>
          <cell r="R70">
            <v>0.21805295698442945</v>
          </cell>
          <cell r="S70">
            <v>0.19076376211870313</v>
          </cell>
        </row>
        <row r="71">
          <cell r="L71" t="str">
            <v>AG Tel</v>
          </cell>
          <cell r="M71">
            <v>0.59004999999999996</v>
          </cell>
          <cell r="N71">
            <v>4.0248366036298982E-3</v>
          </cell>
          <cell r="O71">
            <v>11.400695399830015</v>
          </cell>
          <cell r="P71">
            <v>4.4752870877903618E-2</v>
          </cell>
          <cell r="Q71">
            <v>11.990745399830015</v>
          </cell>
          <cell r="R71">
            <v>2.9876030056003047E-2</v>
          </cell>
          <cell r="U71" t="str">
            <v>ON</v>
          </cell>
          <cell r="V71" t="str">
            <v>PN</v>
          </cell>
        </row>
        <row r="72">
          <cell r="L72" t="str">
            <v>L.F. Tel</v>
          </cell>
          <cell r="M72">
            <v>0.59024999999999994</v>
          </cell>
          <cell r="N72">
            <v>4.0262008394077575E-3</v>
          </cell>
          <cell r="O72">
            <v>11.400495613703795</v>
          </cell>
          <cell r="P72">
            <v>4.4752086627259567E-2</v>
          </cell>
          <cell r="Q72">
            <v>11.990745613703794</v>
          </cell>
          <cell r="R72">
            <v>2.9876030588888974E-2</v>
          </cell>
          <cell r="T72" t="str">
            <v>Outros TNL total</v>
          </cell>
          <cell r="U72">
            <v>59.086664999999996</v>
          </cell>
          <cell r="V72">
            <v>254.74779999999998</v>
          </cell>
        </row>
        <row r="73">
          <cell r="L73" t="str">
            <v>Outros TNL</v>
          </cell>
          <cell r="M73">
            <v>57.906365000000001</v>
          </cell>
          <cell r="N73">
            <v>0.39498967449394662</v>
          </cell>
          <cell r="O73">
            <v>231.94660898646617</v>
          </cell>
          <cell r="P73">
            <v>0.91049504249483681</v>
          </cell>
          <cell r="Q73">
            <v>289.85297398646617</v>
          </cell>
          <cell r="R73">
            <v>0.72219498237067858</v>
          </cell>
        </row>
        <row r="74">
          <cell r="L74" t="str">
            <v>Outros TMAR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6">
          <cell r="L76" t="str">
            <v>Total</v>
          </cell>
          <cell r="M76">
            <v>146.60222466369166</v>
          </cell>
          <cell r="N76">
            <v>0.99999999999999989</v>
          </cell>
          <cell r="O76">
            <v>254.74779999999998</v>
          </cell>
          <cell r="P76">
            <v>1</v>
          </cell>
          <cell r="Q76">
            <v>401.35002466369161</v>
          </cell>
          <cell r="R76">
            <v>1</v>
          </cell>
        </row>
        <row r="77">
          <cell r="L77" t="str">
            <v>Relação ON/KT</v>
          </cell>
          <cell r="N77">
            <v>0.36527274362705209</v>
          </cell>
        </row>
        <row r="79">
          <cell r="Z79" t="str">
            <v>Adesão das PNs no aumento de capital na TNL1</v>
          </cell>
          <cell r="AG79" t="str">
            <v>Adesão das PNs no aumento de capital na TNL2</v>
          </cell>
        </row>
        <row r="80">
          <cell r="U80">
            <v>0.21805295698442945</v>
          </cell>
          <cell r="V80">
            <v>0</v>
          </cell>
          <cell r="W80">
            <v>0.25</v>
          </cell>
          <cell r="X80">
            <v>0.5</v>
          </cell>
          <cell r="Y80">
            <v>0.75</v>
          </cell>
          <cell r="Z80">
            <v>1</v>
          </cell>
          <cell r="AB80">
            <v>0.19076376211870313</v>
          </cell>
          <cell r="AC80">
            <v>0</v>
          </cell>
          <cell r="AD80">
            <v>0.25</v>
          </cell>
          <cell r="AE80">
            <v>0.5</v>
          </cell>
          <cell r="AF80">
            <v>0.75</v>
          </cell>
          <cell r="AG80">
            <v>1</v>
          </cell>
        </row>
        <row r="81">
          <cell r="V81">
            <v>0.21472159442346481</v>
          </cell>
          <cell r="W81">
            <v>0.20359955969052421</v>
          </cell>
          <cell r="X81">
            <v>0.19357297012965061</v>
          </cell>
          <cell r="Y81">
            <v>0.18448758087196565</v>
          </cell>
          <cell r="Z81">
            <v>0.17621680689305033</v>
          </cell>
          <cell r="AC81">
            <v>0.18784931755487</v>
          </cell>
          <cell r="AD81">
            <v>0.17811919870020049</v>
          </cell>
          <cell r="AE81">
            <v>0.1693474307209708</v>
          </cell>
          <cell r="AF81">
            <v>0.16139907239977366</v>
          </cell>
          <cell r="AG81">
            <v>0.15416338075096001</v>
          </cell>
        </row>
        <row r="82">
          <cell r="U82">
            <v>0</v>
          </cell>
          <cell r="V82">
            <v>0.21472159442346481</v>
          </cell>
          <cell r="W82">
            <v>0.20359955969052421</v>
          </cell>
          <cell r="X82">
            <v>0.19357297012965061</v>
          </cell>
          <cell r="Y82">
            <v>0.18448758087196565</v>
          </cell>
          <cell r="Z82">
            <v>0.17621680689305033</v>
          </cell>
          <cell r="AB82">
            <v>0</v>
          </cell>
          <cell r="AC82">
            <v>0.18784931755487</v>
          </cell>
          <cell r="AD82">
            <v>0.17811919870020049</v>
          </cell>
          <cell r="AE82">
            <v>0.1693474307209708</v>
          </cell>
          <cell r="AF82">
            <v>0.16139907239977366</v>
          </cell>
          <cell r="AG82">
            <v>0.15416338075096001</v>
          </cell>
        </row>
        <row r="83">
          <cell r="U83">
            <v>0.66666666666666696</v>
          </cell>
          <cell r="V83">
            <v>0.1986732623336521</v>
          </cell>
          <cell r="W83">
            <v>0.1986732623336521</v>
          </cell>
          <cell r="X83">
            <v>0.19357297012965061</v>
          </cell>
          <cell r="Y83">
            <v>0.18448758087196565</v>
          </cell>
          <cell r="Z83">
            <v>0.17621680689305033</v>
          </cell>
          <cell r="AB83">
            <v>0.66666666666666696</v>
          </cell>
          <cell r="AC83">
            <v>0.18881008473788982</v>
          </cell>
          <cell r="AD83">
            <v>0.18881008473788982</v>
          </cell>
          <cell r="AE83">
            <v>0.18396299765674914</v>
          </cell>
          <cell r="AF83">
            <v>0.17532865453744534</v>
          </cell>
          <cell r="AG83">
            <v>0.16746848494308705</v>
          </cell>
        </row>
        <row r="84">
          <cell r="U84">
            <v>1</v>
          </cell>
          <cell r="V84">
            <v>0.19151628101873799</v>
          </cell>
          <cell r="W84">
            <v>0.19151628101873799</v>
          </cell>
          <cell r="X84">
            <v>0.19151628101873799</v>
          </cell>
          <cell r="Y84">
            <v>0.18448758087196565</v>
          </cell>
          <cell r="Z84">
            <v>0.17621680689305033</v>
          </cell>
          <cell r="AB84">
            <v>1</v>
          </cell>
          <cell r="AC84">
            <v>0.18923855249007576</v>
          </cell>
          <cell r="AD84">
            <v>0.18923855249007576</v>
          </cell>
          <cell r="AE84">
            <v>0.18923855249007576</v>
          </cell>
          <cell r="AF84">
            <v>0.18229344560628113</v>
          </cell>
          <cell r="AG84">
            <v>0.17412103703915058</v>
          </cell>
        </row>
        <row r="86">
          <cell r="Z86" t="str">
            <v>Adesão das ONs no aumento de capital na TNL1</v>
          </cell>
          <cell r="AG86" t="str">
            <v>Adesão das ONs no aumento de capital na TNL</v>
          </cell>
        </row>
        <row r="87">
          <cell r="U87">
            <v>0.63706678358416291</v>
          </cell>
          <cell r="V87">
            <v>0</v>
          </cell>
          <cell r="W87">
            <v>0.25</v>
          </cell>
          <cell r="X87">
            <v>0.5</v>
          </cell>
          <cell r="Y87">
            <v>0.75</v>
          </cell>
          <cell r="Z87">
            <v>1</v>
          </cell>
          <cell r="AB87">
            <v>0.59695928806301568</v>
          </cell>
          <cell r="AC87">
            <v>0</v>
          </cell>
          <cell r="AD87">
            <v>0.25</v>
          </cell>
          <cell r="AE87">
            <v>0.5</v>
          </cell>
          <cell r="AF87">
            <v>0.75</v>
          </cell>
          <cell r="AG87">
            <v>1</v>
          </cell>
        </row>
        <row r="88">
          <cell r="V88">
            <v>0.63534990270489011</v>
          </cell>
          <cell r="W88">
            <v>0.62005697100060375</v>
          </cell>
          <cell r="X88">
            <v>0.60547697203830786</v>
          </cell>
          <cell r="Y88">
            <v>0.59156149352523046</v>
          </cell>
          <cell r="Z88">
            <v>0.57826638872164315</v>
          </cell>
          <cell r="AB88" t="str">
            <v>% Capital ON</v>
          </cell>
          <cell r="AC88">
            <v>0.59222337958237881</v>
          </cell>
          <cell r="AD88">
            <v>0.57735199908504042</v>
          </cell>
          <cell r="AE88">
            <v>0.56320919663659708</v>
          </cell>
          <cell r="AF88">
            <v>0.54974271073591419</v>
          </cell>
          <cell r="AG88">
            <v>0.53690516150797396</v>
          </cell>
        </row>
        <row r="89">
          <cell r="U89">
            <v>0</v>
          </cell>
          <cell r="V89">
            <v>0.63534990270489011</v>
          </cell>
          <cell r="W89">
            <v>0.62005697100060375</v>
          </cell>
          <cell r="X89">
            <v>0.60547697203830786</v>
          </cell>
          <cell r="Y89">
            <v>0.59156149352523046</v>
          </cell>
          <cell r="Z89">
            <v>0.57826638872164315</v>
          </cell>
          <cell r="AB89">
            <v>0</v>
          </cell>
          <cell r="AC89">
            <v>0.59222337958237881</v>
          </cell>
          <cell r="AD89">
            <v>0.57735199908504042</v>
          </cell>
          <cell r="AE89">
            <v>0.56320919663659708</v>
          </cell>
          <cell r="AF89">
            <v>0.54974271073591419</v>
          </cell>
          <cell r="AG89">
            <v>0.53690516150797396</v>
          </cell>
        </row>
        <row r="90">
          <cell r="U90">
            <v>0.66666666666666696</v>
          </cell>
          <cell r="V90">
            <v>0.63534990270489011</v>
          </cell>
          <cell r="W90">
            <v>0.61988322010654728</v>
          </cell>
          <cell r="X90">
            <v>0.60515167018920824</v>
          </cell>
          <cell r="Y90">
            <v>0.5911040582235777</v>
          </cell>
          <cell r="Z90">
            <v>0.57769383524602924</v>
          </cell>
          <cell r="AB90">
            <v>0.66666666666666696</v>
          </cell>
          <cell r="AC90">
            <v>0.59222337958237881</v>
          </cell>
          <cell r="AD90">
            <v>0.57735199908504042</v>
          </cell>
          <cell r="AE90">
            <v>0.56320919663659708</v>
          </cell>
          <cell r="AF90">
            <v>0.54974271073591419</v>
          </cell>
          <cell r="AG90">
            <v>0.53690516150797396</v>
          </cell>
        </row>
        <row r="91">
          <cell r="U91">
            <v>1</v>
          </cell>
          <cell r="V91">
            <v>0.63534990270489011</v>
          </cell>
          <cell r="W91">
            <v>0.61988322010654728</v>
          </cell>
          <cell r="X91">
            <v>0.60515167018920824</v>
          </cell>
          <cell r="Y91">
            <v>0.5911040582235777</v>
          </cell>
          <cell r="Z91">
            <v>0.57769383524602924</v>
          </cell>
          <cell r="AB91">
            <v>1</v>
          </cell>
          <cell r="AC91">
            <v>0.59222337958237881</v>
          </cell>
          <cell r="AD91">
            <v>0.57735199908504042</v>
          </cell>
          <cell r="AE91">
            <v>0.56320919663659708</v>
          </cell>
          <cell r="AF91">
            <v>0.54974271073591419</v>
          </cell>
          <cell r="AG91">
            <v>0.53690516150797396</v>
          </cell>
        </row>
        <row r="93">
          <cell r="Z93" t="str">
            <v>Adesão das ONs no aumento de capital na TNL1</v>
          </cell>
          <cell r="AG93" t="str">
            <v>Adesão das ONs no aumento de capital na TNL</v>
          </cell>
        </row>
        <row r="94">
          <cell r="U94">
            <v>0.57630880771424975</v>
          </cell>
          <cell r="V94">
            <v>0</v>
          </cell>
          <cell r="W94">
            <v>0.25</v>
          </cell>
          <cell r="X94">
            <v>0.5</v>
          </cell>
          <cell r="Y94">
            <v>0.75</v>
          </cell>
          <cell r="Z94">
            <v>1</v>
          </cell>
          <cell r="AB94">
            <v>0.59695928806301568</v>
          </cell>
          <cell r="AC94">
            <v>0</v>
          </cell>
          <cell r="AD94">
            <v>0.25</v>
          </cell>
          <cell r="AE94">
            <v>0.5</v>
          </cell>
          <cell r="AF94">
            <v>0.75</v>
          </cell>
          <cell r="AG94">
            <v>1</v>
          </cell>
        </row>
        <row r="95">
          <cell r="V95">
            <v>0.57367011931298939</v>
          </cell>
          <cell r="W95">
            <v>0.55986182577569055</v>
          </cell>
          <cell r="X95">
            <v>0.5466972534531408</v>
          </cell>
          <cell r="Y95">
            <v>0.53413268991908081</v>
          </cell>
          <cell r="Z95">
            <v>0.52212827420030583</v>
          </cell>
          <cell r="AB95" t="str">
            <v>% Capital ON</v>
          </cell>
          <cell r="AC95">
            <v>0.59222337958237881</v>
          </cell>
          <cell r="AD95">
            <v>0.57735199908504042</v>
          </cell>
          <cell r="AE95">
            <v>0.56320919663659708</v>
          </cell>
          <cell r="AF95">
            <v>0.54974271073591419</v>
          </cell>
          <cell r="AG95">
            <v>0.53690516150797396</v>
          </cell>
        </row>
        <row r="96">
          <cell r="U96">
            <v>0</v>
          </cell>
          <cell r="V96">
            <v>0.57367011931298939</v>
          </cell>
          <cell r="W96">
            <v>0.55986182577569055</v>
          </cell>
          <cell r="X96">
            <v>0.5466972534531408</v>
          </cell>
          <cell r="Y96">
            <v>0.53413268991908081</v>
          </cell>
          <cell r="Z96">
            <v>0.52212827420030583</v>
          </cell>
        </row>
        <row r="97">
          <cell r="U97">
            <v>0.66666666666666696</v>
          </cell>
          <cell r="V97">
            <v>0.57367011931298939</v>
          </cell>
          <cell r="W97">
            <v>0.55970494262248682</v>
          </cell>
          <cell r="X97">
            <v>0.54640353191514845</v>
          </cell>
          <cell r="Y97">
            <v>0.53371966244719482</v>
          </cell>
          <cell r="Z97">
            <v>0.52161130422947544</v>
          </cell>
        </row>
        <row r="98">
          <cell r="U98">
            <v>1</v>
          </cell>
          <cell r="V98">
            <v>0.57367011931298939</v>
          </cell>
          <cell r="W98">
            <v>0.55970494262248682</v>
          </cell>
          <cell r="X98">
            <v>0.54640353191514845</v>
          </cell>
          <cell r="Y98">
            <v>0.53371966244719482</v>
          </cell>
          <cell r="Z98">
            <v>0.52161130422947544</v>
          </cell>
        </row>
        <row r="100">
          <cell r="Z100" t="str">
            <v>Adesão das PNs no aumento de capital na TNL1</v>
          </cell>
          <cell r="AG100" t="str">
            <v>Adesão das ONs no aumento de capital na TNL</v>
          </cell>
        </row>
        <row r="101">
          <cell r="U101">
            <v>0</v>
          </cell>
          <cell r="V101">
            <v>0</v>
          </cell>
          <cell r="W101">
            <v>0.25</v>
          </cell>
          <cell r="X101">
            <v>0.5</v>
          </cell>
          <cell r="Y101">
            <v>0.75</v>
          </cell>
          <cell r="Z101">
            <v>1</v>
          </cell>
          <cell r="AB101">
            <v>0</v>
          </cell>
          <cell r="AC101">
            <v>0</v>
          </cell>
          <cell r="AD101">
            <v>0.25</v>
          </cell>
          <cell r="AE101">
            <v>0.5</v>
          </cell>
          <cell r="AF101">
            <v>0.75</v>
          </cell>
          <cell r="AG101">
            <v>1</v>
          </cell>
        </row>
        <row r="102">
          <cell r="V102">
            <v>0</v>
          </cell>
          <cell r="W102">
            <v>616.2180937023362</v>
          </cell>
          <cell r="X102">
            <v>1232.4361874046726</v>
          </cell>
          <cell r="Y102">
            <v>1848.6542811070085</v>
          </cell>
          <cell r="Z102">
            <v>2464.8723748093448</v>
          </cell>
          <cell r="AB102" t="str">
            <v>% Capital ON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U103">
            <v>0</v>
          </cell>
          <cell r="V103">
            <v>0</v>
          </cell>
          <cell r="W103">
            <v>616.2180937023362</v>
          </cell>
          <cell r="X103">
            <v>1232.4361874046726</v>
          </cell>
          <cell r="Y103">
            <v>1848.6542811070085</v>
          </cell>
          <cell r="Z103">
            <v>2464.8723748093448</v>
          </cell>
        </row>
        <row r="104">
          <cell r="U104">
            <v>0.66666666666666696</v>
          </cell>
          <cell r="V104">
            <v>0</v>
          </cell>
          <cell r="W104">
            <v>0</v>
          </cell>
          <cell r="X104">
            <v>321.22821038467191</v>
          </cell>
          <cell r="Y104">
            <v>937.44630408700777</v>
          </cell>
          <cell r="Z104">
            <v>1553.6643977893441</v>
          </cell>
        </row>
        <row r="105">
          <cell r="U105">
            <v>1</v>
          </cell>
          <cell r="V105">
            <v>0</v>
          </cell>
          <cell r="W105">
            <v>0</v>
          </cell>
          <cell r="X105">
            <v>0</v>
          </cell>
          <cell r="Y105">
            <v>481.84231557700832</v>
          </cell>
          <cell r="Z105">
            <v>1098.0604092793446</v>
          </cell>
        </row>
        <row r="107">
          <cell r="B107" t="str">
            <v>Passo 3: Incorporação TNL na TMAR</v>
          </cell>
        </row>
        <row r="108">
          <cell r="B108" t="str">
            <v>Avaliação TNL para incorporação</v>
          </cell>
          <cell r="H108">
            <v>1</v>
          </cell>
        </row>
        <row r="109">
          <cell r="B109" t="str">
            <v>(1 - Mercado, 2- SOTP)</v>
          </cell>
        </row>
        <row r="111">
          <cell r="B111" t="str">
            <v>Valor por ação TNL (R$/ação)1</v>
          </cell>
        </row>
        <row r="112">
          <cell r="B112" t="str">
            <v>ON</v>
          </cell>
          <cell r="H112">
            <v>32.456428571428575</v>
          </cell>
        </row>
        <row r="113">
          <cell r="B113" t="str">
            <v>PN</v>
          </cell>
          <cell r="H113">
            <v>24.777619047619048</v>
          </cell>
        </row>
        <row r="115">
          <cell r="B115" t="str">
            <v>Valor por ação TMAR (R$/ação)1</v>
          </cell>
        </row>
        <row r="116">
          <cell r="B116" t="str">
            <v>ON</v>
          </cell>
          <cell r="H116">
            <v>60.13529247348486</v>
          </cell>
        </row>
        <row r="117">
          <cell r="B117" t="str">
            <v>PN</v>
          </cell>
          <cell r="H117">
            <v>47.177380203761885</v>
          </cell>
        </row>
        <row r="119">
          <cell r="B119" t="str">
            <v>Dividendo extraordinário TNL (R$MM)</v>
          </cell>
          <cell r="H119">
            <v>0</v>
          </cell>
        </row>
        <row r="120">
          <cell r="B120" t="str">
            <v>Caixa restante do aumento de capital na TNL</v>
          </cell>
          <cell r="H120">
            <v>0</v>
          </cell>
        </row>
        <row r="121">
          <cell r="B121" t="str">
            <v># ações TNL (MM)</v>
          </cell>
          <cell r="H121">
            <v>401.35002466369161</v>
          </cell>
        </row>
        <row r="122">
          <cell r="B122" t="str">
            <v>Ajuste no valor por ação (R$/ação)</v>
          </cell>
          <cell r="H122">
            <v>0</v>
          </cell>
        </row>
        <row r="124">
          <cell r="B124" t="str">
            <v>Valor por ação TNL ajustado (R$/ação)</v>
          </cell>
        </row>
        <row r="125">
          <cell r="B125" t="str">
            <v>ON</v>
          </cell>
          <cell r="H125">
            <v>32.456428571428575</v>
          </cell>
        </row>
        <row r="126">
          <cell r="B126" t="str">
            <v>PN</v>
          </cell>
          <cell r="H126">
            <v>24.777619047619048</v>
          </cell>
        </row>
        <row r="128">
          <cell r="B128" t="str">
            <v>Relações de troca</v>
          </cell>
        </row>
        <row r="129">
          <cell r="B129" t="str">
            <v>TNLP3</v>
          </cell>
          <cell r="G129">
            <v>0.539723467475267</v>
          </cell>
          <cell r="H129" t="str">
            <v>TMAR3</v>
          </cell>
          <cell r="K129" t="str">
            <v>Valor em ONs TMAR p/ PNs</v>
          </cell>
          <cell r="L129">
            <v>0</v>
          </cell>
          <cell r="N129" t="str">
            <v>TMAR3 p/ TNLP4</v>
          </cell>
          <cell r="O129">
            <v>-4.0161800843746499E-3</v>
          </cell>
        </row>
        <row r="130">
          <cell r="B130" t="str">
            <v>TNLP4</v>
          </cell>
          <cell r="G130">
            <v>0.52520124984903893</v>
          </cell>
          <cell r="H130" t="str">
            <v>TMAR5</v>
          </cell>
          <cell r="K130" t="str">
            <v>Valor em TMAR5 p/ PNs</v>
          </cell>
          <cell r="L130">
            <v>24.777619047619048</v>
          </cell>
        </row>
        <row r="133">
          <cell r="B133" t="str">
            <v>Novas ações emitidas para acionistas TNL (MM)</v>
          </cell>
        </row>
        <row r="134">
          <cell r="B134" t="str">
            <v>TMAR3</v>
          </cell>
          <cell r="H134">
            <v>79.124661035075775</v>
          </cell>
        </row>
        <row r="135">
          <cell r="B135" t="str">
            <v>TMAR5</v>
          </cell>
          <cell r="H135">
            <v>133.793862956293</v>
          </cell>
        </row>
        <row r="136">
          <cell r="L136" t="str">
            <v>Estrutura societária pós-transação</v>
          </cell>
        </row>
        <row r="140">
          <cell r="M140" t="str">
            <v>ON</v>
          </cell>
          <cell r="O140" t="str">
            <v>PN</v>
          </cell>
          <cell r="Q140" t="str">
            <v>Total</v>
          </cell>
        </row>
        <row r="141">
          <cell r="M141" t="str">
            <v># ações</v>
          </cell>
          <cell r="N141" t="str">
            <v>%</v>
          </cell>
          <cell r="O141" t="str">
            <v># ações</v>
          </cell>
          <cell r="P141" t="str">
            <v>%</v>
          </cell>
          <cell r="Q141" t="str">
            <v># ações</v>
          </cell>
          <cell r="R141" t="str">
            <v>%</v>
          </cell>
        </row>
        <row r="142">
          <cell r="L142" t="str">
            <v>TmarPart</v>
          </cell>
          <cell r="M142">
            <v>47.234201319726267</v>
          </cell>
          <cell r="N142">
            <v>0.57630880771424975</v>
          </cell>
          <cell r="O142">
            <v>0</v>
          </cell>
          <cell r="P142">
            <v>0</v>
          </cell>
          <cell r="Q142">
            <v>47.234201319726267</v>
          </cell>
          <cell r="R142">
            <v>0.19457716374465972</v>
          </cell>
        </row>
        <row r="143">
          <cell r="L143" t="str">
            <v>AG Tel</v>
          </cell>
          <cell r="M143">
            <v>0.31846383198378125</v>
          </cell>
          <cell r="N143">
            <v>3.8856063230190709E-3</v>
          </cell>
          <cell r="O143">
            <v>5.9876594731389128</v>
          </cell>
          <cell r="P143">
            <v>3.7238268586513183E-2</v>
          </cell>
          <cell r="Q143">
            <v>6.3061233051226937</v>
          </cell>
          <cell r="R143">
            <v>2.5977523757185528E-2</v>
          </cell>
        </row>
        <row r="144">
          <cell r="L144" t="str">
            <v>L.F. Tel</v>
          </cell>
          <cell r="M144">
            <v>0.31857177667727632</v>
          </cell>
          <cell r="N144">
            <v>3.8869233660910208E-3</v>
          </cell>
          <cell r="O144">
            <v>5.9875545452157191</v>
          </cell>
          <cell r="P144">
            <v>3.7237616021983819E-2</v>
          </cell>
          <cell r="Q144">
            <v>6.3061263218929957</v>
          </cell>
          <cell r="R144">
            <v>2.59775361845071E-2</v>
          </cell>
        </row>
        <row r="145">
          <cell r="L145" t="str">
            <v>Outros TNL</v>
          </cell>
          <cell r="M145">
            <v>31.253424106688438</v>
          </cell>
          <cell r="N145">
            <v>0.38132588422515085</v>
          </cell>
          <cell r="O145">
            <v>121.81864893793836</v>
          </cell>
          <cell r="P145">
            <v>0.75761081409979281</v>
          </cell>
          <cell r="Q145">
            <v>153.07207304462679</v>
          </cell>
          <cell r="R145">
            <v>0.630567025362195</v>
          </cell>
        </row>
        <row r="146">
          <cell r="L146" t="str">
            <v>Outros TMAR</v>
          </cell>
          <cell r="M146">
            <v>2.8352199999999996</v>
          </cell>
          <cell r="N146">
            <v>3.4592778371489233E-2</v>
          </cell>
          <cell r="O146">
            <v>26.999312999999997</v>
          </cell>
          <cell r="P146">
            <v>0.1679133012917102</v>
          </cell>
          <cell r="Q146">
            <v>29.834532999999997</v>
          </cell>
          <cell r="R146">
            <v>0.12290075095145263</v>
          </cell>
        </row>
        <row r="148">
          <cell r="L148" t="str">
            <v>Total</v>
          </cell>
          <cell r="M148">
            <v>81.959881035075767</v>
          </cell>
          <cell r="N148">
            <v>1</v>
          </cell>
          <cell r="O148">
            <v>160.793175956293</v>
          </cell>
          <cell r="P148">
            <v>1</v>
          </cell>
          <cell r="Q148">
            <v>242.75305699136874</v>
          </cell>
          <cell r="R148">
            <v>1</v>
          </cell>
        </row>
        <row r="150">
          <cell r="L150" t="str">
            <v>% ON / Total</v>
          </cell>
          <cell r="O150">
            <v>0.33762656607034991</v>
          </cell>
        </row>
        <row r="151">
          <cell r="L151" t="str">
            <v>TmarPart + Outros TmarPart1</v>
          </cell>
          <cell r="O151">
            <v>0.63706678358416291</v>
          </cell>
        </row>
        <row r="154">
          <cell r="L154" t="str">
            <v>Participação direta TMAR Part na TMAR</v>
          </cell>
          <cell r="R154">
            <v>0.19457716374465972</v>
          </cell>
        </row>
        <row r="156">
          <cell r="L156" t="str">
            <v>% AG/LF na TMAR Part</v>
          </cell>
          <cell r="R156">
            <v>0.19325018044186537</v>
          </cell>
        </row>
        <row r="157">
          <cell r="L157" t="str">
            <v>Participação AG/LF na TMAR via TMAR Part</v>
          </cell>
          <cell r="R157">
            <v>3.7602072003521878E-2</v>
          </cell>
        </row>
        <row r="159">
          <cell r="L159" t="str">
            <v>Participação direta AG/LF na TMAR</v>
          </cell>
          <cell r="R159">
            <v>2.5977523757185528E-2</v>
          </cell>
        </row>
        <row r="161">
          <cell r="L161" t="str">
            <v>Participação direta e indireta de AG/LF na TMAR</v>
          </cell>
          <cell r="R161">
            <v>6.3579595760707402E-2</v>
          </cell>
        </row>
        <row r="163">
          <cell r="L163" t="str">
            <v>Ações que TmarPart deveria comprar para garantir 50,1%</v>
          </cell>
          <cell r="R163">
            <v>0</v>
          </cell>
        </row>
        <row r="164">
          <cell r="L164" t="str">
            <v>Relação de troca TNLP3/TMAR3</v>
          </cell>
          <cell r="R164">
            <v>0.539723467475267</v>
          </cell>
        </row>
        <row r="165">
          <cell r="L165" t="str">
            <v>Número de TNLP3 para aquisição pré-incorporação</v>
          </cell>
          <cell r="R165">
            <v>0</v>
          </cell>
        </row>
        <row r="166">
          <cell r="L166" t="str">
            <v>Preço TNLP3</v>
          </cell>
          <cell r="R166">
            <v>32.456428571428575</v>
          </cell>
        </row>
        <row r="167">
          <cell r="L167" t="str">
            <v>Desembolso Tmar Part</v>
          </cell>
          <cell r="R167">
            <v>0</v>
          </cell>
        </row>
        <row r="170">
          <cell r="B170" t="str">
            <v>Ações BNDES</v>
          </cell>
        </row>
        <row r="172">
          <cell r="A172" t="str">
            <v>(A)</v>
          </cell>
          <cell r="B172" t="str">
            <v># TMAR5 detidas pela Tmar Part (MM)</v>
          </cell>
          <cell r="H172">
            <v>13.079176</v>
          </cell>
        </row>
        <row r="174">
          <cell r="A174" t="str">
            <v>(B)</v>
          </cell>
          <cell r="B174" t="str">
            <v>Relação de troca implícita TMAR5/TNLP3 no aumento de capital</v>
          </cell>
          <cell r="H174">
            <v>0.68796589448687795</v>
          </cell>
        </row>
        <row r="176">
          <cell r="A176" t="str">
            <v>(C) = (A) / (B)</v>
          </cell>
          <cell r="B176" t="str">
            <v># TNLP3 compradas p/ TmarPart no aumento de capital (MM)</v>
          </cell>
          <cell r="H176">
            <v>19.011372663691642</v>
          </cell>
        </row>
        <row r="178">
          <cell r="A178" t="str">
            <v>(D)</v>
          </cell>
          <cell r="B178" t="str">
            <v># TMAR5 vinculadas à dívida conversível do BNDES (MM)</v>
          </cell>
          <cell r="H178">
            <v>12.243116000000001</v>
          </cell>
        </row>
        <row r="179">
          <cell r="A179" t="str">
            <v xml:space="preserve">(E) = (D) / (B) </v>
          </cell>
          <cell r="B179" t="str">
            <v>Ações equivalentes TNLP3 recebidas (MM)</v>
          </cell>
          <cell r="H179">
            <v>17.796108932306268</v>
          </cell>
        </row>
        <row r="181">
          <cell r="A181" t="str">
            <v>(F)</v>
          </cell>
          <cell r="B181" t="str">
            <v>Relação de troca TMAR3/TNLP3 na incorporação</v>
          </cell>
          <cell r="H181">
            <v>0.539723467475267</v>
          </cell>
        </row>
        <row r="183">
          <cell r="A183" t="str">
            <v>(G) = (E) * (F)</v>
          </cell>
          <cell r="B183" t="str">
            <v>Ações equivalentes TMAR3 recebidas</v>
          </cell>
          <cell r="H183">
            <v>9.6049776205119102</v>
          </cell>
        </row>
        <row r="185">
          <cell r="A185" t="str">
            <v>(H)</v>
          </cell>
          <cell r="B185" t="str">
            <v>Total de ações TMAR3 pós-incorporação (MM)</v>
          </cell>
          <cell r="H185">
            <v>81.959881035075767</v>
          </cell>
        </row>
        <row r="186">
          <cell r="A186" t="str">
            <v>(I)</v>
          </cell>
          <cell r="B186" t="str">
            <v>TMAR3 detidas p/ TmarPart pós-transação (MM)</v>
          </cell>
          <cell r="H186">
            <v>47.234201319726267</v>
          </cell>
        </row>
        <row r="187">
          <cell r="A187" t="str">
            <v>(J)</v>
          </cell>
          <cell r="B187" t="str">
            <v>TMAR3 detidas p/ AG, LF e outros TmarPart (MM)</v>
          </cell>
          <cell r="H187">
            <v>4.9797164742300888</v>
          </cell>
        </row>
        <row r="188">
          <cell r="A188" t="str">
            <v>(I) / (H)</v>
          </cell>
          <cell r="B188" t="str">
            <v>% TmarPart em TMAR3</v>
          </cell>
          <cell r="H188">
            <v>0.57630880771424975</v>
          </cell>
        </row>
        <row r="189">
          <cell r="A189" t="str">
            <v>((I) + (J)) / (H)</v>
          </cell>
          <cell r="B189" t="str">
            <v>% TmarPart+AG+LF+Fundos em TMAR3</v>
          </cell>
          <cell r="H189">
            <v>0.63706678358416291</v>
          </cell>
        </row>
        <row r="191">
          <cell r="A191" t="str">
            <v>(K)</v>
          </cell>
          <cell r="B191" t="str">
            <v>% mínimo de TMAR3 para TmarPart manter controle</v>
          </cell>
          <cell r="H191">
            <v>0.501</v>
          </cell>
        </row>
        <row r="192">
          <cell r="A192" t="str">
            <v>(L) = (H) * (K)</v>
          </cell>
          <cell r="B192" t="str">
            <v>Número mínimo de TMAR3 para TmarPart (MM)</v>
          </cell>
          <cell r="H192">
            <v>41.061900398572959</v>
          </cell>
        </row>
        <row r="193">
          <cell r="A193" t="str">
            <v>(M) = (I) - (L)</v>
          </cell>
          <cell r="B193" t="str">
            <v>TMAR3 "livres" detidas pela TmarPart (MM)</v>
          </cell>
          <cell r="H193">
            <v>6.1723009211533082</v>
          </cell>
        </row>
        <row r="194">
          <cell r="A194" t="str">
            <v>(G)</v>
          </cell>
          <cell r="B194" t="str">
            <v>(-) ações TMAR3 vinculadas à debenture conversível (MM)</v>
          </cell>
          <cell r="H194">
            <v>9.6049776205119102</v>
          </cell>
        </row>
        <row r="195">
          <cell r="A195" t="str">
            <v>(N) = (M) + (G)</v>
          </cell>
          <cell r="B195" t="str">
            <v>Ações de controle vinculadas à dívida do BNDES (MM)</v>
          </cell>
          <cell r="H195">
            <v>3.432676699358602</v>
          </cell>
        </row>
        <row r="198">
          <cell r="B198" t="str">
            <v>Impacto no fluxo de dividendos</v>
          </cell>
        </row>
        <row r="200">
          <cell r="B200" t="str">
            <v>Fluxo de dividendos atual</v>
          </cell>
        </row>
        <row r="202">
          <cell r="B202" t="str">
            <v>Dividendo total distribuído pela TMAR</v>
          </cell>
          <cell r="H202">
            <v>1000</v>
          </cell>
        </row>
        <row r="204">
          <cell r="B204" t="str">
            <v>Número de ações TMAR</v>
          </cell>
        </row>
        <row r="205">
          <cell r="B205" t="str">
            <v>ON</v>
          </cell>
          <cell r="H205">
            <v>107.06309300000001</v>
          </cell>
        </row>
        <row r="206">
          <cell r="B206" t="str">
            <v>PN</v>
          </cell>
          <cell r="H206">
            <v>131.328262</v>
          </cell>
        </row>
        <row r="208">
          <cell r="B208" t="str">
            <v>Dividendo por ação TMAR</v>
          </cell>
        </row>
        <row r="209">
          <cell r="B209" t="str">
            <v>ON</v>
          </cell>
          <cell r="H209">
            <v>3.9757608800437669</v>
          </cell>
        </row>
        <row r="210">
          <cell r="B210" t="str">
            <v>PN</v>
          </cell>
          <cell r="H210">
            <v>4.373336968048144</v>
          </cell>
        </row>
        <row r="212">
          <cell r="B212" t="str">
            <v>Dividendos totais recebidos pela TNL</v>
          </cell>
          <cell r="H212">
            <v>813.45110567047141</v>
          </cell>
        </row>
        <row r="213">
          <cell r="B213" t="str">
            <v>Dividendo por ação TNL</v>
          </cell>
          <cell r="H213">
            <v>2.1260505681073338</v>
          </cell>
        </row>
        <row r="215">
          <cell r="B215" t="str">
            <v>Dividendos totais TmarPart</v>
          </cell>
        </row>
        <row r="216">
          <cell r="B216" t="str">
            <v>Via TNL</v>
          </cell>
          <cell r="H216">
            <v>145.64336568908107</v>
          </cell>
        </row>
        <row r="217">
          <cell r="B217" t="str">
            <v>Participação direta na TmarPart</v>
          </cell>
          <cell r="H217">
            <v>57.19964391240805</v>
          </cell>
        </row>
        <row r="218">
          <cell r="B218" t="str">
            <v>Dividendos totais para Tmar Part</v>
          </cell>
          <cell r="H218">
            <v>202.84300960148911</v>
          </cell>
        </row>
        <row r="220">
          <cell r="B220" t="str">
            <v>Dividendos totais AG/LF</v>
          </cell>
        </row>
        <row r="221">
          <cell r="B221" t="str">
            <v>Via TmarPart</v>
          </cell>
          <cell r="H221">
            <v>39.199448206858804</v>
          </cell>
        </row>
        <row r="222">
          <cell r="B222" t="str">
            <v>Participação direta na TNL</v>
          </cell>
          <cell r="H222">
            <v>25.518878666463923</v>
          </cell>
        </row>
        <row r="223">
          <cell r="B223" t="str">
            <v>Dividendos totais para AG/LF</v>
          </cell>
          <cell r="H223">
            <v>64.718326873322724</v>
          </cell>
        </row>
        <row r="225">
          <cell r="B225" t="str">
            <v>Fluxo de dividendos pós-incorporação</v>
          </cell>
        </row>
        <row r="227">
          <cell r="B227" t="str">
            <v>Dividendo total distribuído pela TMAR</v>
          </cell>
          <cell r="H227">
            <v>1000</v>
          </cell>
        </row>
        <row r="229">
          <cell r="B229" t="str">
            <v>Número de ações TMAR</v>
          </cell>
        </row>
        <row r="230">
          <cell r="B230" t="str">
            <v>ON</v>
          </cell>
          <cell r="H230">
            <v>81.959881035075767</v>
          </cell>
        </row>
        <row r="231">
          <cell r="B231" t="str">
            <v>PN</v>
          </cell>
          <cell r="H231">
            <v>160.793175956293</v>
          </cell>
          <cell r="I231">
            <v>0.33762656607034985</v>
          </cell>
        </row>
        <row r="233">
          <cell r="B233" t="str">
            <v>Dividendo por ação TMAR</v>
          </cell>
        </row>
        <row r="234">
          <cell r="B234" t="str">
            <v>ON</v>
          </cell>
          <cell r="H234">
            <v>3.8635043301504872</v>
          </cell>
          <cell r="I234">
            <v>1000</v>
          </cell>
        </row>
        <row r="235">
          <cell r="B235" t="str">
            <v>PN</v>
          </cell>
          <cell r="H235">
            <v>4.2498547631655361</v>
          </cell>
        </row>
        <row r="237">
          <cell r="G237" t="str">
            <v>Variação</v>
          </cell>
          <cell r="H237" t="str">
            <v>Total</v>
          </cell>
        </row>
        <row r="238">
          <cell r="B238" t="str">
            <v>Dividendos para Tmar Part</v>
          </cell>
          <cell r="G238">
            <v>-0.10034098937653213</v>
          </cell>
          <cell r="H238">
            <v>182.48954132996229</v>
          </cell>
        </row>
        <row r="240">
          <cell r="G240" t="str">
            <v>Variação</v>
          </cell>
          <cell r="H240" t="str">
            <v>Total</v>
          </cell>
        </row>
        <row r="241">
          <cell r="B241" t="str">
            <v>Dividendos para AG/LF</v>
          </cell>
          <cell r="G241">
            <v>-4.2879979916475075E-2</v>
          </cell>
          <cell r="H241">
            <v>61.943206316766776</v>
          </cell>
        </row>
        <row r="244">
          <cell r="Z244" t="str">
            <v>Adesão das ONs no aumento de capital na TNL1</v>
          </cell>
          <cell r="AG244" t="str">
            <v>Adesão das PNs no aumento de capital na TNL1</v>
          </cell>
        </row>
        <row r="245">
          <cell r="U245">
            <v>0</v>
          </cell>
          <cell r="V245">
            <v>0</v>
          </cell>
          <cell r="W245">
            <v>0.25</v>
          </cell>
          <cell r="X245">
            <v>0.5</v>
          </cell>
          <cell r="Y245">
            <v>0.75</v>
          </cell>
          <cell r="Z245">
            <v>1</v>
          </cell>
          <cell r="AB245">
            <v>0</v>
          </cell>
          <cell r="AC245">
            <v>0</v>
          </cell>
          <cell r="AD245">
            <v>0.25</v>
          </cell>
          <cell r="AE245">
            <v>0.5</v>
          </cell>
          <cell r="AF245">
            <v>0.75</v>
          </cell>
          <cell r="AG245">
            <v>1</v>
          </cell>
        </row>
        <row r="246">
          <cell r="V246">
            <v>0.57597858118371326</v>
          </cell>
          <cell r="W246">
            <v>0.56126255566340522</v>
          </cell>
          <cell r="X246">
            <v>0.54727317328497094</v>
          </cell>
          <cell r="Y246">
            <v>0.53395827162251319</v>
          </cell>
          <cell r="Z246">
            <v>0.52127053818039581</v>
          </cell>
          <cell r="AC246">
            <v>0.57597858118371326</v>
          </cell>
          <cell r="AD246">
            <v>0.56126255566340522</v>
          </cell>
          <cell r="AE246">
            <v>0.54727317328497094</v>
          </cell>
          <cell r="AF246">
            <v>0.53395827162251319</v>
          </cell>
          <cell r="AG246">
            <v>0.52127053818039581</v>
          </cell>
        </row>
        <row r="247">
          <cell r="U247">
            <v>0</v>
          </cell>
          <cell r="V247">
            <v>0.57597858118371326</v>
          </cell>
          <cell r="W247">
            <v>0.56126255566340522</v>
          </cell>
          <cell r="X247">
            <v>0.54727317328497094</v>
          </cell>
          <cell r="Y247">
            <v>0.53395827162251319</v>
          </cell>
          <cell r="Z247">
            <v>0.52127053818039581</v>
          </cell>
          <cell r="AB247">
            <v>0</v>
          </cell>
          <cell r="AC247">
            <v>0.57597858118371326</v>
          </cell>
          <cell r="AD247">
            <v>0.56126255566340522</v>
          </cell>
          <cell r="AE247">
            <v>0.54727317328497094</v>
          </cell>
          <cell r="AF247">
            <v>0.53395827162251319</v>
          </cell>
          <cell r="AG247">
            <v>0.52127053818039581</v>
          </cell>
        </row>
        <row r="248">
          <cell r="U248">
            <v>0.66666666666666696</v>
          </cell>
          <cell r="V248">
            <v>0.57597858118371326</v>
          </cell>
          <cell r="W248">
            <v>0.56108242386285101</v>
          </cell>
          <cell r="X248">
            <v>0.54693734113857573</v>
          </cell>
          <cell r="Y248">
            <v>0.53348792530430633</v>
          </cell>
          <cell r="Z248">
            <v>0.5206840878461575</v>
          </cell>
          <cell r="AB248">
            <v>0.66666666666666696</v>
          </cell>
          <cell r="AC248">
            <v>0.57597858118371326</v>
          </cell>
          <cell r="AD248">
            <v>0.56108242386285101</v>
          </cell>
          <cell r="AE248">
            <v>0.54693734113857573</v>
          </cell>
          <cell r="AF248">
            <v>0.53348792530430633</v>
          </cell>
          <cell r="AG248">
            <v>0.5206840878461575</v>
          </cell>
        </row>
        <row r="249">
          <cell r="U249">
            <v>1</v>
          </cell>
          <cell r="V249">
            <v>0.57597858118371326</v>
          </cell>
          <cell r="W249">
            <v>0.56108242386285101</v>
          </cell>
          <cell r="X249">
            <v>0.54693734113857573</v>
          </cell>
          <cell r="Y249">
            <v>0.53348792530430633</v>
          </cell>
          <cell r="Z249">
            <v>0.5206840878461575</v>
          </cell>
          <cell r="AB249">
            <v>1</v>
          </cell>
          <cell r="AC249">
            <v>0.57597858118371326</v>
          </cell>
          <cell r="AD249">
            <v>0.56108242386285101</v>
          </cell>
          <cell r="AE249">
            <v>0.54693734113857573</v>
          </cell>
          <cell r="AF249">
            <v>0.53348792530430633</v>
          </cell>
          <cell r="AG249">
            <v>0.5206840878461575</v>
          </cell>
        </row>
        <row r="251">
          <cell r="U251" t="str">
            <v>Sem TMAR7</v>
          </cell>
        </row>
        <row r="253">
          <cell r="Z253" t="str">
            <v>Adesão das ONs no aumento de capital na TNL1</v>
          </cell>
          <cell r="AG253" t="str">
            <v>Adesão das ONs no aumento de capital na TNL1</v>
          </cell>
        </row>
        <row r="254">
          <cell r="U254">
            <v>-0.10034098937653213</v>
          </cell>
          <cell r="V254">
            <v>0</v>
          </cell>
          <cell r="W254">
            <v>0.25</v>
          </cell>
          <cell r="X254">
            <v>0.5</v>
          </cell>
          <cell r="Y254">
            <v>0.75</v>
          </cell>
          <cell r="Z254">
            <v>1</v>
          </cell>
          <cell r="AB254">
            <v>-4.2879979916475075E-2</v>
          </cell>
          <cell r="AC254">
            <v>0</v>
          </cell>
          <cell r="AD254">
            <v>0.25</v>
          </cell>
          <cell r="AE254">
            <v>0.5</v>
          </cell>
          <cell r="AF254">
            <v>0.75</v>
          </cell>
          <cell r="AG254">
            <v>1</v>
          </cell>
        </row>
        <row r="255">
          <cell r="V255">
            <v>-7.412863452331675E-2</v>
          </cell>
          <cell r="W255">
            <v>-8.2323650983558871E-2</v>
          </cell>
          <cell r="X255">
            <v>-9.0350353017848994E-2</v>
          </cell>
          <cell r="Y255">
            <v>-9.8215040996567637E-2</v>
          </cell>
          <cell r="Z255">
            <v>-0.10592364250326736</v>
          </cell>
          <cell r="AC255">
            <v>-2.8423204423043358E-2</v>
          </cell>
          <cell r="AD255">
            <v>-3.4511899560265902E-2</v>
          </cell>
          <cell r="AE255">
            <v>-4.0512930126711089E-2</v>
          </cell>
          <cell r="AF255">
            <v>-4.6428040632725986E-2</v>
          </cell>
          <cell r="AG255">
            <v>-5.2258939913447211E-2</v>
          </cell>
        </row>
        <row r="256">
          <cell r="U256">
            <v>0</v>
          </cell>
          <cell r="V256">
            <v>-7.412863452331675E-2</v>
          </cell>
          <cell r="W256">
            <v>-8.2323650983558871E-2</v>
          </cell>
          <cell r="X256">
            <v>-9.0350353017848994E-2</v>
          </cell>
          <cell r="Y256">
            <v>-9.8215040996567637E-2</v>
          </cell>
          <cell r="Z256">
            <v>-0.10592364250326736</v>
          </cell>
          <cell r="AB256">
            <v>0</v>
          </cell>
          <cell r="AC256">
            <v>-2.8423204423043358E-2</v>
          </cell>
          <cell r="AD256">
            <v>-3.4511899560265902E-2</v>
          </cell>
          <cell r="AE256">
            <v>-4.0512930126711089E-2</v>
          </cell>
          <cell r="AF256">
            <v>-4.6428040632725986E-2</v>
          </cell>
          <cell r="AG256">
            <v>-5.2258939913447211E-2</v>
          </cell>
        </row>
        <row r="257">
          <cell r="U257">
            <v>0.25</v>
          </cell>
          <cell r="V257">
            <v>-0.1200014969048937</v>
          </cell>
          <cell r="W257">
            <v>-0.12742215635629472</v>
          </cell>
          <cell r="X257">
            <v>-0.13469792215869703</v>
          </cell>
          <cell r="Y257">
            <v>-0.14183390452979072</v>
          </cell>
          <cell r="Z257">
            <v>-0.14883493167176487</v>
          </cell>
          <cell r="AB257">
            <v>0.25</v>
          </cell>
          <cell r="AC257">
            <v>-3.9452170588035962E-2</v>
          </cell>
          <cell r="AD257">
            <v>-4.5260539182465975E-2</v>
          </cell>
          <cell r="AE257">
            <v>-5.0985074693813748E-2</v>
          </cell>
          <cell r="AF257">
            <v>-5.6627617054436641E-2</v>
          </cell>
          <cell r="AG257">
            <v>-6.218995022135787E-2</v>
          </cell>
        </row>
        <row r="258">
          <cell r="U258">
            <v>0.5</v>
          </cell>
          <cell r="V258">
            <v>-0.16198092172055678</v>
          </cell>
          <cell r="W258">
            <v>-0.16871749960329485</v>
          </cell>
          <cell r="X258">
            <v>-0.17532908312422224</v>
          </cell>
          <cell r="Y258">
            <v>-0.18181982707394262</v>
          </cell>
          <cell r="Z258">
            <v>-0.18819367188993341</v>
          </cell>
          <cell r="AB258">
            <v>0.5</v>
          </cell>
          <cell r="AC258">
            <v>-5.0007755737357273E-2</v>
          </cell>
          <cell r="AD258">
            <v>-5.553731099474335E-2</v>
          </cell>
          <cell r="AE258">
            <v>-6.0988146463928472E-2</v>
          </cell>
          <cell r="AF258">
            <v>-6.6362043187649378E-2</v>
          </cell>
          <cell r="AG258">
            <v>-7.1660722232186558E-2</v>
          </cell>
        </row>
        <row r="259">
          <cell r="U259">
            <v>0.75</v>
          </cell>
          <cell r="V259">
            <v>-0.20044752781505115</v>
          </cell>
          <cell r="W259">
            <v>-0.20658110516829065</v>
          </cell>
          <cell r="X259">
            <v>-0.2126064708496519</v>
          </cell>
          <cell r="Y259">
            <v>-0.2185270196199397</v>
          </cell>
          <cell r="Z259">
            <v>-0.22434598204172718</v>
          </cell>
          <cell r="AB259">
            <v>0.75</v>
          </cell>
          <cell r="AC259">
            <v>-6.0019895501534304E-2</v>
          </cell>
          <cell r="AD259">
            <v>-6.528073222966313E-2</v>
          </cell>
          <cell r="AE259">
            <v>-7.0468360607396807E-2</v>
          </cell>
          <cell r="AF259">
            <v>-7.5584436915793862E-2</v>
          </cell>
          <cell r="AG259">
            <v>-8.0630560353918135E-2</v>
          </cell>
        </row>
        <row r="260">
          <cell r="U260">
            <v>1</v>
          </cell>
          <cell r="V260">
            <v>-0.23576247083876145</v>
          </cell>
          <cell r="W260">
            <v>-0.24136433352205366</v>
          </cell>
          <cell r="X260">
            <v>-0.24687211519959307</v>
          </cell>
          <cell r="Y260">
            <v>-0.25228860671458042</v>
          </cell>
          <cell r="Z260">
            <v>-0.25761647198396931</v>
          </cell>
          <cell r="AB260">
            <v>1</v>
          </cell>
          <cell r="AC260">
            <v>-6.9467319422856555E-2</v>
          </cell>
          <cell r="AD260">
            <v>-7.4473622394144345E-2</v>
          </cell>
          <cell r="AE260">
            <v>-7.9412178194503191E-2</v>
          </cell>
          <cell r="AF260">
            <v>-8.4284495795089454E-2</v>
          </cell>
          <cell r="AG260">
            <v>-8.9092032575819879E-2</v>
          </cell>
        </row>
        <row r="263">
          <cell r="U263" t="str">
            <v>Com TMAR7</v>
          </cell>
        </row>
        <row r="265">
          <cell r="Z265" t="str">
            <v>Adesão das ONs no aumento de capital na TNL1</v>
          </cell>
          <cell r="AG265" t="str">
            <v>Adesão das ONs no aumento de capital na TNL1</v>
          </cell>
        </row>
        <row r="266">
          <cell r="U266" t="e">
            <v>#REF!</v>
          </cell>
          <cell r="V266">
            <v>0</v>
          </cell>
          <cell r="W266">
            <v>0.25</v>
          </cell>
          <cell r="X266">
            <v>0.5</v>
          </cell>
          <cell r="Y266">
            <v>0.75</v>
          </cell>
          <cell r="Z266">
            <v>1</v>
          </cell>
          <cell r="AB266" t="e">
            <v>#REF!</v>
          </cell>
          <cell r="AC266">
            <v>0</v>
          </cell>
          <cell r="AD266">
            <v>0.25</v>
          </cell>
          <cell r="AE266">
            <v>0.5</v>
          </cell>
          <cell r="AF266">
            <v>0.75</v>
          </cell>
          <cell r="AG266">
            <v>1</v>
          </cell>
        </row>
        <row r="267">
          <cell r="V267" t="e">
            <v>#REF!</v>
          </cell>
          <cell r="W267" t="e">
            <v>#REF!</v>
          </cell>
          <cell r="X267" t="e">
            <v>#REF!</v>
          </cell>
          <cell r="Y267" t="e">
            <v>#REF!</v>
          </cell>
          <cell r="Z267" t="e">
            <v>#REF!</v>
          </cell>
          <cell r="AC267" t="e">
            <v>#REF!</v>
          </cell>
          <cell r="AD267" t="e">
            <v>#REF!</v>
          </cell>
          <cell r="AE267" t="e">
            <v>#REF!</v>
          </cell>
          <cell r="AF267" t="e">
            <v>#REF!</v>
          </cell>
          <cell r="AG267" t="e">
            <v>#REF!</v>
          </cell>
        </row>
        <row r="268">
          <cell r="U268">
            <v>0</v>
          </cell>
          <cell r="V268" t="e">
            <v>#REF!</v>
          </cell>
          <cell r="W268" t="e">
            <v>#REF!</v>
          </cell>
          <cell r="X268" t="e">
            <v>#REF!</v>
          </cell>
          <cell r="Y268" t="e">
            <v>#REF!</v>
          </cell>
          <cell r="Z268" t="e">
            <v>#REF!</v>
          </cell>
          <cell r="AB268">
            <v>0</v>
          </cell>
          <cell r="AC268" t="e">
            <v>#REF!</v>
          </cell>
          <cell r="AD268" t="e">
            <v>#REF!</v>
          </cell>
          <cell r="AE268" t="e">
            <v>#REF!</v>
          </cell>
          <cell r="AF268" t="e">
            <v>#REF!</v>
          </cell>
          <cell r="AG268" t="e">
            <v>#REF!</v>
          </cell>
        </row>
        <row r="269">
          <cell r="U269">
            <v>0.25</v>
          </cell>
          <cell r="V269" t="e">
            <v>#REF!</v>
          </cell>
          <cell r="W269" t="e">
            <v>#REF!</v>
          </cell>
          <cell r="X269" t="e">
            <v>#REF!</v>
          </cell>
          <cell r="Y269" t="e">
            <v>#REF!</v>
          </cell>
          <cell r="Z269" t="e">
            <v>#REF!</v>
          </cell>
          <cell r="AB269">
            <v>0.25</v>
          </cell>
          <cell r="AC269" t="e">
            <v>#REF!</v>
          </cell>
          <cell r="AD269" t="e">
            <v>#REF!</v>
          </cell>
          <cell r="AE269" t="e">
            <v>#REF!</v>
          </cell>
          <cell r="AF269" t="e">
            <v>#REF!</v>
          </cell>
          <cell r="AG269" t="e">
            <v>#REF!</v>
          </cell>
        </row>
        <row r="270">
          <cell r="U270">
            <v>0.5</v>
          </cell>
          <cell r="V270" t="e">
            <v>#REF!</v>
          </cell>
          <cell r="W270" t="e">
            <v>#REF!</v>
          </cell>
          <cell r="X270" t="e">
            <v>#REF!</v>
          </cell>
          <cell r="Y270" t="e">
            <v>#REF!</v>
          </cell>
          <cell r="Z270" t="e">
            <v>#REF!</v>
          </cell>
          <cell r="AB270">
            <v>0.5</v>
          </cell>
          <cell r="AC270" t="e">
            <v>#REF!</v>
          </cell>
          <cell r="AD270" t="e">
            <v>#REF!</v>
          </cell>
          <cell r="AE270" t="e">
            <v>#REF!</v>
          </cell>
          <cell r="AF270" t="e">
            <v>#REF!</v>
          </cell>
          <cell r="AG270" t="e">
            <v>#REF!</v>
          </cell>
        </row>
        <row r="271">
          <cell r="U271">
            <v>0.75</v>
          </cell>
          <cell r="V271" t="e">
            <v>#REF!</v>
          </cell>
          <cell r="W271" t="e">
            <v>#REF!</v>
          </cell>
          <cell r="X271" t="e">
            <v>#REF!</v>
          </cell>
          <cell r="Y271" t="e">
            <v>#REF!</v>
          </cell>
          <cell r="Z271" t="e">
            <v>#REF!</v>
          </cell>
          <cell r="AB271">
            <v>0.75</v>
          </cell>
          <cell r="AC271" t="e">
            <v>#REF!</v>
          </cell>
          <cell r="AD271" t="e">
            <v>#REF!</v>
          </cell>
          <cell r="AE271" t="e">
            <v>#REF!</v>
          </cell>
          <cell r="AF271" t="e">
            <v>#REF!</v>
          </cell>
          <cell r="AG271" t="e">
            <v>#REF!</v>
          </cell>
        </row>
        <row r="272">
          <cell r="U272">
            <v>1</v>
          </cell>
          <cell r="V272" t="e">
            <v>#REF!</v>
          </cell>
          <cell r="W272" t="e">
            <v>#REF!</v>
          </cell>
          <cell r="X272" t="e">
            <v>#REF!</v>
          </cell>
          <cell r="Y272" t="e">
            <v>#REF!</v>
          </cell>
          <cell r="Z272" t="e">
            <v>#REF!</v>
          </cell>
          <cell r="AB272">
            <v>1</v>
          </cell>
          <cell r="AC272" t="e">
            <v>#REF!</v>
          </cell>
          <cell r="AD272" t="e">
            <v>#REF!</v>
          </cell>
          <cell r="AE272" t="e">
            <v>#REF!</v>
          </cell>
          <cell r="AF272" t="e">
            <v>#REF!</v>
          </cell>
          <cell r="AG272" t="e">
            <v>#REF!</v>
          </cell>
        </row>
      </sheetData>
      <sheetData sheetId="10">
        <row r="2">
          <cell r="A2" t="str">
            <v>Debentures do BNDES</v>
          </cell>
        </row>
        <row r="4">
          <cell r="E4" t="str">
            <v xml:space="preserve">Qtd. equiv. TNLP3  </v>
          </cell>
          <cell r="F4" t="str">
            <v xml:space="preserve">Qtd.  equiv. </v>
          </cell>
        </row>
        <row r="5">
          <cell r="B5" t="str">
            <v xml:space="preserve">Data de </v>
          </cell>
          <cell r="C5" t="str">
            <v xml:space="preserve">Qtd. </v>
          </cell>
          <cell r="D5" t="str">
            <v xml:space="preserve">Qtd. </v>
          </cell>
          <cell r="E5" t="str">
            <v xml:space="preserve">pós-aumento </v>
          </cell>
          <cell r="F5" t="str">
            <v>TMAR3 pós</v>
          </cell>
        </row>
        <row r="6">
          <cell r="B6" t="str">
            <v>Resgate</v>
          </cell>
          <cell r="C6" t="str">
            <v>títulos</v>
          </cell>
          <cell r="D6" t="str">
            <v>TMAR5</v>
          </cell>
          <cell r="E6" t="str">
            <v>de capital</v>
          </cell>
          <cell r="F6" t="str">
            <v>incorporação</v>
          </cell>
        </row>
        <row r="7">
          <cell r="B7">
            <v>40663</v>
          </cell>
          <cell r="C7">
            <v>66666</v>
          </cell>
          <cell r="D7">
            <v>816199.57125600008</v>
          </cell>
          <cell r="E7">
            <v>1186395.3980811299</v>
          </cell>
          <cell r="F7">
            <v>640325.43804904714</v>
          </cell>
        </row>
        <row r="8">
          <cell r="B8">
            <v>40846</v>
          </cell>
          <cell r="C8">
            <v>66666</v>
          </cell>
          <cell r="D8">
            <v>816199.57125600008</v>
          </cell>
          <cell r="E8">
            <v>1186395.3980811299</v>
          </cell>
          <cell r="F8">
            <v>640325.43804904714</v>
          </cell>
        </row>
        <row r="9">
          <cell r="B9">
            <v>41029</v>
          </cell>
          <cell r="C9">
            <v>66666</v>
          </cell>
          <cell r="D9">
            <v>816199.57125600008</v>
          </cell>
          <cell r="E9">
            <v>1186395.3980811299</v>
          </cell>
          <cell r="F9">
            <v>640325.43804904714</v>
          </cell>
        </row>
        <row r="10">
          <cell r="B10">
            <v>41212</v>
          </cell>
          <cell r="C10">
            <v>66666</v>
          </cell>
          <cell r="D10">
            <v>816199.57125600008</v>
          </cell>
          <cell r="E10">
            <v>1186395.3980811299</v>
          </cell>
          <cell r="F10">
            <v>640325.43804904714</v>
          </cell>
        </row>
        <row r="11">
          <cell r="B11">
            <v>41394</v>
          </cell>
          <cell r="C11">
            <v>66666</v>
          </cell>
          <cell r="D11">
            <v>816199.57125600008</v>
          </cell>
          <cell r="E11">
            <v>1186395.3980811299</v>
          </cell>
          <cell r="F11">
            <v>640325.43804904714</v>
          </cell>
        </row>
        <row r="12">
          <cell r="B12">
            <v>41577</v>
          </cell>
          <cell r="C12">
            <v>66667</v>
          </cell>
          <cell r="D12">
            <v>816211.81437200005</v>
          </cell>
          <cell r="E12">
            <v>1186413.1941900621</v>
          </cell>
          <cell r="F12">
            <v>640335.04302666767</v>
          </cell>
        </row>
        <row r="13">
          <cell r="B13">
            <v>41759</v>
          </cell>
          <cell r="C13">
            <v>66667</v>
          </cell>
          <cell r="D13">
            <v>816211.81437200005</v>
          </cell>
          <cell r="E13">
            <v>1186413.1941900621</v>
          </cell>
          <cell r="F13">
            <v>640335.04302666767</v>
          </cell>
        </row>
        <row r="14">
          <cell r="B14">
            <v>41942</v>
          </cell>
          <cell r="C14">
            <v>66667</v>
          </cell>
          <cell r="D14">
            <v>816211.81437200005</v>
          </cell>
          <cell r="E14">
            <v>1186413.1941900621</v>
          </cell>
          <cell r="F14">
            <v>640335.04302666767</v>
          </cell>
        </row>
        <row r="15">
          <cell r="B15">
            <v>42124</v>
          </cell>
          <cell r="C15">
            <v>66667</v>
          </cell>
          <cell r="D15">
            <v>816211.81437200005</v>
          </cell>
          <cell r="E15">
            <v>1186413.1941900621</v>
          </cell>
          <cell r="F15">
            <v>640335.04302666767</v>
          </cell>
        </row>
        <row r="16">
          <cell r="B16">
            <v>42307</v>
          </cell>
          <cell r="C16">
            <v>66667</v>
          </cell>
          <cell r="D16">
            <v>816211.81437200005</v>
          </cell>
          <cell r="E16">
            <v>1186413.1941900621</v>
          </cell>
          <cell r="F16">
            <v>640335.04302666767</v>
          </cell>
        </row>
        <row r="17">
          <cell r="B17">
            <v>42490</v>
          </cell>
          <cell r="C17">
            <v>66667</v>
          </cell>
          <cell r="D17">
            <v>816211.81437200005</v>
          </cell>
          <cell r="E17">
            <v>1186413.1941900621</v>
          </cell>
          <cell r="F17">
            <v>640335.04302666767</v>
          </cell>
        </row>
        <row r="18">
          <cell r="B18">
            <v>42673</v>
          </cell>
          <cell r="C18">
            <v>66667</v>
          </cell>
          <cell r="D18">
            <v>816211.81437200005</v>
          </cell>
          <cell r="E18">
            <v>1186413.1941900621</v>
          </cell>
          <cell r="F18">
            <v>640335.04302666767</v>
          </cell>
        </row>
        <row r="19">
          <cell r="B19">
            <v>42855</v>
          </cell>
          <cell r="C19">
            <v>66667</v>
          </cell>
          <cell r="D19">
            <v>816211.81437200005</v>
          </cell>
          <cell r="E19">
            <v>1186413.1941900621</v>
          </cell>
          <cell r="F19">
            <v>640335.04302666767</v>
          </cell>
        </row>
        <row r="20">
          <cell r="B20">
            <v>43038</v>
          </cell>
          <cell r="C20">
            <v>66667</v>
          </cell>
          <cell r="D20">
            <v>816211.81437200005</v>
          </cell>
          <cell r="E20">
            <v>1186413.1941900621</v>
          </cell>
          <cell r="F20">
            <v>640335.04302666767</v>
          </cell>
        </row>
        <row r="21">
          <cell r="B21">
            <v>43220</v>
          </cell>
          <cell r="C21">
            <v>66667</v>
          </cell>
          <cell r="D21">
            <v>816211.81437200005</v>
          </cell>
          <cell r="E21">
            <v>1186413.1941900621</v>
          </cell>
          <cell r="F21">
            <v>640335.04302666767</v>
          </cell>
        </row>
        <row r="22">
          <cell r="B22" t="str">
            <v>Total</v>
          </cell>
          <cell r="C22">
            <v>1000000</v>
          </cell>
          <cell r="D22">
            <v>12243116</v>
          </cell>
          <cell r="E22">
            <v>17796108.932306275</v>
          </cell>
          <cell r="F22">
            <v>9604977.6205119137</v>
          </cell>
        </row>
        <row r="25">
          <cell r="H25">
            <v>39568</v>
          </cell>
          <cell r="I25">
            <v>39751</v>
          </cell>
          <cell r="J25">
            <v>39933</v>
          </cell>
          <cell r="K25">
            <v>40116</v>
          </cell>
          <cell r="L25">
            <v>40298</v>
          </cell>
          <cell r="M25">
            <v>40481</v>
          </cell>
          <cell r="N25">
            <v>40663</v>
          </cell>
          <cell r="O25">
            <v>40846</v>
          </cell>
          <cell r="P25">
            <v>41029</v>
          </cell>
          <cell r="Q25">
            <v>41212</v>
          </cell>
          <cell r="R25">
            <v>41394</v>
          </cell>
          <cell r="S25">
            <v>41577</v>
          </cell>
          <cell r="T25">
            <v>41759</v>
          </cell>
          <cell r="U25">
            <v>41942</v>
          </cell>
          <cell r="V25">
            <v>42124</v>
          </cell>
          <cell r="W25">
            <v>42307</v>
          </cell>
          <cell r="X25">
            <v>42490</v>
          </cell>
          <cell r="Y25">
            <v>42673</v>
          </cell>
          <cell r="Z25">
            <v>42855</v>
          </cell>
          <cell r="AA25">
            <v>43038</v>
          </cell>
          <cell r="AB25">
            <v>43220</v>
          </cell>
        </row>
        <row r="27">
          <cell r="G27" t="str">
            <v>IPCA (%a.a.)</v>
          </cell>
          <cell r="H27">
            <v>5.8999999999999997E-2</v>
          </cell>
          <cell r="I27">
            <v>5.8999999999999997E-2</v>
          </cell>
          <cell r="J27">
            <v>4.7300000000000002E-2</v>
          </cell>
          <cell r="K27">
            <v>4.7300000000000002E-2</v>
          </cell>
          <cell r="L27">
            <v>5.6399999999999999E-2</v>
          </cell>
          <cell r="M27">
            <v>5.6399999999999999E-2</v>
          </cell>
          <cell r="N27">
            <v>4.8000000000000001E-2</v>
          </cell>
          <cell r="O27">
            <v>4.8000000000000001E-2</v>
          </cell>
          <cell r="P27">
            <v>4.4999999999999998E-2</v>
          </cell>
          <cell r="Q27">
            <v>4.4999999999999998E-2</v>
          </cell>
          <cell r="R27">
            <v>4.4999999999999998E-2</v>
          </cell>
          <cell r="S27">
            <v>4.4999999999999998E-2</v>
          </cell>
          <cell r="T27">
            <v>4.4999999999999998E-2</v>
          </cell>
          <cell r="U27">
            <v>4.4999999999999998E-2</v>
          </cell>
          <cell r="V27">
            <v>4.4999999999999998E-2</v>
          </cell>
          <cell r="W27">
            <v>4.4999999999999998E-2</v>
          </cell>
          <cell r="X27">
            <v>4.4999999999999998E-2</v>
          </cell>
          <cell r="Y27">
            <v>4.4999999999999998E-2</v>
          </cell>
          <cell r="Z27">
            <v>4.4999999999999998E-2</v>
          </cell>
          <cell r="AA27">
            <v>4.4999999999999998E-2</v>
          </cell>
          <cell r="AB27">
            <v>4.4999999999999998E-2</v>
          </cell>
        </row>
        <row r="28">
          <cell r="G28" t="str">
            <v>Índice de correção</v>
          </cell>
          <cell r="H28">
            <v>1</v>
          </cell>
          <cell r="I28">
            <v>1.029077256575035</v>
          </cell>
          <cell r="J28">
            <v>1.0531337521891508</v>
          </cell>
          <cell r="K28">
            <v>1.0777526108110336</v>
          </cell>
          <cell r="L28">
            <v>1.1077283733082779</v>
          </cell>
          <cell r="M28">
            <v>1.1385378580607761</v>
          </cell>
          <cell r="N28">
            <v>1.1655425088949032</v>
          </cell>
          <cell r="O28">
            <v>1.1931876752476931</v>
          </cell>
          <cell r="P28">
            <v>1.2197389825857532</v>
          </cell>
          <cell r="Q28">
            <v>1.2468811206338388</v>
          </cell>
          <cell r="R28">
            <v>1.2746272368021117</v>
          </cell>
          <cell r="S28">
            <v>1.3029907710623609</v>
          </cell>
          <cell r="T28">
            <v>1.3319854624582061</v>
          </cell>
          <cell r="U28">
            <v>1.3616253557601667</v>
          </cell>
          <cell r="V28">
            <v>1.3919248082688249</v>
          </cell>
          <cell r="W28">
            <v>1.4228984967693736</v>
          </cell>
          <cell r="X28">
            <v>1.4545614246409213</v>
          </cell>
          <cell r="Y28">
            <v>1.4869289291239949</v>
          </cell>
          <cell r="Z28">
            <v>1.5200166887497621</v>
          </cell>
          <cell r="AA28">
            <v>1.5538407309345739</v>
          </cell>
          <cell r="AB28">
            <v>1.5884174397435007</v>
          </cell>
        </row>
        <row r="30">
          <cell r="G30" t="str">
            <v>Em IPCA MM</v>
          </cell>
        </row>
        <row r="31">
          <cell r="G31" t="str">
            <v>Saldo inicial</v>
          </cell>
          <cell r="H31">
            <v>1239.6155000000001</v>
          </cell>
          <cell r="I31">
            <v>1239.6155000000001</v>
          </cell>
          <cell r="J31">
            <v>1239.6155000000003</v>
          </cell>
          <cell r="K31">
            <v>1239.6155000000003</v>
          </cell>
          <cell r="L31">
            <v>1239.6155000000003</v>
          </cell>
          <cell r="M31">
            <v>1239.6155000000003</v>
          </cell>
          <cell r="N31">
            <v>1239.6155000000003</v>
          </cell>
          <cell r="O31">
            <v>1156.9752930770003</v>
          </cell>
          <cell r="P31">
            <v>1074.3350861540002</v>
          </cell>
          <cell r="Q31">
            <v>991.69487923100019</v>
          </cell>
          <cell r="R31">
            <v>909.05467230800014</v>
          </cell>
          <cell r="S31">
            <v>826.41446538500009</v>
          </cell>
          <cell r="T31">
            <v>743.77301884650012</v>
          </cell>
          <cell r="U31">
            <v>661.13157230800016</v>
          </cell>
          <cell r="V31">
            <v>578.4901257695002</v>
          </cell>
          <cell r="W31">
            <v>495.84867923100018</v>
          </cell>
          <cell r="X31">
            <v>413.2072326925001</v>
          </cell>
          <cell r="Y31">
            <v>330.56578615400008</v>
          </cell>
          <cell r="Z31">
            <v>247.92433961550006</v>
          </cell>
          <cell r="AA31">
            <v>165.28289307700004</v>
          </cell>
          <cell r="AB31">
            <v>82.641446538500034</v>
          </cell>
        </row>
        <row r="32">
          <cell r="G32" t="str">
            <v>Juros acruados (IPCA + 5%a.a.)</v>
          </cell>
          <cell r="I32">
            <v>98.025392947890055</v>
          </cell>
          <cell r="J32">
            <v>90.958973330987945</v>
          </cell>
          <cell r="K32">
            <v>90.958973330987945</v>
          </cell>
          <cell r="L32">
            <v>96.458464446690485</v>
          </cell>
          <cell r="M32">
            <v>96.458464446690485</v>
          </cell>
          <cell r="N32">
            <v>91.382857248796839</v>
          </cell>
          <cell r="O32">
            <v>85.290727687448552</v>
          </cell>
          <cell r="P32">
            <v>77.623304507872831</v>
          </cell>
          <cell r="Q32">
            <v>71.652349980508433</v>
          </cell>
          <cell r="R32">
            <v>65.68139545314402</v>
          </cell>
          <cell r="S32">
            <v>59.710440925779622</v>
          </cell>
          <cell r="T32">
            <v>53.73939683320166</v>
          </cell>
          <cell r="U32">
            <v>47.768352740623705</v>
          </cell>
          <cell r="V32">
            <v>41.797308648045743</v>
          </cell>
          <cell r="W32">
            <v>35.82626455546778</v>
          </cell>
          <cell r="X32">
            <v>29.855220462889815</v>
          </cell>
          <cell r="Y32">
            <v>23.884176370311852</v>
          </cell>
          <cell r="Z32">
            <v>17.91313227773389</v>
          </cell>
          <cell r="AA32">
            <v>11.942088185155926</v>
          </cell>
          <cell r="AB32">
            <v>5.971044092577964</v>
          </cell>
        </row>
        <row r="33">
          <cell r="G33" t="str">
            <v>Juros pagos</v>
          </cell>
          <cell r="I33">
            <v>-98.025392947890055</v>
          </cell>
          <cell r="J33">
            <v>-90.958973330987945</v>
          </cell>
          <cell r="K33">
            <v>-90.958973330987945</v>
          </cell>
          <cell r="L33">
            <v>-96.458464446690485</v>
          </cell>
          <cell r="M33">
            <v>-96.458464446690485</v>
          </cell>
          <cell r="N33">
            <v>-91.382857248796839</v>
          </cell>
          <cell r="O33">
            <v>-85.290727687448552</v>
          </cell>
          <cell r="P33">
            <v>-77.623304507872831</v>
          </cell>
          <cell r="Q33">
            <v>-71.652349980508433</v>
          </cell>
          <cell r="R33">
            <v>-65.68139545314402</v>
          </cell>
          <cell r="S33">
            <v>-59.710440925779622</v>
          </cell>
          <cell r="T33">
            <v>-53.73939683320166</v>
          </cell>
          <cell r="U33">
            <v>-47.768352740623705</v>
          </cell>
          <cell r="V33">
            <v>-41.797308648045743</v>
          </cell>
          <cell r="W33">
            <v>-35.82626455546778</v>
          </cell>
          <cell r="X33">
            <v>-29.855220462889815</v>
          </cell>
          <cell r="Y33">
            <v>-23.884176370311852</v>
          </cell>
          <cell r="Z33">
            <v>-17.91313227773389</v>
          </cell>
          <cell r="AA33">
            <v>-11.942088185155926</v>
          </cell>
          <cell r="AB33">
            <v>-5.971044092577964</v>
          </cell>
        </row>
        <row r="34">
          <cell r="G34" t="str">
            <v>Amortização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-82.640206923000008</v>
          </cell>
          <cell r="O34">
            <v>-82.640206923000008</v>
          </cell>
          <cell r="P34">
            <v>-82.640206923000008</v>
          </cell>
          <cell r="Q34">
            <v>-82.640206923000008</v>
          </cell>
          <cell r="R34">
            <v>-82.640206923000008</v>
          </cell>
          <cell r="S34">
            <v>-82.641446538500006</v>
          </cell>
          <cell r="T34">
            <v>-82.641446538500006</v>
          </cell>
          <cell r="U34">
            <v>-82.641446538500006</v>
          </cell>
          <cell r="V34">
            <v>-82.641446538500006</v>
          </cell>
          <cell r="W34">
            <v>-82.641446538500006</v>
          </cell>
          <cell r="X34">
            <v>-82.641446538500006</v>
          </cell>
          <cell r="Y34">
            <v>-82.641446538500006</v>
          </cell>
          <cell r="Z34">
            <v>-82.641446538500006</v>
          </cell>
          <cell r="AA34">
            <v>-82.641446538500006</v>
          </cell>
          <cell r="AB34">
            <v>-82.641446538500006</v>
          </cell>
        </row>
        <row r="35">
          <cell r="G35" t="str">
            <v>Saldo final</v>
          </cell>
          <cell r="H35">
            <v>1239.6155000000001</v>
          </cell>
          <cell r="I35">
            <v>1239.6155000000003</v>
          </cell>
          <cell r="J35">
            <v>1239.6155000000003</v>
          </cell>
          <cell r="K35">
            <v>1239.6155000000003</v>
          </cell>
          <cell r="L35">
            <v>1239.6155000000003</v>
          </cell>
          <cell r="M35">
            <v>1239.6155000000003</v>
          </cell>
          <cell r="N35">
            <v>1156.9752930770003</v>
          </cell>
          <cell r="O35">
            <v>1074.3350861540002</v>
          </cell>
          <cell r="P35">
            <v>991.69487923100019</v>
          </cell>
          <cell r="Q35">
            <v>909.05467230800014</v>
          </cell>
          <cell r="R35">
            <v>826.41446538500009</v>
          </cell>
          <cell r="S35">
            <v>743.77301884650012</v>
          </cell>
          <cell r="T35">
            <v>661.13157230800016</v>
          </cell>
          <cell r="U35">
            <v>578.4901257695002</v>
          </cell>
          <cell r="V35">
            <v>495.84867923100018</v>
          </cell>
          <cell r="W35">
            <v>413.2072326925001</v>
          </cell>
          <cell r="X35">
            <v>330.56578615400008</v>
          </cell>
          <cell r="Y35">
            <v>247.92433961550006</v>
          </cell>
          <cell r="Z35">
            <v>165.28289307700004</v>
          </cell>
          <cell r="AA35">
            <v>82.641446538500034</v>
          </cell>
          <cell r="AB35">
            <v>0</v>
          </cell>
        </row>
        <row r="37">
          <cell r="G37" t="str">
            <v>Em R$ MM</v>
          </cell>
        </row>
        <row r="38">
          <cell r="G38" t="str">
            <v>Saldo inicial</v>
          </cell>
          <cell r="H38">
            <v>1239.6155000000001</v>
          </cell>
          <cell r="I38">
            <v>1275.6601179478905</v>
          </cell>
          <cell r="J38">
            <v>1305.4809227868307</v>
          </cell>
          <cell r="K38">
            <v>1335.9988415268251</v>
          </cell>
          <cell r="L38">
            <v>1373.1572613427279</v>
          </cell>
          <cell r="M38">
            <v>1411.3491761889384</v>
          </cell>
          <cell r="N38">
            <v>1444.8245599350103</v>
          </cell>
          <cell r="O38">
            <v>1380.4886602655642</v>
          </cell>
          <cell r="P38">
            <v>1310.4083849416577</v>
          </cell>
          <cell r="Q38">
            <v>1236.5256223423889</v>
          </cell>
          <cell r="R38">
            <v>1158.7058450659954</v>
          </cell>
          <cell r="S38">
            <v>1076.81042146909</v>
          </cell>
          <cell r="T38">
            <v>990.69484847219155</v>
          </cell>
          <cell r="U38">
            <v>900.21351234815916</v>
          </cell>
          <cell r="V38">
            <v>805.21475739712002</v>
          </cell>
          <cell r="W38">
            <v>705.54234030286943</v>
          </cell>
          <cell r="X38">
            <v>601.0353010571356</v>
          </cell>
          <cell r="Y38">
            <v>491.52783041099883</v>
          </cell>
          <cell r="Z38">
            <v>376.8491337628239</v>
          </cell>
          <cell r="AA38">
            <v>256.82329138974677</v>
          </cell>
          <cell r="AB38">
            <v>131.26911492738361</v>
          </cell>
        </row>
        <row r="39">
          <cell r="G39" t="str">
            <v>Juros acruados (IPCA + 5%a.a.)</v>
          </cell>
          <cell r="H39">
            <v>0</v>
          </cell>
          <cell r="I39">
            <v>100.87570244950449</v>
          </cell>
          <cell r="J39">
            <v>95.791964879336234</v>
          </cell>
          <cell r="K39">
            <v>98.031270984163427</v>
          </cell>
          <cell r="L39">
            <v>106.84977791334681</v>
          </cell>
          <cell r="M39">
            <v>109.82161350296651</v>
          </cell>
          <cell r="N39">
            <v>106.51060470774746</v>
          </cell>
          <cell r="O39">
            <v>101.76784508957078</v>
          </cell>
          <cell r="P39">
            <v>94.680170465376918</v>
          </cell>
          <cell r="Q39">
            <v>89.341962439744378</v>
          </cell>
          <cell r="R39">
            <v>83.719295595747738</v>
          </cell>
          <cell r="S39">
            <v>77.802153462355136</v>
          </cell>
          <cell r="T39">
            <v>71.58009534309717</v>
          </cell>
          <cell r="U39">
            <v>65.042600294528881</v>
          </cell>
          <cell r="V39">
            <v>58.178710826083964</v>
          </cell>
          <cell r="W39">
            <v>50.977137980837</v>
          </cell>
          <cell r="X39">
            <v>43.426252009469792</v>
          </cell>
          <cell r="Y39">
            <v>35.514072793316423</v>
          </cell>
          <cell r="Z39">
            <v>27.228260009937554</v>
          </cell>
          <cell r="AA39">
            <v>18.556103034507824</v>
          </cell>
          <cell r="AB39">
            <v>9.4845105701282435</v>
          </cell>
        </row>
        <row r="40">
          <cell r="G40" t="str">
            <v>Juros pagos</v>
          </cell>
          <cell r="H40">
            <v>0</v>
          </cell>
          <cell r="I40">
            <v>-100.87570244950449</v>
          </cell>
          <cell r="J40">
            <v>-95.791964879336234</v>
          </cell>
          <cell r="K40">
            <v>-98.031270984163427</v>
          </cell>
          <cell r="L40">
            <v>-106.84977791334681</v>
          </cell>
          <cell r="M40">
            <v>-109.82161350296651</v>
          </cell>
          <cell r="N40">
            <v>-106.51060470774746</v>
          </cell>
          <cell r="O40">
            <v>-101.76784508957078</v>
          </cell>
          <cell r="P40">
            <v>-94.680170465376918</v>
          </cell>
          <cell r="Q40">
            <v>-89.341962439744378</v>
          </cell>
          <cell r="R40">
            <v>-83.719295595747738</v>
          </cell>
          <cell r="S40">
            <v>-77.802153462355136</v>
          </cell>
          <cell r="T40">
            <v>-71.58009534309717</v>
          </cell>
          <cell r="U40">
            <v>-65.042600294528881</v>
          </cell>
          <cell r="V40">
            <v>-58.178710826083964</v>
          </cell>
          <cell r="W40">
            <v>-50.977137980837</v>
          </cell>
          <cell r="X40">
            <v>-43.426252009469792</v>
          </cell>
          <cell r="Y40">
            <v>-35.514072793316423</v>
          </cell>
          <cell r="Z40">
            <v>-27.228260009937554</v>
          </cell>
          <cell r="AA40">
            <v>-18.556103034507824</v>
          </cell>
          <cell r="AB40">
            <v>-9.4845105701282435</v>
          </cell>
        </row>
        <row r="41">
          <cell r="G41" t="str">
            <v>Amortização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-96.320674112627373</v>
          </cell>
          <cell r="O41">
            <v>-98.605276380442689</v>
          </cell>
          <cell r="P41">
            <v>-100.79948191293614</v>
          </cell>
          <cell r="Q41">
            <v>-103.04251381756258</v>
          </cell>
          <cell r="R41">
            <v>-105.33545859901824</v>
          </cell>
          <cell r="S41">
            <v>-107.68104214690901</v>
          </cell>
          <cell r="T41">
            <v>-110.07720538579905</v>
          </cell>
          <cell r="U41">
            <v>-112.52668904351987</v>
          </cell>
          <cell r="V41">
            <v>-115.03067962815996</v>
          </cell>
          <cell r="W41">
            <v>-117.59039005047822</v>
          </cell>
          <cell r="X41">
            <v>-120.20706021142711</v>
          </cell>
          <cell r="Y41">
            <v>-122.88195760274969</v>
          </cell>
          <cell r="Z41">
            <v>-125.61637792094128</v>
          </cell>
          <cell r="AA41">
            <v>-128.41164569487336</v>
          </cell>
          <cell r="AB41">
            <v>-131.26911492738355</v>
          </cell>
        </row>
        <row r="42">
          <cell r="G42" t="str">
            <v>Saldo final</v>
          </cell>
          <cell r="H42">
            <v>1239.6155000000001</v>
          </cell>
          <cell r="I42">
            <v>1275.6601179478907</v>
          </cell>
          <cell r="J42">
            <v>1305.4809227868307</v>
          </cell>
          <cell r="K42">
            <v>1335.9988415268251</v>
          </cell>
          <cell r="L42">
            <v>1373.1572613427279</v>
          </cell>
          <cell r="M42">
            <v>1411.3491761889384</v>
          </cell>
          <cell r="N42">
            <v>1348.5038858223829</v>
          </cell>
          <cell r="O42">
            <v>1281.8833838851217</v>
          </cell>
          <cell r="P42">
            <v>1209.6089030287214</v>
          </cell>
          <cell r="Q42">
            <v>1133.4831085248263</v>
          </cell>
          <cell r="R42">
            <v>1053.3703864669769</v>
          </cell>
          <cell r="S42">
            <v>969.12937932218108</v>
          </cell>
          <cell r="T42">
            <v>880.6176430863926</v>
          </cell>
          <cell r="U42">
            <v>787.68682330463935</v>
          </cell>
          <cell r="V42">
            <v>690.18407776896004</v>
          </cell>
          <cell r="W42">
            <v>587.95195025239116</v>
          </cell>
          <cell r="X42">
            <v>480.82824084570848</v>
          </cell>
          <cell r="Y42">
            <v>368.64587280824912</v>
          </cell>
          <cell r="Z42">
            <v>251.23275584188258</v>
          </cell>
          <cell r="AA42">
            <v>128.41164569487341</v>
          </cell>
          <cell r="AB42">
            <v>0</v>
          </cell>
        </row>
        <row r="44">
          <cell r="G44" t="str">
            <v>Amortização</v>
          </cell>
        </row>
        <row r="45">
          <cell r="G45" t="str">
            <v>Fluxo de amortização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6.6666000000000003E-2</v>
          </cell>
          <cell r="O45">
            <v>6.6666000000000003E-2</v>
          </cell>
          <cell r="P45">
            <v>6.6666000000000003E-2</v>
          </cell>
          <cell r="Q45">
            <v>6.6666000000000003E-2</v>
          </cell>
          <cell r="R45">
            <v>6.6666000000000003E-2</v>
          </cell>
          <cell r="S45">
            <v>6.6667000000000004E-2</v>
          </cell>
          <cell r="T45">
            <v>6.6667000000000004E-2</v>
          </cell>
          <cell r="U45">
            <v>6.6667000000000004E-2</v>
          </cell>
          <cell r="V45">
            <v>6.6667000000000004E-2</v>
          </cell>
          <cell r="W45">
            <v>6.6667000000000004E-2</v>
          </cell>
          <cell r="X45">
            <v>6.6667000000000004E-2</v>
          </cell>
          <cell r="Y45">
            <v>6.6667000000000004E-2</v>
          </cell>
          <cell r="Z45">
            <v>6.6667000000000004E-2</v>
          </cell>
          <cell r="AA45">
            <v>6.6667000000000004E-2</v>
          </cell>
          <cell r="AB45">
            <v>6.6667000000000004E-2</v>
          </cell>
        </row>
        <row r="46">
          <cell r="G46" t="str">
            <v># títulos (mil)</v>
          </cell>
          <cell r="H46">
            <v>1000</v>
          </cell>
          <cell r="I46">
            <v>1000</v>
          </cell>
          <cell r="J46">
            <v>1000</v>
          </cell>
          <cell r="K46">
            <v>1000</v>
          </cell>
          <cell r="L46">
            <v>1000</v>
          </cell>
          <cell r="M46">
            <v>1000</v>
          </cell>
          <cell r="N46">
            <v>1000</v>
          </cell>
          <cell r="O46">
            <v>933.33400000000006</v>
          </cell>
          <cell r="P46">
            <v>866.66800000000012</v>
          </cell>
          <cell r="Q46">
            <v>800.00200000000018</v>
          </cell>
          <cell r="R46">
            <v>733.33600000000024</v>
          </cell>
          <cell r="S46">
            <v>666.6700000000003</v>
          </cell>
          <cell r="T46">
            <v>600.00300000000027</v>
          </cell>
          <cell r="U46">
            <v>533.33600000000024</v>
          </cell>
          <cell r="V46">
            <v>466.66900000000021</v>
          </cell>
          <cell r="W46">
            <v>400.00200000000018</v>
          </cell>
          <cell r="X46">
            <v>333.33500000000015</v>
          </cell>
          <cell r="Y46">
            <v>266.66800000000012</v>
          </cell>
          <cell r="Z46">
            <v>200.00100000000012</v>
          </cell>
          <cell r="AA46">
            <v>133.33400000000012</v>
          </cell>
          <cell r="AB46">
            <v>66.667000000000115</v>
          </cell>
        </row>
        <row r="47">
          <cell r="G47" t="str">
            <v>PU (R$)</v>
          </cell>
          <cell r="H47">
            <v>1239.6155000000001</v>
          </cell>
          <cell r="I47">
            <v>1275.6601179478905</v>
          </cell>
          <cell r="J47">
            <v>1305.4809227868304</v>
          </cell>
          <cell r="K47">
            <v>1335.9988415268249</v>
          </cell>
          <cell r="L47">
            <v>1373.1572613427277</v>
          </cell>
          <cell r="M47">
            <v>1411.3491761889381</v>
          </cell>
          <cell r="N47">
            <v>1444.82455993501</v>
          </cell>
          <cell r="O47">
            <v>1479.0939366460068</v>
          </cell>
          <cell r="P47">
            <v>1512.0073487675299</v>
          </cell>
          <cell r="Q47">
            <v>1545.6531637950766</v>
          </cell>
          <cell r="R47">
            <v>1580.0476794620681</v>
          </cell>
          <cell r="S47">
            <v>1615.2075561658542</v>
          </cell>
          <cell r="T47">
            <v>1651.1498250378606</v>
          </cell>
          <cell r="U47">
            <v>1687.8918961933171</v>
          </cell>
          <cell r="V47">
            <v>1725.4515671645636</v>
          </cell>
          <cell r="W47">
            <v>1763.8470315220156</v>
          </cell>
          <cell r="X47">
            <v>1803.0968876869681</v>
          </cell>
          <cell r="Y47">
            <v>1843.2201479405057</v>
          </cell>
          <cell r="Z47">
            <v>1884.236247632881</v>
          </cell>
          <cell r="AA47">
            <v>1926.1650545978275</v>
          </cell>
          <cell r="AB47">
            <v>1969.0268787763596</v>
          </cell>
        </row>
        <row r="48">
          <cell r="G48" t="str">
            <v># títulos a amortizar (mil)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66.665999999999997</v>
          </cell>
          <cell r="O48">
            <v>66.665999999999997</v>
          </cell>
          <cell r="P48">
            <v>66.665999999999997</v>
          </cell>
          <cell r="Q48">
            <v>66.665999999999997</v>
          </cell>
          <cell r="R48">
            <v>66.665999999999997</v>
          </cell>
          <cell r="S48">
            <v>66.667000000000002</v>
          </cell>
          <cell r="T48">
            <v>66.667000000000002</v>
          </cell>
          <cell r="U48">
            <v>66.667000000000002</v>
          </cell>
          <cell r="V48">
            <v>66.667000000000002</v>
          </cell>
          <cell r="W48">
            <v>66.667000000000002</v>
          </cell>
          <cell r="X48">
            <v>66.667000000000002</v>
          </cell>
          <cell r="Y48">
            <v>66.667000000000002</v>
          </cell>
          <cell r="Z48">
            <v>66.667000000000002</v>
          </cell>
          <cell r="AA48">
            <v>66.667000000000002</v>
          </cell>
          <cell r="AB48">
            <v>66.667000000000002</v>
          </cell>
        </row>
        <row r="49">
          <cell r="G49" t="str">
            <v>Valor amortizado (R$MM)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96.320674112627373</v>
          </cell>
          <cell r="O49">
            <v>98.605276380442675</v>
          </cell>
          <cell r="P49">
            <v>100.79948191293614</v>
          </cell>
          <cell r="Q49">
            <v>103.04251381756258</v>
          </cell>
          <cell r="R49">
            <v>105.33545859901822</v>
          </cell>
          <cell r="S49">
            <v>107.68104214690901</v>
          </cell>
          <cell r="T49">
            <v>110.07720538579905</v>
          </cell>
          <cell r="U49">
            <v>112.52668904351987</v>
          </cell>
          <cell r="V49">
            <v>115.03067962815997</v>
          </cell>
          <cell r="W49">
            <v>117.59039005047822</v>
          </cell>
          <cell r="X49">
            <v>120.20706021142711</v>
          </cell>
          <cell r="Y49">
            <v>122.88195760274969</v>
          </cell>
          <cell r="Z49">
            <v>125.61637792094129</v>
          </cell>
          <cell r="AA49">
            <v>128.41164569487336</v>
          </cell>
          <cell r="AB49">
            <v>131.26911492738358</v>
          </cell>
        </row>
        <row r="50">
          <cell r="G50" t="str">
            <v>Qtd. Equiv. TMAR3 (MM)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0.64032543804904718</v>
          </cell>
          <cell r="O50">
            <v>0.64032543804904718</v>
          </cell>
          <cell r="P50">
            <v>0.64032543804904718</v>
          </cell>
          <cell r="Q50">
            <v>0.64032543804904718</v>
          </cell>
          <cell r="R50">
            <v>0.64032543804904718</v>
          </cell>
          <cell r="S50">
            <v>0.64033504302666766</v>
          </cell>
          <cell r="T50">
            <v>0.64033504302666766</v>
          </cell>
          <cell r="U50">
            <v>0.64033504302666766</v>
          </cell>
          <cell r="V50">
            <v>0.64033504302666766</v>
          </cell>
          <cell r="W50">
            <v>0.64033504302666766</v>
          </cell>
          <cell r="X50">
            <v>0.64033504302666766</v>
          </cell>
          <cell r="Y50">
            <v>0.64033504302666766</v>
          </cell>
          <cell r="Z50">
            <v>0.64033504302666766</v>
          </cell>
          <cell r="AA50">
            <v>0.64033504302666766</v>
          </cell>
          <cell r="AB50">
            <v>0.64033504302666766</v>
          </cell>
        </row>
        <row r="51">
          <cell r="G51" t="str">
            <v>Preço de exercício implícito (R$)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150.42456286931002</v>
          </cell>
          <cell r="O51">
            <v>153.99243965830041</v>
          </cell>
          <cell r="P51">
            <v>157.41914333444797</v>
          </cell>
          <cell r="Q51">
            <v>160.92209944292389</v>
          </cell>
          <cell r="R51">
            <v>164.50300478449807</v>
          </cell>
          <cell r="S51">
            <v>168.16359391785539</v>
          </cell>
          <cell r="T51">
            <v>171.90563999980043</v>
          </cell>
          <cell r="U51">
            <v>175.73095564415883</v>
          </cell>
          <cell r="V51">
            <v>179.64139379979139</v>
          </cell>
          <cell r="W51">
            <v>183.63884864814591</v>
          </cell>
          <cell r="X51">
            <v>187.7252565207819</v>
          </cell>
          <cell r="Y51">
            <v>191.90259683731239</v>
          </cell>
          <cell r="Z51">
            <v>196.17289306421705</v>
          </cell>
          <cell r="AA51">
            <v>200.53821369499136</v>
          </cell>
          <cell r="AB51">
            <v>205.00067325210671</v>
          </cell>
        </row>
        <row r="53">
          <cell r="G53" t="str">
            <v>Converte? (1-Sim / 0-Não)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G54" t="str">
            <v># TMAR3 detidas pela TmarPart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47.234201319726267</v>
          </cell>
          <cell r="O54">
            <v>47.234201319726267</v>
          </cell>
          <cell r="P54">
            <v>47.234201319726267</v>
          </cell>
          <cell r="Q54">
            <v>47.234201319726267</v>
          </cell>
          <cell r="R54">
            <v>47.234201319726267</v>
          </cell>
          <cell r="S54">
            <v>47.234201319726267</v>
          </cell>
          <cell r="T54">
            <v>47.234201319726267</v>
          </cell>
          <cell r="U54">
            <v>47.234201319726267</v>
          </cell>
          <cell r="V54">
            <v>47.234201319726267</v>
          </cell>
          <cell r="W54">
            <v>47.234201319726267</v>
          </cell>
          <cell r="X54">
            <v>47.234201319726267</v>
          </cell>
          <cell r="Y54">
            <v>47.234201319726267</v>
          </cell>
          <cell r="Z54">
            <v>47.234201319726267</v>
          </cell>
          <cell r="AA54">
            <v>47.234201319726267</v>
          </cell>
          <cell r="AB54">
            <v>47.234201319726267</v>
          </cell>
        </row>
        <row r="55">
          <cell r="G55" t="str">
            <v>Novo # de TMAR3 da TmarPart (MM)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47.234201319726267</v>
          </cell>
          <cell r="O55">
            <v>47.234201319726267</v>
          </cell>
          <cell r="P55">
            <v>47.234201319726267</v>
          </cell>
          <cell r="Q55">
            <v>47.234201319726267</v>
          </cell>
          <cell r="R55">
            <v>47.234201319726267</v>
          </cell>
          <cell r="S55">
            <v>47.234201319726267</v>
          </cell>
          <cell r="T55">
            <v>47.234201319726267</v>
          </cell>
          <cell r="U55">
            <v>47.234201319726267</v>
          </cell>
          <cell r="V55">
            <v>47.234201319726267</v>
          </cell>
          <cell r="W55">
            <v>47.234201319726267</v>
          </cell>
          <cell r="X55">
            <v>47.234201319726267</v>
          </cell>
          <cell r="Y55">
            <v>47.234201319726267</v>
          </cell>
          <cell r="Z55">
            <v>47.234201319726267</v>
          </cell>
          <cell r="AA55">
            <v>47.234201319726267</v>
          </cell>
          <cell r="AB55">
            <v>47.234201319726267</v>
          </cell>
        </row>
        <row r="56">
          <cell r="G56" t="str">
            <v>EV TmarPart (R$MM)</v>
          </cell>
          <cell r="N56">
            <v>7105.1840860008106</v>
          </cell>
          <cell r="O56">
            <v>7273.709896535961</v>
          </cell>
          <cell r="P56">
            <v>7435.567507838161</v>
          </cell>
          <cell r="Q56">
            <v>7601.0268418800779</v>
          </cell>
          <cell r="R56">
            <v>7770.1680456908753</v>
          </cell>
          <cell r="S56">
            <v>7943.0730497646773</v>
          </cell>
          <cell r="T56">
            <v>8119.8256077469623</v>
          </cell>
          <cell r="U56">
            <v>8300.5113370040854</v>
          </cell>
          <cell r="V56">
            <v>8485.2177600955729</v>
          </cell>
          <cell r="W56">
            <v>8674.0343471692649</v>
          </cell>
          <cell r="X56">
            <v>8867.0525592998692</v>
          </cell>
          <cell r="Y56">
            <v>9064.3658927918787</v>
          </cell>
          <cell r="Z56">
            <v>9266.0699244683601</v>
          </cell>
          <cell r="AA56">
            <v>9472.2623579675092</v>
          </cell>
          <cell r="AB56">
            <v>9683.0430710694327</v>
          </cell>
        </row>
        <row r="57">
          <cell r="G57" t="str">
            <v>Dívida líquida TmarPart</v>
          </cell>
          <cell r="N57">
            <v>-797.31133579970003</v>
          </cell>
          <cell r="O57">
            <v>-797.31133579970003</v>
          </cell>
          <cell r="P57">
            <v>-797.31133579970003</v>
          </cell>
          <cell r="Q57">
            <v>-797.31133579970003</v>
          </cell>
          <cell r="R57">
            <v>-797.31133579970003</v>
          </cell>
          <cell r="S57">
            <v>-797.31133579970003</v>
          </cell>
          <cell r="T57">
            <v>-797.31133579970003</v>
          </cell>
          <cell r="U57">
            <v>-797.31133579970003</v>
          </cell>
          <cell r="V57">
            <v>-797.31133579970003</v>
          </cell>
          <cell r="W57">
            <v>-797.31133579970003</v>
          </cell>
          <cell r="X57">
            <v>-797.31133579970003</v>
          </cell>
          <cell r="Y57">
            <v>-797.31133579970003</v>
          </cell>
          <cell r="Z57">
            <v>-797.31133579970003</v>
          </cell>
          <cell r="AA57">
            <v>-797.31133579970003</v>
          </cell>
          <cell r="AB57">
            <v>-797.31133579970003</v>
          </cell>
        </row>
        <row r="58">
          <cell r="G58" t="str">
            <v>Ações resgatáveis BNDESPAR</v>
          </cell>
          <cell r="N58">
            <v>-1348.5038858223829</v>
          </cell>
          <cell r="O58">
            <v>-1281.8833838851217</v>
          </cell>
          <cell r="P58">
            <v>-1209.6089030287214</v>
          </cell>
          <cell r="Q58">
            <v>-1133.4831085248263</v>
          </cell>
          <cell r="R58">
            <v>-1053.3703864669769</v>
          </cell>
          <cell r="S58">
            <v>-969.12937932218108</v>
          </cell>
          <cell r="T58">
            <v>-880.6176430863926</v>
          </cell>
          <cell r="U58">
            <v>-787.68682330463935</v>
          </cell>
          <cell r="V58">
            <v>-690.18407776896004</v>
          </cell>
          <cell r="W58">
            <v>-587.95195025239116</v>
          </cell>
          <cell r="X58">
            <v>-480.82824084570848</v>
          </cell>
          <cell r="Y58">
            <v>-368.64587280824912</v>
          </cell>
          <cell r="Z58">
            <v>-251.23275584188258</v>
          </cell>
          <cell r="AA58">
            <v>-128.41164569487341</v>
          </cell>
          <cell r="AB58">
            <v>0</v>
          </cell>
        </row>
        <row r="59">
          <cell r="G59" t="str">
            <v>Equity value TmarPart (R$MM)</v>
          </cell>
          <cell r="N59">
            <v>4959.3688643787282</v>
          </cell>
          <cell r="O59">
            <v>5194.5151768511396</v>
          </cell>
          <cell r="P59">
            <v>5428.6472690097398</v>
          </cell>
          <cell r="Q59">
            <v>5670.2323975555519</v>
          </cell>
          <cell r="R59">
            <v>5919.4863234241984</v>
          </cell>
          <cell r="S59">
            <v>6176.6323346427962</v>
          </cell>
          <cell r="T59">
            <v>6441.8966288608699</v>
          </cell>
          <cell r="U59">
            <v>6715.5131778997456</v>
          </cell>
          <cell r="V59">
            <v>6997.7223465269126</v>
          </cell>
          <cell r="W59">
            <v>7288.7710611171742</v>
          </cell>
          <cell r="X59">
            <v>7588.9129826544613</v>
          </cell>
          <cell r="Y59">
            <v>7898.4086841839289</v>
          </cell>
          <cell r="Z59">
            <v>8217.5258328267773</v>
          </cell>
          <cell r="AA59">
            <v>8546.5393764729342</v>
          </cell>
          <cell r="AB59">
            <v>8885.7317352697319</v>
          </cell>
        </row>
        <row r="60">
          <cell r="G60" t="str">
            <v># ações TmarPart (MM)</v>
          </cell>
          <cell r="N60">
            <v>2736.8804190000001</v>
          </cell>
          <cell r="O60">
            <v>2736.8804190000001</v>
          </cell>
          <cell r="P60">
            <v>2736.8804190000001</v>
          </cell>
          <cell r="Q60">
            <v>2736.8804190000001</v>
          </cell>
          <cell r="R60">
            <v>2736.8804190000001</v>
          </cell>
          <cell r="S60">
            <v>2736.8804190000001</v>
          </cell>
          <cell r="T60">
            <v>2736.8804190000001</v>
          </cell>
          <cell r="U60">
            <v>2736.8804190000001</v>
          </cell>
          <cell r="V60">
            <v>2736.8804190000001</v>
          </cell>
          <cell r="W60">
            <v>2736.8804190000001</v>
          </cell>
          <cell r="X60">
            <v>2736.8804190000001</v>
          </cell>
          <cell r="Y60">
            <v>2736.8804190000001</v>
          </cell>
          <cell r="Z60">
            <v>2736.8804190000001</v>
          </cell>
          <cell r="AA60">
            <v>2736.8804190000001</v>
          </cell>
          <cell r="AB60">
            <v>2736.8804190000001</v>
          </cell>
        </row>
        <row r="61">
          <cell r="G61" t="str">
            <v>Valor equiv. TmarPart (R$/ação)</v>
          </cell>
          <cell r="N61">
            <v>1.8120517176964495</v>
          </cell>
          <cell r="O61">
            <v>1.8979693598557399</v>
          </cell>
          <cell r="P61">
            <v>1.9835164267035299</v>
          </cell>
          <cell r="Q61">
            <v>2.0717866802625373</v>
          </cell>
          <cell r="R61">
            <v>2.1628589551556137</v>
          </cell>
          <cell r="S61">
            <v>2.2568148362505407</v>
          </cell>
          <cell r="T61">
            <v>2.3537369715314806</v>
          </cell>
          <cell r="U61">
            <v>2.4537108495056046</v>
          </cell>
          <cell r="V61">
            <v>2.5568242945315589</v>
          </cell>
          <cell r="W61">
            <v>2.6631675284447911</v>
          </cell>
          <cell r="X61">
            <v>2.7728332337688668</v>
          </cell>
          <cell r="Y61">
            <v>2.8859166185528284</v>
          </cell>
          <cell r="Z61">
            <v>3.0025154828756797</v>
          </cell>
          <cell r="AA61">
            <v>3.1227302870600626</v>
          </cell>
          <cell r="AB61">
            <v>3.246664221638297</v>
          </cell>
        </row>
      </sheetData>
      <sheetData sheetId="11">
        <row r="4">
          <cell r="B4" t="str">
            <v>Relação de troca proposta</v>
          </cell>
        </row>
        <row r="6">
          <cell r="B6" t="str">
            <v>BRTO3/TMAR3</v>
          </cell>
          <cell r="C6">
            <v>0.39550000000000002</v>
          </cell>
        </row>
        <row r="7">
          <cell r="B7" t="str">
            <v>BRTO4/TMAR7</v>
          </cell>
          <cell r="C7">
            <v>0.21909999999999999</v>
          </cell>
        </row>
        <row r="10">
          <cell r="B10" t="str">
            <v>Float BRTO</v>
          </cell>
        </row>
        <row r="11">
          <cell r="B11" t="str">
            <v>ON</v>
          </cell>
          <cell r="C11">
            <v>41433.175000000017</v>
          </cell>
        </row>
        <row r="12">
          <cell r="B12" t="str">
            <v>PN</v>
          </cell>
          <cell r="C12">
            <v>257690.76500000001</v>
          </cell>
        </row>
        <row r="14">
          <cell r="B14" t="str">
            <v>Ações alvo da OPA (1/3 do float)</v>
          </cell>
        </row>
        <row r="15">
          <cell r="B15" t="str">
            <v>ON</v>
          </cell>
          <cell r="C15">
            <v>13811.058333333338</v>
          </cell>
          <cell r="D15">
            <v>6.78932391328574E-2</v>
          </cell>
        </row>
        <row r="16">
          <cell r="B16" t="str">
            <v>PN</v>
          </cell>
          <cell r="C16">
            <v>85896.921666666662</v>
          </cell>
          <cell r="D16">
            <v>0.22232019126481686</v>
          </cell>
        </row>
        <row r="18">
          <cell r="B18" t="str">
            <v>Ações de TMAR emitidas</v>
          </cell>
        </row>
        <row r="19">
          <cell r="B19" t="str">
            <v>TMAR3</v>
          </cell>
          <cell r="C19">
            <v>5462.2735708333357</v>
          </cell>
        </row>
        <row r="20">
          <cell r="B20" t="str">
            <v>TMAR7</v>
          </cell>
          <cell r="C20">
            <v>18820.015537166666</v>
          </cell>
        </row>
        <row r="23">
          <cell r="B23" t="str">
            <v>Estrutura societária pós-transação (com base em cenário pós aumento de capital e incorporação TNL/TMAR)</v>
          </cell>
        </row>
        <row r="25">
          <cell r="C25" t="str">
            <v>ON</v>
          </cell>
          <cell r="E25" t="str">
            <v>PN</v>
          </cell>
          <cell r="G25" t="str">
            <v>Total</v>
          </cell>
        </row>
        <row r="26">
          <cell r="C26" t="str">
            <v># ações</v>
          </cell>
          <cell r="D26" t="str">
            <v>%</v>
          </cell>
          <cell r="E26" t="str">
            <v># ações</v>
          </cell>
          <cell r="F26" t="str">
            <v>%</v>
          </cell>
          <cell r="G26" t="str">
            <v># ações</v>
          </cell>
          <cell r="H26" t="str">
            <v>%</v>
          </cell>
        </row>
        <row r="27">
          <cell r="B27" t="str">
            <v>TmarPart</v>
          </cell>
          <cell r="C27">
            <v>47.234201319726267</v>
          </cell>
          <cell r="D27">
            <v>0.54030012795559235</v>
          </cell>
          <cell r="E27">
            <v>0</v>
          </cell>
          <cell r="F27">
            <v>0</v>
          </cell>
          <cell r="G27">
            <v>47.234201319726267</v>
          </cell>
          <cell r="H27">
            <v>0.17688370475925519</v>
          </cell>
        </row>
        <row r="28">
          <cell r="B28" t="str">
            <v>AG Tel</v>
          </cell>
          <cell r="C28">
            <v>0.31846383198378125</v>
          </cell>
          <cell r="D28">
            <v>3.6428275351870066E-3</v>
          </cell>
          <cell r="E28">
            <v>5.9876594731389128</v>
          </cell>
          <cell r="F28">
            <v>3.3336412672990916E-2</v>
          </cell>
          <cell r="G28">
            <v>6.3061233051226937</v>
          </cell>
          <cell r="H28">
            <v>2.3615313093331362E-2</v>
          </cell>
        </row>
        <row r="29">
          <cell r="B29" t="str">
            <v>L.F. Tel</v>
          </cell>
          <cell r="C29">
            <v>0.31857177667727632</v>
          </cell>
          <cell r="D29">
            <v>3.6440622873385826E-3</v>
          </cell>
          <cell r="E29">
            <v>5.9875545452157191</v>
          </cell>
          <cell r="F29">
            <v>3.3335828484700951E-2</v>
          </cell>
          <cell r="G29">
            <v>6.3061263218929957</v>
          </cell>
          <cell r="H29">
            <v>2.3615324390600979E-2</v>
          </cell>
        </row>
        <row r="30">
          <cell r="B30" t="str">
            <v>Outros TNL</v>
          </cell>
          <cell r="C30">
            <v>31.253424106688438</v>
          </cell>
          <cell r="D30">
            <v>0.35750004386846734</v>
          </cell>
          <cell r="E30">
            <v>121.81864893793836</v>
          </cell>
          <cell r="F30">
            <v>0.67822773998408803</v>
          </cell>
          <cell r="G30">
            <v>153.07207304462679</v>
          </cell>
          <cell r="H30">
            <v>0.5732277590984749</v>
          </cell>
        </row>
        <row r="31">
          <cell r="B31" t="str">
            <v>Outros TMAR</v>
          </cell>
          <cell r="C31">
            <v>2.8352199999999996</v>
          </cell>
          <cell r="D31">
            <v>3.2431367229289951E-2</v>
          </cell>
          <cell r="E31">
            <v>26.999312999999997</v>
          </cell>
          <cell r="F31">
            <v>0.15031920971674922</v>
          </cell>
          <cell r="G31">
            <v>29.834532999999997</v>
          </cell>
          <cell r="H31">
            <v>0.1117250335425559</v>
          </cell>
        </row>
        <row r="32">
          <cell r="B32" t="str">
            <v>Outros BRT</v>
          </cell>
          <cell r="C32">
            <v>5.4622735708333359</v>
          </cell>
          <cell r="D32">
            <v>6.248157112412471E-2</v>
          </cell>
          <cell r="E32">
            <v>18.820015537166665</v>
          </cell>
          <cell r="F32">
            <v>0.10478080914147092</v>
          </cell>
          <cell r="G32">
            <v>24.282289108000001</v>
          </cell>
          <cell r="H32">
            <v>9.0932865115781775E-2</v>
          </cell>
        </row>
        <row r="34">
          <cell r="B34" t="str">
            <v>Total</v>
          </cell>
          <cell r="C34">
            <v>87.4221546059091</v>
          </cell>
          <cell r="D34">
            <v>0.99999999999999989</v>
          </cell>
          <cell r="E34">
            <v>179.61319149345965</v>
          </cell>
          <cell r="F34">
            <v>1</v>
          </cell>
          <cell r="G34">
            <v>267.03534609936872</v>
          </cell>
          <cell r="H34">
            <v>1</v>
          </cell>
        </row>
        <row r="36">
          <cell r="B36" t="str">
            <v>% ON / Total</v>
          </cell>
          <cell r="C36">
            <v>0.32738046061279741</v>
          </cell>
        </row>
        <row r="39">
          <cell r="C39" t="str">
            <v>ON</v>
          </cell>
          <cell r="E39" t="str">
            <v>PN</v>
          </cell>
          <cell r="G39" t="str">
            <v>Total</v>
          </cell>
        </row>
        <row r="40">
          <cell r="C40" t="str">
            <v># ações</v>
          </cell>
          <cell r="D40" t="str">
            <v>%</v>
          </cell>
          <cell r="E40" t="str">
            <v># ações</v>
          </cell>
          <cell r="F40" t="str">
            <v>%</v>
          </cell>
          <cell r="G40" t="str">
            <v># ações</v>
          </cell>
          <cell r="H40" t="str">
            <v>%</v>
          </cell>
        </row>
        <row r="41">
          <cell r="B41" t="str">
            <v>Coari/TMAR</v>
          </cell>
          <cell r="C41">
            <v>175.80105933333334</v>
          </cell>
          <cell r="D41">
            <v>0.86421352173428523</v>
          </cell>
          <cell r="E41">
            <v>214.57197066666666</v>
          </cell>
          <cell r="F41">
            <v>0.55535961747036622</v>
          </cell>
          <cell r="G41">
            <v>390.37302999999997</v>
          </cell>
          <cell r="H41">
            <v>0.66188592296373649</v>
          </cell>
        </row>
        <row r="42">
          <cell r="B42" t="str">
            <v>Outros</v>
          </cell>
          <cell r="C42">
            <v>27.62211666666667</v>
          </cell>
          <cell r="D42">
            <v>0.13578647826571477</v>
          </cell>
          <cell r="E42">
            <v>171.79384333333334</v>
          </cell>
          <cell r="F42">
            <v>0.44464038252963378</v>
          </cell>
          <cell r="G42">
            <v>199.41596000000001</v>
          </cell>
          <cell r="H42">
            <v>0.33811407703626345</v>
          </cell>
        </row>
        <row r="44">
          <cell r="B44" t="str">
            <v xml:space="preserve">Total </v>
          </cell>
          <cell r="C44">
            <v>203.42317600000001</v>
          </cell>
          <cell r="D44">
            <v>1</v>
          </cell>
          <cell r="E44">
            <v>386.365814</v>
          </cell>
          <cell r="F44">
            <v>1</v>
          </cell>
          <cell r="G44">
            <v>589.78899000000001</v>
          </cell>
          <cell r="H44">
            <v>1</v>
          </cell>
        </row>
        <row r="46">
          <cell r="B46" t="str">
            <v>% ON / Total</v>
          </cell>
          <cell r="C46">
            <v>0.34490839851045713</v>
          </cell>
        </row>
      </sheetData>
      <sheetData sheetId="12"/>
      <sheetData sheetId="13"/>
      <sheetData sheetId="14">
        <row r="2">
          <cell r="D2" t="str">
            <v>% capital total (direto e indireto)</v>
          </cell>
          <cell r="E2" t="str">
            <v>% ON</v>
          </cell>
          <cell r="F2" t="str">
            <v xml:space="preserve">Compra TNLP3 </v>
          </cell>
          <cell r="G2" t="str">
            <v xml:space="preserve">Desembolso </v>
          </cell>
        </row>
        <row r="3">
          <cell r="B3" t="str">
            <v>Cenários</v>
          </cell>
          <cell r="C3" t="str">
            <v>TmarPart</v>
          </cell>
          <cell r="D3" t="str">
            <v>AG/LF</v>
          </cell>
          <cell r="E3" t="str">
            <v>TmarPart</v>
          </cell>
          <cell r="F3" t="str">
            <v>p/ 50.1% (R$MM)</v>
          </cell>
          <cell r="G3" t="str">
            <v>TMAR (R$MM)</v>
          </cell>
        </row>
        <row r="5">
          <cell r="B5" t="str">
            <v>1. Incorporação TNL/TMAR</v>
          </cell>
        </row>
        <row r="7">
          <cell r="B7" t="str">
            <v>Mercado</v>
          </cell>
        </row>
        <row r="8">
          <cell r="B8" t="str">
            <v>Pacote com ONs TMAR p/ PNs TNL</v>
          </cell>
          <cell r="C8">
            <v>0.21889789983667735</v>
          </cell>
          <cell r="D8">
            <v>6.7067679574065217E-2</v>
          </cell>
          <cell r="E8">
            <v>0.50598718560509781</v>
          </cell>
          <cell r="F8">
            <v>0</v>
          </cell>
          <cell r="G8" t="str">
            <v>n/a</v>
          </cell>
        </row>
        <row r="9">
          <cell r="B9" t="str">
            <v>Pacote com Caixa p/ PNs TNL</v>
          </cell>
          <cell r="C9">
            <v>0.22470847601366561</v>
          </cell>
          <cell r="D9">
            <v>6.7659740653800121E-2</v>
          </cell>
          <cell r="E9">
            <v>0.51890119822649827</v>
          </cell>
          <cell r="F9" t="str">
            <v>n/a</v>
          </cell>
          <cell r="G9">
            <v>380.75808760607606</v>
          </cell>
        </row>
        <row r="10">
          <cell r="B10" t="str">
            <v>Bonificação em ONs pós-incorporação</v>
          </cell>
          <cell r="C10">
            <v>0.21887211341220267</v>
          </cell>
          <cell r="D10">
            <v>6.7065055827039019E-2</v>
          </cell>
          <cell r="E10">
            <v>0.50736275417640075</v>
          </cell>
          <cell r="F10">
            <v>0</v>
          </cell>
          <cell r="G10" t="str">
            <v>n/a</v>
          </cell>
        </row>
        <row r="12">
          <cell r="B12" t="str">
            <v>SOTP TNL / Mercado TMAR</v>
          </cell>
        </row>
        <row r="13">
          <cell r="B13" t="str">
            <v>Pacote com ONs TMAR p/ PNs TNL</v>
          </cell>
          <cell r="C13">
            <v>0.20265951689191877</v>
          </cell>
          <cell r="D13">
            <v>6.4442988115618383E-2</v>
          </cell>
          <cell r="E13">
            <v>0.42805332150332714</v>
          </cell>
          <cell r="F13">
            <v>426.8760109479735</v>
          </cell>
          <cell r="G13" t="str">
            <v>n/a</v>
          </cell>
        </row>
        <row r="14">
          <cell r="B14" t="str">
            <v>Pacote com Caixa p/ PNs TNL</v>
          </cell>
          <cell r="C14">
            <v>0.24256764588343818</v>
          </cell>
          <cell r="D14">
            <v>6.8318340257656818E-2</v>
          </cell>
          <cell r="E14">
            <v>0.51184317408318136</v>
          </cell>
          <cell r="F14" t="str">
            <v>n/a</v>
          </cell>
          <cell r="G14">
            <v>2031.5168078949328</v>
          </cell>
        </row>
        <row r="15">
          <cell r="B15" t="str">
            <v>Bonificação em ONs pós-incorporação</v>
          </cell>
          <cell r="C15">
            <v>0.20250247155544926</v>
          </cell>
          <cell r="D15">
            <v>6.4427737675056065E-2</v>
          </cell>
          <cell r="E15">
            <v>0.44104906376959707</v>
          </cell>
          <cell r="F15">
            <v>351.44662165679341</v>
          </cell>
          <cell r="G15" t="str">
            <v>n/a</v>
          </cell>
        </row>
        <row r="17">
          <cell r="B17" t="str">
            <v>SOTP TNL / TMAR5</v>
          </cell>
        </row>
        <row r="18">
          <cell r="B18" t="str">
            <v>Pacote com ONs TMAR p/ PNs TNL</v>
          </cell>
          <cell r="C18">
            <v>0.2039284360833262</v>
          </cell>
          <cell r="D18">
            <v>6.4583521358624163E-2</v>
          </cell>
          <cell r="E18">
            <v>0.43146198371430416</v>
          </cell>
          <cell r="F18">
            <v>403.71404687196025</v>
          </cell>
          <cell r="G18" t="str">
            <v>n/a</v>
          </cell>
        </row>
        <row r="19">
          <cell r="B19" t="str">
            <v>Pacote com Caixa p/ PNs TNL</v>
          </cell>
          <cell r="C19">
            <v>0.24222622139092245</v>
          </cell>
          <cell r="D19">
            <v>6.8305749412888694E-2</v>
          </cell>
          <cell r="E19">
            <v>0.51197810657606135</v>
          </cell>
          <cell r="F19" t="str">
            <v>n/a</v>
          </cell>
          <cell r="G19">
            <v>1938.7335374948175</v>
          </cell>
        </row>
        <row r="20">
          <cell r="B20" t="str">
            <v>Bonificação em ONs pós-incorporação</v>
          </cell>
          <cell r="C20">
            <v>0.20392843608332623</v>
          </cell>
          <cell r="D20">
            <v>6.4583521358624163E-2</v>
          </cell>
          <cell r="E20">
            <v>0.44427351710674612</v>
          </cell>
          <cell r="F20">
            <v>329.66732128691984</v>
          </cell>
          <cell r="G20" t="str">
            <v>n/a</v>
          </cell>
        </row>
        <row r="22">
          <cell r="B22" t="str">
            <v>2. Incorporação TNL/TMAR pós-aumento de capital1</v>
          </cell>
          <cell r="C22">
            <v>0.21841460705441296</v>
          </cell>
          <cell r="D22">
            <v>6.6985460646890344E-2</v>
          </cell>
          <cell r="E22">
            <v>0.58275871394994572</v>
          </cell>
          <cell r="F22" t="str">
            <v>n/a</v>
          </cell>
          <cell r="G22" t="str">
            <v>n/a</v>
          </cell>
        </row>
        <row r="24">
          <cell r="B24" t="str">
            <v>3. Cisão TNL e Incorporação TNL2/TMAR</v>
          </cell>
        </row>
        <row r="26">
          <cell r="B26" t="str">
            <v>SOTP TNL / Mercado TMAR</v>
          </cell>
        </row>
        <row r="27">
          <cell r="B27" t="str">
            <v>Com prêmio de holding</v>
          </cell>
          <cell r="C27">
            <v>0.20372287226545374</v>
          </cell>
          <cell r="D27">
            <v>6.4595109199582348E-2</v>
          </cell>
          <cell r="E27" t="str">
            <v>n/a</v>
          </cell>
          <cell r="F27" t="str">
            <v>n/a</v>
          </cell>
          <cell r="G27" t="str">
            <v>n/a</v>
          </cell>
        </row>
        <row r="28">
          <cell r="B28" t="str">
            <v>Sem prêmio de holding</v>
          </cell>
          <cell r="C28">
            <v>0.20613490532160117</v>
          </cell>
          <cell r="D28">
            <v>6.4459140449196969E-2</v>
          </cell>
          <cell r="E28" t="str">
            <v>n/a</v>
          </cell>
          <cell r="F28" t="str">
            <v>n/a</v>
          </cell>
          <cell r="G28" t="str">
            <v>n/a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IRR"/>
      <sheetName val="TmarPart Estratégico (Saída)"/>
      <sheetName val="Dívidas"/>
      <sheetName val="AGTdebentures"/>
      <sheetName val="Flx Debentures"/>
      <sheetName val="Macro"/>
      <sheetName val="Estruturas acionárias"/>
      <sheetName val="Dívida líquida"/>
      <sheetName val="Preços de mercado"/>
      <sheetName val="TmarPart Estratégico"/>
      <sheetName val="Resumo TmarPart Estratégico"/>
      <sheetName val="Analyst Detail"/>
      <sheetName val="Projeções"/>
      <sheetName val="Etisalat"/>
    </sheetNames>
    <sheetDataSet>
      <sheetData sheetId="0">
        <row r="3">
          <cell r="D3" t="str">
            <v>Parâmetros</v>
          </cell>
        </row>
        <row r="4">
          <cell r="D4" t="str">
            <v>Sobras (1 = Todo possível; 2=Apenas necessário)</v>
          </cell>
          <cell r="H4">
            <v>1</v>
          </cell>
        </row>
        <row r="5">
          <cell r="D5" t="str">
            <v>Avaliações a mercado</v>
          </cell>
        </row>
        <row r="6">
          <cell r="D6" t="str">
            <v>Preço da ação como média das últimas x cotações</v>
          </cell>
          <cell r="H6">
            <v>30</v>
          </cell>
        </row>
        <row r="7">
          <cell r="D7" t="str">
            <v>Prêmio sobre mercado nas PNs</v>
          </cell>
          <cell r="H7">
            <v>0</v>
          </cell>
        </row>
        <row r="8">
          <cell r="D8" t="str">
            <v>Avaliações estratégicas</v>
          </cell>
        </row>
        <row r="9">
          <cell r="D9" t="str">
            <v>Múltiplo EV / EBITDA 10E TMAR</v>
          </cell>
          <cell r="H9">
            <v>7</v>
          </cell>
        </row>
        <row r="10">
          <cell r="D10" t="str">
            <v>EBITDA 10E TMAR + BrT (R$MM)</v>
          </cell>
          <cell r="H10">
            <v>11328.53</v>
          </cell>
        </row>
        <row r="12">
          <cell r="D12" t="str">
            <v>Current exchange rate</v>
          </cell>
          <cell r="F12" t="str">
            <v>R$ / US$</v>
          </cell>
          <cell r="H12">
            <v>1.7442</v>
          </cell>
        </row>
        <row r="14">
          <cell r="D14" t="str">
            <v>Aumento de capital na TMAR</v>
          </cell>
          <cell r="K14" t="str">
            <v>Aumento de capital em PNs e ONs</v>
          </cell>
          <cell r="Q14" t="str">
            <v>Participação adquirida pelo parceiro</v>
          </cell>
        </row>
        <row r="15">
          <cell r="D15" t="str">
            <v>Preço TMAR51</v>
          </cell>
          <cell r="F15" t="str">
            <v>R$ / ação</v>
          </cell>
          <cell r="H15">
            <v>63.400384615384624</v>
          </cell>
          <cell r="K15" t="str">
            <v>Preço TMAR51</v>
          </cell>
          <cell r="M15" t="str">
            <v>R$ / ação</v>
          </cell>
          <cell r="O15">
            <v>63.400384615384624</v>
          </cell>
          <cell r="Q15" t="str">
            <v>Participação AG+LF na TmarPart1</v>
          </cell>
          <cell r="S15" t="str">
            <v>%</v>
          </cell>
          <cell r="U15">
            <v>0.38650036088373074</v>
          </cell>
        </row>
        <row r="16">
          <cell r="K16" t="str">
            <v>Preço TMAR31</v>
          </cell>
          <cell r="M16" t="str">
            <v>R$ / ação</v>
          </cell>
          <cell r="O16">
            <v>70.75</v>
          </cell>
          <cell r="Q16" t="str">
            <v>Valor estratégico TmarPart2</v>
          </cell>
          <cell r="S16" t="str">
            <v>R$MM</v>
          </cell>
          <cell r="U16">
            <v>18334.493080717606</v>
          </cell>
        </row>
        <row r="17">
          <cell r="D17" t="str">
            <v>Estrutura de capital TMAR</v>
          </cell>
          <cell r="Q17" t="str">
            <v>Valor da AG / LF</v>
          </cell>
          <cell r="S17" t="str">
            <v>R$MM</v>
          </cell>
          <cell r="U17">
            <v>3543.1440961588096</v>
          </cell>
        </row>
        <row r="18">
          <cell r="D18" t="str">
            <v xml:space="preserve">TNL -  ONs </v>
          </cell>
          <cell r="F18" t="str">
            <v>MM ações</v>
          </cell>
          <cell r="H18">
            <v>104.227873</v>
          </cell>
          <cell r="K18" t="str">
            <v>Valor estratégico</v>
          </cell>
          <cell r="M18" t="str">
            <v>R$ / ação</v>
          </cell>
          <cell r="O18">
            <v>286.06990815051012</v>
          </cell>
        </row>
        <row r="19">
          <cell r="D19" t="str">
            <v xml:space="preserve">TNL - PNs </v>
          </cell>
          <cell r="F19" t="str">
            <v>MM ações</v>
          </cell>
          <cell r="H19">
            <v>91.249773000000005</v>
          </cell>
          <cell r="K19" t="str">
            <v>Prêmio sobre mercado</v>
          </cell>
          <cell r="M19" t="str">
            <v>%</v>
          </cell>
          <cell r="O19">
            <v>4.0433909279224043</v>
          </cell>
          <cell r="Q19" t="str">
            <v>Valor da AG / LF nos veículos</v>
          </cell>
          <cell r="S19" t="str">
            <v>R$MM</v>
          </cell>
          <cell r="U19">
            <v>3247.1384653895789</v>
          </cell>
        </row>
        <row r="20">
          <cell r="D20" t="str">
            <v>Minoritários ON</v>
          </cell>
          <cell r="F20" t="str">
            <v>MM ações</v>
          </cell>
          <cell r="H20">
            <v>21.0179388119195</v>
          </cell>
          <cell r="Q20" t="str">
            <v>Em dólares</v>
          </cell>
          <cell r="S20" t="str">
            <v>US$MM</v>
          </cell>
          <cell r="U20">
            <v>1861.6778267340781</v>
          </cell>
        </row>
        <row r="21">
          <cell r="D21" t="str">
            <v xml:space="preserve">Minoritários PN </v>
          </cell>
          <cell r="F21" t="str">
            <v>MM ações</v>
          </cell>
          <cell r="H21">
            <v>111.54927439962542</v>
          </cell>
          <cell r="K21" t="str">
            <v>Prêmio variável</v>
          </cell>
          <cell r="O21">
            <v>0.5</v>
          </cell>
        </row>
        <row r="22">
          <cell r="Q22" t="str">
            <v>Transação simulada</v>
          </cell>
          <cell r="U22">
            <v>2</v>
          </cell>
        </row>
        <row r="23">
          <cell r="D23" t="str">
            <v>Proporção ONs</v>
          </cell>
          <cell r="H23">
            <v>0.38179477073028223</v>
          </cell>
          <cell r="K23" t="str">
            <v>Preço TMAR3 para a análise</v>
          </cell>
          <cell r="O23">
            <v>4</v>
          </cell>
          <cell r="Q23" t="str">
            <v>(1 = compra das ações da TmarPart; 2 = compra dos veículos)</v>
          </cell>
        </row>
        <row r="24">
          <cell r="D24" t="str">
            <v>Proporção PNs</v>
          </cell>
          <cell r="H24">
            <v>0.61820522926971777</v>
          </cell>
          <cell r="K24" t="str">
            <v>(1 = mercado; 2 = estratégico; 3 = variável; 4 = PNs)</v>
          </cell>
          <cell r="O24">
            <v>63.400384615384624</v>
          </cell>
        </row>
        <row r="25">
          <cell r="D25" t="str">
            <v>Proporção ONs - TNL</v>
          </cell>
          <cell r="H25">
            <v>0.59588693592038022</v>
          </cell>
          <cell r="Q25" t="str">
            <v>Participação adquirida pelo parceiro</v>
          </cell>
          <cell r="S25" t="str">
            <v>%</v>
          </cell>
          <cell r="U25">
            <v>0.33</v>
          </cell>
        </row>
        <row r="26">
          <cell r="K26" t="str">
            <v>Preço TMAR32</v>
          </cell>
          <cell r="M26" t="str">
            <v>R$ / ação</v>
          </cell>
          <cell r="O26">
            <v>63.400384615384624</v>
          </cell>
          <cell r="Q26" t="str">
            <v>Valor da aquisição secundária de AG / LF</v>
          </cell>
          <cell r="S26" t="str">
            <v>US$MM</v>
          </cell>
          <cell r="U26">
            <v>1000</v>
          </cell>
        </row>
        <row r="27">
          <cell r="D27" t="str">
            <v>Número máximo na emissão de novas PNs2</v>
          </cell>
          <cell r="F27" t="str">
            <v>MM ações</v>
          </cell>
          <cell r="H27">
            <v>47.69257622421361</v>
          </cell>
          <cell r="Q27" t="str">
            <v>Em reais</v>
          </cell>
          <cell r="S27" t="str">
            <v>R$MM</v>
          </cell>
          <cell r="U27">
            <v>1744.2</v>
          </cell>
        </row>
        <row r="28">
          <cell r="K28" t="str">
            <v>Proporção após primeiro aumento de capital</v>
          </cell>
        </row>
        <row r="29">
          <cell r="D29" t="str">
            <v>Máximo aumento de capital em PNs</v>
          </cell>
          <cell r="F29" t="str">
            <v>R$MM</v>
          </cell>
          <cell r="H29">
            <v>3023.7276759136912</v>
          </cell>
          <cell r="I29">
            <v>1733.5899988038593</v>
          </cell>
          <cell r="K29" t="str">
            <v>ONs</v>
          </cell>
          <cell r="O29">
            <v>0.33469141370576794</v>
          </cell>
          <cell r="Q29" t="str">
            <v>Participações na cadeia societária da TMAR</v>
          </cell>
        </row>
        <row r="30">
          <cell r="D30" t="str">
            <v>Máximo possível subscrito pelo parceiro3</v>
          </cell>
          <cell r="F30" t="str">
            <v>R$MM</v>
          </cell>
          <cell r="H30">
            <v>1801.7998198578616</v>
          </cell>
          <cell r="I30">
            <v>1033.023632529447</v>
          </cell>
          <cell r="K30" t="str">
            <v>PNs</v>
          </cell>
          <cell r="O30">
            <v>0.66530858629423206</v>
          </cell>
          <cell r="Q30" t="str">
            <v>TmarPart em TNL</v>
          </cell>
          <cell r="U30">
            <v>0.17919485692702783</v>
          </cell>
        </row>
        <row r="31">
          <cell r="Q31" t="str">
            <v>TmarPart em TMAR</v>
          </cell>
          <cell r="U31">
            <v>3.4951171957112503E-2</v>
          </cell>
        </row>
        <row r="32">
          <cell r="D32" t="str">
            <v>Primeira etapa do aumento de capital - Apenas PNs</v>
          </cell>
          <cell r="K32" t="str">
            <v>Saldo a ser investido pelo investidor</v>
          </cell>
          <cell r="Q32" t="str">
            <v>Veículos em TNL</v>
          </cell>
          <cell r="U32">
            <v>5.9687858865632853E-2</v>
          </cell>
        </row>
        <row r="33">
          <cell r="D33" t="str">
            <v>Investimento total pretendido</v>
          </cell>
          <cell r="F33" t="str">
            <v>R$MM</v>
          </cell>
          <cell r="H33">
            <v>1744.2</v>
          </cell>
          <cell r="I33">
            <v>1000</v>
          </cell>
          <cell r="K33" t="str">
            <v>Total disponível para investimento</v>
          </cell>
          <cell r="O33">
            <v>1744.2</v>
          </cell>
          <cell r="Q33" t="str">
            <v>TNL em TMAR</v>
          </cell>
          <cell r="U33">
            <v>0.52237027922229695</v>
          </cell>
        </row>
        <row r="34">
          <cell r="D34" t="str">
            <v>Tamanho do aumento de capital em PNs</v>
          </cell>
          <cell r="F34" t="str">
            <v>R$MM</v>
          </cell>
          <cell r="H34">
            <v>2927.0653455524862</v>
          </cell>
          <cell r="K34" t="str">
            <v>(-) Valor já investido</v>
          </cell>
          <cell r="O34">
            <v>-2335.632672776243</v>
          </cell>
        </row>
        <row r="35">
          <cell r="K35" t="str">
            <v>Total ainda a ser investido pelo parceiro</v>
          </cell>
          <cell r="O35">
            <v>-591.43267277624295</v>
          </cell>
          <cell r="Q35" t="str">
            <v>Aquisição da participação estratégica - TmarPart</v>
          </cell>
          <cell r="U35">
            <v>1.193899702037624E-2</v>
          </cell>
          <cell r="V35">
            <v>3.6178778849624969E-2</v>
          </cell>
        </row>
        <row r="36">
          <cell r="D36" t="str">
            <v>Aumento de capital do parceiro exclusivo em PNs3</v>
          </cell>
          <cell r="F36" t="str">
            <v>R$MM</v>
          </cell>
          <cell r="H36">
            <v>1744.1999999999996</v>
          </cell>
          <cell r="Q36" t="str">
            <v>(+) Aquisição da participação estratégica - TMAR</v>
          </cell>
          <cell r="U36">
            <v>4.4578513896619933E-3</v>
          </cell>
        </row>
        <row r="37">
          <cell r="D37" t="str">
            <v>Novas ações PN em favor do parceiro</v>
          </cell>
          <cell r="F37" t="str">
            <v>MM ações</v>
          </cell>
          <cell r="H37">
            <v>27.510874115056318</v>
          </cell>
          <cell r="K37" t="str">
            <v>Aumento de capital mínimo necessário3</v>
          </cell>
          <cell r="M37" t="str">
            <v>R$MM</v>
          </cell>
          <cell r="O37">
            <v>0</v>
          </cell>
          <cell r="Q37" t="str">
            <v>(+) Aquisição da participação estratégica - TNL</v>
          </cell>
          <cell r="U37">
            <v>1.0289123955601156E-2</v>
          </cell>
        </row>
        <row r="38">
          <cell r="D38" t="str">
            <v>Novas ações por ação existente</v>
          </cell>
          <cell r="H38">
            <v>0.14073667592178965</v>
          </cell>
          <cell r="K38" t="str">
            <v>ONs</v>
          </cell>
          <cell r="M38" t="str">
            <v>R$MM</v>
          </cell>
          <cell r="O38">
            <v>0</v>
          </cell>
          <cell r="Q38" t="str">
            <v>(+) Participação direta do aumento de capital</v>
          </cell>
          <cell r="U38">
            <v>9.8445078189036542E-2</v>
          </cell>
        </row>
        <row r="39">
          <cell r="K39" t="str">
            <v>PNs</v>
          </cell>
          <cell r="M39" t="str">
            <v>R$MM</v>
          </cell>
          <cell r="O39">
            <v>0</v>
          </cell>
          <cell r="Q39" t="str">
            <v>Participação total indireta adquirida na TMAR</v>
          </cell>
          <cell r="U39">
            <v>0.12513105055467594</v>
          </cell>
        </row>
        <row r="40">
          <cell r="D40" t="str">
            <v>Adesão dos minoritários</v>
          </cell>
        </row>
        <row r="41">
          <cell r="D41" t="str">
            <v>Minoritários ON</v>
          </cell>
          <cell r="K41" t="str">
            <v>Subscrição do parceiro na segunda etapa</v>
          </cell>
          <cell r="Q41" t="str">
            <v>Dívida líquida de cada empresa</v>
          </cell>
        </row>
        <row r="42">
          <cell r="D42" t="str">
            <v>% adesão</v>
          </cell>
          <cell r="F42" t="str">
            <v>%</v>
          </cell>
          <cell r="H42">
            <v>0.5</v>
          </cell>
          <cell r="K42" t="str">
            <v>ONs</v>
          </cell>
          <cell r="M42" t="str">
            <v>R$MM</v>
          </cell>
          <cell r="O42">
            <v>0</v>
          </cell>
          <cell r="Q42" t="str">
            <v>AG + LF</v>
          </cell>
          <cell r="S42" t="str">
            <v>R$MM</v>
          </cell>
          <cell r="U42">
            <v>1441.894</v>
          </cell>
        </row>
        <row r="43">
          <cell r="D43" t="str">
            <v>Novas ações</v>
          </cell>
          <cell r="F43" t="str">
            <v>MM ações</v>
          </cell>
          <cell r="H43">
            <v>1.4789974215585595</v>
          </cell>
          <cell r="K43" t="str">
            <v>PNs</v>
          </cell>
          <cell r="M43" t="str">
            <v>R$MM</v>
          </cell>
          <cell r="O43">
            <v>0</v>
          </cell>
          <cell r="Q43" t="str">
            <v>TmarPart</v>
          </cell>
          <cell r="S43" t="str">
            <v>R$MM</v>
          </cell>
          <cell r="U43">
            <v>2591.029693</v>
          </cell>
        </row>
        <row r="44">
          <cell r="D44" t="str">
            <v>Recursos do aumento</v>
          </cell>
          <cell r="F44" t="str">
            <v>R$MM</v>
          </cell>
          <cell r="H44">
            <v>93.769005371974828</v>
          </cell>
          <cell r="Q44" t="str">
            <v>TNL</v>
          </cell>
          <cell r="S44" t="str">
            <v>R$MM</v>
          </cell>
          <cell r="U44">
            <v>384</v>
          </cell>
        </row>
        <row r="45">
          <cell r="K45" t="str">
            <v>Ações subscritas na segunda etapa</v>
          </cell>
          <cell r="M45" t="str">
            <v>R$MM</v>
          </cell>
          <cell r="O45">
            <v>0</v>
          </cell>
        </row>
        <row r="46">
          <cell r="D46" t="str">
            <v>Minoritários PN</v>
          </cell>
          <cell r="K46" t="str">
            <v>(+) Ações subscritas na primeira etapa</v>
          </cell>
          <cell r="M46" t="str">
            <v>R$MM</v>
          </cell>
          <cell r="O46">
            <v>2335.632672776243</v>
          </cell>
          <cell r="Q46" t="str">
            <v>Dívida equivalentes</v>
          </cell>
        </row>
        <row r="47">
          <cell r="D47" t="str">
            <v>% adesão</v>
          </cell>
          <cell r="F47" t="str">
            <v>%</v>
          </cell>
          <cell r="H47">
            <v>0.5</v>
          </cell>
          <cell r="K47" t="str">
            <v>Total subscrito pelo parceiro na TMAR4</v>
          </cell>
          <cell r="M47" t="str">
            <v>R$MM</v>
          </cell>
          <cell r="O47">
            <v>2335.632672776243</v>
          </cell>
          <cell r="Q47" t="str">
            <v>Dívida líquida nos veículos</v>
          </cell>
          <cell r="S47" t="str">
            <v>R$MM</v>
          </cell>
          <cell r="U47">
            <v>475.82502000000005</v>
          </cell>
        </row>
        <row r="48">
          <cell r="D48" t="str">
            <v>Novas ações</v>
          </cell>
          <cell r="F48" t="str">
            <v>MM ações</v>
          </cell>
          <cell r="H48">
            <v>7.8495370402454343</v>
          </cell>
          <cell r="Q48" t="str">
            <v>Dívida líquida na TmarPart</v>
          </cell>
          <cell r="S48" t="str">
            <v>R$MM</v>
          </cell>
          <cell r="U48">
            <v>330.47319076363749</v>
          </cell>
        </row>
        <row r="49">
          <cell r="D49" t="str">
            <v>Recursos do aumento</v>
          </cell>
          <cell r="F49" t="str">
            <v>R$MM</v>
          </cell>
          <cell r="H49">
            <v>497.66366740426838</v>
          </cell>
          <cell r="K49" t="str">
            <v>Número de ações</v>
          </cell>
          <cell r="Q49" t="str">
            <v>Dívida líquida na TNL</v>
          </cell>
          <cell r="S49" t="str">
            <v>R$MM</v>
          </cell>
          <cell r="U49">
            <v>8.7961818704940402</v>
          </cell>
        </row>
        <row r="50">
          <cell r="K50" t="str">
            <v>ONs</v>
          </cell>
          <cell r="M50" t="str">
            <v>MM ações</v>
          </cell>
          <cell r="O50">
            <v>0</v>
          </cell>
        </row>
        <row r="51">
          <cell r="D51" t="str">
            <v>Sobras4</v>
          </cell>
          <cell r="K51" t="str">
            <v>PNs</v>
          </cell>
          <cell r="M51" t="str">
            <v>MM ações</v>
          </cell>
          <cell r="O51">
            <v>0</v>
          </cell>
          <cell r="Q51" t="str">
            <v>Desembolso total do parceiro</v>
          </cell>
          <cell r="S51" t="str">
            <v>R$MM</v>
          </cell>
          <cell r="U51">
            <v>4079.8326727762433</v>
          </cell>
        </row>
        <row r="52">
          <cell r="D52" t="str">
            <v>Novas ações</v>
          </cell>
          <cell r="F52" t="str">
            <v>MM ações</v>
          </cell>
          <cell r="H52">
            <v>9.3285344618039971</v>
          </cell>
          <cell r="Q52" t="str">
            <v>(+) Dívida líquida equivalente</v>
          </cell>
          <cell r="S52" t="str">
            <v>R$MM</v>
          </cell>
          <cell r="U52">
            <v>815.09439263413162</v>
          </cell>
        </row>
        <row r="53">
          <cell r="D53" t="str">
            <v>Recursos do aumento</v>
          </cell>
          <cell r="F53" t="str">
            <v>R$MM</v>
          </cell>
          <cell r="H53">
            <v>591.43267277624341</v>
          </cell>
          <cell r="K53" t="str">
            <v>Adesão dos minoritários</v>
          </cell>
          <cell r="Q53" t="str">
            <v>Desembolso econômico do parceiro</v>
          </cell>
          <cell r="S53" t="str">
            <v>R$MM</v>
          </cell>
          <cell r="U53">
            <v>4894.9270654103748</v>
          </cell>
        </row>
        <row r="54">
          <cell r="K54" t="str">
            <v>Minoritários ON</v>
          </cell>
        </row>
        <row r="55">
          <cell r="K55" t="str">
            <v>% adesão</v>
          </cell>
          <cell r="M55" t="str">
            <v>%</v>
          </cell>
          <cell r="O55">
            <v>1</v>
          </cell>
          <cell r="Q55" t="str">
            <v>Valor do equity implícito</v>
          </cell>
          <cell r="S55" t="str">
            <v>R$MM</v>
          </cell>
          <cell r="U55">
            <v>39118.404614301064</v>
          </cell>
        </row>
        <row r="56">
          <cell r="D56" t="str">
            <v>Total da primeira etapa aumento de capital</v>
          </cell>
          <cell r="F56" t="str">
            <v>R$MM</v>
          </cell>
          <cell r="H56">
            <v>2927.0653455524862</v>
          </cell>
          <cell r="K56" t="str">
            <v>Novas ações</v>
          </cell>
          <cell r="M56" t="str">
            <v>MM ações</v>
          </cell>
          <cell r="O56">
            <v>0</v>
          </cell>
        </row>
        <row r="57">
          <cell r="D57" t="str">
            <v>Valor total aportado pelo parceiro</v>
          </cell>
          <cell r="F57" t="str">
            <v>R$MM</v>
          </cell>
          <cell r="H57">
            <v>2335.632672776243</v>
          </cell>
          <cell r="I57">
            <v>1339.0853530422216</v>
          </cell>
          <cell r="K57" t="str">
            <v>Recursos do aumento</v>
          </cell>
          <cell r="M57" t="str">
            <v>R$MM</v>
          </cell>
          <cell r="O57">
            <v>0</v>
          </cell>
          <cell r="Q57" t="str">
            <v>(+) Dívida líquida da TMAR</v>
          </cell>
          <cell r="S57" t="str">
            <v>R$MM</v>
          </cell>
          <cell r="U57">
            <v>23159</v>
          </cell>
        </row>
        <row r="58">
          <cell r="Q58" t="str">
            <v>(-) Caixa resultante dos aumentos de capital</v>
          </cell>
          <cell r="S58" t="str">
            <v>R$MM</v>
          </cell>
          <cell r="U58">
            <v>-2927.0653455524862</v>
          </cell>
        </row>
        <row r="59">
          <cell r="K59" t="str">
            <v>Minoritários PN</v>
          </cell>
          <cell r="Q59" t="str">
            <v>EV implícito de aquisição</v>
          </cell>
          <cell r="S59" t="str">
            <v>R$MM</v>
          </cell>
          <cell r="U59">
            <v>59350.339268748576</v>
          </cell>
        </row>
        <row r="60">
          <cell r="K60" t="str">
            <v>% adesão</v>
          </cell>
          <cell r="M60" t="str">
            <v>%</v>
          </cell>
          <cell r="O60">
            <v>0.5</v>
          </cell>
        </row>
        <row r="61">
          <cell r="K61" t="str">
            <v>Novas ações</v>
          </cell>
          <cell r="M61" t="str">
            <v>MM ações</v>
          </cell>
          <cell r="O61">
            <v>0</v>
          </cell>
          <cell r="Q61" t="str">
            <v>EBITDA 2010E</v>
          </cell>
          <cell r="U61">
            <v>11328.53</v>
          </cell>
        </row>
        <row r="62">
          <cell r="K62" t="str">
            <v>Recursos do aumento</v>
          </cell>
          <cell r="M62" t="str">
            <v>R$MM</v>
          </cell>
          <cell r="O62">
            <v>0</v>
          </cell>
          <cell r="Q62" t="str">
            <v>Múltiplo médio de aquisição</v>
          </cell>
          <cell r="U62">
            <v>5.2390150592132052</v>
          </cell>
        </row>
        <row r="64">
          <cell r="K64" t="str">
            <v>Total do aumento de capital na TMAR</v>
          </cell>
          <cell r="M64" t="str">
            <v>R$MM</v>
          </cell>
          <cell r="O64">
            <v>0</v>
          </cell>
        </row>
        <row r="68">
          <cell r="D68" t="str">
            <v>Tabela da apresentação (valores em dólares)</v>
          </cell>
        </row>
        <row r="69">
          <cell r="D69" t="str">
            <v>Current exchange rate</v>
          </cell>
          <cell r="H69">
            <v>1.7442</v>
          </cell>
          <cell r="X69" t="str">
            <v>TMAR após primeiro aumento de capital</v>
          </cell>
          <cell r="AJ69" t="str">
            <v>Total possible investment of PT in TMAR1 (US$m)</v>
          </cell>
        </row>
        <row r="70">
          <cell r="AA70" t="str">
            <v>ONs</v>
          </cell>
          <cell r="AD70" t="str">
            <v>PNs</v>
          </cell>
          <cell r="AG70" t="str">
            <v>Total</v>
          </cell>
          <cell r="AO70" t="str">
            <v>Non-voting minority shareholders acceptance (%)</v>
          </cell>
        </row>
        <row r="71">
          <cell r="D71" t="str">
            <v>Funds deployed on capital increase1</v>
          </cell>
          <cell r="H71">
            <v>1339.0853530422216</v>
          </cell>
          <cell r="Z71" t="str">
            <v>#</v>
          </cell>
          <cell r="AA71" t="str">
            <v>%</v>
          </cell>
          <cell r="AC71" t="str">
            <v>#</v>
          </cell>
          <cell r="AD71" t="str">
            <v>%</v>
          </cell>
          <cell r="AF71" t="str">
            <v>#</v>
          </cell>
          <cell r="AG71" t="str">
            <v>%</v>
          </cell>
          <cell r="AJ71">
            <v>1339.0853530422216</v>
          </cell>
          <cell r="AK71">
            <v>0</v>
          </cell>
          <cell r="AL71">
            <v>0.25</v>
          </cell>
          <cell r="AM71">
            <v>0.5</v>
          </cell>
          <cell r="AN71">
            <v>0.75</v>
          </cell>
          <cell r="AO71">
            <v>1</v>
          </cell>
        </row>
        <row r="72">
          <cell r="D72" t="str">
            <v>(+) Secondary acquisition of control group2</v>
          </cell>
          <cell r="H72">
            <v>1000</v>
          </cell>
          <cell r="X72" t="str">
            <v>TNL</v>
          </cell>
          <cell r="Z72">
            <v>104.227873</v>
          </cell>
          <cell r="AA72">
            <v>0.83218649384075249</v>
          </cell>
          <cell r="AC72">
            <v>91.249773000000005</v>
          </cell>
          <cell r="AD72">
            <v>0.36651353996512104</v>
          </cell>
          <cell r="AF72">
            <v>195.47764599999999</v>
          </cell>
          <cell r="AG72">
            <v>0.52237027922229695</v>
          </cell>
          <cell r="AK72">
            <v>1678.1707060844435</v>
          </cell>
          <cell r="AL72">
            <v>1535.5082627280999</v>
          </cell>
          <cell r="AM72">
            <v>1392.8458193717565</v>
          </cell>
          <cell r="AN72">
            <v>1250.1833760154132</v>
          </cell>
          <cell r="AO72">
            <v>1107.5209326590698</v>
          </cell>
        </row>
        <row r="73">
          <cell r="D73" t="str">
            <v>Cash investment</v>
          </cell>
          <cell r="H73">
            <v>2339.0853530422219</v>
          </cell>
          <cell r="X73" t="str">
            <v>Current minority</v>
          </cell>
          <cell r="Z73">
            <v>21.0179388119195</v>
          </cell>
          <cell r="AA73">
            <v>0.16781350615924742</v>
          </cell>
          <cell r="AC73">
            <v>107.79863286142941</v>
          </cell>
          <cell r="AD73">
            <v>0.43298363639154386</v>
          </cell>
          <cell r="AF73">
            <v>128.8165716733489</v>
          </cell>
          <cell r="AG73">
            <v>0.34423347063155396</v>
          </cell>
          <cell r="AJ73">
            <v>0</v>
          </cell>
          <cell r="AK73">
            <v>1678.1707060844435</v>
          </cell>
          <cell r="AL73">
            <v>1535.5082627280999</v>
          </cell>
          <cell r="AM73">
            <v>1392.8458193717565</v>
          </cell>
          <cell r="AN73">
            <v>1250.1833760154132</v>
          </cell>
          <cell r="AO73">
            <v>1107.5209326590698</v>
          </cell>
        </row>
        <row r="74">
          <cell r="D74" t="str">
            <v>(+) Equivalent net debt of TNL, TmarPart, LFTel and AGTel3</v>
          </cell>
          <cell r="H74">
            <v>467.31704657386285</v>
          </cell>
          <cell r="X74" t="str">
            <v>TmarPart</v>
          </cell>
          <cell r="Z74">
            <v>0</v>
          </cell>
          <cell r="AA74">
            <v>0</v>
          </cell>
          <cell r="AC74">
            <v>13.079176</v>
          </cell>
          <cell r="AD74">
            <v>5.2533775569905822E-2</v>
          </cell>
          <cell r="AF74">
            <v>13.079176</v>
          </cell>
          <cell r="AG74">
            <v>3.4951171957112503E-2</v>
          </cell>
          <cell r="AJ74">
            <v>0.25</v>
          </cell>
          <cell r="AK74">
            <v>1651.2904729196762</v>
          </cell>
          <cell r="AL74">
            <v>1508.6280295633323</v>
          </cell>
          <cell r="AM74">
            <v>1365.9655862069892</v>
          </cell>
          <cell r="AN74">
            <v>1223.3031428506456</v>
          </cell>
          <cell r="AO74">
            <v>1080.6406994943022</v>
          </cell>
        </row>
        <row r="75">
          <cell r="D75" t="str">
            <v>Total economic investment by PT</v>
          </cell>
          <cell r="H75">
            <v>2806.4023996160849</v>
          </cell>
          <cell r="X75" t="str">
            <v>PT</v>
          </cell>
          <cell r="Z75">
            <v>0</v>
          </cell>
          <cell r="AA75">
            <v>0</v>
          </cell>
          <cell r="AC75">
            <v>36.839408576860315</v>
          </cell>
          <cell r="AD75">
            <v>0.14796904807342934</v>
          </cell>
          <cell r="AF75">
            <v>36.839408576860315</v>
          </cell>
          <cell r="AG75">
            <v>9.8445078189036542E-2</v>
          </cell>
          <cell r="AJ75">
            <v>0.5</v>
          </cell>
          <cell r="AK75">
            <v>1624.4102397549086</v>
          </cell>
          <cell r="AL75">
            <v>1481.747796398565</v>
          </cell>
          <cell r="AM75">
            <v>1339.0853530422216</v>
          </cell>
          <cell r="AN75">
            <v>1196.4229096858783</v>
          </cell>
          <cell r="AO75">
            <v>1053.7604663295349</v>
          </cell>
        </row>
        <row r="76">
          <cell r="AJ76">
            <v>0.75</v>
          </cell>
          <cell r="AK76">
            <v>1597.5300065901408</v>
          </cell>
          <cell r="AL76">
            <v>1454.8675632337977</v>
          </cell>
          <cell r="AM76">
            <v>1312.2051198774541</v>
          </cell>
          <cell r="AN76">
            <v>1169.5426765211107</v>
          </cell>
          <cell r="AO76">
            <v>1026.8802331647673</v>
          </cell>
        </row>
        <row r="77">
          <cell r="D77" t="str">
            <v>Direct and indirect stake bought in TMAR4</v>
          </cell>
          <cell r="H77">
            <v>0.12513105055467594</v>
          </cell>
          <cell r="X77" t="str">
            <v>Total</v>
          </cell>
          <cell r="Z77">
            <v>125.24581181191951</v>
          </cell>
          <cell r="AA77">
            <v>1</v>
          </cell>
          <cell r="AC77">
            <v>248.96699043828971</v>
          </cell>
          <cell r="AD77">
            <v>1</v>
          </cell>
          <cell r="AF77">
            <v>374.21280225020922</v>
          </cell>
          <cell r="AG77">
            <v>1</v>
          </cell>
          <cell r="AJ77">
            <v>1</v>
          </cell>
          <cell r="AK77">
            <v>1570.6497734253735</v>
          </cell>
          <cell r="AL77">
            <v>1427.9873300690301</v>
          </cell>
          <cell r="AM77">
            <v>1285.3248867126867</v>
          </cell>
          <cell r="AN77">
            <v>1142.6624433563434</v>
          </cell>
          <cell r="AO77">
            <v>999.99999999999989</v>
          </cell>
        </row>
        <row r="78">
          <cell r="D78" t="str">
            <v>Implied TMAR equity value of transaction</v>
          </cell>
          <cell r="H78">
            <v>22427.705890552155</v>
          </cell>
        </row>
        <row r="80">
          <cell r="B80" t="str">
            <v>(A)</v>
          </cell>
          <cell r="D80" t="str">
            <v>(+) TMAR's net debt and other adjustments</v>
          </cell>
          <cell r="H80">
            <v>13277.720444903107</v>
          </cell>
          <cell r="X80" t="str">
            <v>TMAR após segundo aumento de capital</v>
          </cell>
          <cell r="AJ80" t="str">
            <v>Final PT's stake in TMAR after capital increase (%)</v>
          </cell>
        </row>
        <row r="81">
          <cell r="D81" t="str">
            <v>(-) Additional cash from capital increase5</v>
          </cell>
          <cell r="H81">
            <v>-1678.1707060844435</v>
          </cell>
          <cell r="AA81" t="str">
            <v>ONs</v>
          </cell>
          <cell r="AD81" t="str">
            <v>PNs</v>
          </cell>
          <cell r="AG81" t="str">
            <v>Total</v>
          </cell>
          <cell r="AO81" t="str">
            <v>Non-voting minority shareholders acceptance (%)</v>
          </cell>
        </row>
        <row r="82">
          <cell r="B82" t="str">
            <v>(B)</v>
          </cell>
          <cell r="D82" t="str">
            <v>Implied EV of the acquisition</v>
          </cell>
          <cell r="H82">
            <v>34027.255629370818</v>
          </cell>
          <cell r="Z82" t="str">
            <v>#</v>
          </cell>
          <cell r="AA82" t="str">
            <v>%</v>
          </cell>
          <cell r="AC82" t="str">
            <v>#</v>
          </cell>
          <cell r="AD82" t="str">
            <v>%</v>
          </cell>
          <cell r="AF82" t="str">
            <v>#</v>
          </cell>
          <cell r="AG82" t="str">
            <v>%</v>
          </cell>
          <cell r="AJ82">
            <v>9.8445078189036542E-2</v>
          </cell>
          <cell r="AK82">
            <v>0</v>
          </cell>
          <cell r="AL82">
            <v>0.25</v>
          </cell>
          <cell r="AM82">
            <v>0.5</v>
          </cell>
          <cell r="AN82">
            <v>0.75</v>
          </cell>
          <cell r="AO82">
            <v>1</v>
          </cell>
        </row>
        <row r="83">
          <cell r="X83" t="str">
            <v>TNL</v>
          </cell>
          <cell r="Z83">
            <v>104.227873</v>
          </cell>
          <cell r="AA83">
            <v>0.83218649384075249</v>
          </cell>
          <cell r="AC83">
            <v>91.249773000000005</v>
          </cell>
          <cell r="AD83">
            <v>0.36651353996512104</v>
          </cell>
          <cell r="AF83">
            <v>195.47764599999999</v>
          </cell>
          <cell r="AG83">
            <v>0.52237027922229695</v>
          </cell>
          <cell r="AK83">
            <v>0.12337349967998988</v>
          </cell>
          <cell r="AL83">
            <v>0.11288543380805185</v>
          </cell>
          <cell r="AM83">
            <v>0.1023973679361138</v>
          </cell>
          <cell r="AN83">
            <v>9.1909302064175774E-2</v>
          </cell>
          <cell r="AO83">
            <v>8.1421236192237734E-2</v>
          </cell>
        </row>
        <row r="84">
          <cell r="D84" t="str">
            <v>EBITDA 2010E6</v>
          </cell>
          <cell r="H84">
            <v>6494.9719068914119</v>
          </cell>
          <cell r="X84" t="str">
            <v>Current minority</v>
          </cell>
          <cell r="Z84">
            <v>21.0179388119195</v>
          </cell>
          <cell r="AA84">
            <v>0.16781350615924742</v>
          </cell>
          <cell r="AC84">
            <v>107.79863286142941</v>
          </cell>
          <cell r="AD84">
            <v>0.43298363639154386</v>
          </cell>
          <cell r="AF84">
            <v>128.8165716733489</v>
          </cell>
          <cell r="AG84">
            <v>0.34423347063155396</v>
          </cell>
          <cell r="AJ84">
            <v>0</v>
          </cell>
          <cell r="AK84">
            <v>0.12337349967998988</v>
          </cell>
          <cell r="AL84">
            <v>0.11288543380805185</v>
          </cell>
          <cell r="AM84">
            <v>0.1023973679361138</v>
          </cell>
          <cell r="AN84">
            <v>9.1909302064175774E-2</v>
          </cell>
          <cell r="AO84">
            <v>8.1421236192237734E-2</v>
          </cell>
        </row>
        <row r="85">
          <cell r="D85" t="str">
            <v>Implied EV / EBITDA 2010E acquisition multiple</v>
          </cell>
          <cell r="H85">
            <v>5.2390150592132061</v>
          </cell>
          <cell r="X85" t="str">
            <v>TmarPart</v>
          </cell>
          <cell r="Z85">
            <v>0</v>
          </cell>
          <cell r="AA85">
            <v>0</v>
          </cell>
          <cell r="AC85">
            <v>13.079176</v>
          </cell>
          <cell r="AD85">
            <v>5.2533775569905822E-2</v>
          </cell>
          <cell r="AF85">
            <v>13.079176</v>
          </cell>
          <cell r="AG85">
            <v>3.4951171957112503E-2</v>
          </cell>
          <cell r="AJ85">
            <v>0.25</v>
          </cell>
          <cell r="AK85">
            <v>0.12139735480645127</v>
          </cell>
          <cell r="AL85">
            <v>0.11090928893451324</v>
          </cell>
          <cell r="AM85">
            <v>0.10042122306257519</v>
          </cell>
          <cell r="AN85">
            <v>8.9933157190637131E-2</v>
          </cell>
          <cell r="AO85">
            <v>7.944509131869909E-2</v>
          </cell>
        </row>
        <row r="86">
          <cell r="B86" t="str">
            <v>(C) = (B) - (A)</v>
          </cell>
          <cell r="D86" t="str">
            <v>Pre-money equity value</v>
          </cell>
          <cell r="H86">
            <v>20749.535184467713</v>
          </cell>
          <cell r="X86" t="str">
            <v>PT</v>
          </cell>
          <cell r="Z86">
            <v>0</v>
          </cell>
          <cell r="AA86">
            <v>0</v>
          </cell>
          <cell r="AC86">
            <v>36.839408576860315</v>
          </cell>
          <cell r="AD86">
            <v>0.14796904807342934</v>
          </cell>
          <cell r="AF86">
            <v>36.839408576860315</v>
          </cell>
          <cell r="AG86">
            <v>9.8445078189036542E-2</v>
          </cell>
          <cell r="AJ86">
            <v>0.5</v>
          </cell>
          <cell r="AK86">
            <v>0.11942120993291259</v>
          </cell>
          <cell r="AL86">
            <v>0.10893314406097458</v>
          </cell>
          <cell r="AM86">
            <v>9.8445078189036542E-2</v>
          </cell>
          <cell r="AN86">
            <v>8.7957012317098501E-2</v>
          </cell>
          <cell r="AO86">
            <v>7.7468946445160447E-2</v>
          </cell>
        </row>
        <row r="87">
          <cell r="AJ87">
            <v>0.75</v>
          </cell>
          <cell r="AK87">
            <v>0.11744506505937398</v>
          </cell>
          <cell r="AL87">
            <v>0.10695699918743594</v>
          </cell>
          <cell r="AM87">
            <v>9.6468933315497898E-2</v>
          </cell>
          <cell r="AN87">
            <v>8.5980867443559872E-2</v>
          </cell>
          <cell r="AO87">
            <v>7.5492801571621818E-2</v>
          </cell>
        </row>
        <row r="88">
          <cell r="D88" t="str">
            <v>TNL market value7</v>
          </cell>
          <cell r="X88" t="str">
            <v>Total</v>
          </cell>
          <cell r="Z88">
            <v>125.24581181191951</v>
          </cell>
          <cell r="AA88">
            <v>1</v>
          </cell>
          <cell r="AC88">
            <v>248.96699043828971</v>
          </cell>
          <cell r="AD88">
            <v>1</v>
          </cell>
          <cell r="AF88">
            <v>374.21280225020922</v>
          </cell>
          <cell r="AG88">
            <v>1</v>
          </cell>
          <cell r="AJ88">
            <v>1</v>
          </cell>
          <cell r="AK88">
            <v>0.11546892018583534</v>
          </cell>
          <cell r="AL88">
            <v>0.1049808543138973</v>
          </cell>
          <cell r="AM88">
            <v>9.4492788441959255E-2</v>
          </cell>
          <cell r="AN88">
            <v>8.4004722570021229E-2</v>
          </cell>
          <cell r="AO88">
            <v>7.3516656698083188E-2</v>
          </cell>
        </row>
        <row r="89">
          <cell r="D89" t="str">
            <v>Price TNLP3 (voting)</v>
          </cell>
          <cell r="F89" t="str">
            <v>US$ / share</v>
          </cell>
          <cell r="H89">
            <v>25.31952052075891</v>
          </cell>
        </row>
        <row r="90">
          <cell r="D90" t="str">
            <v>Price TNLP4 (non-voting)</v>
          </cell>
          <cell r="F90" t="str">
            <v>US$ / share</v>
          </cell>
          <cell r="H90">
            <v>21.354290704135906</v>
          </cell>
          <cell r="AJ90" t="str">
            <v>Average acquisition multiple1</v>
          </cell>
        </row>
        <row r="91">
          <cell r="AO91" t="str">
            <v>Non-voting minority shareholders acceptance (%)</v>
          </cell>
        </row>
        <row r="92">
          <cell r="D92" t="str">
            <v>Equity Value</v>
          </cell>
          <cell r="H92">
            <v>8669.2355694967064</v>
          </cell>
          <cell r="AJ92">
            <v>5.2390150592132061</v>
          </cell>
          <cell r="AK92">
            <v>0</v>
          </cell>
          <cell r="AL92">
            <v>0.25</v>
          </cell>
          <cell r="AM92">
            <v>0.5</v>
          </cell>
          <cell r="AN92">
            <v>0.75</v>
          </cell>
          <cell r="AO92">
            <v>1</v>
          </cell>
        </row>
        <row r="93">
          <cell r="D93" t="str">
            <v>(+) TNL's net debt and other adjustments</v>
          </cell>
          <cell r="H93">
            <v>220.15823873409013</v>
          </cell>
          <cell r="AK93">
            <v>9.4655778917527513</v>
          </cell>
          <cell r="AL93">
            <v>9.4655778917527513</v>
          </cell>
          <cell r="AM93">
            <v>9.4655778917527513</v>
          </cell>
          <cell r="AN93">
            <v>9.4655778917527513</v>
          </cell>
          <cell r="AO93">
            <v>9.4655778917527513</v>
          </cell>
        </row>
        <row r="94">
          <cell r="D94" t="str">
            <v>TNL's enterprise value</v>
          </cell>
          <cell r="H94">
            <v>8889.3938082307959</v>
          </cell>
          <cell r="AJ94">
            <v>800</v>
          </cell>
          <cell r="AK94">
            <v>5.2028054195181506</v>
          </cell>
          <cell r="AL94">
            <v>5.3170729355964843</v>
          </cell>
          <cell r="AM94">
            <v>5.4529523927248604</v>
          </cell>
          <cell r="AN94">
            <v>5.6172155242093993</v>
          </cell>
          <cell r="AO94">
            <v>5.8197930810618175</v>
          </cell>
        </row>
        <row r="95">
          <cell r="AJ95">
            <v>900</v>
          </cell>
          <cell r="AK95">
            <v>5.0995574566283004</v>
          </cell>
          <cell r="AL95">
            <v>5.2076825233151975</v>
          </cell>
          <cell r="AM95">
            <v>5.336849495283766</v>
          </cell>
          <cell r="AN95">
            <v>5.4938628261506945</v>
          </cell>
          <cell r="AO95">
            <v>5.6888152899423901</v>
          </cell>
        </row>
        <row r="96">
          <cell r="D96" t="str">
            <v>Owned economic stake in TMAR (pre-money)</v>
          </cell>
          <cell r="H96">
            <v>0.59588693592038022</v>
          </cell>
          <cell r="AJ96">
            <v>1000</v>
          </cell>
          <cell r="AK96">
            <v>5.013286845908099</v>
          </cell>
          <cell r="AL96">
            <v>5.1159270393413685</v>
          </cell>
          <cell r="AM96">
            <v>5.2390150592132061</v>
          </cell>
          <cell r="AN96">
            <v>5.3893372683553578</v>
          </cell>
          <cell r="AO96">
            <v>5.5770566538386994</v>
          </cell>
        </row>
        <row r="97">
          <cell r="B97" t="str">
            <v>(D)</v>
          </cell>
          <cell r="D97" t="str">
            <v>TMAR's implied equity value</v>
          </cell>
          <cell r="H97">
            <v>14917.920283821355</v>
          </cell>
          <cell r="AJ97">
            <v>1100</v>
          </cell>
          <cell r="AK97">
            <v>4.9878306338312157</v>
          </cell>
          <cell r="AL97">
            <v>5.0887908062541767</v>
          </cell>
          <cell r="AM97">
            <v>5.2100021787353787</v>
          </cell>
          <cell r="AN97">
            <v>5.3582371358359673</v>
          </cell>
          <cell r="AO97">
            <v>5.4788972875373485</v>
          </cell>
        </row>
        <row r="98">
          <cell r="B98" t="str">
            <v>(E) = [(C) / (D)] - 1</v>
          </cell>
          <cell r="D98" t="str">
            <v>Premium on the equity of transaction</v>
          </cell>
          <cell r="H98">
            <v>0.39091339742382236</v>
          </cell>
          <cell r="AJ98">
            <v>1200</v>
          </cell>
          <cell r="AK98">
            <v>4.9878306338312157</v>
          </cell>
          <cell r="AL98">
            <v>5.0887908062541767</v>
          </cell>
          <cell r="AM98">
            <v>5.2100021787353787</v>
          </cell>
          <cell r="AN98">
            <v>5.3582371358359673</v>
          </cell>
          <cell r="AO98">
            <v>5.3925707196954171</v>
          </cell>
        </row>
        <row r="100">
          <cell r="AJ100" t="str">
            <v>Final PT’s economic stake in TMAR1,2</v>
          </cell>
        </row>
        <row r="101">
          <cell r="AO101" t="str">
            <v>Non-voting minority shareholders acceptance (%)</v>
          </cell>
        </row>
        <row r="102">
          <cell r="D102" t="str">
            <v>Economic stakes directly owned in TMAR1</v>
          </cell>
          <cell r="I102" t="str">
            <v>(A)</v>
          </cell>
          <cell r="K102" t="str">
            <v>Stake of TMAR consolidated by TmarPart</v>
          </cell>
          <cell r="O102">
            <v>1</v>
          </cell>
          <cell r="AJ102">
            <v>0.12513105055467594</v>
          </cell>
          <cell r="AK102">
            <v>0</v>
          </cell>
          <cell r="AL102">
            <v>0.25</v>
          </cell>
          <cell r="AM102">
            <v>0.5</v>
          </cell>
          <cell r="AN102">
            <v>0.75</v>
          </cell>
          <cell r="AO102">
            <v>1</v>
          </cell>
        </row>
        <row r="103">
          <cell r="B103" t="str">
            <v>(A)</v>
          </cell>
          <cell r="D103" t="str">
            <v>By TNL</v>
          </cell>
          <cell r="H103">
            <v>0.52237027922229695</v>
          </cell>
          <cell r="AK103">
            <v>3.0441667410120214E-2</v>
          </cell>
          <cell r="AL103">
            <v>3.0441667410120214E-2</v>
          </cell>
          <cell r="AM103">
            <v>3.0441667410120214E-2</v>
          </cell>
          <cell r="AN103">
            <v>3.0441667410120214E-2</v>
          </cell>
          <cell r="AO103">
            <v>3.0441667410120214E-2</v>
          </cell>
        </row>
        <row r="104">
          <cell r="B104" t="str">
            <v>(B)</v>
          </cell>
          <cell r="D104" t="str">
            <v>By TmarPart</v>
          </cell>
          <cell r="H104">
            <v>3.4951171957112503E-2</v>
          </cell>
          <cell r="K104" t="str">
            <v>Stake owned in TmarPart</v>
          </cell>
          <cell r="AJ104">
            <v>800</v>
          </cell>
          <cell r="AK104">
            <v>0.12855687441041813</v>
          </cell>
          <cell r="AL104">
            <v>0.11833324072048207</v>
          </cell>
          <cell r="AM104">
            <v>0.10810960703054601</v>
          </cell>
          <cell r="AN104">
            <v>9.7885973340609916E-2</v>
          </cell>
          <cell r="AO104">
            <v>8.7662339650673854E-2</v>
          </cell>
        </row>
        <row r="105">
          <cell r="I105" t="str">
            <v>(B)</v>
          </cell>
          <cell r="K105" t="str">
            <v>By AGTel</v>
          </cell>
          <cell r="O105">
            <v>0.19325018044186537</v>
          </cell>
          <cell r="AJ105">
            <v>900</v>
          </cell>
          <cell r="AK105">
            <v>0.1394424726632803</v>
          </cell>
          <cell r="AL105">
            <v>0.12808455640456023</v>
          </cell>
          <cell r="AM105">
            <v>0.11672664014584019</v>
          </cell>
          <cell r="AN105">
            <v>0.10536872388712011</v>
          </cell>
          <cell r="AO105">
            <v>9.4010807628400056E-2</v>
          </cell>
        </row>
        <row r="106">
          <cell r="D106" t="str">
            <v>Economic stakes directly owned in TNL</v>
          </cell>
          <cell r="I106" t="str">
            <v>(C)</v>
          </cell>
          <cell r="K106" t="str">
            <v>By LFTel</v>
          </cell>
          <cell r="O106">
            <v>0.19325018044186537</v>
          </cell>
          <cell r="AJ106">
            <v>1000</v>
          </cell>
          <cell r="AK106">
            <v>0.15005947204562928</v>
          </cell>
          <cell r="AL106">
            <v>0.13759526130015265</v>
          </cell>
          <cell r="AM106">
            <v>0.12513105055467594</v>
          </cell>
          <cell r="AN106">
            <v>0.11266683980919927</v>
          </cell>
          <cell r="AO106">
            <v>0.10020262906372257</v>
          </cell>
        </row>
        <row r="107">
          <cell r="B107" t="str">
            <v>(C)</v>
          </cell>
          <cell r="D107" t="str">
            <v>By TmarPart</v>
          </cell>
          <cell r="H107">
            <v>0.17919485692702783</v>
          </cell>
          <cell r="I107" t="str">
            <v>(D) = (B)+(C)</v>
          </cell>
          <cell r="K107" t="str">
            <v>Total stake owned by By LFTel and AGTel</v>
          </cell>
          <cell r="O107">
            <v>0.38650036088373074</v>
          </cell>
          <cell r="AJ107">
            <v>1100</v>
          </cell>
          <cell r="AK107">
            <v>0.15350828340284653</v>
          </cell>
          <cell r="AL107">
            <v>0.1406847054903437</v>
          </cell>
          <cell r="AM107">
            <v>0.12786112757784088</v>
          </cell>
          <cell r="AN107">
            <v>0.11503754966533808</v>
          </cell>
          <cell r="AO107">
            <v>0.10630871408386366</v>
          </cell>
        </row>
        <row r="108">
          <cell r="B108" t="str">
            <v>(D)</v>
          </cell>
          <cell r="D108" t="str">
            <v>By LFTel and AGTel</v>
          </cell>
          <cell r="H108">
            <v>5.9687858865632853E-2</v>
          </cell>
          <cell r="AJ108">
            <v>1200</v>
          </cell>
          <cell r="AK108">
            <v>0.15350828340284653</v>
          </cell>
          <cell r="AL108">
            <v>0.1406847054903437</v>
          </cell>
          <cell r="AM108">
            <v>0.12786112757784088</v>
          </cell>
          <cell r="AN108">
            <v>0.11503754966533808</v>
          </cell>
          <cell r="AO108">
            <v>0.1123037092305358</v>
          </cell>
        </row>
        <row r="109">
          <cell r="I109" t="str">
            <v>(E)</v>
          </cell>
          <cell r="K109" t="str">
            <v>Participation acquired by Etisalat in LFTel and AGTel</v>
          </cell>
          <cell r="O109">
            <v>0.33333333333333331</v>
          </cell>
        </row>
        <row r="110">
          <cell r="D110" t="str">
            <v>LFTel and AGTel assets</v>
          </cell>
        </row>
        <row r="111">
          <cell r="B111" t="str">
            <v>(E)</v>
          </cell>
          <cell r="D111" t="str">
            <v>Economic stake owned in TmarPart</v>
          </cell>
          <cell r="H111">
            <v>0.38650036088373074</v>
          </cell>
          <cell r="I111" t="str">
            <v>(F) = (D)*(E)</v>
          </cell>
          <cell r="K111" t="str">
            <v>Stake consolidated by Etisalat in TMAR</v>
          </cell>
          <cell r="O111">
            <v>0.12883345362791024</v>
          </cell>
        </row>
        <row r="112">
          <cell r="B112" t="str">
            <v>(F)</v>
          </cell>
          <cell r="D112" t="str">
            <v>Economic stake owned in TNL</v>
          </cell>
          <cell r="H112">
            <v>5.9687858865632853E-2</v>
          </cell>
        </row>
        <row r="115">
          <cell r="D115" t="str">
            <v>Economic stake owned by LFTel and AGTel in TMAR</v>
          </cell>
        </row>
        <row r="116">
          <cell r="B116" t="str">
            <v>(F) = (A)*(C)*(E)</v>
          </cell>
          <cell r="D116" t="str">
            <v>Indirect stake owned in TMAR through TmarPart</v>
          </cell>
          <cell r="H116">
            <v>3.6178778849624969E-2</v>
          </cell>
        </row>
        <row r="117">
          <cell r="B117" t="str">
            <v>(G) = (B)*(E)</v>
          </cell>
          <cell r="D117" t="str">
            <v>(+) Direct stake owned in TMAR through TmarPart</v>
          </cell>
          <cell r="H117">
            <v>1.3508640574733312E-2</v>
          </cell>
        </row>
        <row r="118">
          <cell r="B118" t="str">
            <v>(H) = (A)*(F)</v>
          </cell>
          <cell r="D118" t="str">
            <v>(+) Indirect stake owned in TMAR through direct stake in TNL</v>
          </cell>
          <cell r="H118">
            <v>3.1179163501821688E-2</v>
          </cell>
        </row>
        <row r="120">
          <cell r="B120" t="str">
            <v>(I)</v>
          </cell>
          <cell r="D120" t="str">
            <v>(=) Direct and in direct stake in TMAR of AGTel and LFTel</v>
          </cell>
          <cell r="H120">
            <v>8.0866582926179972E-2</v>
          </cell>
        </row>
        <row r="122">
          <cell r="B122" t="str">
            <v>(J)</v>
          </cell>
          <cell r="D122" t="str">
            <v>Participation acquired by PT</v>
          </cell>
          <cell r="H122">
            <v>0.33333333333333331</v>
          </cell>
        </row>
        <row r="124">
          <cell r="B124" t="str">
            <v>(L) = (I)*(J)</v>
          </cell>
          <cell r="D124" t="str">
            <v>Economic stake of PT in TMAR</v>
          </cell>
          <cell r="H124">
            <v>2.6955527642059988E-2</v>
          </cell>
        </row>
        <row r="126">
          <cell r="D126" t="str">
            <v>Economic stakes directly owned in TMAR1</v>
          </cell>
        </row>
        <row r="127">
          <cell r="B127" t="str">
            <v>(A)</v>
          </cell>
          <cell r="D127" t="str">
            <v>By TNL</v>
          </cell>
          <cell r="H127">
            <v>0.52237027922229695</v>
          </cell>
        </row>
        <row r="128">
          <cell r="B128" t="str">
            <v>(B)</v>
          </cell>
          <cell r="D128" t="str">
            <v>By TmarPart</v>
          </cell>
          <cell r="H128">
            <v>3.4951171957112503E-2</v>
          </cell>
        </row>
        <row r="130">
          <cell r="D130" t="str">
            <v>Economic stakes directly owned in TNL</v>
          </cell>
        </row>
        <row r="131">
          <cell r="B131" t="str">
            <v>(C)</v>
          </cell>
          <cell r="D131" t="str">
            <v>By TmarPart</v>
          </cell>
          <cell r="H131">
            <v>0.17919485692702783</v>
          </cell>
        </row>
        <row r="132">
          <cell r="B132" t="str">
            <v>(D)</v>
          </cell>
          <cell r="D132" t="str">
            <v>By LFTel and AGTel</v>
          </cell>
          <cell r="H132">
            <v>5.9687858865632853E-2</v>
          </cell>
        </row>
        <row r="134">
          <cell r="D134" t="str">
            <v>LFTel and AGTel assets</v>
          </cell>
        </row>
        <row r="135">
          <cell r="B135" t="str">
            <v>(E)</v>
          </cell>
          <cell r="D135" t="str">
            <v>Economic stake owned in TmarPart</v>
          </cell>
          <cell r="H135">
            <v>0.38650036088373074</v>
          </cell>
        </row>
        <row r="136">
          <cell r="B136" t="str">
            <v>(F)</v>
          </cell>
          <cell r="D136" t="str">
            <v>Economic stake owned in TNL</v>
          </cell>
          <cell r="H136">
            <v>5.9687858865632853E-2</v>
          </cell>
        </row>
        <row r="139">
          <cell r="D139" t="str">
            <v>Net debt of companies with direct or indirect stakes in TMAR</v>
          </cell>
        </row>
        <row r="140">
          <cell r="B140" t="str">
            <v>(G)</v>
          </cell>
          <cell r="D140" t="str">
            <v>LFTel and AGTel</v>
          </cell>
          <cell r="H140">
            <v>826.67927989909413</v>
          </cell>
        </row>
        <row r="141">
          <cell r="B141" t="str">
            <v>(H)</v>
          </cell>
          <cell r="D141" t="str">
            <v>TmarPart</v>
          </cell>
          <cell r="H141">
            <v>1485.5118065588808</v>
          </cell>
        </row>
        <row r="142">
          <cell r="B142" t="str">
            <v>(I)</v>
          </cell>
          <cell r="D142" t="str">
            <v>TNL</v>
          </cell>
          <cell r="H142">
            <v>220.15823873409013</v>
          </cell>
        </row>
        <row r="144">
          <cell r="D144" t="str">
            <v>Net debt of the economic stake in TMAR owned by LFTel and AGTel</v>
          </cell>
        </row>
        <row r="145">
          <cell r="B145" t="str">
            <v>(G)</v>
          </cell>
          <cell r="D145" t="str">
            <v>In LFTel and AGTel</v>
          </cell>
          <cell r="H145">
            <v>826.67927989909413</v>
          </cell>
        </row>
        <row r="146">
          <cell r="B146" t="str">
            <v>(J) = (H)*(E)</v>
          </cell>
          <cell r="D146" t="str">
            <v>(+) In TmarPart</v>
          </cell>
          <cell r="H146">
            <v>574.15084933205026</v>
          </cell>
        </row>
        <row r="147">
          <cell r="B147" t="str">
            <v>(L) = (I)*(F)</v>
          </cell>
          <cell r="D147" t="str">
            <v>(+) In TNL (directly owned by AGTel and LFTel)</v>
          </cell>
          <cell r="H147">
            <v>13.140773881666677</v>
          </cell>
        </row>
        <row r="148">
          <cell r="B148" t="str">
            <v>(M) = (I)*(C)*(E)</v>
          </cell>
          <cell r="D148" t="str">
            <v>(+) In TNL (indirectly owned by TmarPart)</v>
          </cell>
          <cell r="H148">
            <v>15.247912348577588</v>
          </cell>
        </row>
        <row r="150">
          <cell r="B150" t="str">
            <v>(N)</v>
          </cell>
          <cell r="D150" t="str">
            <v>(=) Direct and in direct stake in TMAR of AGTel and LFTel</v>
          </cell>
          <cell r="H150">
            <v>1429.2188154613887</v>
          </cell>
        </row>
        <row r="152">
          <cell r="B152" t="str">
            <v>(O)</v>
          </cell>
          <cell r="D152" t="str">
            <v>Participation acquired by PT</v>
          </cell>
          <cell r="H152">
            <v>0.33333333333333331</v>
          </cell>
        </row>
        <row r="154">
          <cell r="B154" t="str">
            <v>(P) = (N)*(O)</v>
          </cell>
          <cell r="D154" t="str">
            <v>Economic stake of PT of the net debt</v>
          </cell>
          <cell r="H154">
            <v>476.40627182046285</v>
          </cell>
        </row>
        <row r="156">
          <cell r="AJ156" t="str">
            <v>Câmbio</v>
          </cell>
          <cell r="AK156">
            <v>1.7442</v>
          </cell>
        </row>
        <row r="158">
          <cell r="AO158" t="str">
            <v>Non-voting minority shareholders acceptance (%)</v>
          </cell>
        </row>
        <row r="159">
          <cell r="AJ159">
            <v>1339.0853530422216</v>
          </cell>
          <cell r="AK159">
            <v>0</v>
          </cell>
          <cell r="AL159">
            <v>0.25</v>
          </cell>
          <cell r="AM159">
            <v>0.5</v>
          </cell>
          <cell r="AN159">
            <v>0.75</v>
          </cell>
          <cell r="AO159">
            <v>1</v>
          </cell>
        </row>
        <row r="160">
          <cell r="AK160">
            <v>1678.1707060844435</v>
          </cell>
          <cell r="AL160">
            <v>1535.5082627280999</v>
          </cell>
          <cell r="AM160">
            <v>1392.8458193717565</v>
          </cell>
          <cell r="AN160">
            <v>1250.1833760154132</v>
          </cell>
          <cell r="AO160">
            <v>1107.5209326590698</v>
          </cell>
        </row>
        <row r="161">
          <cell r="AJ161">
            <v>0</v>
          </cell>
          <cell r="AK161">
            <v>1678.1707060844435</v>
          </cell>
          <cell r="AL161">
            <v>1535.5082627280999</v>
          </cell>
          <cell r="AM161">
            <v>1392.8458193717565</v>
          </cell>
          <cell r="AN161">
            <v>1250.1833760154132</v>
          </cell>
          <cell r="AO161">
            <v>1107.5209326590698</v>
          </cell>
        </row>
        <row r="162">
          <cell r="AJ162">
            <v>0.25</v>
          </cell>
          <cell r="AK162">
            <v>1651.2904729196762</v>
          </cell>
          <cell r="AL162">
            <v>1508.6280295633323</v>
          </cell>
          <cell r="AM162">
            <v>1365.9655862069892</v>
          </cell>
          <cell r="AN162">
            <v>1223.3031428506456</v>
          </cell>
          <cell r="AO162">
            <v>1080.6406994943022</v>
          </cell>
        </row>
        <row r="163">
          <cell r="AJ163">
            <v>0.5</v>
          </cell>
          <cell r="AK163">
            <v>1624.4102397549086</v>
          </cell>
          <cell r="AL163">
            <v>1481.747796398565</v>
          </cell>
          <cell r="AM163">
            <v>1339.0853530422216</v>
          </cell>
          <cell r="AN163">
            <v>1196.4229096858783</v>
          </cell>
          <cell r="AO163">
            <v>1053.7604663295349</v>
          </cell>
        </row>
        <row r="164">
          <cell r="AJ164">
            <v>0.75</v>
          </cell>
          <cell r="AK164">
            <v>1597.5300065901408</v>
          </cell>
          <cell r="AL164">
            <v>1454.8675632337977</v>
          </cell>
          <cell r="AM164">
            <v>1312.2051198774541</v>
          </cell>
          <cell r="AN164">
            <v>1169.5426765211107</v>
          </cell>
          <cell r="AO164">
            <v>1026.8802331647673</v>
          </cell>
        </row>
        <row r="165">
          <cell r="AJ165">
            <v>1</v>
          </cell>
          <cell r="AK165">
            <v>1570.6497734253735</v>
          </cell>
          <cell r="AL165">
            <v>1427.9873300690301</v>
          </cell>
          <cell r="AM165">
            <v>1285.3248867126867</v>
          </cell>
          <cell r="AN165">
            <v>1142.6624433563434</v>
          </cell>
          <cell r="AO165">
            <v>999.99999999999989</v>
          </cell>
        </row>
        <row r="176">
          <cell r="AO176" t="str">
            <v>Non-voting minority shareholders acceptance (%)</v>
          </cell>
        </row>
        <row r="177">
          <cell r="AJ177">
            <v>9.8445078189036542E-2</v>
          </cell>
          <cell r="AK177">
            <v>0</v>
          </cell>
          <cell r="AL177">
            <v>0.25</v>
          </cell>
          <cell r="AM177">
            <v>0.5</v>
          </cell>
          <cell r="AN177">
            <v>0.75</v>
          </cell>
          <cell r="AO177">
            <v>1</v>
          </cell>
        </row>
        <row r="178">
          <cell r="AK178">
            <v>0.12337349967998988</v>
          </cell>
          <cell r="AL178">
            <v>0.11288543380805185</v>
          </cell>
          <cell r="AM178">
            <v>0.1023973679361138</v>
          </cell>
          <cell r="AN178">
            <v>9.1909302064175774E-2</v>
          </cell>
          <cell r="AO178">
            <v>8.1421236192237734E-2</v>
          </cell>
        </row>
        <row r="179">
          <cell r="AJ179">
            <v>0</v>
          </cell>
          <cell r="AK179">
            <v>0.12337349967998988</v>
          </cell>
          <cell r="AL179">
            <v>0.11288543380805185</v>
          </cell>
          <cell r="AM179">
            <v>0.1023973679361138</v>
          </cell>
          <cell r="AN179">
            <v>9.1909302064175774E-2</v>
          </cell>
          <cell r="AO179">
            <v>8.1421236192237734E-2</v>
          </cell>
        </row>
        <row r="180">
          <cell r="AJ180">
            <v>0.25</v>
          </cell>
          <cell r="AK180">
            <v>0.12139735480645127</v>
          </cell>
          <cell r="AL180">
            <v>0.11090928893451324</v>
          </cell>
          <cell r="AM180">
            <v>0.10042122306257519</v>
          </cell>
          <cell r="AN180">
            <v>8.9933157190637131E-2</v>
          </cell>
          <cell r="AO180">
            <v>7.944509131869909E-2</v>
          </cell>
        </row>
        <row r="181">
          <cell r="AJ181">
            <v>0.5</v>
          </cell>
          <cell r="AK181">
            <v>0.11942120993291259</v>
          </cell>
          <cell r="AL181">
            <v>0.10893314406097458</v>
          </cell>
          <cell r="AM181">
            <v>9.8445078189036542E-2</v>
          </cell>
          <cell r="AN181">
            <v>8.7957012317098501E-2</v>
          </cell>
          <cell r="AO181">
            <v>7.7468946445160447E-2</v>
          </cell>
        </row>
        <row r="182">
          <cell r="AJ182">
            <v>0.75</v>
          </cell>
          <cell r="AK182">
            <v>0.11744506505937398</v>
          </cell>
          <cell r="AL182">
            <v>0.10695699918743594</v>
          </cell>
          <cell r="AM182">
            <v>9.6468933315497898E-2</v>
          </cell>
          <cell r="AN182">
            <v>8.5980867443559872E-2</v>
          </cell>
          <cell r="AO182">
            <v>7.5492801571621818E-2</v>
          </cell>
        </row>
        <row r="183">
          <cell r="AJ183">
            <v>1</v>
          </cell>
          <cell r="AK183">
            <v>0.11546892018583534</v>
          </cell>
          <cell r="AL183">
            <v>0.1049808543138973</v>
          </cell>
          <cell r="AM183">
            <v>9.4492788441959255E-2</v>
          </cell>
          <cell r="AN183">
            <v>8.4004722570021229E-2</v>
          </cell>
          <cell r="AO183">
            <v>7.3516656698083188E-2</v>
          </cell>
        </row>
        <row r="186">
          <cell r="AO186" t="str">
            <v>Non-voting minority shareholders acceptance (%)</v>
          </cell>
        </row>
        <row r="187">
          <cell r="AJ187">
            <v>5.2390150592132061</v>
          </cell>
          <cell r="AK187">
            <v>0</v>
          </cell>
          <cell r="AL187">
            <v>0.25</v>
          </cell>
          <cell r="AM187">
            <v>0.5</v>
          </cell>
          <cell r="AN187">
            <v>0.75</v>
          </cell>
          <cell r="AO187">
            <v>1</v>
          </cell>
        </row>
        <row r="188">
          <cell r="AK188">
            <v>9.4655778917527513</v>
          </cell>
          <cell r="AL188">
            <v>9.4655778917527513</v>
          </cell>
          <cell r="AM188">
            <v>9.4655778917527513</v>
          </cell>
          <cell r="AN188">
            <v>9.4655778917527513</v>
          </cell>
          <cell r="AO188">
            <v>9.4655778917527513</v>
          </cell>
        </row>
        <row r="189">
          <cell r="AI189">
            <v>800</v>
          </cell>
          <cell r="AJ189">
            <v>1395.36</v>
          </cell>
          <cell r="AK189">
            <v>5.2028054195181506</v>
          </cell>
          <cell r="AL189">
            <v>5.3170729355964843</v>
          </cell>
          <cell r="AM189">
            <v>5.4529523927248604</v>
          </cell>
          <cell r="AN189">
            <v>5.6172155242093993</v>
          </cell>
          <cell r="AO189">
            <v>5.8197930810618175</v>
          </cell>
        </row>
        <row r="190">
          <cell r="AI190">
            <v>900</v>
          </cell>
          <cell r="AJ190">
            <v>1569.78</v>
          </cell>
          <cell r="AK190">
            <v>5.0995574566283004</v>
          </cell>
          <cell r="AL190">
            <v>5.2076825233151975</v>
          </cell>
          <cell r="AM190">
            <v>5.336849495283766</v>
          </cell>
          <cell r="AN190">
            <v>5.4938628261506945</v>
          </cell>
          <cell r="AO190">
            <v>5.6888152899423901</v>
          </cell>
        </row>
        <row r="191">
          <cell r="AI191">
            <v>1000</v>
          </cell>
          <cell r="AJ191">
            <v>1744.2</v>
          </cell>
          <cell r="AK191">
            <v>5.013286845908099</v>
          </cell>
          <cell r="AL191">
            <v>5.1159270393413685</v>
          </cell>
          <cell r="AM191">
            <v>5.2390150592132061</v>
          </cell>
          <cell r="AN191">
            <v>5.3893372683553578</v>
          </cell>
          <cell r="AO191">
            <v>5.5770566538386994</v>
          </cell>
        </row>
        <row r="192">
          <cell r="AI192">
            <v>1100</v>
          </cell>
          <cell r="AJ192">
            <v>1918.62</v>
          </cell>
          <cell r="AK192">
            <v>4.9878306338312157</v>
          </cell>
          <cell r="AL192">
            <v>5.0887908062541767</v>
          </cell>
          <cell r="AM192">
            <v>5.2100021787353787</v>
          </cell>
          <cell r="AN192">
            <v>5.3582371358359673</v>
          </cell>
          <cell r="AO192">
            <v>5.4788972875373485</v>
          </cell>
        </row>
        <row r="193">
          <cell r="AI193">
            <v>1200</v>
          </cell>
          <cell r="AJ193">
            <v>2093.04</v>
          </cell>
          <cell r="AK193">
            <v>4.9878306338312157</v>
          </cell>
          <cell r="AL193">
            <v>5.0887908062541767</v>
          </cell>
          <cell r="AM193">
            <v>5.2100021787353787</v>
          </cell>
          <cell r="AN193">
            <v>5.3582371358359673</v>
          </cell>
          <cell r="AO193">
            <v>5.3925707196954171</v>
          </cell>
        </row>
        <row r="196">
          <cell r="AO196" t="str">
            <v>Non-voting minority shareholders acceptance (%)</v>
          </cell>
        </row>
        <row r="197">
          <cell r="AI197">
            <v>0.12513105055467594</v>
          </cell>
          <cell r="AJ197">
            <v>0.12513105055467594</v>
          </cell>
          <cell r="AK197">
            <v>0</v>
          </cell>
          <cell r="AL197">
            <v>0.25</v>
          </cell>
          <cell r="AM197">
            <v>0.5</v>
          </cell>
          <cell r="AN197">
            <v>0.75</v>
          </cell>
          <cell r="AO197">
            <v>1</v>
          </cell>
        </row>
        <row r="198">
          <cell r="AK198">
            <v>3.0441667410120214E-2</v>
          </cell>
          <cell r="AL198">
            <v>3.0441667410120214E-2</v>
          </cell>
          <cell r="AM198">
            <v>3.0441667410120214E-2</v>
          </cell>
          <cell r="AN198">
            <v>3.0441667410120214E-2</v>
          </cell>
          <cell r="AO198">
            <v>3.0441667410120214E-2</v>
          </cell>
        </row>
        <row r="199">
          <cell r="AI199">
            <v>800</v>
          </cell>
          <cell r="AJ199">
            <v>1395.36</v>
          </cell>
          <cell r="AK199">
            <v>0.12855687441041813</v>
          </cell>
          <cell r="AL199">
            <v>0.11833324072048207</v>
          </cell>
          <cell r="AM199">
            <v>0.10810960703054601</v>
          </cell>
          <cell r="AN199">
            <v>9.7885973340609916E-2</v>
          </cell>
          <cell r="AO199">
            <v>8.7662339650673854E-2</v>
          </cell>
        </row>
        <row r="200">
          <cell r="AI200">
            <v>900</v>
          </cell>
          <cell r="AJ200">
            <v>1569.78</v>
          </cell>
          <cell r="AK200">
            <v>0.1394424726632803</v>
          </cell>
          <cell r="AL200">
            <v>0.12808455640456023</v>
          </cell>
          <cell r="AM200">
            <v>0.11672664014584019</v>
          </cell>
          <cell r="AN200">
            <v>0.10536872388712011</v>
          </cell>
          <cell r="AO200">
            <v>9.4010807628400056E-2</v>
          </cell>
        </row>
        <row r="201">
          <cell r="AI201">
            <v>1000</v>
          </cell>
          <cell r="AJ201">
            <v>1744.2</v>
          </cell>
          <cell r="AK201">
            <v>0.15005947204562928</v>
          </cell>
          <cell r="AL201">
            <v>0.13759526130015265</v>
          </cell>
          <cell r="AM201">
            <v>0.12513105055467594</v>
          </cell>
          <cell r="AN201">
            <v>0.11266683980919927</v>
          </cell>
          <cell r="AO201">
            <v>0.10020262906372257</v>
          </cell>
        </row>
        <row r="202">
          <cell r="AI202">
            <v>1100</v>
          </cell>
          <cell r="AJ202">
            <v>1918.62</v>
          </cell>
          <cell r="AK202">
            <v>0.15350828340284653</v>
          </cell>
          <cell r="AL202">
            <v>0.1406847054903437</v>
          </cell>
          <cell r="AM202">
            <v>0.12786112757784088</v>
          </cell>
          <cell r="AN202">
            <v>0.11503754966533808</v>
          </cell>
          <cell r="AO202">
            <v>0.10630871408386366</v>
          </cell>
        </row>
        <row r="203">
          <cell r="AI203">
            <v>1200</v>
          </cell>
          <cell r="AJ203">
            <v>2093.04</v>
          </cell>
          <cell r="AK203">
            <v>0.15350828340284653</v>
          </cell>
          <cell r="AL203">
            <v>0.1406847054903437</v>
          </cell>
          <cell r="AM203">
            <v>0.12786112757784088</v>
          </cell>
          <cell r="AN203">
            <v>0.11503754966533808</v>
          </cell>
          <cell r="AO203">
            <v>0.1123037092305358</v>
          </cell>
        </row>
      </sheetData>
      <sheetData sheetId="1">
        <row r="5">
          <cell r="B5" t="str">
            <v>Múltiplo EV/EBITDA 2009E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Count</v>
          </cell>
          <cell r="C2">
            <v>792</v>
          </cell>
        </row>
        <row r="4">
          <cell r="B4" t="str">
            <v>Média</v>
          </cell>
        </row>
        <row r="5">
          <cell r="C5" t="str">
            <v>CTAX3</v>
          </cell>
          <cell r="D5" t="str">
            <v>CTAX4</v>
          </cell>
          <cell r="E5" t="str">
            <v>TNLP3</v>
          </cell>
          <cell r="F5" t="str">
            <v>TNLP4</v>
          </cell>
          <cell r="G5" t="str">
            <v>TMAR3</v>
          </cell>
          <cell r="H5" t="str">
            <v>TMAR5</v>
          </cell>
        </row>
        <row r="6">
          <cell r="A6">
            <v>30</v>
          </cell>
          <cell r="B6" t="str">
            <v>Variável</v>
          </cell>
          <cell r="C6">
            <v>103.73099999999999</v>
          </cell>
          <cell r="D6">
            <v>98.09692307692309</v>
          </cell>
          <cell r="E6">
            <v>44.162307692307692</v>
          </cell>
          <cell r="F6">
            <v>37.246153846153845</v>
          </cell>
          <cell r="G6">
            <v>70.75</v>
          </cell>
          <cell r="H6">
            <v>63.400384615384624</v>
          </cell>
        </row>
        <row r="8">
          <cell r="B8" t="str">
            <v>Cotações - Fonte: Economática</v>
          </cell>
        </row>
        <row r="10">
          <cell r="C10" t="str">
            <v>CTAX3</v>
          </cell>
          <cell r="D10" t="str">
            <v>CTAX4</v>
          </cell>
          <cell r="E10" t="str">
            <v>TNLP3</v>
          </cell>
          <cell r="F10" t="str">
            <v>TNLP4</v>
          </cell>
          <cell r="G10" t="str">
            <v>TMAR3</v>
          </cell>
          <cell r="H10" t="str">
            <v>TMAR5</v>
          </cell>
          <cell r="J10" t="str">
            <v>Data</v>
          </cell>
          <cell r="K10" t="str">
            <v>PTAX</v>
          </cell>
          <cell r="L10" t="str">
            <v>TMAR5 usd</v>
          </cell>
        </row>
        <row r="11">
          <cell r="B11">
            <v>39084</v>
          </cell>
          <cell r="C11">
            <v>56.948496869000003</v>
          </cell>
          <cell r="D11">
            <v>34.681633503</v>
          </cell>
          <cell r="E11">
            <v>42.016738244000003</v>
          </cell>
          <cell r="F11">
            <v>22.025898594000001</v>
          </cell>
          <cell r="G11">
            <v>64.410395030999993</v>
          </cell>
          <cell r="H11">
            <v>32.137956328000001</v>
          </cell>
          <cell r="J11">
            <v>39084</v>
          </cell>
          <cell r="K11">
            <v>2.1341999999999999</v>
          </cell>
          <cell r="L11">
            <v>15.058549493018463</v>
          </cell>
          <cell r="U11" t="str">
            <v>Last</v>
          </cell>
          <cell r="V11">
            <v>35.964912280701753</v>
          </cell>
        </row>
        <row r="12">
          <cell r="B12">
            <v>39085</v>
          </cell>
          <cell r="C12">
            <v>56.948496869000003</v>
          </cell>
          <cell r="D12">
            <v>34.504686393</v>
          </cell>
          <cell r="E12">
            <v>42.650953160999997</v>
          </cell>
          <cell r="F12">
            <v>22.004706260999999</v>
          </cell>
          <cell r="G12">
            <v>63.652625678</v>
          </cell>
          <cell r="H12">
            <v>31.972296758999999</v>
          </cell>
          <cell r="J12">
            <v>39085</v>
          </cell>
          <cell r="K12">
            <v>2.1372</v>
          </cell>
          <cell r="L12">
            <v>14.959899288321168</v>
          </cell>
          <cell r="U12" t="str">
            <v>30 days</v>
          </cell>
          <cell r="V12">
            <v>36.101144817703165</v>
          </cell>
        </row>
        <row r="13">
          <cell r="B13">
            <v>39086</v>
          </cell>
          <cell r="C13">
            <v>57.852441263000003</v>
          </cell>
          <cell r="D13">
            <v>34.150792174000003</v>
          </cell>
          <cell r="E13">
            <v>42.431998010999997</v>
          </cell>
          <cell r="F13">
            <v>21.757462369999999</v>
          </cell>
          <cell r="G13">
            <v>63.273741000999998</v>
          </cell>
          <cell r="H13">
            <v>31.044603173999999</v>
          </cell>
          <cell r="J13">
            <v>39086</v>
          </cell>
          <cell r="K13">
            <v>2.1429</v>
          </cell>
          <cell r="L13">
            <v>14.487191737365253</v>
          </cell>
          <cell r="U13" t="str">
            <v>60 days</v>
          </cell>
          <cell r="V13">
            <v>35.802849927990941</v>
          </cell>
        </row>
        <row r="14">
          <cell r="B14">
            <v>39087</v>
          </cell>
          <cell r="C14">
            <v>55.140608079000003</v>
          </cell>
          <cell r="D14">
            <v>32.558268185999999</v>
          </cell>
          <cell r="E14">
            <v>40.733208054999999</v>
          </cell>
          <cell r="F14">
            <v>20.66252514</v>
          </cell>
          <cell r="G14">
            <v>62.894856324000003</v>
          </cell>
          <cell r="H14">
            <v>30.401844048000001</v>
          </cell>
          <cell r="J14">
            <v>39087</v>
          </cell>
          <cell r="K14">
            <v>2.1474000000000002</v>
          </cell>
          <cell r="L14">
            <v>14.15751329421626</v>
          </cell>
        </row>
        <row r="15">
          <cell r="B15">
            <v>39090</v>
          </cell>
          <cell r="C15">
            <v>56.044552474</v>
          </cell>
          <cell r="D15">
            <v>33.089109514999997</v>
          </cell>
          <cell r="E15">
            <v>40.582204503</v>
          </cell>
          <cell r="F15">
            <v>20.704909807</v>
          </cell>
          <cell r="G15">
            <v>63.076720969</v>
          </cell>
          <cell r="H15">
            <v>30.150041503000001</v>
          </cell>
          <cell r="J15">
            <v>39090</v>
          </cell>
          <cell r="K15">
            <v>2.1505000000000001</v>
          </cell>
          <cell r="L15">
            <v>14.02001464915136</v>
          </cell>
        </row>
        <row r="16">
          <cell r="B16">
            <v>39091</v>
          </cell>
          <cell r="C16">
            <v>56.948496869000003</v>
          </cell>
          <cell r="D16">
            <v>33.089109514999997</v>
          </cell>
          <cell r="E16">
            <v>40.166944735999998</v>
          </cell>
          <cell r="F16">
            <v>20.062075692000001</v>
          </cell>
          <cell r="G16">
            <v>62.137086971000002</v>
          </cell>
          <cell r="H16">
            <v>29.222347919000001</v>
          </cell>
          <cell r="J16">
            <v>39091</v>
          </cell>
          <cell r="K16">
            <v>2.1505999999999998</v>
          </cell>
          <cell r="L16">
            <v>13.58799773040082</v>
          </cell>
        </row>
        <row r="17">
          <cell r="B17">
            <v>39092</v>
          </cell>
          <cell r="C17">
            <v>54.959819199999998</v>
          </cell>
          <cell r="D17">
            <v>33.089109514999997</v>
          </cell>
          <cell r="E17">
            <v>41.223969597999996</v>
          </cell>
          <cell r="F17">
            <v>20.203357915000002</v>
          </cell>
          <cell r="G17">
            <v>62.144664665000001</v>
          </cell>
          <cell r="H17">
            <v>29.156084091</v>
          </cell>
          <cell r="J17">
            <v>39092</v>
          </cell>
          <cell r="K17">
            <v>2.1556000000000002</v>
          </cell>
          <cell r="L17">
            <v>13.525739511504916</v>
          </cell>
        </row>
        <row r="18">
          <cell r="B18">
            <v>39093</v>
          </cell>
          <cell r="C18">
            <v>56.225341352999997</v>
          </cell>
          <cell r="D18">
            <v>34.150792174000003</v>
          </cell>
          <cell r="E18">
            <v>40.846460719</v>
          </cell>
          <cell r="F18">
            <v>20.168037358999999</v>
          </cell>
          <cell r="G18">
            <v>62.144664665000001</v>
          </cell>
          <cell r="H18">
            <v>29.474150463000001</v>
          </cell>
          <cell r="J18">
            <v>39093</v>
          </cell>
          <cell r="K18">
            <v>2.1465000000000001</v>
          </cell>
          <cell r="L18">
            <v>13.731260406708595</v>
          </cell>
        </row>
        <row r="19">
          <cell r="B19">
            <v>39094</v>
          </cell>
          <cell r="C19">
            <v>54.959819199999998</v>
          </cell>
          <cell r="D19">
            <v>34.150792174000003</v>
          </cell>
          <cell r="E19">
            <v>41.827983803999999</v>
          </cell>
          <cell r="F19">
            <v>20.273999026999999</v>
          </cell>
          <cell r="G19">
            <v>62.515971647999997</v>
          </cell>
          <cell r="H19">
            <v>29.719326625000001</v>
          </cell>
          <cell r="J19">
            <v>39094</v>
          </cell>
          <cell r="K19">
            <v>2.1421000000000001</v>
          </cell>
          <cell r="L19">
            <v>13.873921210494375</v>
          </cell>
        </row>
        <row r="20">
          <cell r="B20">
            <v>39097</v>
          </cell>
          <cell r="C20">
            <v>54.959819199999998</v>
          </cell>
          <cell r="D20">
            <v>33.796897954000002</v>
          </cell>
          <cell r="E20">
            <v>41.525976700999998</v>
          </cell>
          <cell r="F20">
            <v>20.026755135999998</v>
          </cell>
          <cell r="G20" t="str">
            <v>-</v>
          </cell>
          <cell r="H20">
            <v>29.39463387</v>
          </cell>
          <cell r="J20">
            <v>39097</v>
          </cell>
          <cell r="K20">
            <v>2.1406999999999998</v>
          </cell>
          <cell r="L20">
            <v>13.731318666791237</v>
          </cell>
        </row>
        <row r="21">
          <cell r="B21">
            <v>39098</v>
          </cell>
          <cell r="C21">
            <v>55.140608079000003</v>
          </cell>
          <cell r="D21">
            <v>33.619950844000002</v>
          </cell>
          <cell r="E21">
            <v>42.129990908000003</v>
          </cell>
          <cell r="F21">
            <v>20.019691025</v>
          </cell>
          <cell r="G21">
            <v>62.515971647999997</v>
          </cell>
          <cell r="H21">
            <v>29.156084091</v>
          </cell>
          <cell r="J21">
            <v>39098</v>
          </cell>
          <cell r="K21">
            <v>2.1444000000000001</v>
          </cell>
          <cell r="L21">
            <v>13.596383179910465</v>
          </cell>
        </row>
        <row r="22">
          <cell r="B22">
            <v>39099</v>
          </cell>
          <cell r="C22">
            <v>54.779030321</v>
          </cell>
          <cell r="D22">
            <v>33.619950844000002</v>
          </cell>
          <cell r="E22">
            <v>42.409347478000001</v>
          </cell>
          <cell r="F22">
            <v>20.083268024999999</v>
          </cell>
          <cell r="G22" t="str">
            <v>-</v>
          </cell>
          <cell r="H22">
            <v>29.156084091</v>
          </cell>
          <cell r="J22">
            <v>39099</v>
          </cell>
          <cell r="K22">
            <v>2.1349999999999998</v>
          </cell>
          <cell r="L22">
            <v>13.656245475878222</v>
          </cell>
        </row>
        <row r="23">
          <cell r="B23">
            <v>39100</v>
          </cell>
          <cell r="C23">
            <v>54.959819199999998</v>
          </cell>
          <cell r="D23">
            <v>33.796897954000002</v>
          </cell>
          <cell r="E23">
            <v>41.646779541999997</v>
          </cell>
          <cell r="F23">
            <v>19.913729358000001</v>
          </cell>
          <cell r="G23">
            <v>62.515971647999997</v>
          </cell>
          <cell r="H23">
            <v>29.156084091</v>
          </cell>
          <cell r="J23">
            <v>39100</v>
          </cell>
          <cell r="K23">
            <v>2.1328999999999998</v>
          </cell>
          <cell r="L23">
            <v>13.669691073655589</v>
          </cell>
        </row>
        <row r="24">
          <cell r="B24">
            <v>39101</v>
          </cell>
          <cell r="C24">
            <v>55.140608079000003</v>
          </cell>
          <cell r="D24">
            <v>34.327739283</v>
          </cell>
          <cell r="E24">
            <v>42.583001563000003</v>
          </cell>
          <cell r="F24">
            <v>20.168037358999999</v>
          </cell>
          <cell r="G24">
            <v>62.894856324000003</v>
          </cell>
          <cell r="H24">
            <v>29.354875574000001</v>
          </cell>
          <cell r="J24">
            <v>39101</v>
          </cell>
          <cell r="K24">
            <v>2.1307</v>
          </cell>
          <cell r="L24">
            <v>13.777104038109542</v>
          </cell>
        </row>
        <row r="25">
          <cell r="B25">
            <v>39104</v>
          </cell>
          <cell r="C25">
            <v>55.682974715999997</v>
          </cell>
          <cell r="D25">
            <v>34.150792174000003</v>
          </cell>
          <cell r="E25">
            <v>42.069589487000002</v>
          </cell>
          <cell r="F25">
            <v>20.083268024999999</v>
          </cell>
          <cell r="G25">
            <v>62.902434018000001</v>
          </cell>
          <cell r="H25">
            <v>29.288611746000001</v>
          </cell>
          <cell r="J25">
            <v>39104</v>
          </cell>
          <cell r="K25">
            <v>2.1326999999999998</v>
          </cell>
          <cell r="L25">
            <v>13.733113774089185</v>
          </cell>
        </row>
        <row r="26">
          <cell r="B26">
            <v>39105</v>
          </cell>
          <cell r="C26">
            <v>55.321396958000001</v>
          </cell>
          <cell r="D26">
            <v>34.150792174000003</v>
          </cell>
          <cell r="E26">
            <v>42.847257777999999</v>
          </cell>
          <cell r="F26">
            <v>19.949049913</v>
          </cell>
          <cell r="G26">
            <v>63.652625678</v>
          </cell>
          <cell r="H26">
            <v>29.156084091</v>
          </cell>
          <cell r="J26">
            <v>39105</v>
          </cell>
          <cell r="K26">
            <v>2.1368</v>
          </cell>
          <cell r="L26">
            <v>13.644741712373643</v>
          </cell>
        </row>
        <row r="27">
          <cell r="B27">
            <v>39106</v>
          </cell>
          <cell r="C27">
            <v>54.598241442000003</v>
          </cell>
          <cell r="D27">
            <v>34.858580611999997</v>
          </cell>
          <cell r="E27">
            <v>42.847257777999999</v>
          </cell>
          <cell r="F27">
            <v>20.132716803000001</v>
          </cell>
          <cell r="G27">
            <v>63.652625678</v>
          </cell>
          <cell r="H27">
            <v>29.169336857000001</v>
          </cell>
          <cell r="J27">
            <v>39106</v>
          </cell>
          <cell r="K27">
            <v>2.1286</v>
          </cell>
          <cell r="L27">
            <v>13.703531361928029</v>
          </cell>
        </row>
        <row r="28">
          <cell r="B28">
            <v>39107</v>
          </cell>
          <cell r="C28" t="str">
            <v>-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J28">
            <v>39107</v>
          </cell>
          <cell r="K28">
            <v>2.1280999999999999</v>
          </cell>
          <cell r="L28">
            <v>13.703531361928029</v>
          </cell>
        </row>
        <row r="29">
          <cell r="B29">
            <v>39108</v>
          </cell>
          <cell r="C29">
            <v>54.417452562999998</v>
          </cell>
          <cell r="D29">
            <v>35.035527721999998</v>
          </cell>
          <cell r="E29">
            <v>42.129990908000003</v>
          </cell>
          <cell r="F29">
            <v>20.168037358999999</v>
          </cell>
          <cell r="G29">
            <v>63.652625678</v>
          </cell>
          <cell r="H29">
            <v>29.089820264</v>
          </cell>
          <cell r="J29">
            <v>39108</v>
          </cell>
          <cell r="K29">
            <v>2.1360000000000001</v>
          </cell>
          <cell r="L29">
            <v>13.618829711610486</v>
          </cell>
        </row>
        <row r="30">
          <cell r="B30">
            <v>39111</v>
          </cell>
          <cell r="C30">
            <v>53.875085925999997</v>
          </cell>
          <cell r="D30">
            <v>34.858580611999997</v>
          </cell>
          <cell r="E30">
            <v>41.337222261000001</v>
          </cell>
          <cell r="F30">
            <v>19.850152356999999</v>
          </cell>
          <cell r="G30" t="str">
            <v>-</v>
          </cell>
          <cell r="H30">
            <v>28.592841558</v>
          </cell>
          <cell r="J30">
            <v>39111</v>
          </cell>
          <cell r="K30">
            <v>2.1360000000000001</v>
          </cell>
          <cell r="L30">
            <v>13.386161778089887</v>
          </cell>
        </row>
        <row r="31">
          <cell r="B31">
            <v>39112</v>
          </cell>
          <cell r="C31">
            <v>53.513508168999998</v>
          </cell>
          <cell r="D31">
            <v>35.035527721999998</v>
          </cell>
          <cell r="E31">
            <v>41.43537457</v>
          </cell>
          <cell r="F31">
            <v>19.984370469000002</v>
          </cell>
          <cell r="G31">
            <v>63.652625678</v>
          </cell>
          <cell r="H31">
            <v>28.440434754000002</v>
          </cell>
          <cell r="J31">
            <v>39112</v>
          </cell>
          <cell r="K31">
            <v>2.1328999999999998</v>
          </cell>
          <cell r="L31">
            <v>13.334162292653197</v>
          </cell>
        </row>
        <row r="32">
          <cell r="B32">
            <v>39113</v>
          </cell>
          <cell r="C32">
            <v>53.33271929</v>
          </cell>
          <cell r="D32">
            <v>35.035527721999998</v>
          </cell>
          <cell r="E32">
            <v>42.054489132</v>
          </cell>
          <cell r="F32">
            <v>20.139780914999999</v>
          </cell>
          <cell r="G32">
            <v>63.652625678</v>
          </cell>
          <cell r="H32">
            <v>28.625973470999998</v>
          </cell>
          <cell r="J32">
            <v>39113</v>
          </cell>
          <cell r="K32">
            <v>2.1246999999999998</v>
          </cell>
          <cell r="L32">
            <v>13.472948402598014</v>
          </cell>
        </row>
        <row r="33">
          <cell r="B33">
            <v>39114</v>
          </cell>
          <cell r="C33">
            <v>53.33271929</v>
          </cell>
          <cell r="D33">
            <v>35.389421941999998</v>
          </cell>
          <cell r="E33">
            <v>41.525976700999998</v>
          </cell>
          <cell r="F33">
            <v>19.949049913</v>
          </cell>
          <cell r="G33">
            <v>64.031510354000005</v>
          </cell>
          <cell r="H33">
            <v>28.493445816000001</v>
          </cell>
          <cell r="J33">
            <v>39114</v>
          </cell>
          <cell r="K33">
            <v>2.1093000000000002</v>
          </cell>
          <cell r="L33">
            <v>13.508484244062011</v>
          </cell>
        </row>
        <row r="34">
          <cell r="B34">
            <v>39115</v>
          </cell>
          <cell r="C34">
            <v>53.33271929</v>
          </cell>
          <cell r="D34">
            <v>35.743316161000003</v>
          </cell>
          <cell r="E34">
            <v>41.639229364999998</v>
          </cell>
          <cell r="F34">
            <v>20.132716803000001</v>
          </cell>
          <cell r="G34">
            <v>63.652625678</v>
          </cell>
          <cell r="H34">
            <v>28.559709644000002</v>
          </cell>
          <cell r="J34">
            <v>39115</v>
          </cell>
          <cell r="K34">
            <v>2.0981999999999998</v>
          </cell>
          <cell r="L34">
            <v>13.611528759889431</v>
          </cell>
        </row>
        <row r="35">
          <cell r="B35">
            <v>39118</v>
          </cell>
          <cell r="C35">
            <v>53.33271929</v>
          </cell>
          <cell r="D35">
            <v>35.743316161000003</v>
          </cell>
          <cell r="E35">
            <v>41.601478477000001</v>
          </cell>
          <cell r="F35">
            <v>20.238678471</v>
          </cell>
          <cell r="G35">
            <v>63.652625678</v>
          </cell>
          <cell r="H35">
            <v>28.592841558</v>
          </cell>
          <cell r="J35">
            <v>39118</v>
          </cell>
          <cell r="K35">
            <v>2.0964</v>
          </cell>
          <cell r="L35">
            <v>13.639020014310246</v>
          </cell>
        </row>
        <row r="36">
          <cell r="B36">
            <v>39119</v>
          </cell>
          <cell r="C36">
            <v>52.971141531999997</v>
          </cell>
          <cell r="D36">
            <v>35.743316161000003</v>
          </cell>
          <cell r="E36">
            <v>41.518426523000002</v>
          </cell>
          <cell r="F36">
            <v>20.168037358999999</v>
          </cell>
          <cell r="G36">
            <v>63.652625678</v>
          </cell>
          <cell r="H36">
            <v>28.460313902999999</v>
          </cell>
          <cell r="J36">
            <v>39119</v>
          </cell>
          <cell r="K36">
            <v>2.0832999999999999</v>
          </cell>
          <cell r="L36">
            <v>13.661169252148035</v>
          </cell>
        </row>
        <row r="37">
          <cell r="B37">
            <v>39120</v>
          </cell>
          <cell r="C37">
            <v>52.971141531999997</v>
          </cell>
          <cell r="D37">
            <v>35.212474831999998</v>
          </cell>
          <cell r="E37">
            <v>41.148467822000001</v>
          </cell>
          <cell r="F37">
            <v>19.708870134000001</v>
          </cell>
          <cell r="G37">
            <v>62.894856324000003</v>
          </cell>
          <cell r="H37">
            <v>27.532620317999999</v>
          </cell>
          <cell r="J37">
            <v>39120</v>
          </cell>
          <cell r="K37">
            <v>2.0851999999999999</v>
          </cell>
          <cell r="L37">
            <v>13.203827123537311</v>
          </cell>
        </row>
        <row r="38">
          <cell r="B38">
            <v>39121</v>
          </cell>
          <cell r="C38">
            <v>52.790352652999999</v>
          </cell>
          <cell r="D38">
            <v>35.566369051000002</v>
          </cell>
          <cell r="E38">
            <v>40.635055745999999</v>
          </cell>
          <cell r="F38">
            <v>19.956114024000001</v>
          </cell>
          <cell r="G38">
            <v>63.652625678</v>
          </cell>
          <cell r="H38">
            <v>28.360918161000001</v>
          </cell>
          <cell r="J38">
            <v>39121</v>
          </cell>
          <cell r="K38">
            <v>2.0951</v>
          </cell>
          <cell r="L38">
            <v>13.536784955849363</v>
          </cell>
        </row>
        <row r="39">
          <cell r="B39">
            <v>39122</v>
          </cell>
          <cell r="C39">
            <v>52.428774894999997</v>
          </cell>
          <cell r="D39">
            <v>35.743316161000003</v>
          </cell>
          <cell r="E39">
            <v>39.902688521000002</v>
          </cell>
          <cell r="F39">
            <v>19.638229022000001</v>
          </cell>
          <cell r="G39" t="str">
            <v>-</v>
          </cell>
          <cell r="H39">
            <v>27.665147973</v>
          </cell>
          <cell r="J39">
            <v>39122</v>
          </cell>
          <cell r="K39">
            <v>2.1032999999999999</v>
          </cell>
          <cell r="L39">
            <v>13.153210656111824</v>
          </cell>
        </row>
        <row r="40">
          <cell r="B40">
            <v>39125</v>
          </cell>
          <cell r="C40">
            <v>51.886408258000003</v>
          </cell>
          <cell r="D40">
            <v>35.920263271000003</v>
          </cell>
          <cell r="E40">
            <v>39.253373248999999</v>
          </cell>
          <cell r="F40">
            <v>19.461626243000001</v>
          </cell>
          <cell r="G40" t="str">
            <v>-</v>
          </cell>
          <cell r="H40">
            <v>27.168169267</v>
          </cell>
          <cell r="J40">
            <v>39125</v>
          </cell>
          <cell r="K40">
            <v>2.1139999999999999</v>
          </cell>
          <cell r="L40">
            <v>12.851546483916746</v>
          </cell>
        </row>
        <row r="41">
          <cell r="B41">
            <v>39126</v>
          </cell>
          <cell r="C41">
            <v>52.067197137000001</v>
          </cell>
          <cell r="D41">
            <v>36.09721038</v>
          </cell>
          <cell r="E41">
            <v>39.411926977999997</v>
          </cell>
          <cell r="F41">
            <v>20.097396247999999</v>
          </cell>
          <cell r="G41">
            <v>63.652625678</v>
          </cell>
          <cell r="H41">
            <v>28.427181989000001</v>
          </cell>
          <cell r="J41">
            <v>39126</v>
          </cell>
          <cell r="K41">
            <v>2.1088</v>
          </cell>
          <cell r="L41">
            <v>13.480264600246587</v>
          </cell>
        </row>
        <row r="42">
          <cell r="B42">
            <v>39127</v>
          </cell>
          <cell r="C42">
            <v>52.971141531999997</v>
          </cell>
          <cell r="D42">
            <v>36.27415749</v>
          </cell>
          <cell r="E42">
            <v>41.299471373999999</v>
          </cell>
          <cell r="F42">
            <v>20.41528125</v>
          </cell>
          <cell r="G42">
            <v>64.327040401999994</v>
          </cell>
          <cell r="H42">
            <v>28.798259423000001</v>
          </cell>
          <cell r="J42">
            <v>39127</v>
          </cell>
          <cell r="K42">
            <v>2.1</v>
          </cell>
          <cell r="L42">
            <v>13.713456868095237</v>
          </cell>
        </row>
        <row r="43">
          <cell r="B43">
            <v>39128</v>
          </cell>
          <cell r="C43">
            <v>53.513508168999998</v>
          </cell>
          <cell r="D43">
            <v>36.451104600000001</v>
          </cell>
          <cell r="E43">
            <v>43.111513993000003</v>
          </cell>
          <cell r="F43">
            <v>20.485922361</v>
          </cell>
          <cell r="G43">
            <v>64.410395030999993</v>
          </cell>
          <cell r="H43">
            <v>28.818138570999999</v>
          </cell>
          <cell r="J43">
            <v>39128</v>
          </cell>
          <cell r="K43">
            <v>2.0895999999999999</v>
          </cell>
          <cell r="L43">
            <v>13.791222516749617</v>
          </cell>
        </row>
        <row r="44">
          <cell r="B44">
            <v>39129</v>
          </cell>
          <cell r="C44">
            <v>53.513508168999998</v>
          </cell>
          <cell r="D44">
            <v>36.628051710000001</v>
          </cell>
          <cell r="E44">
            <v>43.979784414999997</v>
          </cell>
          <cell r="F44">
            <v>20.824999696999999</v>
          </cell>
          <cell r="G44">
            <v>65.925933737999998</v>
          </cell>
          <cell r="H44">
            <v>29.46752408</v>
          </cell>
          <cell r="J44">
            <v>39129</v>
          </cell>
          <cell r="K44">
            <v>2.0912999999999999</v>
          </cell>
          <cell r="L44">
            <v>14.090529374073544</v>
          </cell>
        </row>
        <row r="45">
          <cell r="B45">
            <v>39132</v>
          </cell>
          <cell r="C45" t="str">
            <v>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-</v>
          </cell>
          <cell r="H45" t="str">
            <v>-</v>
          </cell>
          <cell r="J45">
            <v>39132</v>
          </cell>
          <cell r="K45" t="str">
            <v>-</v>
          </cell>
          <cell r="L45">
            <v>14.090529374073544</v>
          </cell>
        </row>
        <row r="46">
          <cell r="B46">
            <v>39133</v>
          </cell>
          <cell r="C46" t="str">
            <v>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-</v>
          </cell>
          <cell r="H46" t="str">
            <v>-</v>
          </cell>
          <cell r="J46">
            <v>39133</v>
          </cell>
          <cell r="K46" t="str">
            <v>-</v>
          </cell>
          <cell r="L46">
            <v>14.090529374073544</v>
          </cell>
        </row>
        <row r="47">
          <cell r="B47">
            <v>39134</v>
          </cell>
          <cell r="C47">
            <v>54.236663684</v>
          </cell>
          <cell r="D47">
            <v>36.09721038</v>
          </cell>
          <cell r="E47">
            <v>43.413521097</v>
          </cell>
          <cell r="F47">
            <v>20.761422697</v>
          </cell>
          <cell r="G47">
            <v>66.683703090999998</v>
          </cell>
          <cell r="H47">
            <v>29.480776846000001</v>
          </cell>
          <cell r="J47">
            <v>39134</v>
          </cell>
          <cell r="K47">
            <v>2.0802</v>
          </cell>
          <cell r="L47">
            <v>14.172087705989808</v>
          </cell>
        </row>
        <row r="48">
          <cell r="B48">
            <v>39135</v>
          </cell>
          <cell r="C48">
            <v>54.598241442000003</v>
          </cell>
          <cell r="D48">
            <v>36.451104600000001</v>
          </cell>
          <cell r="E48">
            <v>43.791029975999997</v>
          </cell>
          <cell r="F48">
            <v>20.598948140000001</v>
          </cell>
          <cell r="G48">
            <v>66.683703090999998</v>
          </cell>
          <cell r="H48">
            <v>29.288611746000001</v>
          </cell>
          <cell r="J48">
            <v>39135</v>
          </cell>
          <cell r="K48">
            <v>2.0766</v>
          </cell>
          <cell r="L48">
            <v>14.104118147934123</v>
          </cell>
        </row>
        <row r="49">
          <cell r="B49">
            <v>39136</v>
          </cell>
          <cell r="C49">
            <v>53.875085925999997</v>
          </cell>
          <cell r="D49">
            <v>36.09721038</v>
          </cell>
          <cell r="E49">
            <v>42.885008665999997</v>
          </cell>
          <cell r="F49">
            <v>20.344640137999999</v>
          </cell>
          <cell r="G49" t="str">
            <v>-</v>
          </cell>
          <cell r="H49">
            <v>28.917534312000001</v>
          </cell>
          <cell r="J49">
            <v>39136</v>
          </cell>
          <cell r="K49">
            <v>2.0868000000000002</v>
          </cell>
          <cell r="L49">
            <v>13.857357826336974</v>
          </cell>
        </row>
        <row r="50">
          <cell r="B50">
            <v>39139</v>
          </cell>
          <cell r="C50">
            <v>54.055874805000002</v>
          </cell>
          <cell r="D50">
            <v>36.27415749</v>
          </cell>
          <cell r="E50">
            <v>43.791029975999997</v>
          </cell>
          <cell r="F50">
            <v>20.132716803000001</v>
          </cell>
          <cell r="G50" t="str">
            <v>-</v>
          </cell>
          <cell r="H50">
            <v>28.559709644000002</v>
          </cell>
          <cell r="J50">
            <v>39139</v>
          </cell>
          <cell r="K50">
            <v>2.0863</v>
          </cell>
          <cell r="L50">
            <v>13.689167254948954</v>
          </cell>
        </row>
        <row r="51">
          <cell r="B51">
            <v>39140</v>
          </cell>
          <cell r="C51">
            <v>52.428774894999997</v>
          </cell>
          <cell r="D51">
            <v>33.619950844000002</v>
          </cell>
          <cell r="E51">
            <v>40.015941185000003</v>
          </cell>
          <cell r="F51">
            <v>19.002459018</v>
          </cell>
          <cell r="G51">
            <v>66.683703090999998</v>
          </cell>
          <cell r="H51">
            <v>26.936245871000001</v>
          </cell>
          <cell r="J51">
            <v>39140</v>
          </cell>
          <cell r="K51">
            <v>2.1099000000000001</v>
          </cell>
          <cell r="L51">
            <v>12.766598355846249</v>
          </cell>
        </row>
        <row r="52">
          <cell r="B52">
            <v>39141</v>
          </cell>
          <cell r="C52">
            <v>52.247986015999999</v>
          </cell>
          <cell r="D52">
            <v>33.796897954000002</v>
          </cell>
          <cell r="E52">
            <v>41.148467822000001</v>
          </cell>
          <cell r="F52">
            <v>19.496946799</v>
          </cell>
          <cell r="G52">
            <v>66.676125397000007</v>
          </cell>
          <cell r="H52">
            <v>27.897071368999999</v>
          </cell>
          <cell r="J52">
            <v>39141</v>
          </cell>
          <cell r="K52">
            <v>2.1181999999999999</v>
          </cell>
          <cell r="L52">
            <v>13.170178155509396</v>
          </cell>
        </row>
        <row r="53">
          <cell r="B53">
            <v>39142</v>
          </cell>
          <cell r="C53">
            <v>51.5248305</v>
          </cell>
          <cell r="D53">
            <v>33.619950844000002</v>
          </cell>
          <cell r="E53">
            <v>41.118267111999998</v>
          </cell>
          <cell r="F53">
            <v>18.790535683000002</v>
          </cell>
          <cell r="G53">
            <v>66.683703090999998</v>
          </cell>
          <cell r="H53">
            <v>26.843476511999999</v>
          </cell>
          <cell r="J53">
            <v>39142</v>
          </cell>
          <cell r="K53">
            <v>2.1259999999999999</v>
          </cell>
          <cell r="L53">
            <v>12.626282460959548</v>
          </cell>
        </row>
        <row r="54">
          <cell r="B54">
            <v>39143</v>
          </cell>
          <cell r="C54">
            <v>52.428774894999997</v>
          </cell>
          <cell r="D54">
            <v>33.443003734999998</v>
          </cell>
          <cell r="E54">
            <v>42.734005113999999</v>
          </cell>
          <cell r="F54">
            <v>18.854112684</v>
          </cell>
          <cell r="G54">
            <v>65.925933737999998</v>
          </cell>
          <cell r="H54">
            <v>26.671190561</v>
          </cell>
          <cell r="J54">
            <v>39143</v>
          </cell>
          <cell r="K54">
            <v>2.1274000000000002</v>
          </cell>
          <cell r="L54">
            <v>12.536989076337312</v>
          </cell>
        </row>
        <row r="55">
          <cell r="B55">
            <v>39146</v>
          </cell>
          <cell r="C55">
            <v>52.790352652999999</v>
          </cell>
          <cell r="D55">
            <v>32.735215296</v>
          </cell>
          <cell r="E55">
            <v>41.525976700999998</v>
          </cell>
          <cell r="F55">
            <v>18.225406790000001</v>
          </cell>
          <cell r="G55">
            <v>65.925933737999998</v>
          </cell>
          <cell r="H55">
            <v>26.141079941000001</v>
          </cell>
          <cell r="J55">
            <v>39146</v>
          </cell>
          <cell r="K55">
            <v>2.1387999999999998</v>
          </cell>
          <cell r="L55">
            <v>12.222311548999441</v>
          </cell>
        </row>
        <row r="56">
          <cell r="B56">
            <v>39147</v>
          </cell>
          <cell r="C56">
            <v>54.959819199999998</v>
          </cell>
          <cell r="D56">
            <v>33.796897954000002</v>
          </cell>
          <cell r="E56">
            <v>42.885008665999997</v>
          </cell>
          <cell r="F56">
            <v>19.186125908000001</v>
          </cell>
          <cell r="G56">
            <v>65.925933737999998</v>
          </cell>
          <cell r="H56">
            <v>27.400092662999999</v>
          </cell>
          <cell r="J56">
            <v>39147</v>
          </cell>
          <cell r="K56">
            <v>2.1208999999999998</v>
          </cell>
          <cell r="L56">
            <v>12.919087492573908</v>
          </cell>
        </row>
        <row r="57">
          <cell r="B57">
            <v>39148</v>
          </cell>
          <cell r="C57">
            <v>54.779030321</v>
          </cell>
          <cell r="D57">
            <v>33.973845064000002</v>
          </cell>
          <cell r="E57">
            <v>41.148467822000001</v>
          </cell>
          <cell r="F57">
            <v>19.143741241000001</v>
          </cell>
          <cell r="G57" t="str">
            <v>-</v>
          </cell>
          <cell r="H57">
            <v>27.022388845999998</v>
          </cell>
          <cell r="J57">
            <v>39148</v>
          </cell>
          <cell r="K57">
            <v>2.1120999999999999</v>
          </cell>
          <cell r="L57">
            <v>12.794085907864211</v>
          </cell>
        </row>
        <row r="58">
          <cell r="B58">
            <v>39149</v>
          </cell>
          <cell r="C58">
            <v>55.502185836999999</v>
          </cell>
          <cell r="D58">
            <v>33.973845064000002</v>
          </cell>
          <cell r="E58">
            <v>41.148467822000001</v>
          </cell>
          <cell r="F58">
            <v>19.595844355000001</v>
          </cell>
          <cell r="G58">
            <v>65.925933737999998</v>
          </cell>
          <cell r="H58">
            <v>27.492862021000001</v>
          </cell>
          <cell r="J58">
            <v>39149</v>
          </cell>
          <cell r="K58">
            <v>2.1053999999999999</v>
          </cell>
          <cell r="L58">
            <v>13.058260673031254</v>
          </cell>
        </row>
        <row r="59">
          <cell r="B59">
            <v>39150</v>
          </cell>
          <cell r="C59">
            <v>56.044552474</v>
          </cell>
          <cell r="D59">
            <v>33.973845064000002</v>
          </cell>
          <cell r="E59">
            <v>43.036012217</v>
          </cell>
          <cell r="F59">
            <v>19.913729358000001</v>
          </cell>
          <cell r="G59">
            <v>65.925933737999998</v>
          </cell>
          <cell r="H59">
            <v>28.016346257999999</v>
          </cell>
          <cell r="J59">
            <v>39150</v>
          </cell>
          <cell r="K59">
            <v>2.0983000000000001</v>
          </cell>
          <cell r="L59">
            <v>13.351925967688128</v>
          </cell>
        </row>
        <row r="60">
          <cell r="B60">
            <v>39153</v>
          </cell>
          <cell r="C60">
            <v>55.863763595000002</v>
          </cell>
          <cell r="D60">
            <v>33.619950844000002</v>
          </cell>
          <cell r="E60">
            <v>43.640026423999998</v>
          </cell>
          <cell r="F60">
            <v>20.132716803000001</v>
          </cell>
          <cell r="G60" t="str">
            <v>-</v>
          </cell>
          <cell r="H60">
            <v>28.559709644000002</v>
          </cell>
          <cell r="J60">
            <v>39153</v>
          </cell>
          <cell r="K60">
            <v>2.0901999999999998</v>
          </cell>
          <cell r="L60">
            <v>13.663625320065067</v>
          </cell>
        </row>
        <row r="61">
          <cell r="B61">
            <v>39154</v>
          </cell>
          <cell r="C61">
            <v>55.863763595000002</v>
          </cell>
          <cell r="D61">
            <v>33.619950844000002</v>
          </cell>
          <cell r="E61">
            <v>42.431998010999997</v>
          </cell>
          <cell r="F61">
            <v>19.426305687999999</v>
          </cell>
          <cell r="G61">
            <v>65.168164383999994</v>
          </cell>
          <cell r="H61">
            <v>27.718159034999999</v>
          </cell>
          <cell r="J61">
            <v>39154</v>
          </cell>
          <cell r="K61">
            <v>2.0962000000000001</v>
          </cell>
          <cell r="L61">
            <v>13.223050775212288</v>
          </cell>
        </row>
        <row r="62">
          <cell r="B62">
            <v>39155</v>
          </cell>
          <cell r="C62">
            <v>55.682974715999997</v>
          </cell>
          <cell r="D62">
            <v>33.796897954000002</v>
          </cell>
          <cell r="E62">
            <v>42.356496235000002</v>
          </cell>
          <cell r="F62">
            <v>19.920793468999999</v>
          </cell>
          <cell r="G62">
            <v>65.168164383999994</v>
          </cell>
          <cell r="H62">
            <v>27.837433923999999</v>
          </cell>
          <cell r="J62">
            <v>39155</v>
          </cell>
          <cell r="K62">
            <v>2.1044</v>
          </cell>
          <cell r="L62">
            <v>13.228204677817905</v>
          </cell>
        </row>
        <row r="63">
          <cell r="B63">
            <v>39156</v>
          </cell>
          <cell r="C63">
            <v>54.779030321</v>
          </cell>
          <cell r="D63">
            <v>33.266056624999997</v>
          </cell>
          <cell r="E63">
            <v>42.129990908000003</v>
          </cell>
          <cell r="F63">
            <v>19.956114024000001</v>
          </cell>
          <cell r="G63" t="str">
            <v>-</v>
          </cell>
          <cell r="H63">
            <v>27.565752232000001</v>
          </cell>
          <cell r="J63">
            <v>39156</v>
          </cell>
          <cell r="K63">
            <v>2.0909</v>
          </cell>
          <cell r="L63">
            <v>13.183677953034579</v>
          </cell>
        </row>
        <row r="64">
          <cell r="B64">
            <v>39157</v>
          </cell>
          <cell r="C64">
            <v>54.236663684</v>
          </cell>
          <cell r="D64">
            <v>33.266056624999997</v>
          </cell>
          <cell r="E64">
            <v>41.563727589000003</v>
          </cell>
          <cell r="F64">
            <v>19.645293132999999</v>
          </cell>
          <cell r="G64">
            <v>65.168164383999994</v>
          </cell>
          <cell r="H64">
            <v>27.101905438999999</v>
          </cell>
          <cell r="J64">
            <v>39157</v>
          </cell>
          <cell r="K64">
            <v>2.0914999999999999</v>
          </cell>
          <cell r="L64">
            <v>12.958118785082476</v>
          </cell>
        </row>
        <row r="65">
          <cell r="B65">
            <v>39160</v>
          </cell>
          <cell r="C65">
            <v>54.236663684</v>
          </cell>
          <cell r="D65">
            <v>33.266056624999997</v>
          </cell>
          <cell r="E65">
            <v>41.827983803999999</v>
          </cell>
          <cell r="F65">
            <v>19.99143458</v>
          </cell>
          <cell r="G65">
            <v>65.168164383999994</v>
          </cell>
          <cell r="H65">
            <v>27.360334366</v>
          </cell>
          <cell r="J65">
            <v>39160</v>
          </cell>
          <cell r="K65">
            <v>2.0792000000000002</v>
          </cell>
          <cell r="L65">
            <v>13.159068086764139</v>
          </cell>
        </row>
        <row r="66">
          <cell r="B66">
            <v>39161</v>
          </cell>
          <cell r="C66">
            <v>54.236663684</v>
          </cell>
          <cell r="D66">
            <v>33.089109514999997</v>
          </cell>
          <cell r="E66">
            <v>43.640026423999998</v>
          </cell>
          <cell r="F66">
            <v>19.836024134999999</v>
          </cell>
          <cell r="G66">
            <v>66.683703090999998</v>
          </cell>
          <cell r="H66">
            <v>27.685027121000001</v>
          </cell>
          <cell r="J66">
            <v>39161</v>
          </cell>
          <cell r="K66">
            <v>2.0762999999999998</v>
          </cell>
          <cell r="L66">
            <v>13.333828021480519</v>
          </cell>
        </row>
        <row r="67">
          <cell r="B67">
            <v>39162</v>
          </cell>
          <cell r="C67">
            <v>56.225341352999997</v>
          </cell>
          <cell r="D67">
            <v>33.973845064000002</v>
          </cell>
          <cell r="E67">
            <v>46.433592128999997</v>
          </cell>
          <cell r="F67">
            <v>20.556563473000001</v>
          </cell>
          <cell r="G67">
            <v>68.199241798000003</v>
          </cell>
          <cell r="H67">
            <v>28.692237298999999</v>
          </cell>
          <cell r="J67">
            <v>39162</v>
          </cell>
          <cell r="K67">
            <v>2.0676000000000001</v>
          </cell>
          <cell r="L67">
            <v>13.87707356306829</v>
          </cell>
        </row>
        <row r="68">
          <cell r="B68">
            <v>39163</v>
          </cell>
          <cell r="C68">
            <v>55.863763595000002</v>
          </cell>
          <cell r="D68">
            <v>33.796897954000002</v>
          </cell>
          <cell r="E68">
            <v>47.558568588999997</v>
          </cell>
          <cell r="F68">
            <v>20.273999026999999</v>
          </cell>
          <cell r="G68">
            <v>68.199241798000003</v>
          </cell>
          <cell r="H68">
            <v>28.261522419999999</v>
          </cell>
          <cell r="J68">
            <v>39163</v>
          </cell>
          <cell r="K68">
            <v>2.0602</v>
          </cell>
          <cell r="L68">
            <v>13.717853810309677</v>
          </cell>
        </row>
        <row r="69">
          <cell r="B69">
            <v>39164</v>
          </cell>
          <cell r="C69">
            <v>56.044552474</v>
          </cell>
          <cell r="D69">
            <v>33.796897954000002</v>
          </cell>
          <cell r="E69">
            <v>45.678574371000003</v>
          </cell>
          <cell r="F69">
            <v>20.231614359999998</v>
          </cell>
          <cell r="G69">
            <v>69.714780504000004</v>
          </cell>
          <cell r="H69">
            <v>28.327786247999999</v>
          </cell>
          <cell r="J69">
            <v>39164</v>
          </cell>
          <cell r="K69">
            <v>2.0651999999999999</v>
          </cell>
          <cell r="L69">
            <v>13.716727797791981</v>
          </cell>
        </row>
        <row r="70">
          <cell r="B70">
            <v>39167</v>
          </cell>
          <cell r="C70">
            <v>55.140608079000003</v>
          </cell>
          <cell r="D70">
            <v>33.619950844000002</v>
          </cell>
          <cell r="E70">
            <v>46.999855447999998</v>
          </cell>
          <cell r="F70">
            <v>20.062075692000001</v>
          </cell>
          <cell r="G70" t="str">
            <v>-</v>
          </cell>
          <cell r="H70">
            <v>28.162126679</v>
          </cell>
          <cell r="J70">
            <v>39167</v>
          </cell>
          <cell r="K70">
            <v>2.0600999999999998</v>
          </cell>
          <cell r="L70">
            <v>13.670271675646815</v>
          </cell>
        </row>
        <row r="71">
          <cell r="B71">
            <v>39168</v>
          </cell>
          <cell r="C71">
            <v>54.236663684</v>
          </cell>
          <cell r="D71">
            <v>34.327739283</v>
          </cell>
          <cell r="E71">
            <v>45.678574371000003</v>
          </cell>
          <cell r="F71">
            <v>19.956114024000001</v>
          </cell>
          <cell r="G71">
            <v>69.714780504000004</v>
          </cell>
          <cell r="H71">
            <v>27.764543713999998</v>
          </cell>
          <cell r="J71">
            <v>39168</v>
          </cell>
          <cell r="K71">
            <v>2.0636999999999999</v>
          </cell>
          <cell r="L71">
            <v>13.453769304646993</v>
          </cell>
        </row>
        <row r="72">
          <cell r="B72">
            <v>39169</v>
          </cell>
          <cell r="C72">
            <v>54.236663684</v>
          </cell>
          <cell r="D72">
            <v>33.973845064000002</v>
          </cell>
          <cell r="E72">
            <v>43.881632107000001</v>
          </cell>
          <cell r="F72">
            <v>19.956114024000001</v>
          </cell>
          <cell r="G72">
            <v>69.714780504000004</v>
          </cell>
          <cell r="H72">
            <v>27.658521589999999</v>
          </cell>
          <cell r="J72">
            <v>39169</v>
          </cell>
          <cell r="K72">
            <v>2.0716000000000001</v>
          </cell>
          <cell r="L72">
            <v>13.351284799189031</v>
          </cell>
        </row>
        <row r="73">
          <cell r="B73">
            <v>39170</v>
          </cell>
          <cell r="C73">
            <v>54.236663684</v>
          </cell>
          <cell r="D73">
            <v>34.504686393</v>
          </cell>
          <cell r="E73">
            <v>44.757452706000002</v>
          </cell>
          <cell r="F73">
            <v>20.097396247999999</v>
          </cell>
          <cell r="G73">
            <v>69.714780504000004</v>
          </cell>
          <cell r="H73">
            <v>27.665147973</v>
          </cell>
          <cell r="J73">
            <v>39170</v>
          </cell>
          <cell r="K73">
            <v>2.0545</v>
          </cell>
          <cell r="L73">
            <v>13.465635421270383</v>
          </cell>
        </row>
        <row r="74">
          <cell r="B74">
            <v>39171</v>
          </cell>
          <cell r="C74">
            <v>54.236663684</v>
          </cell>
          <cell r="D74">
            <v>34.150792174000003</v>
          </cell>
          <cell r="E74">
            <v>45.074560165000001</v>
          </cell>
          <cell r="F74">
            <v>20.168037358999999</v>
          </cell>
          <cell r="G74">
            <v>68.191664103999997</v>
          </cell>
          <cell r="H74">
            <v>28.029599023999999</v>
          </cell>
          <cell r="J74">
            <v>39171</v>
          </cell>
          <cell r="K74">
            <v>2.0503999999999998</v>
          </cell>
          <cell r="L74">
            <v>13.670307756535312</v>
          </cell>
        </row>
        <row r="75">
          <cell r="B75">
            <v>39174</v>
          </cell>
          <cell r="C75">
            <v>53.513508168999998</v>
          </cell>
          <cell r="D75">
            <v>33.443003734999998</v>
          </cell>
          <cell r="E75">
            <v>45.150061940000001</v>
          </cell>
          <cell r="F75">
            <v>20.203357915000002</v>
          </cell>
          <cell r="G75">
            <v>69.714780504000004</v>
          </cell>
          <cell r="H75">
            <v>27.963335195999999</v>
          </cell>
          <cell r="J75">
            <v>39174</v>
          </cell>
          <cell r="K75">
            <v>2.0478000000000001</v>
          </cell>
          <cell r="L75">
            <v>13.655305789627892</v>
          </cell>
        </row>
        <row r="76">
          <cell r="B76">
            <v>39175</v>
          </cell>
          <cell r="C76">
            <v>54.236663684</v>
          </cell>
          <cell r="D76">
            <v>33.973845064000002</v>
          </cell>
          <cell r="E76">
            <v>46.05608325</v>
          </cell>
          <cell r="F76">
            <v>20.309319582000001</v>
          </cell>
          <cell r="G76" t="str">
            <v>-</v>
          </cell>
          <cell r="H76">
            <v>28.195258592999998</v>
          </cell>
          <cell r="J76">
            <v>39175</v>
          </cell>
          <cell r="K76">
            <v>2.0371999999999999</v>
          </cell>
          <cell r="L76">
            <v>13.840201547712546</v>
          </cell>
        </row>
        <row r="77">
          <cell r="B77">
            <v>39176</v>
          </cell>
          <cell r="C77">
            <v>54.055874805000002</v>
          </cell>
          <cell r="D77">
            <v>33.443003734999998</v>
          </cell>
          <cell r="E77">
            <v>45.150061940000001</v>
          </cell>
          <cell r="F77">
            <v>20.132716803000001</v>
          </cell>
          <cell r="G77">
            <v>69.714780504000004</v>
          </cell>
          <cell r="H77">
            <v>28.022972640999999</v>
          </cell>
          <cell r="J77">
            <v>39176</v>
          </cell>
          <cell r="K77">
            <v>2.0320999999999998</v>
          </cell>
          <cell r="L77">
            <v>13.790154343290194</v>
          </cell>
        </row>
        <row r="78">
          <cell r="B78">
            <v>39177</v>
          </cell>
          <cell r="C78">
            <v>54.236663684</v>
          </cell>
          <cell r="D78">
            <v>33.619950844000002</v>
          </cell>
          <cell r="E78">
            <v>45.112311052999999</v>
          </cell>
          <cell r="F78">
            <v>20.097396247999999</v>
          </cell>
          <cell r="G78">
            <v>69.714780504000004</v>
          </cell>
          <cell r="H78">
            <v>28.062730938000001</v>
          </cell>
          <cell r="J78">
            <v>39177</v>
          </cell>
          <cell r="K78">
            <v>2.0333000000000001</v>
          </cell>
          <cell r="L78">
            <v>13.80156933949737</v>
          </cell>
        </row>
        <row r="79">
          <cell r="B79">
            <v>39178</v>
          </cell>
          <cell r="C79" t="str">
            <v>-</v>
          </cell>
          <cell r="D79" t="str">
            <v>-</v>
          </cell>
          <cell r="E79" t="str">
            <v>-</v>
          </cell>
          <cell r="F79" t="str">
            <v>-</v>
          </cell>
          <cell r="G79" t="str">
            <v>-</v>
          </cell>
          <cell r="H79" t="str">
            <v>-</v>
          </cell>
          <cell r="J79">
            <v>39178</v>
          </cell>
          <cell r="K79" t="str">
            <v>-</v>
          </cell>
          <cell r="L79">
            <v>13.80156933949737</v>
          </cell>
        </row>
        <row r="80">
          <cell r="B80">
            <v>39181</v>
          </cell>
          <cell r="C80">
            <v>54.236663684</v>
          </cell>
          <cell r="D80">
            <v>34.327739283</v>
          </cell>
          <cell r="E80">
            <v>47.936077468000001</v>
          </cell>
          <cell r="F80">
            <v>21.277102810999999</v>
          </cell>
          <cell r="G80">
            <v>73.503627270999999</v>
          </cell>
          <cell r="H80">
            <v>29.752458537999999</v>
          </cell>
          <cell r="J80">
            <v>39181</v>
          </cell>
          <cell r="K80">
            <v>2.0236000000000001</v>
          </cell>
          <cell r="L80">
            <v>14.702736972721882</v>
          </cell>
        </row>
        <row r="81">
          <cell r="B81">
            <v>39182</v>
          </cell>
          <cell r="C81">
            <v>53.694297048000003</v>
          </cell>
          <cell r="D81">
            <v>34.504686393</v>
          </cell>
          <cell r="E81">
            <v>50.133179145</v>
          </cell>
          <cell r="F81">
            <v>22.294334817999999</v>
          </cell>
          <cell r="G81">
            <v>75.776935331000004</v>
          </cell>
          <cell r="H81">
            <v>31.143998915000001</v>
          </cell>
          <cell r="J81">
            <v>39182</v>
          </cell>
          <cell r="K81">
            <v>2.0282</v>
          </cell>
          <cell r="L81">
            <v>15.355487089537521</v>
          </cell>
        </row>
        <row r="82">
          <cell r="B82">
            <v>39183</v>
          </cell>
          <cell r="C82">
            <v>53.33271929</v>
          </cell>
          <cell r="D82">
            <v>35.389421941999998</v>
          </cell>
          <cell r="E82">
            <v>48.132382085000003</v>
          </cell>
          <cell r="F82">
            <v>24.759709612999998</v>
          </cell>
          <cell r="G82">
            <v>75.019165977</v>
          </cell>
          <cell r="H82">
            <v>33.396969050000003</v>
          </cell>
          <cell r="J82">
            <v>39183</v>
          </cell>
          <cell r="K82">
            <v>2.0333000000000001</v>
          </cell>
          <cell r="L82">
            <v>16.425008139477697</v>
          </cell>
        </row>
        <row r="83">
          <cell r="B83">
            <v>39184</v>
          </cell>
          <cell r="C83">
            <v>53.513508168999998</v>
          </cell>
          <cell r="D83">
            <v>35.212474831999998</v>
          </cell>
          <cell r="E83">
            <v>50.671553832000001</v>
          </cell>
          <cell r="F83">
            <v>24.319967778999999</v>
          </cell>
          <cell r="G83">
            <v>75.776935331000004</v>
          </cell>
          <cell r="H83">
            <v>32.906616726000003</v>
          </cell>
          <cell r="J83">
            <v>39184</v>
          </cell>
          <cell r="K83">
            <v>2.0371000000000001</v>
          </cell>
          <cell r="L83">
            <v>16.153658006970694</v>
          </cell>
        </row>
        <row r="84">
          <cell r="B84">
            <v>39185</v>
          </cell>
          <cell r="C84">
            <v>53.875085925999997</v>
          </cell>
          <cell r="D84">
            <v>35.566369051000002</v>
          </cell>
          <cell r="E84">
            <v>53.219116661000001</v>
          </cell>
          <cell r="F84">
            <v>24.178366801999999</v>
          </cell>
          <cell r="G84">
            <v>76.527126989999999</v>
          </cell>
          <cell r="H84">
            <v>33.125287356999998</v>
          </cell>
          <cell r="J84">
            <v>39185</v>
          </cell>
          <cell r="K84">
            <v>2.0230999999999999</v>
          </cell>
          <cell r="L84">
            <v>16.373529413770946</v>
          </cell>
        </row>
        <row r="85">
          <cell r="B85">
            <v>39188</v>
          </cell>
          <cell r="C85">
            <v>54.236663684</v>
          </cell>
          <cell r="D85">
            <v>35.743316161000003</v>
          </cell>
          <cell r="E85">
            <v>52.916735316</v>
          </cell>
          <cell r="F85">
            <v>24.291647584</v>
          </cell>
          <cell r="G85" t="str">
            <v>-</v>
          </cell>
          <cell r="H85">
            <v>33.098781826</v>
          </cell>
          <cell r="J85">
            <v>39188</v>
          </cell>
          <cell r="K85">
            <v>2.0339999999999998</v>
          </cell>
          <cell r="L85">
            <v>16.272754093411997</v>
          </cell>
        </row>
        <row r="86">
          <cell r="B86">
            <v>39189</v>
          </cell>
          <cell r="C86">
            <v>54.313434819000001</v>
          </cell>
          <cell r="D86">
            <v>35.785943758999998</v>
          </cell>
          <cell r="E86">
            <v>51.813043407999999</v>
          </cell>
          <cell r="F86">
            <v>24.142966558000001</v>
          </cell>
          <cell r="G86" t="str">
            <v>-</v>
          </cell>
          <cell r="H86">
            <v>33.065649911999998</v>
          </cell>
          <cell r="J86">
            <v>39189</v>
          </cell>
          <cell r="K86">
            <v>2.0348000000000002</v>
          </cell>
          <cell r="L86">
            <v>16.25007367407116</v>
          </cell>
        </row>
        <row r="87">
          <cell r="B87">
            <v>39190</v>
          </cell>
          <cell r="C87">
            <v>54.856569167000004</v>
          </cell>
          <cell r="D87">
            <v>35.967598295999998</v>
          </cell>
          <cell r="E87">
            <v>50.792506369999998</v>
          </cell>
          <cell r="F87">
            <v>24.277487485999998</v>
          </cell>
          <cell r="G87">
            <v>75.776935331000004</v>
          </cell>
          <cell r="H87">
            <v>33.065649911999998</v>
          </cell>
          <cell r="J87">
            <v>39190</v>
          </cell>
          <cell r="K87">
            <v>2.0365000000000002</v>
          </cell>
          <cell r="L87">
            <v>16.236508672722806</v>
          </cell>
        </row>
        <row r="88">
          <cell r="B88">
            <v>39191</v>
          </cell>
          <cell r="C88">
            <v>54.856569167000004</v>
          </cell>
          <cell r="D88">
            <v>36.149252832999998</v>
          </cell>
          <cell r="E88">
            <v>50.656434765</v>
          </cell>
          <cell r="F88">
            <v>24.355368023</v>
          </cell>
          <cell r="G88">
            <v>76.534704684000005</v>
          </cell>
          <cell r="H88">
            <v>32.734330774999997</v>
          </cell>
          <cell r="J88">
            <v>39191</v>
          </cell>
          <cell r="K88">
            <v>2.0312000000000001</v>
          </cell>
          <cell r="L88">
            <v>16.115759538696334</v>
          </cell>
        </row>
        <row r="89">
          <cell r="B89">
            <v>39192</v>
          </cell>
          <cell r="C89">
            <v>55.399703516000002</v>
          </cell>
          <cell r="D89">
            <v>36.694216443999998</v>
          </cell>
          <cell r="E89">
            <v>50.648875230999998</v>
          </cell>
          <cell r="F89">
            <v>24.355368023</v>
          </cell>
          <cell r="G89">
            <v>76.534704684000005</v>
          </cell>
          <cell r="H89">
            <v>32.860232046999997</v>
          </cell>
          <cell r="J89">
            <v>39192</v>
          </cell>
          <cell r="K89">
            <v>2.0261999999999998</v>
          </cell>
          <cell r="L89">
            <v>16.217664617017075</v>
          </cell>
        </row>
        <row r="90">
          <cell r="B90">
            <v>39195</v>
          </cell>
          <cell r="C90">
            <v>55.218658732999998</v>
          </cell>
          <cell r="D90">
            <v>36.694216443999998</v>
          </cell>
          <cell r="E90">
            <v>50.270898549999998</v>
          </cell>
          <cell r="F90">
            <v>24.100486265000001</v>
          </cell>
          <cell r="G90" t="str">
            <v>-</v>
          </cell>
          <cell r="H90">
            <v>32.283736748000003</v>
          </cell>
          <cell r="J90">
            <v>39195</v>
          </cell>
          <cell r="K90">
            <v>2.0289999999999999</v>
          </cell>
          <cell r="L90">
            <v>15.911156603252836</v>
          </cell>
        </row>
        <row r="91">
          <cell r="B91">
            <v>39196</v>
          </cell>
          <cell r="C91">
            <v>55.761793081</v>
          </cell>
          <cell r="D91">
            <v>36.694216443999998</v>
          </cell>
          <cell r="E91">
            <v>50.006314873999997</v>
          </cell>
          <cell r="F91">
            <v>24.355368023</v>
          </cell>
          <cell r="G91">
            <v>77.292474037000005</v>
          </cell>
          <cell r="H91">
            <v>32.098198031000003</v>
          </cell>
          <cell r="J91">
            <v>39196</v>
          </cell>
          <cell r="K91">
            <v>2.0385</v>
          </cell>
          <cell r="L91">
            <v>15.745988732401276</v>
          </cell>
        </row>
        <row r="92">
          <cell r="B92">
            <v>39197</v>
          </cell>
          <cell r="C92">
            <v>55.761793081</v>
          </cell>
          <cell r="D92">
            <v>37.057525517000002</v>
          </cell>
          <cell r="E92">
            <v>51.026851911999998</v>
          </cell>
          <cell r="F92">
            <v>24.355368023</v>
          </cell>
          <cell r="G92">
            <v>78.800435050000004</v>
          </cell>
          <cell r="H92">
            <v>31.985549524</v>
          </cell>
          <cell r="J92">
            <v>39197</v>
          </cell>
          <cell r="K92">
            <v>2.0236000000000001</v>
          </cell>
          <cell r="L92">
            <v>15.806260883573827</v>
          </cell>
        </row>
        <row r="93">
          <cell r="B93">
            <v>39198</v>
          </cell>
          <cell r="C93">
            <v>55.761793081</v>
          </cell>
          <cell r="D93">
            <v>36.875870980999998</v>
          </cell>
          <cell r="E93">
            <v>49.892921868999998</v>
          </cell>
          <cell r="F93">
            <v>24.114646361999998</v>
          </cell>
          <cell r="G93">
            <v>76.534704684000005</v>
          </cell>
          <cell r="H93">
            <v>31.740373363</v>
          </cell>
          <cell r="J93">
            <v>39198</v>
          </cell>
          <cell r="K93">
            <v>2.0251999999999999</v>
          </cell>
          <cell r="L93">
            <v>15.672710528836658</v>
          </cell>
        </row>
        <row r="94">
          <cell r="B94">
            <v>39199</v>
          </cell>
          <cell r="C94">
            <v>55.037613950000001</v>
          </cell>
          <cell r="D94">
            <v>36.694216443999998</v>
          </cell>
          <cell r="E94">
            <v>50.648875230999998</v>
          </cell>
          <cell r="F94">
            <v>24.284567535000001</v>
          </cell>
          <cell r="G94">
            <v>76.989366296</v>
          </cell>
          <cell r="H94">
            <v>31.939164845000001</v>
          </cell>
          <cell r="J94">
            <v>39199</v>
          </cell>
          <cell r="K94">
            <v>2.0320999999999998</v>
          </cell>
          <cell r="L94">
            <v>15.71731944540131</v>
          </cell>
        </row>
        <row r="95">
          <cell r="B95">
            <v>39202</v>
          </cell>
          <cell r="C95">
            <v>54.313434819000001</v>
          </cell>
          <cell r="D95">
            <v>36.694216443999998</v>
          </cell>
          <cell r="E95">
            <v>51.026851911999998</v>
          </cell>
          <cell r="F95">
            <v>24.107566314</v>
          </cell>
          <cell r="G95">
            <v>76.913589361000007</v>
          </cell>
          <cell r="H95">
            <v>31.548208262999999</v>
          </cell>
          <cell r="J95">
            <v>39202</v>
          </cell>
          <cell r="K95">
            <v>2.0339</v>
          </cell>
          <cell r="L95">
            <v>15.511189469983774</v>
          </cell>
        </row>
        <row r="96">
          <cell r="B96">
            <v>39203</v>
          </cell>
          <cell r="C96" t="str">
            <v>-</v>
          </cell>
          <cell r="D96" t="str">
            <v>-</v>
          </cell>
          <cell r="E96" t="str">
            <v>-</v>
          </cell>
          <cell r="F96" t="str">
            <v>-</v>
          </cell>
          <cell r="G96" t="str">
            <v>-</v>
          </cell>
          <cell r="H96" t="str">
            <v>-</v>
          </cell>
          <cell r="J96">
            <v>39203</v>
          </cell>
          <cell r="K96" t="str">
            <v>-</v>
          </cell>
          <cell r="L96">
            <v>15.511189469983774</v>
          </cell>
        </row>
        <row r="97">
          <cell r="B97">
            <v>39204</v>
          </cell>
          <cell r="C97">
            <v>54.313434819000001</v>
          </cell>
          <cell r="D97">
            <v>36.512561906999998</v>
          </cell>
          <cell r="E97">
            <v>49.756850264000001</v>
          </cell>
          <cell r="F97">
            <v>23.682763383000001</v>
          </cell>
          <cell r="G97">
            <v>78.050243390999995</v>
          </cell>
          <cell r="H97">
            <v>31.674109534999999</v>
          </cell>
          <cell r="J97">
            <v>39204</v>
          </cell>
          <cell r="K97">
            <v>2.0268000000000002</v>
          </cell>
          <cell r="L97">
            <v>15.627644333432009</v>
          </cell>
        </row>
        <row r="98">
          <cell r="B98">
            <v>39205</v>
          </cell>
          <cell r="C98">
            <v>54.856569167000004</v>
          </cell>
          <cell r="D98">
            <v>36.694216443999998</v>
          </cell>
          <cell r="E98">
            <v>49.892921868999998</v>
          </cell>
          <cell r="F98">
            <v>24.065086020999999</v>
          </cell>
          <cell r="G98" t="str">
            <v>-</v>
          </cell>
          <cell r="H98">
            <v>31.939164845000001</v>
          </cell>
          <cell r="J98">
            <v>39205</v>
          </cell>
          <cell r="K98">
            <v>2.0238999999999998</v>
          </cell>
          <cell r="L98">
            <v>15.780999478729187</v>
          </cell>
        </row>
        <row r="99">
          <cell r="B99">
            <v>39206</v>
          </cell>
          <cell r="C99">
            <v>53.951345254000003</v>
          </cell>
          <cell r="D99">
            <v>36.875870980999998</v>
          </cell>
          <cell r="E99">
            <v>50.648875230999998</v>
          </cell>
          <cell r="F99">
            <v>24.001365581000002</v>
          </cell>
          <cell r="G99" t="str">
            <v>-</v>
          </cell>
          <cell r="H99">
            <v>31.607845707999999</v>
          </cell>
          <cell r="J99">
            <v>39206</v>
          </cell>
          <cell r="K99">
            <v>2.0308999999999999</v>
          </cell>
          <cell r="L99">
            <v>15.563467284455168</v>
          </cell>
        </row>
        <row r="100">
          <cell r="B100">
            <v>39209</v>
          </cell>
          <cell r="C100">
            <v>54.313434819000001</v>
          </cell>
          <cell r="D100">
            <v>36.694216443999998</v>
          </cell>
          <cell r="E100">
            <v>51.026851911999998</v>
          </cell>
          <cell r="F100">
            <v>23.852684555</v>
          </cell>
          <cell r="G100" t="str">
            <v>-</v>
          </cell>
          <cell r="H100">
            <v>31.508449967000001</v>
          </cell>
          <cell r="J100">
            <v>39209</v>
          </cell>
          <cell r="K100">
            <v>2.0266000000000002</v>
          </cell>
          <cell r="L100">
            <v>15.547443978584822</v>
          </cell>
        </row>
        <row r="101">
          <cell r="B101">
            <v>39210</v>
          </cell>
          <cell r="C101">
            <v>54.132390037</v>
          </cell>
          <cell r="D101">
            <v>36.875870980999998</v>
          </cell>
          <cell r="E101">
            <v>50.648875230999998</v>
          </cell>
          <cell r="F101">
            <v>23.718163626999999</v>
          </cell>
          <cell r="G101">
            <v>77.292474037000005</v>
          </cell>
          <cell r="H101">
            <v>31.409054224999998</v>
          </cell>
          <cell r="J101">
            <v>39210</v>
          </cell>
          <cell r="K101">
            <v>2.0226000000000002</v>
          </cell>
          <cell r="L101">
            <v>15.529048860377729</v>
          </cell>
        </row>
        <row r="102">
          <cell r="B102">
            <v>39211</v>
          </cell>
          <cell r="C102">
            <v>54.313434819000001</v>
          </cell>
          <cell r="D102">
            <v>37.057525517000002</v>
          </cell>
          <cell r="E102">
            <v>51.026851911999998</v>
          </cell>
          <cell r="F102">
            <v>24.015525679</v>
          </cell>
          <cell r="G102">
            <v>77.292474037000005</v>
          </cell>
          <cell r="H102">
            <v>31.276526570000001</v>
          </cell>
          <cell r="J102">
            <v>39211</v>
          </cell>
          <cell r="K102">
            <v>2.0222000000000002</v>
          </cell>
          <cell r="L102">
            <v>15.466584200375827</v>
          </cell>
        </row>
        <row r="103">
          <cell r="B103">
            <v>39212</v>
          </cell>
          <cell r="C103">
            <v>54.494479601999998</v>
          </cell>
          <cell r="D103">
            <v>37.239180054000002</v>
          </cell>
          <cell r="E103">
            <v>48.388574679999998</v>
          </cell>
          <cell r="F103">
            <v>23.866844653000001</v>
          </cell>
          <cell r="G103" t="str">
            <v>-</v>
          </cell>
          <cell r="H103">
            <v>31.13074615</v>
          </cell>
          <cell r="J103">
            <v>39212</v>
          </cell>
          <cell r="K103">
            <v>2.0217000000000001</v>
          </cell>
          <cell r="L103">
            <v>15.398301503685017</v>
          </cell>
        </row>
        <row r="104">
          <cell r="B104">
            <v>39213</v>
          </cell>
          <cell r="C104">
            <v>54.675524385000003</v>
          </cell>
          <cell r="D104">
            <v>37.784143665000002</v>
          </cell>
          <cell r="E104">
            <v>49.514945187999999</v>
          </cell>
          <cell r="F104">
            <v>23.796044164000001</v>
          </cell>
          <cell r="G104" t="str">
            <v>-</v>
          </cell>
          <cell r="H104">
            <v>31.143998915000001</v>
          </cell>
          <cell r="J104">
            <v>39213</v>
          </cell>
          <cell r="K104">
            <v>2.0194000000000001</v>
          </cell>
          <cell r="L104">
            <v>15.422402156581162</v>
          </cell>
        </row>
        <row r="105">
          <cell r="B105">
            <v>39216</v>
          </cell>
          <cell r="C105">
            <v>54.313434819000001</v>
          </cell>
          <cell r="D105">
            <v>37.420834591000002</v>
          </cell>
          <cell r="E105">
            <v>49.136968508000002</v>
          </cell>
          <cell r="F105">
            <v>23.64028309</v>
          </cell>
          <cell r="G105" t="str">
            <v>-</v>
          </cell>
          <cell r="H105">
            <v>31.097614235999998</v>
          </cell>
          <cell r="J105">
            <v>39216</v>
          </cell>
          <cell r="K105">
            <v>2.0137999999999998</v>
          </cell>
          <cell r="L105">
            <v>15.442255554672759</v>
          </cell>
        </row>
        <row r="106">
          <cell r="B106">
            <v>39217</v>
          </cell>
          <cell r="C106">
            <v>55.399703516000002</v>
          </cell>
          <cell r="D106">
            <v>37.602489128000002</v>
          </cell>
          <cell r="E106">
            <v>50.573279894999999</v>
          </cell>
          <cell r="F106">
            <v>23.810204261999999</v>
          </cell>
          <cell r="G106">
            <v>76.534704684000005</v>
          </cell>
          <cell r="H106">
            <v>30.680152122999999</v>
          </cell>
          <cell r="J106">
            <v>39217</v>
          </cell>
          <cell r="K106">
            <v>1.9922</v>
          </cell>
          <cell r="L106">
            <v>15.400136594217448</v>
          </cell>
        </row>
        <row r="107">
          <cell r="B107">
            <v>39218</v>
          </cell>
          <cell r="C107">
            <v>55.761793081</v>
          </cell>
          <cell r="D107">
            <v>37.784143665000002</v>
          </cell>
          <cell r="E107">
            <v>52.047388949999998</v>
          </cell>
          <cell r="F107">
            <v>24.390768266999999</v>
          </cell>
          <cell r="G107">
            <v>78.004777228999998</v>
          </cell>
          <cell r="H107">
            <v>31.210262743000001</v>
          </cell>
          <cell r="J107">
            <v>39218</v>
          </cell>
          <cell r="K107">
            <v>1.9585999999999999</v>
          </cell>
          <cell r="L107">
            <v>15.934985572858166</v>
          </cell>
        </row>
        <row r="108">
          <cell r="B108">
            <v>39219</v>
          </cell>
          <cell r="C108">
            <v>55.218658732999998</v>
          </cell>
          <cell r="D108">
            <v>37.784143665000002</v>
          </cell>
          <cell r="E108">
            <v>50.732030100999999</v>
          </cell>
          <cell r="F108">
            <v>24.249167289999999</v>
          </cell>
          <cell r="G108">
            <v>77.671358713999993</v>
          </cell>
          <cell r="H108">
            <v>31.137372533000001</v>
          </cell>
          <cell r="J108">
            <v>39219</v>
          </cell>
          <cell r="K108">
            <v>1.9573</v>
          </cell>
          <cell r="L108">
            <v>15.9083290926276</v>
          </cell>
        </row>
        <row r="109">
          <cell r="B109">
            <v>39220</v>
          </cell>
          <cell r="C109">
            <v>55.580748298000003</v>
          </cell>
          <cell r="D109">
            <v>37.965798202000002</v>
          </cell>
          <cell r="E109">
            <v>50.422089221999997</v>
          </cell>
          <cell r="F109">
            <v>24.709370464999999</v>
          </cell>
          <cell r="G109" t="str">
            <v>-</v>
          </cell>
          <cell r="H109">
            <v>31.674109534999999</v>
          </cell>
          <cell r="J109">
            <v>39220</v>
          </cell>
          <cell r="K109">
            <v>1.9630000000000001</v>
          </cell>
          <cell r="L109">
            <v>16.135562677024961</v>
          </cell>
        </row>
        <row r="110">
          <cell r="B110">
            <v>39223</v>
          </cell>
          <cell r="C110">
            <v>54.856569167000004</v>
          </cell>
          <cell r="D110">
            <v>38.874070885999998</v>
          </cell>
          <cell r="E110">
            <v>51.865960143000002</v>
          </cell>
          <cell r="F110">
            <v>26.259901161999998</v>
          </cell>
          <cell r="G110">
            <v>79.565782096999996</v>
          </cell>
          <cell r="H110">
            <v>33.463232877000003</v>
          </cell>
          <cell r="J110">
            <v>39223</v>
          </cell>
          <cell r="K110">
            <v>1.9435</v>
          </cell>
          <cell r="L110">
            <v>17.218025663493698</v>
          </cell>
        </row>
        <row r="111">
          <cell r="B111">
            <v>39224</v>
          </cell>
          <cell r="C111">
            <v>57.572240907999998</v>
          </cell>
          <cell r="D111">
            <v>39.963998107000002</v>
          </cell>
          <cell r="E111">
            <v>53.294711997</v>
          </cell>
          <cell r="F111">
            <v>27.187387561000001</v>
          </cell>
          <cell r="G111" t="str">
            <v>-</v>
          </cell>
          <cell r="H111">
            <v>33.927079669999998</v>
          </cell>
          <cell r="J111">
            <v>39224</v>
          </cell>
          <cell r="K111">
            <v>1.9409000000000001</v>
          </cell>
          <cell r="L111">
            <v>17.480076083260343</v>
          </cell>
        </row>
        <row r="112">
          <cell r="B112">
            <v>39225</v>
          </cell>
          <cell r="C112">
            <v>58.658509604999999</v>
          </cell>
          <cell r="D112">
            <v>40.872270790999998</v>
          </cell>
          <cell r="E112">
            <v>52.160781954000001</v>
          </cell>
          <cell r="F112">
            <v>26.479382676</v>
          </cell>
          <cell r="G112">
            <v>79.565782096999996</v>
          </cell>
          <cell r="H112">
            <v>33.463232877000003</v>
          </cell>
          <cell r="J112">
            <v>39225</v>
          </cell>
          <cell r="K112">
            <v>1.9489000000000001</v>
          </cell>
          <cell r="L112">
            <v>17.170318065062343</v>
          </cell>
        </row>
        <row r="113">
          <cell r="B113">
            <v>39226</v>
          </cell>
          <cell r="C113">
            <v>58.115375256999997</v>
          </cell>
          <cell r="D113">
            <v>40.327307181000002</v>
          </cell>
          <cell r="E113">
            <v>50.270898549999998</v>
          </cell>
          <cell r="F113">
            <v>25.41737535</v>
          </cell>
          <cell r="G113">
            <v>79.550626710000003</v>
          </cell>
          <cell r="H113">
            <v>32.866858430000001</v>
          </cell>
          <cell r="J113">
            <v>39226</v>
          </cell>
          <cell r="K113">
            <v>1.9653</v>
          </cell>
          <cell r="L113">
            <v>16.723583386760289</v>
          </cell>
        </row>
        <row r="114">
          <cell r="B114">
            <v>39227</v>
          </cell>
          <cell r="C114">
            <v>57.934330473999999</v>
          </cell>
          <cell r="D114">
            <v>40.690616255000002</v>
          </cell>
          <cell r="E114">
            <v>53.143521323999998</v>
          </cell>
          <cell r="F114">
            <v>26.196180723000001</v>
          </cell>
          <cell r="G114" t="str">
            <v>-</v>
          </cell>
          <cell r="H114">
            <v>34.324662633999999</v>
          </cell>
          <cell r="J114">
            <v>39227</v>
          </cell>
          <cell r="K114">
            <v>1.952</v>
          </cell>
          <cell r="L114">
            <v>17.584355857581969</v>
          </cell>
        </row>
        <row r="115">
          <cell r="B115">
            <v>39230</v>
          </cell>
          <cell r="C115">
            <v>57.753285691000002</v>
          </cell>
          <cell r="D115">
            <v>40.508961718000002</v>
          </cell>
          <cell r="E115">
            <v>52.916735316</v>
          </cell>
          <cell r="F115">
            <v>26.337781699000001</v>
          </cell>
          <cell r="G115" t="str">
            <v>-</v>
          </cell>
          <cell r="H115">
            <v>34.457190289000003</v>
          </cell>
          <cell r="J115">
            <v>39230</v>
          </cell>
          <cell r="K115">
            <v>1.9440999999999999</v>
          </cell>
          <cell r="L115">
            <v>17.72398039658454</v>
          </cell>
        </row>
        <row r="116">
          <cell r="B116">
            <v>39231</v>
          </cell>
          <cell r="C116">
            <v>57.934330473999999</v>
          </cell>
          <cell r="D116">
            <v>39.600689033000002</v>
          </cell>
          <cell r="E116">
            <v>54.201856030999998</v>
          </cell>
          <cell r="F116">
            <v>25.700577302999999</v>
          </cell>
          <cell r="G116" t="str">
            <v>-</v>
          </cell>
          <cell r="H116">
            <v>33.794552015000001</v>
          </cell>
          <cell r="J116">
            <v>39231</v>
          </cell>
          <cell r="K116">
            <v>1.9460999999999999</v>
          </cell>
          <cell r="L116">
            <v>17.36527003494168</v>
          </cell>
        </row>
        <row r="117">
          <cell r="B117">
            <v>39232</v>
          </cell>
          <cell r="C117">
            <v>57.029106560000002</v>
          </cell>
          <cell r="D117">
            <v>39.782343570000002</v>
          </cell>
          <cell r="E117">
            <v>54.655428047999997</v>
          </cell>
          <cell r="F117">
            <v>26.691784141999999</v>
          </cell>
          <cell r="G117">
            <v>79.414228226999995</v>
          </cell>
          <cell r="H117">
            <v>34.788509427000001</v>
          </cell>
          <cell r="J117">
            <v>39232</v>
          </cell>
          <cell r="K117">
            <v>1.9468000000000001</v>
          </cell>
          <cell r="L117">
            <v>17.869585692931992</v>
          </cell>
        </row>
        <row r="118">
          <cell r="B118">
            <v>39233</v>
          </cell>
          <cell r="C118">
            <v>58.366987348000002</v>
          </cell>
          <cell r="D118">
            <v>40.872270790999998</v>
          </cell>
          <cell r="E118">
            <v>54.731023383999997</v>
          </cell>
          <cell r="F118">
            <v>25.842178279999999</v>
          </cell>
          <cell r="G118">
            <v>81.839090157000001</v>
          </cell>
          <cell r="H118">
            <v>34.324662633999999</v>
          </cell>
          <cell r="J118">
            <v>39233</v>
          </cell>
          <cell r="K118">
            <v>1.9289000000000001</v>
          </cell>
          <cell r="L118">
            <v>17.794941486857795</v>
          </cell>
        </row>
        <row r="119">
          <cell r="B119">
            <v>39234</v>
          </cell>
          <cell r="C119">
            <v>59.278971525999999</v>
          </cell>
          <cell r="D119">
            <v>41.417234401999998</v>
          </cell>
          <cell r="E119">
            <v>56.326084977000001</v>
          </cell>
          <cell r="F119">
            <v>26.097060038999999</v>
          </cell>
          <cell r="G119">
            <v>84.870167570000007</v>
          </cell>
          <cell r="H119">
            <v>34.722245598999997</v>
          </cell>
          <cell r="J119">
            <v>39234</v>
          </cell>
          <cell r="K119">
            <v>1.9056</v>
          </cell>
          <cell r="L119">
            <v>18.221161628358519</v>
          </cell>
        </row>
        <row r="120">
          <cell r="B120">
            <v>39237</v>
          </cell>
          <cell r="C120">
            <v>59.278971525999999</v>
          </cell>
          <cell r="D120">
            <v>41.235579864999998</v>
          </cell>
          <cell r="E120">
            <v>57.452455485999998</v>
          </cell>
          <cell r="F120">
            <v>25.629776815</v>
          </cell>
          <cell r="G120">
            <v>83.354628864000006</v>
          </cell>
          <cell r="H120">
            <v>33.993343496999998</v>
          </cell>
          <cell r="J120">
            <v>39237</v>
          </cell>
          <cell r="K120">
            <v>1.9215</v>
          </cell>
          <cell r="L120">
            <v>17.691045275565962</v>
          </cell>
        </row>
        <row r="121">
          <cell r="B121">
            <v>39238</v>
          </cell>
          <cell r="C121">
            <v>59.278971525999999</v>
          </cell>
          <cell r="D121">
            <v>40.872270790999998</v>
          </cell>
          <cell r="E121">
            <v>56.998883468999999</v>
          </cell>
          <cell r="F121">
            <v>25.481095789000001</v>
          </cell>
          <cell r="G121">
            <v>83.354628864000006</v>
          </cell>
          <cell r="H121">
            <v>33.867442224999998</v>
          </cell>
          <cell r="J121">
            <v>39238</v>
          </cell>
          <cell r="K121">
            <v>1.9395</v>
          </cell>
          <cell r="L121">
            <v>17.461944947151327</v>
          </cell>
        </row>
        <row r="122">
          <cell r="B122">
            <v>39239</v>
          </cell>
          <cell r="C122">
            <v>58.002193677999998</v>
          </cell>
          <cell r="D122">
            <v>40.327307181000002</v>
          </cell>
          <cell r="E122">
            <v>55.864953426</v>
          </cell>
          <cell r="F122">
            <v>25.063372908000002</v>
          </cell>
          <cell r="G122" t="str">
            <v>-</v>
          </cell>
          <cell r="H122">
            <v>33.529496705</v>
          </cell>
          <cell r="J122">
            <v>39239</v>
          </cell>
          <cell r="K122">
            <v>1.9617</v>
          </cell>
          <cell r="L122">
            <v>17.092061326910333</v>
          </cell>
        </row>
        <row r="123">
          <cell r="B123">
            <v>39240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 t="str">
            <v>-</v>
          </cell>
          <cell r="H123" t="str">
            <v>-</v>
          </cell>
          <cell r="J123">
            <v>39240</v>
          </cell>
          <cell r="K123" t="str">
            <v>-</v>
          </cell>
          <cell r="L123">
            <v>17.092061326910333</v>
          </cell>
        </row>
        <row r="124">
          <cell r="B124">
            <v>39241</v>
          </cell>
          <cell r="C124">
            <v>57.455003171000001</v>
          </cell>
          <cell r="D124">
            <v>40.690616255000002</v>
          </cell>
          <cell r="E124">
            <v>56.696502123999998</v>
          </cell>
          <cell r="F124">
            <v>24.843891393</v>
          </cell>
          <cell r="G124">
            <v>83.354628864000006</v>
          </cell>
          <cell r="H124">
            <v>33.231309480999997</v>
          </cell>
          <cell r="J124">
            <v>39241</v>
          </cell>
          <cell r="K124">
            <v>1.9638</v>
          </cell>
          <cell r="L124">
            <v>16.9219418886852</v>
          </cell>
        </row>
        <row r="125">
          <cell r="B125">
            <v>39244</v>
          </cell>
          <cell r="C125">
            <v>58.366987348000002</v>
          </cell>
          <cell r="D125">
            <v>41.417234401999998</v>
          </cell>
          <cell r="E125">
            <v>56.900609531999997</v>
          </cell>
          <cell r="F125">
            <v>24.950092126000001</v>
          </cell>
          <cell r="G125">
            <v>85.249052246999995</v>
          </cell>
          <cell r="H125">
            <v>33.277694160000003</v>
          </cell>
          <cell r="J125">
            <v>39244</v>
          </cell>
          <cell r="K125">
            <v>1.9473</v>
          </cell>
          <cell r="L125">
            <v>17.089146079186566</v>
          </cell>
        </row>
        <row r="126">
          <cell r="B126">
            <v>39245</v>
          </cell>
          <cell r="C126">
            <v>58.002193677999998</v>
          </cell>
          <cell r="D126">
            <v>40.508961718000002</v>
          </cell>
          <cell r="E126">
            <v>55.184595401000003</v>
          </cell>
          <cell r="F126">
            <v>24.780170953999999</v>
          </cell>
          <cell r="G126">
            <v>85.627936923999997</v>
          </cell>
          <cell r="H126">
            <v>32.800594601999997</v>
          </cell>
          <cell r="J126">
            <v>39245</v>
          </cell>
          <cell r="K126">
            <v>1.9419999999999999</v>
          </cell>
          <cell r="L126">
            <v>16.890110505664264</v>
          </cell>
        </row>
        <row r="127">
          <cell r="B127">
            <v>39246</v>
          </cell>
          <cell r="C127">
            <v>57.0902095</v>
          </cell>
          <cell r="D127">
            <v>40.872270790999998</v>
          </cell>
          <cell r="E127">
            <v>56.658704456000002</v>
          </cell>
          <cell r="F127">
            <v>24.850971441999999</v>
          </cell>
          <cell r="G127">
            <v>86.757013259999994</v>
          </cell>
          <cell r="H127">
            <v>33.098781826</v>
          </cell>
          <cell r="J127">
            <v>39246</v>
          </cell>
          <cell r="K127">
            <v>1.9441999999999999</v>
          </cell>
          <cell r="L127">
            <v>17.024370859993827</v>
          </cell>
        </row>
        <row r="128">
          <cell r="B128">
            <v>39247</v>
          </cell>
          <cell r="C128">
            <v>58.366987348000002</v>
          </cell>
          <cell r="D128">
            <v>41.780543475999998</v>
          </cell>
          <cell r="E128">
            <v>56.998883468999999</v>
          </cell>
          <cell r="F128">
            <v>25.488175838</v>
          </cell>
          <cell r="G128" t="str">
            <v>-</v>
          </cell>
          <cell r="H128">
            <v>33.827683927999999</v>
          </cell>
          <cell r="J128">
            <v>39247</v>
          </cell>
          <cell r="K128">
            <v>1.9302999999999999</v>
          </cell>
          <cell r="L128">
            <v>17.524573345075897</v>
          </cell>
        </row>
        <row r="129">
          <cell r="B129">
            <v>39248</v>
          </cell>
          <cell r="C129">
            <v>58.731781019000003</v>
          </cell>
          <cell r="D129">
            <v>41.780543475999998</v>
          </cell>
          <cell r="E129">
            <v>56.688942590000003</v>
          </cell>
          <cell r="F129">
            <v>25.842178279999999</v>
          </cell>
          <cell r="G129">
            <v>87.893667289999996</v>
          </cell>
          <cell r="H129">
            <v>35.119828564000002</v>
          </cell>
          <cell r="J129">
            <v>39248</v>
          </cell>
          <cell r="K129">
            <v>1.9097</v>
          </cell>
          <cell r="L129">
            <v>18.390233316227683</v>
          </cell>
        </row>
        <row r="130">
          <cell r="B130">
            <v>39251</v>
          </cell>
          <cell r="C130">
            <v>58.549384183999997</v>
          </cell>
          <cell r="D130">
            <v>40.872270790999998</v>
          </cell>
          <cell r="E130">
            <v>56.688942590000003</v>
          </cell>
          <cell r="F130">
            <v>25.41737535</v>
          </cell>
          <cell r="G130" t="str">
            <v>-</v>
          </cell>
          <cell r="H130">
            <v>34.921037081999998</v>
          </cell>
          <cell r="J130">
            <v>39251</v>
          </cell>
          <cell r="K130">
            <v>1.9047000000000001</v>
          </cell>
          <cell r="L130">
            <v>18.334140327610644</v>
          </cell>
        </row>
        <row r="131">
          <cell r="B131">
            <v>39252</v>
          </cell>
          <cell r="C131">
            <v>58.002193677999998</v>
          </cell>
          <cell r="D131">
            <v>41.598888938999998</v>
          </cell>
          <cell r="E131">
            <v>56.772097459999998</v>
          </cell>
          <cell r="F131">
            <v>25.813858085</v>
          </cell>
          <cell r="G131">
            <v>87.901244984000002</v>
          </cell>
          <cell r="H131">
            <v>34.854773254000001</v>
          </cell>
          <cell r="J131">
            <v>39252</v>
          </cell>
          <cell r="K131">
            <v>1.9057999999999999</v>
          </cell>
          <cell r="L131">
            <v>18.288788568580124</v>
          </cell>
        </row>
        <row r="132">
          <cell r="B132">
            <v>39253</v>
          </cell>
          <cell r="C132">
            <v>58.366987348000002</v>
          </cell>
          <cell r="D132">
            <v>41.780543475999998</v>
          </cell>
          <cell r="E132">
            <v>55.864953426</v>
          </cell>
          <cell r="F132">
            <v>25.629776815</v>
          </cell>
          <cell r="G132">
            <v>87.893667289999996</v>
          </cell>
          <cell r="H132">
            <v>34.788509427000001</v>
          </cell>
          <cell r="J132">
            <v>39253</v>
          </cell>
          <cell r="K132">
            <v>1.9198</v>
          </cell>
          <cell r="L132">
            <v>18.120902920616732</v>
          </cell>
        </row>
        <row r="133">
          <cell r="B133">
            <v>39254</v>
          </cell>
          <cell r="C133">
            <v>58.914177854999998</v>
          </cell>
          <cell r="D133">
            <v>42.143852549000002</v>
          </cell>
          <cell r="E133">
            <v>57.633884293000001</v>
          </cell>
          <cell r="F133">
            <v>26.054579746000002</v>
          </cell>
          <cell r="G133" t="str">
            <v>-</v>
          </cell>
          <cell r="H133">
            <v>35.186092391999999</v>
          </cell>
          <cell r="J133">
            <v>39254</v>
          </cell>
          <cell r="K133">
            <v>1.9197</v>
          </cell>
          <cell r="L133">
            <v>18.328953686513518</v>
          </cell>
        </row>
        <row r="134">
          <cell r="B134">
            <v>39255</v>
          </cell>
          <cell r="C134">
            <v>58.731781019000003</v>
          </cell>
          <cell r="D134">
            <v>41.598888938999998</v>
          </cell>
          <cell r="E134">
            <v>55.940548761999999</v>
          </cell>
          <cell r="F134">
            <v>25.912978768999999</v>
          </cell>
          <cell r="G134">
            <v>87.901244984000002</v>
          </cell>
          <cell r="H134">
            <v>35.318620047000003</v>
          </cell>
          <cell r="J134">
            <v>39255</v>
          </cell>
          <cell r="K134">
            <v>1.9334</v>
          </cell>
          <cell r="L134">
            <v>18.267621830454125</v>
          </cell>
        </row>
        <row r="135">
          <cell r="B135">
            <v>39258</v>
          </cell>
          <cell r="C135">
            <v>58.002193677999998</v>
          </cell>
          <cell r="D135">
            <v>41.235579864999998</v>
          </cell>
          <cell r="E135">
            <v>55.184595401000003</v>
          </cell>
          <cell r="F135">
            <v>26.012099453000001</v>
          </cell>
          <cell r="G135">
            <v>87.749691112999997</v>
          </cell>
          <cell r="H135">
            <v>35.086696650999997</v>
          </cell>
          <cell r="J135">
            <v>39258</v>
          </cell>
          <cell r="K135">
            <v>1.9379</v>
          </cell>
          <cell r="L135">
            <v>18.105524872800451</v>
          </cell>
        </row>
        <row r="136">
          <cell r="B136">
            <v>39259</v>
          </cell>
          <cell r="C136">
            <v>58.184590513000003</v>
          </cell>
          <cell r="D136">
            <v>41.780543475999998</v>
          </cell>
          <cell r="E136">
            <v>56.772097459999998</v>
          </cell>
          <cell r="F136">
            <v>26.479382676</v>
          </cell>
          <cell r="G136">
            <v>87.749691112999997</v>
          </cell>
          <cell r="H136">
            <v>35.384883874000003</v>
          </cell>
          <cell r="J136">
            <v>39259</v>
          </cell>
          <cell r="K136">
            <v>1.9488000000000001</v>
          </cell>
          <cell r="L136">
            <v>18.157267997742203</v>
          </cell>
        </row>
        <row r="137">
          <cell r="B137">
            <v>39260</v>
          </cell>
          <cell r="C137">
            <v>58.002193677999998</v>
          </cell>
          <cell r="D137">
            <v>42.688816160000002</v>
          </cell>
          <cell r="E137">
            <v>58.208408847000001</v>
          </cell>
          <cell r="F137">
            <v>26.302381454999999</v>
          </cell>
          <cell r="G137">
            <v>87.742113419000006</v>
          </cell>
          <cell r="H137">
            <v>35.583675356999997</v>
          </cell>
          <cell r="J137">
            <v>39260</v>
          </cell>
          <cell r="K137">
            <v>1.9499</v>
          </cell>
          <cell r="L137">
            <v>18.248974489460998</v>
          </cell>
        </row>
        <row r="138">
          <cell r="B138">
            <v>39261</v>
          </cell>
          <cell r="C138">
            <v>58.184590513000003</v>
          </cell>
          <cell r="D138">
            <v>43.052125234000002</v>
          </cell>
          <cell r="E138">
            <v>58.359599520000003</v>
          </cell>
          <cell r="F138">
            <v>26.118300184999999</v>
          </cell>
          <cell r="G138" t="str">
            <v>-</v>
          </cell>
          <cell r="H138">
            <v>35.444521319000003</v>
          </cell>
          <cell r="J138">
            <v>39261</v>
          </cell>
          <cell r="K138">
            <v>1.9256</v>
          </cell>
          <cell r="L138">
            <v>18.407001100436229</v>
          </cell>
        </row>
        <row r="139">
          <cell r="B139">
            <v>39262</v>
          </cell>
          <cell r="C139">
            <v>58.002193677999998</v>
          </cell>
          <cell r="D139">
            <v>43.415434306999998</v>
          </cell>
          <cell r="E139">
            <v>58.057218175000003</v>
          </cell>
          <cell r="F139">
            <v>26.160780478</v>
          </cell>
          <cell r="G139">
            <v>87.901244984000002</v>
          </cell>
          <cell r="H139">
            <v>35.683071097999999</v>
          </cell>
          <cell r="J139">
            <v>39262</v>
          </cell>
          <cell r="K139">
            <v>1.9261999999999999</v>
          </cell>
          <cell r="L139">
            <v>18.525112188765444</v>
          </cell>
        </row>
        <row r="140">
          <cell r="B140">
            <v>39265</v>
          </cell>
          <cell r="C140">
            <v>59.278971525999999</v>
          </cell>
          <cell r="D140">
            <v>44.323706991000002</v>
          </cell>
          <cell r="E140">
            <v>57.444895952000003</v>
          </cell>
          <cell r="F140">
            <v>26.266981211000001</v>
          </cell>
          <cell r="G140">
            <v>87.901244984000002</v>
          </cell>
          <cell r="H140">
            <v>35.716203012000001</v>
          </cell>
          <cell r="J140">
            <v>39265</v>
          </cell>
          <cell r="K140">
            <v>1.9176</v>
          </cell>
          <cell r="L140">
            <v>18.62547090738423</v>
          </cell>
        </row>
        <row r="141">
          <cell r="B141">
            <v>39266</v>
          </cell>
          <cell r="C141">
            <v>60.008558868000001</v>
          </cell>
          <cell r="D141">
            <v>45.231979676000002</v>
          </cell>
          <cell r="E141">
            <v>56.431918447999998</v>
          </cell>
          <cell r="F141">
            <v>27.045786583999998</v>
          </cell>
          <cell r="G141">
            <v>88.659014337000002</v>
          </cell>
          <cell r="H141">
            <v>36.643896595999998</v>
          </cell>
          <cell r="J141">
            <v>39266</v>
          </cell>
          <cell r="K141">
            <v>1.9121999999999999</v>
          </cell>
          <cell r="L141">
            <v>19.163213364710803</v>
          </cell>
        </row>
        <row r="142">
          <cell r="B142">
            <v>39267</v>
          </cell>
          <cell r="C142">
            <v>63.656495577000001</v>
          </cell>
          <cell r="D142">
            <v>46.321906896999998</v>
          </cell>
          <cell r="E142">
            <v>55.932989229</v>
          </cell>
          <cell r="F142">
            <v>27.718391224000001</v>
          </cell>
          <cell r="G142">
            <v>89.424361383999994</v>
          </cell>
          <cell r="H142">
            <v>37.604722095</v>
          </cell>
          <cell r="J142">
            <v>39267</v>
          </cell>
          <cell r="K142">
            <v>1.9098999999999999</v>
          </cell>
          <cell r="L142">
            <v>19.689367032305356</v>
          </cell>
        </row>
        <row r="143">
          <cell r="B143">
            <v>39268</v>
          </cell>
          <cell r="C143">
            <v>65.480463932000006</v>
          </cell>
          <cell r="D143">
            <v>47.593488655000002</v>
          </cell>
          <cell r="E143">
            <v>56.696502123999998</v>
          </cell>
          <cell r="F143">
            <v>28.320195376000001</v>
          </cell>
          <cell r="G143">
            <v>88.659014337000002</v>
          </cell>
          <cell r="H143">
            <v>38.366756111000001</v>
          </cell>
          <cell r="J143">
            <v>39268</v>
          </cell>
          <cell r="K143">
            <v>1.9157</v>
          </cell>
          <cell r="L143">
            <v>20.027538816620556</v>
          </cell>
        </row>
        <row r="144">
          <cell r="B144">
            <v>39269</v>
          </cell>
          <cell r="C144">
            <v>65.298067095999997</v>
          </cell>
          <cell r="D144">
            <v>47.956797727999998</v>
          </cell>
          <cell r="E144">
            <v>57.671681960999997</v>
          </cell>
          <cell r="F144">
            <v>28.886599282999999</v>
          </cell>
          <cell r="G144">
            <v>90.932322396999993</v>
          </cell>
          <cell r="H144">
            <v>39.360713523000001</v>
          </cell>
          <cell r="J144">
            <v>39269</v>
          </cell>
          <cell r="K144">
            <v>1.9033</v>
          </cell>
          <cell r="L144">
            <v>20.680246688908738</v>
          </cell>
        </row>
        <row r="145">
          <cell r="B145">
            <v>39272</v>
          </cell>
          <cell r="C145" t="str">
            <v>-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J145">
            <v>39272</v>
          </cell>
          <cell r="K145">
            <v>1.8992</v>
          </cell>
          <cell r="L145">
            <v>20.680246688908738</v>
          </cell>
        </row>
        <row r="146">
          <cell r="B146">
            <v>39273</v>
          </cell>
          <cell r="C146">
            <v>65.298067095999997</v>
          </cell>
          <cell r="D146">
            <v>47.411834118000002</v>
          </cell>
          <cell r="E146">
            <v>58.586385528000001</v>
          </cell>
          <cell r="F146">
            <v>28.957399771999999</v>
          </cell>
          <cell r="G146">
            <v>93.205630456999998</v>
          </cell>
          <cell r="H146">
            <v>38.565547592999998</v>
          </cell>
          <cell r="J146">
            <v>39273</v>
          </cell>
          <cell r="K146">
            <v>1.8947000000000001</v>
          </cell>
          <cell r="L146">
            <v>20.354434788093101</v>
          </cell>
        </row>
        <row r="147">
          <cell r="B147">
            <v>39274</v>
          </cell>
          <cell r="C147">
            <v>65.298067095999997</v>
          </cell>
          <cell r="D147">
            <v>47.411834118000002</v>
          </cell>
          <cell r="E147">
            <v>57.822872633000003</v>
          </cell>
          <cell r="F147">
            <v>29.056520455000001</v>
          </cell>
          <cell r="G147">
            <v>93.205630456999998</v>
          </cell>
          <cell r="H147">
            <v>38.433019938000001</v>
          </cell>
          <cell r="J147">
            <v>39274</v>
          </cell>
          <cell r="K147">
            <v>1.89</v>
          </cell>
          <cell r="L147">
            <v>20.334931184126987</v>
          </cell>
        </row>
        <row r="148">
          <cell r="B148">
            <v>39275</v>
          </cell>
          <cell r="C148">
            <v>66.027654437999999</v>
          </cell>
          <cell r="D148">
            <v>48.138452264999998</v>
          </cell>
          <cell r="E148">
            <v>58.964362209000001</v>
          </cell>
          <cell r="F148">
            <v>28.886599282999999</v>
          </cell>
          <cell r="G148">
            <v>93.205630456999998</v>
          </cell>
          <cell r="H148">
            <v>38.433019938000001</v>
          </cell>
          <cell r="J148">
            <v>39275</v>
          </cell>
          <cell r="K148">
            <v>1.8767</v>
          </cell>
          <cell r="L148">
            <v>20.479042967975701</v>
          </cell>
        </row>
        <row r="149">
          <cell r="B149">
            <v>39276</v>
          </cell>
          <cell r="C149">
            <v>67.486829122000003</v>
          </cell>
          <cell r="D149">
            <v>48.320106801999998</v>
          </cell>
          <cell r="E149">
            <v>58.208408847000001</v>
          </cell>
          <cell r="F149">
            <v>28.886599282999999</v>
          </cell>
          <cell r="G149" t="str">
            <v>-</v>
          </cell>
          <cell r="H149">
            <v>38.433019938000001</v>
          </cell>
          <cell r="J149">
            <v>39276</v>
          </cell>
          <cell r="K149">
            <v>1.8684000000000001</v>
          </cell>
          <cell r="L149">
            <v>20.570017093770069</v>
          </cell>
        </row>
        <row r="150">
          <cell r="B150">
            <v>39279</v>
          </cell>
          <cell r="C150">
            <v>66.939638615000007</v>
          </cell>
          <cell r="D150">
            <v>48.501761338999998</v>
          </cell>
          <cell r="E150">
            <v>56.091739435000001</v>
          </cell>
          <cell r="F150">
            <v>28.313115326999998</v>
          </cell>
          <cell r="G150">
            <v>93.955822115999993</v>
          </cell>
          <cell r="H150">
            <v>38.433019938000001</v>
          </cell>
          <cell r="J150">
            <v>39279</v>
          </cell>
          <cell r="K150">
            <v>1.8647</v>
          </cell>
          <cell r="L150">
            <v>20.610832808494663</v>
          </cell>
        </row>
        <row r="151">
          <cell r="B151">
            <v>39280</v>
          </cell>
          <cell r="C151">
            <v>67.122035451000002</v>
          </cell>
          <cell r="D151">
            <v>47.956797727999998</v>
          </cell>
          <cell r="E151">
            <v>56.696502123999998</v>
          </cell>
          <cell r="F151">
            <v>27.966192933999999</v>
          </cell>
          <cell r="G151">
            <v>93.205630456999998</v>
          </cell>
          <cell r="H151">
            <v>38.101700801</v>
          </cell>
          <cell r="J151">
            <v>39280</v>
          </cell>
          <cell r="K151">
            <v>1.8621000000000001</v>
          </cell>
          <cell r="L151">
            <v>20.461683476182802</v>
          </cell>
        </row>
        <row r="152">
          <cell r="B152">
            <v>39281</v>
          </cell>
          <cell r="C152">
            <v>66.210051273000005</v>
          </cell>
          <cell r="D152">
            <v>47.775143192000002</v>
          </cell>
          <cell r="E152">
            <v>56.696502123999998</v>
          </cell>
          <cell r="F152">
            <v>27.612190491</v>
          </cell>
          <cell r="G152" t="str">
            <v>-</v>
          </cell>
          <cell r="H152">
            <v>38.101700801</v>
          </cell>
          <cell r="J152">
            <v>39281</v>
          </cell>
          <cell r="K152">
            <v>1.8609</v>
          </cell>
          <cell r="L152">
            <v>20.474878177763447</v>
          </cell>
        </row>
        <row r="153">
          <cell r="B153">
            <v>39282</v>
          </cell>
          <cell r="C153">
            <v>66.210051273000005</v>
          </cell>
          <cell r="D153">
            <v>47.775143192000002</v>
          </cell>
          <cell r="E153">
            <v>57.263467145</v>
          </cell>
          <cell r="F153">
            <v>28.164434301</v>
          </cell>
          <cell r="G153" t="str">
            <v>-</v>
          </cell>
          <cell r="H153">
            <v>38.777591841000003</v>
          </cell>
          <cell r="J153">
            <v>39282</v>
          </cell>
          <cell r="K153">
            <v>1.8535999999999999</v>
          </cell>
          <cell r="L153">
            <v>20.920150971622792</v>
          </cell>
        </row>
        <row r="154">
          <cell r="B154">
            <v>39283</v>
          </cell>
          <cell r="C154">
            <v>66.210051273000005</v>
          </cell>
          <cell r="D154">
            <v>46.685215970999998</v>
          </cell>
          <cell r="E154">
            <v>55.192154934000001</v>
          </cell>
          <cell r="F154">
            <v>27.619270539999999</v>
          </cell>
          <cell r="G154" t="str">
            <v>-</v>
          </cell>
          <cell r="H154">
            <v>38.698075248000002</v>
          </cell>
          <cell r="J154">
            <v>39283</v>
          </cell>
          <cell r="K154">
            <v>1.8606</v>
          </cell>
          <cell r="L154">
            <v>20.798707539503386</v>
          </cell>
        </row>
        <row r="155">
          <cell r="B155">
            <v>39286</v>
          </cell>
          <cell r="C155">
            <v>66.027654437999999</v>
          </cell>
          <cell r="D155">
            <v>47.048525044000002</v>
          </cell>
          <cell r="E155">
            <v>54.995607059999998</v>
          </cell>
          <cell r="F155">
            <v>28.320195376000001</v>
          </cell>
          <cell r="G155" t="str">
            <v>-</v>
          </cell>
          <cell r="H155">
            <v>39.327581608999999</v>
          </cell>
          <cell r="J155">
            <v>39286</v>
          </cell>
          <cell r="K155">
            <v>1.8448</v>
          </cell>
          <cell r="L155">
            <v>21.318073291955766</v>
          </cell>
        </row>
        <row r="156">
          <cell r="B156">
            <v>39287</v>
          </cell>
          <cell r="C156">
            <v>65.480463932000006</v>
          </cell>
          <cell r="D156">
            <v>46.140252359999998</v>
          </cell>
          <cell r="E156">
            <v>51.858400609999997</v>
          </cell>
          <cell r="F156">
            <v>29.205201481</v>
          </cell>
          <cell r="G156">
            <v>92.978299651</v>
          </cell>
          <cell r="H156">
            <v>40.752253899999999</v>
          </cell>
          <cell r="J156">
            <v>39287</v>
          </cell>
          <cell r="K156">
            <v>1.8525</v>
          </cell>
          <cell r="L156">
            <v>21.998517624831308</v>
          </cell>
        </row>
        <row r="157">
          <cell r="B157">
            <v>39288</v>
          </cell>
          <cell r="C157">
            <v>66.210051273000005</v>
          </cell>
          <cell r="D157">
            <v>46.866870507000002</v>
          </cell>
          <cell r="E157">
            <v>53.294711997</v>
          </cell>
          <cell r="F157">
            <v>28.921999527000001</v>
          </cell>
          <cell r="G157">
            <v>92.978299651</v>
          </cell>
          <cell r="H157">
            <v>42.077530449999998</v>
          </cell>
          <cell r="J157">
            <v>39288</v>
          </cell>
          <cell r="K157">
            <v>1.8643000000000001</v>
          </cell>
          <cell r="L157">
            <v>22.570149895403098</v>
          </cell>
        </row>
        <row r="158">
          <cell r="B158">
            <v>39289</v>
          </cell>
          <cell r="C158">
            <v>65.115670261000005</v>
          </cell>
          <cell r="D158">
            <v>46.321906896999998</v>
          </cell>
          <cell r="E158">
            <v>50.648875230999998</v>
          </cell>
          <cell r="F158">
            <v>28.313115326999998</v>
          </cell>
          <cell r="G158">
            <v>92.068976426999996</v>
          </cell>
          <cell r="H158">
            <v>41.083573037000001</v>
          </cell>
          <cell r="J158">
            <v>39289</v>
          </cell>
          <cell r="K158">
            <v>1.9054</v>
          </cell>
          <cell r="L158">
            <v>21.561652690773592</v>
          </cell>
        </row>
        <row r="159">
          <cell r="B159">
            <v>39290</v>
          </cell>
          <cell r="C159">
            <v>66.392448109</v>
          </cell>
          <cell r="D159">
            <v>46.140252359999998</v>
          </cell>
          <cell r="E159">
            <v>48.721194159</v>
          </cell>
          <cell r="F159">
            <v>27.598030393999998</v>
          </cell>
          <cell r="G159">
            <v>90.932322396999993</v>
          </cell>
          <cell r="H159">
            <v>39.976967119000001</v>
          </cell>
          <cell r="J159">
            <v>39290</v>
          </cell>
          <cell r="K159">
            <v>1.9069</v>
          </cell>
          <cell r="L159">
            <v>20.964375226283497</v>
          </cell>
        </row>
        <row r="160">
          <cell r="B160">
            <v>39293</v>
          </cell>
          <cell r="C160">
            <v>65.115670261000005</v>
          </cell>
          <cell r="D160">
            <v>46.866870507000002</v>
          </cell>
          <cell r="E160">
            <v>50.633756163999998</v>
          </cell>
          <cell r="F160">
            <v>28.398075913</v>
          </cell>
          <cell r="G160" t="str">
            <v>-</v>
          </cell>
          <cell r="H160">
            <v>41.673321102000003</v>
          </cell>
          <cell r="J160">
            <v>39293</v>
          </cell>
          <cell r="K160">
            <v>1.8809</v>
          </cell>
          <cell r="L160">
            <v>22.156053539263119</v>
          </cell>
        </row>
        <row r="161">
          <cell r="B161">
            <v>39294</v>
          </cell>
          <cell r="C161">
            <v>65.115670261000005</v>
          </cell>
          <cell r="D161">
            <v>47.593488655000002</v>
          </cell>
          <cell r="E161">
            <v>48.078633801000002</v>
          </cell>
          <cell r="F161">
            <v>28.390995864000001</v>
          </cell>
          <cell r="G161">
            <v>90.924744703000002</v>
          </cell>
          <cell r="H161">
            <v>42.541377242000003</v>
          </cell>
          <cell r="J161">
            <v>39294</v>
          </cell>
          <cell r="K161">
            <v>1.8775999999999999</v>
          </cell>
          <cell r="L161">
            <v>22.657316383681298</v>
          </cell>
        </row>
        <row r="162">
          <cell r="B162">
            <v>39295</v>
          </cell>
          <cell r="C162">
            <v>66.027654437999999</v>
          </cell>
          <cell r="D162">
            <v>47.411834118000002</v>
          </cell>
          <cell r="E162">
            <v>49.136968508000002</v>
          </cell>
          <cell r="F162">
            <v>29.212281529999998</v>
          </cell>
          <cell r="G162">
            <v>89.409205997000001</v>
          </cell>
          <cell r="H162">
            <v>42.190178955999997</v>
          </cell>
          <cell r="J162">
            <v>39295</v>
          </cell>
          <cell r="K162">
            <v>1.8855999999999999</v>
          </cell>
          <cell r="L162">
            <v>22.374935806109459</v>
          </cell>
        </row>
        <row r="163">
          <cell r="B163">
            <v>39296</v>
          </cell>
          <cell r="C163">
            <v>66.210051273000005</v>
          </cell>
          <cell r="D163">
            <v>48.138452264999998</v>
          </cell>
          <cell r="E163">
            <v>50.270898549999998</v>
          </cell>
          <cell r="F163">
            <v>29.807005632999999</v>
          </cell>
          <cell r="G163">
            <v>90.022999173000002</v>
          </cell>
          <cell r="H163">
            <v>43.475697209000003</v>
          </cell>
          <cell r="J163">
            <v>39296</v>
          </cell>
          <cell r="K163">
            <v>1.8729</v>
          </cell>
          <cell r="L163">
            <v>23.213037113033266</v>
          </cell>
        </row>
        <row r="164">
          <cell r="B164">
            <v>39297</v>
          </cell>
          <cell r="C164">
            <v>66.210051273000005</v>
          </cell>
          <cell r="D164">
            <v>48.320106801999998</v>
          </cell>
          <cell r="E164">
            <v>47.209287435</v>
          </cell>
          <cell r="F164">
            <v>28.780398551000001</v>
          </cell>
          <cell r="G164" t="str">
            <v>-</v>
          </cell>
          <cell r="H164">
            <v>40.752253899999999</v>
          </cell>
          <cell r="J164">
            <v>39297</v>
          </cell>
          <cell r="K164">
            <v>1.8814</v>
          </cell>
          <cell r="L164">
            <v>21.660600563410227</v>
          </cell>
        </row>
        <row r="165">
          <cell r="B165">
            <v>39300</v>
          </cell>
          <cell r="C165">
            <v>66.392448109</v>
          </cell>
          <cell r="D165">
            <v>48.138452264999998</v>
          </cell>
          <cell r="E165">
            <v>50.044112542000001</v>
          </cell>
          <cell r="F165">
            <v>29.346802457999999</v>
          </cell>
          <cell r="G165" t="str">
            <v>-</v>
          </cell>
          <cell r="H165">
            <v>42.335959377000002</v>
          </cell>
          <cell r="J165">
            <v>39300</v>
          </cell>
          <cell r="K165">
            <v>1.9106000000000001</v>
          </cell>
          <cell r="L165">
            <v>22.15846298387941</v>
          </cell>
        </row>
        <row r="166">
          <cell r="B166">
            <v>39301</v>
          </cell>
          <cell r="C166">
            <v>66.574844944000006</v>
          </cell>
          <cell r="D166">
            <v>49.228379486000001</v>
          </cell>
          <cell r="E166">
            <v>48.381015146000003</v>
          </cell>
          <cell r="F166">
            <v>29.205201481</v>
          </cell>
          <cell r="G166" t="str">
            <v>-</v>
          </cell>
          <cell r="H166">
            <v>42.276321932000002</v>
          </cell>
          <cell r="J166">
            <v>39301</v>
          </cell>
          <cell r="K166">
            <v>1.9077</v>
          </cell>
          <cell r="L166">
            <v>22.160885847879648</v>
          </cell>
        </row>
        <row r="167">
          <cell r="B167">
            <v>39302</v>
          </cell>
          <cell r="C167">
            <v>67.304432285999994</v>
          </cell>
          <cell r="D167">
            <v>50.499961243999998</v>
          </cell>
          <cell r="E167">
            <v>49.892921868999998</v>
          </cell>
          <cell r="F167">
            <v>29.630004412000002</v>
          </cell>
          <cell r="G167">
            <v>89.409205997000001</v>
          </cell>
          <cell r="H167">
            <v>43.204015517000002</v>
          </cell>
          <cell r="J167">
            <v>39302</v>
          </cell>
          <cell r="K167">
            <v>1.8866000000000001</v>
          </cell>
          <cell r="L167">
            <v>22.900464071345276</v>
          </cell>
        </row>
        <row r="168">
          <cell r="B168">
            <v>39303</v>
          </cell>
          <cell r="C168">
            <v>66.392448109</v>
          </cell>
          <cell r="D168">
            <v>49.954997634000001</v>
          </cell>
          <cell r="E168">
            <v>46.785953552999999</v>
          </cell>
          <cell r="F168">
            <v>29.736205145</v>
          </cell>
          <cell r="G168" t="str">
            <v>-</v>
          </cell>
          <cell r="H168">
            <v>41.746211312</v>
          </cell>
          <cell r="J168">
            <v>39303</v>
          </cell>
          <cell r="K168">
            <v>1.9191</v>
          </cell>
          <cell r="L168">
            <v>21.753015117502997</v>
          </cell>
        </row>
        <row r="169">
          <cell r="B169">
            <v>39304</v>
          </cell>
          <cell r="C169">
            <v>66.210051273000005</v>
          </cell>
          <cell r="D169">
            <v>49.954997634000001</v>
          </cell>
          <cell r="E169">
            <v>46.460893607000003</v>
          </cell>
          <cell r="F169">
            <v>29.736205145</v>
          </cell>
          <cell r="G169" t="str">
            <v>-</v>
          </cell>
          <cell r="H169">
            <v>40.281780724999997</v>
          </cell>
          <cell r="J169">
            <v>39304</v>
          </cell>
          <cell r="K169">
            <v>1.9550000000000001</v>
          </cell>
          <cell r="L169">
            <v>20.604491419437338</v>
          </cell>
        </row>
        <row r="170">
          <cell r="B170">
            <v>39307</v>
          </cell>
          <cell r="C170">
            <v>66.392448109</v>
          </cell>
          <cell r="D170">
            <v>49.954997634000001</v>
          </cell>
          <cell r="E170">
            <v>46.491131742</v>
          </cell>
          <cell r="F170">
            <v>29.807005632999999</v>
          </cell>
          <cell r="G170" t="str">
            <v>-</v>
          </cell>
          <cell r="H170">
            <v>40.420934762999998</v>
          </cell>
          <cell r="J170">
            <v>39307</v>
          </cell>
          <cell r="K170">
            <v>1.9411</v>
          </cell>
          <cell r="L170">
            <v>20.823726115604554</v>
          </cell>
        </row>
        <row r="171">
          <cell r="B171">
            <v>39308</v>
          </cell>
          <cell r="C171">
            <v>66.210051273000005</v>
          </cell>
          <cell r="D171">
            <v>49.410034023000001</v>
          </cell>
          <cell r="E171">
            <v>44.601248337999998</v>
          </cell>
          <cell r="F171">
            <v>28.957399771999999</v>
          </cell>
          <cell r="G171" t="str">
            <v>-</v>
          </cell>
          <cell r="H171">
            <v>40.096242007999997</v>
          </cell>
          <cell r="J171">
            <v>39308</v>
          </cell>
          <cell r="K171">
            <v>1.9809000000000001</v>
          </cell>
          <cell r="L171">
            <v>20.241426628300264</v>
          </cell>
        </row>
        <row r="172">
          <cell r="B172">
            <v>39309</v>
          </cell>
          <cell r="C172">
            <v>65.662860766999998</v>
          </cell>
          <cell r="D172">
            <v>47.593488655000002</v>
          </cell>
          <cell r="E172">
            <v>43.467318294999998</v>
          </cell>
          <cell r="F172">
            <v>29.028200259999998</v>
          </cell>
          <cell r="G172" t="str">
            <v>-</v>
          </cell>
          <cell r="H172">
            <v>40.023351798</v>
          </cell>
          <cell r="J172">
            <v>39309</v>
          </cell>
          <cell r="K172">
            <v>2.0043000000000002</v>
          </cell>
          <cell r="L172">
            <v>19.968743101332134</v>
          </cell>
        </row>
        <row r="173">
          <cell r="B173">
            <v>39310</v>
          </cell>
          <cell r="C173">
            <v>64.568479753999995</v>
          </cell>
          <cell r="D173">
            <v>45.595288748999998</v>
          </cell>
          <cell r="E173">
            <v>42.930591407999998</v>
          </cell>
          <cell r="F173">
            <v>27.619270539999999</v>
          </cell>
          <cell r="G173" t="str">
            <v>-</v>
          </cell>
          <cell r="H173">
            <v>39.426977350000001</v>
          </cell>
          <cell r="J173">
            <v>39310</v>
          </cell>
          <cell r="K173">
            <v>2.1124000000000001</v>
          </cell>
          <cell r="L173">
            <v>18.66454144574891</v>
          </cell>
        </row>
        <row r="174">
          <cell r="B174">
            <v>39311</v>
          </cell>
          <cell r="C174">
            <v>65.480463932000006</v>
          </cell>
          <cell r="D174">
            <v>45.595288748999998</v>
          </cell>
          <cell r="E174">
            <v>41.728625563000001</v>
          </cell>
          <cell r="F174">
            <v>28.383915815000002</v>
          </cell>
          <cell r="G174">
            <v>89.333429061000004</v>
          </cell>
          <cell r="H174">
            <v>39.758296487999999</v>
          </cell>
          <cell r="J174">
            <v>39311</v>
          </cell>
          <cell r="K174">
            <v>2.0375999999999999</v>
          </cell>
          <cell r="L174">
            <v>19.512316690223795</v>
          </cell>
        </row>
        <row r="175">
          <cell r="B175">
            <v>39314</v>
          </cell>
          <cell r="C175">
            <v>65.845257602999993</v>
          </cell>
          <cell r="D175">
            <v>45.776943285999998</v>
          </cell>
          <cell r="E175">
            <v>41.577434891000003</v>
          </cell>
          <cell r="F175">
            <v>27.86707225</v>
          </cell>
          <cell r="G175">
            <v>87.143475629999998</v>
          </cell>
          <cell r="H175">
            <v>38.770965457999999</v>
          </cell>
          <cell r="J175">
            <v>39314</v>
          </cell>
          <cell r="K175">
            <v>2.028</v>
          </cell>
          <cell r="L175">
            <v>19.117833066074951</v>
          </cell>
        </row>
        <row r="176">
          <cell r="B176">
            <v>39315</v>
          </cell>
          <cell r="C176">
            <v>65.662860766999998</v>
          </cell>
          <cell r="D176">
            <v>46.321906896999998</v>
          </cell>
          <cell r="E176">
            <v>42.938150942</v>
          </cell>
          <cell r="F176">
            <v>28.447636254999999</v>
          </cell>
          <cell r="G176" t="str">
            <v>-</v>
          </cell>
          <cell r="H176">
            <v>39.095658213</v>
          </cell>
          <cell r="J176">
            <v>39315</v>
          </cell>
          <cell r="K176">
            <v>2.0385</v>
          </cell>
          <cell r="L176">
            <v>19.178640281089038</v>
          </cell>
        </row>
        <row r="177">
          <cell r="B177">
            <v>39316</v>
          </cell>
          <cell r="C177">
            <v>66.574844944000006</v>
          </cell>
          <cell r="D177">
            <v>47.230179581000002</v>
          </cell>
          <cell r="E177">
            <v>43.316127623</v>
          </cell>
          <cell r="F177">
            <v>29.028200259999998</v>
          </cell>
          <cell r="G177">
            <v>88.196775031000001</v>
          </cell>
          <cell r="H177">
            <v>40.420934762999998</v>
          </cell>
          <cell r="J177">
            <v>39316</v>
          </cell>
          <cell r="K177">
            <v>2.0173000000000001</v>
          </cell>
          <cell r="L177">
            <v>20.037146068011698</v>
          </cell>
        </row>
        <row r="178">
          <cell r="B178">
            <v>39317</v>
          </cell>
          <cell r="C178">
            <v>66.392448109</v>
          </cell>
          <cell r="D178">
            <v>46.866870507000002</v>
          </cell>
          <cell r="E178">
            <v>44.223271656999998</v>
          </cell>
          <cell r="F178">
            <v>29.169801237000001</v>
          </cell>
          <cell r="G178" t="str">
            <v>-</v>
          </cell>
          <cell r="H178">
            <v>39.824560314999999</v>
          </cell>
          <cell r="J178">
            <v>39317</v>
          </cell>
          <cell r="K178">
            <v>1.9939</v>
          </cell>
          <cell r="L178">
            <v>19.973198412658608</v>
          </cell>
        </row>
        <row r="179">
          <cell r="B179">
            <v>39318</v>
          </cell>
          <cell r="C179">
            <v>66.027654437999999</v>
          </cell>
          <cell r="D179">
            <v>47.411834118000002</v>
          </cell>
          <cell r="E179">
            <v>46.831310754999997</v>
          </cell>
          <cell r="F179">
            <v>29.311402214000001</v>
          </cell>
          <cell r="G179" t="str">
            <v>-</v>
          </cell>
          <cell r="H179">
            <v>41.083573037000001</v>
          </cell>
          <cell r="J179">
            <v>39318</v>
          </cell>
          <cell r="K179">
            <v>1.9855</v>
          </cell>
          <cell r="L179">
            <v>20.691802083606145</v>
          </cell>
        </row>
        <row r="180">
          <cell r="B180">
            <v>39321</v>
          </cell>
          <cell r="C180">
            <v>66.392448109</v>
          </cell>
          <cell r="D180">
            <v>46.866870507000002</v>
          </cell>
          <cell r="E180">
            <v>48.985777835</v>
          </cell>
          <cell r="F180">
            <v>29.382202702000001</v>
          </cell>
          <cell r="G180" t="str">
            <v>-</v>
          </cell>
          <cell r="H180">
            <v>42.342585759999999</v>
          </cell>
          <cell r="J180">
            <v>39321</v>
          </cell>
          <cell r="K180">
            <v>1.9489000000000001</v>
          </cell>
          <cell r="L180">
            <v>21.726402462927805</v>
          </cell>
        </row>
        <row r="181">
          <cell r="B181">
            <v>39322</v>
          </cell>
          <cell r="C181">
            <v>65.845257602999993</v>
          </cell>
          <cell r="D181">
            <v>45.958597822999998</v>
          </cell>
          <cell r="E181">
            <v>47.247085103000003</v>
          </cell>
          <cell r="F181">
            <v>29.028200259999998</v>
          </cell>
          <cell r="G181" t="str">
            <v>-</v>
          </cell>
          <cell r="H181">
            <v>41.746211312</v>
          </cell>
          <cell r="J181">
            <v>39322</v>
          </cell>
          <cell r="K181">
            <v>1.9849000000000001</v>
          </cell>
          <cell r="L181">
            <v>21.031896474381579</v>
          </cell>
        </row>
        <row r="182">
          <cell r="B182">
            <v>39323</v>
          </cell>
          <cell r="C182">
            <v>65.298067095999997</v>
          </cell>
          <cell r="D182">
            <v>45.595288748999998</v>
          </cell>
          <cell r="E182">
            <v>47.549466447999997</v>
          </cell>
          <cell r="F182">
            <v>29.169801237000001</v>
          </cell>
          <cell r="G182" t="str">
            <v>-</v>
          </cell>
          <cell r="H182">
            <v>43.402806998999999</v>
          </cell>
          <cell r="J182">
            <v>39323</v>
          </cell>
          <cell r="K182">
            <v>1.9863999999999999</v>
          </cell>
          <cell r="L182">
            <v>21.849983386528393</v>
          </cell>
        </row>
        <row r="183">
          <cell r="B183">
            <v>39324</v>
          </cell>
          <cell r="C183">
            <v>65.662860766999998</v>
          </cell>
          <cell r="D183">
            <v>45.776943285999998</v>
          </cell>
          <cell r="E183">
            <v>48.078633801000002</v>
          </cell>
          <cell r="F183">
            <v>30.161008075000002</v>
          </cell>
          <cell r="G183" t="str">
            <v>-</v>
          </cell>
          <cell r="H183">
            <v>43.204015517000002</v>
          </cell>
          <cell r="J183">
            <v>39324</v>
          </cell>
          <cell r="K183">
            <v>1.9777</v>
          </cell>
          <cell r="L183">
            <v>21.845586042878093</v>
          </cell>
        </row>
        <row r="184">
          <cell r="B184">
            <v>39325</v>
          </cell>
          <cell r="C184">
            <v>66.574844944000006</v>
          </cell>
          <cell r="D184">
            <v>47.230179581000002</v>
          </cell>
          <cell r="E184">
            <v>50.641315697000003</v>
          </cell>
          <cell r="F184">
            <v>31.116814669</v>
          </cell>
          <cell r="G184">
            <v>88.659014337000002</v>
          </cell>
          <cell r="H184">
            <v>44.396764410999999</v>
          </cell>
          <cell r="J184">
            <v>39325</v>
          </cell>
          <cell r="K184">
            <v>1.962</v>
          </cell>
          <cell r="L184">
            <v>22.628320291029564</v>
          </cell>
        </row>
        <row r="185">
          <cell r="B185">
            <v>39328</v>
          </cell>
          <cell r="C185">
            <v>66.574844944000006</v>
          </cell>
          <cell r="D185">
            <v>47.230179581000002</v>
          </cell>
          <cell r="E185">
            <v>50.422089221999997</v>
          </cell>
          <cell r="F185">
            <v>30.068967440000002</v>
          </cell>
          <cell r="G185" t="str">
            <v>-</v>
          </cell>
          <cell r="H185">
            <v>42.819685317000001</v>
          </cell>
          <cell r="J185">
            <v>39328</v>
          </cell>
          <cell r="K185">
            <v>1.9547000000000001</v>
          </cell>
          <cell r="L185">
            <v>21.90601387271704</v>
          </cell>
        </row>
        <row r="186">
          <cell r="B186">
            <v>39329</v>
          </cell>
          <cell r="C186">
            <v>66.027654437999999</v>
          </cell>
          <cell r="D186">
            <v>46.503561433999998</v>
          </cell>
          <cell r="E186">
            <v>49.696373995000002</v>
          </cell>
          <cell r="F186">
            <v>30.231808564000001</v>
          </cell>
          <cell r="G186" t="str">
            <v>-</v>
          </cell>
          <cell r="H186">
            <v>43.734126136999997</v>
          </cell>
          <cell r="J186">
            <v>39329</v>
          </cell>
          <cell r="K186">
            <v>1.9528000000000001</v>
          </cell>
          <cell r="L186">
            <v>22.395599209852517</v>
          </cell>
        </row>
        <row r="187">
          <cell r="B187">
            <v>39330</v>
          </cell>
          <cell r="C187">
            <v>66.574844944000006</v>
          </cell>
          <cell r="D187">
            <v>46.503561433999998</v>
          </cell>
          <cell r="E187">
            <v>48.373455612000001</v>
          </cell>
          <cell r="F187">
            <v>29.877806120999999</v>
          </cell>
          <cell r="G187" t="str">
            <v>-</v>
          </cell>
          <cell r="H187">
            <v>42.276321932000002</v>
          </cell>
          <cell r="J187">
            <v>39330</v>
          </cell>
          <cell r="K187">
            <v>1.964</v>
          </cell>
          <cell r="L187">
            <v>21.525622164969452</v>
          </cell>
        </row>
        <row r="188">
          <cell r="B188">
            <v>39331</v>
          </cell>
          <cell r="C188">
            <v>66.027654437999999</v>
          </cell>
          <cell r="D188">
            <v>46.140252359999998</v>
          </cell>
          <cell r="E188">
            <v>50.089469743000002</v>
          </cell>
          <cell r="F188">
            <v>29.205201481</v>
          </cell>
          <cell r="G188" t="str">
            <v>-</v>
          </cell>
          <cell r="H188">
            <v>43.727499754</v>
          </cell>
          <cell r="J188">
            <v>39331</v>
          </cell>
          <cell r="K188">
            <v>1.9544999999999999</v>
          </cell>
          <cell r="L188">
            <v>22.372729472499362</v>
          </cell>
        </row>
        <row r="189">
          <cell r="B189">
            <v>39332</v>
          </cell>
          <cell r="C189" t="str">
            <v>-</v>
          </cell>
          <cell r="D189" t="str">
            <v>-</v>
          </cell>
          <cell r="E189" t="str">
            <v>-</v>
          </cell>
          <cell r="F189" t="str">
            <v>-</v>
          </cell>
          <cell r="G189" t="str">
            <v>-</v>
          </cell>
          <cell r="H189" t="str">
            <v>-</v>
          </cell>
          <cell r="J189">
            <v>39332</v>
          </cell>
          <cell r="K189" t="str">
            <v>-</v>
          </cell>
          <cell r="L189">
            <v>22.372729472499362</v>
          </cell>
        </row>
        <row r="190">
          <cell r="B190">
            <v>39335</v>
          </cell>
          <cell r="C190">
            <v>65.845257602999993</v>
          </cell>
          <cell r="D190">
            <v>46.503561433999998</v>
          </cell>
          <cell r="E190">
            <v>47.851847792999997</v>
          </cell>
          <cell r="F190">
            <v>28.178594399000001</v>
          </cell>
          <cell r="G190">
            <v>88.643858949999995</v>
          </cell>
          <cell r="H190">
            <v>43.270279344000002</v>
          </cell>
          <cell r="J190">
            <v>39335</v>
          </cell>
          <cell r="K190">
            <v>1.9591000000000001</v>
          </cell>
          <cell r="L190">
            <v>22.086815039558982</v>
          </cell>
        </row>
        <row r="191">
          <cell r="B191">
            <v>39336</v>
          </cell>
          <cell r="C191">
            <v>65.845257602999993</v>
          </cell>
          <cell r="D191">
            <v>47.230179581000002</v>
          </cell>
          <cell r="E191">
            <v>47.708216653999997</v>
          </cell>
          <cell r="F191">
            <v>29.233521676999999</v>
          </cell>
          <cell r="G191" t="str">
            <v>-</v>
          </cell>
          <cell r="H191">
            <v>42.521498094000002</v>
          </cell>
          <cell r="J191">
            <v>39336</v>
          </cell>
          <cell r="K191">
            <v>1.9303999999999999</v>
          </cell>
          <cell r="L191">
            <v>22.027299054082057</v>
          </cell>
        </row>
        <row r="192">
          <cell r="B192">
            <v>39337</v>
          </cell>
          <cell r="C192">
            <v>65.845257602999993</v>
          </cell>
          <cell r="D192">
            <v>46.503561433999998</v>
          </cell>
          <cell r="E192">
            <v>46.869108423</v>
          </cell>
          <cell r="F192">
            <v>28.539676889999999</v>
          </cell>
          <cell r="G192" t="str">
            <v>-</v>
          </cell>
          <cell r="H192">
            <v>41.090199419999998</v>
          </cell>
          <cell r="J192">
            <v>39337</v>
          </cell>
          <cell r="K192">
            <v>1.9125000000000001</v>
          </cell>
          <cell r="L192">
            <v>21.48507159215686</v>
          </cell>
        </row>
        <row r="193">
          <cell r="B193">
            <v>39338</v>
          </cell>
          <cell r="C193">
            <v>65.662860766999998</v>
          </cell>
          <cell r="D193">
            <v>47.048525044000002</v>
          </cell>
          <cell r="E193">
            <v>46.869108423</v>
          </cell>
          <cell r="F193">
            <v>28.674197818</v>
          </cell>
          <cell r="G193" t="str">
            <v>-</v>
          </cell>
          <cell r="H193">
            <v>41.481156001999999</v>
          </cell>
          <cell r="J193">
            <v>39338</v>
          </cell>
          <cell r="K193">
            <v>1.8991</v>
          </cell>
          <cell r="L193">
            <v>21.842533832868199</v>
          </cell>
        </row>
        <row r="194">
          <cell r="B194">
            <v>39339</v>
          </cell>
          <cell r="C194">
            <v>65.115670261000005</v>
          </cell>
          <cell r="D194">
            <v>46.503561433999998</v>
          </cell>
          <cell r="E194">
            <v>45.954404855</v>
          </cell>
          <cell r="F194">
            <v>28.454716304000002</v>
          </cell>
          <cell r="G194" t="str">
            <v>-</v>
          </cell>
          <cell r="H194">
            <v>42.541377242000003</v>
          </cell>
          <cell r="J194">
            <v>39339</v>
          </cell>
          <cell r="K194">
            <v>1.9031</v>
          </cell>
          <cell r="L194">
            <v>22.353726678577061</v>
          </cell>
        </row>
        <row r="195">
          <cell r="B195">
            <v>39342</v>
          </cell>
          <cell r="C195">
            <v>65.115670261000005</v>
          </cell>
          <cell r="D195">
            <v>47.048525044000002</v>
          </cell>
          <cell r="E195">
            <v>46.869108423</v>
          </cell>
          <cell r="F195">
            <v>28.291875180000002</v>
          </cell>
          <cell r="G195">
            <v>88.583237401999995</v>
          </cell>
          <cell r="H195">
            <v>42.475113413999999</v>
          </cell>
          <cell r="J195">
            <v>39342</v>
          </cell>
          <cell r="K195">
            <v>1.9123000000000001</v>
          </cell>
          <cell r="L195">
            <v>22.211532402865657</v>
          </cell>
        </row>
        <row r="196">
          <cell r="B196">
            <v>39343</v>
          </cell>
          <cell r="C196">
            <v>65.115670261000005</v>
          </cell>
          <cell r="D196">
            <v>46.503561433999998</v>
          </cell>
          <cell r="E196">
            <v>48.003038465000003</v>
          </cell>
          <cell r="F196">
            <v>28.60339733</v>
          </cell>
          <cell r="G196" t="str">
            <v>-</v>
          </cell>
          <cell r="H196">
            <v>43.734126136999997</v>
          </cell>
          <cell r="J196">
            <v>39343</v>
          </cell>
          <cell r="K196">
            <v>1.8959999999999999</v>
          </cell>
          <cell r="L196">
            <v>23.066522224156117</v>
          </cell>
        </row>
        <row r="197">
          <cell r="B197">
            <v>39344</v>
          </cell>
          <cell r="C197">
            <v>65.115670261000005</v>
          </cell>
          <cell r="D197">
            <v>45.595288748999998</v>
          </cell>
          <cell r="E197">
            <v>47.080775363999997</v>
          </cell>
          <cell r="F197">
            <v>28.744998305999999</v>
          </cell>
          <cell r="G197" t="str">
            <v>-</v>
          </cell>
          <cell r="H197">
            <v>43.071487861999998</v>
          </cell>
          <cell r="J197">
            <v>39344</v>
          </cell>
          <cell r="K197">
            <v>1.8638999999999999</v>
          </cell>
          <cell r="L197">
            <v>23.108261098771393</v>
          </cell>
        </row>
        <row r="198">
          <cell r="B198">
            <v>39345</v>
          </cell>
          <cell r="C198">
            <v>64.021289248000002</v>
          </cell>
          <cell r="D198">
            <v>45.050325139000002</v>
          </cell>
          <cell r="E198">
            <v>46.869108423</v>
          </cell>
          <cell r="F198">
            <v>27.725471273</v>
          </cell>
          <cell r="G198" t="str">
            <v>-</v>
          </cell>
          <cell r="H198">
            <v>41.626936422999997</v>
          </cell>
          <cell r="J198">
            <v>39345</v>
          </cell>
          <cell r="K198">
            <v>1.8636999999999999</v>
          </cell>
          <cell r="L198">
            <v>22.335642229436068</v>
          </cell>
        </row>
        <row r="199">
          <cell r="B199">
            <v>39346</v>
          </cell>
          <cell r="C199">
            <v>66.574844944000006</v>
          </cell>
          <cell r="D199">
            <v>46.685215970999998</v>
          </cell>
          <cell r="E199">
            <v>48.381015146000003</v>
          </cell>
          <cell r="F199">
            <v>28.744998305999999</v>
          </cell>
          <cell r="G199" t="str">
            <v>-</v>
          </cell>
          <cell r="H199">
            <v>43.667862309</v>
          </cell>
          <cell r="J199">
            <v>39346</v>
          </cell>
          <cell r="K199">
            <v>1.8617999999999999</v>
          </cell>
          <cell r="L199">
            <v>23.454647281662908</v>
          </cell>
        </row>
        <row r="200">
          <cell r="B200">
            <v>39349</v>
          </cell>
          <cell r="C200">
            <v>66.392448109</v>
          </cell>
          <cell r="D200">
            <v>47.048525044000002</v>
          </cell>
          <cell r="E200">
            <v>45.508392372000003</v>
          </cell>
          <cell r="F200">
            <v>28.907839429999999</v>
          </cell>
          <cell r="G200" t="str">
            <v>-</v>
          </cell>
          <cell r="H200">
            <v>42.905828292999999</v>
          </cell>
          <cell r="J200">
            <v>39349</v>
          </cell>
          <cell r="K200">
            <v>1.8694</v>
          </cell>
          <cell r="L200">
            <v>22.951657372953889</v>
          </cell>
        </row>
        <row r="201">
          <cell r="B201">
            <v>39350</v>
          </cell>
          <cell r="C201">
            <v>66.574844944000006</v>
          </cell>
          <cell r="D201">
            <v>47.230179581000002</v>
          </cell>
          <cell r="E201">
            <v>44.412259997</v>
          </cell>
          <cell r="F201">
            <v>29.233521676999999</v>
          </cell>
          <cell r="G201" t="str">
            <v>-</v>
          </cell>
          <cell r="H201">
            <v>43.402806998999999</v>
          </cell>
          <cell r="J201">
            <v>39350</v>
          </cell>
          <cell r="K201">
            <v>1.8655999999999999</v>
          </cell>
          <cell r="L201">
            <v>23.264797919704119</v>
          </cell>
        </row>
        <row r="202">
          <cell r="B202">
            <v>39351</v>
          </cell>
          <cell r="C202">
            <v>66.392448109</v>
          </cell>
          <cell r="D202">
            <v>47.956797727999998</v>
          </cell>
          <cell r="E202">
            <v>44.714641342</v>
          </cell>
          <cell r="F202">
            <v>29.814085682000002</v>
          </cell>
          <cell r="G202" t="str">
            <v>-</v>
          </cell>
          <cell r="H202">
            <v>43.800389963999997</v>
          </cell>
          <cell r="J202">
            <v>39351</v>
          </cell>
          <cell r="K202">
            <v>1.8492999999999999</v>
          </cell>
          <cell r="L202">
            <v>23.684848301519494</v>
          </cell>
        </row>
        <row r="203">
          <cell r="B203">
            <v>39352</v>
          </cell>
          <cell r="C203">
            <v>66.392448109</v>
          </cell>
          <cell r="D203">
            <v>49.773343097000001</v>
          </cell>
          <cell r="E203">
            <v>46.680120082000002</v>
          </cell>
          <cell r="F203">
            <v>29.417602946999999</v>
          </cell>
          <cell r="G203">
            <v>87.901244984000002</v>
          </cell>
          <cell r="H203">
            <v>43.866653792000001</v>
          </cell>
          <cell r="J203">
            <v>39352</v>
          </cell>
          <cell r="K203">
            <v>1.8409</v>
          </cell>
          <cell r="L203">
            <v>23.828917264381552</v>
          </cell>
        </row>
        <row r="204">
          <cell r="B204">
            <v>39353</v>
          </cell>
          <cell r="C204">
            <v>66.392448109</v>
          </cell>
          <cell r="D204">
            <v>49.591688560000001</v>
          </cell>
          <cell r="E204">
            <v>46.105595526999998</v>
          </cell>
          <cell r="F204">
            <v>29.382202702000001</v>
          </cell>
          <cell r="G204">
            <v>87.135897936999996</v>
          </cell>
          <cell r="H204">
            <v>43.734126136999997</v>
          </cell>
          <cell r="J204">
            <v>39353</v>
          </cell>
          <cell r="K204">
            <v>1.8389</v>
          </cell>
          <cell r="L204">
            <v>23.782764770786883</v>
          </cell>
        </row>
        <row r="205">
          <cell r="B205">
            <v>39356</v>
          </cell>
          <cell r="C205">
            <v>66.574844944000006</v>
          </cell>
          <cell r="D205">
            <v>51.044924854999998</v>
          </cell>
          <cell r="E205">
            <v>45.357201699000001</v>
          </cell>
          <cell r="F205">
            <v>29.523803679</v>
          </cell>
          <cell r="G205">
            <v>87.370806435999995</v>
          </cell>
          <cell r="H205">
            <v>44.396764410999999</v>
          </cell>
          <cell r="J205">
            <v>39356</v>
          </cell>
          <cell r="K205">
            <v>1.8225</v>
          </cell>
          <cell r="L205">
            <v>24.360364560219477</v>
          </cell>
        </row>
        <row r="206">
          <cell r="B206">
            <v>39357</v>
          </cell>
          <cell r="C206">
            <v>66.574844944000006</v>
          </cell>
          <cell r="D206">
            <v>49.410034023000001</v>
          </cell>
          <cell r="E206">
            <v>46.113155061000001</v>
          </cell>
          <cell r="F206">
            <v>29.382202702000001</v>
          </cell>
          <cell r="G206" t="str">
            <v>-</v>
          </cell>
          <cell r="H206">
            <v>44.264236756000003</v>
          </cell>
          <cell r="J206">
            <v>39357</v>
          </cell>
          <cell r="K206">
            <v>1.8234999999999999</v>
          </cell>
          <cell r="L206">
            <v>24.274327806964632</v>
          </cell>
        </row>
        <row r="207">
          <cell r="B207">
            <v>39358</v>
          </cell>
          <cell r="C207" t="str">
            <v>-</v>
          </cell>
          <cell r="D207">
            <v>48.320106801999998</v>
          </cell>
          <cell r="E207">
            <v>47.662859451999999</v>
          </cell>
          <cell r="F207">
            <v>28.957399771999999</v>
          </cell>
          <cell r="G207" t="str">
            <v>-</v>
          </cell>
          <cell r="H207">
            <v>44.131709100999998</v>
          </cell>
          <cell r="J207">
            <v>39358</v>
          </cell>
          <cell r="K207">
            <v>1.8273999999999999</v>
          </cell>
          <cell r="L207">
            <v>24.149999508044218</v>
          </cell>
        </row>
        <row r="208">
          <cell r="B208">
            <v>39359</v>
          </cell>
          <cell r="C208">
            <v>66.392448109</v>
          </cell>
          <cell r="D208">
            <v>48.865070412999998</v>
          </cell>
          <cell r="E208">
            <v>48.774110894000003</v>
          </cell>
          <cell r="F208">
            <v>28.674197818</v>
          </cell>
          <cell r="G208">
            <v>87.128320243000005</v>
          </cell>
          <cell r="H208">
            <v>43.561840185000001</v>
          </cell>
          <cell r="J208">
            <v>39359</v>
          </cell>
          <cell r="K208">
            <v>1.8284</v>
          </cell>
          <cell r="L208">
            <v>23.825114955698972</v>
          </cell>
        </row>
        <row r="209">
          <cell r="B209">
            <v>39360</v>
          </cell>
          <cell r="C209">
            <v>66.392448109</v>
          </cell>
          <cell r="D209">
            <v>49.046724949999998</v>
          </cell>
          <cell r="E209">
            <v>50.497684559</v>
          </cell>
          <cell r="F209">
            <v>29.382202702000001</v>
          </cell>
          <cell r="G209">
            <v>87.143475629999998</v>
          </cell>
          <cell r="H209">
            <v>44.330500583999999</v>
          </cell>
          <cell r="J209">
            <v>39360</v>
          </cell>
          <cell r="K209">
            <v>1.8091999999999999</v>
          </cell>
          <cell r="L209">
            <v>24.502819248286535</v>
          </cell>
        </row>
        <row r="210">
          <cell r="B210">
            <v>39363</v>
          </cell>
          <cell r="C210">
            <v>66.392448109</v>
          </cell>
          <cell r="D210">
            <v>48.865070412999998</v>
          </cell>
          <cell r="E210">
            <v>49.892921868999998</v>
          </cell>
          <cell r="F210">
            <v>29.417602946999999</v>
          </cell>
          <cell r="G210">
            <v>86.764590953999999</v>
          </cell>
          <cell r="H210">
            <v>44.330500583999999</v>
          </cell>
          <cell r="J210">
            <v>39363</v>
          </cell>
          <cell r="K210">
            <v>1.8132999999999999</v>
          </cell>
          <cell r="L210">
            <v>24.447416634864613</v>
          </cell>
        </row>
        <row r="211">
          <cell r="B211">
            <v>39364</v>
          </cell>
          <cell r="C211">
            <v>66.392448109</v>
          </cell>
          <cell r="D211">
            <v>48.865070412999998</v>
          </cell>
          <cell r="E211">
            <v>48.456610482000002</v>
          </cell>
          <cell r="F211">
            <v>29.382202702000001</v>
          </cell>
          <cell r="G211">
            <v>87.370806435999995</v>
          </cell>
          <cell r="H211">
            <v>45.059402685999999</v>
          </cell>
          <cell r="J211">
            <v>39364</v>
          </cell>
          <cell r="K211">
            <v>1.8108</v>
          </cell>
          <cell r="L211">
            <v>24.883699296443559</v>
          </cell>
        </row>
        <row r="212">
          <cell r="B212">
            <v>39365</v>
          </cell>
          <cell r="C212">
            <v>66.392448109</v>
          </cell>
          <cell r="D212">
            <v>48.501761338999998</v>
          </cell>
          <cell r="E212">
            <v>47.141251633000003</v>
          </cell>
          <cell r="F212">
            <v>28.320195376000001</v>
          </cell>
          <cell r="G212">
            <v>87.143475629999998</v>
          </cell>
          <cell r="H212">
            <v>44.264236756000003</v>
          </cell>
          <cell r="J212">
            <v>39365</v>
          </cell>
          <cell r="K212">
            <v>1.8048</v>
          </cell>
          <cell r="L212">
            <v>24.525840401152486</v>
          </cell>
        </row>
        <row r="213">
          <cell r="B213">
            <v>39366</v>
          </cell>
          <cell r="C213">
            <v>66.392448109</v>
          </cell>
          <cell r="D213">
            <v>47.956797727999998</v>
          </cell>
          <cell r="E213">
            <v>47.814050125000001</v>
          </cell>
          <cell r="F213">
            <v>27.697151077000001</v>
          </cell>
          <cell r="G213">
            <v>87.370806435999995</v>
          </cell>
          <cell r="H213">
            <v>43.084740627000002</v>
          </cell>
          <cell r="J213">
            <v>39366</v>
          </cell>
          <cell r="K213">
            <v>1.792</v>
          </cell>
          <cell r="L213">
            <v>24.042824010602679</v>
          </cell>
        </row>
        <row r="214">
          <cell r="B214">
            <v>39367</v>
          </cell>
          <cell r="C214" t="str">
            <v>-</v>
          </cell>
          <cell r="D214" t="str">
            <v>-</v>
          </cell>
          <cell r="E214" t="str">
            <v>-</v>
          </cell>
          <cell r="F214" t="str">
            <v>-</v>
          </cell>
          <cell r="G214" t="str">
            <v>-</v>
          </cell>
          <cell r="H214" t="str">
            <v>-</v>
          </cell>
          <cell r="J214">
            <v>39367</v>
          </cell>
          <cell r="K214" t="str">
            <v>-</v>
          </cell>
          <cell r="L214">
            <v>24.042824010602679</v>
          </cell>
        </row>
        <row r="215">
          <cell r="B215">
            <v>39370</v>
          </cell>
          <cell r="C215">
            <v>66.392448109</v>
          </cell>
          <cell r="D215">
            <v>47.230179581000002</v>
          </cell>
          <cell r="E215">
            <v>48.985777835</v>
          </cell>
          <cell r="F215">
            <v>27.711311174999999</v>
          </cell>
          <cell r="G215" t="str">
            <v>-</v>
          </cell>
          <cell r="H215">
            <v>42.157047042999999</v>
          </cell>
          <cell r="J215">
            <v>39370</v>
          </cell>
          <cell r="K215">
            <v>1.8078000000000001</v>
          </cell>
          <cell r="L215">
            <v>23.319530392189399</v>
          </cell>
        </row>
        <row r="216">
          <cell r="B216">
            <v>39371</v>
          </cell>
          <cell r="C216">
            <v>65.845257602999993</v>
          </cell>
          <cell r="D216">
            <v>46.866870507000002</v>
          </cell>
          <cell r="E216">
            <v>50.157505546000003</v>
          </cell>
          <cell r="F216">
            <v>27.258188049000001</v>
          </cell>
          <cell r="G216">
            <v>86.908567130999998</v>
          </cell>
          <cell r="H216">
            <v>41.945002795000001</v>
          </cell>
          <cell r="J216">
            <v>39371</v>
          </cell>
          <cell r="K216">
            <v>1.8242</v>
          </cell>
          <cell r="L216">
            <v>22.993642580309178</v>
          </cell>
        </row>
        <row r="217">
          <cell r="B217">
            <v>39372</v>
          </cell>
          <cell r="C217">
            <v>66.027654437999999</v>
          </cell>
          <cell r="D217">
            <v>47.411834118000002</v>
          </cell>
          <cell r="E217">
            <v>51.556019265000003</v>
          </cell>
          <cell r="F217">
            <v>27.328988538000001</v>
          </cell>
          <cell r="G217" t="str">
            <v>-</v>
          </cell>
          <cell r="H217">
            <v>42.276321932000002</v>
          </cell>
          <cell r="J217">
            <v>39372</v>
          </cell>
          <cell r="K217">
            <v>1.8138000000000001</v>
          </cell>
          <cell r="L217">
            <v>23.308149703385158</v>
          </cell>
        </row>
        <row r="218">
          <cell r="B218">
            <v>39373</v>
          </cell>
          <cell r="C218">
            <v>66.210051273000005</v>
          </cell>
          <cell r="D218">
            <v>47.593488655000002</v>
          </cell>
          <cell r="E218">
            <v>51.246078386999997</v>
          </cell>
          <cell r="F218">
            <v>27.612190491</v>
          </cell>
          <cell r="G218" t="str">
            <v>-</v>
          </cell>
          <cell r="H218">
            <v>44.396764410999999</v>
          </cell>
          <cell r="J218">
            <v>39373</v>
          </cell>
          <cell r="K218">
            <v>1.8070999999999999</v>
          </cell>
          <cell r="L218">
            <v>24.567962155387086</v>
          </cell>
        </row>
        <row r="219">
          <cell r="B219">
            <v>39374</v>
          </cell>
          <cell r="C219">
            <v>66.027654437999999</v>
          </cell>
          <cell r="D219">
            <v>47.593488655000002</v>
          </cell>
          <cell r="E219">
            <v>49.454468919</v>
          </cell>
          <cell r="F219">
            <v>27.187387561000001</v>
          </cell>
          <cell r="G219" t="str">
            <v>-</v>
          </cell>
          <cell r="H219">
            <v>44.065445273999998</v>
          </cell>
          <cell r="J219">
            <v>39374</v>
          </cell>
          <cell r="K219">
            <v>1.7964</v>
          </cell>
          <cell r="L219">
            <v>24.52986265531062</v>
          </cell>
        </row>
        <row r="220">
          <cell r="B220">
            <v>39377</v>
          </cell>
          <cell r="C220">
            <v>66.210051273000005</v>
          </cell>
          <cell r="D220">
            <v>48.320106801999998</v>
          </cell>
          <cell r="E220">
            <v>49.280599645999999</v>
          </cell>
          <cell r="F220">
            <v>27.336068586</v>
          </cell>
          <cell r="G220" t="str">
            <v>-</v>
          </cell>
          <cell r="H220">
            <v>43.734126136999997</v>
          </cell>
          <cell r="J220">
            <v>39377</v>
          </cell>
          <cell r="K220">
            <v>1.8206</v>
          </cell>
          <cell r="L220">
            <v>24.021820354278809</v>
          </cell>
        </row>
        <row r="221">
          <cell r="B221">
            <v>39378</v>
          </cell>
          <cell r="C221">
            <v>66.210051273000005</v>
          </cell>
          <cell r="D221">
            <v>49.046724949999998</v>
          </cell>
          <cell r="E221">
            <v>51.102447247999997</v>
          </cell>
          <cell r="F221">
            <v>28.143194155</v>
          </cell>
          <cell r="G221" t="str">
            <v>-</v>
          </cell>
          <cell r="H221">
            <v>44.396764410999999</v>
          </cell>
          <cell r="J221">
            <v>39378</v>
          </cell>
          <cell r="K221">
            <v>1.8007</v>
          </cell>
          <cell r="L221">
            <v>24.655280952407399</v>
          </cell>
        </row>
        <row r="222">
          <cell r="B222">
            <v>39379</v>
          </cell>
          <cell r="C222">
            <v>66.392448109</v>
          </cell>
          <cell r="D222">
            <v>49.410034023000001</v>
          </cell>
          <cell r="E222">
            <v>51.404828592999998</v>
          </cell>
          <cell r="F222">
            <v>28.178594399000001</v>
          </cell>
          <cell r="G222" t="str">
            <v>-</v>
          </cell>
          <cell r="H222">
            <v>44.920248649000001</v>
          </cell>
          <cell r="J222">
            <v>39379</v>
          </cell>
          <cell r="K222">
            <v>1.7968999999999999</v>
          </cell>
          <cell r="L222">
            <v>24.998747091657858</v>
          </cell>
        </row>
        <row r="223">
          <cell r="B223">
            <v>39380</v>
          </cell>
          <cell r="C223">
            <v>66.392448109</v>
          </cell>
          <cell r="D223">
            <v>49.773343097000001</v>
          </cell>
          <cell r="E223">
            <v>51.397269059000003</v>
          </cell>
          <cell r="F223">
            <v>27.789191712000001</v>
          </cell>
          <cell r="G223" t="str">
            <v>-</v>
          </cell>
          <cell r="H223">
            <v>43.932917619000001</v>
          </cell>
          <cell r="J223">
            <v>39380</v>
          </cell>
          <cell r="K223">
            <v>1.7896000000000001</v>
          </cell>
          <cell r="L223">
            <v>24.549015209544031</v>
          </cell>
        </row>
        <row r="224">
          <cell r="B224">
            <v>39381</v>
          </cell>
          <cell r="C224">
            <v>66.939638615000007</v>
          </cell>
          <cell r="D224">
            <v>49.773343097000001</v>
          </cell>
          <cell r="E224">
            <v>51.782805273000001</v>
          </cell>
          <cell r="F224">
            <v>27.470589514</v>
          </cell>
          <cell r="G224" t="str">
            <v>-</v>
          </cell>
          <cell r="H224">
            <v>44.396764410999999</v>
          </cell>
          <cell r="J224">
            <v>39381</v>
          </cell>
          <cell r="K224">
            <v>1.7751999999999999</v>
          </cell>
          <cell r="L224">
            <v>25.009443674515548</v>
          </cell>
        </row>
        <row r="225">
          <cell r="B225">
            <v>39384</v>
          </cell>
          <cell r="C225">
            <v>66.574844944000006</v>
          </cell>
          <cell r="D225">
            <v>50.318306708000001</v>
          </cell>
          <cell r="E225">
            <v>50.044112542000001</v>
          </cell>
          <cell r="F225">
            <v>27.350228684000001</v>
          </cell>
          <cell r="G225" t="str">
            <v>-</v>
          </cell>
          <cell r="H225">
            <v>43.734126136999997</v>
          </cell>
          <cell r="J225">
            <v>39384</v>
          </cell>
          <cell r="K225">
            <v>1.7595000000000001</v>
          </cell>
          <cell r="L225">
            <v>24.85599666780335</v>
          </cell>
        </row>
        <row r="226">
          <cell r="B226">
            <v>39385</v>
          </cell>
          <cell r="C226">
            <v>66.392448109</v>
          </cell>
          <cell r="D226">
            <v>50.499961243999998</v>
          </cell>
          <cell r="E226">
            <v>50.860542172000002</v>
          </cell>
          <cell r="F226">
            <v>27.123667121</v>
          </cell>
          <cell r="G226" t="str">
            <v>-</v>
          </cell>
          <cell r="H226">
            <v>44.436522707999998</v>
          </cell>
          <cell r="J226">
            <v>39385</v>
          </cell>
          <cell r="K226">
            <v>1.7552000000000001</v>
          </cell>
          <cell r="L226">
            <v>25.317070822698266</v>
          </cell>
        </row>
        <row r="227">
          <cell r="B227">
            <v>39386</v>
          </cell>
          <cell r="C227">
            <v>66.574844944000006</v>
          </cell>
          <cell r="D227">
            <v>49.228379486000001</v>
          </cell>
          <cell r="E227">
            <v>49.923160004000003</v>
          </cell>
          <cell r="F227">
            <v>26.904185606999999</v>
          </cell>
          <cell r="G227" t="str">
            <v>-</v>
          </cell>
          <cell r="H227">
            <v>44.396764410999999</v>
          </cell>
          <cell r="J227">
            <v>39386</v>
          </cell>
          <cell r="K227">
            <v>1.744</v>
          </cell>
          <cell r="L227">
            <v>25.456860327408258</v>
          </cell>
        </row>
        <row r="228">
          <cell r="B228">
            <v>39387</v>
          </cell>
          <cell r="C228">
            <v>66.574844944000006</v>
          </cell>
          <cell r="D228">
            <v>49.773343097000001</v>
          </cell>
          <cell r="E228">
            <v>48.532205818000001</v>
          </cell>
          <cell r="F228">
            <v>26.897105558</v>
          </cell>
          <cell r="G228" t="str">
            <v>-</v>
          </cell>
          <cell r="H228">
            <v>43.999181446999998</v>
          </cell>
          <cell r="J228">
            <v>39387</v>
          </cell>
          <cell r="K228">
            <v>1.746</v>
          </cell>
          <cell r="L228">
            <v>25.19998937399771</v>
          </cell>
        </row>
        <row r="229">
          <cell r="B229">
            <v>39388</v>
          </cell>
          <cell r="C229" t="str">
            <v>-</v>
          </cell>
          <cell r="D229" t="str">
            <v>-</v>
          </cell>
          <cell r="E229" t="str">
            <v>-</v>
          </cell>
          <cell r="F229" t="str">
            <v>-</v>
          </cell>
          <cell r="G229" t="str">
            <v>-</v>
          </cell>
          <cell r="H229" t="str">
            <v>-</v>
          </cell>
          <cell r="J229">
            <v>39388</v>
          </cell>
          <cell r="K229" t="str">
            <v>-</v>
          </cell>
          <cell r="L229">
            <v>25.19998937399771</v>
          </cell>
        </row>
        <row r="230">
          <cell r="B230">
            <v>39391</v>
          </cell>
          <cell r="C230">
            <v>66.574844944000006</v>
          </cell>
          <cell r="D230">
            <v>48.138452264999998</v>
          </cell>
          <cell r="E230">
            <v>48.985777835</v>
          </cell>
          <cell r="F230">
            <v>26.536023066999999</v>
          </cell>
          <cell r="G230">
            <v>82.596859510000002</v>
          </cell>
          <cell r="H230">
            <v>45.059402685999999</v>
          </cell>
          <cell r="J230">
            <v>39391</v>
          </cell>
          <cell r="K230">
            <v>1.7556</v>
          </cell>
          <cell r="L230">
            <v>25.666098590795169</v>
          </cell>
        </row>
        <row r="231">
          <cell r="B231">
            <v>39392</v>
          </cell>
          <cell r="C231">
            <v>66.757241780000001</v>
          </cell>
          <cell r="D231">
            <v>49.046724949999998</v>
          </cell>
          <cell r="E231">
            <v>51.155363983000001</v>
          </cell>
          <cell r="F231">
            <v>26.897105558</v>
          </cell>
          <cell r="G231">
            <v>83.354628864000006</v>
          </cell>
          <cell r="H231">
            <v>44.728083548999997</v>
          </cell>
          <cell r="J231">
            <v>39392</v>
          </cell>
          <cell r="K231">
            <v>1.7324999999999999</v>
          </cell>
          <cell r="L231">
            <v>25.817075641558443</v>
          </cell>
        </row>
        <row r="232">
          <cell r="B232">
            <v>39393</v>
          </cell>
          <cell r="C232">
            <v>66.210051273000005</v>
          </cell>
          <cell r="D232">
            <v>48.683415875999998</v>
          </cell>
          <cell r="E232">
            <v>49.136968508000002</v>
          </cell>
          <cell r="F232">
            <v>26.359021846000001</v>
          </cell>
          <cell r="G232" t="str">
            <v>-</v>
          </cell>
          <cell r="H232">
            <v>42.932333823999997</v>
          </cell>
          <cell r="J232">
            <v>39393</v>
          </cell>
          <cell r="K232">
            <v>1.74</v>
          </cell>
          <cell r="L232">
            <v>24.673755071264367</v>
          </cell>
        </row>
        <row r="233">
          <cell r="B233">
            <v>39394</v>
          </cell>
          <cell r="C233">
            <v>66.027654437999999</v>
          </cell>
          <cell r="D233">
            <v>49.046724949999998</v>
          </cell>
          <cell r="E233">
            <v>47.398275775999998</v>
          </cell>
          <cell r="F233">
            <v>25.134173396000001</v>
          </cell>
          <cell r="G233" t="str">
            <v>-</v>
          </cell>
          <cell r="H233">
            <v>42.581135537999998</v>
          </cell>
          <cell r="J233">
            <v>39394</v>
          </cell>
          <cell r="K233">
            <v>1.7354000000000001</v>
          </cell>
          <cell r="L233">
            <v>24.536784336752334</v>
          </cell>
        </row>
        <row r="234">
          <cell r="B234">
            <v>39395</v>
          </cell>
          <cell r="C234">
            <v>66.027654437999999</v>
          </cell>
          <cell r="D234">
            <v>48.138452264999998</v>
          </cell>
          <cell r="E234">
            <v>47.776252456999998</v>
          </cell>
          <cell r="F234">
            <v>25.771377791999999</v>
          </cell>
          <cell r="G234" t="str">
            <v>-</v>
          </cell>
          <cell r="H234">
            <v>43.303411257999997</v>
          </cell>
          <cell r="J234">
            <v>39395</v>
          </cell>
          <cell r="K234">
            <v>1.7490000000000001</v>
          </cell>
          <cell r="L234">
            <v>24.758954407089764</v>
          </cell>
        </row>
        <row r="235">
          <cell r="B235">
            <v>39398</v>
          </cell>
          <cell r="C235">
            <v>65.662860766999998</v>
          </cell>
          <cell r="D235">
            <v>48.138452264999998</v>
          </cell>
          <cell r="E235">
            <v>45.682261644999997</v>
          </cell>
          <cell r="F235">
            <v>25.212053933</v>
          </cell>
          <cell r="G235" t="str">
            <v>-</v>
          </cell>
          <cell r="H235">
            <v>41.640189188000001</v>
          </cell>
          <cell r="J235">
            <v>39398</v>
          </cell>
          <cell r="K235">
            <v>1.774</v>
          </cell>
          <cell r="L235">
            <v>23.472485449830891</v>
          </cell>
        </row>
        <row r="236">
          <cell r="B236">
            <v>39399</v>
          </cell>
          <cell r="C236">
            <v>66.027654437999999</v>
          </cell>
          <cell r="D236">
            <v>49.046724949999998</v>
          </cell>
          <cell r="E236">
            <v>46.483572207999998</v>
          </cell>
          <cell r="F236">
            <v>25.912978768999999</v>
          </cell>
          <cell r="G236">
            <v>83.354628864000006</v>
          </cell>
          <cell r="H236">
            <v>42.276321932000002</v>
          </cell>
          <cell r="J236">
            <v>39399</v>
          </cell>
          <cell r="K236">
            <v>1.7682</v>
          </cell>
          <cell r="L236">
            <v>23.909242128718471</v>
          </cell>
        </row>
        <row r="237">
          <cell r="B237">
            <v>39400</v>
          </cell>
          <cell r="C237">
            <v>65.845257602999993</v>
          </cell>
          <cell r="D237">
            <v>48.683415875999998</v>
          </cell>
          <cell r="E237">
            <v>48.381015146000003</v>
          </cell>
          <cell r="F237">
            <v>26.769664679000002</v>
          </cell>
          <cell r="G237" t="str">
            <v>-</v>
          </cell>
          <cell r="H237">
            <v>44.396764410999999</v>
          </cell>
          <cell r="J237">
            <v>39400</v>
          </cell>
          <cell r="K237">
            <v>1.7378</v>
          </cell>
          <cell r="L237">
            <v>25.547683514213372</v>
          </cell>
        </row>
        <row r="238">
          <cell r="B238">
            <v>39401</v>
          </cell>
          <cell r="C238" t="str">
            <v>-</v>
          </cell>
          <cell r="D238" t="str">
            <v>-</v>
          </cell>
          <cell r="E238" t="str">
            <v>-</v>
          </cell>
          <cell r="F238" t="str">
            <v>-</v>
          </cell>
          <cell r="G238" t="str">
            <v>-</v>
          </cell>
          <cell r="H238" t="str">
            <v>-</v>
          </cell>
          <cell r="J238">
            <v>39401</v>
          </cell>
          <cell r="K238" t="str">
            <v>-</v>
          </cell>
          <cell r="L238">
            <v>25.547683514213372</v>
          </cell>
        </row>
        <row r="239">
          <cell r="B239">
            <v>39402</v>
          </cell>
          <cell r="C239">
            <v>65.298067095999997</v>
          </cell>
          <cell r="D239">
            <v>49.046724949999998</v>
          </cell>
          <cell r="E239">
            <v>49.666135861000001</v>
          </cell>
          <cell r="F239">
            <v>26.741344483999999</v>
          </cell>
          <cell r="G239" t="str">
            <v>-</v>
          </cell>
          <cell r="H239">
            <v>44.721457166</v>
          </cell>
          <cell r="J239">
            <v>39402</v>
          </cell>
          <cell r="K239">
            <v>1.7414000000000001</v>
          </cell>
          <cell r="L239">
            <v>25.681323742965429</v>
          </cell>
        </row>
        <row r="240">
          <cell r="B240">
            <v>39405</v>
          </cell>
          <cell r="C240">
            <v>65.298067095999997</v>
          </cell>
          <cell r="D240">
            <v>47.675233196000001</v>
          </cell>
          <cell r="E240">
            <v>48.0559552</v>
          </cell>
          <cell r="F240">
            <v>26.196180723000001</v>
          </cell>
          <cell r="G240">
            <v>80.323551451</v>
          </cell>
          <cell r="H240">
            <v>43.402806998999999</v>
          </cell>
          <cell r="J240">
            <v>39405</v>
          </cell>
          <cell r="K240">
            <v>1.7593000000000001</v>
          </cell>
          <cell r="L240">
            <v>24.670497924742794</v>
          </cell>
        </row>
        <row r="241">
          <cell r="B241">
            <v>39406</v>
          </cell>
          <cell r="C241" t="str">
            <v>-</v>
          </cell>
          <cell r="D241" t="str">
            <v>-</v>
          </cell>
          <cell r="E241" t="str">
            <v>-</v>
          </cell>
          <cell r="F241" t="str">
            <v>-</v>
          </cell>
          <cell r="G241" t="str">
            <v>-</v>
          </cell>
          <cell r="H241" t="str">
            <v>-</v>
          </cell>
          <cell r="J241">
            <v>39406</v>
          </cell>
          <cell r="K241">
            <v>1.7646999999999999</v>
          </cell>
          <cell r="L241">
            <v>24.670497924742794</v>
          </cell>
        </row>
        <row r="242">
          <cell r="B242">
            <v>39407</v>
          </cell>
          <cell r="C242" t="str">
            <v>-</v>
          </cell>
          <cell r="D242">
            <v>47.411834118000002</v>
          </cell>
          <cell r="E242">
            <v>46.113155061000001</v>
          </cell>
          <cell r="F242">
            <v>26.536023066999999</v>
          </cell>
          <cell r="G242" t="str">
            <v>-</v>
          </cell>
          <cell r="H242">
            <v>43.071487861999998</v>
          </cell>
          <cell r="J242">
            <v>39407</v>
          </cell>
          <cell r="K242">
            <v>1.7866</v>
          </cell>
          <cell r="L242">
            <v>24.108075597223777</v>
          </cell>
        </row>
        <row r="243">
          <cell r="B243">
            <v>39408</v>
          </cell>
          <cell r="C243">
            <v>65.298067095999997</v>
          </cell>
          <cell r="D243">
            <v>47.457247752000001</v>
          </cell>
          <cell r="E243">
            <v>46.491131742</v>
          </cell>
          <cell r="F243">
            <v>26.196180723000001</v>
          </cell>
          <cell r="G243">
            <v>82.596859510000002</v>
          </cell>
          <cell r="H243">
            <v>42.998597652000001</v>
          </cell>
          <cell r="J243">
            <v>39408</v>
          </cell>
          <cell r="K243">
            <v>1.7746999999999999</v>
          </cell>
          <cell r="L243">
            <v>24.228657041753536</v>
          </cell>
        </row>
        <row r="244">
          <cell r="B244">
            <v>39409</v>
          </cell>
          <cell r="C244">
            <v>65.197748837000006</v>
          </cell>
          <cell r="D244">
            <v>48.538092245999998</v>
          </cell>
          <cell r="E244">
            <v>45.357201699000001</v>
          </cell>
          <cell r="F244">
            <v>25.700577302999999</v>
          </cell>
          <cell r="G244">
            <v>82.596859510000002</v>
          </cell>
          <cell r="H244">
            <v>42.223310869999999</v>
          </cell>
          <cell r="J244">
            <v>39409</v>
          </cell>
          <cell r="K244">
            <v>1.7962</v>
          </cell>
          <cell r="L244">
            <v>23.507020860705932</v>
          </cell>
        </row>
        <row r="245">
          <cell r="B245">
            <v>39412</v>
          </cell>
          <cell r="C245">
            <v>64.203686082999994</v>
          </cell>
          <cell r="D245">
            <v>49.046724949999998</v>
          </cell>
          <cell r="E245">
            <v>42.348507320000003</v>
          </cell>
          <cell r="F245">
            <v>24.638569977</v>
          </cell>
          <cell r="G245">
            <v>82.596859510000002</v>
          </cell>
          <cell r="H245">
            <v>41.613683657000003</v>
          </cell>
          <cell r="J245">
            <v>39412</v>
          </cell>
          <cell r="K245">
            <v>1.8109999999999999</v>
          </cell>
          <cell r="L245">
            <v>22.978290257868583</v>
          </cell>
        </row>
        <row r="246">
          <cell r="B246">
            <v>39413</v>
          </cell>
          <cell r="C246">
            <v>62.470916146</v>
          </cell>
          <cell r="D246">
            <v>48.865070412999998</v>
          </cell>
          <cell r="E246">
            <v>42.711364934000002</v>
          </cell>
          <cell r="F246">
            <v>24.638569977</v>
          </cell>
          <cell r="G246">
            <v>84.870167570000007</v>
          </cell>
          <cell r="H246">
            <v>40.851649641000002</v>
          </cell>
          <cell r="J246">
            <v>39413</v>
          </cell>
          <cell r="K246">
            <v>1.8501000000000001</v>
          </cell>
          <cell r="L246">
            <v>22.080779223285226</v>
          </cell>
        </row>
        <row r="247">
          <cell r="B247">
            <v>39414</v>
          </cell>
          <cell r="C247">
            <v>62.881309025999997</v>
          </cell>
          <cell r="D247">
            <v>44.496278801000003</v>
          </cell>
          <cell r="E247">
            <v>45.357201699000001</v>
          </cell>
          <cell r="F247">
            <v>25.495255886999999</v>
          </cell>
          <cell r="G247">
            <v>89.409205997000001</v>
          </cell>
          <cell r="H247">
            <v>44.661819721000001</v>
          </cell>
          <cell r="J247">
            <v>39414</v>
          </cell>
          <cell r="K247">
            <v>1.8018000000000001</v>
          </cell>
          <cell r="L247">
            <v>24.787334732489732</v>
          </cell>
        </row>
        <row r="248">
          <cell r="B248">
            <v>39415</v>
          </cell>
          <cell r="C248">
            <v>63.838892412</v>
          </cell>
          <cell r="D248">
            <v>44.687016065000002</v>
          </cell>
          <cell r="E248">
            <v>44.608807871000003</v>
          </cell>
          <cell r="F248">
            <v>25.969619160000001</v>
          </cell>
          <cell r="G248">
            <v>89.333429061000004</v>
          </cell>
          <cell r="H248">
            <v>44.065445273999998</v>
          </cell>
          <cell r="J248">
            <v>39415</v>
          </cell>
          <cell r="K248">
            <v>1.7905</v>
          </cell>
          <cell r="L248">
            <v>24.610692697012006</v>
          </cell>
        </row>
        <row r="249">
          <cell r="B249">
            <v>39416</v>
          </cell>
          <cell r="C249">
            <v>63.647375734999997</v>
          </cell>
          <cell r="D249">
            <v>47.130269585999997</v>
          </cell>
          <cell r="E249">
            <v>44.752439010000003</v>
          </cell>
          <cell r="F249">
            <v>26.408582188</v>
          </cell>
          <cell r="G249" t="str">
            <v>-</v>
          </cell>
          <cell r="H249">
            <v>43.866653792000001</v>
          </cell>
          <cell r="J249">
            <v>39416</v>
          </cell>
          <cell r="K249">
            <v>1.7837000000000001</v>
          </cell>
          <cell r="L249">
            <v>24.593067103212423</v>
          </cell>
        </row>
        <row r="250">
          <cell r="B250">
            <v>39419</v>
          </cell>
          <cell r="C250">
            <v>63.656495577000001</v>
          </cell>
          <cell r="D250">
            <v>46.730629604999997</v>
          </cell>
          <cell r="E250">
            <v>44.382021862999999</v>
          </cell>
          <cell r="F250">
            <v>26.479382676</v>
          </cell>
          <cell r="G250" t="str">
            <v>-</v>
          </cell>
          <cell r="H250">
            <v>43.800389963999997</v>
          </cell>
          <cell r="J250">
            <v>39419</v>
          </cell>
          <cell r="K250">
            <v>1.7887999999999999</v>
          </cell>
          <cell r="L250">
            <v>24.485906733005365</v>
          </cell>
        </row>
        <row r="251">
          <cell r="B251">
            <v>39420</v>
          </cell>
          <cell r="C251">
            <v>63.820652729000003</v>
          </cell>
          <cell r="D251">
            <v>46.321906896999998</v>
          </cell>
          <cell r="E251">
            <v>44.601248337999998</v>
          </cell>
          <cell r="F251">
            <v>25.912978768999999</v>
          </cell>
          <cell r="G251" t="str">
            <v>-</v>
          </cell>
          <cell r="H251">
            <v>43.535334654000003</v>
          </cell>
          <cell r="J251">
            <v>39420</v>
          </cell>
          <cell r="K251">
            <v>1.8232999999999999</v>
          </cell>
          <cell r="L251">
            <v>23.877219686283116</v>
          </cell>
        </row>
        <row r="252">
          <cell r="B252">
            <v>39421</v>
          </cell>
          <cell r="C252" t="str">
            <v>-</v>
          </cell>
          <cell r="D252">
            <v>45.867770555</v>
          </cell>
          <cell r="E252">
            <v>45.357201699000001</v>
          </cell>
          <cell r="F252">
            <v>25.912978768999999</v>
          </cell>
          <cell r="G252" t="str">
            <v>-</v>
          </cell>
          <cell r="H252">
            <v>45.052776303000002</v>
          </cell>
          <cell r="J252">
            <v>39421</v>
          </cell>
          <cell r="K252">
            <v>1.7956000000000001</v>
          </cell>
          <cell r="L252">
            <v>25.090652875361997</v>
          </cell>
        </row>
        <row r="253">
          <cell r="B253">
            <v>39422</v>
          </cell>
          <cell r="C253">
            <v>62.926908234999999</v>
          </cell>
          <cell r="D253">
            <v>45.549875114999999</v>
          </cell>
          <cell r="E253">
            <v>45.039701287</v>
          </cell>
          <cell r="F253">
            <v>25.771377791999999</v>
          </cell>
          <cell r="G253" t="str">
            <v>-</v>
          </cell>
          <cell r="H253">
            <v>44.661819721000001</v>
          </cell>
          <cell r="J253">
            <v>39422</v>
          </cell>
          <cell r="K253">
            <v>1.7873000000000001</v>
          </cell>
          <cell r="L253">
            <v>24.988429318525149</v>
          </cell>
        </row>
        <row r="254">
          <cell r="B254">
            <v>39423</v>
          </cell>
          <cell r="C254" t="str">
            <v>-</v>
          </cell>
          <cell r="D254">
            <v>45.322806944</v>
          </cell>
          <cell r="E254">
            <v>46.528929410000003</v>
          </cell>
          <cell r="F254">
            <v>26.196180723000001</v>
          </cell>
          <cell r="G254">
            <v>89.409205997000001</v>
          </cell>
          <cell r="H254">
            <v>44.661819721000001</v>
          </cell>
          <cell r="J254">
            <v>39423</v>
          </cell>
          <cell r="K254">
            <v>1.7616000000000001</v>
          </cell>
          <cell r="L254">
            <v>25.352985763510446</v>
          </cell>
        </row>
        <row r="255">
          <cell r="B255">
            <v>39426</v>
          </cell>
          <cell r="C255">
            <v>62.543874881000001</v>
          </cell>
          <cell r="D255">
            <v>45.322806944</v>
          </cell>
          <cell r="E255">
            <v>47.625061784000003</v>
          </cell>
          <cell r="F255">
            <v>26.620983653</v>
          </cell>
          <cell r="G255" t="str">
            <v>-</v>
          </cell>
          <cell r="H255">
            <v>45.059402685999999</v>
          </cell>
          <cell r="J255">
            <v>39426</v>
          </cell>
          <cell r="K255">
            <v>1.762</v>
          </cell>
          <cell r="L255">
            <v>25.572873261066967</v>
          </cell>
        </row>
        <row r="256">
          <cell r="B256">
            <v>39427</v>
          </cell>
          <cell r="C256">
            <v>62.470916146</v>
          </cell>
          <cell r="D256">
            <v>45.386386031999997</v>
          </cell>
          <cell r="E256">
            <v>47.095894430999998</v>
          </cell>
          <cell r="F256">
            <v>26.196180723000001</v>
          </cell>
          <cell r="G256">
            <v>88.659014337000002</v>
          </cell>
          <cell r="H256">
            <v>44.728083548999997</v>
          </cell>
          <cell r="J256">
            <v>39427</v>
          </cell>
          <cell r="K256">
            <v>1.7649999999999999</v>
          </cell>
          <cell r="L256">
            <v>25.341690396033993</v>
          </cell>
        </row>
        <row r="257">
          <cell r="B257">
            <v>39428</v>
          </cell>
          <cell r="C257">
            <v>62.543874881000001</v>
          </cell>
          <cell r="D257">
            <v>45.386386031999997</v>
          </cell>
          <cell r="E257">
            <v>47.927443128999997</v>
          </cell>
          <cell r="F257">
            <v>26.196180723000001</v>
          </cell>
          <cell r="G257">
            <v>89.037899013000001</v>
          </cell>
          <cell r="H257">
            <v>44.728083548999997</v>
          </cell>
          <cell r="J257">
            <v>39428</v>
          </cell>
          <cell r="K257">
            <v>1.7624</v>
          </cell>
          <cell r="L257">
            <v>25.379076003744892</v>
          </cell>
        </row>
        <row r="258">
          <cell r="B258">
            <v>39429</v>
          </cell>
          <cell r="C258">
            <v>62.461796305</v>
          </cell>
          <cell r="D258">
            <v>45.368220577999999</v>
          </cell>
          <cell r="E258">
            <v>46.944703758999999</v>
          </cell>
          <cell r="F258">
            <v>25.842178279999999</v>
          </cell>
          <cell r="G258">
            <v>89.037899013000001</v>
          </cell>
          <cell r="H258">
            <v>45.258194168999999</v>
          </cell>
          <cell r="J258">
            <v>39429</v>
          </cell>
          <cell r="K258">
            <v>1.7746</v>
          </cell>
          <cell r="L258">
            <v>25.503321407077653</v>
          </cell>
        </row>
        <row r="259">
          <cell r="B259">
            <v>39430</v>
          </cell>
          <cell r="C259" t="str">
            <v>-</v>
          </cell>
          <cell r="D259">
            <v>45.304641490000002</v>
          </cell>
          <cell r="E259">
            <v>45.379880300000004</v>
          </cell>
          <cell r="F259">
            <v>25.90589872</v>
          </cell>
          <cell r="G259">
            <v>90.856545460999996</v>
          </cell>
          <cell r="H259">
            <v>45.390721824000003</v>
          </cell>
          <cell r="J259">
            <v>39430</v>
          </cell>
          <cell r="K259">
            <v>1.7959000000000001</v>
          </cell>
          <cell r="L259">
            <v>25.274637688067266</v>
          </cell>
        </row>
        <row r="260">
          <cell r="B260">
            <v>39433</v>
          </cell>
          <cell r="C260" t="str">
            <v>-</v>
          </cell>
          <cell r="D260">
            <v>45.313724217000001</v>
          </cell>
          <cell r="E260">
            <v>42.7038054</v>
          </cell>
          <cell r="F260">
            <v>25.112933249000001</v>
          </cell>
          <cell r="G260" t="str">
            <v>-</v>
          </cell>
          <cell r="H260">
            <v>44.138335484000002</v>
          </cell>
          <cell r="J260">
            <v>39433</v>
          </cell>
          <cell r="K260">
            <v>1.8123</v>
          </cell>
          <cell r="L260">
            <v>24.354872528830768</v>
          </cell>
        </row>
        <row r="261">
          <cell r="B261">
            <v>39434</v>
          </cell>
          <cell r="C261">
            <v>62.014924057999998</v>
          </cell>
          <cell r="D261">
            <v>44.496278801000003</v>
          </cell>
          <cell r="E261">
            <v>45.469104184000003</v>
          </cell>
          <cell r="F261">
            <v>25.614715154999999</v>
          </cell>
          <cell r="G261">
            <v>91.730080130999994</v>
          </cell>
          <cell r="H261">
            <v>45.530474376000001</v>
          </cell>
          <cell r="J261">
            <v>39434</v>
          </cell>
          <cell r="K261">
            <v>1.8090999999999999</v>
          </cell>
          <cell r="L261">
            <v>25.167472431595822</v>
          </cell>
        </row>
        <row r="262">
          <cell r="B262">
            <v>39435</v>
          </cell>
          <cell r="C262">
            <v>63.811532886999998</v>
          </cell>
          <cell r="D262">
            <v>44.323706991000002</v>
          </cell>
          <cell r="E262">
            <v>44.536404611000002</v>
          </cell>
          <cell r="F262">
            <v>25.207544827</v>
          </cell>
          <cell r="G262">
            <v>93.284827251999999</v>
          </cell>
          <cell r="H262">
            <v>44.010002039</v>
          </cell>
          <cell r="J262">
            <v>39435</v>
          </cell>
          <cell r="K262">
            <v>1.8019000000000001</v>
          </cell>
          <cell r="L262">
            <v>24.424220011654363</v>
          </cell>
        </row>
        <row r="263">
          <cell r="B263">
            <v>39436</v>
          </cell>
          <cell r="C263" t="str">
            <v>-</v>
          </cell>
          <cell r="D263">
            <v>44.023977006000003</v>
          </cell>
          <cell r="E263">
            <v>42.756502926000003</v>
          </cell>
          <cell r="F263">
            <v>24.356188688</v>
          </cell>
          <cell r="G263">
            <v>92.507453691999999</v>
          </cell>
          <cell r="H263">
            <v>43.772864151999997</v>
          </cell>
          <cell r="J263">
            <v>39436</v>
          </cell>
          <cell r="K263">
            <v>1.8031999999999999</v>
          </cell>
          <cell r="L263">
            <v>24.275102125110912</v>
          </cell>
        </row>
        <row r="264">
          <cell r="B264">
            <v>39437</v>
          </cell>
          <cell r="C264">
            <v>62.926908234999999</v>
          </cell>
          <cell r="D264">
            <v>44.596188797000003</v>
          </cell>
          <cell r="E264">
            <v>45.391379219999997</v>
          </cell>
          <cell r="F264">
            <v>25.096498373999999</v>
          </cell>
          <cell r="G264" t="str">
            <v>-</v>
          </cell>
          <cell r="H264">
            <v>44.986452163999999</v>
          </cell>
          <cell r="J264">
            <v>39437</v>
          </cell>
          <cell r="K264">
            <v>1.7966</v>
          </cell>
          <cell r="L264">
            <v>25.03977076923077</v>
          </cell>
        </row>
        <row r="265">
          <cell r="B265">
            <v>39440</v>
          </cell>
          <cell r="C265" t="str">
            <v>-</v>
          </cell>
          <cell r="D265" t="str">
            <v>-</v>
          </cell>
          <cell r="E265" t="str">
            <v>-</v>
          </cell>
          <cell r="F265" t="str">
            <v>-</v>
          </cell>
          <cell r="G265" t="str">
            <v>-</v>
          </cell>
          <cell r="H265" t="str">
            <v>-</v>
          </cell>
          <cell r="J265">
            <v>39440</v>
          </cell>
          <cell r="K265">
            <v>1.7908999999999999</v>
          </cell>
          <cell r="L265">
            <v>25.03977076923077</v>
          </cell>
        </row>
        <row r="266">
          <cell r="B266">
            <v>39441</v>
          </cell>
          <cell r="C266" t="str">
            <v>-</v>
          </cell>
          <cell r="D266" t="str">
            <v>-</v>
          </cell>
          <cell r="E266" t="str">
            <v>-</v>
          </cell>
          <cell r="F266" t="str">
            <v>-</v>
          </cell>
          <cell r="G266" t="str">
            <v>-</v>
          </cell>
          <cell r="H266" t="str">
            <v>-</v>
          </cell>
          <cell r="J266">
            <v>39441</v>
          </cell>
          <cell r="K266" t="str">
            <v>-</v>
          </cell>
          <cell r="L266">
            <v>25.03977076923077</v>
          </cell>
        </row>
        <row r="267">
          <cell r="B267">
            <v>39442</v>
          </cell>
          <cell r="C267">
            <v>64.659678172</v>
          </cell>
          <cell r="D267">
            <v>44.414534260000003</v>
          </cell>
          <cell r="E267">
            <v>45.422469204999999</v>
          </cell>
          <cell r="F267">
            <v>25.799792577000002</v>
          </cell>
          <cell r="G267" t="str">
            <v>-</v>
          </cell>
          <cell r="H267">
            <v>46.032648725999998</v>
          </cell>
          <cell r="J267">
            <v>39442</v>
          </cell>
          <cell r="K267">
            <v>1.7795000000000001</v>
          </cell>
          <cell r="L267">
            <v>25.868304987917952</v>
          </cell>
        </row>
        <row r="268">
          <cell r="B268">
            <v>39443</v>
          </cell>
          <cell r="C268">
            <v>62.926908234999999</v>
          </cell>
          <cell r="D268">
            <v>45.595288748999998</v>
          </cell>
          <cell r="E268">
            <v>44.684082042999997</v>
          </cell>
          <cell r="F268">
            <v>25.614715154999999</v>
          </cell>
          <cell r="G268" t="str">
            <v>-</v>
          </cell>
          <cell r="H268">
            <v>46.444152707000001</v>
          </cell>
          <cell r="J268">
            <v>39443</v>
          </cell>
          <cell r="K268">
            <v>1.7670999999999999</v>
          </cell>
          <cell r="L268">
            <v>26.282696342595216</v>
          </cell>
        </row>
        <row r="269">
          <cell r="B269">
            <v>39444</v>
          </cell>
          <cell r="C269">
            <v>62.917788393000002</v>
          </cell>
          <cell r="D269">
            <v>46.321906896999998</v>
          </cell>
          <cell r="E269">
            <v>45.507966666000002</v>
          </cell>
          <cell r="F269">
            <v>25.281575795999998</v>
          </cell>
          <cell r="G269">
            <v>83.178970966999998</v>
          </cell>
          <cell r="H269">
            <v>47.776309662000003</v>
          </cell>
          <cell r="J269">
            <v>39444</v>
          </cell>
          <cell r="K269">
            <v>1.7713000000000001</v>
          </cell>
          <cell r="L269">
            <v>26.972455068029131</v>
          </cell>
        </row>
        <row r="270">
          <cell r="B270">
            <v>39447</v>
          </cell>
          <cell r="C270" t="str">
            <v>-</v>
          </cell>
          <cell r="D270" t="str">
            <v>-</v>
          </cell>
          <cell r="E270" t="str">
            <v>-</v>
          </cell>
          <cell r="F270" t="str">
            <v>-</v>
          </cell>
          <cell r="G270" t="str">
            <v>-</v>
          </cell>
          <cell r="H270" t="str">
            <v>-</v>
          </cell>
          <cell r="J270">
            <v>39447</v>
          </cell>
          <cell r="K270">
            <v>1.7713000000000001</v>
          </cell>
          <cell r="L270">
            <v>26.972455068029131</v>
          </cell>
        </row>
        <row r="271">
          <cell r="B271">
            <v>39448</v>
          </cell>
          <cell r="C271" t="str">
            <v>-</v>
          </cell>
          <cell r="D271" t="str">
            <v>-</v>
          </cell>
          <cell r="E271" t="str">
            <v>-</v>
          </cell>
          <cell r="F271" t="str">
            <v>-</v>
          </cell>
          <cell r="G271" t="str">
            <v>-</v>
          </cell>
          <cell r="H271" t="str">
            <v>-</v>
          </cell>
          <cell r="J271">
            <v>39448</v>
          </cell>
          <cell r="K271" t="str">
            <v>-</v>
          </cell>
          <cell r="L271">
            <v>26.972455068029131</v>
          </cell>
        </row>
        <row r="272">
          <cell r="B272">
            <v>39449</v>
          </cell>
          <cell r="C272">
            <v>63.747693994999999</v>
          </cell>
          <cell r="D272">
            <v>44.505361528000002</v>
          </cell>
          <cell r="E272">
            <v>45.134886837000003</v>
          </cell>
          <cell r="F272">
            <v>25.096498373999999</v>
          </cell>
          <cell r="G272">
            <v>88.620585890000001</v>
          </cell>
          <cell r="H272">
            <v>47.776309662000003</v>
          </cell>
          <cell r="J272">
            <v>39449</v>
          </cell>
          <cell r="K272">
            <v>1.7722</v>
          </cell>
          <cell r="L272">
            <v>26.958757285859384</v>
          </cell>
        </row>
        <row r="273">
          <cell r="B273">
            <v>39450</v>
          </cell>
          <cell r="C273">
            <v>64.705277381000002</v>
          </cell>
          <cell r="D273">
            <v>43.597088843999998</v>
          </cell>
          <cell r="E273">
            <v>45.461331686999998</v>
          </cell>
          <cell r="F273">
            <v>24.941033340000001</v>
          </cell>
          <cell r="G273">
            <v>90.167559275000002</v>
          </cell>
          <cell r="H273">
            <v>48.055295412</v>
          </cell>
          <cell r="J273">
            <v>39450</v>
          </cell>
          <cell r="K273">
            <v>1.7568999999999999</v>
          </cell>
          <cell r="L273">
            <v>27.352322506687916</v>
          </cell>
        </row>
        <row r="274">
          <cell r="B274">
            <v>39451</v>
          </cell>
          <cell r="C274" t="str">
            <v>-</v>
          </cell>
          <cell r="D274">
            <v>43.924067010000002</v>
          </cell>
          <cell r="E274">
            <v>45.212611801000001</v>
          </cell>
          <cell r="F274">
            <v>24.652312561999999</v>
          </cell>
          <cell r="G274">
            <v>90.175333010000003</v>
          </cell>
          <cell r="H274">
            <v>46.988174919000002</v>
          </cell>
          <cell r="J274">
            <v>39451</v>
          </cell>
          <cell r="K274">
            <v>1.7574000000000001</v>
          </cell>
          <cell r="L274">
            <v>26.737324979515193</v>
          </cell>
        </row>
        <row r="275">
          <cell r="B275">
            <v>39454</v>
          </cell>
          <cell r="C275" t="str">
            <v>-</v>
          </cell>
          <cell r="D275">
            <v>42.761477974999998</v>
          </cell>
          <cell r="E275">
            <v>48.578102760999997</v>
          </cell>
          <cell r="F275">
            <v>26.429055810000001</v>
          </cell>
          <cell r="G275" t="str">
            <v>-</v>
          </cell>
          <cell r="H275">
            <v>47.357831038</v>
          </cell>
          <cell r="J275">
            <v>39454</v>
          </cell>
          <cell r="K275">
            <v>1.7675000000000001</v>
          </cell>
          <cell r="L275">
            <v>26.793680926732673</v>
          </cell>
        </row>
        <row r="276">
          <cell r="B276">
            <v>39455</v>
          </cell>
          <cell r="C276" t="str">
            <v>-</v>
          </cell>
          <cell r="D276">
            <v>43.324607039</v>
          </cell>
          <cell r="E276">
            <v>50.606724331999999</v>
          </cell>
          <cell r="F276">
            <v>28.575953900999998</v>
          </cell>
          <cell r="G276">
            <v>93.284827251999999</v>
          </cell>
          <cell r="H276">
            <v>51.751856598000003</v>
          </cell>
          <cell r="J276">
            <v>39455</v>
          </cell>
          <cell r="K276">
            <v>1.7554000000000001</v>
          </cell>
          <cell r="L276">
            <v>29.481517943488665</v>
          </cell>
        </row>
        <row r="277">
          <cell r="B277">
            <v>39456</v>
          </cell>
          <cell r="C277" t="str">
            <v>-</v>
          </cell>
          <cell r="D277">
            <v>41.862288016999997</v>
          </cell>
          <cell r="E277">
            <v>52.075726158999998</v>
          </cell>
          <cell r="F277">
            <v>28.738822032000002</v>
          </cell>
          <cell r="G277" t="str">
            <v>-</v>
          </cell>
          <cell r="H277">
            <v>51.612363723000001</v>
          </cell>
          <cell r="J277">
            <v>39456</v>
          </cell>
          <cell r="K277">
            <v>1.7690999999999999</v>
          </cell>
          <cell r="L277">
            <v>29.174361948448365</v>
          </cell>
        </row>
        <row r="278">
          <cell r="B278">
            <v>39457</v>
          </cell>
          <cell r="C278" t="str">
            <v>-</v>
          </cell>
          <cell r="D278">
            <v>42.234679817999996</v>
          </cell>
          <cell r="E278">
            <v>57.516473669</v>
          </cell>
          <cell r="F278">
            <v>32.647657176999999</v>
          </cell>
          <cell r="G278">
            <v>97.171695053999997</v>
          </cell>
          <cell r="H278">
            <v>54.416170508999997</v>
          </cell>
          <cell r="J278">
            <v>39457</v>
          </cell>
          <cell r="K278">
            <v>1.7627999999999999</v>
          </cell>
          <cell r="L278">
            <v>30.86916865724983</v>
          </cell>
        </row>
        <row r="279">
          <cell r="B279">
            <v>39458</v>
          </cell>
          <cell r="C279">
            <v>63.200503488000003</v>
          </cell>
          <cell r="D279">
            <v>44.360037898999998</v>
          </cell>
          <cell r="E279">
            <v>55.417899628999997</v>
          </cell>
          <cell r="F279">
            <v>31.981378458999998</v>
          </cell>
          <cell r="G279" t="str">
            <v>-</v>
          </cell>
          <cell r="H279">
            <v>54.262728346000003</v>
          </cell>
          <cell r="J279">
            <v>39458</v>
          </cell>
          <cell r="K279">
            <v>1.7536</v>
          </cell>
          <cell r="L279">
            <v>30.943617898038323</v>
          </cell>
        </row>
        <row r="280">
          <cell r="B280">
            <v>39461</v>
          </cell>
          <cell r="C280">
            <v>62.7445114</v>
          </cell>
          <cell r="D280">
            <v>43.597088843999998</v>
          </cell>
          <cell r="E280">
            <v>55.619984537000001</v>
          </cell>
          <cell r="F280">
            <v>31.907347490999999</v>
          </cell>
          <cell r="G280">
            <v>97.171695053999997</v>
          </cell>
          <cell r="H280">
            <v>54.032565103000003</v>
          </cell>
          <cell r="J280">
            <v>39461</v>
          </cell>
          <cell r="K280">
            <v>1.7414000000000001</v>
          </cell>
          <cell r="L280">
            <v>31.028233090042495</v>
          </cell>
        </row>
        <row r="281">
          <cell r="B281">
            <v>39462</v>
          </cell>
          <cell r="C281">
            <v>62.926908234999999</v>
          </cell>
          <cell r="D281">
            <v>44.777843334000003</v>
          </cell>
          <cell r="E281">
            <v>54.446337573999998</v>
          </cell>
          <cell r="F281">
            <v>29.745643206</v>
          </cell>
          <cell r="G281" t="str">
            <v>-</v>
          </cell>
          <cell r="H281">
            <v>53.007292472000003</v>
          </cell>
          <cell r="J281">
            <v>39462</v>
          </cell>
          <cell r="K281">
            <v>1.7450000000000001</v>
          </cell>
          <cell r="L281">
            <v>30.37667190372493</v>
          </cell>
        </row>
        <row r="282">
          <cell r="B282">
            <v>39463</v>
          </cell>
          <cell r="C282">
            <v>62.470916146</v>
          </cell>
          <cell r="D282">
            <v>47.221096854000002</v>
          </cell>
          <cell r="E282">
            <v>54.174300199000001</v>
          </cell>
          <cell r="F282">
            <v>29.145992360000001</v>
          </cell>
          <cell r="G282" t="str">
            <v>-</v>
          </cell>
          <cell r="H282">
            <v>53.809376503000003</v>
          </cell>
          <cell r="J282">
            <v>39463</v>
          </cell>
          <cell r="K282">
            <v>1.7629999999999999</v>
          </cell>
          <cell r="L282">
            <v>30.521484119682363</v>
          </cell>
        </row>
        <row r="283">
          <cell r="B283">
            <v>39464</v>
          </cell>
          <cell r="C283">
            <v>62.917788393000002</v>
          </cell>
          <cell r="D283">
            <v>45.858687828000001</v>
          </cell>
          <cell r="E283">
            <v>49.860564672999999</v>
          </cell>
          <cell r="F283">
            <v>28.501922932999999</v>
          </cell>
          <cell r="G283" t="str">
            <v>-</v>
          </cell>
          <cell r="H283">
            <v>53.279303577999997</v>
          </cell>
          <cell r="J283">
            <v>39464</v>
          </cell>
          <cell r="K283">
            <v>1.7686999999999999</v>
          </cell>
          <cell r="L283">
            <v>30.123426006671565</v>
          </cell>
        </row>
        <row r="284">
          <cell r="B284">
            <v>39465</v>
          </cell>
          <cell r="C284">
            <v>68.398813298999997</v>
          </cell>
          <cell r="D284">
            <v>46.321906896999998</v>
          </cell>
          <cell r="E284">
            <v>48.578102760999997</v>
          </cell>
          <cell r="F284">
            <v>29.205217135000002</v>
          </cell>
          <cell r="G284" t="str">
            <v>-</v>
          </cell>
          <cell r="H284">
            <v>55.169432033</v>
          </cell>
          <cell r="J284">
            <v>39465</v>
          </cell>
          <cell r="K284">
            <v>1.7849999999999999</v>
          </cell>
          <cell r="L284">
            <v>30.907244836414566</v>
          </cell>
        </row>
        <row r="285">
          <cell r="B285">
            <v>39468</v>
          </cell>
          <cell r="C285">
            <v>65.662860766999998</v>
          </cell>
          <cell r="D285">
            <v>44.95949787</v>
          </cell>
          <cell r="E285">
            <v>45.857729006</v>
          </cell>
          <cell r="F285">
            <v>28.427891964000001</v>
          </cell>
          <cell r="G285" t="str">
            <v>-</v>
          </cell>
          <cell r="H285">
            <v>53.349050016</v>
          </cell>
          <cell r="J285">
            <v>39468</v>
          </cell>
          <cell r="K285">
            <v>1.8301000000000001</v>
          </cell>
          <cell r="L285">
            <v>29.150893402546309</v>
          </cell>
        </row>
        <row r="286">
          <cell r="B286">
            <v>39469</v>
          </cell>
          <cell r="C286">
            <v>64.750876590000004</v>
          </cell>
          <cell r="D286">
            <v>44.95949787</v>
          </cell>
          <cell r="E286">
            <v>49.378669893999998</v>
          </cell>
          <cell r="F286">
            <v>29.242232618999999</v>
          </cell>
          <cell r="G286">
            <v>94.054427077</v>
          </cell>
          <cell r="H286">
            <v>51.612363723000001</v>
          </cell>
          <cell r="J286">
            <v>39469</v>
          </cell>
          <cell r="K286">
            <v>1.8041</v>
          </cell>
          <cell r="L286">
            <v>28.608371887921955</v>
          </cell>
        </row>
        <row r="287">
          <cell r="B287">
            <v>39470</v>
          </cell>
          <cell r="C287">
            <v>65.653740924999994</v>
          </cell>
          <cell r="D287">
            <v>44.868670602000002</v>
          </cell>
          <cell r="E287">
            <v>47.412228294000002</v>
          </cell>
          <cell r="F287">
            <v>28.501922932999999</v>
          </cell>
          <cell r="G287" t="str">
            <v>-</v>
          </cell>
          <cell r="H287">
            <v>50.217434974</v>
          </cell>
          <cell r="J287">
            <v>39470</v>
          </cell>
          <cell r="K287">
            <v>1.8147</v>
          </cell>
          <cell r="L287">
            <v>27.672582230671736</v>
          </cell>
        </row>
        <row r="288">
          <cell r="B288">
            <v>39471</v>
          </cell>
          <cell r="C288">
            <v>68.398813298999997</v>
          </cell>
          <cell r="D288">
            <v>45.867770555</v>
          </cell>
          <cell r="E288">
            <v>49.355352404999998</v>
          </cell>
          <cell r="F288">
            <v>29.908511337</v>
          </cell>
          <cell r="G288" t="str">
            <v>-</v>
          </cell>
          <cell r="H288">
            <v>53.997691883999998</v>
          </cell>
          <cell r="J288">
            <v>39471</v>
          </cell>
          <cell r="K288">
            <v>1.7883</v>
          </cell>
          <cell r="L288">
            <v>30.194985116591177</v>
          </cell>
        </row>
        <row r="289">
          <cell r="B289">
            <v>39472</v>
          </cell>
          <cell r="C289" t="str">
            <v>-</v>
          </cell>
          <cell r="D289" t="str">
            <v>-</v>
          </cell>
          <cell r="E289" t="str">
            <v>-</v>
          </cell>
          <cell r="F289" t="str">
            <v>-</v>
          </cell>
          <cell r="G289" t="str">
            <v>-</v>
          </cell>
          <cell r="H289" t="str">
            <v>-</v>
          </cell>
          <cell r="J289">
            <v>39472</v>
          </cell>
          <cell r="K289">
            <v>1.7911999999999999</v>
          </cell>
          <cell r="L289">
            <v>30.194985116591177</v>
          </cell>
        </row>
        <row r="290">
          <cell r="B290">
            <v>39475</v>
          </cell>
          <cell r="C290">
            <v>68.398813298999997</v>
          </cell>
          <cell r="D290">
            <v>45.231979676000002</v>
          </cell>
          <cell r="E290">
            <v>53.241600626</v>
          </cell>
          <cell r="F290">
            <v>31.374324516000001</v>
          </cell>
          <cell r="G290" t="str">
            <v>-</v>
          </cell>
          <cell r="H290">
            <v>55.797149971000003</v>
          </cell>
          <cell r="J290">
            <v>39475</v>
          </cell>
          <cell r="K290">
            <v>1.7906</v>
          </cell>
          <cell r="L290">
            <v>31.161147085334527</v>
          </cell>
        </row>
        <row r="291">
          <cell r="B291">
            <v>39476</v>
          </cell>
          <cell r="C291">
            <v>68.298495039000002</v>
          </cell>
          <cell r="D291">
            <v>45.776943285999998</v>
          </cell>
          <cell r="E291">
            <v>55.029274807</v>
          </cell>
          <cell r="F291">
            <v>32.432967368</v>
          </cell>
          <cell r="G291" t="str">
            <v>-</v>
          </cell>
          <cell r="H291">
            <v>57.192078719999998</v>
          </cell>
          <cell r="J291">
            <v>39476</v>
          </cell>
          <cell r="K291">
            <v>1.7762</v>
          </cell>
          <cell r="L291">
            <v>32.199120999887398</v>
          </cell>
        </row>
        <row r="292">
          <cell r="B292">
            <v>39477</v>
          </cell>
          <cell r="C292" t="str">
            <v>-</v>
          </cell>
          <cell r="D292">
            <v>45.186566040999999</v>
          </cell>
          <cell r="E292">
            <v>54.407475091999999</v>
          </cell>
          <cell r="F292">
            <v>33.313935895</v>
          </cell>
          <cell r="G292">
            <v>93.284827251999999</v>
          </cell>
          <cell r="H292">
            <v>57.533836262999998</v>
          </cell>
          <cell r="J292">
            <v>39477</v>
          </cell>
          <cell r="K292">
            <v>1.7802</v>
          </cell>
          <cell r="L292">
            <v>32.318748602965961</v>
          </cell>
        </row>
        <row r="293">
          <cell r="B293">
            <v>39478</v>
          </cell>
          <cell r="C293">
            <v>67.486829122000003</v>
          </cell>
          <cell r="D293">
            <v>45.141152407</v>
          </cell>
          <cell r="E293">
            <v>52.464350981000003</v>
          </cell>
          <cell r="F293">
            <v>33.610059769999999</v>
          </cell>
          <cell r="G293" t="str">
            <v>-</v>
          </cell>
          <cell r="H293">
            <v>58.266173856999998</v>
          </cell>
          <cell r="J293">
            <v>39478</v>
          </cell>
          <cell r="K293">
            <v>1.7603</v>
          </cell>
          <cell r="L293">
            <v>33.100138531500313</v>
          </cell>
        </row>
        <row r="294">
          <cell r="B294">
            <v>39479</v>
          </cell>
          <cell r="C294">
            <v>67.450349755000005</v>
          </cell>
          <cell r="D294">
            <v>45.413634213000002</v>
          </cell>
          <cell r="E294">
            <v>54.718374949999998</v>
          </cell>
          <cell r="F294">
            <v>34.557656168999998</v>
          </cell>
          <cell r="G294" t="str">
            <v>-</v>
          </cell>
          <cell r="H294">
            <v>58.335920293999997</v>
          </cell>
          <cell r="J294">
            <v>39479</v>
          </cell>
          <cell r="K294">
            <v>1.7451000000000001</v>
          </cell>
          <cell r="L294">
            <v>33.428411147785226</v>
          </cell>
        </row>
        <row r="295">
          <cell r="B295">
            <v>39482</v>
          </cell>
          <cell r="C295" t="str">
            <v>-</v>
          </cell>
          <cell r="D295" t="str">
            <v>-</v>
          </cell>
          <cell r="E295" t="str">
            <v>-</v>
          </cell>
          <cell r="F295" t="str">
            <v>-</v>
          </cell>
          <cell r="G295" t="str">
            <v>-</v>
          </cell>
          <cell r="H295" t="str">
            <v>-</v>
          </cell>
          <cell r="J295">
            <v>39482</v>
          </cell>
          <cell r="K295" t="str">
            <v>-</v>
          </cell>
          <cell r="L295">
            <v>33.428411147785226</v>
          </cell>
        </row>
        <row r="296">
          <cell r="B296">
            <v>39483</v>
          </cell>
          <cell r="C296" t="str">
            <v>-</v>
          </cell>
          <cell r="D296" t="str">
            <v>-</v>
          </cell>
          <cell r="E296" t="str">
            <v>-</v>
          </cell>
          <cell r="F296" t="str">
            <v>-</v>
          </cell>
          <cell r="G296" t="str">
            <v>-</v>
          </cell>
          <cell r="H296" t="str">
            <v>-</v>
          </cell>
          <cell r="J296">
            <v>39483</v>
          </cell>
          <cell r="K296" t="str">
            <v>-</v>
          </cell>
          <cell r="L296">
            <v>33.428411147785226</v>
          </cell>
        </row>
        <row r="297">
          <cell r="B297">
            <v>39484</v>
          </cell>
          <cell r="C297">
            <v>68.389693457000007</v>
          </cell>
          <cell r="D297">
            <v>45.213814222000003</v>
          </cell>
          <cell r="E297">
            <v>54.407475091999999</v>
          </cell>
          <cell r="F297">
            <v>33.595253575999998</v>
          </cell>
          <cell r="G297">
            <v>93.277053516999999</v>
          </cell>
          <cell r="H297">
            <v>56.843346533000002</v>
          </cell>
          <cell r="J297">
            <v>39484</v>
          </cell>
          <cell r="K297">
            <v>1.7531000000000001</v>
          </cell>
          <cell r="L297">
            <v>32.424474663738522</v>
          </cell>
        </row>
        <row r="298">
          <cell r="B298">
            <v>39485</v>
          </cell>
          <cell r="C298" t="str">
            <v>-</v>
          </cell>
          <cell r="D298">
            <v>45.686116018</v>
          </cell>
          <cell r="E298">
            <v>54.329750126999997</v>
          </cell>
          <cell r="F298">
            <v>33.906183644000002</v>
          </cell>
          <cell r="G298" t="str">
            <v>-</v>
          </cell>
          <cell r="H298">
            <v>56.494614345000002</v>
          </cell>
          <cell r="J298">
            <v>39485</v>
          </cell>
          <cell r="K298">
            <v>1.7626999999999999</v>
          </cell>
          <cell r="L298">
            <v>32.050045013331825</v>
          </cell>
        </row>
        <row r="299">
          <cell r="B299">
            <v>39486</v>
          </cell>
          <cell r="C299" t="str">
            <v>-</v>
          </cell>
          <cell r="D299">
            <v>45.858687828000001</v>
          </cell>
          <cell r="E299">
            <v>53.630225447999997</v>
          </cell>
          <cell r="F299">
            <v>32.203471364999999</v>
          </cell>
          <cell r="G299" t="str">
            <v>-</v>
          </cell>
          <cell r="H299">
            <v>56.843346533000002</v>
          </cell>
          <cell r="J299">
            <v>39486</v>
          </cell>
          <cell r="K299">
            <v>1.7681</v>
          </cell>
          <cell r="L299">
            <v>32.149395697641538</v>
          </cell>
        </row>
        <row r="300">
          <cell r="B300">
            <v>39489</v>
          </cell>
          <cell r="C300">
            <v>68.371453774000003</v>
          </cell>
          <cell r="D300">
            <v>45.413634213000002</v>
          </cell>
          <cell r="E300">
            <v>51.920276231000003</v>
          </cell>
          <cell r="F300">
            <v>30.656224120000001</v>
          </cell>
          <cell r="G300" t="str">
            <v>-</v>
          </cell>
          <cell r="H300">
            <v>57.819796656999998</v>
          </cell>
          <cell r="J300">
            <v>39489</v>
          </cell>
          <cell r="K300">
            <v>1.7601</v>
          </cell>
          <cell r="L300">
            <v>32.850290697687633</v>
          </cell>
        </row>
        <row r="301">
          <cell r="B301">
            <v>39490</v>
          </cell>
          <cell r="C301">
            <v>68.389693457000007</v>
          </cell>
          <cell r="D301">
            <v>46.140252359999998</v>
          </cell>
          <cell r="E301">
            <v>51.298476514999997</v>
          </cell>
          <cell r="F301">
            <v>30.286069276999999</v>
          </cell>
          <cell r="G301" t="str">
            <v>-</v>
          </cell>
          <cell r="H301">
            <v>58.587007469</v>
          </cell>
          <cell r="J301">
            <v>39490</v>
          </cell>
          <cell r="K301">
            <v>1.7478</v>
          </cell>
          <cell r="L301">
            <v>33.520429951367433</v>
          </cell>
        </row>
        <row r="302">
          <cell r="B302">
            <v>39491</v>
          </cell>
          <cell r="C302" t="str">
            <v>-</v>
          </cell>
          <cell r="D302">
            <v>46.312824169999999</v>
          </cell>
          <cell r="E302">
            <v>51.687101337000001</v>
          </cell>
          <cell r="F302">
            <v>31.018975867000002</v>
          </cell>
          <cell r="G302" t="str">
            <v>-</v>
          </cell>
          <cell r="H302">
            <v>57.505937688000003</v>
          </cell>
          <cell r="J302">
            <v>39491</v>
          </cell>
          <cell r="K302">
            <v>1.7459</v>
          </cell>
          <cell r="L302">
            <v>32.937704157168227</v>
          </cell>
        </row>
        <row r="303">
          <cell r="B303">
            <v>39492</v>
          </cell>
          <cell r="C303">
            <v>69.310797476000005</v>
          </cell>
          <cell r="D303">
            <v>46.221996902000001</v>
          </cell>
          <cell r="E303">
            <v>50.521226871000003</v>
          </cell>
          <cell r="F303">
            <v>30.796882961000001</v>
          </cell>
          <cell r="G303" t="str">
            <v>-</v>
          </cell>
          <cell r="H303">
            <v>59.389091499999999</v>
          </cell>
          <cell r="J303">
            <v>39492</v>
          </cell>
          <cell r="K303">
            <v>1.7468999999999999</v>
          </cell>
          <cell r="L303">
            <v>33.996846699868343</v>
          </cell>
        </row>
        <row r="304">
          <cell r="B304">
            <v>39493</v>
          </cell>
          <cell r="C304">
            <v>69.219599059000004</v>
          </cell>
          <cell r="D304">
            <v>46.221996902000001</v>
          </cell>
          <cell r="E304">
            <v>48.966727583000001</v>
          </cell>
          <cell r="F304">
            <v>30.056573274000002</v>
          </cell>
          <cell r="G304">
            <v>93.253732310000004</v>
          </cell>
          <cell r="H304">
            <v>59.284471844000002</v>
          </cell>
          <cell r="J304">
            <v>39493</v>
          </cell>
          <cell r="K304">
            <v>1.7541</v>
          </cell>
          <cell r="L304">
            <v>33.797657969329002</v>
          </cell>
        </row>
        <row r="305">
          <cell r="B305">
            <v>39496</v>
          </cell>
          <cell r="C305">
            <v>68.490011717000002</v>
          </cell>
          <cell r="D305">
            <v>46.140252359999998</v>
          </cell>
          <cell r="E305">
            <v>47.761990634</v>
          </cell>
          <cell r="F305">
            <v>29.723433915000001</v>
          </cell>
          <cell r="G305" t="str">
            <v>-</v>
          </cell>
          <cell r="H305">
            <v>57.924416313000002</v>
          </cell>
          <cell r="J305">
            <v>39496</v>
          </cell>
          <cell r="K305">
            <v>1.7394000000000001</v>
          </cell>
          <cell r="L305">
            <v>33.3013776664367</v>
          </cell>
        </row>
        <row r="306">
          <cell r="B306">
            <v>39497</v>
          </cell>
          <cell r="C306" t="str">
            <v>-</v>
          </cell>
          <cell r="D306">
            <v>46.231079628000003</v>
          </cell>
          <cell r="E306">
            <v>48.578102760999997</v>
          </cell>
          <cell r="F306">
            <v>29.316263588000002</v>
          </cell>
          <cell r="G306">
            <v>92.421942599999994</v>
          </cell>
          <cell r="H306">
            <v>58.321971007000002</v>
          </cell>
          <cell r="J306">
            <v>39497</v>
          </cell>
          <cell r="K306">
            <v>1.7329000000000001</v>
          </cell>
          <cell r="L306">
            <v>33.655704891799871</v>
          </cell>
        </row>
        <row r="307">
          <cell r="B307">
            <v>39498</v>
          </cell>
          <cell r="C307" t="str">
            <v>-</v>
          </cell>
          <cell r="D307">
            <v>45.186566040999999</v>
          </cell>
          <cell r="E307">
            <v>49.246537455000002</v>
          </cell>
          <cell r="F307">
            <v>31.574208131999999</v>
          </cell>
          <cell r="G307">
            <v>89.390185713999998</v>
          </cell>
          <cell r="H307">
            <v>59.284471844000002</v>
          </cell>
          <cell r="J307">
            <v>39498</v>
          </cell>
          <cell r="K307">
            <v>1.7351000000000001</v>
          </cell>
          <cell r="L307">
            <v>34.167755082704169</v>
          </cell>
        </row>
        <row r="308">
          <cell r="B308">
            <v>39499</v>
          </cell>
          <cell r="C308">
            <v>68.389693457000007</v>
          </cell>
          <cell r="D308">
            <v>45.413634213000002</v>
          </cell>
          <cell r="E308">
            <v>50.832126729000002</v>
          </cell>
          <cell r="F308">
            <v>31.463161678999999</v>
          </cell>
          <cell r="G308">
            <v>89.390185713999998</v>
          </cell>
          <cell r="H308">
            <v>59.493711156000003</v>
          </cell>
          <cell r="J308">
            <v>39499</v>
          </cell>
          <cell r="K308">
            <v>1.7103999999999999</v>
          </cell>
          <cell r="L308">
            <v>34.783507457904591</v>
          </cell>
        </row>
        <row r="309">
          <cell r="B309">
            <v>39500</v>
          </cell>
          <cell r="C309">
            <v>68.389693457000007</v>
          </cell>
          <cell r="D309">
            <v>45.413634213000002</v>
          </cell>
          <cell r="E309">
            <v>51.687101337000001</v>
          </cell>
          <cell r="F309">
            <v>31.759285553000002</v>
          </cell>
          <cell r="G309" t="str">
            <v>-</v>
          </cell>
          <cell r="H309">
            <v>61.02813278</v>
          </cell>
          <cell r="J309">
            <v>39500</v>
          </cell>
          <cell r="K309">
            <v>1.704</v>
          </cell>
          <cell r="L309">
            <v>35.81463191314554</v>
          </cell>
        </row>
        <row r="310">
          <cell r="B310">
            <v>39503</v>
          </cell>
          <cell r="C310">
            <v>62.926908234999999</v>
          </cell>
          <cell r="D310">
            <v>44.95949787</v>
          </cell>
          <cell r="E310">
            <v>53.070605704000002</v>
          </cell>
          <cell r="F310">
            <v>33.040021310999997</v>
          </cell>
          <cell r="G310" t="str">
            <v>-</v>
          </cell>
          <cell r="H310">
            <v>63.469258091999997</v>
          </cell>
          <cell r="J310">
            <v>39503</v>
          </cell>
          <cell r="K310">
            <v>1.7061999999999999</v>
          </cell>
          <cell r="L310">
            <v>37.199190066815142</v>
          </cell>
        </row>
        <row r="311">
          <cell r="B311">
            <v>39504</v>
          </cell>
          <cell r="C311">
            <v>63.291701906</v>
          </cell>
          <cell r="D311">
            <v>43.996728824999998</v>
          </cell>
          <cell r="E311">
            <v>53.241600626</v>
          </cell>
          <cell r="F311">
            <v>32.573626208999997</v>
          </cell>
          <cell r="G311" t="str">
            <v>-</v>
          </cell>
          <cell r="H311">
            <v>65.073426153</v>
          </cell>
          <cell r="J311">
            <v>39504</v>
          </cell>
          <cell r="K311">
            <v>1.6881999999999999</v>
          </cell>
          <cell r="L311">
            <v>38.5460408440943</v>
          </cell>
        </row>
        <row r="312">
          <cell r="B312">
            <v>39505</v>
          </cell>
          <cell r="C312">
            <v>65.662860766999998</v>
          </cell>
          <cell r="D312">
            <v>44.750595152999999</v>
          </cell>
          <cell r="E312">
            <v>52.075726158999998</v>
          </cell>
          <cell r="F312">
            <v>32.536610723999999</v>
          </cell>
          <cell r="G312" t="str">
            <v>-</v>
          </cell>
          <cell r="H312">
            <v>65.561651214999998</v>
          </cell>
          <cell r="J312">
            <v>39505</v>
          </cell>
          <cell r="K312">
            <v>1.6715</v>
          </cell>
          <cell r="L312">
            <v>39.223243323362247</v>
          </cell>
        </row>
        <row r="313">
          <cell r="B313">
            <v>39506</v>
          </cell>
          <cell r="C313" t="str">
            <v>-</v>
          </cell>
          <cell r="D313">
            <v>43.142952502</v>
          </cell>
          <cell r="E313">
            <v>51.298476514999997</v>
          </cell>
          <cell r="F313">
            <v>32.573626208999997</v>
          </cell>
          <cell r="G313" t="str">
            <v>-</v>
          </cell>
          <cell r="H313">
            <v>66.119622715000006</v>
          </cell>
          <cell r="J313">
            <v>39506</v>
          </cell>
          <cell r="K313">
            <v>1.6722999999999999</v>
          </cell>
          <cell r="L313">
            <v>39.538134733600437</v>
          </cell>
        </row>
        <row r="314">
          <cell r="B314">
            <v>39507</v>
          </cell>
          <cell r="C314">
            <v>65.662860766999998</v>
          </cell>
          <cell r="D314">
            <v>44.051225186000003</v>
          </cell>
          <cell r="E314">
            <v>49.666252262</v>
          </cell>
          <cell r="F314">
            <v>31.248471869999999</v>
          </cell>
          <cell r="G314">
            <v>89.390185713999998</v>
          </cell>
          <cell r="H314">
            <v>63.469258091999997</v>
          </cell>
          <cell r="J314">
            <v>39507</v>
          </cell>
          <cell r="K314">
            <v>1.6833</v>
          </cell>
          <cell r="L314">
            <v>37.705256396364284</v>
          </cell>
        </row>
        <row r="315">
          <cell r="B315">
            <v>39510</v>
          </cell>
          <cell r="C315">
            <v>65.662860766999998</v>
          </cell>
          <cell r="D315">
            <v>44.232879723000003</v>
          </cell>
          <cell r="E315">
            <v>51.104164103999999</v>
          </cell>
          <cell r="F315">
            <v>30.981960383000001</v>
          </cell>
          <cell r="G315">
            <v>91.730080130999994</v>
          </cell>
          <cell r="H315">
            <v>63.748243840999997</v>
          </cell>
          <cell r="J315">
            <v>39510</v>
          </cell>
          <cell r="K315">
            <v>1.6816</v>
          </cell>
          <cell r="L315">
            <v>37.909279163296858</v>
          </cell>
        </row>
        <row r="316">
          <cell r="B316">
            <v>39511</v>
          </cell>
          <cell r="C316">
            <v>65.653740924999994</v>
          </cell>
          <cell r="D316">
            <v>42.434499807999998</v>
          </cell>
          <cell r="E316">
            <v>49.106632519000001</v>
          </cell>
          <cell r="F316">
            <v>30.315681665</v>
          </cell>
          <cell r="G316" t="str">
            <v>-</v>
          </cell>
          <cell r="H316">
            <v>64.166722465999996</v>
          </cell>
          <cell r="J316">
            <v>39511</v>
          </cell>
          <cell r="K316">
            <v>1.673</v>
          </cell>
          <cell r="L316">
            <v>38.354287188284516</v>
          </cell>
        </row>
        <row r="317">
          <cell r="B317">
            <v>39512</v>
          </cell>
          <cell r="C317">
            <v>65.480463932000006</v>
          </cell>
          <cell r="D317">
            <v>43.824157014999997</v>
          </cell>
          <cell r="E317">
            <v>49.044452546999999</v>
          </cell>
          <cell r="F317">
            <v>31.981378458999998</v>
          </cell>
          <cell r="G317" t="str">
            <v>-</v>
          </cell>
          <cell r="H317">
            <v>66.391633820999999</v>
          </cell>
          <cell r="J317">
            <v>39512</v>
          </cell>
          <cell r="K317">
            <v>1.67</v>
          </cell>
          <cell r="L317">
            <v>39.755469353892217</v>
          </cell>
        </row>
        <row r="318">
          <cell r="B318">
            <v>39513</v>
          </cell>
          <cell r="C318" t="str">
            <v>-</v>
          </cell>
          <cell r="D318">
            <v>42.552575257000001</v>
          </cell>
          <cell r="E318">
            <v>48.267202902999998</v>
          </cell>
          <cell r="F318">
            <v>30.87091393</v>
          </cell>
          <cell r="G318" t="str">
            <v>-</v>
          </cell>
          <cell r="H318">
            <v>65.212919028000002</v>
          </cell>
          <cell r="J318">
            <v>39513</v>
          </cell>
          <cell r="K318">
            <v>1.6719999999999999</v>
          </cell>
          <cell r="L318">
            <v>39.002942002392345</v>
          </cell>
        </row>
        <row r="319">
          <cell r="B319">
            <v>39514</v>
          </cell>
          <cell r="C319" t="str">
            <v>-</v>
          </cell>
          <cell r="D319">
            <v>42.688816160000002</v>
          </cell>
          <cell r="E319">
            <v>47.567678223000001</v>
          </cell>
          <cell r="F319">
            <v>30.130604243000001</v>
          </cell>
          <cell r="G319" t="str">
            <v>-</v>
          </cell>
          <cell r="H319">
            <v>63.469258091999997</v>
          </cell>
          <cell r="J319">
            <v>39514</v>
          </cell>
          <cell r="K319">
            <v>1.6840999999999999</v>
          </cell>
          <cell r="L319">
            <v>37.687345224155337</v>
          </cell>
        </row>
        <row r="320">
          <cell r="B320">
            <v>39517</v>
          </cell>
          <cell r="C320" t="str">
            <v>-</v>
          </cell>
          <cell r="D320">
            <v>42.679733433000003</v>
          </cell>
          <cell r="E320">
            <v>46.324078792000002</v>
          </cell>
          <cell r="F320">
            <v>29.612387462000001</v>
          </cell>
          <cell r="G320" t="str">
            <v>-</v>
          </cell>
          <cell r="H320">
            <v>61.725597155000003</v>
          </cell>
          <cell r="J320">
            <v>39517</v>
          </cell>
          <cell r="K320">
            <v>1.6996</v>
          </cell>
          <cell r="L320">
            <v>36.317720142974821</v>
          </cell>
        </row>
        <row r="321">
          <cell r="B321">
            <v>39518</v>
          </cell>
          <cell r="C321" t="str">
            <v>-</v>
          </cell>
          <cell r="D321">
            <v>42.134769822000003</v>
          </cell>
          <cell r="E321">
            <v>49.355352404999998</v>
          </cell>
          <cell r="F321">
            <v>31.788897940999998</v>
          </cell>
          <cell r="G321" t="str">
            <v>-</v>
          </cell>
          <cell r="H321">
            <v>64.236468904000006</v>
          </cell>
          <cell r="J321">
            <v>39518</v>
          </cell>
          <cell r="K321">
            <v>1.6947000000000001</v>
          </cell>
          <cell r="L321">
            <v>37.904330503333924</v>
          </cell>
        </row>
        <row r="322">
          <cell r="B322">
            <v>39519</v>
          </cell>
          <cell r="C322">
            <v>64.459041653</v>
          </cell>
          <cell r="D322">
            <v>40.872270790999998</v>
          </cell>
          <cell r="E322">
            <v>48.966727583000001</v>
          </cell>
          <cell r="F322">
            <v>31.093006836000001</v>
          </cell>
          <cell r="G322">
            <v>90.408545079000007</v>
          </cell>
          <cell r="H322">
            <v>63.518080597999997</v>
          </cell>
          <cell r="J322">
            <v>39519</v>
          </cell>
          <cell r="K322">
            <v>1.6796</v>
          </cell>
          <cell r="L322">
            <v>37.817385447725648</v>
          </cell>
        </row>
        <row r="323">
          <cell r="B323">
            <v>39520</v>
          </cell>
          <cell r="C323">
            <v>64.741756748</v>
          </cell>
          <cell r="D323">
            <v>41.762378022</v>
          </cell>
          <cell r="E323">
            <v>49.355352404999998</v>
          </cell>
          <cell r="F323">
            <v>31.093006836000001</v>
          </cell>
          <cell r="G323">
            <v>90.408545079000007</v>
          </cell>
          <cell r="H323">
            <v>62.471884035999999</v>
          </cell>
          <cell r="J323">
            <v>39520</v>
          </cell>
          <cell r="K323">
            <v>1.6971000000000001</v>
          </cell>
          <cell r="L323">
            <v>36.810962250898591</v>
          </cell>
        </row>
        <row r="324">
          <cell r="B324">
            <v>39521</v>
          </cell>
          <cell r="C324">
            <v>64.723517064000006</v>
          </cell>
          <cell r="D324">
            <v>42.089356187999996</v>
          </cell>
          <cell r="E324">
            <v>46.401803757000003</v>
          </cell>
          <cell r="F324">
            <v>30.500759085999999</v>
          </cell>
          <cell r="G324" t="str">
            <v>-</v>
          </cell>
          <cell r="H324">
            <v>62.967083742</v>
          </cell>
          <cell r="J324">
            <v>39521</v>
          </cell>
          <cell r="K324">
            <v>1.6947000000000001</v>
          </cell>
          <cell r="L324">
            <v>37.155298130642592</v>
          </cell>
        </row>
        <row r="325">
          <cell r="B325">
            <v>39524</v>
          </cell>
          <cell r="C325">
            <v>64.659678172</v>
          </cell>
          <cell r="D325">
            <v>41.689716206999996</v>
          </cell>
          <cell r="E325">
            <v>45.539056651999999</v>
          </cell>
          <cell r="F325">
            <v>29.168201651</v>
          </cell>
          <cell r="G325" t="str">
            <v>-</v>
          </cell>
          <cell r="H325">
            <v>62.088278629999998</v>
          </cell>
          <cell r="J325">
            <v>39524</v>
          </cell>
          <cell r="K325">
            <v>1.7248000000000001</v>
          </cell>
          <cell r="L325">
            <v>35.99737861201298</v>
          </cell>
        </row>
        <row r="326">
          <cell r="B326">
            <v>39525</v>
          </cell>
          <cell r="C326">
            <v>64.614078962999997</v>
          </cell>
          <cell r="D326">
            <v>41.953115285999999</v>
          </cell>
          <cell r="E326">
            <v>46.479528721000001</v>
          </cell>
          <cell r="F326">
            <v>31.611223616</v>
          </cell>
          <cell r="G326" t="str">
            <v>-</v>
          </cell>
          <cell r="H326">
            <v>64.166722465999996</v>
          </cell>
          <cell r="J326">
            <v>39525</v>
          </cell>
          <cell r="K326">
            <v>1.7007000000000001</v>
          </cell>
          <cell r="L326">
            <v>37.729595146704291</v>
          </cell>
        </row>
        <row r="327">
          <cell r="B327">
            <v>39526</v>
          </cell>
          <cell r="C327">
            <v>62.917788393000002</v>
          </cell>
          <cell r="D327">
            <v>41.780543475999998</v>
          </cell>
          <cell r="E327">
            <v>45.080479361999998</v>
          </cell>
          <cell r="F327">
            <v>30.389712632999998</v>
          </cell>
          <cell r="G327" t="str">
            <v>-</v>
          </cell>
          <cell r="H327">
            <v>63.957483154000002</v>
          </cell>
          <cell r="J327">
            <v>39526</v>
          </cell>
          <cell r="K327">
            <v>1.7044999999999999</v>
          </cell>
          <cell r="L327">
            <v>37.522724056321508</v>
          </cell>
        </row>
        <row r="328">
          <cell r="B328">
            <v>39527</v>
          </cell>
          <cell r="C328" t="str">
            <v>-</v>
          </cell>
          <cell r="D328">
            <v>41.244662591999997</v>
          </cell>
          <cell r="E328">
            <v>46.634978650000001</v>
          </cell>
          <cell r="F328">
            <v>31.152231610000001</v>
          </cell>
          <cell r="G328" t="str">
            <v>-</v>
          </cell>
          <cell r="H328">
            <v>62.771793717000001</v>
          </cell>
          <cell r="J328">
            <v>39527</v>
          </cell>
          <cell r="K328">
            <v>1.7423999999999999</v>
          </cell>
          <cell r="L328">
            <v>36.026052408746558</v>
          </cell>
        </row>
        <row r="329">
          <cell r="B329">
            <v>39528</v>
          </cell>
          <cell r="C329" t="str">
            <v>-</v>
          </cell>
          <cell r="D329" t="str">
            <v>-</v>
          </cell>
          <cell r="E329" t="str">
            <v>-</v>
          </cell>
          <cell r="F329" t="str">
            <v>-</v>
          </cell>
          <cell r="G329" t="str">
            <v>-</v>
          </cell>
          <cell r="H329" t="str">
            <v>-</v>
          </cell>
          <cell r="J329">
            <v>39528</v>
          </cell>
          <cell r="K329" t="str">
            <v>-</v>
          </cell>
          <cell r="L329">
            <v>36.026052408746558</v>
          </cell>
        </row>
        <row r="330">
          <cell r="B330">
            <v>39531</v>
          </cell>
          <cell r="C330">
            <v>62.014924057999998</v>
          </cell>
          <cell r="D330">
            <v>40.872270790999998</v>
          </cell>
          <cell r="E330">
            <v>47.746445641000001</v>
          </cell>
          <cell r="F330">
            <v>31.352115225999999</v>
          </cell>
          <cell r="G330" t="str">
            <v>-</v>
          </cell>
          <cell r="H330">
            <v>63.608750966000002</v>
          </cell>
          <cell r="J330">
            <v>39531</v>
          </cell>
          <cell r="K330">
            <v>1.7406999999999999</v>
          </cell>
          <cell r="L330">
            <v>36.542052602975815</v>
          </cell>
        </row>
        <row r="331">
          <cell r="B331">
            <v>39532</v>
          </cell>
          <cell r="C331">
            <v>62.242920101999999</v>
          </cell>
          <cell r="D331">
            <v>39.963998107000002</v>
          </cell>
          <cell r="E331">
            <v>48.578102760999997</v>
          </cell>
          <cell r="F331">
            <v>32.388548786999998</v>
          </cell>
          <cell r="G331" t="str">
            <v>-</v>
          </cell>
          <cell r="H331">
            <v>64.166722465999996</v>
          </cell>
          <cell r="J331">
            <v>39532</v>
          </cell>
          <cell r="K331">
            <v>1.7341</v>
          </cell>
          <cell r="L331">
            <v>37.002896295484689</v>
          </cell>
        </row>
        <row r="332">
          <cell r="B332">
            <v>39533</v>
          </cell>
          <cell r="C332">
            <v>59.278971525999999</v>
          </cell>
          <cell r="D332">
            <v>38.147452739000002</v>
          </cell>
          <cell r="E332">
            <v>48.889002617999999</v>
          </cell>
          <cell r="F332">
            <v>32.499595239999998</v>
          </cell>
          <cell r="G332" t="str">
            <v>-</v>
          </cell>
          <cell r="H332">
            <v>63.469258091999997</v>
          </cell>
          <cell r="J332">
            <v>39533</v>
          </cell>
          <cell r="K332">
            <v>1.7287999999999999</v>
          </cell>
          <cell r="L332">
            <v>36.712898017121702</v>
          </cell>
        </row>
        <row r="333">
          <cell r="B333">
            <v>39534</v>
          </cell>
          <cell r="C333">
            <v>56.543018994000001</v>
          </cell>
          <cell r="D333">
            <v>34.568858362999997</v>
          </cell>
          <cell r="E333">
            <v>47.420000791</v>
          </cell>
          <cell r="F333">
            <v>31.759285553000002</v>
          </cell>
          <cell r="G333">
            <v>90.175333010000003</v>
          </cell>
          <cell r="H333">
            <v>62.785743003999997</v>
          </cell>
          <cell r="J333">
            <v>39534</v>
          </cell>
          <cell r="K333">
            <v>1.7344999999999999</v>
          </cell>
          <cell r="L333">
            <v>36.198179881233784</v>
          </cell>
        </row>
        <row r="334">
          <cell r="B334">
            <v>39535</v>
          </cell>
          <cell r="C334">
            <v>54.719050639000002</v>
          </cell>
          <cell r="D334">
            <v>34.514362001999999</v>
          </cell>
          <cell r="E334">
            <v>47.357820818999997</v>
          </cell>
          <cell r="F334">
            <v>33.684090738999998</v>
          </cell>
          <cell r="G334">
            <v>90.175333010000003</v>
          </cell>
          <cell r="H334">
            <v>63.817990279</v>
          </cell>
          <cell r="J334">
            <v>39535</v>
          </cell>
          <cell r="K334">
            <v>1.7456</v>
          </cell>
          <cell r="L334">
            <v>36.559343652039409</v>
          </cell>
        </row>
        <row r="335">
          <cell r="B335">
            <v>39538</v>
          </cell>
          <cell r="C335">
            <v>54.719050639000002</v>
          </cell>
          <cell r="D335">
            <v>34.686933811999999</v>
          </cell>
          <cell r="E335">
            <v>47.093555940000002</v>
          </cell>
          <cell r="F335">
            <v>34.498431394000001</v>
          </cell>
          <cell r="G335" t="str">
            <v>-</v>
          </cell>
          <cell r="H335">
            <v>63.469258091999997</v>
          </cell>
          <cell r="J335">
            <v>39538</v>
          </cell>
          <cell r="K335">
            <v>1.7491000000000001</v>
          </cell>
          <cell r="L335">
            <v>36.286809268766788</v>
          </cell>
        </row>
        <row r="336">
          <cell r="B336">
            <v>39539</v>
          </cell>
          <cell r="C336">
            <v>53.351074373000003</v>
          </cell>
          <cell r="D336">
            <v>34.514362001999999</v>
          </cell>
          <cell r="E336">
            <v>47.000285982999998</v>
          </cell>
          <cell r="F336">
            <v>34.054245582</v>
          </cell>
          <cell r="G336" t="str">
            <v>-</v>
          </cell>
          <cell r="H336">
            <v>64.864186841000006</v>
          </cell>
          <cell r="J336">
            <v>39539</v>
          </cell>
          <cell r="K336">
            <v>1.7534000000000001</v>
          </cell>
          <cell r="L336">
            <v>36.993376777118741</v>
          </cell>
        </row>
        <row r="337">
          <cell r="B337">
            <v>39540</v>
          </cell>
          <cell r="C337">
            <v>53.332834689999999</v>
          </cell>
          <cell r="D337">
            <v>33.151952975</v>
          </cell>
          <cell r="E337">
            <v>46.634978650000001</v>
          </cell>
          <cell r="F337">
            <v>35.053663659000001</v>
          </cell>
          <cell r="G337" t="str">
            <v>-</v>
          </cell>
          <cell r="H337">
            <v>65.896434115000005</v>
          </cell>
          <cell r="J337">
            <v>39540</v>
          </cell>
          <cell r="K337">
            <v>1.7273000000000001</v>
          </cell>
          <cell r="L337">
            <v>38.149964751346033</v>
          </cell>
        </row>
        <row r="338">
          <cell r="B338">
            <v>39541</v>
          </cell>
          <cell r="C338">
            <v>45.599208865999998</v>
          </cell>
          <cell r="D338">
            <v>33.606089316999999</v>
          </cell>
          <cell r="E338">
            <v>48.966727583000001</v>
          </cell>
          <cell r="F338">
            <v>35.090679143000003</v>
          </cell>
          <cell r="G338" t="str">
            <v>-</v>
          </cell>
          <cell r="H338">
            <v>65.631397652999993</v>
          </cell>
          <cell r="J338">
            <v>39541</v>
          </cell>
          <cell r="K338">
            <v>1.7252000000000001</v>
          </cell>
          <cell r="L338">
            <v>38.04277628854625</v>
          </cell>
        </row>
        <row r="339">
          <cell r="B339">
            <v>39542</v>
          </cell>
          <cell r="C339">
            <v>48.882351903999997</v>
          </cell>
          <cell r="D339">
            <v>34.877671075000002</v>
          </cell>
          <cell r="E339">
            <v>47.684265670000002</v>
          </cell>
          <cell r="F339">
            <v>34.942617206000001</v>
          </cell>
          <cell r="G339">
            <v>90.097595654000003</v>
          </cell>
          <cell r="H339">
            <v>66.259115589999993</v>
          </cell>
          <cell r="J339">
            <v>39542</v>
          </cell>
          <cell r="K339">
            <v>1.7117</v>
          </cell>
          <cell r="L339">
            <v>38.709537646783893</v>
          </cell>
        </row>
        <row r="340">
          <cell r="B340">
            <v>39545</v>
          </cell>
          <cell r="C340">
            <v>47.849904549999998</v>
          </cell>
          <cell r="D340">
            <v>35.226265769999998</v>
          </cell>
          <cell r="E340">
            <v>46.802803767</v>
          </cell>
          <cell r="F340">
            <v>33.551908447000002</v>
          </cell>
          <cell r="G340">
            <v>88.843067692000005</v>
          </cell>
          <cell r="H340">
            <v>66.220799597999999</v>
          </cell>
          <cell r="J340">
            <v>39545</v>
          </cell>
          <cell r="K340">
            <v>1.6990000000000001</v>
          </cell>
          <cell r="L340">
            <v>38.976338786344904</v>
          </cell>
        </row>
        <row r="341">
          <cell r="B341">
            <v>39546</v>
          </cell>
          <cell r="C341">
            <v>43.863186925000001</v>
          </cell>
          <cell r="D341">
            <v>33.845025348999997</v>
          </cell>
          <cell r="E341">
            <v>46.171071204</v>
          </cell>
          <cell r="F341">
            <v>32.570336658000002</v>
          </cell>
          <cell r="G341">
            <v>89.637222027000007</v>
          </cell>
          <cell r="H341">
            <v>65.717946467000004</v>
          </cell>
          <cell r="J341">
            <v>39546</v>
          </cell>
          <cell r="K341">
            <v>1.7038</v>
          </cell>
          <cell r="L341">
            <v>38.571397151660996</v>
          </cell>
        </row>
        <row r="342">
          <cell r="B342">
            <v>39547</v>
          </cell>
          <cell r="C342">
            <v>44.420769810000003</v>
          </cell>
          <cell r="D342">
            <v>34.623711223999997</v>
          </cell>
          <cell r="E342">
            <v>45.742116996</v>
          </cell>
          <cell r="F342">
            <v>31.930827764</v>
          </cell>
          <cell r="G342">
            <v>86.492056341999998</v>
          </cell>
          <cell r="H342">
            <v>64.103150498999995</v>
          </cell>
          <cell r="J342">
            <v>39547</v>
          </cell>
          <cell r="K342">
            <v>1.6878</v>
          </cell>
          <cell r="L342">
            <v>37.980300094205475</v>
          </cell>
        </row>
        <row r="343">
          <cell r="B343">
            <v>39548</v>
          </cell>
          <cell r="C343">
            <v>44.374304569000003</v>
          </cell>
          <cell r="D343">
            <v>34.299258776000002</v>
          </cell>
          <cell r="E343">
            <v>46.249062879</v>
          </cell>
          <cell r="F343">
            <v>32.719059655999999</v>
          </cell>
          <cell r="G343">
            <v>85.823708633999999</v>
          </cell>
          <cell r="H343">
            <v>62.750404752999998</v>
          </cell>
          <cell r="J343">
            <v>39548</v>
          </cell>
          <cell r="K343">
            <v>1.6821999999999999</v>
          </cell>
          <cell r="L343">
            <v>37.302582780287722</v>
          </cell>
        </row>
        <row r="344">
          <cell r="B344">
            <v>39549</v>
          </cell>
          <cell r="C344">
            <v>45.443005098</v>
          </cell>
          <cell r="D344">
            <v>35.216995699999998</v>
          </cell>
          <cell r="E344">
            <v>44.962200252000002</v>
          </cell>
          <cell r="F344">
            <v>32.681878906000001</v>
          </cell>
          <cell r="G344">
            <v>86.492056341999998</v>
          </cell>
          <cell r="H344">
            <v>60.200726907000004</v>
          </cell>
          <cell r="J344">
            <v>39549</v>
          </cell>
          <cell r="K344">
            <v>1.6876</v>
          </cell>
          <cell r="L344">
            <v>35.672390914316189</v>
          </cell>
        </row>
        <row r="345">
          <cell r="B345">
            <v>39552</v>
          </cell>
          <cell r="C345">
            <v>45.294316328999997</v>
          </cell>
          <cell r="D345">
            <v>35.597068567999997</v>
          </cell>
          <cell r="E345">
            <v>43.675337626000001</v>
          </cell>
          <cell r="F345">
            <v>31.38055267</v>
          </cell>
          <cell r="G345">
            <v>82.552736320999998</v>
          </cell>
          <cell r="H345">
            <v>58.217644139000001</v>
          </cell>
          <cell r="J345">
            <v>39552</v>
          </cell>
          <cell r="K345">
            <v>1.6867000000000001</v>
          </cell>
          <cell r="L345">
            <v>34.515707677121007</v>
          </cell>
        </row>
        <row r="346">
          <cell r="B346">
            <v>39553</v>
          </cell>
          <cell r="C346">
            <v>44.606630770999999</v>
          </cell>
          <cell r="D346">
            <v>34.308528846000002</v>
          </cell>
          <cell r="E346">
            <v>44.860811075999997</v>
          </cell>
          <cell r="F346">
            <v>30.748479927000002</v>
          </cell>
          <cell r="G346" t="str">
            <v>-</v>
          </cell>
          <cell r="H346">
            <v>57.785615393</v>
          </cell>
          <cell r="J346">
            <v>39553</v>
          </cell>
          <cell r="K346">
            <v>1.6821999999999999</v>
          </cell>
          <cell r="L346">
            <v>34.351215903578648</v>
          </cell>
        </row>
        <row r="347">
          <cell r="B347">
            <v>39554</v>
          </cell>
          <cell r="C347">
            <v>45.071283174999998</v>
          </cell>
          <cell r="D347">
            <v>34.577360874</v>
          </cell>
          <cell r="E347">
            <v>45.937096181000001</v>
          </cell>
          <cell r="F347">
            <v>31.417733420000001</v>
          </cell>
          <cell r="G347">
            <v>84.919473499999995</v>
          </cell>
          <cell r="H347">
            <v>58.2105617</v>
          </cell>
          <cell r="J347">
            <v>39554</v>
          </cell>
          <cell r="K347">
            <v>1.6698999999999999</v>
          </cell>
          <cell r="L347">
            <v>34.858711120426371</v>
          </cell>
        </row>
        <row r="348">
          <cell r="B348">
            <v>39555</v>
          </cell>
          <cell r="C348">
            <v>45.071283174999998</v>
          </cell>
          <cell r="D348">
            <v>34.762762273</v>
          </cell>
          <cell r="E348">
            <v>46.093079529999997</v>
          </cell>
          <cell r="F348">
            <v>31.454914168999998</v>
          </cell>
          <cell r="G348" t="str">
            <v>-</v>
          </cell>
          <cell r="H348">
            <v>58.075995368999997</v>
          </cell>
          <cell r="J348">
            <v>39555</v>
          </cell>
          <cell r="K348">
            <v>1.6588000000000001</v>
          </cell>
          <cell r="L348">
            <v>35.010848425970579</v>
          </cell>
        </row>
        <row r="349">
          <cell r="B349">
            <v>39556</v>
          </cell>
          <cell r="C349">
            <v>45.071283174999998</v>
          </cell>
          <cell r="D349">
            <v>35.207725629999999</v>
          </cell>
          <cell r="E349">
            <v>46.124276199999997</v>
          </cell>
          <cell r="F349">
            <v>32.324943709999999</v>
          </cell>
          <cell r="G349">
            <v>82.560599236000002</v>
          </cell>
          <cell r="H349">
            <v>61.617214599</v>
          </cell>
          <cell r="J349">
            <v>39556</v>
          </cell>
          <cell r="K349">
            <v>1.6693</v>
          </cell>
          <cell r="L349">
            <v>36.912007787096385</v>
          </cell>
        </row>
        <row r="350">
          <cell r="B350">
            <v>39559</v>
          </cell>
          <cell r="C350" t="str">
            <v>-</v>
          </cell>
          <cell r="D350" t="str">
            <v>-</v>
          </cell>
          <cell r="E350" t="str">
            <v>-</v>
          </cell>
          <cell r="F350" t="str">
            <v>-</v>
          </cell>
          <cell r="G350" t="str">
            <v>-</v>
          </cell>
          <cell r="H350" t="str">
            <v>-</v>
          </cell>
          <cell r="J350">
            <v>39559</v>
          </cell>
          <cell r="K350" t="str">
            <v>-</v>
          </cell>
          <cell r="L350">
            <v>36.912007787096385</v>
          </cell>
        </row>
        <row r="351">
          <cell r="B351">
            <v>39560</v>
          </cell>
          <cell r="C351">
            <v>45.061990127000001</v>
          </cell>
          <cell r="D351">
            <v>34.299258776000002</v>
          </cell>
          <cell r="E351">
            <v>46.405046227</v>
          </cell>
          <cell r="F351">
            <v>32.867782654999999</v>
          </cell>
          <cell r="G351">
            <v>82.560599236000002</v>
          </cell>
          <cell r="H351">
            <v>64.096068059999993</v>
          </cell>
          <cell r="J351">
            <v>39560</v>
          </cell>
          <cell r="K351">
            <v>1.6575</v>
          </cell>
          <cell r="L351">
            <v>38.670327638009049</v>
          </cell>
        </row>
        <row r="352">
          <cell r="B352">
            <v>39561</v>
          </cell>
          <cell r="C352">
            <v>45.061990127000001</v>
          </cell>
          <cell r="D352">
            <v>34.762762273</v>
          </cell>
          <cell r="E352">
            <v>45.235171112000003</v>
          </cell>
          <cell r="F352">
            <v>32.495975158</v>
          </cell>
          <cell r="G352">
            <v>82.560599236000002</v>
          </cell>
          <cell r="H352">
            <v>64.478519736999999</v>
          </cell>
          <cell r="J352">
            <v>39561</v>
          </cell>
          <cell r="K352">
            <v>1.6581999999999999</v>
          </cell>
          <cell r="L352">
            <v>38.884645843082865</v>
          </cell>
        </row>
        <row r="353">
          <cell r="B353">
            <v>39562</v>
          </cell>
          <cell r="C353">
            <v>46.465240387000001</v>
          </cell>
          <cell r="D353">
            <v>35.087214721000002</v>
          </cell>
          <cell r="E353">
            <v>46.405046227</v>
          </cell>
          <cell r="F353">
            <v>32.079550763</v>
          </cell>
          <cell r="G353" t="str">
            <v>-</v>
          </cell>
          <cell r="H353">
            <v>65.243423090999997</v>
          </cell>
          <cell r="J353">
            <v>39562</v>
          </cell>
          <cell r="K353">
            <v>1.6687000000000001</v>
          </cell>
          <cell r="L353">
            <v>39.098353862887272</v>
          </cell>
        </row>
        <row r="354">
          <cell r="B354">
            <v>39563</v>
          </cell>
          <cell r="C354">
            <v>46.000587983000003</v>
          </cell>
          <cell r="D354">
            <v>35.040864370999998</v>
          </cell>
          <cell r="E354">
            <v>46.405046227</v>
          </cell>
          <cell r="F354">
            <v>31.083106673</v>
          </cell>
          <cell r="G354">
            <v>86.492056341999998</v>
          </cell>
          <cell r="H354">
            <v>65.179681145000004</v>
          </cell>
          <cell r="J354">
            <v>39563</v>
          </cell>
          <cell r="K354">
            <v>1.6688000000000001</v>
          </cell>
          <cell r="L354">
            <v>39.057814684204217</v>
          </cell>
        </row>
        <row r="355">
          <cell r="B355">
            <v>39566</v>
          </cell>
          <cell r="C355">
            <v>45.071283174999998</v>
          </cell>
          <cell r="D355">
            <v>35.689769267000003</v>
          </cell>
          <cell r="E355">
            <v>41.335587396000001</v>
          </cell>
          <cell r="F355">
            <v>28.071465955000001</v>
          </cell>
          <cell r="G355">
            <v>82.560599236000002</v>
          </cell>
          <cell r="H355">
            <v>63.288670076000002</v>
          </cell>
          <cell r="J355">
            <v>39566</v>
          </cell>
          <cell r="K355">
            <v>1.6763999999999999</v>
          </cell>
          <cell r="L355">
            <v>37.752726125029831</v>
          </cell>
        </row>
        <row r="356">
          <cell r="B356">
            <v>39567</v>
          </cell>
          <cell r="C356">
            <v>45.061990127000001</v>
          </cell>
          <cell r="D356">
            <v>35.689769267000003</v>
          </cell>
          <cell r="E356">
            <v>38.746263808000002</v>
          </cell>
          <cell r="F356">
            <v>27.811200708000001</v>
          </cell>
          <cell r="G356" t="str">
            <v>-</v>
          </cell>
          <cell r="H356">
            <v>63.812770522000001</v>
          </cell>
          <cell r="J356">
            <v>39567</v>
          </cell>
          <cell r="K356">
            <v>1.7058</v>
          </cell>
          <cell r="L356">
            <v>37.409292133896123</v>
          </cell>
        </row>
        <row r="357">
          <cell r="B357">
            <v>39568</v>
          </cell>
          <cell r="C357">
            <v>46.455947338999998</v>
          </cell>
          <cell r="D357">
            <v>35.689769267000003</v>
          </cell>
          <cell r="E357">
            <v>39.775753909000002</v>
          </cell>
          <cell r="F357">
            <v>28.257369702999998</v>
          </cell>
          <cell r="G357">
            <v>84.919473499999995</v>
          </cell>
          <cell r="H357">
            <v>67.807265813000001</v>
          </cell>
          <cell r="J357">
            <v>39568</v>
          </cell>
          <cell r="K357">
            <v>1.6872</v>
          </cell>
          <cell r="L357">
            <v>40.189228196420103</v>
          </cell>
        </row>
        <row r="358">
          <cell r="B358">
            <v>39569</v>
          </cell>
          <cell r="C358" t="str">
            <v>-</v>
          </cell>
          <cell r="D358" t="str">
            <v>-</v>
          </cell>
          <cell r="E358" t="str">
            <v>-</v>
          </cell>
          <cell r="F358" t="str">
            <v>-</v>
          </cell>
          <cell r="G358" t="str">
            <v>-</v>
          </cell>
          <cell r="H358" t="str">
            <v>-</v>
          </cell>
          <cell r="J358">
            <v>39569</v>
          </cell>
          <cell r="K358" t="str">
            <v>-</v>
          </cell>
          <cell r="L358">
            <v>40.189228196420103</v>
          </cell>
        </row>
        <row r="359">
          <cell r="B359">
            <v>39570</v>
          </cell>
          <cell r="C359">
            <v>48.323850002</v>
          </cell>
          <cell r="D359">
            <v>36.153272764</v>
          </cell>
          <cell r="E359">
            <v>36.671685271000001</v>
          </cell>
          <cell r="F359">
            <v>27.744275357999999</v>
          </cell>
          <cell r="G359">
            <v>84.133182078000004</v>
          </cell>
          <cell r="H359">
            <v>64.450189983000001</v>
          </cell>
          <cell r="J359">
            <v>39570</v>
          </cell>
          <cell r="K359">
            <v>1.6506000000000001</v>
          </cell>
          <cell r="L359">
            <v>39.046522466375862</v>
          </cell>
        </row>
        <row r="360">
          <cell r="B360">
            <v>39573</v>
          </cell>
          <cell r="C360">
            <v>48.788502405999999</v>
          </cell>
          <cell r="D360">
            <v>35.226265769999998</v>
          </cell>
          <cell r="E360">
            <v>38.098932910999999</v>
          </cell>
          <cell r="F360">
            <v>29.224069192999998</v>
          </cell>
          <cell r="G360">
            <v>83.346890657000003</v>
          </cell>
          <cell r="H360">
            <v>65.852512798000006</v>
          </cell>
          <cell r="J360">
            <v>39573</v>
          </cell>
          <cell r="K360">
            <v>1.6577999999999999</v>
          </cell>
          <cell r="L360">
            <v>39.722833151164195</v>
          </cell>
        </row>
        <row r="361">
          <cell r="B361">
            <v>39574</v>
          </cell>
          <cell r="C361">
            <v>50.089529137</v>
          </cell>
          <cell r="D361">
            <v>36.894878359000003</v>
          </cell>
          <cell r="E361">
            <v>40.407486470999999</v>
          </cell>
          <cell r="F361">
            <v>29.900758836000001</v>
          </cell>
          <cell r="G361">
            <v>84.133182078000004</v>
          </cell>
          <cell r="H361">
            <v>66.539509328999998</v>
          </cell>
          <cell r="J361">
            <v>39574</v>
          </cell>
          <cell r="K361">
            <v>1.6615</v>
          </cell>
          <cell r="L361">
            <v>40.047853944628351</v>
          </cell>
        </row>
        <row r="362">
          <cell r="B362">
            <v>39575</v>
          </cell>
          <cell r="C362">
            <v>52.784513079</v>
          </cell>
          <cell r="D362">
            <v>41.251811230999998</v>
          </cell>
          <cell r="E362">
            <v>39.775753909000002</v>
          </cell>
          <cell r="F362">
            <v>29.893322686000001</v>
          </cell>
          <cell r="G362">
            <v>82.560599236000002</v>
          </cell>
          <cell r="H362">
            <v>63.734863699000002</v>
          </cell>
          <cell r="J362">
            <v>39575</v>
          </cell>
          <cell r="K362">
            <v>1.6740999999999999</v>
          </cell>
          <cell r="L362">
            <v>38.071121019652352</v>
          </cell>
        </row>
        <row r="363">
          <cell r="B363">
            <v>39576</v>
          </cell>
          <cell r="C363">
            <v>53.899678848999997</v>
          </cell>
          <cell r="D363">
            <v>40.788307734</v>
          </cell>
          <cell r="E363">
            <v>40.945629023999999</v>
          </cell>
          <cell r="F363">
            <v>29.372792190999998</v>
          </cell>
          <cell r="G363">
            <v>82.560599236000002</v>
          </cell>
          <cell r="H363">
            <v>62.481272091000001</v>
          </cell>
          <cell r="J363">
            <v>39576</v>
          </cell>
          <cell r="K363">
            <v>1.6936</v>
          </cell>
          <cell r="L363">
            <v>36.892579175129903</v>
          </cell>
        </row>
        <row r="364">
          <cell r="B364">
            <v>39577</v>
          </cell>
          <cell r="C364">
            <v>54.717467079999999</v>
          </cell>
          <cell r="D364">
            <v>41.242541160999998</v>
          </cell>
          <cell r="E364">
            <v>42.037512464999999</v>
          </cell>
          <cell r="F364">
            <v>29.372792190999998</v>
          </cell>
          <cell r="G364" t="str">
            <v>-</v>
          </cell>
          <cell r="H364">
            <v>63.033702290999997</v>
          </cell>
          <cell r="J364">
            <v>39577</v>
          </cell>
          <cell r="K364">
            <v>1.6949000000000001</v>
          </cell>
          <cell r="L364">
            <v>37.190219063661573</v>
          </cell>
        </row>
        <row r="365">
          <cell r="B365">
            <v>39580</v>
          </cell>
          <cell r="C365">
            <v>54.717467079999999</v>
          </cell>
          <cell r="D365">
            <v>40.602906335</v>
          </cell>
          <cell r="E365">
            <v>43.651940123000003</v>
          </cell>
          <cell r="F365">
            <v>29.558695939</v>
          </cell>
          <cell r="G365">
            <v>83.346890657000003</v>
          </cell>
          <cell r="H365">
            <v>65.406319174999993</v>
          </cell>
          <cell r="J365">
            <v>39580</v>
          </cell>
          <cell r="K365">
            <v>1.6742999999999999</v>
          </cell>
          <cell r="L365">
            <v>39.064874380338047</v>
          </cell>
        </row>
        <row r="366">
          <cell r="B366">
            <v>39581</v>
          </cell>
          <cell r="C366">
            <v>54.643122695000002</v>
          </cell>
          <cell r="D366">
            <v>40.324804237000002</v>
          </cell>
          <cell r="E366">
            <v>42.895420883</v>
          </cell>
          <cell r="F366">
            <v>29.744599687000001</v>
          </cell>
          <cell r="G366" t="str">
            <v>-</v>
          </cell>
          <cell r="H366">
            <v>64.103150498999995</v>
          </cell>
          <cell r="J366">
            <v>39581</v>
          </cell>
          <cell r="K366">
            <v>1.6583000000000001</v>
          </cell>
          <cell r="L366">
            <v>38.655943133932333</v>
          </cell>
        </row>
        <row r="367">
          <cell r="B367">
            <v>39582</v>
          </cell>
          <cell r="C367">
            <v>52.970374040999999</v>
          </cell>
          <cell r="D367">
            <v>40.139402838000002</v>
          </cell>
          <cell r="E367">
            <v>42.115504139000002</v>
          </cell>
          <cell r="F367">
            <v>29.967684185</v>
          </cell>
          <cell r="G367" t="str">
            <v>-</v>
          </cell>
          <cell r="H367">
            <v>64.839724098000005</v>
          </cell>
          <cell r="J367">
            <v>39582</v>
          </cell>
          <cell r="K367">
            <v>1.6640999999999999</v>
          </cell>
          <cell r="L367">
            <v>38.963838770506584</v>
          </cell>
        </row>
        <row r="368">
          <cell r="B368">
            <v>39583</v>
          </cell>
          <cell r="C368" t="str">
            <v>-</v>
          </cell>
          <cell r="D368">
            <v>41.251811230999998</v>
          </cell>
          <cell r="E368">
            <v>40.797444843000001</v>
          </cell>
          <cell r="F368">
            <v>29.930503434999999</v>
          </cell>
          <cell r="G368" t="str">
            <v>-</v>
          </cell>
          <cell r="H368">
            <v>65.788770851999999</v>
          </cell>
          <cell r="J368">
            <v>39583</v>
          </cell>
          <cell r="K368">
            <v>1.6600999999999999</v>
          </cell>
          <cell r="L368">
            <v>39.629402356484547</v>
          </cell>
        </row>
        <row r="369">
          <cell r="B369">
            <v>39584</v>
          </cell>
          <cell r="C369">
            <v>53.435026444999998</v>
          </cell>
          <cell r="D369">
            <v>41.715314728000003</v>
          </cell>
          <cell r="E369">
            <v>40.945629023999999</v>
          </cell>
          <cell r="F369">
            <v>30.190768683000002</v>
          </cell>
          <cell r="G369">
            <v>83.346890657000003</v>
          </cell>
          <cell r="H369">
            <v>64.662663136999996</v>
          </cell>
          <cell r="J369">
            <v>39584</v>
          </cell>
          <cell r="K369">
            <v>1.6434</v>
          </cell>
          <cell r="L369">
            <v>39.346880331629549</v>
          </cell>
        </row>
        <row r="370">
          <cell r="B370">
            <v>39587</v>
          </cell>
          <cell r="C370">
            <v>53.435026444999998</v>
          </cell>
          <cell r="D370">
            <v>41.205460881</v>
          </cell>
          <cell r="E370">
            <v>39.98633143</v>
          </cell>
          <cell r="F370">
            <v>30.153587933000001</v>
          </cell>
          <cell r="G370">
            <v>84.919473499999995</v>
          </cell>
          <cell r="H370">
            <v>63.812770522000001</v>
          </cell>
          <cell r="J370">
            <v>39587</v>
          </cell>
          <cell r="K370">
            <v>1.6459999999999999</v>
          </cell>
          <cell r="L370">
            <v>38.768390353584451</v>
          </cell>
        </row>
        <row r="371">
          <cell r="B371">
            <v>39588</v>
          </cell>
          <cell r="C371" t="str">
            <v>-</v>
          </cell>
          <cell r="D371">
            <v>41.993416826000001</v>
          </cell>
          <cell r="E371">
            <v>40.391888135999999</v>
          </cell>
          <cell r="F371">
            <v>30.116407183</v>
          </cell>
          <cell r="G371" t="str">
            <v>-</v>
          </cell>
          <cell r="H371">
            <v>64.025243676000002</v>
          </cell>
          <cell r="J371">
            <v>39588</v>
          </cell>
          <cell r="K371">
            <v>1.657</v>
          </cell>
          <cell r="L371">
            <v>38.639253878092937</v>
          </cell>
        </row>
        <row r="372">
          <cell r="B372">
            <v>39589</v>
          </cell>
          <cell r="C372">
            <v>53.435026444999998</v>
          </cell>
          <cell r="D372">
            <v>43.105825219000003</v>
          </cell>
          <cell r="E372">
            <v>39.853745584000002</v>
          </cell>
          <cell r="F372">
            <v>30.116407183</v>
          </cell>
          <cell r="G372" t="str">
            <v>-</v>
          </cell>
          <cell r="H372">
            <v>64.060655867999998</v>
          </cell>
          <cell r="J372">
            <v>39589</v>
          </cell>
          <cell r="K372">
            <v>1.6492</v>
          </cell>
          <cell r="L372">
            <v>38.843473119088038</v>
          </cell>
        </row>
        <row r="373">
          <cell r="B373">
            <v>39590</v>
          </cell>
          <cell r="C373" t="str">
            <v>-</v>
          </cell>
          <cell r="D373" t="str">
            <v>-</v>
          </cell>
          <cell r="E373" t="str">
            <v>-</v>
          </cell>
          <cell r="F373" t="str">
            <v>-</v>
          </cell>
          <cell r="G373" t="str">
            <v>-</v>
          </cell>
          <cell r="H373" t="str">
            <v>-</v>
          </cell>
          <cell r="J373">
            <v>39590</v>
          </cell>
          <cell r="K373" t="str">
            <v>-</v>
          </cell>
          <cell r="L373">
            <v>38.843473119088038</v>
          </cell>
        </row>
        <row r="374">
          <cell r="B374">
            <v>39591</v>
          </cell>
          <cell r="C374">
            <v>54.782518416000002</v>
          </cell>
          <cell r="D374">
            <v>43.569328716000001</v>
          </cell>
          <cell r="E374">
            <v>40.555670653</v>
          </cell>
          <cell r="F374">
            <v>30.116407183</v>
          </cell>
          <cell r="G374">
            <v>85.705764920999997</v>
          </cell>
          <cell r="H374">
            <v>63.033702290999997</v>
          </cell>
          <cell r="J374">
            <v>39591</v>
          </cell>
          <cell r="K374">
            <v>1.6547000000000001</v>
          </cell>
          <cell r="L374">
            <v>38.093734387502266</v>
          </cell>
        </row>
        <row r="375">
          <cell r="B375">
            <v>39594</v>
          </cell>
          <cell r="C375">
            <v>54.782518416000002</v>
          </cell>
          <cell r="D375">
            <v>43.569328716000001</v>
          </cell>
          <cell r="E375">
            <v>39.744557239000002</v>
          </cell>
          <cell r="F375">
            <v>30.116407183</v>
          </cell>
          <cell r="G375">
            <v>85.705764920999997</v>
          </cell>
          <cell r="H375">
            <v>63.387824213999998</v>
          </cell>
          <cell r="J375">
            <v>39594</v>
          </cell>
          <cell r="K375">
            <v>1.661</v>
          </cell>
          <cell r="L375">
            <v>38.162446847682119</v>
          </cell>
        </row>
        <row r="376">
          <cell r="B376">
            <v>39595</v>
          </cell>
          <cell r="C376">
            <v>53.899678848999997</v>
          </cell>
          <cell r="D376">
            <v>43.801080464000002</v>
          </cell>
          <cell r="E376">
            <v>39.775753909000002</v>
          </cell>
          <cell r="F376">
            <v>30.636937677999999</v>
          </cell>
          <cell r="G376">
            <v>84.919473499999995</v>
          </cell>
          <cell r="H376">
            <v>63.458648599</v>
          </cell>
          <cell r="J376">
            <v>39595</v>
          </cell>
          <cell r="K376">
            <v>1.6680999999999999</v>
          </cell>
          <cell r="L376">
            <v>38.042472632935677</v>
          </cell>
        </row>
        <row r="377">
          <cell r="B377">
            <v>39596</v>
          </cell>
          <cell r="C377">
            <v>55.200705579999997</v>
          </cell>
          <cell r="D377">
            <v>45.738525082000002</v>
          </cell>
          <cell r="E377">
            <v>40.672658163999998</v>
          </cell>
          <cell r="F377">
            <v>31.454914168999998</v>
          </cell>
          <cell r="G377">
            <v>84.840844356999995</v>
          </cell>
          <cell r="H377">
            <v>65.165516268000005</v>
          </cell>
          <cell r="J377">
            <v>39596</v>
          </cell>
          <cell r="K377">
            <v>1.663</v>
          </cell>
          <cell r="L377">
            <v>39.1855179001804</v>
          </cell>
        </row>
        <row r="378">
          <cell r="B378">
            <v>39597</v>
          </cell>
          <cell r="C378">
            <v>53.899678848999997</v>
          </cell>
          <cell r="D378">
            <v>44.449985359999999</v>
          </cell>
          <cell r="E378">
            <v>40.555670653</v>
          </cell>
          <cell r="F378">
            <v>31.603637167999999</v>
          </cell>
          <cell r="G378">
            <v>84.911610585000005</v>
          </cell>
          <cell r="H378">
            <v>64.917630920999997</v>
          </cell>
          <cell r="J378">
            <v>39597</v>
          </cell>
          <cell r="K378">
            <v>1.6496</v>
          </cell>
          <cell r="L378">
            <v>39.353558996726477</v>
          </cell>
        </row>
        <row r="379">
          <cell r="B379">
            <v>39598</v>
          </cell>
          <cell r="C379">
            <v>55.284343012000001</v>
          </cell>
          <cell r="D379">
            <v>44.496335709999997</v>
          </cell>
          <cell r="E379">
            <v>40.477678978</v>
          </cell>
          <cell r="F379">
            <v>31.529275669</v>
          </cell>
          <cell r="G379">
            <v>86.484193427999998</v>
          </cell>
          <cell r="H379">
            <v>67.984326773999996</v>
          </cell>
          <cell r="J379">
            <v>39598</v>
          </cell>
          <cell r="K379">
            <v>1.6294</v>
          </cell>
          <cell r="L379">
            <v>41.723534291150116</v>
          </cell>
        </row>
        <row r="380">
          <cell r="B380">
            <v>39601</v>
          </cell>
          <cell r="C380">
            <v>55.572427503</v>
          </cell>
          <cell r="D380">
            <v>46.350349698000002</v>
          </cell>
          <cell r="E380">
            <v>40.126716444000003</v>
          </cell>
          <cell r="F380">
            <v>31.231829672</v>
          </cell>
          <cell r="G380">
            <v>86.492056341999998</v>
          </cell>
          <cell r="H380">
            <v>65.158433829000003</v>
          </cell>
          <cell r="J380">
            <v>39601</v>
          </cell>
          <cell r="K380">
            <v>1.6319999999999999</v>
          </cell>
          <cell r="L380">
            <v>39.925510924632356</v>
          </cell>
        </row>
        <row r="381">
          <cell r="B381">
            <v>39602</v>
          </cell>
          <cell r="C381">
            <v>55.107775099000001</v>
          </cell>
          <cell r="D381">
            <v>46.257648998000001</v>
          </cell>
          <cell r="E381">
            <v>39.229812189</v>
          </cell>
          <cell r="F381">
            <v>30.904639074999999</v>
          </cell>
          <cell r="G381" t="str">
            <v>-</v>
          </cell>
          <cell r="H381">
            <v>63.033702290999997</v>
          </cell>
          <cell r="J381">
            <v>39602</v>
          </cell>
          <cell r="K381">
            <v>1.6214999999999999</v>
          </cell>
          <cell r="L381">
            <v>38.873698606845515</v>
          </cell>
        </row>
        <row r="382">
          <cell r="B382">
            <v>39603</v>
          </cell>
          <cell r="C382" t="str">
            <v>-</v>
          </cell>
          <cell r="D382">
            <v>46.257648998000001</v>
          </cell>
          <cell r="E382">
            <v>38.605878793999999</v>
          </cell>
          <cell r="F382">
            <v>30.227949431999999</v>
          </cell>
          <cell r="G382" t="str">
            <v>-</v>
          </cell>
          <cell r="H382">
            <v>64.733487522000004</v>
          </cell>
          <cell r="J382">
            <v>39603</v>
          </cell>
          <cell r="K382">
            <v>1.6307</v>
          </cell>
          <cell r="L382">
            <v>39.696748342429636</v>
          </cell>
        </row>
        <row r="383">
          <cell r="B383">
            <v>39604</v>
          </cell>
          <cell r="C383">
            <v>54.819690608000002</v>
          </cell>
          <cell r="D383">
            <v>45.784875431000003</v>
          </cell>
          <cell r="E383">
            <v>40.157913112999999</v>
          </cell>
          <cell r="F383">
            <v>31.298755021000002</v>
          </cell>
          <cell r="G383">
            <v>85.697902006999996</v>
          </cell>
          <cell r="H383">
            <v>64.096068059999993</v>
          </cell>
          <cell r="J383">
            <v>39604</v>
          </cell>
          <cell r="K383">
            <v>1.6262000000000001</v>
          </cell>
          <cell r="L383">
            <v>39.414628003935547</v>
          </cell>
        </row>
        <row r="384">
          <cell r="B384">
            <v>39605</v>
          </cell>
          <cell r="C384">
            <v>55.748995416</v>
          </cell>
          <cell r="D384">
            <v>45.775605360999997</v>
          </cell>
          <cell r="E384">
            <v>39.533979719000001</v>
          </cell>
          <cell r="F384">
            <v>30.488214678999999</v>
          </cell>
          <cell r="G384" t="str">
            <v>-</v>
          </cell>
          <cell r="H384">
            <v>64.372283159999995</v>
          </cell>
          <cell r="J384">
            <v>39605</v>
          </cell>
          <cell r="K384">
            <v>1.6282000000000001</v>
          </cell>
          <cell r="L384">
            <v>39.53585748679523</v>
          </cell>
        </row>
        <row r="385">
          <cell r="B385">
            <v>39608</v>
          </cell>
          <cell r="C385">
            <v>54.828983655999998</v>
          </cell>
          <cell r="D385">
            <v>45.794145501000003</v>
          </cell>
          <cell r="E385">
            <v>40.009728932000002</v>
          </cell>
          <cell r="F385">
            <v>30.488214678999999</v>
          </cell>
          <cell r="G385">
            <v>86.484193427999998</v>
          </cell>
          <cell r="H385">
            <v>65.866677675000005</v>
          </cell>
          <cell r="J385">
            <v>39608</v>
          </cell>
          <cell r="K385">
            <v>1.6265000000000001</v>
          </cell>
          <cell r="L385">
            <v>40.495959222256381</v>
          </cell>
        </row>
        <row r="386">
          <cell r="B386">
            <v>39609</v>
          </cell>
          <cell r="C386">
            <v>56.204354772000002</v>
          </cell>
          <cell r="D386">
            <v>45.655094452</v>
          </cell>
          <cell r="E386">
            <v>39.533979719000001</v>
          </cell>
          <cell r="F386">
            <v>30.042045684000001</v>
          </cell>
          <cell r="G386" t="str">
            <v>-</v>
          </cell>
          <cell r="H386">
            <v>66.716570290000007</v>
          </cell>
          <cell r="J386">
            <v>39609</v>
          </cell>
          <cell r="K386">
            <v>1.6392</v>
          </cell>
          <cell r="L386">
            <v>40.700689537579315</v>
          </cell>
        </row>
        <row r="387">
          <cell r="B387">
            <v>39610</v>
          </cell>
          <cell r="C387">
            <v>54.828983655999998</v>
          </cell>
          <cell r="D387">
            <v>45.423342704</v>
          </cell>
          <cell r="E387">
            <v>39.775753909000002</v>
          </cell>
          <cell r="F387">
            <v>30.488214678999999</v>
          </cell>
          <cell r="G387">
            <v>86.492056341999998</v>
          </cell>
          <cell r="H387">
            <v>66.929043444000001</v>
          </cell>
          <cell r="J387">
            <v>39610</v>
          </cell>
          <cell r="K387">
            <v>1.6428</v>
          </cell>
          <cell r="L387">
            <v>40.740834821037254</v>
          </cell>
        </row>
        <row r="388">
          <cell r="B388">
            <v>39611</v>
          </cell>
          <cell r="C388">
            <v>54.828983655999998</v>
          </cell>
          <cell r="D388">
            <v>45.135970536000002</v>
          </cell>
          <cell r="E388">
            <v>40.009728932000002</v>
          </cell>
          <cell r="F388">
            <v>31.231829672</v>
          </cell>
          <cell r="G388">
            <v>86.492056341999998</v>
          </cell>
          <cell r="H388">
            <v>66.929043444000001</v>
          </cell>
          <cell r="J388">
            <v>39611</v>
          </cell>
          <cell r="K388">
            <v>1.64</v>
          </cell>
          <cell r="L388">
            <v>40.810392343902443</v>
          </cell>
        </row>
        <row r="389">
          <cell r="B389">
            <v>39612</v>
          </cell>
          <cell r="C389" t="str">
            <v>-</v>
          </cell>
          <cell r="D389">
            <v>44.950569137000002</v>
          </cell>
          <cell r="E389">
            <v>39.92393809</v>
          </cell>
          <cell r="F389">
            <v>31.231829672</v>
          </cell>
          <cell r="G389" t="str">
            <v>-</v>
          </cell>
          <cell r="H389">
            <v>64.556426560000006</v>
          </cell>
          <cell r="J389">
            <v>39612</v>
          </cell>
          <cell r="K389">
            <v>1.6368</v>
          </cell>
          <cell r="L389">
            <v>39.4406320625611</v>
          </cell>
        </row>
        <row r="390">
          <cell r="B390">
            <v>39615</v>
          </cell>
          <cell r="C390" t="str">
            <v>-</v>
          </cell>
          <cell r="D390">
            <v>44.403635010000002</v>
          </cell>
          <cell r="E390">
            <v>39.580774722999998</v>
          </cell>
          <cell r="F390">
            <v>31.677998667000001</v>
          </cell>
          <cell r="G390">
            <v>84.133182078000004</v>
          </cell>
          <cell r="H390">
            <v>66.454520067000004</v>
          </cell>
          <cell r="J390">
            <v>39615</v>
          </cell>
          <cell r="K390">
            <v>1.6276999999999999</v>
          </cell>
          <cell r="L390">
            <v>40.82725322049518</v>
          </cell>
        </row>
        <row r="391">
          <cell r="B391">
            <v>39616</v>
          </cell>
          <cell r="C391">
            <v>54.828983655999998</v>
          </cell>
          <cell r="D391">
            <v>43.383927317000001</v>
          </cell>
          <cell r="E391">
            <v>40.672658163999998</v>
          </cell>
          <cell r="F391">
            <v>31.231829672</v>
          </cell>
          <cell r="G391">
            <v>87.278347762999999</v>
          </cell>
          <cell r="H391">
            <v>66.574921520999993</v>
          </cell>
          <cell r="J391">
            <v>39616</v>
          </cell>
          <cell r="K391">
            <v>1.6127</v>
          </cell>
          <cell r="L391">
            <v>41.281652831276737</v>
          </cell>
        </row>
        <row r="392">
          <cell r="B392">
            <v>39617</v>
          </cell>
          <cell r="C392" t="str">
            <v>-</v>
          </cell>
          <cell r="D392">
            <v>43.105825219000003</v>
          </cell>
          <cell r="E392">
            <v>39.775753909000002</v>
          </cell>
          <cell r="F392">
            <v>31.343371920999999</v>
          </cell>
          <cell r="G392">
            <v>88.457784895000003</v>
          </cell>
          <cell r="H392">
            <v>63.671121753000001</v>
          </cell>
          <cell r="J392">
            <v>39617</v>
          </cell>
          <cell r="K392">
            <v>1.6113</v>
          </cell>
          <cell r="L392">
            <v>39.515373768385778</v>
          </cell>
        </row>
        <row r="393">
          <cell r="B393">
            <v>39618</v>
          </cell>
          <cell r="C393">
            <v>53.899678848999997</v>
          </cell>
          <cell r="D393">
            <v>42.540350953000001</v>
          </cell>
          <cell r="E393">
            <v>39.721159737000001</v>
          </cell>
          <cell r="F393">
            <v>31.603637167999999</v>
          </cell>
          <cell r="G393" t="str">
            <v>-</v>
          </cell>
          <cell r="H393">
            <v>64.775982151999997</v>
          </cell>
          <cell r="J393">
            <v>39618</v>
          </cell>
          <cell r="K393">
            <v>1.6051</v>
          </cell>
          <cell r="L393">
            <v>40.356352969908414</v>
          </cell>
        </row>
        <row r="394">
          <cell r="B394">
            <v>39619</v>
          </cell>
          <cell r="C394" t="str">
            <v>-</v>
          </cell>
          <cell r="D394">
            <v>42.271518923999999</v>
          </cell>
          <cell r="E394">
            <v>38.309510432000003</v>
          </cell>
          <cell r="F394">
            <v>31.231829672</v>
          </cell>
          <cell r="G394">
            <v>88.457784895000003</v>
          </cell>
          <cell r="H394">
            <v>61.610132161000003</v>
          </cell>
          <cell r="J394">
            <v>39619</v>
          </cell>
          <cell r="K394">
            <v>1.6042000000000001</v>
          </cell>
          <cell r="L394">
            <v>38.405518115571624</v>
          </cell>
        </row>
        <row r="395">
          <cell r="B395">
            <v>39622</v>
          </cell>
          <cell r="C395" t="str">
            <v>-</v>
          </cell>
          <cell r="D395">
            <v>43.569328716000001</v>
          </cell>
          <cell r="E395">
            <v>39.463787212</v>
          </cell>
          <cell r="F395">
            <v>31.083106673</v>
          </cell>
          <cell r="G395" t="str">
            <v>-</v>
          </cell>
          <cell r="H395">
            <v>60.413200060999998</v>
          </cell>
          <cell r="J395">
            <v>39622</v>
          </cell>
          <cell r="K395">
            <v>1.6116999999999999</v>
          </cell>
          <cell r="L395">
            <v>37.484147211639886</v>
          </cell>
        </row>
        <row r="396">
          <cell r="B396">
            <v>39623</v>
          </cell>
          <cell r="C396" t="str">
            <v>-</v>
          </cell>
          <cell r="D396">
            <v>42.642321721999998</v>
          </cell>
          <cell r="E396">
            <v>39.073828839999997</v>
          </cell>
          <cell r="F396">
            <v>31.231829672</v>
          </cell>
          <cell r="G396">
            <v>84.597094017000003</v>
          </cell>
          <cell r="H396">
            <v>60.484024445999999</v>
          </cell>
          <cell r="J396">
            <v>39623</v>
          </cell>
          <cell r="K396">
            <v>1.6046</v>
          </cell>
          <cell r="L396">
            <v>37.694144612987657</v>
          </cell>
        </row>
        <row r="397">
          <cell r="B397">
            <v>39624</v>
          </cell>
          <cell r="C397">
            <v>53.435026444999998</v>
          </cell>
          <cell r="D397">
            <v>42.086117524999999</v>
          </cell>
          <cell r="E397">
            <v>38.605878793999999</v>
          </cell>
          <cell r="F397">
            <v>31.454914168999998</v>
          </cell>
          <cell r="G397">
            <v>85.705764920999997</v>
          </cell>
          <cell r="H397">
            <v>62.94871303</v>
          </cell>
          <cell r="J397">
            <v>39624</v>
          </cell>
          <cell r="K397">
            <v>1.6001000000000001</v>
          </cell>
          <cell r="L397">
            <v>39.34048686332104</v>
          </cell>
        </row>
        <row r="398">
          <cell r="B398">
            <v>39625</v>
          </cell>
          <cell r="C398" t="str">
            <v>-</v>
          </cell>
          <cell r="D398">
            <v>42.086117524999999</v>
          </cell>
          <cell r="E398">
            <v>37.085041144999998</v>
          </cell>
          <cell r="F398">
            <v>30.309747081000001</v>
          </cell>
          <cell r="G398" t="str">
            <v>-</v>
          </cell>
          <cell r="H398">
            <v>60.838146369</v>
          </cell>
          <cell r="J398">
            <v>39625</v>
          </cell>
          <cell r="K398">
            <v>1.5951</v>
          </cell>
          <cell r="L398">
            <v>38.140647212713937</v>
          </cell>
        </row>
        <row r="399">
          <cell r="B399">
            <v>39626</v>
          </cell>
          <cell r="C399" t="str">
            <v>-</v>
          </cell>
          <cell r="D399">
            <v>42.076847456000003</v>
          </cell>
          <cell r="E399">
            <v>36.266128563999999</v>
          </cell>
          <cell r="F399">
            <v>29.670238187999999</v>
          </cell>
          <cell r="G399">
            <v>77.056559286999999</v>
          </cell>
          <cell r="H399">
            <v>60.696497598999997</v>
          </cell>
          <cell r="J399">
            <v>39626</v>
          </cell>
          <cell r="K399">
            <v>1.6076999999999999</v>
          </cell>
          <cell r="L399">
            <v>37.753621694967968</v>
          </cell>
        </row>
        <row r="400">
          <cell r="B400">
            <v>39629</v>
          </cell>
          <cell r="C400">
            <v>49.262447858000002</v>
          </cell>
          <cell r="D400">
            <v>42.438380183</v>
          </cell>
          <cell r="E400">
            <v>36.094546880999999</v>
          </cell>
          <cell r="F400">
            <v>29.885886536000001</v>
          </cell>
          <cell r="G400">
            <v>79.022287840000004</v>
          </cell>
          <cell r="H400">
            <v>62.325458445000002</v>
          </cell>
          <cell r="J400">
            <v>39629</v>
          </cell>
          <cell r="K400">
            <v>1.5919000000000001</v>
          </cell>
          <cell r="L400">
            <v>39.15161658709718</v>
          </cell>
        </row>
        <row r="401">
          <cell r="B401">
            <v>39630</v>
          </cell>
          <cell r="C401">
            <v>54.364331253000003</v>
          </cell>
          <cell r="D401">
            <v>42.178818225000001</v>
          </cell>
          <cell r="E401">
            <v>34.940270101000003</v>
          </cell>
          <cell r="F401">
            <v>28.004540605999999</v>
          </cell>
          <cell r="G401" t="str">
            <v>-</v>
          </cell>
          <cell r="H401">
            <v>60.278633730000003</v>
          </cell>
          <cell r="J401">
            <v>39630</v>
          </cell>
          <cell r="K401">
            <v>1.6061000000000001</v>
          </cell>
          <cell r="L401">
            <v>37.531058919120852</v>
          </cell>
        </row>
        <row r="402">
          <cell r="B402">
            <v>39631</v>
          </cell>
          <cell r="C402">
            <v>53.890385801000001</v>
          </cell>
          <cell r="D402">
            <v>41.696774587999997</v>
          </cell>
          <cell r="E402">
            <v>33.848386660000003</v>
          </cell>
          <cell r="F402">
            <v>27.885562207</v>
          </cell>
          <cell r="G402">
            <v>74.689822108000001</v>
          </cell>
          <cell r="H402">
            <v>57.013629600000002</v>
          </cell>
          <cell r="J402">
            <v>39631</v>
          </cell>
          <cell r="K402">
            <v>1.5992999999999999</v>
          </cell>
          <cell r="L402">
            <v>35.649114987807167</v>
          </cell>
        </row>
        <row r="403">
          <cell r="B403">
            <v>39632</v>
          </cell>
          <cell r="C403" t="str">
            <v>-</v>
          </cell>
          <cell r="D403">
            <v>40.779037664000001</v>
          </cell>
          <cell r="E403">
            <v>32.834494894000002</v>
          </cell>
          <cell r="F403">
            <v>26.695778219000001</v>
          </cell>
          <cell r="G403">
            <v>76.663413575999996</v>
          </cell>
          <cell r="H403">
            <v>58.288468522999999</v>
          </cell>
          <cell r="J403">
            <v>39632</v>
          </cell>
          <cell r="K403">
            <v>1.6089</v>
          </cell>
          <cell r="L403">
            <v>36.228770292125056</v>
          </cell>
        </row>
        <row r="404">
          <cell r="B404">
            <v>39633</v>
          </cell>
          <cell r="C404" t="str">
            <v>-</v>
          </cell>
          <cell r="D404">
            <v>40.556555985000003</v>
          </cell>
          <cell r="E404">
            <v>32.366544847999997</v>
          </cell>
          <cell r="F404">
            <v>25.989343977000001</v>
          </cell>
          <cell r="G404" t="str">
            <v>-</v>
          </cell>
          <cell r="H404">
            <v>58.430117291999998</v>
          </cell>
          <cell r="J404">
            <v>39633</v>
          </cell>
          <cell r="K404">
            <v>1.61</v>
          </cell>
          <cell r="L404">
            <v>36.291998318012418</v>
          </cell>
        </row>
        <row r="405">
          <cell r="B405">
            <v>39636</v>
          </cell>
          <cell r="C405" t="str">
            <v>-</v>
          </cell>
          <cell r="D405">
            <v>39.861300739999997</v>
          </cell>
          <cell r="E405">
            <v>31.594427272000001</v>
          </cell>
          <cell r="F405">
            <v>26.249609224</v>
          </cell>
          <cell r="G405">
            <v>76.663413575999996</v>
          </cell>
          <cell r="H405">
            <v>57.721873445999996</v>
          </cell>
          <cell r="J405">
            <v>39636</v>
          </cell>
          <cell r="K405">
            <v>1.6041000000000001</v>
          </cell>
          <cell r="L405">
            <v>35.983962001122123</v>
          </cell>
        </row>
        <row r="406">
          <cell r="B406">
            <v>39637</v>
          </cell>
          <cell r="C406">
            <v>53.881092752999997</v>
          </cell>
          <cell r="D406">
            <v>39.397797242999999</v>
          </cell>
          <cell r="E406">
            <v>31.469640593000001</v>
          </cell>
          <cell r="F406">
            <v>26.249609224</v>
          </cell>
          <cell r="G406" t="str">
            <v>-</v>
          </cell>
          <cell r="H406">
            <v>58.146819753999999</v>
          </cell>
          <cell r="J406">
            <v>39637</v>
          </cell>
          <cell r="K406">
            <v>1.6027</v>
          </cell>
          <cell r="L406">
            <v>36.280538936794159</v>
          </cell>
        </row>
        <row r="407">
          <cell r="B407">
            <v>39638</v>
          </cell>
          <cell r="C407" t="str">
            <v>-</v>
          </cell>
          <cell r="D407" t="str">
            <v>-</v>
          </cell>
          <cell r="E407" t="str">
            <v>-</v>
          </cell>
          <cell r="F407" t="str">
            <v>-</v>
          </cell>
          <cell r="G407" t="str">
            <v>-</v>
          </cell>
          <cell r="H407" t="str">
            <v>-</v>
          </cell>
          <cell r="J407">
            <v>39638</v>
          </cell>
          <cell r="K407">
            <v>1.6092</v>
          </cell>
          <cell r="L407">
            <v>36.280538936794159</v>
          </cell>
        </row>
        <row r="408">
          <cell r="B408">
            <v>39639</v>
          </cell>
          <cell r="C408" t="str">
            <v>-</v>
          </cell>
          <cell r="D408">
            <v>39.295826474000002</v>
          </cell>
          <cell r="E408">
            <v>31.586628103999999</v>
          </cell>
          <cell r="F408">
            <v>27.788892258000001</v>
          </cell>
          <cell r="G408">
            <v>77.842850708</v>
          </cell>
          <cell r="H408">
            <v>60.986877575999998</v>
          </cell>
          <cell r="J408">
            <v>39639</v>
          </cell>
          <cell r="K408">
            <v>1.6147</v>
          </cell>
          <cell r="L408">
            <v>37.769788552672324</v>
          </cell>
        </row>
        <row r="409">
          <cell r="B409">
            <v>39640</v>
          </cell>
          <cell r="C409">
            <v>51.111764426000001</v>
          </cell>
          <cell r="D409">
            <v>39.852030669999998</v>
          </cell>
          <cell r="E409">
            <v>31.188870564999998</v>
          </cell>
          <cell r="F409">
            <v>27.662477709000001</v>
          </cell>
          <cell r="G409" t="str">
            <v>-</v>
          </cell>
          <cell r="H409">
            <v>60.349458114999997</v>
          </cell>
          <cell r="J409">
            <v>39640</v>
          </cell>
          <cell r="K409">
            <v>1.6032</v>
          </cell>
          <cell r="L409">
            <v>37.643125071731539</v>
          </cell>
        </row>
        <row r="410">
          <cell r="B410">
            <v>39643</v>
          </cell>
          <cell r="C410">
            <v>52.041069233000002</v>
          </cell>
          <cell r="D410">
            <v>41.529913329000003</v>
          </cell>
          <cell r="E410">
            <v>31.578828937000001</v>
          </cell>
          <cell r="F410">
            <v>27.922742956</v>
          </cell>
          <cell r="G410" t="str">
            <v>-</v>
          </cell>
          <cell r="H410">
            <v>59.386246483999997</v>
          </cell>
          <cell r="J410">
            <v>39643</v>
          </cell>
          <cell r="K410">
            <v>1.5942000000000001</v>
          </cell>
          <cell r="L410">
            <v>37.251440524400948</v>
          </cell>
        </row>
        <row r="411">
          <cell r="B411">
            <v>39644</v>
          </cell>
          <cell r="C411">
            <v>53.806748368000001</v>
          </cell>
          <cell r="D411" t="str">
            <v>-</v>
          </cell>
          <cell r="E411">
            <v>30.884703035000001</v>
          </cell>
          <cell r="F411">
            <v>27.885562207</v>
          </cell>
          <cell r="G411" t="str">
            <v>-</v>
          </cell>
          <cell r="H411">
            <v>61.617214599</v>
          </cell>
          <cell r="J411">
            <v>39644</v>
          </cell>
          <cell r="K411">
            <v>1.591</v>
          </cell>
          <cell r="L411">
            <v>38.728607541797615</v>
          </cell>
        </row>
        <row r="412">
          <cell r="B412">
            <v>39645</v>
          </cell>
          <cell r="C412" t="str">
            <v>-</v>
          </cell>
          <cell r="D412">
            <v>40.788307734</v>
          </cell>
          <cell r="E412">
            <v>30.962694710000001</v>
          </cell>
          <cell r="F412">
            <v>28.398656550999998</v>
          </cell>
          <cell r="G412">
            <v>77.842850708</v>
          </cell>
          <cell r="H412">
            <v>65.866677675000005</v>
          </cell>
          <cell r="J412">
            <v>39645</v>
          </cell>
          <cell r="K412">
            <v>1.5960000000000001</v>
          </cell>
          <cell r="L412">
            <v>41.269848167293233</v>
          </cell>
        </row>
        <row r="413">
          <cell r="B413">
            <v>39646</v>
          </cell>
          <cell r="C413">
            <v>52.970374040999999</v>
          </cell>
          <cell r="D413">
            <v>40.686336965000002</v>
          </cell>
          <cell r="E413">
            <v>31.188870564999998</v>
          </cell>
          <cell r="F413">
            <v>27.826073007000002</v>
          </cell>
          <cell r="G413" t="str">
            <v>-</v>
          </cell>
          <cell r="H413">
            <v>63.756111013999998</v>
          </cell>
          <cell r="J413">
            <v>39646</v>
          </cell>
          <cell r="K413">
            <v>1.5912999999999999</v>
          </cell>
          <cell r="L413">
            <v>40.0654251329102</v>
          </cell>
        </row>
        <row r="414">
          <cell r="B414">
            <v>39647</v>
          </cell>
          <cell r="C414" t="str">
            <v>-</v>
          </cell>
          <cell r="D414">
            <v>40.593636265000001</v>
          </cell>
          <cell r="E414">
            <v>31.001690546999999</v>
          </cell>
          <cell r="F414">
            <v>26.956043467000001</v>
          </cell>
          <cell r="G414">
            <v>80.988016392999995</v>
          </cell>
          <cell r="H414">
            <v>63.600297368</v>
          </cell>
          <cell r="J414">
            <v>39647</v>
          </cell>
          <cell r="K414">
            <v>1.5938000000000001</v>
          </cell>
          <cell r="L414">
            <v>39.904817020956202</v>
          </cell>
        </row>
        <row r="415">
          <cell r="B415">
            <v>39650</v>
          </cell>
          <cell r="C415">
            <v>52.970374040999999</v>
          </cell>
          <cell r="D415">
            <v>40.593636265000001</v>
          </cell>
          <cell r="E415">
            <v>30.736518854</v>
          </cell>
          <cell r="F415">
            <v>27.067585716</v>
          </cell>
          <cell r="G415" t="str">
            <v>-</v>
          </cell>
          <cell r="H415">
            <v>63.083279359999999</v>
          </cell>
          <cell r="J415">
            <v>39650</v>
          </cell>
          <cell r="K415">
            <v>1.5818000000000001</v>
          </cell>
          <cell r="L415">
            <v>39.88069247692502</v>
          </cell>
        </row>
        <row r="416">
          <cell r="B416">
            <v>39651</v>
          </cell>
          <cell r="C416">
            <v>53.797455319999997</v>
          </cell>
          <cell r="D416">
            <v>40.324804237000002</v>
          </cell>
          <cell r="E416">
            <v>30.892502202999999</v>
          </cell>
          <cell r="F416">
            <v>27.119638765000001</v>
          </cell>
          <cell r="G416">
            <v>80.587007768000007</v>
          </cell>
          <cell r="H416">
            <v>64.556426560000006</v>
          </cell>
          <cell r="J416">
            <v>39651</v>
          </cell>
          <cell r="K416">
            <v>1.5810999999999999</v>
          </cell>
          <cell r="L416">
            <v>40.83007182341408</v>
          </cell>
        </row>
        <row r="417">
          <cell r="B417">
            <v>39652</v>
          </cell>
          <cell r="C417">
            <v>53.797455319999997</v>
          </cell>
          <cell r="D417">
            <v>39.768600040999999</v>
          </cell>
          <cell r="E417">
            <v>31.196669733</v>
          </cell>
          <cell r="F417">
            <v>27.045277265999999</v>
          </cell>
          <cell r="G417">
            <v>78.629142129000002</v>
          </cell>
          <cell r="H417">
            <v>65.441731367000003</v>
          </cell>
          <cell r="J417">
            <v>39652</v>
          </cell>
          <cell r="K417">
            <v>1.5833999999999999</v>
          </cell>
          <cell r="L417">
            <v>41.329879605279778</v>
          </cell>
        </row>
        <row r="418">
          <cell r="B418">
            <v>39653</v>
          </cell>
          <cell r="C418">
            <v>50.647112022000002</v>
          </cell>
          <cell r="D418">
            <v>38.461520178999997</v>
          </cell>
          <cell r="E418">
            <v>30.026794618</v>
          </cell>
          <cell r="F418">
            <v>26.041397025999999</v>
          </cell>
          <cell r="G418">
            <v>80.193862057999993</v>
          </cell>
          <cell r="H418">
            <v>66.929043444000001</v>
          </cell>
          <cell r="J418">
            <v>39653</v>
          </cell>
          <cell r="K418">
            <v>1.5781000000000001</v>
          </cell>
          <cell r="L418">
            <v>42.4111548342944</v>
          </cell>
        </row>
        <row r="419">
          <cell r="B419">
            <v>39654</v>
          </cell>
          <cell r="C419">
            <v>51.111764426000001</v>
          </cell>
          <cell r="D419">
            <v>38.897213465999997</v>
          </cell>
          <cell r="E419">
            <v>29.636836246000001</v>
          </cell>
          <cell r="F419">
            <v>25.238292834999999</v>
          </cell>
          <cell r="G419">
            <v>80.988016392999995</v>
          </cell>
          <cell r="H419">
            <v>64.811394344999997</v>
          </cell>
          <cell r="J419">
            <v>39654</v>
          </cell>
          <cell r="K419">
            <v>1.5745</v>
          </cell>
          <cell r="L419">
            <v>41.163159317243569</v>
          </cell>
        </row>
        <row r="420">
          <cell r="B420">
            <v>39657</v>
          </cell>
          <cell r="C420">
            <v>51.111764426000001</v>
          </cell>
          <cell r="D420">
            <v>38.285388849999997</v>
          </cell>
          <cell r="E420">
            <v>29.972200445999999</v>
          </cell>
          <cell r="F420">
            <v>25.439068883000001</v>
          </cell>
          <cell r="G420" t="str">
            <v>-</v>
          </cell>
          <cell r="H420">
            <v>63.104526675999999</v>
          </cell>
          <cell r="J420">
            <v>39657</v>
          </cell>
          <cell r="K420">
            <v>1.5753999999999999</v>
          </cell>
          <cell r="L420">
            <v>40.056193142059158</v>
          </cell>
        </row>
        <row r="421">
          <cell r="B421">
            <v>39658</v>
          </cell>
          <cell r="C421">
            <v>49.253154809999998</v>
          </cell>
          <cell r="D421">
            <v>35.754659756999999</v>
          </cell>
          <cell r="E421">
            <v>30.806711361000001</v>
          </cell>
          <cell r="F421">
            <v>26.465257571999999</v>
          </cell>
          <cell r="G421">
            <v>79.171683209999998</v>
          </cell>
          <cell r="H421">
            <v>65.859595236999994</v>
          </cell>
          <cell r="J421">
            <v>39658</v>
          </cell>
          <cell r="K421">
            <v>1.573</v>
          </cell>
          <cell r="L421">
            <v>41.868782731722817</v>
          </cell>
        </row>
        <row r="422">
          <cell r="B422">
            <v>39659</v>
          </cell>
          <cell r="C422">
            <v>45.535935578999997</v>
          </cell>
          <cell r="D422">
            <v>36.524075562</v>
          </cell>
          <cell r="E422">
            <v>31.586628103999999</v>
          </cell>
          <cell r="F422">
            <v>26.941171167</v>
          </cell>
          <cell r="G422">
            <v>77.056559286999999</v>
          </cell>
          <cell r="H422">
            <v>64.308541214000002</v>
          </cell>
          <cell r="J422">
            <v>39659</v>
          </cell>
          <cell r="K422">
            <v>1.5641</v>
          </cell>
          <cell r="L422">
            <v>41.11536424397417</v>
          </cell>
        </row>
        <row r="423">
          <cell r="B423">
            <v>39660</v>
          </cell>
          <cell r="C423">
            <v>45.535935578999997</v>
          </cell>
          <cell r="D423">
            <v>36.755827310000001</v>
          </cell>
          <cell r="E423">
            <v>31.976586476000001</v>
          </cell>
          <cell r="F423">
            <v>27.662477709000001</v>
          </cell>
          <cell r="G423">
            <v>80.988016392999995</v>
          </cell>
          <cell r="H423">
            <v>66.291623982999994</v>
          </cell>
          <cell r="J423">
            <v>39660</v>
          </cell>
          <cell r="K423">
            <v>1.5666</v>
          </cell>
          <cell r="L423">
            <v>42.315603206306648</v>
          </cell>
        </row>
        <row r="424">
          <cell r="B424">
            <v>39661</v>
          </cell>
          <cell r="C424">
            <v>46.465240387000001</v>
          </cell>
          <cell r="D424">
            <v>36.338674163</v>
          </cell>
          <cell r="E424">
            <v>31.586628103999999</v>
          </cell>
          <cell r="F424">
            <v>26.398332223000001</v>
          </cell>
          <cell r="G424" t="str">
            <v>-</v>
          </cell>
          <cell r="H424">
            <v>64.273129022000006</v>
          </cell>
          <cell r="J424">
            <v>39661</v>
          </cell>
          <cell r="K424">
            <v>1.5592999999999999</v>
          </cell>
          <cell r="L424">
            <v>41.219219535689099</v>
          </cell>
        </row>
        <row r="425">
          <cell r="B425">
            <v>39664</v>
          </cell>
          <cell r="C425">
            <v>47.859197598000002</v>
          </cell>
          <cell r="D425">
            <v>36.153272764</v>
          </cell>
          <cell r="E425">
            <v>31.329255579000002</v>
          </cell>
          <cell r="F425">
            <v>25.766259478999999</v>
          </cell>
          <cell r="G425" t="str">
            <v>-</v>
          </cell>
          <cell r="H425">
            <v>62.169644798999997</v>
          </cell>
          <cell r="J425">
            <v>39664</v>
          </cell>
          <cell r="K425">
            <v>1.5659000000000001</v>
          </cell>
          <cell r="L425">
            <v>39.702180726100003</v>
          </cell>
        </row>
        <row r="426">
          <cell r="B426">
            <v>39665</v>
          </cell>
          <cell r="C426">
            <v>46.465240387000001</v>
          </cell>
          <cell r="D426">
            <v>36.607506190999999</v>
          </cell>
          <cell r="E426">
            <v>32.413339852</v>
          </cell>
          <cell r="F426">
            <v>26.770139718999999</v>
          </cell>
          <cell r="G426">
            <v>82.552736320999998</v>
          </cell>
          <cell r="H426">
            <v>63.741946136999999</v>
          </cell>
          <cell r="J426">
            <v>39665</v>
          </cell>
          <cell r="K426">
            <v>1.5731999999999999</v>
          </cell>
          <cell r="L426">
            <v>40.517382492372235</v>
          </cell>
        </row>
        <row r="427">
          <cell r="B427">
            <v>39666</v>
          </cell>
          <cell r="C427">
            <v>48.416780482999997</v>
          </cell>
          <cell r="D427">
            <v>36.885608288999997</v>
          </cell>
          <cell r="E427">
            <v>33.536419963</v>
          </cell>
          <cell r="F427">
            <v>27.997104455999999</v>
          </cell>
          <cell r="G427" t="str">
            <v>-</v>
          </cell>
          <cell r="H427">
            <v>65.264670405999993</v>
          </cell>
          <cell r="J427">
            <v>39666</v>
          </cell>
          <cell r="K427">
            <v>1.5782</v>
          </cell>
          <cell r="L427">
            <v>41.353865420098842</v>
          </cell>
        </row>
        <row r="428">
          <cell r="B428">
            <v>39667</v>
          </cell>
          <cell r="C428">
            <v>49.197396521999998</v>
          </cell>
          <cell r="D428">
            <v>37.534513185000002</v>
          </cell>
          <cell r="E428">
            <v>32.639515707999998</v>
          </cell>
          <cell r="F428">
            <v>27.781456108</v>
          </cell>
          <cell r="G428">
            <v>82.552736320999998</v>
          </cell>
          <cell r="H428">
            <v>64.492684613999998</v>
          </cell>
          <cell r="J428">
            <v>39667</v>
          </cell>
          <cell r="K428">
            <v>1.5843</v>
          </cell>
          <cell r="L428">
            <v>40.707368941488355</v>
          </cell>
        </row>
        <row r="429">
          <cell r="B429">
            <v>39668</v>
          </cell>
          <cell r="C429">
            <v>51.111764426000001</v>
          </cell>
          <cell r="D429">
            <v>38.934293746000002</v>
          </cell>
          <cell r="E429">
            <v>32.834494894000002</v>
          </cell>
          <cell r="F429">
            <v>28.190444354</v>
          </cell>
          <cell r="G429">
            <v>82.481970094000005</v>
          </cell>
          <cell r="H429">
            <v>65.307165037000004</v>
          </cell>
          <cell r="J429">
            <v>39668</v>
          </cell>
          <cell r="K429">
            <v>1.6135999999999999</v>
          </cell>
          <cell r="L429">
            <v>40.472958005081807</v>
          </cell>
        </row>
        <row r="430">
          <cell r="B430">
            <v>39671</v>
          </cell>
          <cell r="C430" t="str">
            <v>-</v>
          </cell>
          <cell r="D430">
            <v>39.870570809999997</v>
          </cell>
          <cell r="E430">
            <v>31.586628103999999</v>
          </cell>
          <cell r="F430">
            <v>27.62529696</v>
          </cell>
          <cell r="G430">
            <v>82.481970094000005</v>
          </cell>
          <cell r="H430">
            <v>63.387824213999998</v>
          </cell>
          <cell r="J430">
            <v>39671</v>
          </cell>
          <cell r="K430">
            <v>1.6148</v>
          </cell>
          <cell r="L430">
            <v>39.254287970027249</v>
          </cell>
        </row>
        <row r="431">
          <cell r="B431">
            <v>39672</v>
          </cell>
          <cell r="C431" t="str">
            <v>-</v>
          </cell>
          <cell r="D431">
            <v>40.185753188</v>
          </cell>
          <cell r="E431">
            <v>32.249557336000002</v>
          </cell>
          <cell r="F431">
            <v>27.982232155999998</v>
          </cell>
          <cell r="G431" t="str">
            <v>-</v>
          </cell>
          <cell r="H431">
            <v>64.096068059999993</v>
          </cell>
          <cell r="J431">
            <v>39672</v>
          </cell>
          <cell r="K431">
            <v>1.6161000000000001</v>
          </cell>
          <cell r="L431">
            <v>39.660954186003337</v>
          </cell>
        </row>
        <row r="432">
          <cell r="B432">
            <v>39673</v>
          </cell>
          <cell r="C432">
            <v>51.102471377000001</v>
          </cell>
          <cell r="D432">
            <v>39.397797242999999</v>
          </cell>
          <cell r="E432">
            <v>31.532033932000001</v>
          </cell>
          <cell r="F432">
            <v>27.022968815999999</v>
          </cell>
          <cell r="G432" t="str">
            <v>-</v>
          </cell>
          <cell r="H432">
            <v>62.537931598999997</v>
          </cell>
          <cell r="J432">
            <v>39673</v>
          </cell>
          <cell r="K432">
            <v>1.6211</v>
          </cell>
          <cell r="L432">
            <v>38.577466904570969</v>
          </cell>
        </row>
        <row r="433">
          <cell r="B433">
            <v>39674</v>
          </cell>
          <cell r="C433" t="str">
            <v>-</v>
          </cell>
          <cell r="D433">
            <v>39.666629270999998</v>
          </cell>
          <cell r="E433">
            <v>32.647314874999999</v>
          </cell>
          <cell r="F433">
            <v>27.952487556000001</v>
          </cell>
          <cell r="G433">
            <v>82.481970094000005</v>
          </cell>
          <cell r="H433">
            <v>62.360870638000002</v>
          </cell>
          <cell r="J433">
            <v>39674</v>
          </cell>
          <cell r="K433">
            <v>1.6204000000000001</v>
          </cell>
          <cell r="L433">
            <v>38.484862156257712</v>
          </cell>
        </row>
        <row r="434">
          <cell r="B434">
            <v>39675</v>
          </cell>
          <cell r="C434" t="str">
            <v>-</v>
          </cell>
          <cell r="D434">
            <v>39.852030669999998</v>
          </cell>
          <cell r="E434">
            <v>32.678511544999999</v>
          </cell>
          <cell r="F434">
            <v>27.811200708000001</v>
          </cell>
          <cell r="G434" t="str">
            <v>-</v>
          </cell>
          <cell r="H434">
            <v>62.325458445000002</v>
          </cell>
          <cell r="J434">
            <v>39675</v>
          </cell>
          <cell r="K434">
            <v>1.6389</v>
          </cell>
          <cell r="L434">
            <v>38.028835465861249</v>
          </cell>
        </row>
        <row r="435">
          <cell r="B435">
            <v>39678</v>
          </cell>
          <cell r="C435">
            <v>51.102471377000001</v>
          </cell>
          <cell r="D435">
            <v>40.139402838000002</v>
          </cell>
          <cell r="E435">
            <v>32.793220339999998</v>
          </cell>
          <cell r="F435">
            <v>28.140773922000001</v>
          </cell>
          <cell r="G435" t="str">
            <v>-</v>
          </cell>
          <cell r="H435">
            <v>61.155223006</v>
          </cell>
          <cell r="J435">
            <v>39678</v>
          </cell>
          <cell r="K435">
            <v>1.6349</v>
          </cell>
          <cell r="L435">
            <v>37.406093954370299</v>
          </cell>
        </row>
        <row r="436">
          <cell r="B436">
            <v>39679</v>
          </cell>
          <cell r="C436" t="str">
            <v>-</v>
          </cell>
          <cell r="D436">
            <v>40.500935566000003</v>
          </cell>
          <cell r="E436">
            <v>33.333026437000001</v>
          </cell>
          <cell r="F436">
            <v>27.913220494000001</v>
          </cell>
          <cell r="G436" t="str">
            <v>-</v>
          </cell>
          <cell r="H436">
            <v>61.017240672</v>
          </cell>
          <cell r="J436">
            <v>39679</v>
          </cell>
          <cell r="K436">
            <v>1.6343000000000001</v>
          </cell>
          <cell r="L436">
            <v>37.335397829039955</v>
          </cell>
        </row>
        <row r="437">
          <cell r="B437">
            <v>39680</v>
          </cell>
          <cell r="C437">
            <v>51.102471377000001</v>
          </cell>
          <cell r="D437">
            <v>40.510205636000002</v>
          </cell>
          <cell r="E437">
            <v>33.348903086999997</v>
          </cell>
          <cell r="F437">
            <v>28.702072378</v>
          </cell>
          <cell r="G437">
            <v>82.474436718000007</v>
          </cell>
          <cell r="H437">
            <v>62.593144174000003</v>
          </cell>
          <cell r="J437">
            <v>39680</v>
          </cell>
          <cell r="K437">
            <v>1.6207</v>
          </cell>
          <cell r="L437">
            <v>38.62105520700932</v>
          </cell>
        </row>
        <row r="438">
          <cell r="B438">
            <v>39681</v>
          </cell>
          <cell r="C438" t="str">
            <v>-</v>
          </cell>
          <cell r="D438">
            <v>40.510205636000002</v>
          </cell>
          <cell r="E438">
            <v>32.705898765999997</v>
          </cell>
          <cell r="F438">
            <v>28.413838036000001</v>
          </cell>
          <cell r="G438" t="str">
            <v>-</v>
          </cell>
          <cell r="H438">
            <v>62.607668629999999</v>
          </cell>
          <cell r="J438">
            <v>39681</v>
          </cell>
          <cell r="K438">
            <v>1.6143000000000001</v>
          </cell>
          <cell r="L438">
            <v>38.783168326828964</v>
          </cell>
        </row>
        <row r="439">
          <cell r="B439">
            <v>39682</v>
          </cell>
          <cell r="C439">
            <v>51.102471377000001</v>
          </cell>
          <cell r="D439">
            <v>40.130132768000003</v>
          </cell>
          <cell r="E439">
            <v>32.824973640000003</v>
          </cell>
          <cell r="F439">
            <v>28.588295664</v>
          </cell>
          <cell r="G439" t="str">
            <v>-</v>
          </cell>
          <cell r="H439">
            <v>62.055739293000002</v>
          </cell>
          <cell r="J439">
            <v>39682</v>
          </cell>
          <cell r="K439">
            <v>1.6216999999999999</v>
          </cell>
          <cell r="L439">
            <v>38.265856380958255</v>
          </cell>
        </row>
        <row r="440">
          <cell r="B440">
            <v>39685</v>
          </cell>
          <cell r="C440">
            <v>50.182459618000003</v>
          </cell>
          <cell r="D440">
            <v>40.185753188</v>
          </cell>
          <cell r="E440">
            <v>32.666207141000001</v>
          </cell>
          <cell r="F440">
            <v>28.06492278</v>
          </cell>
          <cell r="G440" t="str">
            <v>-</v>
          </cell>
          <cell r="H440">
            <v>60.777587144000002</v>
          </cell>
          <cell r="J440">
            <v>39685</v>
          </cell>
          <cell r="K440">
            <v>1.6274999999999999</v>
          </cell>
          <cell r="L440">
            <v>37.34413956620584</v>
          </cell>
        </row>
        <row r="441">
          <cell r="B441">
            <v>39686</v>
          </cell>
          <cell r="C441" t="str">
            <v>-</v>
          </cell>
          <cell r="D441">
            <v>40.232103537999997</v>
          </cell>
          <cell r="E441">
            <v>31.523088349999998</v>
          </cell>
          <cell r="F441">
            <v>27.38984761</v>
          </cell>
          <cell r="G441">
            <v>81.737127595000004</v>
          </cell>
          <cell r="H441">
            <v>61.147960777999998</v>
          </cell>
          <cell r="J441">
            <v>39686</v>
          </cell>
          <cell r="K441">
            <v>1.6375</v>
          </cell>
          <cell r="L441">
            <v>37.342266123969466</v>
          </cell>
        </row>
        <row r="442">
          <cell r="B442">
            <v>39687</v>
          </cell>
          <cell r="C442" t="str">
            <v>-</v>
          </cell>
          <cell r="D442">
            <v>40.510205636000002</v>
          </cell>
          <cell r="E442">
            <v>31.515150025000001</v>
          </cell>
          <cell r="F442">
            <v>27.306411353000001</v>
          </cell>
          <cell r="G442" t="str">
            <v>-</v>
          </cell>
          <cell r="H442">
            <v>60.581506984000001</v>
          </cell>
          <cell r="J442">
            <v>39687</v>
          </cell>
          <cell r="K442">
            <v>1.6213</v>
          </cell>
          <cell r="L442">
            <v>37.366006898168138</v>
          </cell>
        </row>
        <row r="443">
          <cell r="B443">
            <v>39688</v>
          </cell>
          <cell r="C443">
            <v>47.487475674999999</v>
          </cell>
          <cell r="D443">
            <v>40.324804237000002</v>
          </cell>
          <cell r="E443">
            <v>31.959696221000002</v>
          </cell>
          <cell r="F443">
            <v>28.209039951000001</v>
          </cell>
          <cell r="G443">
            <v>82.546564783999997</v>
          </cell>
          <cell r="H443">
            <v>61.002716215</v>
          </cell>
          <cell r="J443">
            <v>39688</v>
          </cell>
          <cell r="K443">
            <v>1.6262000000000001</v>
          </cell>
          <cell r="L443">
            <v>37.512431567457874</v>
          </cell>
        </row>
        <row r="444">
          <cell r="B444">
            <v>39689</v>
          </cell>
          <cell r="C444">
            <v>50.173166569999999</v>
          </cell>
          <cell r="D444">
            <v>40.510205636000002</v>
          </cell>
          <cell r="E444">
            <v>31.777114747999999</v>
          </cell>
          <cell r="F444">
            <v>28.785508634999999</v>
          </cell>
          <cell r="G444">
            <v>84.069268406000006</v>
          </cell>
          <cell r="H444">
            <v>61.728939027000003</v>
          </cell>
          <cell r="J444">
            <v>39689</v>
          </cell>
          <cell r="K444">
            <v>1.6344000000000001</v>
          </cell>
          <cell r="L444">
            <v>37.768562791850222</v>
          </cell>
        </row>
        <row r="445">
          <cell r="B445">
            <v>39692</v>
          </cell>
          <cell r="C445" t="str">
            <v>-</v>
          </cell>
          <cell r="D445">
            <v>40.315534167000003</v>
          </cell>
          <cell r="E445">
            <v>30.967405604</v>
          </cell>
          <cell r="F445">
            <v>27.860124695</v>
          </cell>
          <cell r="G445" t="str">
            <v>-</v>
          </cell>
          <cell r="H445">
            <v>61.474761043000001</v>
          </cell>
          <cell r="J445">
            <v>39692</v>
          </cell>
          <cell r="K445">
            <v>1.6447000000000001</v>
          </cell>
          <cell r="L445">
            <v>37.377491969964126</v>
          </cell>
        </row>
        <row r="446">
          <cell r="B446">
            <v>39693</v>
          </cell>
          <cell r="C446">
            <v>50.173166569999999</v>
          </cell>
          <cell r="D446">
            <v>40.324804237000002</v>
          </cell>
          <cell r="E446">
            <v>30.959467278999998</v>
          </cell>
          <cell r="F446">
            <v>27.329166696000001</v>
          </cell>
          <cell r="G446">
            <v>84.069268406000006</v>
          </cell>
          <cell r="H446">
            <v>59.884333085000002</v>
          </cell>
          <cell r="J446">
            <v>39693</v>
          </cell>
          <cell r="K446">
            <v>1.6601999999999999</v>
          </cell>
          <cell r="L446">
            <v>36.070553598963983</v>
          </cell>
        </row>
        <row r="447">
          <cell r="B447">
            <v>39694</v>
          </cell>
          <cell r="C447" t="str">
            <v>-</v>
          </cell>
          <cell r="D447">
            <v>40.213563397999998</v>
          </cell>
          <cell r="E447">
            <v>29.848101787000001</v>
          </cell>
          <cell r="F447">
            <v>27.185049525</v>
          </cell>
          <cell r="G447" t="str">
            <v>-</v>
          </cell>
          <cell r="H447">
            <v>58.555345338999999</v>
          </cell>
          <cell r="J447">
            <v>39694</v>
          </cell>
          <cell r="K447">
            <v>1.6728000000000001</v>
          </cell>
          <cell r="L447">
            <v>35.004391044356765</v>
          </cell>
        </row>
        <row r="448">
          <cell r="B448">
            <v>39695</v>
          </cell>
          <cell r="C448" t="str">
            <v>-</v>
          </cell>
          <cell r="D448">
            <v>40.324804237000002</v>
          </cell>
          <cell r="E448">
            <v>28.577969796000001</v>
          </cell>
          <cell r="F448">
            <v>25.599760644</v>
          </cell>
          <cell r="G448" t="str">
            <v>-</v>
          </cell>
          <cell r="H448">
            <v>55.570569581000001</v>
          </cell>
          <cell r="J448">
            <v>39695</v>
          </cell>
          <cell r="K448">
            <v>1.7010000000000001</v>
          </cell>
          <cell r="L448">
            <v>32.669353075249852</v>
          </cell>
        </row>
        <row r="449">
          <cell r="B449">
            <v>39696</v>
          </cell>
          <cell r="C449" t="str">
            <v>-</v>
          </cell>
          <cell r="D449" t="str">
            <v>-</v>
          </cell>
          <cell r="E449">
            <v>29.594075388</v>
          </cell>
          <cell r="F449">
            <v>25.774218271999999</v>
          </cell>
          <cell r="G449" t="str">
            <v>-</v>
          </cell>
          <cell r="H449">
            <v>57.219095363999998</v>
          </cell>
          <cell r="J449">
            <v>39696</v>
          </cell>
          <cell r="K449">
            <v>1.7304999999999999</v>
          </cell>
          <cell r="L449">
            <v>33.065065220456518</v>
          </cell>
        </row>
        <row r="450">
          <cell r="B450">
            <v>39699</v>
          </cell>
          <cell r="C450">
            <v>49.150931280999998</v>
          </cell>
          <cell r="D450">
            <v>39.861300739999997</v>
          </cell>
          <cell r="E450">
            <v>30.006868284999999</v>
          </cell>
          <cell r="F450">
            <v>25.516324387000001</v>
          </cell>
          <cell r="G450" t="str">
            <v>-</v>
          </cell>
          <cell r="H450">
            <v>56.863246185999998</v>
          </cell>
          <cell r="J450">
            <v>39699</v>
          </cell>
          <cell r="K450">
            <v>1.7282</v>
          </cell>
          <cell r="L450">
            <v>32.903162936002779</v>
          </cell>
        </row>
        <row r="451">
          <cell r="B451">
            <v>39700</v>
          </cell>
          <cell r="C451">
            <v>48.314556953999997</v>
          </cell>
          <cell r="D451">
            <v>38.517140599000001</v>
          </cell>
          <cell r="E451">
            <v>28.982824367999999</v>
          </cell>
          <cell r="F451">
            <v>24.120663361999998</v>
          </cell>
          <cell r="G451" t="str">
            <v>-</v>
          </cell>
          <cell r="H451">
            <v>56.645379343000002</v>
          </cell>
          <cell r="J451">
            <v>39700</v>
          </cell>
          <cell r="K451">
            <v>1.7544</v>
          </cell>
          <cell r="L451">
            <v>32.287607924646608</v>
          </cell>
        </row>
        <row r="452">
          <cell r="B452">
            <v>39701</v>
          </cell>
          <cell r="C452">
            <v>51.111764426000001</v>
          </cell>
          <cell r="D452">
            <v>39.861300739999997</v>
          </cell>
          <cell r="E452">
            <v>28.657353045000001</v>
          </cell>
          <cell r="F452">
            <v>25.000536617000002</v>
          </cell>
          <cell r="G452" t="str">
            <v>-</v>
          </cell>
          <cell r="H452">
            <v>57.233619820999998</v>
          </cell>
          <cell r="J452">
            <v>39701</v>
          </cell>
          <cell r="K452">
            <v>1.7858000000000001</v>
          </cell>
          <cell r="L452">
            <v>32.049288733900774</v>
          </cell>
        </row>
        <row r="453">
          <cell r="B453">
            <v>39702</v>
          </cell>
          <cell r="C453">
            <v>52.031776184999998</v>
          </cell>
          <cell r="D453">
            <v>40.417504936</v>
          </cell>
          <cell r="E453">
            <v>29.808410162000001</v>
          </cell>
          <cell r="F453">
            <v>25.637686214999999</v>
          </cell>
          <cell r="G453" t="str">
            <v>-</v>
          </cell>
          <cell r="H453">
            <v>58.206758389000001</v>
          </cell>
          <cell r="J453">
            <v>39702</v>
          </cell>
          <cell r="K453">
            <v>1.8254999999999999</v>
          </cell>
          <cell r="L453">
            <v>31.885378465625859</v>
          </cell>
        </row>
        <row r="454">
          <cell r="B454">
            <v>39703</v>
          </cell>
          <cell r="C454">
            <v>52.041069233000002</v>
          </cell>
          <cell r="D454">
            <v>41.159110532</v>
          </cell>
          <cell r="E454">
            <v>30.154042536999999</v>
          </cell>
          <cell r="F454">
            <v>25.210405381000001</v>
          </cell>
          <cell r="G454">
            <v>79.957005651000003</v>
          </cell>
          <cell r="H454">
            <v>55.118025486000001</v>
          </cell>
          <cell r="J454">
            <v>39703</v>
          </cell>
          <cell r="K454">
            <v>1.7911999999999999</v>
          </cell>
          <cell r="L454">
            <v>30.771564027467623</v>
          </cell>
        </row>
        <row r="455">
          <cell r="B455">
            <v>39706</v>
          </cell>
          <cell r="C455">
            <v>51.111764426000001</v>
          </cell>
          <cell r="D455">
            <v>39.203125774</v>
          </cell>
          <cell r="E455">
            <v>28.932634896</v>
          </cell>
          <cell r="F455">
            <v>24.081581259</v>
          </cell>
          <cell r="G455" t="str">
            <v>-</v>
          </cell>
          <cell r="H455">
            <v>49.864732940000003</v>
          </cell>
          <cell r="J455">
            <v>39706</v>
          </cell>
          <cell r="K455">
            <v>1.8125</v>
          </cell>
          <cell r="L455">
            <v>27.51157679448276</v>
          </cell>
        </row>
        <row r="456">
          <cell r="B456">
            <v>39707</v>
          </cell>
          <cell r="C456">
            <v>51.102471377000001</v>
          </cell>
          <cell r="D456">
            <v>40.945898923000001</v>
          </cell>
          <cell r="E456">
            <v>28.768048051000001</v>
          </cell>
          <cell r="F456">
            <v>22.818970575000002</v>
          </cell>
          <cell r="G456" t="str">
            <v>-</v>
          </cell>
          <cell r="H456">
            <v>48.009000424</v>
          </cell>
          <cell r="J456">
            <v>39707</v>
          </cell>
          <cell r="K456">
            <v>1.841</v>
          </cell>
          <cell r="L456">
            <v>26.077675406844108</v>
          </cell>
        </row>
        <row r="457">
          <cell r="B457">
            <v>39708</v>
          </cell>
          <cell r="C457" t="str">
            <v>-</v>
          </cell>
          <cell r="D457">
            <v>39.768600040999999</v>
          </cell>
          <cell r="E457">
            <v>25.164462387</v>
          </cell>
          <cell r="F457">
            <v>22.325632626000001</v>
          </cell>
          <cell r="G457" t="str">
            <v>-</v>
          </cell>
          <cell r="H457">
            <v>42.746475377000003</v>
          </cell>
          <cell r="J457">
            <v>39708</v>
          </cell>
          <cell r="K457">
            <v>1.8660000000000001</v>
          </cell>
          <cell r="L457">
            <v>22.908078980171489</v>
          </cell>
        </row>
        <row r="458">
          <cell r="B458">
            <v>39709</v>
          </cell>
          <cell r="C458">
            <v>51.102471377000001</v>
          </cell>
          <cell r="D458">
            <v>40.788307734</v>
          </cell>
          <cell r="E458">
            <v>26.082683734</v>
          </cell>
          <cell r="F458">
            <v>23.002927099000001</v>
          </cell>
          <cell r="G458" t="str">
            <v>-</v>
          </cell>
          <cell r="H458">
            <v>42.469500375000003</v>
          </cell>
          <cell r="J458">
            <v>39709</v>
          </cell>
          <cell r="K458">
            <v>1.9158999999999999</v>
          </cell>
          <cell r="L458">
            <v>22.166866942429149</v>
          </cell>
        </row>
        <row r="459">
          <cell r="B459">
            <v>39710</v>
          </cell>
          <cell r="C459">
            <v>52.970374040999999</v>
          </cell>
          <cell r="D459">
            <v>40.788307734</v>
          </cell>
          <cell r="E459">
            <v>30.301304451</v>
          </cell>
          <cell r="F459">
            <v>26.966354014</v>
          </cell>
          <cell r="G459" t="str">
            <v>-</v>
          </cell>
          <cell r="H459">
            <v>48.479857928000001</v>
          </cell>
          <cell r="J459">
            <v>39710</v>
          </cell>
          <cell r="K459">
            <v>1.8398000000000001</v>
          </cell>
          <cell r="L459">
            <v>26.350613070985975</v>
          </cell>
        </row>
        <row r="460">
          <cell r="B460">
            <v>39713</v>
          </cell>
          <cell r="C460" t="str">
            <v>-</v>
          </cell>
          <cell r="D460">
            <v>39.852030669999998</v>
          </cell>
          <cell r="E460">
            <v>29.885506105000001</v>
          </cell>
          <cell r="F460">
            <v>26.339229501999998</v>
          </cell>
          <cell r="G460" t="str">
            <v>-</v>
          </cell>
          <cell r="H460">
            <v>49.938592941000003</v>
          </cell>
          <cell r="J460">
            <v>39713</v>
          </cell>
          <cell r="K460">
            <v>1.7988999999999999</v>
          </cell>
          <cell r="L460">
            <v>27.760627572961258</v>
          </cell>
        </row>
        <row r="461">
          <cell r="B461">
            <v>39714</v>
          </cell>
          <cell r="C461">
            <v>50.647112022000002</v>
          </cell>
          <cell r="D461">
            <v>39.629548991999997</v>
          </cell>
          <cell r="E461">
            <v>29.885506105000001</v>
          </cell>
          <cell r="F461">
            <v>26.381037803000002</v>
          </cell>
          <cell r="G461" t="str">
            <v>-</v>
          </cell>
          <cell r="H461">
            <v>49.993987941</v>
          </cell>
          <cell r="J461">
            <v>39714</v>
          </cell>
          <cell r="K461">
            <v>1.8242</v>
          </cell>
          <cell r="L461">
            <v>27.405979575156234</v>
          </cell>
        </row>
        <row r="462">
          <cell r="B462">
            <v>39715</v>
          </cell>
          <cell r="C462">
            <v>46.744031829000001</v>
          </cell>
          <cell r="D462">
            <v>38.878673325999998</v>
          </cell>
          <cell r="E462">
            <v>29.885506105000001</v>
          </cell>
          <cell r="F462">
            <v>25.921146493999998</v>
          </cell>
          <cell r="G462" t="str">
            <v>-</v>
          </cell>
          <cell r="H462">
            <v>49.947825440999999</v>
          </cell>
          <cell r="J462">
            <v>39715</v>
          </cell>
          <cell r="K462">
            <v>1.8445</v>
          </cell>
          <cell r="L462">
            <v>27.079330680943343</v>
          </cell>
        </row>
        <row r="463">
          <cell r="B463">
            <v>39716</v>
          </cell>
          <cell r="C463">
            <v>42.748021156</v>
          </cell>
          <cell r="D463">
            <v>38.099987450999997</v>
          </cell>
          <cell r="E463">
            <v>30.647803071999999</v>
          </cell>
          <cell r="F463">
            <v>26.255612900999999</v>
          </cell>
          <cell r="G463">
            <v>75.271363287</v>
          </cell>
          <cell r="H463">
            <v>54.453285481000002</v>
          </cell>
          <cell r="J463">
            <v>39716</v>
          </cell>
          <cell r="K463">
            <v>1.8277000000000001</v>
          </cell>
          <cell r="L463">
            <v>29.793338885484488</v>
          </cell>
        </row>
        <row r="464">
          <cell r="B464">
            <v>39717</v>
          </cell>
          <cell r="C464">
            <v>44.420769810000003</v>
          </cell>
          <cell r="D464">
            <v>38.192688150999999</v>
          </cell>
          <cell r="E464">
            <v>30.92500197</v>
          </cell>
          <cell r="F464">
            <v>26.339229501999998</v>
          </cell>
          <cell r="G464">
            <v>75.271363287</v>
          </cell>
          <cell r="H464">
            <v>54.102450476999998</v>
          </cell>
          <cell r="J464">
            <v>39717</v>
          </cell>
          <cell r="K464">
            <v>1.8554999999999999</v>
          </cell>
          <cell r="L464">
            <v>29.157882229587713</v>
          </cell>
        </row>
        <row r="465">
          <cell r="B465">
            <v>39720</v>
          </cell>
          <cell r="C465">
            <v>40.526982664999998</v>
          </cell>
          <cell r="D465">
            <v>36.060572065000002</v>
          </cell>
          <cell r="E465">
            <v>29.201171328000001</v>
          </cell>
          <cell r="F465">
            <v>24.917747275</v>
          </cell>
          <cell r="G465" t="str">
            <v>-</v>
          </cell>
          <cell r="H465">
            <v>49.920127940999997</v>
          </cell>
          <cell r="J465">
            <v>39720</v>
          </cell>
          <cell r="K465">
            <v>1.9559</v>
          </cell>
          <cell r="L465">
            <v>25.522842650953525</v>
          </cell>
        </row>
        <row r="466">
          <cell r="B466">
            <v>39721</v>
          </cell>
          <cell r="C466">
            <v>40.880118492000001</v>
          </cell>
          <cell r="D466">
            <v>37.089549828000003</v>
          </cell>
          <cell r="E466">
            <v>33.783615597000001</v>
          </cell>
          <cell r="F466">
            <v>27.175395517999998</v>
          </cell>
          <cell r="G466" t="str">
            <v>-</v>
          </cell>
          <cell r="H466">
            <v>54.010125477000003</v>
          </cell>
          <cell r="J466">
            <v>39721</v>
          </cell>
          <cell r="K466">
            <v>1.9142999999999999</v>
          </cell>
          <cell r="L466">
            <v>28.214034099670901</v>
          </cell>
        </row>
        <row r="467">
          <cell r="B467">
            <v>39722</v>
          </cell>
          <cell r="C467">
            <v>40.889411539999998</v>
          </cell>
          <cell r="D467">
            <v>37.265681157000003</v>
          </cell>
          <cell r="E467">
            <v>33.350492320000001</v>
          </cell>
          <cell r="F467">
            <v>28.479814503</v>
          </cell>
          <cell r="G467" t="str">
            <v>-</v>
          </cell>
          <cell r="H467">
            <v>56.678317999999997</v>
          </cell>
          <cell r="J467">
            <v>39722</v>
          </cell>
          <cell r="K467">
            <v>1.9213</v>
          </cell>
          <cell r="L467">
            <v>29.499983344610417</v>
          </cell>
        </row>
        <row r="468">
          <cell r="B468">
            <v>39723</v>
          </cell>
          <cell r="C468">
            <v>39.960106733000003</v>
          </cell>
          <cell r="D468">
            <v>36.153272764</v>
          </cell>
          <cell r="E468">
            <v>31.271500590999999</v>
          </cell>
          <cell r="F468">
            <v>27.585116866</v>
          </cell>
          <cell r="G468" t="str">
            <v>-</v>
          </cell>
          <cell r="H468">
            <v>54.010125477000003</v>
          </cell>
          <cell r="J468">
            <v>39723</v>
          </cell>
          <cell r="K468">
            <v>2.0081000000000002</v>
          </cell>
          <cell r="L468">
            <v>26.896133398237136</v>
          </cell>
        </row>
        <row r="469">
          <cell r="B469">
            <v>39724</v>
          </cell>
          <cell r="C469">
            <v>39.960106733000003</v>
          </cell>
          <cell r="D469">
            <v>35.216995699999998</v>
          </cell>
          <cell r="E469">
            <v>31.184875936000001</v>
          </cell>
          <cell r="F469">
            <v>28.178794738000001</v>
          </cell>
          <cell r="G469" t="str">
            <v>-</v>
          </cell>
          <cell r="H469">
            <v>55.025700485999998</v>
          </cell>
          <cell r="J469">
            <v>39724</v>
          </cell>
          <cell r="K469">
            <v>2.0539999999999998</v>
          </cell>
          <cell r="L469">
            <v>26.789532855890947</v>
          </cell>
        </row>
        <row r="470">
          <cell r="B470">
            <v>39727</v>
          </cell>
          <cell r="C470">
            <v>37.757654338000002</v>
          </cell>
          <cell r="D470">
            <v>32.343274018999999</v>
          </cell>
          <cell r="E470">
            <v>29.452382828000001</v>
          </cell>
          <cell r="F470">
            <v>26.774035830999999</v>
          </cell>
          <cell r="G470">
            <v>61.157982670999999</v>
          </cell>
          <cell r="H470">
            <v>53.077642967999999</v>
          </cell>
          <cell r="J470">
            <v>39727</v>
          </cell>
          <cell r="K470">
            <v>2.1768999999999998</v>
          </cell>
          <cell r="L470">
            <v>24.38221460241628</v>
          </cell>
        </row>
        <row r="471">
          <cell r="B471">
            <v>39728</v>
          </cell>
          <cell r="C471">
            <v>35.211359164999998</v>
          </cell>
          <cell r="D471">
            <v>31.518237794000001</v>
          </cell>
          <cell r="E471">
            <v>28.846010240999998</v>
          </cell>
          <cell r="F471">
            <v>24.758875732</v>
          </cell>
          <cell r="G471">
            <v>59.257380748000003</v>
          </cell>
          <cell r="H471">
            <v>51.702000456</v>
          </cell>
          <cell r="J471">
            <v>39728</v>
          </cell>
          <cell r="K471">
            <v>2.1882999999999999</v>
          </cell>
          <cell r="L471">
            <v>23.626559638075218</v>
          </cell>
        </row>
        <row r="472">
          <cell r="B472">
            <v>39729</v>
          </cell>
          <cell r="C472" t="str">
            <v>-</v>
          </cell>
          <cell r="D472">
            <v>31.416267025</v>
          </cell>
          <cell r="E472">
            <v>28.153012998000001</v>
          </cell>
          <cell r="F472">
            <v>24.666897470999999</v>
          </cell>
          <cell r="G472">
            <v>58.335306547000002</v>
          </cell>
          <cell r="H472">
            <v>48.009000424</v>
          </cell>
          <cell r="J472">
            <v>39729</v>
          </cell>
          <cell r="K472">
            <v>2.3923999999999999</v>
          </cell>
          <cell r="L472">
            <v>20.067296615950511</v>
          </cell>
        </row>
        <row r="473">
          <cell r="B473">
            <v>39730</v>
          </cell>
          <cell r="C473">
            <v>34.282054357</v>
          </cell>
          <cell r="D473">
            <v>30.498530101</v>
          </cell>
          <cell r="E473">
            <v>25.554273336000001</v>
          </cell>
          <cell r="F473">
            <v>22.919310497000001</v>
          </cell>
          <cell r="G473" t="str">
            <v>-</v>
          </cell>
          <cell r="H473">
            <v>41.398530364999999</v>
          </cell>
          <cell r="J473">
            <v>39730</v>
          </cell>
          <cell r="K473">
            <v>2.1818</v>
          </cell>
          <cell r="L473">
            <v>18.974484537996151</v>
          </cell>
        </row>
        <row r="474">
          <cell r="B474">
            <v>39731</v>
          </cell>
          <cell r="C474">
            <v>34.282054357</v>
          </cell>
          <cell r="D474">
            <v>27.810209819000001</v>
          </cell>
          <cell r="E474">
            <v>23.908404883999999</v>
          </cell>
          <cell r="F474">
            <v>21.740316414999999</v>
          </cell>
          <cell r="G474">
            <v>56.453522464999999</v>
          </cell>
          <cell r="H474">
            <v>42.469500375000003</v>
          </cell>
          <cell r="J474">
            <v>39731</v>
          </cell>
          <cell r="K474">
            <v>2.2879999999999998</v>
          </cell>
          <cell r="L474">
            <v>18.561844569493008</v>
          </cell>
        </row>
        <row r="475">
          <cell r="B475">
            <v>39734</v>
          </cell>
          <cell r="C475">
            <v>36.187129212999999</v>
          </cell>
          <cell r="D475">
            <v>30.127727303</v>
          </cell>
          <cell r="E475">
            <v>25.121150059000001</v>
          </cell>
          <cell r="F475">
            <v>23.872539754999998</v>
          </cell>
          <cell r="G475">
            <v>56.453522464999999</v>
          </cell>
          <cell r="H475">
            <v>46.901100413999998</v>
          </cell>
          <cell r="J475">
            <v>39734</v>
          </cell>
          <cell r="K475">
            <v>2.1562000000000001</v>
          </cell>
          <cell r="L475">
            <v>21.751739362767829</v>
          </cell>
        </row>
        <row r="476">
          <cell r="B476">
            <v>39735</v>
          </cell>
          <cell r="C476">
            <v>36.233594453999999</v>
          </cell>
          <cell r="D476">
            <v>29.617873457000002</v>
          </cell>
          <cell r="E476">
            <v>24.514777471999999</v>
          </cell>
          <cell r="F476">
            <v>23.421010107000001</v>
          </cell>
          <cell r="G476">
            <v>56.453522464999999</v>
          </cell>
          <cell r="H476">
            <v>46.162500407000003</v>
          </cell>
          <cell r="J476">
            <v>39735</v>
          </cell>
          <cell r="K476">
            <v>2.0789</v>
          </cell>
          <cell r="L476">
            <v>22.205252973688008</v>
          </cell>
        </row>
        <row r="477">
          <cell r="B477">
            <v>39736</v>
          </cell>
          <cell r="C477" t="str">
            <v>-</v>
          </cell>
          <cell r="D477">
            <v>27.754589399</v>
          </cell>
          <cell r="E477">
            <v>25.814147301999999</v>
          </cell>
          <cell r="F477">
            <v>23.404286786</v>
          </cell>
          <cell r="G477">
            <v>56.453522464999999</v>
          </cell>
          <cell r="H477">
            <v>47.168842916000003</v>
          </cell>
          <cell r="J477">
            <v>39736</v>
          </cell>
          <cell r="K477">
            <v>2.1551</v>
          </cell>
          <cell r="L477">
            <v>21.887078518862236</v>
          </cell>
        </row>
        <row r="478">
          <cell r="B478">
            <v>39737</v>
          </cell>
          <cell r="C478" t="str">
            <v>-</v>
          </cell>
          <cell r="D478">
            <v>27.300355971999998</v>
          </cell>
          <cell r="E478">
            <v>29.452382828000001</v>
          </cell>
          <cell r="F478">
            <v>25.745551631000001</v>
          </cell>
          <cell r="G478">
            <v>57.394414505999997</v>
          </cell>
          <cell r="H478">
            <v>51.240375452000002</v>
          </cell>
          <cell r="J478">
            <v>39737</v>
          </cell>
          <cell r="K478">
            <v>2.1854</v>
          </cell>
          <cell r="L478">
            <v>23.446680448430495</v>
          </cell>
        </row>
        <row r="479">
          <cell r="B479">
            <v>39738</v>
          </cell>
          <cell r="C479">
            <v>32.990320675</v>
          </cell>
          <cell r="D479">
            <v>26.790502125</v>
          </cell>
          <cell r="E479">
            <v>28.499511619</v>
          </cell>
          <cell r="F479">
            <v>25.427808545000001</v>
          </cell>
          <cell r="G479" t="str">
            <v>-</v>
          </cell>
          <cell r="H479">
            <v>48.009000424</v>
          </cell>
          <cell r="J479">
            <v>39738</v>
          </cell>
          <cell r="K479">
            <v>2.1019999999999999</v>
          </cell>
          <cell r="L479">
            <v>22.839676700285445</v>
          </cell>
        </row>
        <row r="480">
          <cell r="B480">
            <v>39741</v>
          </cell>
          <cell r="C480">
            <v>33.362042598000002</v>
          </cell>
          <cell r="D480">
            <v>26.883202825000001</v>
          </cell>
          <cell r="E480">
            <v>28.542823946999999</v>
          </cell>
          <cell r="F480">
            <v>25.962954795000002</v>
          </cell>
          <cell r="G480">
            <v>57.394414505999997</v>
          </cell>
          <cell r="H480">
            <v>48.470625427999998</v>
          </cell>
          <cell r="J480">
            <v>39741</v>
          </cell>
          <cell r="K480">
            <v>2.1173999999999999</v>
          </cell>
          <cell r="L480">
            <v>22.891577136110325</v>
          </cell>
        </row>
        <row r="481">
          <cell r="B481">
            <v>39742</v>
          </cell>
          <cell r="C481">
            <v>31.122418011000001</v>
          </cell>
          <cell r="D481">
            <v>25.761524361999999</v>
          </cell>
          <cell r="E481">
            <v>27.70256479</v>
          </cell>
          <cell r="F481">
            <v>25.419446884999999</v>
          </cell>
          <cell r="G481">
            <v>57.394414505999997</v>
          </cell>
          <cell r="H481">
            <v>47.473515419000002</v>
          </cell>
          <cell r="J481">
            <v>39742</v>
          </cell>
          <cell r="K481">
            <v>2.1941000000000002</v>
          </cell>
          <cell r="L481">
            <v>21.636896868419853</v>
          </cell>
        </row>
        <row r="482">
          <cell r="B482">
            <v>39743</v>
          </cell>
          <cell r="C482">
            <v>27.776920702999998</v>
          </cell>
          <cell r="D482">
            <v>24.565685340000002</v>
          </cell>
          <cell r="E482">
            <v>25.121150059000001</v>
          </cell>
          <cell r="F482">
            <v>22.601567411000001</v>
          </cell>
          <cell r="G482" t="str">
            <v>-</v>
          </cell>
          <cell r="H482">
            <v>41.546250366999999</v>
          </cell>
          <cell r="J482">
            <v>39743</v>
          </cell>
          <cell r="K482">
            <v>2.3650000000000002</v>
          </cell>
          <cell r="L482">
            <v>17.567124890909088</v>
          </cell>
        </row>
        <row r="483">
          <cell r="B483">
            <v>39744</v>
          </cell>
          <cell r="C483">
            <v>25.081936761000001</v>
          </cell>
          <cell r="D483">
            <v>24.454444500000001</v>
          </cell>
          <cell r="E483">
            <v>24.462802677999999</v>
          </cell>
          <cell r="F483">
            <v>21.832294676</v>
          </cell>
          <cell r="G483" t="str">
            <v>-</v>
          </cell>
          <cell r="H483">
            <v>40.724557859000001</v>
          </cell>
          <cell r="J483">
            <v>39744</v>
          </cell>
          <cell r="K483">
            <v>2.3147000000000002</v>
          </cell>
          <cell r="L483">
            <v>17.59388165161792</v>
          </cell>
        </row>
        <row r="484">
          <cell r="B484">
            <v>39745</v>
          </cell>
          <cell r="C484">
            <v>25.081936761000001</v>
          </cell>
          <cell r="D484">
            <v>22.248167854999998</v>
          </cell>
          <cell r="E484">
            <v>23.388656952000002</v>
          </cell>
          <cell r="F484">
            <v>20.904150398999999</v>
          </cell>
          <cell r="G484">
            <v>47.044602054000002</v>
          </cell>
          <cell r="H484">
            <v>40.946137860999997</v>
          </cell>
          <cell r="J484">
            <v>39745</v>
          </cell>
          <cell r="K484">
            <v>2.3111999999999999</v>
          </cell>
          <cell r="L484">
            <v>17.716397482260298</v>
          </cell>
        </row>
        <row r="485">
          <cell r="B485">
            <v>39748</v>
          </cell>
          <cell r="C485">
            <v>23.883133559000001</v>
          </cell>
          <cell r="D485">
            <v>22.062766455999999</v>
          </cell>
          <cell r="E485">
            <v>22.149924380000002</v>
          </cell>
          <cell r="F485">
            <v>19.733517976000002</v>
          </cell>
          <cell r="G485">
            <v>47.044602054000002</v>
          </cell>
          <cell r="H485">
            <v>40.632232858999998</v>
          </cell>
          <cell r="J485">
            <v>39748</v>
          </cell>
          <cell r="K485">
            <v>2.2524000000000002</v>
          </cell>
          <cell r="L485">
            <v>18.039527996359435</v>
          </cell>
        </row>
        <row r="486">
          <cell r="B486">
            <v>39749</v>
          </cell>
          <cell r="C486">
            <v>24.171218049</v>
          </cell>
          <cell r="D486">
            <v>24.936488137000001</v>
          </cell>
          <cell r="E486">
            <v>26.325232768999999</v>
          </cell>
          <cell r="F486">
            <v>23.496265048000001</v>
          </cell>
          <cell r="G486">
            <v>50.808170218999997</v>
          </cell>
          <cell r="H486">
            <v>48.904552932000001</v>
          </cell>
          <cell r="J486">
            <v>39749</v>
          </cell>
          <cell r="K486">
            <v>2.17</v>
          </cell>
          <cell r="L486">
            <v>22.536660337327191</v>
          </cell>
        </row>
        <row r="487">
          <cell r="B487">
            <v>39750</v>
          </cell>
          <cell r="C487">
            <v>27.776920702999998</v>
          </cell>
          <cell r="D487">
            <v>25.029188837</v>
          </cell>
          <cell r="E487">
            <v>26.853643167000001</v>
          </cell>
          <cell r="F487">
            <v>23.588243309999999</v>
          </cell>
          <cell r="G487">
            <v>53.630846341999998</v>
          </cell>
          <cell r="H487">
            <v>47.990535424000001</v>
          </cell>
          <cell r="J487">
            <v>39750</v>
          </cell>
          <cell r="K487">
            <v>2.1320000000000001</v>
          </cell>
          <cell r="L487">
            <v>22.509632</v>
          </cell>
        </row>
        <row r="488">
          <cell r="B488">
            <v>39751</v>
          </cell>
          <cell r="C488">
            <v>27.869851184000002</v>
          </cell>
          <cell r="D488">
            <v>25.937655691</v>
          </cell>
          <cell r="E488">
            <v>28.586136274000001</v>
          </cell>
          <cell r="F488">
            <v>24.198644502000001</v>
          </cell>
          <cell r="G488">
            <v>52.680545379999998</v>
          </cell>
          <cell r="H488">
            <v>50.409450444999997</v>
          </cell>
          <cell r="J488">
            <v>39751</v>
          </cell>
          <cell r="K488">
            <v>2.1151</v>
          </cell>
          <cell r="L488">
            <v>23.833128667675286</v>
          </cell>
        </row>
        <row r="489">
          <cell r="B489">
            <v>39752</v>
          </cell>
          <cell r="C489">
            <v>29.728460799</v>
          </cell>
          <cell r="D489">
            <v>25.937655691</v>
          </cell>
          <cell r="E489">
            <v>29.452382828000001</v>
          </cell>
          <cell r="F489">
            <v>23.579881650000001</v>
          </cell>
          <cell r="G489">
            <v>51.749062260000002</v>
          </cell>
          <cell r="H489">
            <v>48.747600429999999</v>
          </cell>
          <cell r="J489">
            <v>39752</v>
          </cell>
          <cell r="K489">
            <v>2.1153</v>
          </cell>
          <cell r="L489">
            <v>23.045242012953246</v>
          </cell>
        </row>
        <row r="490">
          <cell r="B490">
            <v>39755</v>
          </cell>
          <cell r="C490">
            <v>31.587070414999999</v>
          </cell>
          <cell r="D490">
            <v>26.419699328</v>
          </cell>
          <cell r="E490">
            <v>28.586136274000001</v>
          </cell>
          <cell r="F490">
            <v>24.240452802</v>
          </cell>
          <cell r="G490">
            <v>51.749062260000002</v>
          </cell>
          <cell r="H490">
            <v>46.790310413</v>
          </cell>
          <cell r="J490">
            <v>39755</v>
          </cell>
          <cell r="K490">
            <v>2.1818</v>
          </cell>
          <cell r="L490">
            <v>21.445737653772117</v>
          </cell>
        </row>
        <row r="491">
          <cell r="B491">
            <v>39756</v>
          </cell>
          <cell r="C491">
            <v>30.657765607000002</v>
          </cell>
          <cell r="D491">
            <v>28.718676673000001</v>
          </cell>
          <cell r="E491">
            <v>28.586136274000001</v>
          </cell>
          <cell r="F491">
            <v>23.797284814000001</v>
          </cell>
          <cell r="G491">
            <v>53.630846341999998</v>
          </cell>
          <cell r="H491">
            <v>48.378300426999999</v>
          </cell>
          <cell r="J491">
            <v>39756</v>
          </cell>
          <cell r="K491">
            <v>2.1227</v>
          </cell>
          <cell r="L491">
            <v>22.7909268511801</v>
          </cell>
        </row>
        <row r="492">
          <cell r="B492">
            <v>39757</v>
          </cell>
          <cell r="C492">
            <v>29.728460799</v>
          </cell>
          <cell r="D492">
            <v>27.355976391999999</v>
          </cell>
          <cell r="E492">
            <v>27.182816856999999</v>
          </cell>
          <cell r="F492">
            <v>22.425972548000001</v>
          </cell>
          <cell r="G492">
            <v>51.335069762000003</v>
          </cell>
          <cell r="H492">
            <v>44.306767891</v>
          </cell>
          <cell r="J492">
            <v>39757</v>
          </cell>
          <cell r="K492">
            <v>2.121</v>
          </cell>
          <cell r="L492">
            <v>20.889565247996227</v>
          </cell>
        </row>
        <row r="493">
          <cell r="B493">
            <v>39758</v>
          </cell>
          <cell r="C493">
            <v>29.728460799</v>
          </cell>
          <cell r="D493">
            <v>26.697801426000002</v>
          </cell>
          <cell r="E493">
            <v>24.895925954999999</v>
          </cell>
          <cell r="F493">
            <v>21.740316414999999</v>
          </cell>
          <cell r="G493">
            <v>51.335069762000003</v>
          </cell>
          <cell r="H493">
            <v>43.392750382999999</v>
          </cell>
          <cell r="J493">
            <v>39758</v>
          </cell>
          <cell r="K493">
            <v>2.1593</v>
          </cell>
          <cell r="L493">
            <v>20.095748799610984</v>
          </cell>
        </row>
        <row r="494">
          <cell r="B494">
            <v>39759</v>
          </cell>
          <cell r="C494">
            <v>29.719167751000001</v>
          </cell>
          <cell r="D494">
            <v>27.680428839000001</v>
          </cell>
          <cell r="E494">
            <v>26.333895235</v>
          </cell>
          <cell r="F494">
            <v>22.910948836999999</v>
          </cell>
          <cell r="G494">
            <v>52.689954301</v>
          </cell>
          <cell r="H494">
            <v>47.085750416000003</v>
          </cell>
          <cell r="J494">
            <v>39759</v>
          </cell>
          <cell r="K494">
            <v>2.1613000000000002</v>
          </cell>
          <cell r="L494">
            <v>21.78584667376116</v>
          </cell>
        </row>
        <row r="495">
          <cell r="B495">
            <v>39762</v>
          </cell>
          <cell r="C495">
            <v>29.719167751000001</v>
          </cell>
          <cell r="D495">
            <v>26.873932754999998</v>
          </cell>
          <cell r="E495">
            <v>25.337711698</v>
          </cell>
          <cell r="F495">
            <v>22.626652392</v>
          </cell>
          <cell r="G495">
            <v>47.044602054000002</v>
          </cell>
          <cell r="H495">
            <v>47.455050419000003</v>
          </cell>
          <cell r="J495">
            <v>39762</v>
          </cell>
          <cell r="K495">
            <v>2.1335000000000002</v>
          </cell>
          <cell r="L495">
            <v>22.242817163815328</v>
          </cell>
        </row>
        <row r="496">
          <cell r="B496">
            <v>39763</v>
          </cell>
          <cell r="C496">
            <v>29.719167751000001</v>
          </cell>
          <cell r="D496">
            <v>26.873932754999998</v>
          </cell>
          <cell r="E496">
            <v>25.987396613000001</v>
          </cell>
          <cell r="F496">
            <v>23.571519989999999</v>
          </cell>
          <cell r="G496">
            <v>47.044602054000002</v>
          </cell>
          <cell r="H496">
            <v>47.925907922999997</v>
          </cell>
          <cell r="J496">
            <v>39763</v>
          </cell>
          <cell r="K496">
            <v>2.2010000000000001</v>
          </cell>
          <cell r="L496">
            <v>21.774606053157655</v>
          </cell>
        </row>
        <row r="497">
          <cell r="B497">
            <v>39764</v>
          </cell>
          <cell r="C497" t="str">
            <v>-</v>
          </cell>
          <cell r="D497">
            <v>26.04889653</v>
          </cell>
          <cell r="E497">
            <v>23.648530917999999</v>
          </cell>
          <cell r="F497">
            <v>21.915911277999999</v>
          </cell>
          <cell r="G497">
            <v>47.044602054000002</v>
          </cell>
          <cell r="H497">
            <v>42.561825376000002</v>
          </cell>
          <cell r="J497">
            <v>39764</v>
          </cell>
          <cell r="K497">
            <v>2.2631999999999999</v>
          </cell>
          <cell r="L497">
            <v>18.806038077059032</v>
          </cell>
        </row>
        <row r="498">
          <cell r="B498">
            <v>39765</v>
          </cell>
          <cell r="C498">
            <v>31.587070414999999</v>
          </cell>
          <cell r="D498">
            <v>26.419699328</v>
          </cell>
          <cell r="E498">
            <v>27.156829461000001</v>
          </cell>
          <cell r="F498">
            <v>23.914348056000001</v>
          </cell>
          <cell r="G498">
            <v>49.867278177999999</v>
          </cell>
          <cell r="H498">
            <v>47.639700419999997</v>
          </cell>
          <cell r="J498">
            <v>39765</v>
          </cell>
          <cell r="K498">
            <v>2.3313999999999999</v>
          </cell>
          <cell r="L498">
            <v>20.433945449086384</v>
          </cell>
        </row>
        <row r="499">
          <cell r="B499">
            <v>39766</v>
          </cell>
          <cell r="C499">
            <v>30.657765607000002</v>
          </cell>
          <cell r="D499">
            <v>26.521670097000001</v>
          </cell>
          <cell r="E499">
            <v>26.247270578999998</v>
          </cell>
          <cell r="F499">
            <v>23.997964658000001</v>
          </cell>
          <cell r="G499">
            <v>49.867278177999999</v>
          </cell>
          <cell r="H499">
            <v>46.762612912999998</v>
          </cell>
          <cell r="J499">
            <v>39766</v>
          </cell>
          <cell r="K499">
            <v>2.2799999999999998</v>
          </cell>
          <cell r="L499">
            <v>20.509917944298248</v>
          </cell>
        </row>
        <row r="500">
          <cell r="B500">
            <v>39769</v>
          </cell>
          <cell r="C500">
            <v>31.22464154</v>
          </cell>
          <cell r="D500">
            <v>27.615538350000001</v>
          </cell>
          <cell r="E500">
            <v>25.814147301999999</v>
          </cell>
          <cell r="F500">
            <v>23.329031844999999</v>
          </cell>
          <cell r="G500">
            <v>50.808170218999997</v>
          </cell>
          <cell r="H500">
            <v>48.470625427999998</v>
          </cell>
          <cell r="J500">
            <v>39769</v>
          </cell>
          <cell r="K500">
            <v>2.294</v>
          </cell>
          <cell r="L500">
            <v>21.12930489450741</v>
          </cell>
        </row>
        <row r="501">
          <cell r="B501">
            <v>39770</v>
          </cell>
          <cell r="C501">
            <v>31.540605175</v>
          </cell>
          <cell r="D501">
            <v>28.598165763000001</v>
          </cell>
          <cell r="E501">
            <v>25.121150059000001</v>
          </cell>
          <cell r="F501">
            <v>22.158399422999999</v>
          </cell>
          <cell r="G501" t="str">
            <v>-</v>
          </cell>
          <cell r="H501">
            <v>46.993425414999997</v>
          </cell>
          <cell r="J501">
            <v>39770</v>
          </cell>
          <cell r="K501">
            <v>2.2995999999999999</v>
          </cell>
          <cell r="L501">
            <v>20.435478089667768</v>
          </cell>
        </row>
        <row r="502">
          <cell r="B502">
            <v>39771</v>
          </cell>
          <cell r="C502">
            <v>31.494139934</v>
          </cell>
          <cell r="D502">
            <v>26.883202825000001</v>
          </cell>
          <cell r="E502">
            <v>25.987396613000001</v>
          </cell>
          <cell r="F502">
            <v>23.471180067999999</v>
          </cell>
          <cell r="G502">
            <v>50.808170218999997</v>
          </cell>
          <cell r="H502">
            <v>46.808775412999999</v>
          </cell>
          <cell r="J502">
            <v>39771</v>
          </cell>
          <cell r="K502">
            <v>2.3765999999999998</v>
          </cell>
          <cell r="L502">
            <v>19.695689393671632</v>
          </cell>
        </row>
        <row r="503">
          <cell r="B503">
            <v>39772</v>
          </cell>
          <cell r="C503" t="str">
            <v>-</v>
          </cell>
          <cell r="D503" t="str">
            <v>-</v>
          </cell>
          <cell r="E503" t="str">
            <v>-</v>
          </cell>
          <cell r="F503" t="str">
            <v>-</v>
          </cell>
          <cell r="G503" t="str">
            <v>-</v>
          </cell>
          <cell r="H503" t="str">
            <v>-</v>
          </cell>
          <cell r="J503">
            <v>39772</v>
          </cell>
          <cell r="K503">
            <v>2.3961999999999999</v>
          </cell>
          <cell r="L503">
            <v>19.695689393671632</v>
          </cell>
        </row>
        <row r="504">
          <cell r="B504">
            <v>39773</v>
          </cell>
          <cell r="C504">
            <v>31.484846886</v>
          </cell>
          <cell r="D504">
            <v>27.615538350000001</v>
          </cell>
          <cell r="E504">
            <v>26.065358802999999</v>
          </cell>
          <cell r="F504">
            <v>23.546435009</v>
          </cell>
          <cell r="G504">
            <v>50.808170218999997</v>
          </cell>
          <cell r="H504">
            <v>45.700875402999998</v>
          </cell>
          <cell r="J504">
            <v>39773</v>
          </cell>
          <cell r="K504">
            <v>2.4277000000000002</v>
          </cell>
          <cell r="L504">
            <v>18.82476228652634</v>
          </cell>
        </row>
        <row r="505">
          <cell r="B505">
            <v>39776</v>
          </cell>
          <cell r="C505">
            <v>35.313582693999997</v>
          </cell>
          <cell r="D505">
            <v>30.581960729999999</v>
          </cell>
          <cell r="E505">
            <v>29.461045294000002</v>
          </cell>
          <cell r="F505">
            <v>25.753913291</v>
          </cell>
          <cell r="G505">
            <v>50.808170218999997</v>
          </cell>
          <cell r="H505">
            <v>46.162500407000003</v>
          </cell>
          <cell r="J505">
            <v>39776</v>
          </cell>
          <cell r="K505">
            <v>2.35</v>
          </cell>
          <cell r="L505">
            <v>19.643617194468085</v>
          </cell>
        </row>
        <row r="506">
          <cell r="B506">
            <v>39777</v>
          </cell>
          <cell r="C506">
            <v>31.865861856999999</v>
          </cell>
          <cell r="D506">
            <v>28.718676673000001</v>
          </cell>
          <cell r="E506">
            <v>29.452382828000001</v>
          </cell>
          <cell r="F506">
            <v>27.008162315</v>
          </cell>
          <cell r="G506" t="str">
            <v>-</v>
          </cell>
          <cell r="H506">
            <v>47.085750416000003</v>
          </cell>
          <cell r="J506">
            <v>39777</v>
          </cell>
          <cell r="K506">
            <v>2.3056000000000001</v>
          </cell>
          <cell r="L506">
            <v>20.422341436502428</v>
          </cell>
        </row>
        <row r="507">
          <cell r="B507">
            <v>39778</v>
          </cell>
          <cell r="C507">
            <v>31.875154904999999</v>
          </cell>
          <cell r="D507">
            <v>30.591230800000002</v>
          </cell>
          <cell r="E507">
            <v>30.301304451</v>
          </cell>
          <cell r="F507">
            <v>27.259012120000001</v>
          </cell>
          <cell r="G507">
            <v>51.749062260000002</v>
          </cell>
          <cell r="H507">
            <v>51.840487957999997</v>
          </cell>
          <cell r="J507">
            <v>39778</v>
          </cell>
          <cell r="K507">
            <v>2.3220999999999998</v>
          </cell>
          <cell r="L507">
            <v>22.324830092588606</v>
          </cell>
        </row>
        <row r="508">
          <cell r="B508">
            <v>39779</v>
          </cell>
          <cell r="C508">
            <v>30.667058655000002</v>
          </cell>
          <cell r="D508">
            <v>31.416267025</v>
          </cell>
          <cell r="E508">
            <v>30.578503348000002</v>
          </cell>
          <cell r="F508">
            <v>27.250650459999999</v>
          </cell>
          <cell r="G508">
            <v>48.926386135999998</v>
          </cell>
          <cell r="H508">
            <v>48.932250431999996</v>
          </cell>
          <cell r="J508">
            <v>39779</v>
          </cell>
          <cell r="K508">
            <v>2.2656999999999998</v>
          </cell>
          <cell r="L508">
            <v>21.596968015182945</v>
          </cell>
        </row>
        <row r="509">
          <cell r="B509">
            <v>39780</v>
          </cell>
          <cell r="C509">
            <v>32.061015867000002</v>
          </cell>
          <cell r="D509">
            <v>33.372251781999999</v>
          </cell>
          <cell r="E509">
            <v>32.051122489999997</v>
          </cell>
          <cell r="F509">
            <v>28.019923195000001</v>
          </cell>
          <cell r="G509">
            <v>56.453522464999999</v>
          </cell>
          <cell r="H509">
            <v>53.723917974000003</v>
          </cell>
          <cell r="J509">
            <v>39780</v>
          </cell>
          <cell r="K509">
            <v>2.3331</v>
          </cell>
          <cell r="L509">
            <v>23.026838958467277</v>
          </cell>
        </row>
        <row r="510">
          <cell r="B510">
            <v>39783</v>
          </cell>
          <cell r="C510">
            <v>32.061015867000002</v>
          </cell>
          <cell r="D510">
            <v>32.445244787999997</v>
          </cell>
          <cell r="E510">
            <v>29.972130759999999</v>
          </cell>
          <cell r="F510">
            <v>25.912784834</v>
          </cell>
          <cell r="G510" t="str">
            <v>-</v>
          </cell>
          <cell r="H510">
            <v>51.609675455999998</v>
          </cell>
          <cell r="J510">
            <v>39783</v>
          </cell>
          <cell r="K510">
            <v>2.3565</v>
          </cell>
          <cell r="L510">
            <v>21.900986826225331</v>
          </cell>
        </row>
        <row r="511">
          <cell r="B511">
            <v>39784</v>
          </cell>
          <cell r="C511">
            <v>32.061015867000002</v>
          </cell>
          <cell r="D511">
            <v>31.889040592000001</v>
          </cell>
          <cell r="E511">
            <v>30.656465537999999</v>
          </cell>
          <cell r="F511">
            <v>26.381037803000002</v>
          </cell>
          <cell r="G511">
            <v>56.453522464999999</v>
          </cell>
          <cell r="H511">
            <v>52.994550468</v>
          </cell>
          <cell r="J511">
            <v>39784</v>
          </cell>
          <cell r="K511">
            <v>2.3456999999999999</v>
          </cell>
          <cell r="L511">
            <v>22.592211479728867</v>
          </cell>
        </row>
        <row r="512">
          <cell r="B512">
            <v>39785</v>
          </cell>
          <cell r="C512">
            <v>31.782224424999999</v>
          </cell>
          <cell r="D512">
            <v>31.805609962999998</v>
          </cell>
          <cell r="E512">
            <v>31.184875936000001</v>
          </cell>
          <cell r="F512">
            <v>27.334267060999998</v>
          </cell>
          <cell r="G512">
            <v>56.453522464999999</v>
          </cell>
          <cell r="H512">
            <v>55.358070488999999</v>
          </cell>
          <cell r="J512">
            <v>39785</v>
          </cell>
          <cell r="K512">
            <v>2.4213</v>
          </cell>
          <cell r="L512">
            <v>22.862953987114359</v>
          </cell>
        </row>
        <row r="513">
          <cell r="B513">
            <v>39786</v>
          </cell>
          <cell r="C513">
            <v>32.153946347999998</v>
          </cell>
          <cell r="D513">
            <v>33.066339474000003</v>
          </cell>
          <cell r="E513">
            <v>32.215709335</v>
          </cell>
          <cell r="F513">
            <v>27.844328331</v>
          </cell>
          <cell r="G513">
            <v>60.217090628999998</v>
          </cell>
          <cell r="H513">
            <v>58.164750513000001</v>
          </cell>
          <cell r="J513">
            <v>39786</v>
          </cell>
          <cell r="K513">
            <v>2.4904999999999999</v>
          </cell>
          <cell r="L513">
            <v>23.354647867094961</v>
          </cell>
        </row>
        <row r="514">
          <cell r="B514">
            <v>39787</v>
          </cell>
          <cell r="C514">
            <v>34.384277886</v>
          </cell>
          <cell r="D514">
            <v>34.262178497000001</v>
          </cell>
          <cell r="E514">
            <v>33.523741631</v>
          </cell>
          <cell r="F514">
            <v>28.764110948999999</v>
          </cell>
          <cell r="G514">
            <v>62.098874711999997</v>
          </cell>
          <cell r="H514">
            <v>59.272650523000003</v>
          </cell>
          <cell r="J514">
            <v>39787</v>
          </cell>
          <cell r="K514">
            <v>2.5004</v>
          </cell>
          <cell r="L514">
            <v>23.705267366421374</v>
          </cell>
        </row>
        <row r="515">
          <cell r="B515">
            <v>39790</v>
          </cell>
          <cell r="C515">
            <v>37.172192309000003</v>
          </cell>
          <cell r="D515">
            <v>37.080279758000003</v>
          </cell>
          <cell r="E515">
            <v>37.153314690999999</v>
          </cell>
          <cell r="F515">
            <v>32.184029954000003</v>
          </cell>
          <cell r="G515">
            <v>65.862442876000003</v>
          </cell>
          <cell r="H515">
            <v>65.079893073999997</v>
          </cell>
          <cell r="J515">
            <v>39790</v>
          </cell>
          <cell r="K515">
            <v>2.4689000000000001</v>
          </cell>
          <cell r="L515">
            <v>26.35987406294301</v>
          </cell>
        </row>
        <row r="516">
          <cell r="B516">
            <v>39791</v>
          </cell>
          <cell r="C516">
            <v>38.092204068999997</v>
          </cell>
          <cell r="D516">
            <v>37.080279758000003</v>
          </cell>
          <cell r="E516">
            <v>36.027194170999998</v>
          </cell>
          <cell r="F516">
            <v>30.561867883000001</v>
          </cell>
          <cell r="G516" t="str">
            <v>-</v>
          </cell>
          <cell r="H516">
            <v>61.719263044999998</v>
          </cell>
          <cell r="J516">
            <v>39791</v>
          </cell>
          <cell r="K516">
            <v>2.4828999999999999</v>
          </cell>
          <cell r="L516">
            <v>24.85773210560232</v>
          </cell>
        </row>
        <row r="517">
          <cell r="B517">
            <v>39792</v>
          </cell>
          <cell r="C517">
            <v>39.030801924999999</v>
          </cell>
          <cell r="D517">
            <v>37.534513185000002</v>
          </cell>
          <cell r="E517">
            <v>34.641199684999997</v>
          </cell>
          <cell r="F517">
            <v>28.906259170999999</v>
          </cell>
          <cell r="G517">
            <v>65.862442876000003</v>
          </cell>
          <cell r="H517">
            <v>56.318250497000001</v>
          </cell>
          <cell r="J517">
            <v>39792</v>
          </cell>
          <cell r="K517">
            <v>2.4683000000000002</v>
          </cell>
          <cell r="L517">
            <v>22.816614875420328</v>
          </cell>
        </row>
        <row r="518">
          <cell r="B518">
            <v>39793</v>
          </cell>
          <cell r="C518">
            <v>39.030801924999999</v>
          </cell>
          <cell r="D518">
            <v>37.534513185000002</v>
          </cell>
          <cell r="E518">
            <v>33.220555337</v>
          </cell>
          <cell r="F518">
            <v>28.095178136000001</v>
          </cell>
          <cell r="G518" t="str">
            <v>-</v>
          </cell>
          <cell r="H518">
            <v>54.471750481000001</v>
          </cell>
          <cell r="J518">
            <v>39793</v>
          </cell>
          <cell r="K518">
            <v>2.3397000000000001</v>
          </cell>
          <cell r="L518">
            <v>23.281510655639611</v>
          </cell>
        </row>
        <row r="519">
          <cell r="B519">
            <v>39794</v>
          </cell>
          <cell r="C519">
            <v>40.889411539999998</v>
          </cell>
          <cell r="D519">
            <v>38.007286751999999</v>
          </cell>
          <cell r="E519">
            <v>34.649862151000001</v>
          </cell>
          <cell r="F519">
            <v>28.722302647999999</v>
          </cell>
          <cell r="G519" t="str">
            <v>-</v>
          </cell>
          <cell r="H519">
            <v>54.933375484999999</v>
          </cell>
          <cell r="J519">
            <v>39794</v>
          </cell>
          <cell r="K519">
            <v>2.3919999999999999</v>
          </cell>
          <cell r="L519">
            <v>22.965457978678931</v>
          </cell>
        </row>
        <row r="520">
          <cell r="B520">
            <v>39797</v>
          </cell>
          <cell r="C520">
            <v>38.556856473000003</v>
          </cell>
          <cell r="D520">
            <v>37.080279758000003</v>
          </cell>
          <cell r="E520">
            <v>35.082985428000001</v>
          </cell>
          <cell r="F520">
            <v>29.767510168000001</v>
          </cell>
          <cell r="G520">
            <v>60.687536649999998</v>
          </cell>
          <cell r="H520">
            <v>56.318250497000001</v>
          </cell>
          <cell r="J520">
            <v>39797</v>
          </cell>
          <cell r="K520">
            <v>2.3690000000000002</v>
          </cell>
          <cell r="L520">
            <v>23.773005697340647</v>
          </cell>
        </row>
        <row r="521">
          <cell r="B521">
            <v>39798</v>
          </cell>
          <cell r="C521" t="str">
            <v>-</v>
          </cell>
          <cell r="D521">
            <v>38.925023676000002</v>
          </cell>
          <cell r="E521">
            <v>35.949231980999997</v>
          </cell>
          <cell r="F521">
            <v>30.260848116999998</v>
          </cell>
          <cell r="G521">
            <v>60.687536649999998</v>
          </cell>
          <cell r="H521">
            <v>57.518475508000002</v>
          </cell>
          <cell r="J521">
            <v>39798</v>
          </cell>
          <cell r="K521">
            <v>2.3782999999999999</v>
          </cell>
          <cell r="L521">
            <v>24.184701470798473</v>
          </cell>
        </row>
        <row r="522">
          <cell r="B522">
            <v>39799</v>
          </cell>
          <cell r="C522">
            <v>37.543914233000002</v>
          </cell>
          <cell r="D522">
            <v>38.517140599000001</v>
          </cell>
          <cell r="E522">
            <v>34.476612840000001</v>
          </cell>
          <cell r="F522">
            <v>28.680494347</v>
          </cell>
          <cell r="G522" t="str">
            <v>-</v>
          </cell>
          <cell r="H522">
            <v>55.395000488999997</v>
          </cell>
          <cell r="J522">
            <v>39799</v>
          </cell>
          <cell r="K522">
            <v>2.3576000000000001</v>
          </cell>
          <cell r="L522">
            <v>23.49635243001357</v>
          </cell>
        </row>
        <row r="523">
          <cell r="B523">
            <v>39800</v>
          </cell>
          <cell r="C523">
            <v>39.960106733000003</v>
          </cell>
          <cell r="D523">
            <v>38.378089549999999</v>
          </cell>
          <cell r="E523">
            <v>34.649862151000001</v>
          </cell>
          <cell r="F523">
            <v>29.633723605</v>
          </cell>
          <cell r="G523" t="str">
            <v>-</v>
          </cell>
          <cell r="H523">
            <v>58.164750513000001</v>
          </cell>
          <cell r="J523">
            <v>39800</v>
          </cell>
          <cell r="K523">
            <v>2.3572000000000002</v>
          </cell>
          <cell r="L523">
            <v>24.675356572628541</v>
          </cell>
        </row>
        <row r="524">
          <cell r="B524">
            <v>39801</v>
          </cell>
          <cell r="C524" t="str">
            <v>-</v>
          </cell>
          <cell r="D524">
            <v>38.378089549999999</v>
          </cell>
          <cell r="E524">
            <v>36.209105948000001</v>
          </cell>
          <cell r="F524">
            <v>29.89293507</v>
          </cell>
          <cell r="G524">
            <v>64.451104814000004</v>
          </cell>
          <cell r="H524">
            <v>57.149175503999999</v>
          </cell>
          <cell r="J524">
            <v>39801</v>
          </cell>
          <cell r="K524">
            <v>2.3858999999999999</v>
          </cell>
          <cell r="L524">
            <v>23.952879627813402</v>
          </cell>
        </row>
        <row r="525">
          <cell r="B525">
            <v>39804</v>
          </cell>
          <cell r="C525">
            <v>37.813412626999998</v>
          </cell>
          <cell r="D525">
            <v>37.358381856000001</v>
          </cell>
          <cell r="E525">
            <v>34.199413943000003</v>
          </cell>
          <cell r="F525">
            <v>28.529984464000002</v>
          </cell>
          <cell r="G525" t="str">
            <v>-</v>
          </cell>
          <cell r="H525">
            <v>53.557732973</v>
          </cell>
          <cell r="J525">
            <v>39804</v>
          </cell>
          <cell r="K525">
            <v>2.3740000000000001</v>
          </cell>
          <cell r="L525">
            <v>22.56012340901432</v>
          </cell>
        </row>
        <row r="526">
          <cell r="B526">
            <v>39805</v>
          </cell>
          <cell r="C526">
            <v>36.242887502000002</v>
          </cell>
          <cell r="D526">
            <v>36.607506190999999</v>
          </cell>
          <cell r="E526">
            <v>32.934693973999998</v>
          </cell>
          <cell r="F526">
            <v>28.346027940999999</v>
          </cell>
          <cell r="G526">
            <v>61.697679747000002</v>
          </cell>
          <cell r="H526">
            <v>54.910990042000002</v>
          </cell>
          <cell r="J526">
            <v>39805</v>
          </cell>
          <cell r="K526">
            <v>2.3828999999999998</v>
          </cell>
          <cell r="L526">
            <v>23.043766017038067</v>
          </cell>
        </row>
        <row r="527">
          <cell r="B527">
            <v>39806</v>
          </cell>
          <cell r="C527" t="str">
            <v>-</v>
          </cell>
          <cell r="D527" t="str">
            <v>-</v>
          </cell>
          <cell r="E527" t="str">
            <v>-</v>
          </cell>
          <cell r="F527" t="str">
            <v>-</v>
          </cell>
          <cell r="G527" t="str">
            <v>-</v>
          </cell>
          <cell r="H527" t="str">
            <v>-</v>
          </cell>
          <cell r="J527">
            <v>39806</v>
          </cell>
          <cell r="K527">
            <v>2.3751000000000002</v>
          </cell>
          <cell r="L527">
            <v>23.043766017038067</v>
          </cell>
        </row>
        <row r="528">
          <cell r="B528">
            <v>39807</v>
          </cell>
          <cell r="C528" t="str">
            <v>-</v>
          </cell>
          <cell r="D528" t="str">
            <v>-</v>
          </cell>
          <cell r="E528" t="str">
            <v>-</v>
          </cell>
          <cell r="F528" t="str">
            <v>-</v>
          </cell>
          <cell r="G528" t="str">
            <v>-</v>
          </cell>
          <cell r="H528" t="str">
            <v>-</v>
          </cell>
          <cell r="J528">
            <v>39807</v>
          </cell>
          <cell r="K528" t="str">
            <v>-</v>
          </cell>
          <cell r="L528">
            <v>23.043766017038067</v>
          </cell>
        </row>
        <row r="529">
          <cell r="B529">
            <v>39808</v>
          </cell>
          <cell r="C529">
            <v>35.229945260999997</v>
          </cell>
          <cell r="D529">
            <v>36.616776260999998</v>
          </cell>
          <cell r="E529">
            <v>33.350492320000001</v>
          </cell>
          <cell r="F529">
            <v>28.053369835000002</v>
          </cell>
          <cell r="G529">
            <v>56.951704380999999</v>
          </cell>
          <cell r="H529">
            <v>54.163901742</v>
          </cell>
          <cell r="J529">
            <v>39808</v>
          </cell>
          <cell r="K529">
            <v>2.3613</v>
          </cell>
          <cell r="L529">
            <v>22.938170390039385</v>
          </cell>
        </row>
        <row r="530">
          <cell r="B530">
            <v>39811</v>
          </cell>
          <cell r="C530">
            <v>36.242887502000002</v>
          </cell>
          <cell r="D530">
            <v>36.867068150000001</v>
          </cell>
          <cell r="E530">
            <v>32.917369043000001</v>
          </cell>
          <cell r="F530">
            <v>27.434606982999998</v>
          </cell>
          <cell r="G530" t="str">
            <v>-</v>
          </cell>
          <cell r="H530">
            <v>52.072054502</v>
          </cell>
          <cell r="J530">
            <v>39811</v>
          </cell>
          <cell r="K530">
            <v>2.3956</v>
          </cell>
          <cell r="L530">
            <v>21.736539698614127</v>
          </cell>
        </row>
        <row r="531">
          <cell r="B531">
            <v>39812</v>
          </cell>
          <cell r="C531">
            <v>37.172192309000003</v>
          </cell>
          <cell r="D531">
            <v>38.285388849999997</v>
          </cell>
          <cell r="E531">
            <v>33.523741631</v>
          </cell>
          <cell r="F531">
            <v>26.932907373999999</v>
          </cell>
          <cell r="G531">
            <v>55.053314235000002</v>
          </cell>
          <cell r="H531">
            <v>51.829250805000001</v>
          </cell>
          <cell r="J531">
            <v>39812</v>
          </cell>
          <cell r="K531">
            <v>2.3370000000000002</v>
          </cell>
          <cell r="L531">
            <v>22.177685410783052</v>
          </cell>
        </row>
        <row r="532">
          <cell r="B532">
            <v>39813</v>
          </cell>
          <cell r="C532" t="str">
            <v>-</v>
          </cell>
          <cell r="D532" t="str">
            <v>-</v>
          </cell>
          <cell r="E532" t="str">
            <v>-</v>
          </cell>
          <cell r="F532" t="str">
            <v>-</v>
          </cell>
          <cell r="G532" t="str">
            <v>-</v>
          </cell>
          <cell r="H532" t="str">
            <v>-</v>
          </cell>
          <cell r="J532">
            <v>39813</v>
          </cell>
          <cell r="K532">
            <v>2.3370000000000002</v>
          </cell>
          <cell r="L532">
            <v>22.177685410783052</v>
          </cell>
        </row>
        <row r="533">
          <cell r="B533">
            <v>39814</v>
          </cell>
          <cell r="C533" t="str">
            <v>-</v>
          </cell>
          <cell r="D533" t="str">
            <v>-</v>
          </cell>
          <cell r="E533" t="str">
            <v>-</v>
          </cell>
          <cell r="F533" t="str">
            <v>-</v>
          </cell>
          <cell r="G533" t="str">
            <v>-</v>
          </cell>
          <cell r="H533" t="str">
            <v>-</v>
          </cell>
          <cell r="J533">
            <v>39814</v>
          </cell>
          <cell r="K533" t="str">
            <v>-</v>
          </cell>
          <cell r="L533">
            <v>22.177685410783052</v>
          </cell>
        </row>
        <row r="534">
          <cell r="B534">
            <v>39815</v>
          </cell>
          <cell r="C534" t="str">
            <v>-</v>
          </cell>
          <cell r="D534" t="str">
            <v>-</v>
          </cell>
          <cell r="E534">
            <v>33.307179992000002</v>
          </cell>
          <cell r="F534">
            <v>27.426245323</v>
          </cell>
          <cell r="G534">
            <v>55.053314235000002</v>
          </cell>
          <cell r="H534">
            <v>53.136655330000004</v>
          </cell>
          <cell r="J534">
            <v>39815</v>
          </cell>
          <cell r="K534">
            <v>2.3298000000000001</v>
          </cell>
          <cell r="L534">
            <v>22.807389187913127</v>
          </cell>
        </row>
        <row r="535">
          <cell r="B535">
            <v>39818</v>
          </cell>
          <cell r="C535">
            <v>38.975043636999999</v>
          </cell>
          <cell r="D535">
            <v>38.099987450999997</v>
          </cell>
          <cell r="E535">
            <v>33.263867664999999</v>
          </cell>
          <cell r="F535">
            <v>27.083417257000001</v>
          </cell>
          <cell r="G535">
            <v>56.856784873999999</v>
          </cell>
          <cell r="H535">
            <v>55.461967663000003</v>
          </cell>
          <cell r="J535">
            <v>39818</v>
          </cell>
          <cell r="K535">
            <v>2.278</v>
          </cell>
          <cell r="L535">
            <v>24.346781239244951</v>
          </cell>
        </row>
        <row r="536">
          <cell r="B536">
            <v>39819</v>
          </cell>
          <cell r="C536">
            <v>38.101497117000001</v>
          </cell>
          <cell r="D536">
            <v>37.682834303999996</v>
          </cell>
          <cell r="E536">
            <v>31.193538401000001</v>
          </cell>
          <cell r="F536">
            <v>25.503063486999999</v>
          </cell>
          <cell r="G536" t="str">
            <v>-</v>
          </cell>
          <cell r="H536">
            <v>54.163901742</v>
          </cell>
          <cell r="J536">
            <v>39819</v>
          </cell>
          <cell r="K536">
            <v>2.1888999999999998</v>
          </cell>
          <cell r="L536">
            <v>24.744804121704966</v>
          </cell>
        </row>
        <row r="537">
          <cell r="B537">
            <v>39820</v>
          </cell>
          <cell r="C537">
            <v>38.975043636999999</v>
          </cell>
          <cell r="D537">
            <v>37.682834303999996</v>
          </cell>
          <cell r="E537">
            <v>30.102067743999999</v>
          </cell>
          <cell r="F537">
            <v>24.666897470999999</v>
          </cell>
          <cell r="G537">
            <v>56.856784873999999</v>
          </cell>
          <cell r="H537">
            <v>51.352982013999998</v>
          </cell>
          <cell r="J537">
            <v>39820</v>
          </cell>
          <cell r="K537">
            <v>2.2174</v>
          </cell>
          <cell r="L537">
            <v>23.159097147109225</v>
          </cell>
        </row>
        <row r="538">
          <cell r="B538">
            <v>39821</v>
          </cell>
          <cell r="C538">
            <v>38.891406203999999</v>
          </cell>
          <cell r="D538">
            <v>37.451082556000003</v>
          </cell>
          <cell r="E538">
            <v>29.980793225999999</v>
          </cell>
          <cell r="F538">
            <v>24.750514072000001</v>
          </cell>
          <cell r="G538">
            <v>56.856784873999999</v>
          </cell>
          <cell r="H538">
            <v>49.541292886000001</v>
          </cell>
          <cell r="J538">
            <v>39821</v>
          </cell>
          <cell r="K538">
            <v>2.2683</v>
          </cell>
          <cell r="L538">
            <v>21.840714581845436</v>
          </cell>
        </row>
        <row r="539">
          <cell r="B539">
            <v>39822</v>
          </cell>
          <cell r="C539">
            <v>40.787188012000001</v>
          </cell>
          <cell r="D539">
            <v>36.153272764</v>
          </cell>
          <cell r="E539">
            <v>29.019259551000001</v>
          </cell>
          <cell r="F539">
            <v>24.081581259</v>
          </cell>
          <cell r="G539" t="str">
            <v>-</v>
          </cell>
          <cell r="H539">
            <v>48.373967417999999</v>
          </cell>
          <cell r="J539">
            <v>39822</v>
          </cell>
          <cell r="K539">
            <v>2.2867000000000002</v>
          </cell>
          <cell r="L539">
            <v>21.15448787247999</v>
          </cell>
        </row>
        <row r="540">
          <cell r="B540">
            <v>39825</v>
          </cell>
          <cell r="C540">
            <v>37.543914233000002</v>
          </cell>
          <cell r="D540">
            <v>36.153272764</v>
          </cell>
          <cell r="E540">
            <v>27.165491926000001</v>
          </cell>
          <cell r="F540">
            <v>22.877502195999998</v>
          </cell>
          <cell r="G540" t="str">
            <v>-</v>
          </cell>
          <cell r="H540">
            <v>45.796512782999997</v>
          </cell>
          <cell r="J540">
            <v>39825</v>
          </cell>
          <cell r="K540">
            <v>2.2968999999999999</v>
          </cell>
          <cell r="L540">
            <v>19.938400793678436</v>
          </cell>
        </row>
        <row r="541">
          <cell r="B541">
            <v>39826</v>
          </cell>
          <cell r="C541">
            <v>35.304289646000001</v>
          </cell>
          <cell r="D541">
            <v>36.144002694000001</v>
          </cell>
          <cell r="E541">
            <v>28.153012998000001</v>
          </cell>
          <cell r="F541">
            <v>23.320670185000001</v>
          </cell>
          <cell r="G541">
            <v>52.433535833999997</v>
          </cell>
          <cell r="H541">
            <v>47.178626137999998</v>
          </cell>
          <cell r="J541">
            <v>39826</v>
          </cell>
          <cell r="K541">
            <v>2.3083</v>
          </cell>
          <cell r="L541">
            <v>20.438689138326907</v>
          </cell>
        </row>
        <row r="542">
          <cell r="B542">
            <v>39827</v>
          </cell>
          <cell r="C542">
            <v>36.233594453999999</v>
          </cell>
          <cell r="D542">
            <v>35.337506609999998</v>
          </cell>
          <cell r="E542">
            <v>27.373391098999999</v>
          </cell>
          <cell r="F542">
            <v>22.576482430999999</v>
          </cell>
          <cell r="G542">
            <v>51.256533943000001</v>
          </cell>
          <cell r="H542">
            <v>44.264981769000002</v>
          </cell>
          <cell r="J542">
            <v>39827</v>
          </cell>
          <cell r="K542">
            <v>2.3340999999999998</v>
          </cell>
          <cell r="L542">
            <v>18.96447528769119</v>
          </cell>
        </row>
        <row r="543">
          <cell r="B543">
            <v>39828</v>
          </cell>
          <cell r="C543">
            <v>38.659080002000003</v>
          </cell>
          <cell r="D543">
            <v>35.967871365000001</v>
          </cell>
          <cell r="E543">
            <v>27.719889721000001</v>
          </cell>
          <cell r="F543">
            <v>22.576482430999999</v>
          </cell>
          <cell r="G543">
            <v>53.154924088999998</v>
          </cell>
          <cell r="H543">
            <v>44.358367805999997</v>
          </cell>
          <cell r="J543">
            <v>39828</v>
          </cell>
          <cell r="K543">
            <v>2.3803000000000001</v>
          </cell>
          <cell r="L543">
            <v>18.635620638574967</v>
          </cell>
        </row>
        <row r="544">
          <cell r="B544">
            <v>39829</v>
          </cell>
          <cell r="C544">
            <v>37.162899261</v>
          </cell>
          <cell r="D544">
            <v>36.663126611000003</v>
          </cell>
          <cell r="E544">
            <v>27.286766444000001</v>
          </cell>
          <cell r="F544">
            <v>22.083144481000001</v>
          </cell>
          <cell r="G544">
            <v>54.104119162000003</v>
          </cell>
          <cell r="H544">
            <v>43.984823656000003</v>
          </cell>
          <cell r="J544">
            <v>39829</v>
          </cell>
          <cell r="K544">
            <v>2.3248000000000002</v>
          </cell>
          <cell r="L544">
            <v>18.919831235375085</v>
          </cell>
        </row>
        <row r="545">
          <cell r="B545">
            <v>39832</v>
          </cell>
          <cell r="C545">
            <v>36.242887502000002</v>
          </cell>
          <cell r="D545">
            <v>36.616776260999998</v>
          </cell>
          <cell r="E545">
            <v>27.026892478000001</v>
          </cell>
          <cell r="F545">
            <v>22.367440927000001</v>
          </cell>
          <cell r="G545">
            <v>54.104119162000003</v>
          </cell>
          <cell r="H545">
            <v>42.873529810000001</v>
          </cell>
          <cell r="J545">
            <v>39832</v>
          </cell>
          <cell r="K545">
            <v>2.3306</v>
          </cell>
          <cell r="L545">
            <v>18.395919424182615</v>
          </cell>
        </row>
        <row r="546">
          <cell r="B546">
            <v>39833</v>
          </cell>
          <cell r="C546">
            <v>36.242887502000002</v>
          </cell>
          <cell r="D546">
            <v>36.338674163</v>
          </cell>
          <cell r="E546">
            <v>27.537977944000001</v>
          </cell>
          <cell r="F546">
            <v>22.342355946000001</v>
          </cell>
          <cell r="G546" t="str">
            <v>-</v>
          </cell>
          <cell r="H546">
            <v>44.358367805999997</v>
          </cell>
          <cell r="J546">
            <v>39833</v>
          </cell>
          <cell r="K546">
            <v>2.3548</v>
          </cell>
          <cell r="L546">
            <v>18.837424751995922</v>
          </cell>
        </row>
        <row r="547">
          <cell r="B547">
            <v>39834</v>
          </cell>
          <cell r="C547">
            <v>38.101497117000001</v>
          </cell>
          <cell r="D547">
            <v>37.766264933999999</v>
          </cell>
          <cell r="E547">
            <v>27.884476566</v>
          </cell>
          <cell r="F547">
            <v>22.559759110000002</v>
          </cell>
          <cell r="G547">
            <v>47.554673158</v>
          </cell>
          <cell r="H547">
            <v>44.526462672999997</v>
          </cell>
          <cell r="J547">
            <v>39834</v>
          </cell>
          <cell r="K547">
            <v>2.3544</v>
          </cell>
          <cell r="L547">
            <v>18.912021182891607</v>
          </cell>
        </row>
        <row r="548">
          <cell r="B548">
            <v>39835</v>
          </cell>
          <cell r="C548" t="str">
            <v>-</v>
          </cell>
          <cell r="D548" t="str">
            <v>-</v>
          </cell>
          <cell r="E548">
            <v>27.295428909000002</v>
          </cell>
          <cell r="F548">
            <v>22.576482430999999</v>
          </cell>
          <cell r="G548" t="str">
            <v>-</v>
          </cell>
          <cell r="H548">
            <v>42.864191206000001</v>
          </cell>
          <cell r="J548">
            <v>39835</v>
          </cell>
          <cell r="K548">
            <v>2.3298999999999999</v>
          </cell>
          <cell r="L548">
            <v>18.39743817588738</v>
          </cell>
        </row>
        <row r="549">
          <cell r="B549">
            <v>39836</v>
          </cell>
          <cell r="C549">
            <v>39.021508877000002</v>
          </cell>
          <cell r="D549">
            <v>37.868235703000003</v>
          </cell>
          <cell r="E549">
            <v>28.153012998000001</v>
          </cell>
          <cell r="F549">
            <v>23.404286786</v>
          </cell>
          <cell r="G549" t="str">
            <v>-</v>
          </cell>
          <cell r="H549">
            <v>44.685218937000002</v>
          </cell>
          <cell r="J549">
            <v>39836</v>
          </cell>
          <cell r="K549">
            <v>2.3567999999999998</v>
          </cell>
          <cell r="L549">
            <v>18.960123445773934</v>
          </cell>
        </row>
        <row r="550">
          <cell r="B550">
            <v>39839</v>
          </cell>
          <cell r="C550" t="str">
            <v>-</v>
          </cell>
          <cell r="D550" t="str">
            <v>-</v>
          </cell>
          <cell r="E550">
            <v>29.885506105000001</v>
          </cell>
          <cell r="F550">
            <v>24.282261103</v>
          </cell>
          <cell r="G550">
            <v>47.364834144</v>
          </cell>
          <cell r="H550">
            <v>46.506246668000003</v>
          </cell>
          <cell r="J550">
            <v>39839</v>
          </cell>
          <cell r="K550">
            <v>2.3149000000000002</v>
          </cell>
          <cell r="L550">
            <v>20.089959250075598</v>
          </cell>
        </row>
        <row r="551">
          <cell r="B551">
            <v>39840</v>
          </cell>
          <cell r="C551">
            <v>44.374304569000003</v>
          </cell>
          <cell r="D551">
            <v>38.934293746000002</v>
          </cell>
          <cell r="E551">
            <v>29.885506105000001</v>
          </cell>
          <cell r="F551">
            <v>24.248814462999999</v>
          </cell>
          <cell r="G551" t="str">
            <v>-</v>
          </cell>
          <cell r="H551">
            <v>45.899237425000003</v>
          </cell>
          <cell r="J551">
            <v>39840</v>
          </cell>
          <cell r="K551">
            <v>2.3109000000000002</v>
          </cell>
          <cell r="L551">
            <v>19.862061285646284</v>
          </cell>
        </row>
        <row r="552">
          <cell r="B552">
            <v>39841</v>
          </cell>
          <cell r="C552">
            <v>43.668032916000001</v>
          </cell>
          <cell r="D552">
            <v>39.740789831000001</v>
          </cell>
          <cell r="E552">
            <v>31.167551005</v>
          </cell>
          <cell r="F552">
            <v>24.666897470999999</v>
          </cell>
          <cell r="G552">
            <v>47.934351188000001</v>
          </cell>
          <cell r="H552">
            <v>45.152149125000001</v>
          </cell>
          <cell r="J552">
            <v>39841</v>
          </cell>
          <cell r="K552">
            <v>2.2982</v>
          </cell>
          <cell r="L552">
            <v>19.646744898181186</v>
          </cell>
        </row>
        <row r="553">
          <cell r="B553">
            <v>39842</v>
          </cell>
          <cell r="C553">
            <v>40.889411539999998</v>
          </cell>
          <cell r="D553">
            <v>39.388527173</v>
          </cell>
          <cell r="E553">
            <v>30.491878693</v>
          </cell>
          <cell r="F553">
            <v>24.207006161999999</v>
          </cell>
          <cell r="G553">
            <v>47.459753651</v>
          </cell>
          <cell r="H553">
            <v>43.424507431000002</v>
          </cell>
          <cell r="J553">
            <v>39842</v>
          </cell>
          <cell r="K553">
            <v>2.2761</v>
          </cell>
          <cell r="L553">
            <v>19.078470818944687</v>
          </cell>
        </row>
        <row r="554">
          <cell r="B554">
            <v>39843</v>
          </cell>
          <cell r="C554">
            <v>42.655090674999997</v>
          </cell>
          <cell r="D554">
            <v>39.388527173</v>
          </cell>
          <cell r="E554">
            <v>30.916339504</v>
          </cell>
          <cell r="F554">
            <v>23.997964658000001</v>
          </cell>
          <cell r="G554">
            <v>45.570855455999997</v>
          </cell>
          <cell r="H554">
            <v>42.350568000000003</v>
          </cell>
          <cell r="J554">
            <v>39843</v>
          </cell>
          <cell r="K554">
            <v>2.3161999999999998</v>
          </cell>
          <cell r="L554">
            <v>18.284503928848981</v>
          </cell>
        </row>
        <row r="555">
          <cell r="B555">
            <v>39846</v>
          </cell>
          <cell r="C555">
            <v>42.655090674999997</v>
          </cell>
          <cell r="D555">
            <v>38.934293746000002</v>
          </cell>
          <cell r="E555">
            <v>30.751752659000001</v>
          </cell>
          <cell r="F555">
            <v>23.755476513000001</v>
          </cell>
          <cell r="G555">
            <v>47.459753651</v>
          </cell>
          <cell r="H555">
            <v>42.677419131000001</v>
          </cell>
          <cell r="J555">
            <v>39846</v>
          </cell>
          <cell r="K555">
            <v>2.3475000000000001</v>
          </cell>
          <cell r="L555">
            <v>18.179944251757188</v>
          </cell>
        </row>
        <row r="556">
          <cell r="B556">
            <v>39847</v>
          </cell>
          <cell r="C556" t="str">
            <v>-</v>
          </cell>
          <cell r="D556">
            <v>38.934293746000002</v>
          </cell>
          <cell r="E556">
            <v>31.011626625000002</v>
          </cell>
          <cell r="F556">
            <v>23.989602997999999</v>
          </cell>
          <cell r="G556">
            <v>50.307338870000002</v>
          </cell>
          <cell r="H556">
            <v>44.825297993</v>
          </cell>
          <cell r="J556">
            <v>39847</v>
          </cell>
          <cell r="K556">
            <v>2.3144</v>
          </cell>
          <cell r="L556">
            <v>19.367999478482545</v>
          </cell>
        </row>
        <row r="557">
          <cell r="B557">
            <v>39848</v>
          </cell>
          <cell r="C557">
            <v>43.444999762000002</v>
          </cell>
          <cell r="D557">
            <v>40.046702138999997</v>
          </cell>
          <cell r="E557">
            <v>30.232004727</v>
          </cell>
          <cell r="F557">
            <v>22.618290730999998</v>
          </cell>
          <cell r="G557">
            <v>50.307338870000002</v>
          </cell>
          <cell r="H557">
            <v>42.350568000000003</v>
          </cell>
          <cell r="J557">
            <v>39848</v>
          </cell>
          <cell r="K557">
            <v>2.2993999999999999</v>
          </cell>
          <cell r="L557">
            <v>18.418095155257895</v>
          </cell>
        </row>
        <row r="558">
          <cell r="B558">
            <v>39849</v>
          </cell>
          <cell r="C558">
            <v>43.946824358000001</v>
          </cell>
          <cell r="D558">
            <v>39.481227871999998</v>
          </cell>
          <cell r="E558">
            <v>30.743090193</v>
          </cell>
          <cell r="F558">
            <v>23.287223544</v>
          </cell>
          <cell r="G558" t="str">
            <v>-</v>
          </cell>
          <cell r="H558">
            <v>43.704665544000001</v>
          </cell>
          <cell r="J558">
            <v>39849</v>
          </cell>
          <cell r="K558">
            <v>2.3065000000000002</v>
          </cell>
          <cell r="L558">
            <v>18.948478449598959</v>
          </cell>
        </row>
        <row r="559">
          <cell r="B559">
            <v>39850</v>
          </cell>
          <cell r="C559">
            <v>44.411476761999999</v>
          </cell>
          <cell r="D559">
            <v>39.861300739999997</v>
          </cell>
          <cell r="E559">
            <v>32.995331233000002</v>
          </cell>
          <cell r="F559">
            <v>25.084980478999999</v>
          </cell>
          <cell r="G559">
            <v>52.205729015999999</v>
          </cell>
          <cell r="H559">
            <v>44.545139880999997</v>
          </cell>
          <cell r="J559">
            <v>39850</v>
          </cell>
          <cell r="K559">
            <v>2.2658</v>
          </cell>
          <cell r="L559">
            <v>19.659784571012445</v>
          </cell>
        </row>
        <row r="560">
          <cell r="B560">
            <v>39853</v>
          </cell>
          <cell r="C560">
            <v>45.257144136999997</v>
          </cell>
          <cell r="D560">
            <v>40.556555985000003</v>
          </cell>
          <cell r="E560">
            <v>31.239858805000001</v>
          </cell>
          <cell r="F560">
            <v>24.832917035000001</v>
          </cell>
          <cell r="G560" t="str">
            <v>-</v>
          </cell>
          <cell r="H560">
            <v>43.144349319</v>
          </cell>
          <cell r="J560">
            <v>39853</v>
          </cell>
          <cell r="K560">
            <v>2.2446000000000002</v>
          </cell>
          <cell r="L560">
            <v>19.221397718524457</v>
          </cell>
        </row>
        <row r="561">
          <cell r="B561">
            <v>39854</v>
          </cell>
          <cell r="C561">
            <v>45.294316328999997</v>
          </cell>
          <cell r="D561">
            <v>40.324804237000002</v>
          </cell>
          <cell r="E561">
            <v>30.862337853</v>
          </cell>
          <cell r="F561">
            <v>24.366132879999999</v>
          </cell>
          <cell r="G561" t="str">
            <v>-</v>
          </cell>
          <cell r="H561">
            <v>42.864191206000001</v>
          </cell>
          <cell r="J561">
            <v>39854</v>
          </cell>
          <cell r="K561">
            <v>2.2528000000000001</v>
          </cell>
          <cell r="L561">
            <v>19.027073511186078</v>
          </cell>
        </row>
        <row r="562">
          <cell r="B562">
            <v>39855</v>
          </cell>
          <cell r="C562">
            <v>45.201385848000001</v>
          </cell>
          <cell r="D562">
            <v>38.962103956</v>
          </cell>
          <cell r="E562">
            <v>31.617379756999998</v>
          </cell>
          <cell r="F562">
            <v>25.570436000000001</v>
          </cell>
          <cell r="G562" t="str">
            <v>-</v>
          </cell>
          <cell r="H562">
            <v>43.191042336999999</v>
          </cell>
          <cell r="J562">
            <v>39855</v>
          </cell>
          <cell r="K562">
            <v>2.2869999999999999</v>
          </cell>
          <cell r="L562">
            <v>18.885457952339308</v>
          </cell>
        </row>
        <row r="563">
          <cell r="B563">
            <v>39856</v>
          </cell>
          <cell r="C563">
            <v>44.783198685000002</v>
          </cell>
          <cell r="D563">
            <v>39.388527173</v>
          </cell>
          <cell r="E563">
            <v>32.891512970999997</v>
          </cell>
          <cell r="F563">
            <v>26.606696823</v>
          </cell>
          <cell r="G563" t="str">
            <v>-</v>
          </cell>
          <cell r="H563">
            <v>43.517893469000001</v>
          </cell>
          <cell r="J563">
            <v>39856</v>
          </cell>
          <cell r="K563">
            <v>2.2909000000000002</v>
          </cell>
          <cell r="L563">
            <v>18.995981260203411</v>
          </cell>
        </row>
        <row r="564">
          <cell r="B564">
            <v>39857</v>
          </cell>
          <cell r="C564">
            <v>44.513700290999999</v>
          </cell>
          <cell r="D564">
            <v>39.861300739999997</v>
          </cell>
          <cell r="E564">
            <v>32.995331233000002</v>
          </cell>
          <cell r="F564">
            <v>26.700053654000001</v>
          </cell>
          <cell r="G564" t="str">
            <v>-</v>
          </cell>
          <cell r="H564">
            <v>44.535801276999997</v>
          </cell>
          <cell r="J564">
            <v>39857</v>
          </cell>
          <cell r="K564">
            <v>2.2679999999999998</v>
          </cell>
          <cell r="L564">
            <v>19.636596682980599</v>
          </cell>
        </row>
        <row r="565">
          <cell r="B565">
            <v>39860</v>
          </cell>
          <cell r="C565">
            <v>45.350074618000001</v>
          </cell>
          <cell r="D565">
            <v>39.675899340999997</v>
          </cell>
          <cell r="E565">
            <v>32.089280948000003</v>
          </cell>
          <cell r="F565">
            <v>27.054809612</v>
          </cell>
          <cell r="G565" t="str">
            <v>-</v>
          </cell>
          <cell r="H565">
            <v>44.806620786000003</v>
          </cell>
          <cell r="J565">
            <v>39860</v>
          </cell>
          <cell r="K565">
            <v>2.2719</v>
          </cell>
          <cell r="L565">
            <v>19.722091987323388</v>
          </cell>
        </row>
        <row r="566">
          <cell r="B566">
            <v>39861</v>
          </cell>
          <cell r="C566" t="str">
            <v>-</v>
          </cell>
          <cell r="D566">
            <v>39.861300739999997</v>
          </cell>
          <cell r="E566">
            <v>31.711759995000001</v>
          </cell>
          <cell r="F566">
            <v>26.59736114</v>
          </cell>
          <cell r="G566" t="str">
            <v>-</v>
          </cell>
          <cell r="H566">
            <v>43.564586487</v>
          </cell>
          <cell r="J566">
            <v>39861</v>
          </cell>
          <cell r="K566">
            <v>2.3130999999999999</v>
          </cell>
          <cell r="L566">
            <v>18.833853481042755</v>
          </cell>
        </row>
        <row r="567">
          <cell r="B567">
            <v>39862</v>
          </cell>
          <cell r="C567">
            <v>45.350074618000001</v>
          </cell>
          <cell r="D567">
            <v>40.788307734</v>
          </cell>
          <cell r="E567">
            <v>32.561182137999999</v>
          </cell>
          <cell r="F567">
            <v>27.073480977999999</v>
          </cell>
          <cell r="G567" t="str">
            <v>-</v>
          </cell>
          <cell r="H567">
            <v>43.312444186</v>
          </cell>
          <cell r="J567">
            <v>39862</v>
          </cell>
          <cell r="K567">
            <v>2.3395999999999999</v>
          </cell>
          <cell r="L567">
            <v>18.512756106171995</v>
          </cell>
        </row>
        <row r="568">
          <cell r="B568">
            <v>39863</v>
          </cell>
          <cell r="C568" t="str">
            <v>-</v>
          </cell>
          <cell r="D568">
            <v>41.066409831999998</v>
          </cell>
          <cell r="E568">
            <v>33.486108471000001</v>
          </cell>
          <cell r="F568">
            <v>27.633621964</v>
          </cell>
          <cell r="G568" t="str">
            <v>-</v>
          </cell>
          <cell r="H568">
            <v>43.536570675999997</v>
          </cell>
          <cell r="J568">
            <v>39863</v>
          </cell>
          <cell r="K568">
            <v>2.3249</v>
          </cell>
          <cell r="L568">
            <v>18.726212170846058</v>
          </cell>
        </row>
        <row r="569">
          <cell r="B569">
            <v>39864</v>
          </cell>
          <cell r="C569">
            <v>45.257144136999997</v>
          </cell>
          <cell r="D569">
            <v>40.093052487999998</v>
          </cell>
          <cell r="E569">
            <v>32.561182137999999</v>
          </cell>
          <cell r="F569">
            <v>27.353551470999999</v>
          </cell>
          <cell r="G569" t="str">
            <v>-</v>
          </cell>
          <cell r="H569">
            <v>43.471200449999998</v>
          </cell>
          <cell r="J569">
            <v>39864</v>
          </cell>
          <cell r="K569">
            <v>2.3915999999999999</v>
          </cell>
          <cell r="L569">
            <v>18.176618351731058</v>
          </cell>
        </row>
        <row r="570">
          <cell r="B570">
            <v>39867</v>
          </cell>
          <cell r="C570" t="str">
            <v>-</v>
          </cell>
          <cell r="D570" t="str">
            <v>-</v>
          </cell>
          <cell r="E570" t="str">
            <v>-</v>
          </cell>
          <cell r="F570" t="str">
            <v>-</v>
          </cell>
          <cell r="G570" t="str">
            <v>-</v>
          </cell>
          <cell r="H570" t="str">
            <v>-</v>
          </cell>
          <cell r="J570">
            <v>39867</v>
          </cell>
          <cell r="K570" t="str">
            <v>-</v>
          </cell>
          <cell r="L570">
            <v>18.176618351731058</v>
          </cell>
        </row>
        <row r="571">
          <cell r="B571">
            <v>39868</v>
          </cell>
          <cell r="C571" t="str">
            <v>-</v>
          </cell>
          <cell r="D571" t="str">
            <v>-</v>
          </cell>
          <cell r="E571" t="str">
            <v>-</v>
          </cell>
          <cell r="F571" t="str">
            <v>-</v>
          </cell>
          <cell r="G571" t="str">
            <v>-</v>
          </cell>
          <cell r="H571" t="str">
            <v>-</v>
          </cell>
          <cell r="J571">
            <v>39868</v>
          </cell>
          <cell r="K571" t="str">
            <v>-</v>
          </cell>
          <cell r="L571">
            <v>18.176618351731058</v>
          </cell>
        </row>
        <row r="572">
          <cell r="B572">
            <v>39869</v>
          </cell>
          <cell r="C572" t="str">
            <v>-</v>
          </cell>
          <cell r="D572">
            <v>39.861300739999997</v>
          </cell>
          <cell r="E572">
            <v>33.844753376</v>
          </cell>
          <cell r="F572">
            <v>27.89502109</v>
          </cell>
          <cell r="G572" t="str">
            <v>-</v>
          </cell>
          <cell r="H572">
            <v>43.891437619000001</v>
          </cell>
          <cell r="J572">
            <v>39869</v>
          </cell>
          <cell r="K572">
            <v>2.3814000000000002</v>
          </cell>
          <cell r="L572">
            <v>18.430938783488703</v>
          </cell>
        </row>
        <row r="573">
          <cell r="B573">
            <v>39870</v>
          </cell>
          <cell r="C573">
            <v>44.597337723000003</v>
          </cell>
          <cell r="D573">
            <v>39.583198641999999</v>
          </cell>
          <cell r="E573">
            <v>32.797132732999998</v>
          </cell>
          <cell r="F573">
            <v>27.446908302000001</v>
          </cell>
          <cell r="G573" t="str">
            <v>-</v>
          </cell>
          <cell r="H573">
            <v>42.976254451000003</v>
          </cell>
          <cell r="J573">
            <v>39870</v>
          </cell>
          <cell r="K573">
            <v>2.3502999999999998</v>
          </cell>
          <cell r="L573">
            <v>18.285433540824577</v>
          </cell>
        </row>
        <row r="574">
          <cell r="B574">
            <v>39871</v>
          </cell>
          <cell r="C574">
            <v>44.597337723000003</v>
          </cell>
          <cell r="D574">
            <v>40.324804237000002</v>
          </cell>
          <cell r="E574">
            <v>33.504984518999997</v>
          </cell>
          <cell r="F574">
            <v>27.680300378999998</v>
          </cell>
          <cell r="G574">
            <v>52.091825608000001</v>
          </cell>
          <cell r="H574">
            <v>43.583263694999999</v>
          </cell>
          <cell r="J574">
            <v>39871</v>
          </cell>
          <cell r="K574">
            <v>2.3784000000000001</v>
          </cell>
          <cell r="L574">
            <v>18.324614738900099</v>
          </cell>
        </row>
        <row r="575">
          <cell r="B575">
            <v>39874</v>
          </cell>
          <cell r="C575">
            <v>44.606630770999999</v>
          </cell>
          <cell r="D575">
            <v>39.852030669999998</v>
          </cell>
          <cell r="E575">
            <v>32.561182137999999</v>
          </cell>
          <cell r="F575">
            <v>26.32662633</v>
          </cell>
          <cell r="G575" t="str">
            <v>-</v>
          </cell>
          <cell r="H575">
            <v>41.183242530999998</v>
          </cell>
          <cell r="J575">
            <v>39874</v>
          </cell>
          <cell r="K575">
            <v>2.4121000000000001</v>
          </cell>
          <cell r="L575">
            <v>17.073604962895402</v>
          </cell>
        </row>
        <row r="576">
          <cell r="B576">
            <v>39875</v>
          </cell>
          <cell r="C576">
            <v>44.606630770999999</v>
          </cell>
          <cell r="D576">
            <v>39.759329971</v>
          </cell>
          <cell r="E576">
            <v>32.089280948000003</v>
          </cell>
          <cell r="F576">
            <v>26.046555837</v>
          </cell>
          <cell r="G576" t="str">
            <v>-</v>
          </cell>
          <cell r="H576">
            <v>41.930330830999999</v>
          </cell>
          <cell r="J576">
            <v>39875</v>
          </cell>
          <cell r="K576">
            <v>2.4218000000000002</v>
          </cell>
          <cell r="L576">
            <v>17.31370502560079</v>
          </cell>
        </row>
        <row r="577">
          <cell r="B577">
            <v>39876</v>
          </cell>
          <cell r="C577">
            <v>44.606630770999999</v>
          </cell>
          <cell r="D577">
            <v>40.779037664000001</v>
          </cell>
          <cell r="E577">
            <v>32.089280948000003</v>
          </cell>
          <cell r="F577">
            <v>26.606696823</v>
          </cell>
          <cell r="G577" t="str">
            <v>-</v>
          </cell>
          <cell r="H577">
            <v>43.517893469000001</v>
          </cell>
          <cell r="J577">
            <v>39876</v>
          </cell>
          <cell r="K577">
            <v>2.3917000000000002</v>
          </cell>
          <cell r="L577">
            <v>18.195381305765771</v>
          </cell>
        </row>
        <row r="578">
          <cell r="B578">
            <v>39877</v>
          </cell>
          <cell r="C578" t="str">
            <v>-</v>
          </cell>
          <cell r="D578" t="str">
            <v>-</v>
          </cell>
          <cell r="E578">
            <v>32.278041424000001</v>
          </cell>
          <cell r="F578">
            <v>26.139912668000001</v>
          </cell>
          <cell r="G578">
            <v>48.029270695000001</v>
          </cell>
          <cell r="H578">
            <v>42.490647056</v>
          </cell>
          <cell r="J578">
            <v>39877</v>
          </cell>
          <cell r="K578">
            <v>2.3822000000000001</v>
          </cell>
          <cell r="L578">
            <v>17.836725319452608</v>
          </cell>
        </row>
        <row r="579">
          <cell r="B579">
            <v>39878</v>
          </cell>
          <cell r="C579">
            <v>44.606630770999999</v>
          </cell>
          <cell r="D579">
            <v>39.768600040999999</v>
          </cell>
          <cell r="E579">
            <v>32.749942613999998</v>
          </cell>
          <cell r="F579">
            <v>26.718725020000001</v>
          </cell>
          <cell r="G579" t="str">
            <v>-</v>
          </cell>
          <cell r="H579">
            <v>43.387153015999999</v>
          </cell>
          <cell r="J579">
            <v>39878</v>
          </cell>
          <cell r="K579">
            <v>2.3767999999999998</v>
          </cell>
          <cell r="L579">
            <v>18.254440010097611</v>
          </cell>
        </row>
        <row r="580">
          <cell r="B580">
            <v>39881</v>
          </cell>
          <cell r="C580" t="str">
            <v>-</v>
          </cell>
          <cell r="D580">
            <v>39.388527173</v>
          </cell>
          <cell r="E580">
            <v>33.033083327999996</v>
          </cell>
          <cell r="F580">
            <v>26.606696823</v>
          </cell>
          <cell r="G580" t="str">
            <v>-</v>
          </cell>
          <cell r="H580">
            <v>42.938900036</v>
          </cell>
          <cell r="J580">
            <v>39881</v>
          </cell>
          <cell r="K580">
            <v>2.3780999999999999</v>
          </cell>
          <cell r="L580">
            <v>18.055969066061142</v>
          </cell>
        </row>
        <row r="581">
          <cell r="B581">
            <v>39882</v>
          </cell>
          <cell r="C581" t="str">
            <v>-</v>
          </cell>
          <cell r="D581">
            <v>39.861300739999997</v>
          </cell>
          <cell r="E581">
            <v>35.251018922999997</v>
          </cell>
          <cell r="F581">
            <v>28.007049288000001</v>
          </cell>
          <cell r="G581">
            <v>47.459753651</v>
          </cell>
          <cell r="H581">
            <v>45.012070068</v>
          </cell>
          <cell r="J581">
            <v>39882</v>
          </cell>
          <cell r="K581">
            <v>2.3515000000000001</v>
          </cell>
          <cell r="L581">
            <v>19.1418541645758</v>
          </cell>
        </row>
        <row r="582">
          <cell r="B582">
            <v>39883</v>
          </cell>
          <cell r="C582" t="str">
            <v>-</v>
          </cell>
          <cell r="D582">
            <v>39.388527173</v>
          </cell>
          <cell r="E582">
            <v>35.015068327999998</v>
          </cell>
          <cell r="F582">
            <v>28.352469562</v>
          </cell>
          <cell r="G582">
            <v>48.893038210999997</v>
          </cell>
          <cell r="H582">
            <v>45.012070068</v>
          </cell>
          <cell r="J582">
            <v>39883</v>
          </cell>
          <cell r="K582">
            <v>2.3365999999999998</v>
          </cell>
          <cell r="L582">
            <v>19.263917687237868</v>
          </cell>
        </row>
        <row r="583">
          <cell r="B583">
            <v>39884</v>
          </cell>
          <cell r="C583" t="str">
            <v>-</v>
          </cell>
          <cell r="D583">
            <v>38.934293746000002</v>
          </cell>
          <cell r="E583">
            <v>35.392589280000003</v>
          </cell>
          <cell r="F583">
            <v>29.360723336</v>
          </cell>
          <cell r="G583" t="str">
            <v>-</v>
          </cell>
          <cell r="H583">
            <v>46.310135989000003</v>
          </cell>
          <cell r="J583">
            <v>39884</v>
          </cell>
          <cell r="K583">
            <v>2.3157999999999999</v>
          </cell>
          <cell r="L583">
            <v>19.997467824941708</v>
          </cell>
        </row>
        <row r="584">
          <cell r="B584">
            <v>39885</v>
          </cell>
          <cell r="C584" t="str">
            <v>-</v>
          </cell>
          <cell r="D584">
            <v>39.852030669999998</v>
          </cell>
          <cell r="E584">
            <v>34.920688089999999</v>
          </cell>
          <cell r="F584">
            <v>28.380476610999999</v>
          </cell>
          <cell r="G584" t="str">
            <v>-</v>
          </cell>
          <cell r="H584">
            <v>45.198842143</v>
          </cell>
          <cell r="J584">
            <v>39885</v>
          </cell>
          <cell r="K584">
            <v>2.3012000000000001</v>
          </cell>
          <cell r="L584">
            <v>19.641422798105335</v>
          </cell>
        </row>
        <row r="585">
          <cell r="B585">
            <v>39888</v>
          </cell>
          <cell r="C585" t="str">
            <v>-</v>
          </cell>
          <cell r="D585">
            <v>39.212395844</v>
          </cell>
          <cell r="E585">
            <v>34.307216541999999</v>
          </cell>
          <cell r="F585">
            <v>28.053727703</v>
          </cell>
          <cell r="G585" t="str">
            <v>-</v>
          </cell>
          <cell r="H585">
            <v>45.759158368000001</v>
          </cell>
          <cell r="J585">
            <v>39888</v>
          </cell>
          <cell r="K585">
            <v>2.2705000000000002</v>
          </cell>
          <cell r="L585">
            <v>20.153780386698966</v>
          </cell>
        </row>
        <row r="586">
          <cell r="B586">
            <v>39889</v>
          </cell>
          <cell r="C586" t="str">
            <v>-</v>
          </cell>
          <cell r="D586" t="str">
            <v>-</v>
          </cell>
          <cell r="E586">
            <v>35.770110232999997</v>
          </cell>
          <cell r="F586">
            <v>29.528765631999999</v>
          </cell>
          <cell r="G586">
            <v>48.893038210999997</v>
          </cell>
          <cell r="H586">
            <v>47.617540513999998</v>
          </cell>
          <cell r="J586">
            <v>39889</v>
          </cell>
          <cell r="K586">
            <v>2.2833000000000001</v>
          </cell>
          <cell r="L586">
            <v>20.854701753602242</v>
          </cell>
        </row>
        <row r="587">
          <cell r="B587">
            <v>39890</v>
          </cell>
          <cell r="C587" t="str">
            <v>-</v>
          </cell>
          <cell r="D587">
            <v>39.861300739999997</v>
          </cell>
          <cell r="E587">
            <v>36.336391661</v>
          </cell>
          <cell r="F587">
            <v>29.902192956</v>
          </cell>
          <cell r="G587">
            <v>51.247041993000003</v>
          </cell>
          <cell r="H587">
            <v>49.681371943000002</v>
          </cell>
          <cell r="J587">
            <v>39890</v>
          </cell>
          <cell r="K587">
            <v>2.2806000000000002</v>
          </cell>
          <cell r="L587">
            <v>21.78434269183548</v>
          </cell>
        </row>
        <row r="588">
          <cell r="B588">
            <v>39891</v>
          </cell>
          <cell r="C588" t="str">
            <v>-</v>
          </cell>
          <cell r="D588">
            <v>39.861300739999997</v>
          </cell>
          <cell r="E588">
            <v>36.015498852</v>
          </cell>
          <cell r="F588">
            <v>29.566108365000002</v>
          </cell>
          <cell r="G588">
            <v>51.247041993000003</v>
          </cell>
          <cell r="H588">
            <v>49.587985904999996</v>
          </cell>
          <cell r="J588">
            <v>39891</v>
          </cell>
          <cell r="K588">
            <v>2.2378999999999998</v>
          </cell>
          <cell r="L588">
            <v>22.158267082979581</v>
          </cell>
        </row>
        <row r="589">
          <cell r="B589">
            <v>39892</v>
          </cell>
          <cell r="C589" t="str">
            <v>-</v>
          </cell>
          <cell r="D589">
            <v>39.110425075000002</v>
          </cell>
          <cell r="E589">
            <v>35.713482089999999</v>
          </cell>
          <cell r="F589">
            <v>28.940617596999999</v>
          </cell>
          <cell r="G589" t="str">
            <v>-</v>
          </cell>
          <cell r="H589">
            <v>50.914067637999999</v>
          </cell>
          <cell r="J589">
            <v>39892</v>
          </cell>
          <cell r="K589">
            <v>2.2566999999999999</v>
          </cell>
          <cell r="L589">
            <v>22.561291991846502</v>
          </cell>
        </row>
        <row r="590">
          <cell r="B590">
            <v>39895</v>
          </cell>
          <cell r="C590">
            <v>44.606630770999999</v>
          </cell>
          <cell r="D590">
            <v>39.407067312999999</v>
          </cell>
          <cell r="E590">
            <v>38.686459589000002</v>
          </cell>
          <cell r="F590">
            <v>30.723733068000001</v>
          </cell>
          <cell r="G590">
            <v>53.154924088999998</v>
          </cell>
          <cell r="H590">
            <v>52.669725141999997</v>
          </cell>
          <cell r="J590">
            <v>39895</v>
          </cell>
          <cell r="K590">
            <v>2.2505000000000002</v>
          </cell>
          <cell r="L590">
            <v>23.403565937347253</v>
          </cell>
        </row>
        <row r="591">
          <cell r="B591">
            <v>39896</v>
          </cell>
          <cell r="C591">
            <v>44.597337723000003</v>
          </cell>
          <cell r="D591">
            <v>39.80568032</v>
          </cell>
          <cell r="E591">
            <v>37.214127875000003</v>
          </cell>
          <cell r="F591">
            <v>30.621040554</v>
          </cell>
          <cell r="G591" t="str">
            <v>-</v>
          </cell>
          <cell r="H591">
            <v>50.428460243000004</v>
          </cell>
          <cell r="J591">
            <v>39896</v>
          </cell>
          <cell r="K591">
            <v>2.2566999999999999</v>
          </cell>
          <cell r="L591">
            <v>22.346107255284267</v>
          </cell>
        </row>
        <row r="592">
          <cell r="B592">
            <v>39897</v>
          </cell>
          <cell r="C592" t="str">
            <v>-</v>
          </cell>
          <cell r="D592">
            <v>39.861300739999997</v>
          </cell>
          <cell r="E592">
            <v>37.742657209000001</v>
          </cell>
          <cell r="F592">
            <v>30.901111047000001</v>
          </cell>
          <cell r="G592" t="str">
            <v>-</v>
          </cell>
          <cell r="H592">
            <v>49.354520811</v>
          </cell>
          <cell r="J592">
            <v>39897</v>
          </cell>
          <cell r="K592">
            <v>2.2435</v>
          </cell>
          <cell r="L592">
            <v>21.998894945843549</v>
          </cell>
        </row>
        <row r="593">
          <cell r="B593">
            <v>39898</v>
          </cell>
          <cell r="C593" t="str">
            <v>-</v>
          </cell>
          <cell r="D593">
            <v>42.642321721999998</v>
          </cell>
          <cell r="E593">
            <v>37.440640447</v>
          </cell>
          <cell r="F593">
            <v>30.154256400000001</v>
          </cell>
          <cell r="G593" t="str">
            <v>-</v>
          </cell>
          <cell r="H593">
            <v>48.980976662000003</v>
          </cell>
          <cell r="J593">
            <v>39898</v>
          </cell>
          <cell r="K593">
            <v>2.2374999999999998</v>
          </cell>
          <cell r="L593">
            <v>21.890939290279334</v>
          </cell>
        </row>
        <row r="594">
          <cell r="B594">
            <v>39899</v>
          </cell>
          <cell r="C594" t="str">
            <v>-</v>
          </cell>
          <cell r="D594">
            <v>42.178818225000001</v>
          </cell>
          <cell r="E594">
            <v>36.638408423000001</v>
          </cell>
          <cell r="F594">
            <v>29.500758583</v>
          </cell>
          <cell r="G594">
            <v>53.154924088999998</v>
          </cell>
          <cell r="H594">
            <v>47.626879117999998</v>
          </cell>
          <cell r="J594">
            <v>39899</v>
          </cell>
          <cell r="K594">
            <v>2.2745000000000002</v>
          </cell>
          <cell r="L594">
            <v>20.939494006594852</v>
          </cell>
        </row>
        <row r="595">
          <cell r="B595">
            <v>39902</v>
          </cell>
          <cell r="C595">
            <v>42.283368752000001</v>
          </cell>
          <cell r="D595">
            <v>40.788307734</v>
          </cell>
          <cell r="E595">
            <v>34.920688089999999</v>
          </cell>
          <cell r="F595">
            <v>28.893939182</v>
          </cell>
          <cell r="G595">
            <v>53.154924088999998</v>
          </cell>
          <cell r="H595">
            <v>45.684449538000003</v>
          </cell>
          <cell r="J595">
            <v>39902</v>
          </cell>
          <cell r="K595">
            <v>2.3296999999999999</v>
          </cell>
          <cell r="L595">
            <v>19.60958472678886</v>
          </cell>
        </row>
        <row r="596">
          <cell r="B596">
            <v>39903</v>
          </cell>
          <cell r="C596">
            <v>42.738728107999997</v>
          </cell>
          <cell r="D596">
            <v>41.706044658000003</v>
          </cell>
          <cell r="E596">
            <v>35.864490471000003</v>
          </cell>
          <cell r="F596">
            <v>30.340970061</v>
          </cell>
          <cell r="G596">
            <v>55.053314235000002</v>
          </cell>
          <cell r="H596">
            <v>48.840897605000002</v>
          </cell>
          <cell r="J596">
            <v>39903</v>
          </cell>
          <cell r="K596">
            <v>2.3151999999999999</v>
          </cell>
          <cell r="L596">
            <v>21.095757431323431</v>
          </cell>
        </row>
        <row r="597">
          <cell r="B597">
            <v>39904</v>
          </cell>
          <cell r="C597">
            <v>42.655090674999997</v>
          </cell>
          <cell r="D597">
            <v>41.715314728000003</v>
          </cell>
          <cell r="E597">
            <v>37.327384160999998</v>
          </cell>
          <cell r="F597">
            <v>30.154256400000001</v>
          </cell>
          <cell r="G597">
            <v>56.942212431000002</v>
          </cell>
          <cell r="H597">
            <v>49.401213830000003</v>
          </cell>
          <cell r="J597">
            <v>39904</v>
          </cell>
          <cell r="K597">
            <v>2.2898999999999998</v>
          </cell>
          <cell r="L597">
            <v>21.57352453382244</v>
          </cell>
        </row>
        <row r="598">
          <cell r="B598">
            <v>39905</v>
          </cell>
          <cell r="C598">
            <v>42.469229714000001</v>
          </cell>
          <cell r="D598">
            <v>41.715314728000003</v>
          </cell>
          <cell r="E598">
            <v>37.440640447</v>
          </cell>
          <cell r="F598">
            <v>31.423909300999998</v>
          </cell>
          <cell r="G598">
            <v>57.900899453999997</v>
          </cell>
          <cell r="H598">
            <v>52.305519596000003</v>
          </cell>
          <cell r="J598">
            <v>39905</v>
          </cell>
          <cell r="K598">
            <v>2.2355</v>
          </cell>
          <cell r="L598">
            <v>23.397682664280921</v>
          </cell>
        </row>
        <row r="599">
          <cell r="B599">
            <v>39906</v>
          </cell>
          <cell r="C599">
            <v>42.748021156</v>
          </cell>
          <cell r="D599">
            <v>42.595971372000001</v>
          </cell>
          <cell r="E599">
            <v>39.158360780000002</v>
          </cell>
          <cell r="F599">
            <v>32.021393019000001</v>
          </cell>
          <cell r="G599" t="str">
            <v>-</v>
          </cell>
          <cell r="H599">
            <v>54.023822686000003</v>
          </cell>
          <cell r="J599">
            <v>39906</v>
          </cell>
          <cell r="K599">
            <v>2.2071999999999998</v>
          </cell>
          <cell r="L599">
            <v>24.47617917995651</v>
          </cell>
        </row>
        <row r="600">
          <cell r="B600">
            <v>39909</v>
          </cell>
          <cell r="C600">
            <v>44.132685318999997</v>
          </cell>
          <cell r="D600">
            <v>43.096555148999997</v>
          </cell>
          <cell r="E600">
            <v>38.129616185000003</v>
          </cell>
          <cell r="F600">
            <v>32.114749850000003</v>
          </cell>
          <cell r="G600">
            <v>57.900899453999997</v>
          </cell>
          <cell r="H600">
            <v>53.043269291999998</v>
          </cell>
          <cell r="J600">
            <v>39909</v>
          </cell>
          <cell r="K600">
            <v>2.2252000000000001</v>
          </cell>
          <cell r="L600">
            <v>23.837528892683803</v>
          </cell>
        </row>
        <row r="601">
          <cell r="B601">
            <v>39910</v>
          </cell>
          <cell r="C601">
            <v>44.234908848000003</v>
          </cell>
          <cell r="D601">
            <v>43.383927317000001</v>
          </cell>
          <cell r="E601">
            <v>38.450508994000003</v>
          </cell>
          <cell r="F601">
            <v>31.181181540000001</v>
          </cell>
          <cell r="G601">
            <v>56.002509308</v>
          </cell>
          <cell r="H601">
            <v>50.942083449000002</v>
          </cell>
          <cell r="J601">
            <v>39910</v>
          </cell>
          <cell r="K601">
            <v>2.2248999999999999</v>
          </cell>
          <cell r="L601">
            <v>22.896347453368694</v>
          </cell>
        </row>
        <row r="602">
          <cell r="B602">
            <v>39911</v>
          </cell>
          <cell r="C602">
            <v>45.99</v>
          </cell>
          <cell r="D602">
            <v>44.49</v>
          </cell>
          <cell r="E602">
            <v>37.799285351000002</v>
          </cell>
          <cell r="F602">
            <v>30.994467877999998</v>
          </cell>
          <cell r="G602" t="str">
            <v>-</v>
          </cell>
          <cell r="H602">
            <v>50.802004392999997</v>
          </cell>
          <cell r="J602">
            <v>39911</v>
          </cell>
          <cell r="K602">
            <v>2.2014</v>
          </cell>
          <cell r="L602">
            <v>23.077134729263193</v>
          </cell>
        </row>
        <row r="603">
          <cell r="B603">
            <v>39912</v>
          </cell>
          <cell r="C603" t="str">
            <v>-</v>
          </cell>
          <cell r="D603">
            <v>44.35</v>
          </cell>
          <cell r="E603">
            <v>37.468954517999997</v>
          </cell>
          <cell r="F603">
            <v>30.621040554</v>
          </cell>
          <cell r="G603">
            <v>57.900899453999997</v>
          </cell>
          <cell r="H603">
            <v>50.988776467999998</v>
          </cell>
          <cell r="J603">
            <v>39912</v>
          </cell>
          <cell r="K603">
            <v>2.1766000000000001</v>
          </cell>
          <cell r="L603">
            <v>23.425882784158777</v>
          </cell>
        </row>
        <row r="604">
          <cell r="B604">
            <v>39913</v>
          </cell>
          <cell r="C604" t="str">
            <v>-</v>
          </cell>
          <cell r="D604" t="str">
            <v>-</v>
          </cell>
          <cell r="E604" t="str">
            <v>-</v>
          </cell>
          <cell r="F604" t="str">
            <v>-</v>
          </cell>
          <cell r="G604" t="str">
            <v>-</v>
          </cell>
          <cell r="H604" t="str">
            <v>-</v>
          </cell>
          <cell r="J604">
            <v>39913</v>
          </cell>
          <cell r="K604" t="str">
            <v>-</v>
          </cell>
          <cell r="L604">
            <v>23.425882784158777</v>
          </cell>
        </row>
        <row r="605">
          <cell r="B605">
            <v>39916</v>
          </cell>
          <cell r="C605" t="str">
            <v>-</v>
          </cell>
          <cell r="D605">
            <v>43.7</v>
          </cell>
          <cell r="E605">
            <v>37.752095232000002</v>
          </cell>
          <cell r="F605">
            <v>31.367895202</v>
          </cell>
          <cell r="G605" t="str">
            <v>-</v>
          </cell>
          <cell r="H605">
            <v>52.109408917000003</v>
          </cell>
          <cell r="J605">
            <v>39916</v>
          </cell>
          <cell r="K605">
            <v>2.1699000000000002</v>
          </cell>
          <cell r="L605">
            <v>24.014659162634221</v>
          </cell>
        </row>
        <row r="606">
          <cell r="B606">
            <v>39917</v>
          </cell>
          <cell r="C606" t="str">
            <v>-</v>
          </cell>
          <cell r="D606">
            <v>42.5</v>
          </cell>
          <cell r="E606">
            <v>38.129616185000003</v>
          </cell>
          <cell r="F606">
            <v>31.741322526000001</v>
          </cell>
          <cell r="G606" t="str">
            <v>-</v>
          </cell>
          <cell r="H606">
            <v>52.016022880000001</v>
          </cell>
          <cell r="J606">
            <v>39917</v>
          </cell>
          <cell r="K606">
            <v>2.1876000000000002</v>
          </cell>
          <cell r="L606">
            <v>23.777666337538854</v>
          </cell>
        </row>
        <row r="607">
          <cell r="B607">
            <v>39918</v>
          </cell>
          <cell r="C607" t="str">
            <v>-</v>
          </cell>
          <cell r="D607">
            <v>43.25</v>
          </cell>
          <cell r="E607">
            <v>37.119747637000003</v>
          </cell>
          <cell r="F607">
            <v>30.994467877999998</v>
          </cell>
          <cell r="G607" t="str">
            <v>-</v>
          </cell>
          <cell r="H607">
            <v>50.848697411000003</v>
          </cell>
          <cell r="J607">
            <v>39918</v>
          </cell>
          <cell r="K607">
            <v>2.1991999999999998</v>
          </cell>
          <cell r="L607">
            <v>23.121452078483088</v>
          </cell>
        </row>
        <row r="608">
          <cell r="B608">
            <v>39919</v>
          </cell>
          <cell r="C608">
            <v>48</v>
          </cell>
          <cell r="D608">
            <v>46</v>
          </cell>
          <cell r="E608">
            <v>37.742657209000001</v>
          </cell>
          <cell r="F608">
            <v>30.91044673</v>
          </cell>
          <cell r="G608">
            <v>58.850094527000003</v>
          </cell>
          <cell r="H608">
            <v>50.521846279999998</v>
          </cell>
          <cell r="J608">
            <v>39919</v>
          </cell>
          <cell r="K608">
            <v>2.1791</v>
          </cell>
          <cell r="L608">
            <v>23.184730521775045</v>
          </cell>
        </row>
        <row r="609">
          <cell r="B609">
            <v>39920</v>
          </cell>
          <cell r="C609">
            <v>48.9</v>
          </cell>
          <cell r="D609">
            <v>45.99</v>
          </cell>
          <cell r="E609">
            <v>37.195251828000004</v>
          </cell>
          <cell r="F609">
            <v>30.817089898999999</v>
          </cell>
          <cell r="G609" t="str">
            <v>-</v>
          </cell>
          <cell r="H609">
            <v>49.868144018000002</v>
          </cell>
          <cell r="J609">
            <v>39920</v>
          </cell>
          <cell r="K609">
            <v>2.1863999999999999</v>
          </cell>
          <cell r="L609">
            <v>22.808335171057447</v>
          </cell>
        </row>
        <row r="610">
          <cell r="B610">
            <v>39923</v>
          </cell>
          <cell r="C610">
            <v>49.4</v>
          </cell>
          <cell r="D610">
            <v>45.69</v>
          </cell>
          <cell r="E610">
            <v>36.185383280000003</v>
          </cell>
          <cell r="F610">
            <v>30.294291646000001</v>
          </cell>
          <cell r="G610" t="str">
            <v>-</v>
          </cell>
          <cell r="H610">
            <v>48.878252019999998</v>
          </cell>
          <cell r="J610">
            <v>39923</v>
          </cell>
          <cell r="K610">
            <v>2.2349999999999999</v>
          </cell>
          <cell r="L610">
            <v>21.869463991051454</v>
          </cell>
        </row>
        <row r="611">
          <cell r="B611">
            <v>39924</v>
          </cell>
          <cell r="C611" t="str">
            <v>-</v>
          </cell>
          <cell r="D611" t="str">
            <v>-</v>
          </cell>
          <cell r="E611" t="str">
            <v>-</v>
          </cell>
          <cell r="F611" t="str">
            <v>-</v>
          </cell>
          <cell r="G611" t="str">
            <v>-</v>
          </cell>
          <cell r="H611" t="str">
            <v>-</v>
          </cell>
          <cell r="J611">
            <v>39924</v>
          </cell>
          <cell r="K611" t="str">
            <v>-</v>
          </cell>
          <cell r="L611">
            <v>21.869463991051454</v>
          </cell>
        </row>
        <row r="612">
          <cell r="B612">
            <v>39925</v>
          </cell>
          <cell r="C612">
            <v>50</v>
          </cell>
          <cell r="D612">
            <v>46.7</v>
          </cell>
          <cell r="E612">
            <v>36.657284470999997</v>
          </cell>
          <cell r="F612">
            <v>30.733068751000001</v>
          </cell>
          <cell r="G612" t="str">
            <v>-</v>
          </cell>
          <cell r="H612">
            <v>50.241688168000003</v>
          </cell>
          <cell r="J612">
            <v>39925</v>
          </cell>
          <cell r="K612">
            <v>2.2128000000000001</v>
          </cell>
          <cell r="L612">
            <v>22.705028998553868</v>
          </cell>
        </row>
        <row r="613">
          <cell r="B613">
            <v>39926</v>
          </cell>
          <cell r="C613">
            <v>50.5</v>
          </cell>
          <cell r="D613">
            <v>46.29</v>
          </cell>
          <cell r="E613">
            <v>38.035235946999997</v>
          </cell>
          <cell r="F613">
            <v>31.022474927000001</v>
          </cell>
          <cell r="G613">
            <v>58.850094527000003</v>
          </cell>
          <cell r="H613">
            <v>49.961530054999997</v>
          </cell>
          <cell r="J613">
            <v>39926</v>
          </cell>
          <cell r="K613">
            <v>2.2107000000000001</v>
          </cell>
          <cell r="L613">
            <v>22.599868844709817</v>
          </cell>
        </row>
        <row r="614">
          <cell r="B614">
            <v>39927</v>
          </cell>
          <cell r="C614">
            <v>50.95</v>
          </cell>
          <cell r="D614">
            <v>46</v>
          </cell>
          <cell r="E614">
            <v>38.129616185000003</v>
          </cell>
          <cell r="F614">
            <v>31.974714602999999</v>
          </cell>
          <cell r="G614" t="str">
            <v>-</v>
          </cell>
          <cell r="H614">
            <v>51.455706655</v>
          </cell>
          <cell r="J614">
            <v>39927</v>
          </cell>
          <cell r="K614">
            <v>2.1932999999999998</v>
          </cell>
          <cell r="L614">
            <v>23.460405168011675</v>
          </cell>
        </row>
        <row r="615">
          <cell r="B615">
            <v>39930</v>
          </cell>
          <cell r="C615">
            <v>50.99</v>
          </cell>
          <cell r="D615">
            <v>44.46</v>
          </cell>
          <cell r="E615">
            <v>37.921979661000002</v>
          </cell>
          <cell r="F615">
            <v>32.114749850000003</v>
          </cell>
          <cell r="G615" t="str">
            <v>-</v>
          </cell>
          <cell r="H615">
            <v>50.615232317999997</v>
          </cell>
          <cell r="J615">
            <v>39930</v>
          </cell>
          <cell r="K615">
            <v>2.2164999999999999</v>
          </cell>
          <cell r="L615">
            <v>22.835656358222423</v>
          </cell>
        </row>
        <row r="616">
          <cell r="B616">
            <v>39931</v>
          </cell>
          <cell r="C616">
            <v>51.94</v>
          </cell>
          <cell r="D616">
            <v>42.75</v>
          </cell>
          <cell r="E616">
            <v>37.940855708999997</v>
          </cell>
          <cell r="F616">
            <v>31.433244984000002</v>
          </cell>
          <cell r="G616">
            <v>56.002509308</v>
          </cell>
          <cell r="H616">
            <v>49.522615678999998</v>
          </cell>
          <cell r="J616">
            <v>39931</v>
          </cell>
          <cell r="K616">
            <v>2.2037</v>
          </cell>
          <cell r="L616">
            <v>22.472485219857511</v>
          </cell>
        </row>
        <row r="617">
          <cell r="B617">
            <v>39932</v>
          </cell>
          <cell r="C617">
            <v>52.7</v>
          </cell>
          <cell r="D617">
            <v>43</v>
          </cell>
          <cell r="E617">
            <v>39.668014065000001</v>
          </cell>
          <cell r="F617">
            <v>32.441498758000002</v>
          </cell>
          <cell r="G617" t="str">
            <v>-</v>
          </cell>
          <cell r="H617">
            <v>52.482953066999997</v>
          </cell>
          <cell r="J617">
            <v>39932</v>
          </cell>
          <cell r="K617">
            <v>2.1838000000000002</v>
          </cell>
          <cell r="L617">
            <v>24.032856977287295</v>
          </cell>
        </row>
        <row r="618">
          <cell r="B618">
            <v>39933</v>
          </cell>
          <cell r="C618" t="str">
            <v>-</v>
          </cell>
          <cell r="D618">
            <v>44</v>
          </cell>
          <cell r="E618">
            <v>38.988476351000003</v>
          </cell>
          <cell r="F618">
            <v>31.853350722999998</v>
          </cell>
          <cell r="G618">
            <v>56.002509308</v>
          </cell>
          <cell r="H618">
            <v>51.016792279000001</v>
          </cell>
          <cell r="J618">
            <v>39933</v>
          </cell>
          <cell r="K618">
            <v>2.1783000000000001</v>
          </cell>
          <cell r="L618">
            <v>23.420461956112565</v>
          </cell>
        </row>
        <row r="619">
          <cell r="B619">
            <v>39934</v>
          </cell>
          <cell r="C619" t="str">
            <v>-</v>
          </cell>
          <cell r="D619" t="str">
            <v>-</v>
          </cell>
          <cell r="E619" t="str">
            <v>-</v>
          </cell>
          <cell r="F619" t="str">
            <v>-</v>
          </cell>
          <cell r="G619" t="str">
            <v>-</v>
          </cell>
          <cell r="H619" t="str">
            <v>-</v>
          </cell>
          <cell r="J619">
            <v>39934</v>
          </cell>
          <cell r="K619" t="str">
            <v>-</v>
          </cell>
          <cell r="L619">
            <v>23.420461956112565</v>
          </cell>
        </row>
        <row r="620">
          <cell r="B620">
            <v>39937</v>
          </cell>
          <cell r="C620">
            <v>55</v>
          </cell>
          <cell r="D620">
            <v>47</v>
          </cell>
          <cell r="E620">
            <v>39.271617065999997</v>
          </cell>
          <cell r="F620">
            <v>32.441498758000002</v>
          </cell>
          <cell r="G620">
            <v>56.951704380999999</v>
          </cell>
          <cell r="H620">
            <v>50.988776467999998</v>
          </cell>
          <cell r="J620">
            <v>39937</v>
          </cell>
          <cell r="K620">
            <v>2.1368999999999998</v>
          </cell>
          <cell r="L620">
            <v>23.861096199167019</v>
          </cell>
        </row>
        <row r="621">
          <cell r="B621">
            <v>39938</v>
          </cell>
          <cell r="C621">
            <v>51.99</v>
          </cell>
          <cell r="D621">
            <v>47</v>
          </cell>
          <cell r="E621">
            <v>38.025797922999999</v>
          </cell>
          <cell r="F621">
            <v>31.545273180999999</v>
          </cell>
          <cell r="G621">
            <v>56.951704380999999</v>
          </cell>
          <cell r="H621">
            <v>50.727295562999998</v>
          </cell>
          <cell r="J621">
            <v>39938</v>
          </cell>
          <cell r="K621">
            <v>2.1476000000000002</v>
          </cell>
          <cell r="L621">
            <v>23.620457982398953</v>
          </cell>
        </row>
        <row r="622">
          <cell r="B622">
            <v>39939</v>
          </cell>
          <cell r="C622">
            <v>51.8</v>
          </cell>
          <cell r="D622">
            <v>47</v>
          </cell>
          <cell r="E622">
            <v>39.639699993999997</v>
          </cell>
          <cell r="F622">
            <v>32.245449413000003</v>
          </cell>
          <cell r="G622">
            <v>62.637382869</v>
          </cell>
          <cell r="H622">
            <v>53.174009744999999</v>
          </cell>
          <cell r="J622">
            <v>39939</v>
          </cell>
          <cell r="K622">
            <v>2.1213000000000002</v>
          </cell>
          <cell r="L622">
            <v>25.066708973271105</v>
          </cell>
        </row>
        <row r="623">
          <cell r="B623">
            <v>39940</v>
          </cell>
          <cell r="C623" t="str">
            <v>-</v>
          </cell>
          <cell r="D623">
            <v>46.98</v>
          </cell>
          <cell r="E623">
            <v>39.394311375000001</v>
          </cell>
          <cell r="F623">
            <v>32.180099630999997</v>
          </cell>
          <cell r="G623" t="str">
            <v>-</v>
          </cell>
          <cell r="H623">
            <v>52.296180991999996</v>
          </cell>
          <cell r="J623">
            <v>39940</v>
          </cell>
          <cell r="K623">
            <v>2.0983999999999998</v>
          </cell>
          <cell r="L623">
            <v>24.921931467784979</v>
          </cell>
        </row>
        <row r="624">
          <cell r="B624">
            <v>39941</v>
          </cell>
          <cell r="C624">
            <v>51.79</v>
          </cell>
          <cell r="D624">
            <v>47</v>
          </cell>
          <cell r="E624">
            <v>40.470246089</v>
          </cell>
          <cell r="F624">
            <v>32.674890834999999</v>
          </cell>
          <cell r="G624">
            <v>62.637382869</v>
          </cell>
          <cell r="H624">
            <v>53.696971554999998</v>
          </cell>
          <cell r="J624">
            <v>39941</v>
          </cell>
          <cell r="K624">
            <v>2.0750000000000002</v>
          </cell>
          <cell r="L624">
            <v>25.87805858072289</v>
          </cell>
        </row>
        <row r="625">
          <cell r="B625">
            <v>39944</v>
          </cell>
          <cell r="C625" t="str">
            <v>-</v>
          </cell>
          <cell r="D625">
            <v>47.49</v>
          </cell>
          <cell r="E625">
            <v>40.989337399</v>
          </cell>
          <cell r="F625">
            <v>32.320134877999998</v>
          </cell>
          <cell r="G625" t="str">
            <v>-</v>
          </cell>
          <cell r="H625">
            <v>53.500860875999997</v>
          </cell>
          <cell r="J625">
            <v>39944</v>
          </cell>
          <cell r="K625">
            <v>2.0579000000000001</v>
          </cell>
          <cell r="L625">
            <v>25.997794293211523</v>
          </cell>
        </row>
        <row r="626">
          <cell r="B626">
            <v>39945</v>
          </cell>
          <cell r="C626">
            <v>49.98</v>
          </cell>
          <cell r="D626">
            <v>47</v>
          </cell>
          <cell r="E626">
            <v>39.469815566000001</v>
          </cell>
          <cell r="F626">
            <v>32.394820342999999</v>
          </cell>
          <cell r="G626" t="str">
            <v>-</v>
          </cell>
          <cell r="H626">
            <v>53.192686952000003</v>
          </cell>
          <cell r="J626">
            <v>39945</v>
          </cell>
          <cell r="K626">
            <v>2.0649000000000002</v>
          </cell>
          <cell r="L626">
            <v>25.760417914668992</v>
          </cell>
        </row>
        <row r="627">
          <cell r="B627">
            <v>39946</v>
          </cell>
          <cell r="C627" t="str">
            <v>-</v>
          </cell>
          <cell r="D627">
            <v>45.9</v>
          </cell>
          <cell r="E627">
            <v>38.261748517999997</v>
          </cell>
          <cell r="F627">
            <v>31.003803561000002</v>
          </cell>
          <cell r="G627">
            <v>66.443655112000002</v>
          </cell>
          <cell r="H627">
            <v>51.362320617000002</v>
          </cell>
          <cell r="J627">
            <v>39946</v>
          </cell>
          <cell r="K627">
            <v>2.0992000000000002</v>
          </cell>
          <cell r="L627">
            <v>24.467568891482468</v>
          </cell>
        </row>
        <row r="628">
          <cell r="B628">
            <v>39947</v>
          </cell>
          <cell r="C628" t="str">
            <v>-</v>
          </cell>
          <cell r="D628">
            <v>45.7</v>
          </cell>
          <cell r="E628">
            <v>38.695897613</v>
          </cell>
          <cell r="F628">
            <v>31.741322526000001</v>
          </cell>
          <cell r="G628" t="str">
            <v>-</v>
          </cell>
          <cell r="H628">
            <v>52.744433972000003</v>
          </cell>
          <cell r="J628">
            <v>39947</v>
          </cell>
          <cell r="K628">
            <v>2.0929000000000002</v>
          </cell>
          <cell r="L628">
            <v>25.201602547661139</v>
          </cell>
        </row>
        <row r="629">
          <cell r="B629">
            <v>39948</v>
          </cell>
          <cell r="C629">
            <v>50.4</v>
          </cell>
          <cell r="D629">
            <v>45.51</v>
          </cell>
          <cell r="E629">
            <v>39.262179042</v>
          </cell>
          <cell r="F629">
            <v>31.451916350000001</v>
          </cell>
          <cell r="G629" t="str">
            <v>-</v>
          </cell>
          <cell r="H629">
            <v>50.867374619000003</v>
          </cell>
          <cell r="J629">
            <v>39948</v>
          </cell>
          <cell r="K629">
            <v>2.0762</v>
          </cell>
          <cell r="L629">
            <v>24.500228599845872</v>
          </cell>
        </row>
        <row r="630">
          <cell r="B630">
            <v>39951</v>
          </cell>
          <cell r="C630">
            <v>52</v>
          </cell>
          <cell r="D630">
            <v>47.19</v>
          </cell>
          <cell r="E630">
            <v>40.111601184000001</v>
          </cell>
          <cell r="F630">
            <v>32.208106680999997</v>
          </cell>
          <cell r="G630" t="str">
            <v>-</v>
          </cell>
          <cell r="H630">
            <v>53.958452459999997</v>
          </cell>
          <cell r="J630">
            <v>39951</v>
          </cell>
          <cell r="K630">
            <v>2.0783999999999998</v>
          </cell>
          <cell r="L630">
            <v>25.961534093533487</v>
          </cell>
        </row>
        <row r="631">
          <cell r="B631">
            <v>39952</v>
          </cell>
          <cell r="C631" t="str">
            <v>-</v>
          </cell>
          <cell r="D631">
            <v>46.99</v>
          </cell>
          <cell r="E631">
            <v>38.743087731999999</v>
          </cell>
          <cell r="F631">
            <v>31.638630012</v>
          </cell>
          <cell r="G631" t="str">
            <v>-</v>
          </cell>
          <cell r="H631">
            <v>52.903190236</v>
          </cell>
          <cell r="J631">
            <v>39952</v>
          </cell>
          <cell r="K631">
            <v>2.0488</v>
          </cell>
          <cell r="L631">
            <v>25.821549314720812</v>
          </cell>
        </row>
        <row r="632">
          <cell r="B632">
            <v>39953</v>
          </cell>
          <cell r="C632">
            <v>53</v>
          </cell>
          <cell r="D632">
            <v>47</v>
          </cell>
          <cell r="E632">
            <v>38.790277850999999</v>
          </cell>
          <cell r="F632">
            <v>31.274538370999998</v>
          </cell>
          <cell r="G632">
            <v>66.434163161000001</v>
          </cell>
          <cell r="H632">
            <v>52.174779143999999</v>
          </cell>
          <cell r="J632">
            <v>39953</v>
          </cell>
          <cell r="K632">
            <v>2.0198999999999998</v>
          </cell>
          <cell r="L632">
            <v>25.830377317688995</v>
          </cell>
        </row>
        <row r="633">
          <cell r="B633">
            <v>39954</v>
          </cell>
          <cell r="C633">
            <v>52.44</v>
          </cell>
          <cell r="D633">
            <v>46.8</v>
          </cell>
          <cell r="E633">
            <v>38.884658088999998</v>
          </cell>
          <cell r="F633">
            <v>31.367895202</v>
          </cell>
          <cell r="G633">
            <v>65.959565624000007</v>
          </cell>
          <cell r="H633">
            <v>52.296180991999996</v>
          </cell>
          <cell r="J633">
            <v>39954</v>
          </cell>
          <cell r="K633">
            <v>2.0264000000000002</v>
          </cell>
          <cell r="L633">
            <v>25.807432388472161</v>
          </cell>
        </row>
        <row r="634">
          <cell r="B634">
            <v>39955</v>
          </cell>
          <cell r="C634" t="str">
            <v>-</v>
          </cell>
          <cell r="D634">
            <v>48.3</v>
          </cell>
          <cell r="E634">
            <v>39.073418566000001</v>
          </cell>
          <cell r="F634">
            <v>31.563944546999998</v>
          </cell>
          <cell r="G634" t="str">
            <v>-</v>
          </cell>
          <cell r="H634">
            <v>51.595785710999998</v>
          </cell>
          <cell r="J634">
            <v>39955</v>
          </cell>
          <cell r="K634">
            <v>2.0278999999999998</v>
          </cell>
          <cell r="L634">
            <v>25.442963514473103</v>
          </cell>
        </row>
        <row r="635">
          <cell r="B635">
            <v>39958</v>
          </cell>
          <cell r="C635">
            <v>52.44</v>
          </cell>
          <cell r="D635">
            <v>48.59</v>
          </cell>
          <cell r="E635">
            <v>39.828460470000003</v>
          </cell>
          <cell r="F635">
            <v>31.647965695</v>
          </cell>
          <cell r="G635">
            <v>65.959565624000007</v>
          </cell>
          <cell r="H635">
            <v>51.082162504999999</v>
          </cell>
          <cell r="J635">
            <v>39958</v>
          </cell>
          <cell r="K635">
            <v>2.0234000000000001</v>
          </cell>
          <cell r="L635">
            <v>25.2457064866067</v>
          </cell>
        </row>
        <row r="636">
          <cell r="B636">
            <v>39959</v>
          </cell>
          <cell r="C636" t="str">
            <v>-</v>
          </cell>
          <cell r="D636">
            <v>48.8</v>
          </cell>
          <cell r="E636">
            <v>39.545319755999998</v>
          </cell>
          <cell r="F636">
            <v>31.881357772000001</v>
          </cell>
          <cell r="G636">
            <v>65.959565624000007</v>
          </cell>
          <cell r="H636">
            <v>52.576339105000002</v>
          </cell>
          <cell r="J636">
            <v>39959</v>
          </cell>
          <cell r="K636">
            <v>2.0261</v>
          </cell>
          <cell r="L636">
            <v>25.949528209367752</v>
          </cell>
        </row>
        <row r="637">
          <cell r="B637">
            <v>39960</v>
          </cell>
          <cell r="C637">
            <v>52</v>
          </cell>
          <cell r="D637">
            <v>49.28</v>
          </cell>
          <cell r="E637">
            <v>40.017220946000002</v>
          </cell>
          <cell r="F637">
            <v>32.534855589000003</v>
          </cell>
          <cell r="G637">
            <v>61.697679747000002</v>
          </cell>
          <cell r="H637">
            <v>53.622262724999999</v>
          </cell>
          <cell r="J637">
            <v>39960</v>
          </cell>
          <cell r="K637">
            <v>2.0095000000000001</v>
          </cell>
          <cell r="L637">
            <v>26.684380554864394</v>
          </cell>
        </row>
        <row r="638">
          <cell r="B638">
            <v>39961</v>
          </cell>
          <cell r="C638">
            <v>51.79</v>
          </cell>
          <cell r="D638">
            <v>50</v>
          </cell>
          <cell r="E638">
            <v>40.583502375000002</v>
          </cell>
          <cell r="F638">
            <v>32.581534005000002</v>
          </cell>
          <cell r="G638">
            <v>65.399540531</v>
          </cell>
          <cell r="H638">
            <v>55.368581626000001</v>
          </cell>
          <cell r="J638">
            <v>39961</v>
          </cell>
          <cell r="K638">
            <v>2.0144000000000002</v>
          </cell>
          <cell r="L638">
            <v>27.486388813542494</v>
          </cell>
        </row>
        <row r="639">
          <cell r="B639">
            <v>39962</v>
          </cell>
          <cell r="C639">
            <v>52.95</v>
          </cell>
          <cell r="D639">
            <v>51.99</v>
          </cell>
          <cell r="E639">
            <v>40.583502375000002</v>
          </cell>
          <cell r="F639">
            <v>32.777583348999997</v>
          </cell>
          <cell r="G639">
            <v>61.707171697</v>
          </cell>
          <cell r="H639">
            <v>53.230041366999998</v>
          </cell>
          <cell r="J639">
            <v>39962</v>
          </cell>
          <cell r="K639">
            <v>1.9730000000000001</v>
          </cell>
          <cell r="L639">
            <v>26.979240429295487</v>
          </cell>
        </row>
        <row r="640">
          <cell r="B640">
            <v>39965</v>
          </cell>
          <cell r="C640">
            <v>53.97</v>
          </cell>
          <cell r="D640">
            <v>53.5</v>
          </cell>
          <cell r="E640">
            <v>39.365997303999997</v>
          </cell>
          <cell r="F640">
            <v>32.581534005000002</v>
          </cell>
          <cell r="G640">
            <v>61.745139500000001</v>
          </cell>
          <cell r="H640">
            <v>53.603585516999999</v>
          </cell>
          <cell r="J640">
            <v>39965</v>
          </cell>
          <cell r="K640">
            <v>1.944</v>
          </cell>
          <cell r="L640">
            <v>27.573860862654321</v>
          </cell>
        </row>
        <row r="641">
          <cell r="B641">
            <v>39966</v>
          </cell>
          <cell r="C641">
            <v>53.9</v>
          </cell>
          <cell r="D641">
            <v>53</v>
          </cell>
          <cell r="E641">
            <v>39.639699993999997</v>
          </cell>
          <cell r="F641">
            <v>32.768247666000001</v>
          </cell>
          <cell r="G641">
            <v>61.745139500000001</v>
          </cell>
          <cell r="H641">
            <v>53.687632950999998</v>
          </cell>
          <cell r="J641">
            <v>39966</v>
          </cell>
          <cell r="K641">
            <v>1.9370000000000001</v>
          </cell>
          <cell r="L641">
            <v>27.716898787299947</v>
          </cell>
        </row>
        <row r="642">
          <cell r="B642">
            <v>39967</v>
          </cell>
          <cell r="C642">
            <v>53.9</v>
          </cell>
          <cell r="D642">
            <v>51.89</v>
          </cell>
          <cell r="E642">
            <v>38.223996423000003</v>
          </cell>
          <cell r="F642">
            <v>31.844015039999999</v>
          </cell>
          <cell r="G642" t="str">
            <v>-</v>
          </cell>
          <cell r="H642">
            <v>51.044808089999997</v>
          </cell>
          <cell r="J642">
            <v>39967</v>
          </cell>
          <cell r="K642">
            <v>1.96</v>
          </cell>
          <cell r="L642">
            <v>26.043269433673469</v>
          </cell>
        </row>
        <row r="643">
          <cell r="B643">
            <v>39968</v>
          </cell>
          <cell r="C643">
            <v>55</v>
          </cell>
          <cell r="D643">
            <v>54.39</v>
          </cell>
          <cell r="E643">
            <v>38.884658088999998</v>
          </cell>
          <cell r="F643">
            <v>31.881357772000001</v>
          </cell>
          <cell r="G643" t="str">
            <v>-</v>
          </cell>
          <cell r="H643">
            <v>52.529646086</v>
          </cell>
          <cell r="J643">
            <v>39968</v>
          </cell>
          <cell r="K643">
            <v>1.9497</v>
          </cell>
          <cell r="L643">
            <v>26.942425032569112</v>
          </cell>
        </row>
        <row r="644">
          <cell r="B644">
            <v>39969</v>
          </cell>
          <cell r="C644">
            <v>55</v>
          </cell>
          <cell r="D644">
            <v>55.5</v>
          </cell>
          <cell r="E644">
            <v>38.223996423000003</v>
          </cell>
          <cell r="F644">
            <v>31.741322526000001</v>
          </cell>
          <cell r="G644" t="str">
            <v>-</v>
          </cell>
          <cell r="H644">
            <v>51.735864767000002</v>
          </cell>
          <cell r="J644">
            <v>39969</v>
          </cell>
          <cell r="K644">
            <v>1.9534</v>
          </cell>
          <cell r="L644">
            <v>26.485033667963553</v>
          </cell>
        </row>
        <row r="645">
          <cell r="B645">
            <v>39972</v>
          </cell>
          <cell r="C645">
            <v>55.5</v>
          </cell>
          <cell r="D645">
            <v>55.5</v>
          </cell>
          <cell r="E645">
            <v>37.752095232000002</v>
          </cell>
          <cell r="F645">
            <v>31.087824709</v>
          </cell>
          <cell r="G645" t="str">
            <v>-</v>
          </cell>
          <cell r="H645">
            <v>51.549092692000002</v>
          </cell>
          <cell r="J645">
            <v>39972</v>
          </cell>
          <cell r="K645">
            <v>1.9703999999999999</v>
          </cell>
          <cell r="L645">
            <v>26.16174009947219</v>
          </cell>
        </row>
        <row r="646">
          <cell r="B646">
            <v>39973</v>
          </cell>
          <cell r="C646">
            <v>55.5</v>
          </cell>
          <cell r="D646">
            <v>55.5</v>
          </cell>
          <cell r="E646">
            <v>37.185813803999999</v>
          </cell>
          <cell r="F646">
            <v>30.714397385000002</v>
          </cell>
          <cell r="G646" t="str">
            <v>-</v>
          </cell>
          <cell r="H646">
            <v>51.586447106999998</v>
          </cell>
          <cell r="J646">
            <v>39973</v>
          </cell>
          <cell r="K646">
            <v>1.9384999999999999</v>
          </cell>
          <cell r="L646">
            <v>26.611528040753161</v>
          </cell>
        </row>
        <row r="647">
          <cell r="B647">
            <v>39974</v>
          </cell>
          <cell r="C647">
            <v>56.3</v>
          </cell>
          <cell r="D647">
            <v>55.55</v>
          </cell>
          <cell r="E647">
            <v>36.619532374999999</v>
          </cell>
          <cell r="F647">
            <v>30.527683722999999</v>
          </cell>
          <cell r="G647" t="str">
            <v>-</v>
          </cell>
          <cell r="H647">
            <v>50.680602544000003</v>
          </cell>
          <cell r="J647">
            <v>39974</v>
          </cell>
          <cell r="K647">
            <v>1.9474</v>
          </cell>
          <cell r="L647">
            <v>26.024752256341792</v>
          </cell>
        </row>
        <row r="648">
          <cell r="B648">
            <v>39975</v>
          </cell>
          <cell r="C648" t="str">
            <v>-</v>
          </cell>
          <cell r="D648" t="str">
            <v>-</v>
          </cell>
          <cell r="E648" t="str">
            <v>-</v>
          </cell>
          <cell r="F648" t="str">
            <v>-</v>
          </cell>
          <cell r="G648" t="str">
            <v>-</v>
          </cell>
          <cell r="H648" t="str">
            <v>-</v>
          </cell>
          <cell r="J648">
            <v>39975</v>
          </cell>
          <cell r="K648" t="str">
            <v>-</v>
          </cell>
          <cell r="L648">
            <v>26.024752256341792</v>
          </cell>
        </row>
        <row r="649">
          <cell r="B649">
            <v>39976</v>
          </cell>
          <cell r="C649">
            <v>56.5</v>
          </cell>
          <cell r="D649">
            <v>54</v>
          </cell>
          <cell r="E649">
            <v>36.289201542000001</v>
          </cell>
          <cell r="F649">
            <v>30.191599132</v>
          </cell>
          <cell r="G649" t="str">
            <v>-</v>
          </cell>
          <cell r="H649">
            <v>49.961530054999997</v>
          </cell>
          <cell r="J649">
            <v>39976</v>
          </cell>
          <cell r="K649">
            <v>1.9300999999999999</v>
          </cell>
          <cell r="L649">
            <v>25.885461921662088</v>
          </cell>
        </row>
        <row r="650">
          <cell r="B650">
            <v>39979</v>
          </cell>
          <cell r="C650">
            <v>57</v>
          </cell>
          <cell r="D650">
            <v>53.8</v>
          </cell>
          <cell r="E650">
            <v>35.298209042000003</v>
          </cell>
          <cell r="F650">
            <v>29.033974428000001</v>
          </cell>
          <cell r="G650" t="str">
            <v>-</v>
          </cell>
          <cell r="H650">
            <v>46.973176856000002</v>
          </cell>
          <cell r="J650">
            <v>39979</v>
          </cell>
          <cell r="K650">
            <v>1.9458</v>
          </cell>
          <cell r="L650">
            <v>24.140804222427796</v>
          </cell>
        </row>
        <row r="651">
          <cell r="B651">
            <v>39980</v>
          </cell>
          <cell r="C651">
            <v>57.48</v>
          </cell>
          <cell r="D651">
            <v>53.9</v>
          </cell>
          <cell r="E651">
            <v>34.826307851999999</v>
          </cell>
          <cell r="F651">
            <v>28.380476610999999</v>
          </cell>
          <cell r="G651" t="str">
            <v>-</v>
          </cell>
          <cell r="H651">
            <v>45.759158368000001</v>
          </cell>
          <cell r="J651">
            <v>39980</v>
          </cell>
          <cell r="K651">
            <v>1.9460999999999999</v>
          </cell>
          <cell r="L651">
            <v>23.513261583680183</v>
          </cell>
        </row>
        <row r="652">
          <cell r="B652">
            <v>39981</v>
          </cell>
          <cell r="C652">
            <v>58</v>
          </cell>
          <cell r="D652">
            <v>53.6</v>
          </cell>
          <cell r="E652">
            <v>34.448786900000002</v>
          </cell>
          <cell r="F652">
            <v>28.333798196</v>
          </cell>
          <cell r="G652" t="str">
            <v>-</v>
          </cell>
          <cell r="H652">
            <v>46.422199233999997</v>
          </cell>
          <cell r="J652">
            <v>39981</v>
          </cell>
          <cell r="K652">
            <v>1.9783999999999999</v>
          </cell>
          <cell r="L652">
            <v>23.464516394055803</v>
          </cell>
        </row>
        <row r="653">
          <cell r="B653">
            <v>39982</v>
          </cell>
          <cell r="C653">
            <v>57.8</v>
          </cell>
          <cell r="D653">
            <v>52.8</v>
          </cell>
          <cell r="E653">
            <v>34.363844684999997</v>
          </cell>
          <cell r="F653">
            <v>28.100406117999999</v>
          </cell>
          <cell r="G653" t="str">
            <v>-</v>
          </cell>
          <cell r="H653">
            <v>46.543601082999999</v>
          </cell>
          <cell r="J653">
            <v>39982</v>
          </cell>
          <cell r="K653">
            <v>1.9709000000000001</v>
          </cell>
          <cell r="L653">
            <v>23.615404679588003</v>
          </cell>
        </row>
        <row r="654">
          <cell r="B654">
            <v>39983</v>
          </cell>
          <cell r="C654">
            <v>57.5</v>
          </cell>
          <cell r="D654">
            <v>53.5</v>
          </cell>
          <cell r="E654">
            <v>34.335530614</v>
          </cell>
          <cell r="F654">
            <v>28.007049288000001</v>
          </cell>
          <cell r="G654">
            <v>60.738992723000003</v>
          </cell>
          <cell r="H654">
            <v>46.226088556000001</v>
          </cell>
          <cell r="J654">
            <v>39983</v>
          </cell>
          <cell r="K654">
            <v>1.9592000000000001</v>
          </cell>
          <cell r="L654">
            <v>23.59436941404655</v>
          </cell>
        </row>
        <row r="655">
          <cell r="B655">
            <v>39986</v>
          </cell>
          <cell r="C655">
            <v>56.5</v>
          </cell>
          <cell r="D655">
            <v>53</v>
          </cell>
          <cell r="E655">
            <v>34.071265947000001</v>
          </cell>
          <cell r="F655">
            <v>28.464497759</v>
          </cell>
          <cell r="G655">
            <v>57.900899453999997</v>
          </cell>
          <cell r="H655">
            <v>47.253334967999997</v>
          </cell>
          <cell r="J655">
            <v>39986</v>
          </cell>
          <cell r="K655">
            <v>2.0074000000000001</v>
          </cell>
          <cell r="L655">
            <v>23.539571071037159</v>
          </cell>
        </row>
        <row r="656">
          <cell r="B656">
            <v>39987</v>
          </cell>
          <cell r="C656">
            <v>56</v>
          </cell>
          <cell r="D656">
            <v>52.5</v>
          </cell>
          <cell r="E656">
            <v>34.448786900000002</v>
          </cell>
          <cell r="F656">
            <v>28.380476610999999</v>
          </cell>
          <cell r="G656">
            <v>57.900899453999997</v>
          </cell>
          <cell r="H656">
            <v>47.813651192999998</v>
          </cell>
          <cell r="J656">
            <v>39987</v>
          </cell>
          <cell r="K656">
            <v>2.0019</v>
          </cell>
          <cell r="L656">
            <v>23.884135667615762</v>
          </cell>
        </row>
        <row r="657">
          <cell r="B657">
            <v>39988</v>
          </cell>
          <cell r="C657">
            <v>53.6</v>
          </cell>
          <cell r="D657">
            <v>52.8</v>
          </cell>
          <cell r="E657">
            <v>34.543167138000001</v>
          </cell>
          <cell r="F657">
            <v>28.007049288000001</v>
          </cell>
          <cell r="G657" t="str">
            <v>-</v>
          </cell>
          <cell r="H657">
            <v>47.626879117999998</v>
          </cell>
          <cell r="J657">
            <v>39988</v>
          </cell>
          <cell r="K657">
            <v>1.9723999999999999</v>
          </cell>
          <cell r="L657">
            <v>24.146663515514096</v>
          </cell>
        </row>
        <row r="658">
          <cell r="B658">
            <v>39989</v>
          </cell>
          <cell r="C658">
            <v>55</v>
          </cell>
          <cell r="D658">
            <v>54.5</v>
          </cell>
          <cell r="E658">
            <v>34.920688089999999</v>
          </cell>
          <cell r="F658">
            <v>28.567190273000001</v>
          </cell>
          <cell r="G658">
            <v>61.223082210000001</v>
          </cell>
          <cell r="H658">
            <v>49.503938470999998</v>
          </cell>
          <cell r="J658">
            <v>39989</v>
          </cell>
          <cell r="K658">
            <v>1.9561999999999999</v>
          </cell>
          <cell r="L658">
            <v>25.306174456088335</v>
          </cell>
        </row>
        <row r="659">
          <cell r="B659">
            <v>39990</v>
          </cell>
          <cell r="C659">
            <v>54</v>
          </cell>
          <cell r="D659">
            <v>52.11</v>
          </cell>
          <cell r="E659">
            <v>34.920688089999999</v>
          </cell>
          <cell r="F659">
            <v>28.669882786999999</v>
          </cell>
          <cell r="G659" t="str">
            <v>-</v>
          </cell>
          <cell r="H659">
            <v>50.008223074</v>
          </cell>
          <cell r="J659">
            <v>39990</v>
          </cell>
          <cell r="K659">
            <v>1.9396</v>
          </cell>
          <cell r="L659">
            <v>25.782750605279439</v>
          </cell>
        </row>
        <row r="660">
          <cell r="B660">
            <v>39993</v>
          </cell>
          <cell r="C660">
            <v>53.99</v>
          </cell>
          <cell r="D660">
            <v>53</v>
          </cell>
          <cell r="E660">
            <v>34.486538994999997</v>
          </cell>
          <cell r="F660">
            <v>28.800582350999999</v>
          </cell>
          <cell r="G660" t="str">
            <v>-</v>
          </cell>
          <cell r="H660">
            <v>50.568539299000001</v>
          </cell>
          <cell r="J660">
            <v>39993</v>
          </cell>
          <cell r="K660">
            <v>1.9487000000000001</v>
          </cell>
          <cell r="L660">
            <v>25.949884178683224</v>
          </cell>
        </row>
        <row r="661">
          <cell r="B661">
            <v>39994</v>
          </cell>
          <cell r="C661">
            <v>54</v>
          </cell>
          <cell r="D661">
            <v>53.78</v>
          </cell>
          <cell r="E661">
            <v>34.920688089999999</v>
          </cell>
          <cell r="F661">
            <v>29.220688089999999</v>
          </cell>
          <cell r="G661">
            <v>61.223082210000001</v>
          </cell>
          <cell r="H661">
            <v>50.895390429999999</v>
          </cell>
          <cell r="J661">
            <v>39994</v>
          </cell>
          <cell r="K661">
            <v>1.9516</v>
          </cell>
          <cell r="L661">
            <v>26.078802228940358</v>
          </cell>
        </row>
        <row r="662">
          <cell r="B662">
            <v>39995</v>
          </cell>
          <cell r="C662">
            <v>56</v>
          </cell>
          <cell r="D662">
            <v>54.99</v>
          </cell>
          <cell r="E662">
            <v>35.9</v>
          </cell>
          <cell r="F662">
            <v>29.79</v>
          </cell>
          <cell r="G662" t="str">
            <v>-</v>
          </cell>
          <cell r="H662">
            <v>51</v>
          </cell>
          <cell r="J662">
            <v>39995</v>
          </cell>
          <cell r="K662">
            <v>1.9341999999999999</v>
          </cell>
          <cell r="L662">
            <v>26.367490435322097</v>
          </cell>
        </row>
        <row r="663">
          <cell r="B663">
            <v>39996</v>
          </cell>
          <cell r="C663">
            <v>56.98</v>
          </cell>
          <cell r="D663">
            <v>54.59</v>
          </cell>
          <cell r="E663">
            <v>35.130000000000003</v>
          </cell>
          <cell r="F663">
            <v>29.3</v>
          </cell>
          <cell r="G663" t="str">
            <v>-</v>
          </cell>
          <cell r="H663">
            <v>50.34</v>
          </cell>
          <cell r="J663">
            <v>39996</v>
          </cell>
          <cell r="K663">
            <v>1.9469000000000001</v>
          </cell>
          <cell r="L663">
            <v>25.856489804304278</v>
          </cell>
        </row>
        <row r="664">
          <cell r="B664">
            <v>39997</v>
          </cell>
          <cell r="C664">
            <v>58</v>
          </cell>
          <cell r="D664">
            <v>55.9</v>
          </cell>
          <cell r="E664">
            <v>35.89</v>
          </cell>
          <cell r="F664">
            <v>29.6</v>
          </cell>
          <cell r="G664" t="str">
            <v>-</v>
          </cell>
          <cell r="H664">
            <v>51.67</v>
          </cell>
          <cell r="J664">
            <v>39997</v>
          </cell>
          <cell r="K664">
            <v>1.9474</v>
          </cell>
          <cell r="L664">
            <v>26.532812981411112</v>
          </cell>
        </row>
        <row r="665">
          <cell r="B665">
            <v>40000</v>
          </cell>
          <cell r="C665" t="str">
            <v>-</v>
          </cell>
          <cell r="D665">
            <v>55.39</v>
          </cell>
          <cell r="E665">
            <v>34.799999999999997</v>
          </cell>
          <cell r="F665">
            <v>29.05</v>
          </cell>
          <cell r="G665">
            <v>63.99</v>
          </cell>
          <cell r="H665">
            <v>50.86</v>
          </cell>
          <cell r="J665">
            <v>40000</v>
          </cell>
          <cell r="K665">
            <v>1.9711000000000001</v>
          </cell>
          <cell r="L665">
            <v>25.802851199837654</v>
          </cell>
        </row>
        <row r="666">
          <cell r="B666">
            <v>40001</v>
          </cell>
          <cell r="C666">
            <v>57.7</v>
          </cell>
          <cell r="D666">
            <v>55.5</v>
          </cell>
          <cell r="E666">
            <v>34</v>
          </cell>
          <cell r="F666">
            <v>27.71</v>
          </cell>
          <cell r="G666" t="str">
            <v>-</v>
          </cell>
          <cell r="H666">
            <v>48.71</v>
          </cell>
          <cell r="J666">
            <v>40001</v>
          </cell>
          <cell r="K666">
            <v>1.9641</v>
          </cell>
          <cell r="L666">
            <v>24.800162924494682</v>
          </cell>
        </row>
        <row r="667">
          <cell r="B667">
            <v>40002</v>
          </cell>
          <cell r="C667">
            <v>58</v>
          </cell>
          <cell r="D667">
            <v>54.24</v>
          </cell>
          <cell r="E667">
            <v>33.700000000000003</v>
          </cell>
          <cell r="F667">
            <v>28.5</v>
          </cell>
          <cell r="G667" t="str">
            <v>-</v>
          </cell>
          <cell r="H667">
            <v>48.95</v>
          </cell>
          <cell r="J667">
            <v>40002</v>
          </cell>
          <cell r="K667">
            <v>1.9982</v>
          </cell>
          <cell r="L667">
            <v>24.497047342608351</v>
          </cell>
        </row>
        <row r="668">
          <cell r="B668">
            <v>40003</v>
          </cell>
          <cell r="C668" t="str">
            <v>-</v>
          </cell>
          <cell r="D668" t="str">
            <v>-</v>
          </cell>
          <cell r="E668" t="str">
            <v>-</v>
          </cell>
          <cell r="F668" t="str">
            <v>-</v>
          </cell>
          <cell r="G668" t="str">
            <v>-</v>
          </cell>
          <cell r="H668" t="str">
            <v>-</v>
          </cell>
          <cell r="J668">
            <v>40003</v>
          </cell>
          <cell r="K668">
            <v>1.9921</v>
          </cell>
          <cell r="L668">
            <v>24.497047342608351</v>
          </cell>
        </row>
        <row r="669">
          <cell r="B669">
            <v>40004</v>
          </cell>
          <cell r="C669">
            <v>57.5</v>
          </cell>
          <cell r="D669">
            <v>55.67</v>
          </cell>
          <cell r="E669">
            <v>34.299999999999997</v>
          </cell>
          <cell r="F669">
            <v>28.71</v>
          </cell>
          <cell r="G669" t="str">
            <v>-</v>
          </cell>
          <cell r="H669">
            <v>48.15</v>
          </cell>
          <cell r="J669">
            <v>40004</v>
          </cell>
          <cell r="K669">
            <v>2.0146999999999999</v>
          </cell>
          <cell r="L669">
            <v>23.899339852087159</v>
          </cell>
        </row>
        <row r="670">
          <cell r="B670">
            <v>40007</v>
          </cell>
          <cell r="C670">
            <v>58</v>
          </cell>
          <cell r="D670">
            <v>55.5</v>
          </cell>
          <cell r="E670">
            <v>33</v>
          </cell>
          <cell r="F670">
            <v>28.05</v>
          </cell>
          <cell r="G670" t="str">
            <v>-</v>
          </cell>
          <cell r="H670">
            <v>46.6</v>
          </cell>
          <cell r="J670">
            <v>40007</v>
          </cell>
          <cell r="K670">
            <v>1.9895</v>
          </cell>
          <cell r="L670">
            <v>23.422970595627042</v>
          </cell>
        </row>
        <row r="671">
          <cell r="B671">
            <v>40008</v>
          </cell>
          <cell r="C671">
            <v>57.9</v>
          </cell>
          <cell r="D671">
            <v>55</v>
          </cell>
          <cell r="E671">
            <v>32.39</v>
          </cell>
          <cell r="F671">
            <v>26.99</v>
          </cell>
          <cell r="G671" t="str">
            <v>-</v>
          </cell>
          <cell r="H671">
            <v>46</v>
          </cell>
          <cell r="J671">
            <v>40008</v>
          </cell>
          <cell r="K671">
            <v>1.9703999999999999</v>
          </cell>
          <cell r="L671">
            <v>23.345513601299228</v>
          </cell>
        </row>
        <row r="672">
          <cell r="B672">
            <v>40009</v>
          </cell>
          <cell r="C672">
            <v>58.5</v>
          </cell>
          <cell r="D672">
            <v>57</v>
          </cell>
          <cell r="E672">
            <v>33.450000000000003</v>
          </cell>
          <cell r="F672">
            <v>27.7</v>
          </cell>
          <cell r="G672" t="str">
            <v>-</v>
          </cell>
          <cell r="H672">
            <v>47.89</v>
          </cell>
          <cell r="J672">
            <v>40009</v>
          </cell>
          <cell r="K672">
            <v>1.9419999999999999</v>
          </cell>
          <cell r="L672">
            <v>24.660144181256438</v>
          </cell>
        </row>
        <row r="673">
          <cell r="B673">
            <v>40010</v>
          </cell>
          <cell r="C673" t="str">
            <v>-</v>
          </cell>
          <cell r="D673">
            <v>58.3</v>
          </cell>
          <cell r="E673">
            <v>33.5</v>
          </cell>
          <cell r="F673">
            <v>28.37</v>
          </cell>
          <cell r="G673" t="str">
            <v>-</v>
          </cell>
          <cell r="H673">
            <v>48.4</v>
          </cell>
          <cell r="J673">
            <v>40010</v>
          </cell>
          <cell r="K673">
            <v>1.9339999999999999</v>
          </cell>
          <cell r="L673">
            <v>25.0258531540848</v>
          </cell>
        </row>
        <row r="674">
          <cell r="B674">
            <v>40011</v>
          </cell>
          <cell r="C674">
            <v>58.5</v>
          </cell>
          <cell r="D674">
            <v>59.4</v>
          </cell>
          <cell r="E674">
            <v>33.6</v>
          </cell>
          <cell r="F674">
            <v>28.4</v>
          </cell>
          <cell r="G674" t="str">
            <v>-</v>
          </cell>
          <cell r="H674">
            <v>48.42</v>
          </cell>
          <cell r="J674">
            <v>40011</v>
          </cell>
          <cell r="K674">
            <v>1.929</v>
          </cell>
          <cell r="L674">
            <v>25.101088646967341</v>
          </cell>
        </row>
        <row r="675">
          <cell r="B675">
            <v>40014</v>
          </cell>
          <cell r="C675">
            <v>59</v>
          </cell>
          <cell r="D675">
            <v>60.5</v>
          </cell>
          <cell r="E675">
            <v>33.9</v>
          </cell>
          <cell r="F675">
            <v>28.5</v>
          </cell>
          <cell r="G675" t="str">
            <v>-</v>
          </cell>
          <cell r="H675">
            <v>48.49</v>
          </cell>
          <cell r="J675">
            <v>40014</v>
          </cell>
          <cell r="K675">
            <v>1.9068000000000001</v>
          </cell>
          <cell r="L675">
            <v>25.430039857352632</v>
          </cell>
        </row>
        <row r="676">
          <cell r="B676">
            <v>40015</v>
          </cell>
          <cell r="C676">
            <v>59</v>
          </cell>
          <cell r="D676">
            <v>60.9</v>
          </cell>
          <cell r="E676">
            <v>33.200000000000003</v>
          </cell>
          <cell r="F676">
            <v>28</v>
          </cell>
          <cell r="G676">
            <v>62.9</v>
          </cell>
          <cell r="H676">
            <v>48.35</v>
          </cell>
          <cell r="J676">
            <v>40015</v>
          </cell>
          <cell r="K676">
            <v>1.9043000000000001</v>
          </cell>
          <cell r="L676">
            <v>25.38990705246022</v>
          </cell>
        </row>
        <row r="677">
          <cell r="B677">
            <v>40016</v>
          </cell>
          <cell r="C677">
            <v>60</v>
          </cell>
          <cell r="D677">
            <v>60.1</v>
          </cell>
          <cell r="E677">
            <v>33.200000000000003</v>
          </cell>
          <cell r="F677">
            <v>28</v>
          </cell>
          <cell r="G677" t="str">
            <v>-</v>
          </cell>
          <cell r="H677">
            <v>48.45</v>
          </cell>
          <cell r="J677">
            <v>40016</v>
          </cell>
          <cell r="K677">
            <v>1.9029</v>
          </cell>
          <cell r="L677">
            <v>25.461138262651744</v>
          </cell>
        </row>
        <row r="678">
          <cell r="B678">
            <v>40017</v>
          </cell>
          <cell r="C678">
            <v>60.5</v>
          </cell>
          <cell r="D678">
            <v>62</v>
          </cell>
          <cell r="E678">
            <v>33.549999999999997</v>
          </cell>
          <cell r="F678">
            <v>27.85</v>
          </cell>
          <cell r="G678" t="str">
            <v>-</v>
          </cell>
          <cell r="H678">
            <v>48.79</v>
          </cell>
          <cell r="J678">
            <v>40017</v>
          </cell>
          <cell r="K678">
            <v>1.8922000000000001</v>
          </cell>
          <cell r="L678">
            <v>25.784800761018918</v>
          </cell>
        </row>
        <row r="679">
          <cell r="B679">
            <v>40018</v>
          </cell>
          <cell r="C679">
            <v>61</v>
          </cell>
          <cell r="D679">
            <v>61.48</v>
          </cell>
          <cell r="E679">
            <v>33.6</v>
          </cell>
          <cell r="F679">
            <v>27.87</v>
          </cell>
          <cell r="G679">
            <v>62.85</v>
          </cell>
          <cell r="H679">
            <v>48.49</v>
          </cell>
          <cell r="J679">
            <v>40018</v>
          </cell>
          <cell r="K679">
            <v>1.8959999999999999</v>
          </cell>
          <cell r="L679">
            <v>25.574894514767934</v>
          </cell>
        </row>
        <row r="680">
          <cell r="B680">
            <v>40021</v>
          </cell>
          <cell r="C680">
            <v>62.39</v>
          </cell>
          <cell r="D680">
            <v>61.8</v>
          </cell>
          <cell r="E680">
            <v>33.49</v>
          </cell>
          <cell r="F680">
            <v>27.85</v>
          </cell>
          <cell r="G680">
            <v>63.4</v>
          </cell>
          <cell r="H680">
            <v>48.45</v>
          </cell>
          <cell r="J680">
            <v>40021</v>
          </cell>
          <cell r="K680">
            <v>1.8836999999999999</v>
          </cell>
          <cell r="L680">
            <v>25.720656155438768</v>
          </cell>
        </row>
        <row r="681">
          <cell r="B681">
            <v>40022</v>
          </cell>
          <cell r="C681">
            <v>63.99</v>
          </cell>
          <cell r="D681">
            <v>61.8</v>
          </cell>
          <cell r="E681">
            <v>33.15</v>
          </cell>
          <cell r="F681">
            <v>27.85</v>
          </cell>
          <cell r="G681" t="str">
            <v>-</v>
          </cell>
          <cell r="H681">
            <v>48.26</v>
          </cell>
          <cell r="J681">
            <v>40022</v>
          </cell>
          <cell r="K681">
            <v>1.8818999999999999</v>
          </cell>
          <cell r="L681">
            <v>25.644295658642861</v>
          </cell>
        </row>
        <row r="682">
          <cell r="B682">
            <v>40023</v>
          </cell>
          <cell r="C682">
            <v>65</v>
          </cell>
          <cell r="D682">
            <v>62.3</v>
          </cell>
          <cell r="E682">
            <v>34</v>
          </cell>
          <cell r="F682">
            <v>28.7</v>
          </cell>
          <cell r="G682">
            <v>61.99</v>
          </cell>
          <cell r="H682">
            <v>49.47</v>
          </cell>
          <cell r="J682">
            <v>40023</v>
          </cell>
          <cell r="K682">
            <v>1.8982000000000001</v>
          </cell>
          <cell r="L682">
            <v>26.061531977663048</v>
          </cell>
        </row>
        <row r="683">
          <cell r="B683">
            <v>40024</v>
          </cell>
          <cell r="C683">
            <v>66</v>
          </cell>
          <cell r="D683">
            <v>64</v>
          </cell>
          <cell r="E683">
            <v>34.26</v>
          </cell>
          <cell r="F683">
            <v>28.48</v>
          </cell>
          <cell r="G683">
            <v>60</v>
          </cell>
          <cell r="H683">
            <v>49.73</v>
          </cell>
          <cell r="J683">
            <v>40024</v>
          </cell>
          <cell r="K683">
            <v>1.8811</v>
          </cell>
          <cell r="L683">
            <v>26.436659401414065</v>
          </cell>
        </row>
        <row r="684">
          <cell r="B684">
            <v>40025</v>
          </cell>
          <cell r="C684">
            <v>66</v>
          </cell>
          <cell r="D684">
            <v>63.98</v>
          </cell>
          <cell r="E684">
            <v>34.4</v>
          </cell>
          <cell r="F684">
            <v>28.89</v>
          </cell>
          <cell r="G684" t="str">
            <v>-</v>
          </cell>
          <cell r="H684">
            <v>50.8</v>
          </cell>
          <cell r="J684">
            <v>40025</v>
          </cell>
          <cell r="K684">
            <v>1.8726</v>
          </cell>
          <cell r="L684">
            <v>27.128057246608989</v>
          </cell>
        </row>
        <row r="685">
          <cell r="B685">
            <v>40028</v>
          </cell>
          <cell r="C685">
            <v>68.400000000000006</v>
          </cell>
          <cell r="D685">
            <v>65.900000000000006</v>
          </cell>
          <cell r="E685">
            <v>34.299999999999997</v>
          </cell>
          <cell r="F685">
            <v>29.2</v>
          </cell>
          <cell r="G685" t="str">
            <v>-</v>
          </cell>
          <cell r="H685">
            <v>50.7</v>
          </cell>
          <cell r="J685">
            <v>40028</v>
          </cell>
          <cell r="K685">
            <v>1.8369</v>
          </cell>
          <cell r="L685">
            <v>27.600849256900215</v>
          </cell>
        </row>
        <row r="686">
          <cell r="B686">
            <v>40029</v>
          </cell>
          <cell r="C686">
            <v>68.8</v>
          </cell>
          <cell r="D686">
            <v>66</v>
          </cell>
          <cell r="E686">
            <v>33.369999999999997</v>
          </cell>
          <cell r="F686">
            <v>29.1</v>
          </cell>
          <cell r="G686">
            <v>60</v>
          </cell>
          <cell r="H686">
            <v>50.5</v>
          </cell>
          <cell r="J686">
            <v>40029</v>
          </cell>
          <cell r="K686">
            <v>1.8271999999999999</v>
          </cell>
          <cell r="L686">
            <v>27.637915936952716</v>
          </cell>
        </row>
        <row r="687">
          <cell r="B687">
            <v>40030</v>
          </cell>
          <cell r="C687">
            <v>68.5</v>
          </cell>
          <cell r="D687">
            <v>67</v>
          </cell>
          <cell r="E687">
            <v>33.479999999999997</v>
          </cell>
          <cell r="F687">
            <v>28.85</v>
          </cell>
          <cell r="G687">
            <v>60</v>
          </cell>
          <cell r="H687">
            <v>49.9</v>
          </cell>
          <cell r="J687">
            <v>40030</v>
          </cell>
          <cell r="K687">
            <v>1.8181</v>
          </cell>
          <cell r="L687">
            <v>27.446235080578624</v>
          </cell>
        </row>
        <row r="688">
          <cell r="B688">
            <v>40031</v>
          </cell>
          <cell r="C688">
            <v>70.02</v>
          </cell>
          <cell r="D688">
            <v>69.27</v>
          </cell>
          <cell r="E688">
            <v>33.380000000000003</v>
          </cell>
          <cell r="F688">
            <v>29.1</v>
          </cell>
          <cell r="G688">
            <v>59.99</v>
          </cell>
          <cell r="H688">
            <v>49.93</v>
          </cell>
          <cell r="J688">
            <v>40031</v>
          </cell>
          <cell r="K688">
            <v>1.8348</v>
          </cell>
          <cell r="L688">
            <v>27.212775234357967</v>
          </cell>
        </row>
        <row r="689">
          <cell r="B689">
            <v>40032</v>
          </cell>
          <cell r="C689">
            <v>72.2</v>
          </cell>
          <cell r="D689">
            <v>71.900000000000006</v>
          </cell>
          <cell r="E689">
            <v>34.1</v>
          </cell>
          <cell r="F689">
            <v>29.18</v>
          </cell>
          <cell r="G689" t="str">
            <v>-</v>
          </cell>
          <cell r="H689">
            <v>50.55</v>
          </cell>
          <cell r="J689">
            <v>40032</v>
          </cell>
          <cell r="K689">
            <v>1.8231999999999999</v>
          </cell>
          <cell r="L689">
            <v>27.725976305397104</v>
          </cell>
        </row>
        <row r="690">
          <cell r="B690">
            <v>40035</v>
          </cell>
          <cell r="C690">
            <v>71.989999999999995</v>
          </cell>
          <cell r="D690">
            <v>71.989999999999995</v>
          </cell>
          <cell r="E690">
            <v>34.659999999999997</v>
          </cell>
          <cell r="F690">
            <v>29.45</v>
          </cell>
          <cell r="G690" t="str">
            <v>-</v>
          </cell>
          <cell r="H690">
            <v>50.88</v>
          </cell>
          <cell r="J690">
            <v>40035</v>
          </cell>
          <cell r="K690">
            <v>1.8411999999999999</v>
          </cell>
          <cell r="L690">
            <v>27.634151640234631</v>
          </cell>
        </row>
        <row r="691">
          <cell r="B691">
            <v>40036</v>
          </cell>
          <cell r="C691">
            <v>71.8</v>
          </cell>
          <cell r="D691">
            <v>71.7</v>
          </cell>
          <cell r="E691">
            <v>34.75</v>
          </cell>
          <cell r="F691">
            <v>29.45</v>
          </cell>
          <cell r="G691" t="str">
            <v>-</v>
          </cell>
          <cell r="H691">
            <v>49.67</v>
          </cell>
          <cell r="J691">
            <v>40036</v>
          </cell>
          <cell r="K691">
            <v>1.8456999999999999</v>
          </cell>
          <cell r="L691">
            <v>26.91119900308826</v>
          </cell>
        </row>
        <row r="692">
          <cell r="B692">
            <v>40037</v>
          </cell>
          <cell r="C692">
            <v>72.8</v>
          </cell>
          <cell r="D692">
            <v>72</v>
          </cell>
          <cell r="E692">
            <v>36.14</v>
          </cell>
          <cell r="F692">
            <v>30.51</v>
          </cell>
          <cell r="G692" t="str">
            <v>-</v>
          </cell>
          <cell r="H692">
            <v>51.41</v>
          </cell>
          <cell r="J692">
            <v>40037</v>
          </cell>
          <cell r="K692">
            <v>1.8386</v>
          </cell>
          <cell r="L692">
            <v>27.961492439899921</v>
          </cell>
        </row>
        <row r="693">
          <cell r="B693">
            <v>40038</v>
          </cell>
          <cell r="C693">
            <v>72.38</v>
          </cell>
          <cell r="D693">
            <v>72.48</v>
          </cell>
          <cell r="E693">
            <v>35</v>
          </cell>
          <cell r="F693">
            <v>29.45</v>
          </cell>
          <cell r="G693">
            <v>59.49</v>
          </cell>
          <cell r="H693">
            <v>50.22</v>
          </cell>
          <cell r="J693">
            <v>40038</v>
          </cell>
          <cell r="K693">
            <v>1.8325</v>
          </cell>
          <cell r="L693">
            <v>27.405184174624829</v>
          </cell>
        </row>
        <row r="694">
          <cell r="B694">
            <v>40039</v>
          </cell>
          <cell r="C694">
            <v>73.14</v>
          </cell>
          <cell r="D694">
            <v>71.98</v>
          </cell>
          <cell r="E694">
            <v>33.700000000000003</v>
          </cell>
          <cell r="F694">
            <v>29.36</v>
          </cell>
          <cell r="G694">
            <v>57.11</v>
          </cell>
          <cell r="H694">
            <v>50.39</v>
          </cell>
          <cell r="J694">
            <v>40039</v>
          </cell>
          <cell r="K694">
            <v>1.8385</v>
          </cell>
          <cell r="L694">
            <v>27.408213217296709</v>
          </cell>
        </row>
        <row r="695">
          <cell r="B695">
            <v>40042</v>
          </cell>
          <cell r="C695">
            <v>73.73</v>
          </cell>
          <cell r="D695">
            <v>71</v>
          </cell>
          <cell r="E695">
            <v>32.450000000000003</v>
          </cell>
          <cell r="F695">
            <v>28.36</v>
          </cell>
          <cell r="G695" t="str">
            <v>-</v>
          </cell>
          <cell r="H695">
            <v>48.7</v>
          </cell>
          <cell r="J695">
            <v>40042</v>
          </cell>
          <cell r="K695">
            <v>1.8682000000000001</v>
          </cell>
          <cell r="L695">
            <v>26.067872818756022</v>
          </cell>
        </row>
        <row r="696">
          <cell r="B696">
            <v>40043</v>
          </cell>
          <cell r="C696">
            <v>74.8</v>
          </cell>
          <cell r="D696">
            <v>72</v>
          </cell>
          <cell r="E696">
            <v>32.4</v>
          </cell>
          <cell r="F696">
            <v>28.15</v>
          </cell>
          <cell r="G696" t="str">
            <v>-</v>
          </cell>
          <cell r="H696">
            <v>48.8</v>
          </cell>
          <cell r="J696">
            <v>40043</v>
          </cell>
          <cell r="K696">
            <v>1.8573999999999999</v>
          </cell>
          <cell r="L696">
            <v>26.273285237428663</v>
          </cell>
        </row>
        <row r="697">
          <cell r="B697">
            <v>40044</v>
          </cell>
          <cell r="C697">
            <v>75.489999999999995</v>
          </cell>
          <cell r="D697">
            <v>72.400000000000006</v>
          </cell>
          <cell r="E697">
            <v>32</v>
          </cell>
          <cell r="F697">
            <v>28.08</v>
          </cell>
          <cell r="G697" t="str">
            <v>-</v>
          </cell>
          <cell r="H697">
            <v>48</v>
          </cell>
          <cell r="J697">
            <v>40044</v>
          </cell>
          <cell r="K697">
            <v>1.8432999999999999</v>
          </cell>
          <cell r="L697">
            <v>26.040253892475452</v>
          </cell>
        </row>
        <row r="698">
          <cell r="B698">
            <v>40045</v>
          </cell>
          <cell r="C698">
            <v>75.489999999999995</v>
          </cell>
          <cell r="D698">
            <v>73.349999999999994</v>
          </cell>
          <cell r="E698">
            <v>32.89</v>
          </cell>
          <cell r="F698">
            <v>28.29</v>
          </cell>
          <cell r="G698">
            <v>55.99</v>
          </cell>
          <cell r="H698">
            <v>48.18</v>
          </cell>
          <cell r="J698">
            <v>40045</v>
          </cell>
          <cell r="K698">
            <v>1.8433999999999999</v>
          </cell>
          <cell r="L698">
            <v>26.136486926331781</v>
          </cell>
        </row>
        <row r="699">
          <cell r="B699">
            <v>40046</v>
          </cell>
          <cell r="C699">
            <v>76.5</v>
          </cell>
          <cell r="D699">
            <v>74.5</v>
          </cell>
          <cell r="E699">
            <v>33.799999999999997</v>
          </cell>
          <cell r="F699">
            <v>28.7</v>
          </cell>
          <cell r="G699" t="str">
            <v>-</v>
          </cell>
          <cell r="H699">
            <v>48.7</v>
          </cell>
          <cell r="J699">
            <v>40046</v>
          </cell>
          <cell r="K699">
            <v>1.8297000000000001</v>
          </cell>
          <cell r="L699">
            <v>26.616385199759524</v>
          </cell>
        </row>
        <row r="700">
          <cell r="B700">
            <v>40049</v>
          </cell>
          <cell r="C700">
            <v>77.5</v>
          </cell>
          <cell r="D700">
            <v>75.599999999999994</v>
          </cell>
          <cell r="E700">
            <v>34</v>
          </cell>
          <cell r="F700">
            <v>29.55</v>
          </cell>
          <cell r="G700" t="str">
            <v>-</v>
          </cell>
          <cell r="H700">
            <v>49.4</v>
          </cell>
          <cell r="J700">
            <v>40049</v>
          </cell>
          <cell r="K700">
            <v>1.8339000000000001</v>
          </cell>
          <cell r="L700">
            <v>26.93712852391079</v>
          </cell>
        </row>
        <row r="701">
          <cell r="B701">
            <v>40050</v>
          </cell>
          <cell r="C701">
            <v>77.8</v>
          </cell>
          <cell r="D701">
            <v>76</v>
          </cell>
          <cell r="E701">
            <v>34.4</v>
          </cell>
          <cell r="F701">
            <v>30.18</v>
          </cell>
          <cell r="G701" t="str">
            <v>-</v>
          </cell>
          <cell r="H701">
            <v>50.1</v>
          </cell>
          <cell r="J701">
            <v>40050</v>
          </cell>
          <cell r="K701">
            <v>1.8419000000000001</v>
          </cell>
          <cell r="L701">
            <v>27.200173733644604</v>
          </cell>
        </row>
        <row r="702">
          <cell r="B702">
            <v>40051</v>
          </cell>
          <cell r="C702">
            <v>78.25</v>
          </cell>
          <cell r="D702">
            <v>76.5</v>
          </cell>
          <cell r="E702">
            <v>34.65</v>
          </cell>
          <cell r="F702">
            <v>30.06</v>
          </cell>
          <cell r="G702" t="str">
            <v>-</v>
          </cell>
          <cell r="H702">
            <v>50.49</v>
          </cell>
          <cell r="J702">
            <v>40051</v>
          </cell>
          <cell r="K702">
            <v>1.867</v>
          </cell>
          <cell r="L702">
            <v>27.043385109801822</v>
          </cell>
        </row>
        <row r="703">
          <cell r="B703">
            <v>40052</v>
          </cell>
          <cell r="C703">
            <v>78.989999999999995</v>
          </cell>
          <cell r="D703">
            <v>76.5</v>
          </cell>
          <cell r="E703">
            <v>35</v>
          </cell>
          <cell r="F703">
            <v>30.35</v>
          </cell>
          <cell r="G703">
            <v>55.55</v>
          </cell>
          <cell r="H703">
            <v>50.5</v>
          </cell>
          <cell r="J703">
            <v>40052</v>
          </cell>
          <cell r="K703">
            <v>1.8669</v>
          </cell>
          <cell r="L703">
            <v>27.050190154802078</v>
          </cell>
        </row>
        <row r="704">
          <cell r="B704">
            <v>40053</v>
          </cell>
          <cell r="C704">
            <v>79.489999999999995</v>
          </cell>
          <cell r="D704">
            <v>76</v>
          </cell>
          <cell r="E704">
            <v>35.409999999999997</v>
          </cell>
          <cell r="F704">
            <v>30.49</v>
          </cell>
          <cell r="G704">
            <v>55</v>
          </cell>
          <cell r="H704">
            <v>51</v>
          </cell>
          <cell r="J704">
            <v>40053</v>
          </cell>
          <cell r="K704">
            <v>1.8740000000000001</v>
          </cell>
          <cell r="L704">
            <v>27.214514407684096</v>
          </cell>
        </row>
        <row r="705">
          <cell r="B705">
            <v>40056</v>
          </cell>
          <cell r="C705">
            <v>79</v>
          </cell>
          <cell r="D705">
            <v>74.489999999999995</v>
          </cell>
          <cell r="E705">
            <v>35.31</v>
          </cell>
          <cell r="F705">
            <v>30.2</v>
          </cell>
          <cell r="G705">
            <v>55</v>
          </cell>
          <cell r="H705">
            <v>51.7</v>
          </cell>
          <cell r="J705">
            <v>40056</v>
          </cell>
          <cell r="K705">
            <v>1.8864000000000001</v>
          </cell>
          <cell r="L705">
            <v>27.406700593723496</v>
          </cell>
        </row>
        <row r="706">
          <cell r="B706">
            <v>40057</v>
          </cell>
          <cell r="C706">
            <v>78.489999999999995</v>
          </cell>
          <cell r="D706">
            <v>73.45</v>
          </cell>
          <cell r="E706">
            <v>34.549999999999997</v>
          </cell>
          <cell r="F706">
            <v>29.35</v>
          </cell>
          <cell r="G706" t="str">
            <v>-</v>
          </cell>
          <cell r="H706">
            <v>50.49</v>
          </cell>
          <cell r="J706">
            <v>40057</v>
          </cell>
          <cell r="K706">
            <v>1.8829</v>
          </cell>
          <cell r="L706">
            <v>26.815019384991238</v>
          </cell>
        </row>
        <row r="707">
          <cell r="B707">
            <v>40058</v>
          </cell>
          <cell r="C707">
            <v>78</v>
          </cell>
          <cell r="D707">
            <v>73.7</v>
          </cell>
          <cell r="E707">
            <v>34.5</v>
          </cell>
          <cell r="F707">
            <v>28.75</v>
          </cell>
          <cell r="G707" t="str">
            <v>-</v>
          </cell>
          <cell r="H707">
            <v>50</v>
          </cell>
          <cell r="J707">
            <v>40058</v>
          </cell>
          <cell r="K707">
            <v>1.9037999999999999</v>
          </cell>
          <cell r="L707">
            <v>26.263262947788633</v>
          </cell>
        </row>
        <row r="708">
          <cell r="B708">
            <v>40059</v>
          </cell>
          <cell r="C708">
            <v>78.5</v>
          </cell>
          <cell r="D708">
            <v>76</v>
          </cell>
          <cell r="E708">
            <v>34.61</v>
          </cell>
          <cell r="F708">
            <v>28.7</v>
          </cell>
          <cell r="G708" t="str">
            <v>-</v>
          </cell>
          <cell r="H708">
            <v>50.22</v>
          </cell>
          <cell r="J708">
            <v>40059</v>
          </cell>
          <cell r="K708">
            <v>1.8702000000000001</v>
          </cell>
          <cell r="L708">
            <v>26.852743022136668</v>
          </cell>
        </row>
        <row r="709">
          <cell r="B709">
            <v>40060</v>
          </cell>
          <cell r="C709">
            <v>79</v>
          </cell>
          <cell r="D709">
            <v>75.69</v>
          </cell>
          <cell r="E709">
            <v>34.700000000000003</v>
          </cell>
          <cell r="F709">
            <v>29.1</v>
          </cell>
          <cell r="G709" t="str">
            <v>-</v>
          </cell>
          <cell r="H709">
            <v>51.58</v>
          </cell>
          <cell r="J709">
            <v>40060</v>
          </cell>
          <cell r="K709">
            <v>1.8501000000000001</v>
          </cell>
          <cell r="L709">
            <v>27.879574077076914</v>
          </cell>
        </row>
        <row r="710">
          <cell r="B710">
            <v>40063</v>
          </cell>
          <cell r="C710" t="str">
            <v>-</v>
          </cell>
          <cell r="D710" t="str">
            <v>-</v>
          </cell>
          <cell r="E710" t="str">
            <v>-</v>
          </cell>
          <cell r="F710" t="str">
            <v>-</v>
          </cell>
          <cell r="G710" t="str">
            <v>-</v>
          </cell>
          <cell r="H710" t="str">
            <v>-</v>
          </cell>
          <cell r="J710">
            <v>40063</v>
          </cell>
          <cell r="K710" t="str">
            <v>-</v>
          </cell>
          <cell r="L710">
            <v>27.879574077076914</v>
          </cell>
        </row>
        <row r="711">
          <cell r="B711">
            <v>40064</v>
          </cell>
          <cell r="C711" t="str">
            <v>-</v>
          </cell>
          <cell r="D711">
            <v>75.75</v>
          </cell>
          <cell r="E711">
            <v>35.479999999999997</v>
          </cell>
          <cell r="F711">
            <v>29.49</v>
          </cell>
          <cell r="G711" t="str">
            <v>-</v>
          </cell>
          <cell r="H711">
            <v>52.49</v>
          </cell>
          <cell r="J711">
            <v>40064</v>
          </cell>
          <cell r="K711">
            <v>1.8253999999999999</v>
          </cell>
          <cell r="L711">
            <v>28.755341295058621</v>
          </cell>
        </row>
        <row r="712">
          <cell r="B712">
            <v>40065</v>
          </cell>
          <cell r="C712">
            <v>78.989999999999995</v>
          </cell>
          <cell r="D712">
            <v>77.5</v>
          </cell>
          <cell r="E712">
            <v>36.42</v>
          </cell>
          <cell r="F712">
            <v>30.95</v>
          </cell>
          <cell r="G712">
            <v>55.5</v>
          </cell>
          <cell r="H712">
            <v>53.5</v>
          </cell>
          <cell r="J712">
            <v>40065</v>
          </cell>
          <cell r="K712">
            <v>1.8280000000000001</v>
          </cell>
          <cell r="L712">
            <v>29.266958424507656</v>
          </cell>
        </row>
        <row r="713">
          <cell r="B713">
            <v>40066</v>
          </cell>
          <cell r="C713">
            <v>80</v>
          </cell>
          <cell r="D713">
            <v>77.5</v>
          </cell>
          <cell r="E713">
            <v>38.25</v>
          </cell>
          <cell r="F713">
            <v>32.340000000000003</v>
          </cell>
          <cell r="G713">
            <v>56.5</v>
          </cell>
          <cell r="H713">
            <v>55.25</v>
          </cell>
          <cell r="J713">
            <v>40066</v>
          </cell>
          <cell r="K713">
            <v>1.8261000000000001</v>
          </cell>
          <cell r="L713">
            <v>30.255736268550461</v>
          </cell>
        </row>
        <row r="714">
          <cell r="B714">
            <v>40067</v>
          </cell>
          <cell r="C714">
            <v>80.5</v>
          </cell>
          <cell r="D714">
            <v>77.349999999999994</v>
          </cell>
          <cell r="E714">
            <v>38.159999999999997</v>
          </cell>
          <cell r="F714">
            <v>31.83</v>
          </cell>
          <cell r="G714">
            <v>56.99</v>
          </cell>
          <cell r="H714">
            <v>55.41</v>
          </cell>
          <cell r="J714">
            <v>40067</v>
          </cell>
          <cell r="K714">
            <v>1.8179000000000001</v>
          </cell>
          <cell r="L714">
            <v>30.480224434787388</v>
          </cell>
        </row>
        <row r="715">
          <cell r="B715">
            <v>40070</v>
          </cell>
          <cell r="C715">
            <v>82.45</v>
          </cell>
          <cell r="D715">
            <v>79.989999999999995</v>
          </cell>
          <cell r="E715">
            <v>39.33</v>
          </cell>
          <cell r="F715">
            <v>32.770000000000003</v>
          </cell>
          <cell r="G715">
            <v>58.89</v>
          </cell>
          <cell r="H715">
            <v>56.5</v>
          </cell>
          <cell r="J715">
            <v>40070</v>
          </cell>
          <cell r="K715">
            <v>1.8197000000000001</v>
          </cell>
          <cell r="L715">
            <v>31.049074023190634</v>
          </cell>
        </row>
        <row r="716">
          <cell r="B716">
            <v>40071</v>
          </cell>
          <cell r="C716">
            <v>82</v>
          </cell>
          <cell r="D716">
            <v>79.89</v>
          </cell>
          <cell r="E716">
            <v>39.380000000000003</v>
          </cell>
          <cell r="F716">
            <v>33.08</v>
          </cell>
          <cell r="G716">
            <v>60</v>
          </cell>
          <cell r="H716">
            <v>57</v>
          </cell>
          <cell r="J716">
            <v>40071</v>
          </cell>
          <cell r="K716">
            <v>1.8087</v>
          </cell>
          <cell r="L716">
            <v>31.514347321280479</v>
          </cell>
        </row>
        <row r="717">
          <cell r="B717">
            <v>40072</v>
          </cell>
          <cell r="C717">
            <v>86.5</v>
          </cell>
          <cell r="D717">
            <v>81.39</v>
          </cell>
          <cell r="E717">
            <v>39.15</v>
          </cell>
          <cell r="F717">
            <v>33</v>
          </cell>
          <cell r="G717">
            <v>62</v>
          </cell>
          <cell r="H717">
            <v>57.39</v>
          </cell>
          <cell r="J717">
            <v>40072</v>
          </cell>
          <cell r="K717">
            <v>1.7984</v>
          </cell>
          <cell r="L717">
            <v>31.911699288256226</v>
          </cell>
        </row>
        <row r="718">
          <cell r="B718">
            <v>40073</v>
          </cell>
          <cell r="C718" t="str">
            <v>-</v>
          </cell>
          <cell r="D718">
            <v>80</v>
          </cell>
          <cell r="E718">
            <v>39</v>
          </cell>
          <cell r="F718">
            <v>33.15</v>
          </cell>
          <cell r="G718">
            <v>61</v>
          </cell>
          <cell r="H718">
            <v>57.19</v>
          </cell>
          <cell r="J718">
            <v>40073</v>
          </cell>
          <cell r="K718">
            <v>1.8093999999999999</v>
          </cell>
          <cell r="L718">
            <v>31.60716259533547</v>
          </cell>
        </row>
        <row r="719">
          <cell r="B719">
            <v>40074</v>
          </cell>
          <cell r="C719">
            <v>87</v>
          </cell>
          <cell r="D719">
            <v>80.489999999999995</v>
          </cell>
          <cell r="E719">
            <v>39.200000000000003</v>
          </cell>
          <cell r="F719">
            <v>33.65</v>
          </cell>
          <cell r="G719">
            <v>61.49</v>
          </cell>
          <cell r="H719">
            <v>57.3</v>
          </cell>
          <cell r="J719">
            <v>40074</v>
          </cell>
          <cell r="K719">
            <v>1.8048999999999999</v>
          </cell>
          <cell r="L719">
            <v>31.746911186215304</v>
          </cell>
        </row>
        <row r="720">
          <cell r="B720">
            <v>40077</v>
          </cell>
          <cell r="C720" t="str">
            <v>-</v>
          </cell>
          <cell r="D720">
            <v>80.7</v>
          </cell>
          <cell r="E720">
            <v>40.5</v>
          </cell>
          <cell r="F720">
            <v>34.14</v>
          </cell>
          <cell r="G720">
            <v>62</v>
          </cell>
          <cell r="H720">
            <v>58</v>
          </cell>
          <cell r="J720">
            <v>40077</v>
          </cell>
          <cell r="K720">
            <v>1.8171999999999999</v>
          </cell>
          <cell r="L720">
            <v>31.917235307065816</v>
          </cell>
        </row>
        <row r="721">
          <cell r="B721">
            <v>40078</v>
          </cell>
          <cell r="C721">
            <v>87.5</v>
          </cell>
          <cell r="D721">
            <v>80.5</v>
          </cell>
          <cell r="E721">
            <v>41</v>
          </cell>
          <cell r="F721">
            <v>34.46</v>
          </cell>
          <cell r="G721">
            <v>62</v>
          </cell>
          <cell r="H721">
            <v>57.8</v>
          </cell>
          <cell r="J721">
            <v>40078</v>
          </cell>
          <cell r="K721">
            <v>1.8061</v>
          </cell>
          <cell r="L721">
            <v>32.002657660151705</v>
          </cell>
        </row>
        <row r="722">
          <cell r="B722">
            <v>40079</v>
          </cell>
          <cell r="C722" t="str">
            <v>-</v>
          </cell>
          <cell r="D722">
            <v>79.33</v>
          </cell>
          <cell r="E722">
            <v>40.619999999999997</v>
          </cell>
          <cell r="F722">
            <v>34.409999999999997</v>
          </cell>
          <cell r="G722">
            <v>63</v>
          </cell>
          <cell r="H722">
            <v>57.75</v>
          </cell>
          <cell r="J722">
            <v>40079</v>
          </cell>
          <cell r="K722">
            <v>1.7916000000000001</v>
          </cell>
          <cell r="L722">
            <v>32.233757535164095</v>
          </cell>
        </row>
        <row r="723">
          <cell r="B723">
            <v>40080</v>
          </cell>
          <cell r="C723">
            <v>88</v>
          </cell>
          <cell r="D723">
            <v>79.989999999999995</v>
          </cell>
          <cell r="E723">
            <v>40.44</v>
          </cell>
          <cell r="F723">
            <v>34.14</v>
          </cell>
          <cell r="G723" t="str">
            <v>-</v>
          </cell>
          <cell r="H723">
            <v>57.68</v>
          </cell>
          <cell r="J723">
            <v>40080</v>
          </cell>
          <cell r="K723">
            <v>1.7917000000000001</v>
          </cell>
          <cell r="L723">
            <v>32.192889434615168</v>
          </cell>
        </row>
        <row r="724">
          <cell r="B724">
            <v>40081</v>
          </cell>
          <cell r="C724" t="str">
            <v>-</v>
          </cell>
          <cell r="D724">
            <v>80</v>
          </cell>
          <cell r="E724">
            <v>40.590000000000003</v>
          </cell>
          <cell r="F724">
            <v>33.840000000000003</v>
          </cell>
          <cell r="G724" t="str">
            <v>-</v>
          </cell>
          <cell r="H724">
            <v>57.82</v>
          </cell>
          <cell r="J724">
            <v>40081</v>
          </cell>
          <cell r="K724">
            <v>1.8017000000000001</v>
          </cell>
          <cell r="L724">
            <v>32.091913193095408</v>
          </cell>
        </row>
        <row r="725">
          <cell r="B725">
            <v>40084</v>
          </cell>
          <cell r="C725">
            <v>86</v>
          </cell>
          <cell r="D725">
            <v>80</v>
          </cell>
          <cell r="E725">
            <v>40.799999999999997</v>
          </cell>
          <cell r="F725">
            <v>34.5</v>
          </cell>
          <cell r="G725">
            <v>61.5</v>
          </cell>
          <cell r="H725">
            <v>58.4</v>
          </cell>
          <cell r="J725">
            <v>40084</v>
          </cell>
          <cell r="K725">
            <v>1.7909999999999999</v>
          </cell>
          <cell r="L725">
            <v>32.607481853713011</v>
          </cell>
        </row>
        <row r="726">
          <cell r="B726">
            <v>40085</v>
          </cell>
          <cell r="C726">
            <v>85</v>
          </cell>
          <cell r="D726">
            <v>79</v>
          </cell>
          <cell r="E726">
            <v>40.299999999999997</v>
          </cell>
          <cell r="F726">
            <v>33.869999999999997</v>
          </cell>
          <cell r="G726" t="str">
            <v>-</v>
          </cell>
          <cell r="H726">
            <v>58.01</v>
          </cell>
          <cell r="J726">
            <v>40085</v>
          </cell>
          <cell r="K726">
            <v>1.7927999999999999</v>
          </cell>
          <cell r="L726">
            <v>32.357206604194559</v>
          </cell>
        </row>
        <row r="727">
          <cell r="B727">
            <v>40086</v>
          </cell>
          <cell r="C727">
            <v>87</v>
          </cell>
          <cell r="D727">
            <v>79.98</v>
          </cell>
          <cell r="E727">
            <v>40</v>
          </cell>
          <cell r="F727">
            <v>33.5</v>
          </cell>
          <cell r="G727">
            <v>61.55</v>
          </cell>
          <cell r="H727">
            <v>58.19</v>
          </cell>
          <cell r="J727">
            <v>40086</v>
          </cell>
          <cell r="K727">
            <v>1.7781</v>
          </cell>
          <cell r="L727">
            <v>32.725943422754625</v>
          </cell>
        </row>
        <row r="728">
          <cell r="B728">
            <v>40087</v>
          </cell>
          <cell r="C728">
            <v>87.7</v>
          </cell>
          <cell r="D728">
            <v>77</v>
          </cell>
          <cell r="E728">
            <v>39.020000000000003</v>
          </cell>
          <cell r="F728">
            <v>32.590000000000003</v>
          </cell>
          <cell r="G728">
            <v>61</v>
          </cell>
          <cell r="H728">
            <v>57.64</v>
          </cell>
          <cell r="J728">
            <v>40087</v>
          </cell>
          <cell r="K728">
            <v>1.7794000000000001</v>
          </cell>
          <cell r="L728">
            <v>32.392941440935147</v>
          </cell>
        </row>
        <row r="729">
          <cell r="B729">
            <v>40088</v>
          </cell>
          <cell r="C729">
            <v>87.49</v>
          </cell>
          <cell r="D729">
            <v>77.150000000000006</v>
          </cell>
          <cell r="E729">
            <v>39.49</v>
          </cell>
          <cell r="F729">
            <v>32.83</v>
          </cell>
          <cell r="G729">
            <v>61.96</v>
          </cell>
          <cell r="H729">
            <v>59.5</v>
          </cell>
          <cell r="J729">
            <v>40088</v>
          </cell>
          <cell r="K729">
            <v>1.7844</v>
          </cell>
          <cell r="L729">
            <v>33.344541582604798</v>
          </cell>
        </row>
        <row r="730">
          <cell r="B730">
            <v>40091</v>
          </cell>
          <cell r="C730">
            <v>87.5</v>
          </cell>
          <cell r="D730">
            <v>75.489999999999995</v>
          </cell>
          <cell r="E730">
            <v>39.44</v>
          </cell>
          <cell r="F730">
            <v>32.6</v>
          </cell>
          <cell r="G730" t="str">
            <v>-</v>
          </cell>
          <cell r="H730">
            <v>60.5</v>
          </cell>
          <cell r="J730">
            <v>40091</v>
          </cell>
          <cell r="K730">
            <v>1.7673000000000001</v>
          </cell>
          <cell r="L730">
            <v>34.233010807446384</v>
          </cell>
        </row>
        <row r="731">
          <cell r="B731">
            <v>40092</v>
          </cell>
          <cell r="C731">
            <v>88</v>
          </cell>
          <cell r="D731">
            <v>76.3</v>
          </cell>
          <cell r="E731">
            <v>40.450000000000003</v>
          </cell>
          <cell r="F731">
            <v>33.549999999999997</v>
          </cell>
          <cell r="G731">
            <v>64.34</v>
          </cell>
          <cell r="H731">
            <v>60.95</v>
          </cell>
          <cell r="J731">
            <v>40092</v>
          </cell>
          <cell r="K731">
            <v>1.7533000000000001</v>
          </cell>
          <cell r="L731">
            <v>34.76301830833286</v>
          </cell>
        </row>
        <row r="732">
          <cell r="B732">
            <v>40093</v>
          </cell>
          <cell r="C732" t="str">
            <v>-</v>
          </cell>
          <cell r="D732">
            <v>78</v>
          </cell>
          <cell r="E732">
            <v>39.200000000000003</v>
          </cell>
          <cell r="F732">
            <v>32.74</v>
          </cell>
          <cell r="G732" t="str">
            <v>-</v>
          </cell>
          <cell r="H732">
            <v>59.9</v>
          </cell>
          <cell r="J732">
            <v>40093</v>
          </cell>
          <cell r="K732">
            <v>1.7595000000000001</v>
          </cell>
          <cell r="L732">
            <v>34.043762432509233</v>
          </cell>
        </row>
        <row r="733">
          <cell r="B733">
            <v>40094</v>
          </cell>
          <cell r="C733">
            <v>88</v>
          </cell>
          <cell r="D733">
            <v>81.5</v>
          </cell>
          <cell r="E733">
            <v>39.4</v>
          </cell>
          <cell r="F733">
            <v>33.299999999999997</v>
          </cell>
          <cell r="G733" t="str">
            <v>-</v>
          </cell>
          <cell r="H733">
            <v>60.89</v>
          </cell>
          <cell r="J733">
            <v>40094</v>
          </cell>
          <cell r="K733">
            <v>1.7412000000000001</v>
          </cell>
          <cell r="L733">
            <v>34.970135538708938</v>
          </cell>
        </row>
        <row r="734">
          <cell r="B734">
            <v>40095</v>
          </cell>
          <cell r="C734">
            <v>86</v>
          </cell>
          <cell r="D734">
            <v>79.989999999999995</v>
          </cell>
          <cell r="E734">
            <v>40.44</v>
          </cell>
          <cell r="F734">
            <v>33.71</v>
          </cell>
          <cell r="G734">
            <v>64.599999999999994</v>
          </cell>
          <cell r="H734">
            <v>61.43</v>
          </cell>
          <cell r="J734">
            <v>40095</v>
          </cell>
          <cell r="K734">
            <v>1.7388999999999999</v>
          </cell>
          <cell r="L734">
            <v>35.32693081833343</v>
          </cell>
        </row>
        <row r="735">
          <cell r="B735">
            <v>40098</v>
          </cell>
          <cell r="C735" t="str">
            <v>-</v>
          </cell>
          <cell r="D735" t="str">
            <v>-</v>
          </cell>
          <cell r="E735" t="str">
            <v>-</v>
          </cell>
          <cell r="F735" t="str">
            <v>-</v>
          </cell>
          <cell r="G735" t="str">
            <v>-</v>
          </cell>
          <cell r="H735" t="str">
            <v>-</v>
          </cell>
          <cell r="J735">
            <v>40098</v>
          </cell>
          <cell r="K735" t="str">
            <v>-</v>
          </cell>
          <cell r="L735">
            <v>35.32693081833343</v>
          </cell>
        </row>
        <row r="736">
          <cell r="B736">
            <v>40099</v>
          </cell>
          <cell r="C736">
            <v>87.35</v>
          </cell>
          <cell r="D736">
            <v>81</v>
          </cell>
          <cell r="E736">
            <v>40.69</v>
          </cell>
          <cell r="F736">
            <v>33.42</v>
          </cell>
          <cell r="G736" t="str">
            <v>-</v>
          </cell>
          <cell r="H736">
            <v>61.4</v>
          </cell>
          <cell r="J736">
            <v>40099</v>
          </cell>
          <cell r="K736">
            <v>1.7298</v>
          </cell>
          <cell r="L736">
            <v>35.495432998034453</v>
          </cell>
        </row>
        <row r="737">
          <cell r="B737">
            <v>40100</v>
          </cell>
          <cell r="C737">
            <v>88</v>
          </cell>
          <cell r="D737">
            <v>80.95</v>
          </cell>
          <cell r="E737">
            <v>42.69</v>
          </cell>
          <cell r="F737">
            <v>33.81</v>
          </cell>
          <cell r="G737" t="str">
            <v>-</v>
          </cell>
          <cell r="H737">
            <v>61.39</v>
          </cell>
          <cell r="J737">
            <v>40100</v>
          </cell>
          <cell r="K737">
            <v>1.7099</v>
          </cell>
          <cell r="L737">
            <v>35.902684367506872</v>
          </cell>
        </row>
        <row r="738">
          <cell r="B738">
            <v>40101</v>
          </cell>
          <cell r="C738">
            <v>88.9</v>
          </cell>
          <cell r="D738">
            <v>80</v>
          </cell>
          <cell r="E738">
            <v>42.27</v>
          </cell>
          <cell r="F738">
            <v>34.14</v>
          </cell>
          <cell r="G738">
            <v>67.27</v>
          </cell>
          <cell r="H738">
            <v>62.06</v>
          </cell>
          <cell r="J738">
            <v>40101</v>
          </cell>
          <cell r="K738">
            <v>1.7037</v>
          </cell>
          <cell r="L738">
            <v>36.426600927393324</v>
          </cell>
        </row>
        <row r="739">
          <cell r="B739">
            <v>40102</v>
          </cell>
          <cell r="C739">
            <v>88.67</v>
          </cell>
          <cell r="D739">
            <v>80</v>
          </cell>
          <cell r="E739">
            <v>42.51</v>
          </cell>
          <cell r="F739">
            <v>34.159999999999997</v>
          </cell>
          <cell r="G739">
            <v>67.27</v>
          </cell>
          <cell r="H739">
            <v>61</v>
          </cell>
          <cell r="J739">
            <v>40102</v>
          </cell>
          <cell r="K739">
            <v>1.7135</v>
          </cell>
          <cell r="L739">
            <v>35.599649839509773</v>
          </cell>
        </row>
        <row r="740">
          <cell r="B740">
            <v>40105</v>
          </cell>
          <cell r="C740" t="str">
            <v>-</v>
          </cell>
          <cell r="D740">
            <v>80</v>
          </cell>
          <cell r="E740">
            <v>42.54</v>
          </cell>
          <cell r="F740">
            <v>34.15</v>
          </cell>
          <cell r="G740">
            <v>70</v>
          </cell>
          <cell r="H740">
            <v>59.75</v>
          </cell>
          <cell r="J740">
            <v>40105</v>
          </cell>
          <cell r="K740">
            <v>1.7130000000000001</v>
          </cell>
          <cell r="L740">
            <v>34.880326911850553</v>
          </cell>
        </row>
        <row r="741">
          <cell r="B741">
            <v>40106</v>
          </cell>
          <cell r="C741">
            <v>86</v>
          </cell>
          <cell r="D741">
            <v>77.5</v>
          </cell>
          <cell r="E741">
            <v>40.65</v>
          </cell>
          <cell r="F741">
            <v>33.15</v>
          </cell>
          <cell r="G741" t="str">
            <v>-</v>
          </cell>
          <cell r="H741">
            <v>58.8</v>
          </cell>
          <cell r="J741">
            <v>40106</v>
          </cell>
          <cell r="K741">
            <v>1.7450000000000001</v>
          </cell>
          <cell r="L741">
            <v>33.696275071633231</v>
          </cell>
        </row>
        <row r="742">
          <cell r="B742">
            <v>40107</v>
          </cell>
          <cell r="C742">
            <v>86</v>
          </cell>
          <cell r="D742">
            <v>77.400000000000006</v>
          </cell>
          <cell r="E742">
            <v>40.700000000000003</v>
          </cell>
          <cell r="F742">
            <v>33</v>
          </cell>
          <cell r="G742" t="str">
            <v>-</v>
          </cell>
          <cell r="H742">
            <v>58</v>
          </cell>
          <cell r="J742">
            <v>40107</v>
          </cell>
          <cell r="K742">
            <v>1.744</v>
          </cell>
          <cell r="L742">
            <v>33.256880733944953</v>
          </cell>
        </row>
        <row r="743">
          <cell r="B743">
            <v>40108</v>
          </cell>
          <cell r="C743">
            <v>86.1</v>
          </cell>
          <cell r="D743">
            <v>77.400000000000006</v>
          </cell>
          <cell r="E743">
            <v>41.4</v>
          </cell>
          <cell r="F743">
            <v>33.6</v>
          </cell>
          <cell r="G743">
            <v>69</v>
          </cell>
          <cell r="H743">
            <v>57.45</v>
          </cell>
          <cell r="J743">
            <v>40108</v>
          </cell>
          <cell r="K743">
            <v>1.7303999999999999</v>
          </cell>
          <cell r="L743">
            <v>33.200416088765607</v>
          </cell>
        </row>
        <row r="744">
          <cell r="B744">
            <v>40109</v>
          </cell>
          <cell r="C744">
            <v>83.5</v>
          </cell>
          <cell r="D744">
            <v>77.3</v>
          </cell>
          <cell r="E744">
            <v>41.99</v>
          </cell>
          <cell r="F744">
            <v>34.85</v>
          </cell>
          <cell r="G744" t="str">
            <v>-</v>
          </cell>
          <cell r="H744">
            <v>58.7</v>
          </cell>
          <cell r="J744">
            <v>40109</v>
          </cell>
          <cell r="K744">
            <v>1.7113</v>
          </cell>
          <cell r="L744">
            <v>34.301408286098287</v>
          </cell>
        </row>
        <row r="745">
          <cell r="B745">
            <v>40112</v>
          </cell>
          <cell r="C745" t="str">
            <v>-</v>
          </cell>
          <cell r="D745">
            <v>77.2</v>
          </cell>
          <cell r="E745">
            <v>42.09</v>
          </cell>
          <cell r="F745">
            <v>34.4</v>
          </cell>
          <cell r="G745" t="str">
            <v>-</v>
          </cell>
          <cell r="H745">
            <v>57.8</v>
          </cell>
          <cell r="J745">
            <v>40112</v>
          </cell>
          <cell r="K745">
            <v>1.7157</v>
          </cell>
          <cell r="L745">
            <v>33.688873346156086</v>
          </cell>
        </row>
        <row r="746">
          <cell r="B746">
            <v>40113</v>
          </cell>
          <cell r="C746" t="str">
            <v>-</v>
          </cell>
          <cell r="D746">
            <v>76</v>
          </cell>
          <cell r="E746">
            <v>39.799999999999997</v>
          </cell>
          <cell r="F746">
            <v>34.15</v>
          </cell>
          <cell r="G746" t="str">
            <v>-</v>
          </cell>
          <cell r="H746">
            <v>57</v>
          </cell>
          <cell r="J746">
            <v>40113</v>
          </cell>
          <cell r="K746">
            <v>1.7342</v>
          </cell>
          <cell r="L746">
            <v>32.868181293968398</v>
          </cell>
        </row>
        <row r="747">
          <cell r="B747">
            <v>40114</v>
          </cell>
          <cell r="C747">
            <v>80</v>
          </cell>
          <cell r="D747">
            <v>77</v>
          </cell>
          <cell r="E747">
            <v>39</v>
          </cell>
          <cell r="F747">
            <v>32.369999999999997</v>
          </cell>
          <cell r="G747">
            <v>67</v>
          </cell>
          <cell r="H747">
            <v>54.5</v>
          </cell>
          <cell r="J747">
            <v>40114</v>
          </cell>
          <cell r="K747">
            <v>1.7446999999999999</v>
          </cell>
          <cell r="L747">
            <v>31.237462027855795</v>
          </cell>
        </row>
        <row r="748">
          <cell r="B748">
            <v>40115</v>
          </cell>
          <cell r="C748">
            <v>84</v>
          </cell>
          <cell r="D748">
            <v>80</v>
          </cell>
          <cell r="E748">
            <v>41.2</v>
          </cell>
          <cell r="F748">
            <v>34</v>
          </cell>
          <cell r="G748" t="str">
            <v>-</v>
          </cell>
          <cell r="H748">
            <v>58.02</v>
          </cell>
          <cell r="J748">
            <v>40115</v>
          </cell>
          <cell r="K748">
            <v>1.7436</v>
          </cell>
          <cell r="L748">
            <v>33.275980729525124</v>
          </cell>
        </row>
        <row r="749">
          <cell r="B749">
            <v>40116</v>
          </cell>
          <cell r="C749">
            <v>83.5</v>
          </cell>
          <cell r="D749">
            <v>79</v>
          </cell>
          <cell r="E749">
            <v>40.5</v>
          </cell>
          <cell r="F749">
            <v>33.700000000000003</v>
          </cell>
          <cell r="G749">
            <v>62</v>
          </cell>
          <cell r="H749">
            <v>55.52</v>
          </cell>
          <cell r="J749">
            <v>40116</v>
          </cell>
          <cell r="K749">
            <v>1.744</v>
          </cell>
          <cell r="L749">
            <v>31.834862385321102</v>
          </cell>
        </row>
        <row r="750">
          <cell r="B750">
            <v>40119</v>
          </cell>
          <cell r="C750" t="str">
            <v>-</v>
          </cell>
          <cell r="D750" t="str">
            <v>-</v>
          </cell>
          <cell r="E750" t="str">
            <v>-</v>
          </cell>
          <cell r="F750" t="str">
            <v>-</v>
          </cell>
          <cell r="G750" t="str">
            <v>-</v>
          </cell>
          <cell r="H750" t="str">
            <v>-</v>
          </cell>
          <cell r="J750">
            <v>40119</v>
          </cell>
          <cell r="K750" t="str">
            <v>-</v>
          </cell>
          <cell r="L750">
            <v>31.834862385321102</v>
          </cell>
        </row>
        <row r="751">
          <cell r="B751">
            <v>40120</v>
          </cell>
          <cell r="C751">
            <v>83.5</v>
          </cell>
          <cell r="D751">
            <v>79</v>
          </cell>
          <cell r="E751">
            <v>40.200000000000003</v>
          </cell>
          <cell r="F751">
            <v>33.5</v>
          </cell>
          <cell r="G751">
            <v>62</v>
          </cell>
          <cell r="H751">
            <v>55.51</v>
          </cell>
          <cell r="J751">
            <v>40120</v>
          </cell>
          <cell r="K751">
            <v>1.7587999999999999</v>
          </cell>
          <cell r="L751">
            <v>31.561291789856721</v>
          </cell>
        </row>
        <row r="752">
          <cell r="B752">
            <v>40121</v>
          </cell>
          <cell r="C752">
            <v>83.5</v>
          </cell>
          <cell r="D752">
            <v>80</v>
          </cell>
          <cell r="E752">
            <v>41.91</v>
          </cell>
          <cell r="F752">
            <v>35.200000000000003</v>
          </cell>
          <cell r="G752">
            <v>62</v>
          </cell>
          <cell r="H752">
            <v>57.98</v>
          </cell>
          <cell r="J752">
            <v>40121</v>
          </cell>
          <cell r="K752">
            <v>1.7271000000000001</v>
          </cell>
          <cell r="L752">
            <v>33.570725493601991</v>
          </cell>
        </row>
        <row r="753">
          <cell r="B753">
            <v>40122</v>
          </cell>
          <cell r="C753" t="str">
            <v>-</v>
          </cell>
          <cell r="D753">
            <v>80</v>
          </cell>
          <cell r="E753">
            <v>42.3</v>
          </cell>
          <cell r="F753">
            <v>35.93</v>
          </cell>
          <cell r="G753" t="str">
            <v>-</v>
          </cell>
          <cell r="H753">
            <v>59.1</v>
          </cell>
          <cell r="J753">
            <v>40122</v>
          </cell>
          <cell r="K753">
            <v>1.724</v>
          </cell>
          <cell r="L753">
            <v>34.280742459396755</v>
          </cell>
        </row>
        <row r="754">
          <cell r="B754">
            <v>40123</v>
          </cell>
          <cell r="C754">
            <v>85</v>
          </cell>
          <cell r="D754">
            <v>80.989999999999995</v>
          </cell>
          <cell r="E754">
            <v>41.75</v>
          </cell>
          <cell r="F754">
            <v>35</v>
          </cell>
          <cell r="G754" t="str">
            <v>-</v>
          </cell>
          <cell r="H754">
            <v>58.84</v>
          </cell>
          <cell r="J754">
            <v>40123</v>
          </cell>
          <cell r="K754">
            <v>1.7179</v>
          </cell>
          <cell r="L754">
            <v>34.25112055416497</v>
          </cell>
        </row>
        <row r="755">
          <cell r="B755">
            <v>40126</v>
          </cell>
          <cell r="C755">
            <v>89</v>
          </cell>
          <cell r="D755">
            <v>82</v>
          </cell>
          <cell r="E755">
            <v>42.4</v>
          </cell>
          <cell r="F755">
            <v>36.4</v>
          </cell>
          <cell r="G755">
            <v>65</v>
          </cell>
          <cell r="H755">
            <v>61.4</v>
          </cell>
          <cell r="J755">
            <v>40126</v>
          </cell>
          <cell r="K755">
            <v>1.7023999999999999</v>
          </cell>
          <cell r="L755">
            <v>36.066729323308273</v>
          </cell>
        </row>
        <row r="756">
          <cell r="B756">
            <v>40127</v>
          </cell>
          <cell r="C756">
            <v>88.99</v>
          </cell>
          <cell r="D756">
            <v>82.02</v>
          </cell>
          <cell r="E756">
            <v>42.5</v>
          </cell>
          <cell r="F756">
            <v>36.19</v>
          </cell>
          <cell r="G756" t="str">
            <v>-</v>
          </cell>
          <cell r="H756">
            <v>61.74</v>
          </cell>
          <cell r="J756">
            <v>40127</v>
          </cell>
          <cell r="K756">
            <v>1.7096</v>
          </cell>
          <cell r="L756">
            <v>36.113710809546092</v>
          </cell>
        </row>
        <row r="757">
          <cell r="B757">
            <v>40128</v>
          </cell>
          <cell r="C757">
            <v>90</v>
          </cell>
          <cell r="D757">
            <v>83</v>
          </cell>
          <cell r="E757">
            <v>42.88</v>
          </cell>
          <cell r="F757">
            <v>36.01</v>
          </cell>
          <cell r="G757">
            <v>67.489999999999995</v>
          </cell>
          <cell r="H757">
            <v>61.74</v>
          </cell>
          <cell r="J757">
            <v>40128</v>
          </cell>
          <cell r="K757">
            <v>1.7112000000000001</v>
          </cell>
          <cell r="L757">
            <v>36.079943899018232</v>
          </cell>
        </row>
        <row r="758">
          <cell r="B758">
            <v>40129</v>
          </cell>
          <cell r="C758" t="str">
            <v>-</v>
          </cell>
          <cell r="D758">
            <v>84</v>
          </cell>
          <cell r="E758">
            <v>41.7</v>
          </cell>
          <cell r="F758">
            <v>35.869999999999997</v>
          </cell>
          <cell r="G758" t="str">
            <v>-</v>
          </cell>
          <cell r="H758">
            <v>60.47</v>
          </cell>
          <cell r="J758">
            <v>40129</v>
          </cell>
          <cell r="K758">
            <v>1.7250000000000001</v>
          </cell>
          <cell r="L758">
            <v>35.055072463768113</v>
          </cell>
        </row>
        <row r="759">
          <cell r="B759">
            <v>40130</v>
          </cell>
          <cell r="C759">
            <v>90</v>
          </cell>
          <cell r="D759">
            <v>85.98</v>
          </cell>
          <cell r="E759">
            <v>41.9</v>
          </cell>
          <cell r="F759">
            <v>36</v>
          </cell>
          <cell r="G759" t="str">
            <v>-</v>
          </cell>
          <cell r="H759">
            <v>62.75</v>
          </cell>
          <cell r="J759">
            <v>40130</v>
          </cell>
          <cell r="K759">
            <v>1.7290000000000001</v>
          </cell>
          <cell r="L759">
            <v>36.292654713707343</v>
          </cell>
        </row>
        <row r="760">
          <cell r="B760">
            <v>40133</v>
          </cell>
          <cell r="C760">
            <v>95</v>
          </cell>
          <cell r="D760">
            <v>83</v>
          </cell>
          <cell r="E760">
            <v>42.4</v>
          </cell>
          <cell r="F760">
            <v>37.01</v>
          </cell>
          <cell r="G760">
            <v>69</v>
          </cell>
          <cell r="H760">
            <v>64.87</v>
          </cell>
          <cell r="J760">
            <v>40133</v>
          </cell>
          <cell r="K760">
            <v>1.7126999999999999</v>
          </cell>
          <cell r="L760">
            <v>37.87586851170667</v>
          </cell>
        </row>
        <row r="761">
          <cell r="B761">
            <v>40134</v>
          </cell>
          <cell r="C761">
            <v>93</v>
          </cell>
          <cell r="D761">
            <v>84.8</v>
          </cell>
          <cell r="E761">
            <v>43.8</v>
          </cell>
          <cell r="F761">
            <v>37.44</v>
          </cell>
          <cell r="G761">
            <v>67.819999999999993</v>
          </cell>
          <cell r="H761">
            <v>65.099999999999994</v>
          </cell>
          <cell r="J761">
            <v>40134</v>
          </cell>
          <cell r="K761">
            <v>1.7153</v>
          </cell>
          <cell r="L761">
            <v>37.952544744359585</v>
          </cell>
        </row>
        <row r="762">
          <cell r="B762">
            <v>40135</v>
          </cell>
          <cell r="C762">
            <v>97.5</v>
          </cell>
          <cell r="D762">
            <v>85.99</v>
          </cell>
          <cell r="E762">
            <v>43.77</v>
          </cell>
          <cell r="F762">
            <v>37.700000000000003</v>
          </cell>
          <cell r="G762">
            <v>70</v>
          </cell>
          <cell r="H762">
            <v>65.150000000000006</v>
          </cell>
          <cell r="J762">
            <v>40135</v>
          </cell>
          <cell r="K762">
            <v>1.7102999999999999</v>
          </cell>
          <cell r="L762">
            <v>38.092732269192545</v>
          </cell>
        </row>
        <row r="763">
          <cell r="B763">
            <v>40136</v>
          </cell>
          <cell r="C763">
            <v>96.49</v>
          </cell>
          <cell r="D763">
            <v>85.5</v>
          </cell>
          <cell r="E763">
            <v>44</v>
          </cell>
          <cell r="F763">
            <v>37.58</v>
          </cell>
          <cell r="G763">
            <v>69.989999999999995</v>
          </cell>
          <cell r="H763">
            <v>65.88</v>
          </cell>
          <cell r="J763">
            <v>40136</v>
          </cell>
          <cell r="K763">
            <v>1.7286999999999999</v>
          </cell>
          <cell r="L763">
            <v>38.109562098686872</v>
          </cell>
        </row>
        <row r="764">
          <cell r="B764">
            <v>40137</v>
          </cell>
          <cell r="C764" t="str">
            <v>-</v>
          </cell>
          <cell r="D764" t="str">
            <v>-</v>
          </cell>
          <cell r="E764" t="str">
            <v>-</v>
          </cell>
          <cell r="F764" t="str">
            <v>-</v>
          </cell>
          <cell r="G764" t="str">
            <v>-</v>
          </cell>
          <cell r="H764" t="str">
            <v>-</v>
          </cell>
          <cell r="J764">
            <v>40137</v>
          </cell>
          <cell r="K764" t="str">
            <v>-</v>
          </cell>
          <cell r="L764">
            <v>38.109562098686872</v>
          </cell>
        </row>
        <row r="765">
          <cell r="B765">
            <v>40140</v>
          </cell>
          <cell r="C765">
            <v>96.49</v>
          </cell>
          <cell r="D765">
            <v>85.5</v>
          </cell>
          <cell r="E765">
            <v>43.62</v>
          </cell>
          <cell r="F765">
            <v>37.06</v>
          </cell>
          <cell r="G765">
            <v>69</v>
          </cell>
          <cell r="H765">
            <v>66.099999999999994</v>
          </cell>
          <cell r="J765">
            <v>40140</v>
          </cell>
          <cell r="K765">
            <v>1.7244999999999999</v>
          </cell>
          <cell r="L765">
            <v>38.329950710350822</v>
          </cell>
        </row>
        <row r="766">
          <cell r="B766">
            <v>40141</v>
          </cell>
          <cell r="C766">
            <v>96.48</v>
          </cell>
          <cell r="D766">
            <v>86.5</v>
          </cell>
          <cell r="E766">
            <v>44</v>
          </cell>
          <cell r="F766">
            <v>37.89</v>
          </cell>
          <cell r="G766">
            <v>70</v>
          </cell>
          <cell r="H766">
            <v>67.099999999999994</v>
          </cell>
          <cell r="J766">
            <v>40141</v>
          </cell>
          <cell r="K766">
            <v>1.7282</v>
          </cell>
          <cell r="L766">
            <v>38.826524707788451</v>
          </cell>
        </row>
        <row r="767">
          <cell r="B767">
            <v>40142</v>
          </cell>
          <cell r="C767">
            <v>96</v>
          </cell>
          <cell r="D767">
            <v>87.99</v>
          </cell>
          <cell r="E767">
            <v>43.95</v>
          </cell>
          <cell r="F767">
            <v>37.299999999999997</v>
          </cell>
          <cell r="G767">
            <v>70</v>
          </cell>
          <cell r="H767">
            <v>65.8</v>
          </cell>
          <cell r="J767">
            <v>40142</v>
          </cell>
          <cell r="K767">
            <v>1.7272000000000001</v>
          </cell>
          <cell r="L767">
            <v>38.096340898564144</v>
          </cell>
        </row>
        <row r="768">
          <cell r="B768">
            <v>40143</v>
          </cell>
          <cell r="C768" t="str">
            <v>-</v>
          </cell>
          <cell r="D768">
            <v>87.9</v>
          </cell>
          <cell r="E768">
            <v>42.8</v>
          </cell>
          <cell r="F768">
            <v>36.200000000000003</v>
          </cell>
          <cell r="G768" t="str">
            <v>-</v>
          </cell>
          <cell r="H768">
            <v>64.5</v>
          </cell>
          <cell r="J768">
            <v>40143</v>
          </cell>
          <cell r="K768">
            <v>1.7408999999999999</v>
          </cell>
          <cell r="L768">
            <v>37.049801826641392</v>
          </cell>
        </row>
        <row r="769">
          <cell r="B769">
            <v>40144</v>
          </cell>
          <cell r="C769">
            <v>96.01</v>
          </cell>
          <cell r="D769">
            <v>87.5</v>
          </cell>
          <cell r="E769">
            <v>43.2</v>
          </cell>
          <cell r="F769">
            <v>36.549999999999997</v>
          </cell>
          <cell r="G769" t="str">
            <v>-</v>
          </cell>
          <cell r="H769">
            <v>65.3</v>
          </cell>
          <cell r="J769">
            <v>40144</v>
          </cell>
          <cell r="K769">
            <v>1.7443</v>
          </cell>
          <cell r="L769">
            <v>37.436220833572207</v>
          </cell>
        </row>
        <row r="770">
          <cell r="B770">
            <v>40147</v>
          </cell>
          <cell r="C770">
            <v>96.4</v>
          </cell>
          <cell r="D770">
            <v>89.5</v>
          </cell>
          <cell r="E770">
            <v>44</v>
          </cell>
          <cell r="F770">
            <v>36.9</v>
          </cell>
          <cell r="G770" t="str">
            <v>-</v>
          </cell>
          <cell r="H770">
            <v>64.2</v>
          </cell>
          <cell r="J770">
            <v>40147</v>
          </cell>
          <cell r="K770">
            <v>1.7504999999999999</v>
          </cell>
          <cell r="L770">
            <v>36.675235646958015</v>
          </cell>
        </row>
        <row r="771">
          <cell r="B771">
            <v>40148</v>
          </cell>
          <cell r="C771">
            <v>97.5</v>
          </cell>
          <cell r="D771">
            <v>90</v>
          </cell>
          <cell r="E771">
            <v>44</v>
          </cell>
          <cell r="F771">
            <v>38.07</v>
          </cell>
          <cell r="G771">
            <v>72</v>
          </cell>
          <cell r="H771">
            <v>63.02</v>
          </cell>
          <cell r="J771">
            <v>40148</v>
          </cell>
          <cell r="K771">
            <v>1.7293000000000001</v>
          </cell>
          <cell r="L771">
            <v>36.442491181402879</v>
          </cell>
        </row>
        <row r="772">
          <cell r="B772">
            <v>40149</v>
          </cell>
          <cell r="C772" t="str">
            <v>-</v>
          </cell>
          <cell r="D772">
            <v>90.89</v>
          </cell>
          <cell r="E772">
            <v>44.13</v>
          </cell>
          <cell r="F772">
            <v>37.85</v>
          </cell>
          <cell r="G772" t="str">
            <v>-</v>
          </cell>
          <cell r="H772">
            <v>63</v>
          </cell>
          <cell r="J772">
            <v>40149</v>
          </cell>
          <cell r="K772">
            <v>1.7201</v>
          </cell>
          <cell r="L772">
            <v>36.625777571071453</v>
          </cell>
        </row>
        <row r="773">
          <cell r="B773">
            <v>40150</v>
          </cell>
          <cell r="C773">
            <v>99</v>
          </cell>
          <cell r="D773">
            <v>94.43</v>
          </cell>
          <cell r="E773">
            <v>43.2</v>
          </cell>
          <cell r="F773">
            <v>37.799999999999997</v>
          </cell>
          <cell r="G773" t="str">
            <v>-</v>
          </cell>
          <cell r="H773">
            <v>63.25</v>
          </cell>
          <cell r="J773">
            <v>40150</v>
          </cell>
          <cell r="K773">
            <v>1.7096</v>
          </cell>
          <cell r="L773">
            <v>36.996958352831072</v>
          </cell>
        </row>
        <row r="774">
          <cell r="B774">
            <v>40151</v>
          </cell>
          <cell r="C774">
            <v>99.5</v>
          </cell>
          <cell r="D774">
            <v>94</v>
          </cell>
          <cell r="E774">
            <v>43.13</v>
          </cell>
          <cell r="F774">
            <v>37.39</v>
          </cell>
          <cell r="G774" t="str">
            <v>-</v>
          </cell>
          <cell r="H774">
            <v>62.62</v>
          </cell>
          <cell r="J774">
            <v>40151</v>
          </cell>
          <cell r="K774">
            <v>1.7131000000000001</v>
          </cell>
          <cell r="L774">
            <v>36.553616251240442</v>
          </cell>
        </row>
        <row r="775">
          <cell r="B775">
            <v>40154</v>
          </cell>
          <cell r="C775" t="str">
            <v>-</v>
          </cell>
          <cell r="D775">
            <v>95.39</v>
          </cell>
          <cell r="E775">
            <v>44</v>
          </cell>
          <cell r="F775">
            <v>38.049999999999997</v>
          </cell>
          <cell r="G775" t="str">
            <v>-</v>
          </cell>
          <cell r="H775">
            <v>65.400000000000006</v>
          </cell>
          <cell r="J775">
            <v>40154</v>
          </cell>
          <cell r="K775">
            <v>1.7302</v>
          </cell>
          <cell r="L775">
            <v>37.799098370130622</v>
          </cell>
        </row>
        <row r="776">
          <cell r="B776">
            <v>40155</v>
          </cell>
          <cell r="C776">
            <v>99.5</v>
          </cell>
          <cell r="D776">
            <v>95.01</v>
          </cell>
          <cell r="E776">
            <v>43.15</v>
          </cell>
          <cell r="F776">
            <v>37</v>
          </cell>
          <cell r="G776" t="str">
            <v>-</v>
          </cell>
          <cell r="H776">
            <v>64</v>
          </cell>
          <cell r="J776">
            <v>40155</v>
          </cell>
          <cell r="K776">
            <v>1.7482</v>
          </cell>
          <cell r="L776">
            <v>36.609083628875418</v>
          </cell>
        </row>
        <row r="777">
          <cell r="B777">
            <v>40156</v>
          </cell>
          <cell r="C777">
            <v>98.5</v>
          </cell>
          <cell r="D777">
            <v>93.99</v>
          </cell>
          <cell r="E777">
            <v>44.2</v>
          </cell>
          <cell r="F777">
            <v>37.380000000000003</v>
          </cell>
          <cell r="G777">
            <v>72</v>
          </cell>
          <cell r="H777">
            <v>64.2</v>
          </cell>
          <cell r="J777">
            <v>40156</v>
          </cell>
          <cell r="K777">
            <v>1.7611000000000001</v>
          </cell>
          <cell r="L777">
            <v>36.454488671852822</v>
          </cell>
        </row>
        <row r="778">
          <cell r="B778">
            <v>40157</v>
          </cell>
          <cell r="C778">
            <v>99.49</v>
          </cell>
          <cell r="D778">
            <v>94.9</v>
          </cell>
          <cell r="E778">
            <v>44.1</v>
          </cell>
          <cell r="F778">
            <v>37.65</v>
          </cell>
          <cell r="G778" t="str">
            <v>-</v>
          </cell>
          <cell r="H778">
            <v>64.5</v>
          </cell>
          <cell r="J778">
            <v>40157</v>
          </cell>
          <cell r="K778">
            <v>1.7626999999999999</v>
          </cell>
          <cell r="L778">
            <v>36.591592443410676</v>
          </cell>
        </row>
        <row r="779">
          <cell r="B779">
            <v>40158</v>
          </cell>
          <cell r="C779" t="str">
            <v>-</v>
          </cell>
          <cell r="D779">
            <v>94.9</v>
          </cell>
          <cell r="E779">
            <v>45.5</v>
          </cell>
          <cell r="F779">
            <v>38.32</v>
          </cell>
          <cell r="G779" t="str">
            <v>-</v>
          </cell>
          <cell r="H779">
            <v>65</v>
          </cell>
          <cell r="J779">
            <v>40158</v>
          </cell>
          <cell r="K779">
            <v>1.7521</v>
          </cell>
          <cell r="L779">
            <v>37.098339135894072</v>
          </cell>
        </row>
        <row r="780">
          <cell r="B780">
            <v>40161</v>
          </cell>
          <cell r="C780" t="str">
            <v>-</v>
          </cell>
          <cell r="D780">
            <v>94.65</v>
          </cell>
          <cell r="E780">
            <v>45.87</v>
          </cell>
          <cell r="F780">
            <v>38.69</v>
          </cell>
          <cell r="G780" t="str">
            <v>-</v>
          </cell>
          <cell r="H780">
            <v>65.14</v>
          </cell>
          <cell r="J780">
            <v>40161</v>
          </cell>
          <cell r="K780">
            <v>1.7483</v>
          </cell>
          <cell r="L780">
            <v>37.259051650174456</v>
          </cell>
        </row>
        <row r="781">
          <cell r="B781">
            <v>40162</v>
          </cell>
          <cell r="C781">
            <v>99.08</v>
          </cell>
          <cell r="D781">
            <v>95.95</v>
          </cell>
          <cell r="E781">
            <v>45.54</v>
          </cell>
          <cell r="F781">
            <v>38.79</v>
          </cell>
          <cell r="G781" t="str">
            <v>-</v>
          </cell>
          <cell r="H781">
            <v>65.62</v>
          </cell>
          <cell r="J781">
            <v>40162</v>
          </cell>
          <cell r="K781">
            <v>1.7557</v>
          </cell>
          <cell r="L781">
            <v>37.37540582104004</v>
          </cell>
        </row>
        <row r="782">
          <cell r="B782">
            <v>40163</v>
          </cell>
          <cell r="C782">
            <v>99.44</v>
          </cell>
          <cell r="D782">
            <v>96.96</v>
          </cell>
          <cell r="E782">
            <v>44.48</v>
          </cell>
          <cell r="F782">
            <v>37.94</v>
          </cell>
          <cell r="G782" t="str">
            <v>-</v>
          </cell>
          <cell r="H782">
            <v>65.11</v>
          </cell>
          <cell r="J782">
            <v>40163</v>
          </cell>
          <cell r="K782">
            <v>1.7518</v>
          </cell>
          <cell r="L782">
            <v>37.16748487270236</v>
          </cell>
        </row>
        <row r="783">
          <cell r="B783">
            <v>40164</v>
          </cell>
          <cell r="C783">
            <v>100.26</v>
          </cell>
          <cell r="D783">
            <v>97.23</v>
          </cell>
          <cell r="E783">
            <v>44.21</v>
          </cell>
          <cell r="F783">
            <v>37.18</v>
          </cell>
          <cell r="G783" t="str">
            <v>-</v>
          </cell>
          <cell r="H783">
            <v>63.45</v>
          </cell>
          <cell r="J783">
            <v>40164</v>
          </cell>
          <cell r="K783">
            <v>1.7823</v>
          </cell>
          <cell r="L783">
            <v>35.600067328732536</v>
          </cell>
        </row>
        <row r="784">
          <cell r="B784">
            <v>40165</v>
          </cell>
          <cell r="C784">
            <v>100.63</v>
          </cell>
          <cell r="D784">
            <v>95.58</v>
          </cell>
          <cell r="E784">
            <v>43.39</v>
          </cell>
          <cell r="F784">
            <v>36.58</v>
          </cell>
          <cell r="G784" t="str">
            <v>-</v>
          </cell>
          <cell r="H784">
            <v>62.96</v>
          </cell>
          <cell r="J784">
            <v>40165</v>
          </cell>
          <cell r="K784">
            <v>1.7879</v>
          </cell>
          <cell r="L784">
            <v>35.214497455114937</v>
          </cell>
        </row>
        <row r="785">
          <cell r="B785">
            <v>40168</v>
          </cell>
          <cell r="C785">
            <v>103.06</v>
          </cell>
          <cell r="D785">
            <v>94.86</v>
          </cell>
          <cell r="E785">
            <v>43.84</v>
          </cell>
          <cell r="F785">
            <v>36.630000000000003</v>
          </cell>
          <cell r="G785">
            <v>72</v>
          </cell>
          <cell r="H785">
            <v>62.6</v>
          </cell>
          <cell r="J785">
            <v>40168</v>
          </cell>
          <cell r="K785">
            <v>1.7786999999999999</v>
          </cell>
          <cell r="L785">
            <v>35.194242986450782</v>
          </cell>
        </row>
        <row r="786">
          <cell r="B786">
            <v>40169</v>
          </cell>
          <cell r="C786" t="str">
            <v>-</v>
          </cell>
          <cell r="D786">
            <v>96.5</v>
          </cell>
          <cell r="E786">
            <v>44.17</v>
          </cell>
          <cell r="F786">
            <v>36.69</v>
          </cell>
          <cell r="G786" t="str">
            <v>-</v>
          </cell>
          <cell r="H786">
            <v>63.04</v>
          </cell>
          <cell r="J786">
            <v>40169</v>
          </cell>
          <cell r="K786">
            <v>1.7825</v>
          </cell>
          <cell r="L786">
            <v>35.366058906030858</v>
          </cell>
        </row>
        <row r="787">
          <cell r="B787">
            <v>40170</v>
          </cell>
          <cell r="C787">
            <v>104</v>
          </cell>
          <cell r="D787">
            <v>96.99</v>
          </cell>
          <cell r="E787">
            <v>43.63</v>
          </cell>
          <cell r="F787">
            <v>36.26</v>
          </cell>
          <cell r="G787">
            <v>72</v>
          </cell>
          <cell r="H787">
            <v>61.75</v>
          </cell>
          <cell r="J787">
            <v>40170</v>
          </cell>
          <cell r="K787">
            <v>1.7763</v>
          </cell>
          <cell r="L787">
            <v>34.76327196982492</v>
          </cell>
        </row>
        <row r="788">
          <cell r="B788">
            <v>40171</v>
          </cell>
          <cell r="C788" t="str">
            <v>-</v>
          </cell>
          <cell r="D788" t="str">
            <v>-</v>
          </cell>
          <cell r="E788" t="str">
            <v>-</v>
          </cell>
          <cell r="F788" t="str">
            <v>-</v>
          </cell>
          <cell r="G788" t="str">
            <v>-</v>
          </cell>
          <cell r="H788" t="str">
            <v>-</v>
          </cell>
          <cell r="J788">
            <v>40171</v>
          </cell>
          <cell r="K788">
            <v>1.7526999999999999</v>
          </cell>
          <cell r="L788">
            <v>34.76327196982492</v>
          </cell>
        </row>
        <row r="789">
          <cell r="B789">
            <v>40172</v>
          </cell>
          <cell r="C789" t="str">
            <v>-</v>
          </cell>
          <cell r="D789" t="str">
            <v>-</v>
          </cell>
          <cell r="E789" t="str">
            <v>-</v>
          </cell>
          <cell r="F789" t="str">
            <v>-</v>
          </cell>
          <cell r="G789" t="str">
            <v>-</v>
          </cell>
          <cell r="H789" t="str">
            <v>-</v>
          </cell>
          <cell r="J789">
            <v>40172</v>
          </cell>
          <cell r="K789" t="str">
            <v>-</v>
          </cell>
          <cell r="L789">
            <v>34.76327196982492</v>
          </cell>
        </row>
        <row r="790">
          <cell r="B790">
            <v>40175</v>
          </cell>
          <cell r="C790">
            <v>105</v>
          </cell>
          <cell r="D790">
            <v>96.92</v>
          </cell>
          <cell r="E790">
            <v>43.72</v>
          </cell>
          <cell r="F790">
            <v>36.47</v>
          </cell>
          <cell r="G790">
            <v>68.680000000000007</v>
          </cell>
          <cell r="H790">
            <v>61.72</v>
          </cell>
          <cell r="J790">
            <v>40175</v>
          </cell>
          <cell r="K790">
            <v>1.7398</v>
          </cell>
          <cell r="L790">
            <v>35.475341993332563</v>
          </cell>
        </row>
        <row r="791">
          <cell r="B791">
            <v>40176</v>
          </cell>
          <cell r="C791">
            <v>105.09</v>
          </cell>
          <cell r="D791">
            <v>97.72</v>
          </cell>
          <cell r="E791">
            <v>43.85</v>
          </cell>
          <cell r="F791">
            <v>36.409999999999997</v>
          </cell>
          <cell r="G791" t="str">
            <v>-</v>
          </cell>
          <cell r="H791">
            <v>61.33</v>
          </cell>
          <cell r="J791">
            <v>40176</v>
          </cell>
          <cell r="K791">
            <v>1.7421</v>
          </cell>
          <cell r="L791">
            <v>35.204638080477586</v>
          </cell>
        </row>
        <row r="792">
          <cell r="B792">
            <v>40177</v>
          </cell>
          <cell r="C792" t="str">
            <v>-</v>
          </cell>
          <cell r="D792">
            <v>99.9</v>
          </cell>
          <cell r="E792">
            <v>44.42</v>
          </cell>
          <cell r="F792">
            <v>36.74</v>
          </cell>
          <cell r="G792" t="str">
            <v>-</v>
          </cell>
          <cell r="H792">
            <v>61.19</v>
          </cell>
          <cell r="J792">
            <v>40177</v>
          </cell>
          <cell r="K792">
            <v>1.7412000000000001</v>
          </cell>
          <cell r="L792">
            <v>35.142430507695842</v>
          </cell>
        </row>
        <row r="793">
          <cell r="B793">
            <v>40178</v>
          </cell>
          <cell r="C793" t="str">
            <v>-</v>
          </cell>
          <cell r="D793" t="str">
            <v>-</v>
          </cell>
          <cell r="E793" t="str">
            <v>-</v>
          </cell>
          <cell r="F793" t="str">
            <v>-</v>
          </cell>
          <cell r="G793" t="str">
            <v>-</v>
          </cell>
          <cell r="H793" t="str">
            <v>-</v>
          </cell>
          <cell r="J793">
            <v>40178</v>
          </cell>
          <cell r="K793">
            <v>1.7412000000000001</v>
          </cell>
          <cell r="L793">
            <v>35.142430507695842</v>
          </cell>
        </row>
        <row r="794">
          <cell r="B794">
            <v>40179</v>
          </cell>
          <cell r="C794" t="str">
            <v>-</v>
          </cell>
          <cell r="D794" t="str">
            <v>-</v>
          </cell>
          <cell r="E794" t="str">
            <v>-</v>
          </cell>
          <cell r="F794" t="str">
            <v>-</v>
          </cell>
          <cell r="G794" t="str">
            <v>-</v>
          </cell>
          <cell r="H794" t="str">
            <v>-</v>
          </cell>
          <cell r="J794">
            <v>40179</v>
          </cell>
          <cell r="K794" t="str">
            <v>-</v>
          </cell>
          <cell r="L794">
            <v>35.142430507695842</v>
          </cell>
        </row>
        <row r="795">
          <cell r="B795">
            <v>40182</v>
          </cell>
          <cell r="C795" t="str">
            <v>-</v>
          </cell>
          <cell r="D795">
            <v>102.22</v>
          </cell>
          <cell r="E795">
            <v>44.79</v>
          </cell>
          <cell r="F795">
            <v>37.4</v>
          </cell>
          <cell r="G795" t="str">
            <v>-</v>
          </cell>
          <cell r="H795">
            <v>62.66</v>
          </cell>
          <cell r="J795">
            <v>40182</v>
          </cell>
          <cell r="K795">
            <v>1.724</v>
          </cell>
          <cell r="L795">
            <v>36.345707656612525</v>
          </cell>
        </row>
        <row r="796">
          <cell r="B796">
            <v>40183</v>
          </cell>
          <cell r="C796">
            <v>107.49</v>
          </cell>
          <cell r="D796">
            <v>103</v>
          </cell>
          <cell r="E796">
            <v>45.08</v>
          </cell>
          <cell r="F796">
            <v>37.54</v>
          </cell>
          <cell r="G796">
            <v>69.069999999999993</v>
          </cell>
          <cell r="H796">
            <v>63.35</v>
          </cell>
          <cell r="J796">
            <v>40183</v>
          </cell>
          <cell r="K796">
            <v>1.7226999999999999</v>
          </cell>
          <cell r="L796">
            <v>36.773669240146283</v>
          </cell>
        </row>
        <row r="797">
          <cell r="B797">
            <v>40184</v>
          </cell>
          <cell r="C797">
            <v>108.5</v>
          </cell>
          <cell r="D797">
            <v>102.65</v>
          </cell>
          <cell r="E797">
            <v>44.87</v>
          </cell>
          <cell r="F797">
            <v>37.51</v>
          </cell>
          <cell r="G797" t="str">
            <v>-</v>
          </cell>
          <cell r="H797">
            <v>64</v>
          </cell>
          <cell r="J797">
            <v>40184</v>
          </cell>
          <cell r="K797">
            <v>1.7337</v>
          </cell>
          <cell r="L797">
            <v>36.91526792409298</v>
          </cell>
        </row>
        <row r="798">
          <cell r="B798">
            <v>40185</v>
          </cell>
          <cell r="C798">
            <v>108.46</v>
          </cell>
          <cell r="D798">
            <v>104.58</v>
          </cell>
          <cell r="E798">
            <v>44.66</v>
          </cell>
          <cell r="F798">
            <v>37.33</v>
          </cell>
          <cell r="G798" t="str">
            <v>-</v>
          </cell>
          <cell r="H798">
            <v>63.46</v>
          </cell>
          <cell r="J798">
            <v>40185</v>
          </cell>
          <cell r="K798">
            <v>1.7413000000000001</v>
          </cell>
          <cell r="L798">
            <v>36.444036065008902</v>
          </cell>
        </row>
        <row r="799">
          <cell r="B799">
            <v>40186</v>
          </cell>
          <cell r="C799">
            <v>108.8</v>
          </cell>
          <cell r="D799">
            <v>104.15</v>
          </cell>
          <cell r="E799">
            <v>44.27</v>
          </cell>
          <cell r="F799">
            <v>37.17</v>
          </cell>
          <cell r="G799" t="str">
            <v>-</v>
          </cell>
          <cell r="H799">
            <v>63.27</v>
          </cell>
          <cell r="J799">
            <v>40186</v>
          </cell>
          <cell r="K799">
            <v>1.7390000000000001</v>
          </cell>
          <cell r="L799">
            <v>36.382978723404257</v>
          </cell>
        </row>
        <row r="800">
          <cell r="B800">
            <v>40189</v>
          </cell>
          <cell r="C800">
            <v>108.82</v>
          </cell>
          <cell r="D800">
            <v>104.08</v>
          </cell>
          <cell r="E800">
            <v>43.9</v>
          </cell>
          <cell r="F800">
            <v>37.01</v>
          </cell>
          <cell r="G800" t="str">
            <v>-</v>
          </cell>
          <cell r="H800">
            <v>63.66</v>
          </cell>
          <cell r="J800">
            <v>40189</v>
          </cell>
          <cell r="K800">
            <v>1.7323</v>
          </cell>
          <cell r="L800">
            <v>36.748831033885587</v>
          </cell>
        </row>
        <row r="801">
          <cell r="B801">
            <v>40190</v>
          </cell>
          <cell r="C801">
            <v>110</v>
          </cell>
          <cell r="D801">
            <v>102.79</v>
          </cell>
          <cell r="E801">
            <v>43.29</v>
          </cell>
          <cell r="F801">
            <v>36.32</v>
          </cell>
          <cell r="G801" t="str">
            <v>-</v>
          </cell>
          <cell r="H801">
            <v>62.4</v>
          </cell>
          <cell r="J801">
            <v>40190</v>
          </cell>
          <cell r="K801">
            <v>1.7439</v>
          </cell>
          <cell r="L801">
            <v>35.781868226389129</v>
          </cell>
        </row>
        <row r="802">
          <cell r="B802">
            <v>40191</v>
          </cell>
          <cell r="C802">
            <v>110</v>
          </cell>
          <cell r="D802">
            <v>101.17</v>
          </cell>
          <cell r="E802">
            <v>42.96</v>
          </cell>
          <cell r="F802">
            <v>36.15</v>
          </cell>
          <cell r="G802" t="str">
            <v>-</v>
          </cell>
          <cell r="H802">
            <v>62.73</v>
          </cell>
          <cell r="J802">
            <v>40191</v>
          </cell>
          <cell r="K802">
            <v>1.7442</v>
          </cell>
          <cell r="L802">
            <v>35.964912280701753</v>
          </cell>
        </row>
      </sheetData>
      <sheetData sheetId="10">
        <row r="2">
          <cell r="B2" t="str">
            <v>Count</v>
          </cell>
        </row>
      </sheetData>
      <sheetData sheetId="11">
        <row r="5">
          <cell r="B5" t="str">
            <v>Múltiplo EV/EBITDA 2009E</v>
          </cell>
          <cell r="F5">
            <v>7</v>
          </cell>
        </row>
        <row r="6">
          <cell r="B6" t="str">
            <v>EBITDA 2009E Tmar + BrT ¹</v>
          </cell>
          <cell r="F6">
            <v>11328.53</v>
          </cell>
        </row>
        <row r="7">
          <cell r="B7" t="str">
            <v>Enterprise value</v>
          </cell>
          <cell r="F7">
            <v>79299.710000000006</v>
          </cell>
        </row>
        <row r="8">
          <cell r="B8" t="str">
            <v>(-) Dívida TMAR²</v>
          </cell>
          <cell r="F8">
            <v>-23159</v>
          </cell>
        </row>
        <row r="9">
          <cell r="B9" t="str">
            <v>Equity TMAR</v>
          </cell>
          <cell r="F9">
            <v>56140.710000000006</v>
          </cell>
        </row>
        <row r="10">
          <cell r="B10" t="str">
            <v>Minoritários ON³</v>
          </cell>
          <cell r="F10">
            <v>6012.5998254388533</v>
          </cell>
        </row>
        <row r="11">
          <cell r="B11" t="str">
            <v>Minoritários PN4</v>
          </cell>
          <cell r="F11">
            <v>7072.2669005033285</v>
          </cell>
        </row>
        <row r="12">
          <cell r="B12" t="str">
            <v>TNL</v>
          </cell>
          <cell r="F12">
            <v>43055.843274057828</v>
          </cell>
        </row>
        <row r="14">
          <cell r="B14" t="str">
            <v>(-) Dívida da TNL</v>
          </cell>
          <cell r="F14">
            <v>384</v>
          </cell>
        </row>
        <row r="15">
          <cell r="B15" t="str">
            <v>Equity da TNL</v>
          </cell>
          <cell r="F15">
            <v>43439.843274057828</v>
          </cell>
        </row>
        <row r="16">
          <cell r="B16" t="str">
            <v>Minoritários ON³</v>
          </cell>
          <cell r="F16">
            <v>13855.169538423306</v>
          </cell>
        </row>
        <row r="17">
          <cell r="B17" t="str">
            <v>Minoritários PN4</v>
          </cell>
          <cell r="F17">
            <v>9488.3757507692299</v>
          </cell>
        </row>
        <row r="18">
          <cell r="B18" t="str">
            <v>TmarPart</v>
          </cell>
          <cell r="F18">
            <v>20096.297984865298</v>
          </cell>
        </row>
        <row r="20">
          <cell r="B20" t="str">
            <v>Valor da TmarPart na Tmar</v>
          </cell>
          <cell r="F20">
            <v>829.22478885230782</v>
          </cell>
        </row>
        <row r="21">
          <cell r="B21" t="str">
            <v>(+) Valor na TmarPart na TNL</v>
          </cell>
          <cell r="F21">
            <v>20096.297984865298</v>
          </cell>
        </row>
        <row r="22">
          <cell r="B22" t="str">
            <v>EV da TmarPart</v>
          </cell>
          <cell r="F22">
            <v>20925.522773717606</v>
          </cell>
        </row>
        <row r="23">
          <cell r="B23" t="str">
            <v>(-) Dívida líquida da TmarPart</v>
          </cell>
          <cell r="F23">
            <v>-2591.029693</v>
          </cell>
        </row>
        <row r="24">
          <cell r="B24" t="str">
            <v>Equity da TmarPart</v>
          </cell>
          <cell r="F24">
            <v>18334.493080717606</v>
          </cell>
        </row>
        <row r="26">
          <cell r="B26" t="str">
            <v>% de AG/LF na TmarPart</v>
          </cell>
          <cell r="F26">
            <v>0.19325018044186537</v>
          </cell>
        </row>
        <row r="27">
          <cell r="B27" t="str">
            <v>Valor para AG/LF na TmarPart</v>
          </cell>
          <cell r="F27">
            <v>3543.1440961588096</v>
          </cell>
        </row>
      </sheetData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omson"/>
      <sheetName val="Analyst Detail"/>
      <sheetName val="Países"/>
      <sheetName val="Dívida Líquida"/>
      <sheetName val="Telemar"/>
      <sheetName val="Vivo"/>
      <sheetName val="Telesp"/>
      <sheetName val="TIM"/>
      <sheetName val="GVT"/>
      <sheetName val="Outras"/>
      <sheetName val="Preços"/>
      <sheetName val="Ajustes ao EV"/>
      <sheetName val="Valor de mercado"/>
      <sheetName val="Trading comps"/>
      <sheetName val="Bloomberg Source"/>
      <sheetName val="Preços (Bloomberg Linked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C2" t="str">
            <v>Data</v>
          </cell>
          <cell r="D2">
            <v>40229</v>
          </cell>
        </row>
        <row r="3">
          <cell r="C3" t="str">
            <v>Cotações - Média dos últimos</v>
          </cell>
          <cell r="D3">
            <v>1</v>
          </cell>
          <cell r="E3" t="str">
            <v>dias</v>
          </cell>
        </row>
        <row r="4">
          <cell r="B4" t="str">
            <v>Comparable analysis</v>
          </cell>
        </row>
        <row r="6">
          <cell r="AA6" t="str">
            <v>Net Revenues FY1</v>
          </cell>
          <cell r="AB6" t="str">
            <v>Net Revenues FY2</v>
          </cell>
          <cell r="AC6" t="str">
            <v>Net Revenues FY3</v>
          </cell>
          <cell r="AD6" t="str">
            <v>EBITDA FY0</v>
          </cell>
          <cell r="AE6" t="str">
            <v>EBITDA FY1</v>
          </cell>
          <cell r="AF6" t="str">
            <v>EBITDA FY2</v>
          </cell>
          <cell r="AG6" t="str">
            <v>EBITDA FY3</v>
          </cell>
          <cell r="AH6" t="str">
            <v>Net Income FY0</v>
          </cell>
          <cell r="AI6" t="str">
            <v>Net Income FY1</v>
          </cell>
          <cell r="AJ6" t="str">
            <v>Net Income FY2</v>
          </cell>
          <cell r="AK6" t="str">
            <v>Net Income FY3</v>
          </cell>
        </row>
        <row r="7">
          <cell r="I7" t="str">
            <v>Exchange rate</v>
          </cell>
          <cell r="R7" t="str">
            <v>EV/ Receita</v>
          </cell>
          <cell r="V7" t="str">
            <v>EV/ EBITDA</v>
          </cell>
          <cell r="AA7" t="str">
            <v>Net Revenues</v>
          </cell>
          <cell r="AB7" t="str">
            <v>Net Revenues</v>
          </cell>
          <cell r="AC7" t="str">
            <v>Net Revenues</v>
          </cell>
          <cell r="AD7" t="str">
            <v>EBITDA</v>
          </cell>
          <cell r="AE7" t="str">
            <v>EBITDA</v>
          </cell>
          <cell r="AF7" t="str">
            <v>EBITDA</v>
          </cell>
          <cell r="AG7" t="str">
            <v>EBITDA</v>
          </cell>
          <cell r="AH7" t="str">
            <v>Net Income</v>
          </cell>
          <cell r="AI7" t="str">
            <v>Net Income</v>
          </cell>
          <cell r="AJ7" t="str">
            <v>Net Income</v>
          </cell>
          <cell r="AK7" t="str">
            <v>Net Income</v>
          </cell>
        </row>
        <row r="8">
          <cell r="C8" t="str">
            <v>País</v>
          </cell>
          <cell r="D8" t="str">
            <v>Currency</v>
          </cell>
          <cell r="E8" t="str">
            <v>Ticker</v>
          </cell>
          <cell r="F8" t="str">
            <v>Subs (m)</v>
          </cell>
          <cell r="G8" t="str">
            <v>Market cap ($m)</v>
          </cell>
          <cell r="H8" t="str">
            <v>Bloomberg linked</v>
          </cell>
          <cell r="I8" t="str">
            <v>PV</v>
          </cell>
          <cell r="J8" t="str">
            <v>Market cap</v>
          </cell>
          <cell r="K8" t="str">
            <v>Dívida líquida ($m)</v>
          </cell>
          <cell r="L8" t="str">
            <v>Dívida líquida (US$m)</v>
          </cell>
          <cell r="M8" t="str">
            <v>EV ($m)</v>
          </cell>
          <cell r="N8" t="str">
            <v>EV</v>
          </cell>
          <cell r="P8">
            <v>2009</v>
          </cell>
          <cell r="Q8">
            <v>2010</v>
          </cell>
          <cell r="R8">
            <v>2011</v>
          </cell>
          <cell r="T8">
            <v>2009</v>
          </cell>
          <cell r="U8">
            <v>2010</v>
          </cell>
          <cell r="V8">
            <v>2011</v>
          </cell>
          <cell r="X8" t="str">
            <v>EV / Sub (US$ / sub)</v>
          </cell>
          <cell r="Y8" t="str">
            <v>Net debt/EBITDA</v>
          </cell>
          <cell r="AA8" t="str">
            <v>FY1</v>
          </cell>
          <cell r="AB8" t="str">
            <v>FY2</v>
          </cell>
          <cell r="AC8" t="str">
            <v>FY3</v>
          </cell>
          <cell r="AD8" t="str">
            <v>FY0</v>
          </cell>
          <cell r="AE8" t="str">
            <v>FY1</v>
          </cell>
          <cell r="AF8" t="str">
            <v>FY2</v>
          </cell>
          <cell r="AG8" t="str">
            <v>FY3</v>
          </cell>
          <cell r="AH8" t="str">
            <v>FY0</v>
          </cell>
          <cell r="AI8" t="str">
            <v>FY1</v>
          </cell>
          <cell r="AJ8" t="str">
            <v>FY2</v>
          </cell>
          <cell r="AK8" t="str">
            <v>FY3</v>
          </cell>
        </row>
        <row r="9">
          <cell r="B9" t="str">
            <v>Fixed</v>
          </cell>
        </row>
        <row r="10">
          <cell r="B10" t="str">
            <v>GVT</v>
          </cell>
          <cell r="C10" t="str">
            <v>Brasil</v>
          </cell>
          <cell r="D10" t="str">
            <v>BRL</v>
          </cell>
          <cell r="E10" t="str">
            <v>GVTT3</v>
          </cell>
          <cell r="G10">
            <v>7681.578359019999</v>
          </cell>
          <cell r="H10" t="e">
            <v>#NAME?</v>
          </cell>
          <cell r="I10">
            <v>1.7723</v>
          </cell>
          <cell r="J10">
            <v>4334.2427123060424</v>
          </cell>
          <cell r="K10">
            <v>235.18700000000001</v>
          </cell>
          <cell r="L10">
            <v>133.09960384833053</v>
          </cell>
          <cell r="M10">
            <v>7916.7653590199989</v>
          </cell>
          <cell r="N10">
            <v>4467.3423161543733</v>
          </cell>
          <cell r="P10">
            <v>4.7370833965721086</v>
          </cell>
          <cell r="Q10">
            <v>3.9416307488274827</v>
          </cell>
          <cell r="R10">
            <v>3.2419186564373459</v>
          </cell>
          <cell r="T10">
            <v>12.626420030334927</v>
          </cell>
          <cell r="U10">
            <v>9.9581954201509415</v>
          </cell>
          <cell r="V10">
            <v>8.1852770706596445</v>
          </cell>
          <cell r="X10" t="str">
            <v>na</v>
          </cell>
          <cell r="Y10">
            <v>0.21228006993354151</v>
          </cell>
          <cell r="AA10">
            <v>1671.232</v>
          </cell>
          <cell r="AB10">
            <v>2008.5</v>
          </cell>
          <cell r="AC10">
            <v>2442</v>
          </cell>
          <cell r="AD10">
            <v>502.68599999999998</v>
          </cell>
          <cell r="AE10">
            <v>627</v>
          </cell>
          <cell r="AF10">
            <v>795</v>
          </cell>
          <cell r="AG10">
            <v>967.19577000000004</v>
          </cell>
          <cell r="AH10">
            <v>30.617999999999999</v>
          </cell>
          <cell r="AI10">
            <v>187</v>
          </cell>
          <cell r="AJ10">
            <v>229</v>
          </cell>
          <cell r="AK10">
            <v>305.69519650000001</v>
          </cell>
        </row>
        <row r="11">
          <cell r="B11" t="str">
            <v>Telesp</v>
          </cell>
          <cell r="C11" t="str">
            <v>Brasil</v>
          </cell>
          <cell r="D11" t="str">
            <v>BRL</v>
          </cell>
          <cell r="E11" t="str">
            <v>TLPP4</v>
          </cell>
          <cell r="G11">
            <v>20382.048680000004</v>
          </cell>
          <cell r="H11" t="e">
            <v>#NAME?</v>
          </cell>
          <cell r="I11">
            <v>1.7723</v>
          </cell>
          <cell r="J11">
            <v>11500.337798341141</v>
          </cell>
          <cell r="K11">
            <v>2027.6000000000001</v>
          </cell>
          <cell r="L11">
            <v>1147.4816072439164</v>
          </cell>
          <cell r="M11">
            <v>22409.648680000002</v>
          </cell>
          <cell r="N11">
            <v>12647.819405585058</v>
          </cell>
          <cell r="P11">
            <v>1.4237316521727752</v>
          </cell>
          <cell r="Q11">
            <v>1.402794909546166</v>
          </cell>
          <cell r="R11">
            <v>1.3622472678641988</v>
          </cell>
          <cell r="T11">
            <v>3.7527981986956105</v>
          </cell>
          <cell r="U11">
            <v>3.6947295497181805</v>
          </cell>
          <cell r="V11">
            <v>3.5909603934574914</v>
          </cell>
          <cell r="X11" t="str">
            <v>na</v>
          </cell>
          <cell r="Y11">
            <v>0.33954899232606889</v>
          </cell>
          <cell r="AA11">
            <v>15740.079</v>
          </cell>
          <cell r="AB11">
            <v>15975</v>
          </cell>
          <cell r="AC11">
            <v>16450.5</v>
          </cell>
          <cell r="AD11" t="str">
            <v>--</v>
          </cell>
          <cell r="AE11">
            <v>5971.4504999999999</v>
          </cell>
          <cell r="AF11">
            <v>6065.3014999999996</v>
          </cell>
          <cell r="AG11">
            <v>6240.5725000000002</v>
          </cell>
          <cell r="AH11">
            <v>2419.971</v>
          </cell>
          <cell r="AI11">
            <v>2158</v>
          </cell>
          <cell r="AJ11">
            <v>2348</v>
          </cell>
          <cell r="AK11">
            <v>2505.3575000000001</v>
          </cell>
        </row>
        <row r="12">
          <cell r="B12" t="str">
            <v>Telmex</v>
          </cell>
          <cell r="C12" t="str">
            <v>México</v>
          </cell>
          <cell r="D12" t="str">
            <v>MXN</v>
          </cell>
          <cell r="E12" t="str">
            <v>TELMEXL</v>
          </cell>
          <cell r="G12">
            <v>194545.66829</v>
          </cell>
          <cell r="H12" t="e">
            <v>#NAME?</v>
          </cell>
          <cell r="I12">
            <v>12.6968</v>
          </cell>
          <cell r="J12">
            <v>15322.417324837756</v>
          </cell>
          <cell r="K12">
            <v>6484</v>
          </cell>
          <cell r="L12">
            <v>6484</v>
          </cell>
          <cell r="M12">
            <v>201029.66829</v>
          </cell>
          <cell r="N12">
            <v>21806.417324837756</v>
          </cell>
          <cell r="P12">
            <v>0.18360051969620325</v>
          </cell>
          <cell r="Q12">
            <v>0.1836221639552848</v>
          </cell>
          <cell r="R12">
            <v>0.1959019783406753</v>
          </cell>
          <cell r="T12">
            <v>3.7920824758078209</v>
          </cell>
          <cell r="U12">
            <v>3.8281157080016759</v>
          </cell>
          <cell r="V12">
            <v>4.3237235722365002</v>
          </cell>
          <cell r="X12" t="str">
            <v>na</v>
          </cell>
          <cell r="Y12">
            <v>0.12230962216814743</v>
          </cell>
          <cell r="AA12">
            <v>118771</v>
          </cell>
          <cell r="AB12">
            <v>118757</v>
          </cell>
          <cell r="AC12">
            <v>111312.9</v>
          </cell>
          <cell r="AD12">
            <v>56736.427000000003</v>
          </cell>
          <cell r="AE12">
            <v>53013</v>
          </cell>
          <cell r="AF12">
            <v>52514</v>
          </cell>
          <cell r="AG12">
            <v>46494.57</v>
          </cell>
          <cell r="AH12">
            <v>20176.936000000002</v>
          </cell>
          <cell r="AI12">
            <v>20425.13</v>
          </cell>
          <cell r="AJ12">
            <v>19333</v>
          </cell>
          <cell r="AK12">
            <v>17277.28</v>
          </cell>
        </row>
        <row r="14">
          <cell r="B14" t="str">
            <v>Integrated</v>
          </cell>
        </row>
        <row r="15">
          <cell r="B15" t="str">
            <v>Oi</v>
          </cell>
          <cell r="C15" t="str">
            <v>Brasil</v>
          </cell>
          <cell r="D15" t="str">
            <v>BRL</v>
          </cell>
          <cell r="E15" t="str">
            <v>TMAR5</v>
          </cell>
          <cell r="G15">
            <v>23359.739479185188</v>
          </cell>
          <cell r="H15" t="e">
            <v>#NAME?</v>
          </cell>
          <cell r="I15">
            <v>1.7723</v>
          </cell>
          <cell r="J15">
            <v>13180.465767186812</v>
          </cell>
          <cell r="K15">
            <v>23767</v>
          </cell>
          <cell r="L15">
            <v>13450.48104131296</v>
          </cell>
          <cell r="M15">
            <v>47126.739479185184</v>
          </cell>
          <cell r="N15">
            <v>26630.946808499772</v>
          </cell>
          <cell r="P15">
            <v>1.5750010975868645</v>
          </cell>
          <cell r="Q15">
            <v>1.514831662904591</v>
          </cell>
          <cell r="R15">
            <v>1.467459853934677</v>
          </cell>
          <cell r="T15">
            <v>5.0188220957598704</v>
          </cell>
          <cell r="U15">
            <v>4.3676310916761061</v>
          </cell>
          <cell r="V15">
            <v>4.1974383860329709</v>
          </cell>
          <cell r="X15" t="str">
            <v>na</v>
          </cell>
          <cell r="Y15">
            <v>2.5310969116080937</v>
          </cell>
          <cell r="AA15">
            <v>29921.718499999999</v>
          </cell>
          <cell r="AB15">
            <v>31110.215499999998</v>
          </cell>
          <cell r="AC15">
            <v>32114.5</v>
          </cell>
          <cell r="AD15">
            <v>6109</v>
          </cell>
          <cell r="AE15">
            <v>9390</v>
          </cell>
          <cell r="AF15">
            <v>10790</v>
          </cell>
          <cell r="AG15">
            <v>11227.5</v>
          </cell>
          <cell r="AH15">
            <v>1520.548</v>
          </cell>
          <cell r="AI15">
            <v>1668.1690000000001</v>
          </cell>
          <cell r="AJ15">
            <v>1900.088</v>
          </cell>
          <cell r="AK15">
            <v>1505</v>
          </cell>
        </row>
        <row r="16">
          <cell r="B16" t="str">
            <v>Telecom Argentina</v>
          </cell>
          <cell r="C16" t="str">
            <v>EUA</v>
          </cell>
          <cell r="D16" t="str">
            <v>USD</v>
          </cell>
          <cell r="E16" t="str">
            <v>TEO</v>
          </cell>
          <cell r="G16">
            <v>3543.7733999999996</v>
          </cell>
          <cell r="H16">
            <v>1</v>
          </cell>
          <cell r="I16">
            <v>1</v>
          </cell>
          <cell r="J16">
            <v>3543.7733999999996</v>
          </cell>
          <cell r="K16">
            <v>222</v>
          </cell>
          <cell r="L16">
            <v>58.488776478027191</v>
          </cell>
          <cell r="M16">
            <v>3602.262176478027</v>
          </cell>
          <cell r="N16">
            <v>3602.262176478027</v>
          </cell>
          <cell r="P16">
            <v>1.1301216049712315</v>
          </cell>
          <cell r="Q16">
            <v>1.0986707041283548</v>
          </cell>
          <cell r="R16">
            <v>1.089662264516992</v>
          </cell>
          <cell r="T16">
            <v>3.5243673656745407</v>
          </cell>
          <cell r="U16">
            <v>3.352597586787545</v>
          </cell>
          <cell r="V16">
            <v>3.2847724913286558</v>
          </cell>
          <cell r="X16" t="str">
            <v>na</v>
          </cell>
          <cell r="Y16">
            <v>0.21719950321459358</v>
          </cell>
          <cell r="AA16">
            <v>3187.4996112208</v>
          </cell>
          <cell r="AB16">
            <v>3278.7460000000001</v>
          </cell>
          <cell r="AC16">
            <v>3305.8519999999999</v>
          </cell>
          <cell r="AD16">
            <v>1052.6010000000001</v>
          </cell>
          <cell r="AE16">
            <v>1022.10178529121</v>
          </cell>
          <cell r="AF16">
            <v>1074.4690000000001</v>
          </cell>
          <cell r="AG16">
            <v>1096.655</v>
          </cell>
          <cell r="AH16">
            <v>303.76900000000001</v>
          </cell>
          <cell r="AI16">
            <v>375.16683119447202</v>
          </cell>
          <cell r="AJ16">
            <v>505.70850000000002</v>
          </cell>
          <cell r="AK16">
            <v>545.03339914445496</v>
          </cell>
        </row>
        <row r="18">
          <cell r="B18" t="str">
            <v>Mobile</v>
          </cell>
        </row>
        <row r="19">
          <cell r="B19" t="str">
            <v>Tim</v>
          </cell>
          <cell r="C19" t="str">
            <v>Brasil</v>
          </cell>
          <cell r="D19" t="str">
            <v>BRL</v>
          </cell>
          <cell r="E19" t="str">
            <v>TCSL4</v>
          </cell>
          <cell r="F19">
            <v>39.6</v>
          </cell>
          <cell r="G19">
            <v>13789.82977</v>
          </cell>
          <cell r="H19" t="e">
            <v>#NAME?</v>
          </cell>
          <cell r="I19">
            <v>1.7723</v>
          </cell>
          <cell r="J19">
            <v>7780.7536929413754</v>
          </cell>
          <cell r="K19">
            <v>2564.5659999999998</v>
          </cell>
          <cell r="L19">
            <v>1451.3672891907188</v>
          </cell>
          <cell r="M19">
            <v>16354.395769999999</v>
          </cell>
          <cell r="N19">
            <v>9232.1209821320936</v>
          </cell>
          <cell r="P19">
            <v>1.2304864773154767</v>
          </cell>
          <cell r="Q19">
            <v>1.0991596054842394</v>
          </cell>
          <cell r="R19">
            <v>1.0519212097019857</v>
          </cell>
          <cell r="T19">
            <v>5.4155735430103649</v>
          </cell>
          <cell r="U19">
            <v>4.3605907932275692</v>
          </cell>
          <cell r="V19">
            <v>3.9956989420962619</v>
          </cell>
          <cell r="X19">
            <v>233.13436823565891</v>
          </cell>
          <cell r="Y19">
            <v>0.8492270808549669</v>
          </cell>
          <cell r="AA19">
            <v>13291</v>
          </cell>
          <cell r="AB19">
            <v>14879</v>
          </cell>
          <cell r="AC19">
            <v>15547.168</v>
          </cell>
          <cell r="AD19">
            <v>2899.4180000000001</v>
          </cell>
          <cell r="AE19">
            <v>3019.8825000000002</v>
          </cell>
          <cell r="AF19">
            <v>3750.5</v>
          </cell>
          <cell r="AG19">
            <v>4093</v>
          </cell>
          <cell r="AH19">
            <v>180.15199999999999</v>
          </cell>
          <cell r="AI19">
            <v>84.601500000000001</v>
          </cell>
          <cell r="AJ19">
            <v>618.5</v>
          </cell>
          <cell r="AK19">
            <v>952.02200000000005</v>
          </cell>
        </row>
        <row r="20">
          <cell r="B20" t="str">
            <v>Vivo</v>
          </cell>
          <cell r="C20" t="str">
            <v>Brasil</v>
          </cell>
          <cell r="D20" t="str">
            <v>BRL</v>
          </cell>
          <cell r="E20" t="str">
            <v>VIVO4</v>
          </cell>
          <cell r="F20">
            <v>48.847000000000001</v>
          </cell>
          <cell r="G20">
            <v>20182.65812</v>
          </cell>
          <cell r="H20" t="e">
            <v>#NAME?</v>
          </cell>
          <cell r="I20">
            <v>1.7723</v>
          </cell>
          <cell r="J20">
            <v>11387.833955876546</v>
          </cell>
          <cell r="K20">
            <v>4630.3999999999996</v>
          </cell>
          <cell r="L20">
            <v>2620.486700622524</v>
          </cell>
          <cell r="M20">
            <v>24813.058120000002</v>
          </cell>
          <cell r="N20">
            <v>14008.320656499069</v>
          </cell>
          <cell r="P20">
            <v>1.5229927679955848</v>
          </cell>
          <cell r="Q20">
            <v>1.4039985159397566</v>
          </cell>
          <cell r="R20">
            <v>1.3364064264555395</v>
          </cell>
          <cell r="T20">
            <v>4.8786980180888717</v>
          </cell>
          <cell r="U20">
            <v>4.4461503556123532</v>
          </cell>
          <cell r="V20">
            <v>4.1060525236906669</v>
          </cell>
          <cell r="X20">
            <v>286.77954954242978</v>
          </cell>
          <cell r="Y20">
            <v>0.91042076287848994</v>
          </cell>
          <cell r="AA20">
            <v>16292.302</v>
          </cell>
          <cell r="AB20">
            <v>17673.136999999999</v>
          </cell>
          <cell r="AC20">
            <v>18567</v>
          </cell>
          <cell r="AD20">
            <v>4867.5</v>
          </cell>
          <cell r="AE20">
            <v>5086</v>
          </cell>
          <cell r="AF20">
            <v>5580.7960000000003</v>
          </cell>
          <cell r="AG20">
            <v>6043.0445</v>
          </cell>
          <cell r="AH20">
            <v>389.68299999999999</v>
          </cell>
          <cell r="AI20">
            <v>865.50750000000005</v>
          </cell>
          <cell r="AJ20">
            <v>1361</v>
          </cell>
          <cell r="AK20">
            <v>1971.3030000000001</v>
          </cell>
        </row>
        <row r="21">
          <cell r="B21" t="str">
            <v>Entel</v>
          </cell>
          <cell r="C21" t="str">
            <v>Chile</v>
          </cell>
          <cell r="D21" t="str">
            <v>CLP</v>
          </cell>
          <cell r="E21" t="str">
            <v>ENTEL</v>
          </cell>
          <cell r="F21">
            <v>6.1260000000000003</v>
          </cell>
          <cell r="G21">
            <v>1778944.3088</v>
          </cell>
          <cell r="H21" t="e">
            <v>#NAME?</v>
          </cell>
          <cell r="I21">
            <v>489</v>
          </cell>
          <cell r="J21">
            <v>3637.9229218813907</v>
          </cell>
          <cell r="K21">
            <v>377000</v>
          </cell>
          <cell r="L21">
            <v>685.82863380025458</v>
          </cell>
          <cell r="M21">
            <v>2155944.3087999998</v>
          </cell>
          <cell r="N21">
            <v>4323.7515556816452</v>
          </cell>
          <cell r="P21">
            <v>2.1850292329193897</v>
          </cell>
          <cell r="Q21">
            <v>2.0797786549002431</v>
          </cell>
          <cell r="R21">
            <v>2.0171143935495577</v>
          </cell>
          <cell r="T21">
            <v>5.3239634148329049</v>
          </cell>
          <cell r="U21">
            <v>5.1271336271126779</v>
          </cell>
          <cell r="V21">
            <v>4.8171928821678813</v>
          </cell>
          <cell r="X21">
            <v>705.80338812955358</v>
          </cell>
          <cell r="Y21">
            <v>0.93097683423426536</v>
          </cell>
          <cell r="AA21">
            <v>986.68899999999996</v>
          </cell>
          <cell r="AB21">
            <v>1036.6220000000001</v>
          </cell>
          <cell r="AC21">
            <v>1068.826</v>
          </cell>
          <cell r="AD21" t="str">
            <v>--</v>
          </cell>
          <cell r="AE21">
            <v>404.95100000000002</v>
          </cell>
          <cell r="AF21">
            <v>420.49700000000001</v>
          </cell>
          <cell r="AG21">
            <v>447.55200000000002</v>
          </cell>
          <cell r="AH21">
            <v>153.51</v>
          </cell>
          <cell r="AI21">
            <v>138</v>
          </cell>
          <cell r="AJ21">
            <v>147.52760000000001</v>
          </cell>
          <cell r="AK21">
            <v>158.97900000000001</v>
          </cell>
        </row>
        <row r="22">
          <cell r="B22" t="str">
            <v>America Movil</v>
          </cell>
          <cell r="C22" t="str">
            <v>México</v>
          </cell>
          <cell r="D22" t="str">
            <v>MXN</v>
          </cell>
          <cell r="E22" t="str">
            <v>AMXL</v>
          </cell>
          <cell r="F22">
            <v>194.3</v>
          </cell>
          <cell r="G22">
            <v>957178.23635000002</v>
          </cell>
          <cell r="H22" t="e">
            <v>#NAME?</v>
          </cell>
          <cell r="I22">
            <v>12.6968</v>
          </cell>
          <cell r="J22">
            <v>75387.360307321534</v>
          </cell>
          <cell r="K22">
            <v>88800</v>
          </cell>
          <cell r="L22">
            <v>6572.1792547089517</v>
          </cell>
          <cell r="M22">
            <v>1045978.23635</v>
          </cell>
          <cell r="N22">
            <v>81959.539562030492</v>
          </cell>
          <cell r="P22">
            <v>0.21225562900643941</v>
          </cell>
          <cell r="Q22">
            <v>0.19531894304602626</v>
          </cell>
          <cell r="R22">
            <v>0.17886383782264154</v>
          </cell>
          <cell r="T22">
            <v>6.6971766097584764</v>
          </cell>
          <cell r="U22">
            <v>6.1996019153375181</v>
          </cell>
          <cell r="V22">
            <v>5.6700662186444166</v>
          </cell>
          <cell r="X22">
            <v>421.81955513139724</v>
          </cell>
          <cell r="Y22">
            <v>0.56856754976262625</v>
          </cell>
          <cell r="AA22">
            <v>386136</v>
          </cell>
          <cell r="AB22">
            <v>419619</v>
          </cell>
          <cell r="AC22">
            <v>458223.08500000002</v>
          </cell>
          <cell r="AD22">
            <v>138441.1</v>
          </cell>
          <cell r="AE22">
            <v>156181.97</v>
          </cell>
          <cell r="AF22">
            <v>168717</v>
          </cell>
          <cell r="AG22">
            <v>184473.72500000001</v>
          </cell>
          <cell r="AH22">
            <v>60111.930999999997</v>
          </cell>
          <cell r="AI22">
            <v>75307</v>
          </cell>
          <cell r="AJ22">
            <v>79187.23</v>
          </cell>
          <cell r="AK22">
            <v>85534.87</v>
          </cell>
        </row>
        <row r="23">
          <cell r="B23" t="str">
            <v>NII Holdings</v>
          </cell>
          <cell r="C23" t="str">
            <v>EUA</v>
          </cell>
          <cell r="D23" t="str">
            <v>USD</v>
          </cell>
          <cell r="E23" t="str">
            <v>NIHD</v>
          </cell>
          <cell r="F23">
            <v>7.0374999999999996</v>
          </cell>
          <cell r="G23">
            <v>6139.9451599999993</v>
          </cell>
          <cell r="H23">
            <v>1</v>
          </cell>
          <cell r="I23">
            <v>1</v>
          </cell>
          <cell r="J23">
            <v>6139.9451599999993</v>
          </cell>
          <cell r="K23">
            <v>890</v>
          </cell>
          <cell r="L23">
            <v>890</v>
          </cell>
          <cell r="M23">
            <v>7029.9451599999993</v>
          </cell>
          <cell r="N23">
            <v>7029.9451599999993</v>
          </cell>
          <cell r="P23">
            <v>1.6034398180777274</v>
          </cell>
          <cell r="Q23">
            <v>1.3355484663490453</v>
          </cell>
          <cell r="R23">
            <v>1.2021913845470857</v>
          </cell>
          <cell r="T23">
            <v>6.2717193745003996</v>
          </cell>
          <cell r="U23">
            <v>5.1661087103256467</v>
          </cell>
          <cell r="V23">
            <v>4.4056219182340275</v>
          </cell>
          <cell r="X23">
            <v>998.92648809946706</v>
          </cell>
          <cell r="Y23">
            <v>0.79400765102203952</v>
          </cell>
          <cell r="AA23">
            <v>4384.29</v>
          </cell>
          <cell r="AB23">
            <v>5263.7139999999999</v>
          </cell>
          <cell r="AC23">
            <v>5847.6090000000004</v>
          </cell>
          <cell r="AD23">
            <v>1172.4000000000001</v>
          </cell>
          <cell r="AE23">
            <v>1120.896</v>
          </cell>
          <cell r="AF23">
            <v>1360.7815000000001</v>
          </cell>
          <cell r="AG23">
            <v>1595.6759999999999</v>
          </cell>
          <cell r="AH23">
            <v>369.1</v>
          </cell>
          <cell r="AI23">
            <v>413.2</v>
          </cell>
          <cell r="AJ23">
            <v>432.02949999999998</v>
          </cell>
          <cell r="AK23">
            <v>531.10799999999995</v>
          </cell>
        </row>
        <row r="25">
          <cell r="B25" t="str">
            <v>Median</v>
          </cell>
          <cell r="P25">
            <v>1.4237316521727752</v>
          </cell>
          <cell r="Q25">
            <v>1.3355484663490453</v>
          </cell>
          <cell r="R25">
            <v>1.2021913845470857</v>
          </cell>
          <cell r="T25">
            <v>5.0188220957598704</v>
          </cell>
          <cell r="U25">
            <v>4.3676310916761061</v>
          </cell>
          <cell r="V25">
            <v>4.1974383860329709</v>
          </cell>
          <cell r="X25">
            <v>421.81955513139724</v>
          </cell>
          <cell r="Y25">
            <v>0.79400765102203952</v>
          </cell>
        </row>
        <row r="26">
          <cell r="B26" t="str">
            <v>Average</v>
          </cell>
          <cell r="P26">
            <v>1.2296287555268546</v>
          </cell>
          <cell r="Q26">
            <v>1.1459692918059676</v>
          </cell>
          <cell r="R26">
            <v>1.1001965129703726</v>
          </cell>
          <cell r="T26">
            <v>4.9639112329032065</v>
          </cell>
          <cell r="U26">
            <v>4.5047399264221415</v>
          </cell>
          <cell r="V26">
            <v>4.2657252586543191</v>
          </cell>
          <cell r="X26">
            <v>529.29266982770127</v>
          </cell>
          <cell r="Y26">
            <v>0.8070394342299213</v>
          </cell>
          <cell r="AM26">
            <v>2.558139534883721</v>
          </cell>
        </row>
        <row r="27">
          <cell r="B27" t="str">
            <v>Min.</v>
          </cell>
          <cell r="P27">
            <v>0.18360051969620325</v>
          </cell>
          <cell r="Q27">
            <v>0.1836221639552848</v>
          </cell>
          <cell r="R27">
            <v>0.17886383782264154</v>
          </cell>
          <cell r="T27">
            <v>3.5243673656745407</v>
          </cell>
          <cell r="U27">
            <v>3.352597586787545</v>
          </cell>
          <cell r="V27">
            <v>3.2847724913286558</v>
          </cell>
          <cell r="X27">
            <v>233.13436823565891</v>
          </cell>
          <cell r="Y27">
            <v>0.12230962216814743</v>
          </cell>
        </row>
        <row r="28">
          <cell r="B28" t="str">
            <v>Max.</v>
          </cell>
          <cell r="P28">
            <v>2.1850292329193897</v>
          </cell>
          <cell r="Q28">
            <v>2.0797786549002431</v>
          </cell>
          <cell r="R28">
            <v>2.0171143935495577</v>
          </cell>
          <cell r="T28">
            <v>6.6971766097584764</v>
          </cell>
          <cell r="U28">
            <v>6.1996019153375181</v>
          </cell>
          <cell r="V28">
            <v>5.6700662186444166</v>
          </cell>
          <cell r="X28">
            <v>998.92648809946706</v>
          </cell>
          <cell r="Y28">
            <v>2.5310969116080937</v>
          </cell>
        </row>
      </sheetData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turas acionárias"/>
      <sheetName val="Preços"/>
      <sheetName val="Contas"/>
      <sheetName val="TmarPart Estratégico"/>
      <sheetName val="Resumo Aval TmarPart"/>
      <sheetName val="Dívida líquida TMAR"/>
      <sheetName val="Avaliação TMar-&gt;TNL"/>
      <sheetName val="Avaliação das Participações"/>
      <sheetName val="Sensibilidade Conversão ON-PN"/>
      <sheetName val="Quadros Avaliação JP"/>
    </sheetNames>
    <sheetDataSet>
      <sheetData sheetId="0"/>
      <sheetData sheetId="1"/>
      <sheetData sheetId="2"/>
      <sheetData sheetId="3"/>
      <sheetData sheetId="4">
        <row r="7">
          <cell r="B7" t="str">
            <v>Múltiplo EV/EBITDA 2009E</v>
          </cell>
          <cell r="F7">
            <v>6</v>
          </cell>
        </row>
        <row r="8">
          <cell r="B8" t="str">
            <v>EBITDA 2009E Tmar + BrT ¹</v>
          </cell>
          <cell r="F8">
            <v>10638</v>
          </cell>
        </row>
        <row r="9">
          <cell r="B9" t="str">
            <v>Enterprise value</v>
          </cell>
          <cell r="F9">
            <v>63828</v>
          </cell>
        </row>
        <row r="10">
          <cell r="B10" t="str">
            <v>(-) Dívida TMAR²</v>
          </cell>
          <cell r="F10">
            <v>-23460.127892152232</v>
          </cell>
        </row>
        <row r="11">
          <cell r="B11" t="str">
            <v>Equity TMAR</v>
          </cell>
          <cell r="F11">
            <v>40367.872107847768</v>
          </cell>
        </row>
        <row r="12">
          <cell r="B12" t="str">
            <v>Minoritários ON³</v>
          </cell>
          <cell r="F12">
            <v>4021.3644845302579</v>
          </cell>
        </row>
        <row r="13">
          <cell r="B13" t="str">
            <v>Minoritários PN4</v>
          </cell>
          <cell r="F13">
            <v>5345.8903060851808</v>
          </cell>
        </row>
        <row r="14">
          <cell r="B14" t="str">
            <v>TNL</v>
          </cell>
          <cell r="F14">
            <v>31000.617317232329</v>
          </cell>
        </row>
        <row r="16">
          <cell r="B16" t="str">
            <v>(-) Dívida da TNL</v>
          </cell>
          <cell r="F16">
            <v>511.68692743813187</v>
          </cell>
        </row>
        <row r="17">
          <cell r="B17" t="str">
            <v>Equity da TNL</v>
          </cell>
          <cell r="F17">
            <v>31512.30424467046</v>
          </cell>
        </row>
        <row r="18">
          <cell r="B18" t="str">
            <v>Minoritários ON³</v>
          </cell>
          <cell r="F18">
            <v>7259.8360312157138</v>
          </cell>
        </row>
        <row r="19">
          <cell r="B19" t="str">
            <v>Minoritários PN4</v>
          </cell>
          <cell r="F19">
            <v>11937.77691262671</v>
          </cell>
        </row>
        <row r="20">
          <cell r="B20" t="str">
            <v>TmarPart</v>
          </cell>
          <cell r="F20">
            <v>12314.691300828033</v>
          </cell>
        </row>
        <row r="22">
          <cell r="B22" t="str">
            <v>Valor da TmarPart na Tmar</v>
          </cell>
          <cell r="F22">
            <v>0</v>
          </cell>
        </row>
        <row r="23">
          <cell r="B23" t="str">
            <v>(+) Valor na TmarPart na TNL</v>
          </cell>
          <cell r="F23">
            <v>12314.691300828033</v>
          </cell>
        </row>
        <row r="24">
          <cell r="B24" t="str">
            <v>EV da TmarPart</v>
          </cell>
          <cell r="F24">
            <v>12314.691300828033</v>
          </cell>
        </row>
        <row r="25">
          <cell r="B25" t="str">
            <v>(-) Dívida líquida da TmarPart</v>
          </cell>
          <cell r="F25">
            <v>-2081.0169999999998</v>
          </cell>
        </row>
        <row r="26">
          <cell r="B26" t="str">
            <v>Equity da TmarPart</v>
          </cell>
          <cell r="F26">
            <v>10233.674300828034</v>
          </cell>
        </row>
        <row r="28">
          <cell r="B28" t="str">
            <v>% de AG/LF na TmarPart</v>
          </cell>
          <cell r="F28">
            <v>0.19325018044186537</v>
          </cell>
        </row>
        <row r="29">
          <cell r="B29" t="str">
            <v>Valor para AG/LF na TmarPart</v>
          </cell>
          <cell r="F29">
            <v>1977.6594052182979</v>
          </cell>
        </row>
        <row r="30">
          <cell r="B30" t="str">
            <v>Valor das PNs de TNL detidas por AG/LF</v>
          </cell>
          <cell r="F30">
            <v>444.02877250000006</v>
          </cell>
        </row>
        <row r="31">
          <cell r="B31" t="str">
            <v>Dívida BNDES AG/LF</v>
          </cell>
          <cell r="F31">
            <v>-720.947</v>
          </cell>
        </row>
        <row r="32">
          <cell r="B32" t="str">
            <v>Equity AG/LF</v>
          </cell>
          <cell r="F32">
            <v>1700.7411777182979</v>
          </cell>
        </row>
      </sheetData>
      <sheetData sheetId="5"/>
      <sheetData sheetId="6">
        <row r="3">
          <cell r="A3" t="str">
            <v>Avaliação da TNL</v>
          </cell>
        </row>
        <row r="5">
          <cell r="A5" t="str">
            <v>Preço TNLP4</v>
          </cell>
          <cell r="D5">
            <v>31.135333333333335</v>
          </cell>
        </row>
        <row r="6">
          <cell r="A6" t="str">
            <v># ações total</v>
          </cell>
          <cell r="D6">
            <v>382.42399999999998</v>
          </cell>
        </row>
        <row r="7">
          <cell r="A7" t="str">
            <v>Valor mercado</v>
          </cell>
          <cell r="D7">
            <v>11906.898714666666</v>
          </cell>
        </row>
        <row r="8">
          <cell r="A8" t="str">
            <v>Caixa líquido TNL</v>
          </cell>
          <cell r="D8">
            <v>274.10367575856537</v>
          </cell>
        </row>
        <row r="10">
          <cell r="A10" t="str">
            <v>Valor da empresa</v>
          </cell>
          <cell r="D10">
            <v>11632.7950389081</v>
          </cell>
        </row>
        <row r="12">
          <cell r="A12" t="str">
            <v># ações TMAR detidas pela TNL</v>
          </cell>
          <cell r="D12">
            <v>195.47764600000002</v>
          </cell>
        </row>
        <row r="13">
          <cell r="A13" t="str">
            <v>Valor implícito TMAR</v>
          </cell>
          <cell r="D13">
            <v>59.509592410930189</v>
          </cell>
        </row>
        <row r="15">
          <cell r="A15" t="str">
            <v>Preço TMAR5</v>
          </cell>
          <cell r="D15">
            <v>53.244666666666681</v>
          </cell>
        </row>
        <row r="17">
          <cell r="A17" t="str">
            <v>Prêmio / desconto de holding</v>
          </cell>
          <cell r="D17">
            <v>0.1176629723965501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aliação das Participações"/>
      <sheetName val="Analyst Detail"/>
      <sheetName val="Dívida líquida TMAR"/>
      <sheetName val="Estruturas acionárias"/>
      <sheetName val="Preços de mercado"/>
      <sheetName val="TmarPart Estratégico"/>
      <sheetName val="Resumo Aval TmarPart"/>
      <sheetName val="Parceiro"/>
      <sheetName val="Composição JP"/>
      <sheetName val="Dividendos"/>
      <sheetName val="Desconto de holding"/>
      <sheetName val="Avaliação JP"/>
      <sheetName val="Quadros Avaliação JP"/>
      <sheetName val="Sensibilidade Conversão ON-PN"/>
      <sheetName val="TNL Implícito"/>
      <sheetName val="Fluxo para JP"/>
      <sheetName val="Análises de sensibilidade"/>
      <sheetName val="CF JP"/>
      <sheetName val="FS Consol"/>
    </sheetNames>
    <sheetDataSet>
      <sheetData sheetId="0">
        <row r="2">
          <cell r="B2" t="str">
            <v>Natureza da avaliação</v>
          </cell>
        </row>
        <row r="3">
          <cell r="B3" t="str">
            <v>Tipo de avaliação</v>
          </cell>
          <cell r="D3">
            <v>1</v>
          </cell>
          <cell r="E3" t="str">
            <v>(1=mercado; 2 = estratégico)</v>
          </cell>
        </row>
        <row r="5">
          <cell r="B5" t="str">
            <v>Parâmetros</v>
          </cell>
        </row>
        <row r="6">
          <cell r="B6" t="str">
            <v>Avaliações a mercado</v>
          </cell>
        </row>
        <row r="7">
          <cell r="B7" t="str">
            <v>Preço da ação como média das últimas x cotações</v>
          </cell>
          <cell r="D7">
            <v>30</v>
          </cell>
        </row>
        <row r="8">
          <cell r="B8" t="str">
            <v>Desconto de holding</v>
          </cell>
          <cell r="D8">
            <v>0</v>
          </cell>
        </row>
        <row r="9">
          <cell r="B9" t="str">
            <v>Prêmio para PNs</v>
          </cell>
          <cell r="D9">
            <v>0.25</v>
          </cell>
        </row>
        <row r="10">
          <cell r="B10" t="str">
            <v>Avaliações estratégicas</v>
          </cell>
        </row>
        <row r="11">
          <cell r="B11" t="str">
            <v>Múltiplo EV / EBITDA 09E TMAR</v>
          </cell>
          <cell r="D11">
            <v>6</v>
          </cell>
        </row>
        <row r="12">
          <cell r="B12" t="str">
            <v>EBITDA 09E TMAR + BrT (R$MM)</v>
          </cell>
          <cell r="D12" t="e">
            <v>#NAME?</v>
          </cell>
        </row>
        <row r="13">
          <cell r="B13" t="str">
            <v>Preço IESC em avaliação estratégica</v>
          </cell>
          <cell r="C13" t="str">
            <v>R$ / ação</v>
          </cell>
          <cell r="D13">
            <v>27.056398327</v>
          </cell>
        </row>
        <row r="15">
          <cell r="B15" t="str">
            <v>Transação</v>
          </cell>
        </row>
        <row r="16">
          <cell r="B16" t="str">
            <v>Parceiro</v>
          </cell>
        </row>
        <row r="17">
          <cell r="B17" t="str">
            <v>Valor do aporte na Tmar</v>
          </cell>
          <cell r="C17" t="str">
            <v>R$MM</v>
          </cell>
          <cell r="D17">
            <v>3500</v>
          </cell>
        </row>
        <row r="18">
          <cell r="B18" t="str">
            <v>Participação adquirida</v>
          </cell>
          <cell r="C18" t="str">
            <v>%</v>
          </cell>
          <cell r="D18">
            <v>0.33</v>
          </cell>
        </row>
        <row r="21">
          <cell r="B21" t="str">
            <v>Principais dados / premissas</v>
          </cell>
          <cell r="F21" t="str">
            <v>Avaliação das participações diretas e indiretas</v>
          </cell>
        </row>
        <row r="22">
          <cell r="B22" t="str">
            <v>Preços por ação em mercado</v>
          </cell>
          <cell r="F22" t="str">
            <v>TmarPart</v>
          </cell>
          <cell r="L22" t="str">
            <v>LFTel</v>
          </cell>
        </row>
        <row r="23">
          <cell r="F23" t="str">
            <v>Ações TmarPart</v>
          </cell>
          <cell r="L23" t="str">
            <v>Preço por ação - TNLP4</v>
          </cell>
          <cell r="P23">
            <v>31.019310344827588</v>
          </cell>
        </row>
        <row r="24">
          <cell r="B24" t="str">
            <v>TMAR3</v>
          </cell>
          <cell r="C24" t="str">
            <v>R$ / ação</v>
          </cell>
          <cell r="D24">
            <v>58.727333333333334</v>
          </cell>
          <cell r="F24" t="str">
            <v>TMAR - ONs</v>
          </cell>
          <cell r="J24">
            <v>0</v>
          </cell>
          <cell r="L24" t="str">
            <v>Número de TNLP4  detidas pala LF Tel</v>
          </cell>
          <cell r="P24">
            <v>11.409000000000001</v>
          </cell>
        </row>
        <row r="25">
          <cell r="B25" t="str">
            <v>TMAR5</v>
          </cell>
          <cell r="C25" t="str">
            <v>R$ / ação</v>
          </cell>
          <cell r="D25">
            <v>53.066896551724149</v>
          </cell>
          <cell r="F25" t="str">
            <v>TMAR - PNs</v>
          </cell>
          <cell r="J25">
            <v>13.079176</v>
          </cell>
          <cell r="L25" t="str">
            <v>Valor das ações da LF Tel na TNL</v>
          </cell>
          <cell r="P25">
            <v>353.89931172413799</v>
          </cell>
        </row>
        <row r="26">
          <cell r="B26" t="str">
            <v>TNLP3</v>
          </cell>
          <cell r="C26" t="str">
            <v>R$ / ação</v>
          </cell>
          <cell r="D26">
            <v>36.48931034482758</v>
          </cell>
          <cell r="F26" t="str">
            <v>TNL - ONs</v>
          </cell>
          <cell r="J26">
            <v>68.504187000000002</v>
          </cell>
        </row>
        <row r="27">
          <cell r="B27" t="str">
            <v>TNLP4</v>
          </cell>
          <cell r="C27" t="str">
            <v>R$ / ação</v>
          </cell>
          <cell r="D27">
            <v>31.019310344827588</v>
          </cell>
          <cell r="F27" t="str">
            <v>TNL - PNs</v>
          </cell>
          <cell r="J27">
            <v>0</v>
          </cell>
          <cell r="L27" t="str">
            <v>La Fonte Telecom</v>
          </cell>
        </row>
        <row r="28">
          <cell r="B28" t="str">
            <v>IGTA3</v>
          </cell>
          <cell r="C28" t="str">
            <v>R$ / ação</v>
          </cell>
          <cell r="D28">
            <v>23.991379310344829</v>
          </cell>
          <cell r="L28" t="str">
            <v>TNL ON</v>
          </cell>
        </row>
        <row r="29">
          <cell r="B29" t="str">
            <v>CTAX3</v>
          </cell>
          <cell r="C29" t="str">
            <v>R$ / ação</v>
          </cell>
          <cell r="D29">
            <v>79.748750000000001</v>
          </cell>
          <cell r="F29" t="str">
            <v>Valor das participações TmarPart</v>
          </cell>
          <cell r="L29" t="str">
            <v>Número de ações</v>
          </cell>
          <cell r="P29">
            <v>590.0516795865633</v>
          </cell>
        </row>
        <row r="30">
          <cell r="B30" t="str">
            <v>CTAX4</v>
          </cell>
          <cell r="C30" t="str">
            <v>R$ / ação</v>
          </cell>
          <cell r="D30">
            <v>76.81241379310346</v>
          </cell>
          <cell r="F30" t="str">
            <v>TMAR - ONs</v>
          </cell>
          <cell r="H30" t="str">
            <v>R$ MM</v>
          </cell>
          <cell r="J30">
            <v>0</v>
          </cell>
          <cell r="L30" t="str">
            <v>Valor ajustado</v>
          </cell>
          <cell r="P30">
            <v>21.530578855920876</v>
          </cell>
        </row>
        <row r="31">
          <cell r="F31" t="str">
            <v>TMAR - PNs</v>
          </cell>
          <cell r="H31" t="str">
            <v>R$ MM</v>
          </cell>
          <cell r="J31">
            <v>694.07127977379332</v>
          </cell>
        </row>
        <row r="32">
          <cell r="B32" t="str">
            <v>Participações</v>
          </cell>
          <cell r="F32" t="str">
            <v>TNL - ONs</v>
          </cell>
          <cell r="H32" t="str">
            <v>R$ MM</v>
          </cell>
          <cell r="J32">
            <v>2499.6705393631032</v>
          </cell>
          <cell r="L32" t="str">
            <v>IESC</v>
          </cell>
        </row>
        <row r="33">
          <cell r="B33" t="str">
            <v>% La Fonte Telecom na LF Tel</v>
          </cell>
          <cell r="D33">
            <v>0.98246668130964954</v>
          </cell>
          <cell r="F33" t="str">
            <v>TNL - PNs</v>
          </cell>
          <cell r="H33" t="str">
            <v>R$ MM</v>
          </cell>
          <cell r="J33">
            <v>0</v>
          </cell>
          <cell r="L33" t="str">
            <v>Número de ações da IESC detidas pela JP</v>
          </cell>
          <cell r="P33">
            <v>42.674999999999997</v>
          </cell>
        </row>
        <row r="34">
          <cell r="B34" t="str">
            <v>% Jereissati Participações na La Fonte Telecom</v>
          </cell>
          <cell r="D34">
            <v>0.79370210794022078</v>
          </cell>
          <cell r="F34" t="str">
            <v>Total</v>
          </cell>
          <cell r="H34" t="str">
            <v>R$ MM</v>
          </cell>
          <cell r="J34">
            <v>3193.7418191368965</v>
          </cell>
          <cell r="L34" t="str">
            <v>Valor por ação</v>
          </cell>
          <cell r="P34">
            <v>23.991379310344829</v>
          </cell>
        </row>
        <row r="35">
          <cell r="B35" t="str">
            <v>% LFTel na TmarPart</v>
          </cell>
          <cell r="D35">
            <v>0.19325018044186537</v>
          </cell>
          <cell r="L35" t="str">
            <v>Valor das ações da JP na IESC</v>
          </cell>
          <cell r="P35">
            <v>1023.8321120689656</v>
          </cell>
        </row>
        <row r="36">
          <cell r="B36" t="str">
            <v>% LF Tel na CTX</v>
          </cell>
          <cell r="D36">
            <v>0.22825945353383675</v>
          </cell>
          <cell r="F36" t="str">
            <v>Contax</v>
          </cell>
        </row>
        <row r="37">
          <cell r="F37" t="str">
            <v>Ações da CTX Participações</v>
          </cell>
        </row>
        <row r="38">
          <cell r="F38" t="str">
            <v>ONs</v>
          </cell>
          <cell r="J38">
            <v>3.6412200000000001</v>
          </cell>
        </row>
        <row r="39">
          <cell r="F39" t="str">
            <v>PNs</v>
          </cell>
          <cell r="J39">
            <v>0.28479700000000002</v>
          </cell>
        </row>
        <row r="41">
          <cell r="F41" t="str">
            <v>Valor da CTX Part</v>
          </cell>
        </row>
        <row r="42">
          <cell r="F42" t="str">
            <v>Valor em CTAX3</v>
          </cell>
          <cell r="H42" t="str">
            <v>R$ MM</v>
          </cell>
          <cell r="J42">
            <v>290.38274347500004</v>
          </cell>
        </row>
        <row r="43">
          <cell r="F43" t="str">
            <v>(+) Valor em CTAX4</v>
          </cell>
          <cell r="H43" t="str">
            <v>R$ MM</v>
          </cell>
          <cell r="J43">
            <v>21.875945011034489</v>
          </cell>
        </row>
        <row r="44">
          <cell r="F44" t="str">
            <v>Total</v>
          </cell>
          <cell r="H44" t="str">
            <v>R$ MM</v>
          </cell>
          <cell r="J44">
            <v>312.25868848603454</v>
          </cell>
        </row>
        <row r="52">
          <cell r="X52" t="str">
            <v>Prêmio sobre PNs</v>
          </cell>
        </row>
        <row r="53">
          <cell r="S53" t="e">
            <v>#NAME?</v>
          </cell>
          <cell r="T53">
            <v>0</v>
          </cell>
          <cell r="U53">
            <v>0.2</v>
          </cell>
          <cell r="V53">
            <v>0.25</v>
          </cell>
          <cell r="W53">
            <v>0.3</v>
          </cell>
          <cell r="X53">
            <v>0.5</v>
          </cell>
        </row>
        <row r="54">
          <cell r="T54">
            <v>-4033.0598613829484</v>
          </cell>
          <cell r="U54">
            <v>-4288.2373990039414</v>
          </cell>
          <cell r="V54">
            <v>-4352.0317834091902</v>
          </cell>
          <cell r="W54">
            <v>-4415.8261678144372</v>
          </cell>
          <cell r="X54">
            <v>-4671.0037054354316</v>
          </cell>
        </row>
        <row r="55">
          <cell r="S55">
            <v>5</v>
          </cell>
          <cell r="T55">
            <v>1206.0124091858377</v>
          </cell>
          <cell r="U55">
            <v>950.83487156484432</v>
          </cell>
          <cell r="V55">
            <v>887.04048715959584</v>
          </cell>
          <cell r="W55">
            <v>823.24610275434736</v>
          </cell>
          <cell r="X55">
            <v>568.06856513335447</v>
          </cell>
        </row>
        <row r="56">
          <cell r="S56">
            <v>5.5</v>
          </cell>
          <cell r="T56">
            <v>1729.919636242716</v>
          </cell>
          <cell r="U56">
            <v>1474.7420986217235</v>
          </cell>
          <cell r="V56">
            <v>1410.9477142164747</v>
          </cell>
          <cell r="W56">
            <v>1347.1533298112261</v>
          </cell>
          <cell r="X56">
            <v>1091.9757921902328</v>
          </cell>
        </row>
        <row r="57">
          <cell r="S57">
            <v>6</v>
          </cell>
          <cell r="T57">
            <v>2253.8268632995951</v>
          </cell>
          <cell r="U57">
            <v>1998.6493256786018</v>
          </cell>
          <cell r="V57">
            <v>1934.8549412733532</v>
          </cell>
          <cell r="W57">
            <v>1871.0605568681044</v>
          </cell>
          <cell r="X57">
            <v>1615.883019247111</v>
          </cell>
        </row>
        <row r="58">
          <cell r="S58">
            <v>6.5</v>
          </cell>
          <cell r="T58">
            <v>2777.734090356475</v>
          </cell>
          <cell r="U58">
            <v>2522.5565527354806</v>
          </cell>
          <cell r="V58">
            <v>2458.7621683302323</v>
          </cell>
          <cell r="W58">
            <v>2394.9677839249839</v>
          </cell>
          <cell r="X58">
            <v>2139.79024630399</v>
          </cell>
        </row>
        <row r="59">
          <cell r="S59">
            <v>7</v>
          </cell>
          <cell r="T59">
            <v>3301.641317413354</v>
          </cell>
          <cell r="U59">
            <v>3046.4637797923592</v>
          </cell>
          <cell r="V59">
            <v>2982.6693953871109</v>
          </cell>
          <cell r="W59">
            <v>2918.875010981862</v>
          </cell>
          <cell r="X59">
            <v>2663.6974733608686</v>
          </cell>
        </row>
        <row r="62">
          <cell r="S62" t="str">
            <v>Sensibilidade do aporte do total</v>
          </cell>
          <cell r="Z62" t="str">
            <v>Sensibilidade do Prêmio</v>
          </cell>
        </row>
        <row r="63">
          <cell r="X63" t="str">
            <v>Aporte do parceiro na TMAR (R$MM)</v>
          </cell>
          <cell r="AE63" t="str">
            <v>Prêmio sobre PNs</v>
          </cell>
        </row>
        <row r="64">
          <cell r="T64">
            <v>2500</v>
          </cell>
          <cell r="U64">
            <v>3000</v>
          </cell>
          <cell r="V64">
            <v>3500</v>
          </cell>
          <cell r="W64">
            <v>4000</v>
          </cell>
          <cell r="X64">
            <v>4500</v>
          </cell>
          <cell r="Z64">
            <v>0.14608444291661554</v>
          </cell>
          <cell r="AA64">
            <v>0</v>
          </cell>
          <cell r="AB64">
            <v>0.2</v>
          </cell>
          <cell r="AC64">
            <v>0.25</v>
          </cell>
          <cell r="AD64">
            <v>0.3</v>
          </cell>
          <cell r="AE64">
            <v>0.5</v>
          </cell>
        </row>
        <row r="65">
          <cell r="AA65">
            <v>1.3619251774864142E-2</v>
          </cell>
          <cell r="AB65">
            <v>1.3619251774864142E-2</v>
          </cell>
          <cell r="AC65">
            <v>1.3619251774864142E-2</v>
          </cell>
          <cell r="AD65">
            <v>1.3619251774864142E-2</v>
          </cell>
          <cell r="AE65">
            <v>1.3619251774864142E-2</v>
          </cell>
        </row>
        <row r="66">
          <cell r="S66">
            <v>5</v>
          </cell>
          <cell r="T66">
            <v>3085.4467215253335</v>
          </cell>
          <cell r="U66">
            <v>3585.4467215253335</v>
          </cell>
          <cell r="V66">
            <v>4085.4467215253335</v>
          </cell>
          <cell r="W66">
            <v>4585.4467215253335</v>
          </cell>
          <cell r="X66">
            <v>5085.4467215253335</v>
          </cell>
          <cell r="Z66">
            <v>2500</v>
          </cell>
          <cell r="AA66">
            <v>0.13375824377361967</v>
          </cell>
          <cell r="AB66">
            <v>0.11597014875220629</v>
          </cell>
          <cell r="AC66">
            <v>0.11317399116763564</v>
          </cell>
          <cell r="AD66">
            <v>0.11317399116763564</v>
          </cell>
          <cell r="AE66">
            <v>0.11317399116763564</v>
          </cell>
        </row>
        <row r="67">
          <cell r="S67">
            <v>5.5</v>
          </cell>
          <cell r="T67">
            <v>3431.2254913828733</v>
          </cell>
          <cell r="U67">
            <v>3931.2254913828733</v>
          </cell>
          <cell r="V67">
            <v>4431.2254913828729</v>
          </cell>
          <cell r="W67">
            <v>4931.2254913828729</v>
          </cell>
          <cell r="X67">
            <v>5431.2254913828729</v>
          </cell>
          <cell r="Z67">
            <v>3000</v>
          </cell>
          <cell r="AA67">
            <v>0.15408872698303372</v>
          </cell>
          <cell r="AB67">
            <v>0.13375824377361967</v>
          </cell>
          <cell r="AC67">
            <v>0.12956149798440178</v>
          </cell>
          <cell r="AD67">
            <v>0.12564748501364267</v>
          </cell>
          <cell r="AE67">
            <v>0.11317399116763564</v>
          </cell>
        </row>
        <row r="68">
          <cell r="S68">
            <v>6</v>
          </cell>
          <cell r="T68">
            <v>3777.0042612404131</v>
          </cell>
          <cell r="U68">
            <v>4277.0042612404131</v>
          </cell>
          <cell r="V68">
            <v>4777.0042612404131</v>
          </cell>
          <cell r="W68">
            <v>5277.0042612404131</v>
          </cell>
          <cell r="X68">
            <v>5777.0042612404131</v>
          </cell>
          <cell r="Z68">
            <v>3500</v>
          </cell>
          <cell r="AA68">
            <v>0.17339103451829324</v>
          </cell>
          <cell r="AB68">
            <v>0.15077388463510236</v>
          </cell>
          <cell r="AC68">
            <v>0.14608444291661554</v>
          </cell>
          <cell r="AD68">
            <v>0.14170451988122124</v>
          </cell>
          <cell r="AE68">
            <v>0.12673860630472589</v>
          </cell>
        </row>
        <row r="69">
          <cell r="S69">
            <v>6.5</v>
          </cell>
          <cell r="T69">
            <v>4122.7830310979534</v>
          </cell>
          <cell r="U69">
            <v>4622.7830310979534</v>
          </cell>
          <cell r="V69">
            <v>5122.7830310979534</v>
          </cell>
          <cell r="W69">
            <v>5622.7830310979534</v>
          </cell>
          <cell r="X69">
            <v>6122.7830310979534</v>
          </cell>
          <cell r="Z69">
            <v>4000</v>
          </cell>
          <cell r="AA69">
            <v>0.19174123980023511</v>
          </cell>
          <cell r="AB69">
            <v>0.16706631818827275</v>
          </cell>
          <cell r="AC69">
            <v>0.1619285959535271</v>
          </cell>
          <cell r="AD69">
            <v>0.15712324015404711</v>
          </cell>
          <cell r="AE69">
            <v>0.14065433972154021</v>
          </cell>
        </row>
        <row r="70">
          <cell r="S70">
            <v>7</v>
          </cell>
          <cell r="T70">
            <v>4468.5618009554928</v>
          </cell>
          <cell r="U70">
            <v>4968.5618009554928</v>
          </cell>
          <cell r="V70">
            <v>5468.5618009554928</v>
          </cell>
          <cell r="W70">
            <v>5968.5618009554928</v>
          </cell>
          <cell r="X70">
            <v>6468.5618009554928</v>
          </cell>
          <cell r="Z70">
            <v>4500</v>
          </cell>
          <cell r="AA70">
            <v>0.2092080921156127</v>
          </cell>
          <cell r="AB70">
            <v>0.18268069216731209</v>
          </cell>
          <cell r="AC70">
            <v>0.17713494414791978</v>
          </cell>
          <cell r="AD70">
            <v>0.17194096636894934</v>
          </cell>
          <cell r="AE70">
            <v>0.15408872698303372</v>
          </cell>
        </row>
        <row r="72">
          <cell r="X72" t="str">
            <v>Aporte do parceiro na TMAR (R$MM)</v>
          </cell>
          <cell r="AE72" t="str">
            <v>Prêmio sobre PNs</v>
          </cell>
        </row>
        <row r="73">
          <cell r="S73" t="e">
            <v>#NAME?</v>
          </cell>
          <cell r="T73">
            <v>2500</v>
          </cell>
          <cell r="U73">
            <v>3000</v>
          </cell>
          <cell r="V73">
            <v>3500</v>
          </cell>
          <cell r="W73">
            <v>4000</v>
          </cell>
          <cell r="X73">
            <v>4500</v>
          </cell>
          <cell r="Z73" t="e">
            <v>#NAME?</v>
          </cell>
          <cell r="AA73">
            <v>0</v>
          </cell>
          <cell r="AB73">
            <v>0.2</v>
          </cell>
          <cell r="AC73">
            <v>0.25</v>
          </cell>
          <cell r="AD73">
            <v>0.3</v>
          </cell>
          <cell r="AE73">
            <v>0.5</v>
          </cell>
        </row>
        <row r="74">
          <cell r="T74">
            <v>2.1296040935256482</v>
          </cell>
          <cell r="U74">
            <v>2.4156051498745605</v>
          </cell>
          <cell r="V74">
            <v>2.6231812043516367</v>
          </cell>
          <cell r="W74">
            <v>2.7824428637051022</v>
          </cell>
          <cell r="X74">
            <v>2.9084998333114345</v>
          </cell>
          <cell r="AA74">
            <v>2.5473641538277993</v>
          </cell>
          <cell r="AB74">
            <v>2.6096842317938309</v>
          </cell>
          <cell r="AC74">
            <v>2.6231812043516367</v>
          </cell>
          <cell r="AD74">
            <v>2.6358605202658829</v>
          </cell>
          <cell r="AE74">
            <v>2.6785520540988874</v>
          </cell>
        </row>
        <row r="75">
          <cell r="S75">
            <v>5</v>
          </cell>
          <cell r="T75">
            <v>5.0016521804106002</v>
          </cell>
          <cell r="U75">
            <v>4.9243839913886882</v>
          </cell>
          <cell r="V75">
            <v>4.8482035156163255</v>
          </cell>
          <cell r="W75">
            <v>4.7897544376992842</v>
          </cell>
          <cell r="X75">
            <v>4.7434914911218256</v>
          </cell>
          <cell r="Z75">
            <v>5</v>
          </cell>
          <cell r="AA75">
            <v>4.4219774850254376</v>
          </cell>
          <cell r="AB75">
            <v>4.7655028313132073</v>
          </cell>
          <cell r="AC75">
            <v>4.8482035156163255</v>
          </cell>
          <cell r="AD75">
            <v>4.9296557011859861</v>
          </cell>
          <cell r="AE75">
            <v>5.2432097720212765</v>
          </cell>
        </row>
        <row r="76">
          <cell r="S76">
            <v>5.5</v>
          </cell>
          <cell r="T76">
            <v>5.288856989099096</v>
          </cell>
          <cell r="U76">
            <v>5.1752618755401008</v>
          </cell>
          <cell r="V76">
            <v>5.070705746742795</v>
          </cell>
          <cell r="W76">
            <v>4.9904855950987024</v>
          </cell>
          <cell r="X76">
            <v>4.9269906569028645</v>
          </cell>
          <cell r="Z76">
            <v>5.5</v>
          </cell>
          <cell r="AA76">
            <v>4.6094388181452004</v>
          </cell>
          <cell r="AB76">
            <v>4.9810846912651447</v>
          </cell>
          <cell r="AC76">
            <v>5.070705746742795</v>
          </cell>
          <cell r="AD76">
            <v>5.1590352192779969</v>
          </cell>
          <cell r="AE76">
            <v>5.499675543813515</v>
          </cell>
        </row>
        <row r="77">
          <cell r="S77">
            <v>6</v>
          </cell>
          <cell r="T77">
            <v>5.5760617977875908</v>
          </cell>
          <cell r="U77">
            <v>5.4261397596915133</v>
          </cell>
          <cell r="V77">
            <v>5.2932079778692627</v>
          </cell>
          <cell r="W77">
            <v>5.1912167524981205</v>
          </cell>
          <cell r="X77">
            <v>5.1104898226839035</v>
          </cell>
          <cell r="Z77">
            <v>6</v>
          </cell>
          <cell r="AA77">
            <v>4.7969001512649658</v>
          </cell>
          <cell r="AB77">
            <v>5.1966665512170831</v>
          </cell>
          <cell r="AC77">
            <v>5.2932079778692627</v>
          </cell>
          <cell r="AD77">
            <v>5.3884147373700078</v>
          </cell>
          <cell r="AE77">
            <v>5.7561413156057544</v>
          </cell>
        </row>
        <row r="78">
          <cell r="S78">
            <v>6.5</v>
          </cell>
          <cell r="T78">
            <v>5.8632666064760857</v>
          </cell>
          <cell r="U78">
            <v>5.6770176438429258</v>
          </cell>
          <cell r="V78">
            <v>5.5157102089957322</v>
          </cell>
          <cell r="W78">
            <v>5.3919479098975387</v>
          </cell>
          <cell r="X78">
            <v>5.2939889884649434</v>
          </cell>
          <cell r="Z78">
            <v>6.5</v>
          </cell>
          <cell r="AA78">
            <v>4.9843614843847304</v>
          </cell>
          <cell r="AB78">
            <v>5.4122484111690197</v>
          </cell>
          <cell r="AC78">
            <v>5.5157102089957322</v>
          </cell>
          <cell r="AD78">
            <v>5.6177942554620186</v>
          </cell>
          <cell r="AE78">
            <v>6.0126070873979929</v>
          </cell>
        </row>
        <row r="79">
          <cell r="S79">
            <v>7</v>
          </cell>
          <cell r="T79">
            <v>6.1504714151645814</v>
          </cell>
          <cell r="U79">
            <v>5.9278955279943402</v>
          </cell>
          <cell r="V79">
            <v>5.7382124401222008</v>
          </cell>
          <cell r="W79">
            <v>5.5926790672969577</v>
          </cell>
          <cell r="X79">
            <v>5.4774881542459823</v>
          </cell>
          <cell r="Z79">
            <v>7</v>
          </cell>
          <cell r="AA79">
            <v>5.171822817504494</v>
          </cell>
          <cell r="AB79">
            <v>5.627830271120958</v>
          </cell>
          <cell r="AC79">
            <v>5.7382124401222008</v>
          </cell>
          <cell r="AD79">
            <v>5.8471737735540286</v>
          </cell>
          <cell r="AE79">
            <v>6.2690728591902332</v>
          </cell>
        </row>
        <row r="81">
          <cell r="X81" t="str">
            <v>Prêmio sobre PNs</v>
          </cell>
          <cell r="AE81" t="str">
            <v>Prêmio sobre PNs</v>
          </cell>
        </row>
        <row r="82">
          <cell r="S82">
            <v>0.78288173174059728</v>
          </cell>
          <cell r="T82">
            <v>0</v>
          </cell>
          <cell r="U82">
            <v>0.2</v>
          </cell>
          <cell r="V82">
            <v>0.25</v>
          </cell>
          <cell r="W82">
            <v>0.3</v>
          </cell>
          <cell r="X82">
            <v>0.5</v>
          </cell>
          <cell r="Z82">
            <v>0.49896184444576269</v>
          </cell>
          <cell r="AA82">
            <v>0</v>
          </cell>
          <cell r="AB82">
            <v>0.2</v>
          </cell>
          <cell r="AC82">
            <v>0.25</v>
          </cell>
          <cell r="AD82">
            <v>0.3</v>
          </cell>
          <cell r="AE82">
            <v>0.5</v>
          </cell>
        </row>
        <row r="83">
          <cell r="T83">
            <v>0.83218649384075249</v>
          </cell>
          <cell r="U83">
            <v>0.83218649384075249</v>
          </cell>
          <cell r="V83">
            <v>0.83218649384075249</v>
          </cell>
          <cell r="W83">
            <v>0.83218649384075249</v>
          </cell>
          <cell r="X83">
            <v>0.83218649384075249</v>
          </cell>
          <cell r="AA83">
            <v>0.59588693592038011</v>
          </cell>
          <cell r="AB83">
            <v>0.59588693592038011</v>
          </cell>
          <cell r="AC83">
            <v>0.59588693592038011</v>
          </cell>
          <cell r="AD83">
            <v>0.59588693592038011</v>
          </cell>
          <cell r="AE83">
            <v>0.59588693592038011</v>
          </cell>
        </row>
        <row r="84">
          <cell r="S84">
            <v>2500</v>
          </cell>
          <cell r="T84">
            <v>0.80112591471781514</v>
          </cell>
          <cell r="U84">
            <v>0.82792288222242449</v>
          </cell>
          <cell r="V84">
            <v>0.83218649384075249</v>
          </cell>
          <cell r="W84">
            <v>0.83218649384075249</v>
          </cell>
          <cell r="X84">
            <v>0.83218649384075249</v>
          </cell>
          <cell r="Z84">
            <v>2500</v>
          </cell>
          <cell r="AA84">
            <v>0.50693530196922132</v>
          </cell>
          <cell r="AB84">
            <v>0.51844190010471203</v>
          </cell>
          <cell r="AC84">
            <v>0.52025065262207992</v>
          </cell>
          <cell r="AD84">
            <v>0.52025065262207992</v>
          </cell>
          <cell r="AE84">
            <v>0.52025065262207992</v>
          </cell>
        </row>
        <row r="85">
          <cell r="S85">
            <v>3000</v>
          </cell>
          <cell r="T85">
            <v>0.77117368144699716</v>
          </cell>
          <cell r="U85">
            <v>0.80112591471781514</v>
          </cell>
          <cell r="V85">
            <v>0.80739774849196277</v>
          </cell>
          <cell r="W85">
            <v>0.81327492910372134</v>
          </cell>
          <cell r="X85">
            <v>0.83218649384075249</v>
          </cell>
          <cell r="Z85">
            <v>3000</v>
          </cell>
          <cell r="AA85">
            <v>0.49378410731293793</v>
          </cell>
          <cell r="AB85">
            <v>0.50693530196922132</v>
          </cell>
          <cell r="AC85">
            <v>0.50965005401069685</v>
          </cell>
          <cell r="AD85">
            <v>0.51218191446553518</v>
          </cell>
          <cell r="AE85">
            <v>0.52025065262207992</v>
          </cell>
        </row>
        <row r="86">
          <cell r="S86">
            <v>3500</v>
          </cell>
          <cell r="T86">
            <v>0.74338041789540643</v>
          </cell>
          <cell r="U86">
            <v>0.77600921114453358</v>
          </cell>
          <cell r="V86">
            <v>0.78288173174059728</v>
          </cell>
          <cell r="W86">
            <v>0.7893345312237996</v>
          </cell>
          <cell r="X86">
            <v>0.81163381365241327</v>
          </cell>
          <cell r="Z86">
            <v>3500</v>
          </cell>
          <cell r="AA86">
            <v>0.48129800941271211</v>
          </cell>
          <cell r="AB86">
            <v>0.49592838182542714</v>
          </cell>
          <cell r="AC86">
            <v>0.49896184444576269</v>
          </cell>
          <cell r="AD86">
            <v>0.50179508848746546</v>
          </cell>
          <cell r="AE86">
            <v>0.51147610003186716</v>
          </cell>
        </row>
        <row r="87">
          <cell r="S87">
            <v>4000</v>
          </cell>
          <cell r="T87">
            <v>0.71752081506328269</v>
          </cell>
          <cell r="U87">
            <v>0.7524195379723051</v>
          </cell>
          <cell r="V87">
            <v>0.75981066061331926</v>
          </cell>
          <cell r="W87">
            <v>0.76676329760109185</v>
          </cell>
          <cell r="X87">
            <v>0.79088662139786792</v>
          </cell>
          <cell r="Z87">
            <v>4000</v>
          </cell>
          <cell r="AA87">
            <v>0.46942779859874434</v>
          </cell>
          <cell r="AB87">
            <v>0.48538928332613079</v>
          </cell>
          <cell r="AC87">
            <v>0.48871272549438027</v>
          </cell>
          <cell r="AD87">
            <v>0.49182116954171107</v>
          </cell>
          <cell r="AE87">
            <v>0.50247441930129155</v>
          </cell>
        </row>
        <row r="88">
          <cell r="S88">
            <v>4500</v>
          </cell>
          <cell r="T88">
            <v>0.69339986087297745</v>
          </cell>
          <cell r="U88">
            <v>0.73022174438191989</v>
          </cell>
          <cell r="V88">
            <v>0.73806044678951088</v>
          </cell>
          <cell r="W88">
            <v>0.74544703865477935</v>
          </cell>
          <cell r="X88">
            <v>0.77117368144699716</v>
          </cell>
          <cell r="Z88">
            <v>4500</v>
          </cell>
          <cell r="AA88">
            <v>0.45812900296924769</v>
          </cell>
          <cell r="AB88">
            <v>0.47528880172325061</v>
          </cell>
          <cell r="AC88">
            <v>0.47887618383151032</v>
          </cell>
          <cell r="AD88">
            <v>0.48223601606511018</v>
          </cell>
          <cell r="AE88">
            <v>0.49378410731293793</v>
          </cell>
        </row>
      </sheetData>
      <sheetData sheetId="1" refreshError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>
        <row r="2">
          <cell r="D2" t="str">
            <v>Avaliação TmarPart</v>
          </cell>
        </row>
        <row r="4">
          <cell r="D4" t="str">
            <v>Preço por ação - TmarPart1</v>
          </cell>
          <cell r="F4" t="str">
            <v>R$ / ação</v>
          </cell>
          <cell r="H4">
            <v>0.43332455680084841</v>
          </cell>
        </row>
        <row r="5">
          <cell r="D5" t="str">
            <v>Número de ações da TmarPart detidas pela LF Tel</v>
          </cell>
          <cell r="F5" t="str">
            <v>MM ações</v>
          </cell>
          <cell r="H5">
            <v>529.09588499999995</v>
          </cell>
        </row>
        <row r="6">
          <cell r="D6" t="str">
            <v>Valor das ações da LF Tel na TmarPart</v>
          </cell>
          <cell r="F6" t="str">
            <v>R$ MM</v>
          </cell>
          <cell r="H6">
            <v>229.27023987277764</v>
          </cell>
        </row>
        <row r="8">
          <cell r="D8" t="str">
            <v>Equity Value TmarPart</v>
          </cell>
          <cell r="F8" t="str">
            <v>R$ MM</v>
          </cell>
          <cell r="H8">
            <v>1186.3908191368962</v>
          </cell>
        </row>
        <row r="9">
          <cell r="D9" t="str">
            <v>(+) Dívida Líquida</v>
          </cell>
          <cell r="F9" t="str">
            <v>R$ MM</v>
          </cell>
          <cell r="H9">
            <v>2007.3510000000003</v>
          </cell>
        </row>
        <row r="10">
          <cell r="D10" t="str">
            <v>EV TmarPart</v>
          </cell>
          <cell r="F10" t="str">
            <v>R$ MM</v>
          </cell>
          <cell r="H10">
            <v>3193.7418191368965</v>
          </cell>
        </row>
        <row r="11">
          <cell r="D11" t="str">
            <v>(-) Valor da participação em PNs de TMAR2</v>
          </cell>
          <cell r="F11" t="str">
            <v>R$ MM</v>
          </cell>
          <cell r="H11">
            <v>-694.07127977379332</v>
          </cell>
        </row>
        <row r="12">
          <cell r="D12" t="str">
            <v>Valor das ações de TNL detidas</v>
          </cell>
          <cell r="F12" t="str">
            <v>R$ MM</v>
          </cell>
          <cell r="H12">
            <v>2499.6705393631032</v>
          </cell>
        </row>
        <row r="13">
          <cell r="D13" t="str">
            <v>Número de ações ON de TNL detidas</v>
          </cell>
          <cell r="F13" t="str">
            <v>MM ações</v>
          </cell>
          <cell r="H13">
            <v>68.504187000000002</v>
          </cell>
        </row>
        <row r="14">
          <cell r="D14" t="str">
            <v>Preço implícito TNL ON</v>
          </cell>
          <cell r="F14" t="str">
            <v>R$ / ação</v>
          </cell>
          <cell r="H14">
            <v>36.48931034482758</v>
          </cell>
        </row>
        <row r="16">
          <cell r="D16" t="str">
            <v>Avaliação da Contax</v>
          </cell>
        </row>
        <row r="17">
          <cell r="D17" t="str">
            <v>Ações da CTX Participações</v>
          </cell>
        </row>
        <row r="18">
          <cell r="D18" t="str">
            <v>ONs</v>
          </cell>
          <cell r="H18">
            <v>3.6412200000000001</v>
          </cell>
        </row>
        <row r="19">
          <cell r="D19" t="str">
            <v>PNs</v>
          </cell>
          <cell r="H19">
            <v>0.28479700000000002</v>
          </cell>
        </row>
        <row r="21">
          <cell r="D21" t="str">
            <v>Preços por ação1</v>
          </cell>
        </row>
        <row r="22">
          <cell r="D22" t="str">
            <v>CTAX3</v>
          </cell>
          <cell r="F22" t="str">
            <v>R$ / ação</v>
          </cell>
          <cell r="H22">
            <v>79.748750000000001</v>
          </cell>
        </row>
        <row r="23">
          <cell r="D23" t="str">
            <v>CTAX4</v>
          </cell>
          <cell r="F23" t="str">
            <v>R$ / ação</v>
          </cell>
          <cell r="H23">
            <v>76.81241379310346</v>
          </cell>
        </row>
        <row r="25">
          <cell r="D25" t="str">
            <v>Valor da CTX Part</v>
          </cell>
        </row>
        <row r="26">
          <cell r="D26" t="str">
            <v>Valor em CTAX3</v>
          </cell>
          <cell r="F26" t="str">
            <v>R$ MM</v>
          </cell>
          <cell r="H26">
            <v>290.38274347500004</v>
          </cell>
        </row>
        <row r="27">
          <cell r="D27" t="str">
            <v>(+) Valor em CTAX4</v>
          </cell>
          <cell r="F27" t="str">
            <v>R$ MM</v>
          </cell>
          <cell r="H27">
            <v>21.875945011034489</v>
          </cell>
        </row>
        <row r="28">
          <cell r="D28" t="str">
            <v>EV</v>
          </cell>
          <cell r="F28" t="str">
            <v>R$ MM</v>
          </cell>
          <cell r="H28">
            <v>312.25868848603454</v>
          </cell>
        </row>
        <row r="29">
          <cell r="D29" t="str">
            <v>(-) Dívida líquida2</v>
          </cell>
          <cell r="F29" t="str">
            <v>R$ MM</v>
          </cell>
          <cell r="H29">
            <v>-9.7623333263000003</v>
          </cell>
        </row>
        <row r="30">
          <cell r="D30" t="str">
            <v>Equity Value CTX Part.</v>
          </cell>
          <cell r="F30" t="str">
            <v>R$ MM</v>
          </cell>
          <cell r="H30">
            <v>302.49635515973455</v>
          </cell>
        </row>
        <row r="31">
          <cell r="D31" t="str">
            <v>Valor por ação</v>
          </cell>
          <cell r="F31" t="str">
            <v>R$ / ação</v>
          </cell>
          <cell r="H31">
            <v>9.787590682840748E-2</v>
          </cell>
        </row>
        <row r="33">
          <cell r="D33" t="str">
            <v>Avaliação LFTel</v>
          </cell>
        </row>
        <row r="34">
          <cell r="D34" t="str">
            <v>Número de ações da CTX detidas pela LF Tel</v>
          </cell>
          <cell r="H34">
            <v>705.46118000000001</v>
          </cell>
        </row>
        <row r="35">
          <cell r="D35" t="str">
            <v>Valor das ações da LF Tel na CTX</v>
          </cell>
          <cell r="H35">
            <v>69.047652724738398</v>
          </cell>
        </row>
        <row r="37">
          <cell r="D37" t="str">
            <v>Preço por ação - TNLP41</v>
          </cell>
          <cell r="H37">
            <v>31.019310344827588</v>
          </cell>
        </row>
        <row r="38">
          <cell r="D38" t="str">
            <v>Número de TNLP4  detidas pala LF Tel</v>
          </cell>
          <cell r="H38">
            <v>11.409000000000001</v>
          </cell>
        </row>
        <row r="39">
          <cell r="D39" t="str">
            <v>Valor das ações da LF Tel na TNL</v>
          </cell>
          <cell r="H39">
            <v>353.89931172413799</v>
          </cell>
        </row>
        <row r="41">
          <cell r="D41" t="str">
            <v>Valor das ações da LF Tel na TmarPart</v>
          </cell>
          <cell r="H41">
            <v>229.27023987277764</v>
          </cell>
        </row>
        <row r="43">
          <cell r="D43" t="str">
            <v>EV da LF Tel</v>
          </cell>
          <cell r="H43">
            <v>652.21720432165398</v>
          </cell>
        </row>
        <row r="44">
          <cell r="D44" t="str">
            <v>(+) Caixa</v>
          </cell>
          <cell r="H44">
            <v>47.097999999999999</v>
          </cell>
        </row>
        <row r="45">
          <cell r="D45" t="str">
            <v>(-) Dívida</v>
          </cell>
          <cell r="H45">
            <v>-720.88299999999992</v>
          </cell>
        </row>
        <row r="46">
          <cell r="D46" t="str">
            <v>(-) AFAC La Fonte Telecom</v>
          </cell>
          <cell r="H46">
            <v>-7.6</v>
          </cell>
        </row>
        <row r="47">
          <cell r="D47" t="str">
            <v>Equity value da LF Tel</v>
          </cell>
          <cell r="H47">
            <v>-29.167795678345989</v>
          </cell>
        </row>
        <row r="49">
          <cell r="D49" t="str">
            <v>Avaliação da La Fonte Telecom</v>
          </cell>
        </row>
        <row r="50">
          <cell r="D50" t="str">
            <v>% La Fonte Telecom na LF Tel</v>
          </cell>
          <cell r="H50">
            <v>0.98246668130964954</v>
          </cell>
        </row>
        <row r="52">
          <cell r="D52" t="str">
            <v>EV da La Fonte Telecom</v>
          </cell>
          <cell r="H52">
            <v>-28.656387421222522</v>
          </cell>
        </row>
        <row r="53">
          <cell r="D53" t="str">
            <v>(+) Caixa</v>
          </cell>
          <cell r="H53">
            <v>71.945999999999998</v>
          </cell>
        </row>
        <row r="54">
          <cell r="D54" t="str">
            <v>(+) Ações ON TNL1</v>
          </cell>
          <cell r="H54">
            <v>21.530578855920876</v>
          </cell>
        </row>
        <row r="55">
          <cell r="D55" t="str">
            <v>(+) AFAC LFTel</v>
          </cell>
          <cell r="H55">
            <v>7.6</v>
          </cell>
        </row>
        <row r="56">
          <cell r="D56" t="str">
            <v>(-) Empréstimos e financiamentos</v>
          </cell>
          <cell r="H56">
            <v>-49.164999999999999</v>
          </cell>
        </row>
        <row r="57">
          <cell r="D57" t="str">
            <v>(-) Debênture privada</v>
          </cell>
          <cell r="H57">
            <v>-232.61500000000001</v>
          </cell>
        </row>
        <row r="58">
          <cell r="D58" t="str">
            <v>(+) Crédito com parte relacionada</v>
          </cell>
          <cell r="H58">
            <v>54.170999999999999</v>
          </cell>
        </row>
        <row r="59">
          <cell r="D59" t="str">
            <v>(-) Dívida com parte relacionada</v>
          </cell>
          <cell r="H59">
            <v>-16.693000000000001</v>
          </cell>
        </row>
        <row r="60">
          <cell r="D60" t="str">
            <v>(-) AFAC Jereissati Participações</v>
          </cell>
          <cell r="H60">
            <v>-49.128999999999998</v>
          </cell>
        </row>
        <row r="61">
          <cell r="D61" t="str">
            <v>Equity value La Fonte Telecom</v>
          </cell>
          <cell r="H61">
            <v>-221.01080856530166</v>
          </cell>
        </row>
        <row r="63">
          <cell r="D63" t="str">
            <v>Avaliação da JP e participação da Previ</v>
          </cell>
        </row>
        <row r="64">
          <cell r="D64" t="str">
            <v>% Jereissati Participações na La Fonte Telecom</v>
          </cell>
          <cell r="H64">
            <v>0.79370210794022078</v>
          </cell>
        </row>
        <row r="65">
          <cell r="B65" t="str">
            <v>(A)</v>
          </cell>
          <cell r="D65" t="str">
            <v>Valor das ações da JP na La Fonte Telecom</v>
          </cell>
          <cell r="H65">
            <v>-175.41674463585252</v>
          </cell>
        </row>
        <row r="67">
          <cell r="B67" t="str">
            <v>(B)</v>
          </cell>
          <cell r="D67" t="str">
            <v>Preço por ação - IGTA31</v>
          </cell>
          <cell r="H67">
            <v>23.991379310344829</v>
          </cell>
        </row>
        <row r="68">
          <cell r="B68" t="str">
            <v>(C)</v>
          </cell>
          <cell r="D68" t="str">
            <v>Número de ações da IESC detidas pela JP</v>
          </cell>
          <cell r="H68">
            <v>42.674999999999997</v>
          </cell>
        </row>
        <row r="69">
          <cell r="B69" t="str">
            <v>(D) = (B) x (C)</v>
          </cell>
          <cell r="D69" t="str">
            <v>Valor das ações da JP na IESC</v>
          </cell>
          <cell r="H69">
            <v>1023.8321120689656</v>
          </cell>
        </row>
        <row r="71">
          <cell r="B71" t="str">
            <v>(E) = (A) + (D)</v>
          </cell>
          <cell r="D71" t="str">
            <v>EV Jereissati Participações</v>
          </cell>
          <cell r="H71">
            <v>848.41536743311303</v>
          </cell>
        </row>
        <row r="72">
          <cell r="D72" t="str">
            <v>(+) Caixa</v>
          </cell>
          <cell r="H72">
            <v>8.9999999999999993E-3</v>
          </cell>
        </row>
        <row r="73">
          <cell r="D73" t="str">
            <v>(+) Saldo de dividendos após 31/03/2009</v>
          </cell>
          <cell r="H73">
            <v>2.7290121324999959</v>
          </cell>
        </row>
        <row r="74">
          <cell r="D74" t="str">
            <v>(+) Crédito com parte relacionada</v>
          </cell>
          <cell r="H74">
            <v>93.326999999999998</v>
          </cell>
        </row>
        <row r="75">
          <cell r="D75" t="str">
            <v>(-) Empréstimos e financiamentos</v>
          </cell>
          <cell r="H75">
            <v>-294.64999999999998</v>
          </cell>
        </row>
        <row r="76">
          <cell r="D76" t="str">
            <v>(+) AFAC La Fonte Telecom</v>
          </cell>
          <cell r="H76">
            <v>49.128999999999998</v>
          </cell>
        </row>
        <row r="77">
          <cell r="D77" t="str">
            <v>(+) Debênture privada</v>
          </cell>
          <cell r="H77">
            <v>284.55900000000003</v>
          </cell>
        </row>
        <row r="78">
          <cell r="B78" t="str">
            <v>(F)</v>
          </cell>
          <cell r="D78" t="str">
            <v>Equity value da Jereissati Participações</v>
          </cell>
          <cell r="H78">
            <v>983.51837956561303</v>
          </cell>
        </row>
        <row r="79">
          <cell r="B79" t="str">
            <v>(G)</v>
          </cell>
          <cell r="D79" t="str">
            <v>Desconto de holding</v>
          </cell>
          <cell r="H79">
            <v>0</v>
          </cell>
        </row>
        <row r="81">
          <cell r="B81" t="str">
            <v>(H) = (F) / [1 - (G)]</v>
          </cell>
          <cell r="D81" t="str">
            <v>Equity Value da Jereissati Participações (JP)</v>
          </cell>
          <cell r="H81">
            <v>983.51837956561303</v>
          </cell>
        </row>
        <row r="82">
          <cell r="M82" t="str">
            <v>Composição acionária</v>
          </cell>
        </row>
        <row r="83">
          <cell r="D83" t="str">
            <v>Avaliação JP</v>
          </cell>
        </row>
        <row r="84">
          <cell r="D84" t="str">
            <v>Avaliação dos minoritários</v>
          </cell>
          <cell r="O84" t="str">
            <v>ON</v>
          </cell>
          <cell r="P84" t="str">
            <v>PN</v>
          </cell>
          <cell r="Q84" t="str">
            <v>Total</v>
          </cell>
        </row>
        <row r="85">
          <cell r="D85" t="str">
            <v>Número de ações PN</v>
          </cell>
          <cell r="H85">
            <v>572.01694500000008</v>
          </cell>
          <cell r="M85" t="str">
            <v>SFB</v>
          </cell>
          <cell r="O85">
            <v>118.232423</v>
          </cell>
          <cell r="P85">
            <v>164.46557100000001</v>
          </cell>
          <cell r="Q85">
            <v>0.29515643650104545</v>
          </cell>
        </row>
        <row r="86">
          <cell r="M86" t="str">
            <v xml:space="preserve">JPSUL </v>
          </cell>
          <cell r="O86">
            <v>39.780942000000003</v>
          </cell>
          <cell r="P86">
            <v>2.5765760000000002</v>
          </cell>
          <cell r="Q86">
            <v>4.4224205113775554E-2</v>
          </cell>
        </row>
        <row r="87">
          <cell r="D87" t="str">
            <v>Preço por ação em mercado</v>
          </cell>
          <cell r="H87">
            <v>0.74482758620689671</v>
          </cell>
          <cell r="M87" t="str">
            <v>CF Jereissati</v>
          </cell>
          <cell r="O87">
            <v>22.796077</v>
          </cell>
          <cell r="P87">
            <v>9.3266930000000006</v>
          </cell>
          <cell r="Q87">
            <v>3.3538413872659767E-2</v>
          </cell>
        </row>
        <row r="88">
          <cell r="D88" t="str">
            <v>Prêmio</v>
          </cell>
          <cell r="H88">
            <v>0.25</v>
          </cell>
          <cell r="M88" t="str">
            <v>Southmall</v>
          </cell>
          <cell r="O88">
            <v>87.612635999999995</v>
          </cell>
          <cell r="P88">
            <v>0.79200000000000004</v>
          </cell>
          <cell r="Q88">
            <v>9.2300610141337031E-2</v>
          </cell>
        </row>
        <row r="89">
          <cell r="D89" t="str">
            <v>Preço por ação assumido na conversão</v>
          </cell>
          <cell r="H89">
            <v>0.93103448275862088</v>
          </cell>
          <cell r="M89" t="str">
            <v>Previ</v>
          </cell>
          <cell r="O89">
            <v>50.713220999999997</v>
          </cell>
          <cell r="P89">
            <v>118.46865099999999</v>
          </cell>
          <cell r="Q89">
            <v>0.17663768233210736</v>
          </cell>
        </row>
        <row r="90">
          <cell r="M90" t="str">
            <v>Fundação Atlântico</v>
          </cell>
          <cell r="O90">
            <v>44.549576000000002</v>
          </cell>
          <cell r="P90">
            <v>80.620064999999997</v>
          </cell>
          <cell r="Q90">
            <v>0.13068584135646591</v>
          </cell>
        </row>
        <row r="91">
          <cell r="D91" t="str">
            <v>Valor das PNs</v>
          </cell>
          <cell r="H91">
            <v>532.56750051724157</v>
          </cell>
          <cell r="M91" t="str">
            <v>Outros - Bloco de controle</v>
          </cell>
          <cell r="O91">
            <v>19.523779999999999</v>
          </cell>
          <cell r="P91">
            <v>42.915962</v>
          </cell>
          <cell r="Q91">
            <v>6.5191448598551638E-2</v>
          </cell>
        </row>
        <row r="92">
          <cell r="M92" t="str">
            <v>Outros - Minoritários</v>
          </cell>
          <cell r="O92">
            <v>2.564775</v>
          </cell>
          <cell r="P92">
            <v>152.851427</v>
          </cell>
          <cell r="Q92">
            <v>0.16226536208405726</v>
          </cell>
        </row>
        <row r="93">
          <cell r="D93" t="str">
            <v>Equity value da avaliação</v>
          </cell>
          <cell r="H93">
            <v>983.51837956561326</v>
          </cell>
          <cell r="M93" t="str">
            <v>TOTAL</v>
          </cell>
          <cell r="O93">
            <v>385.77342999999996</v>
          </cell>
          <cell r="P93">
            <v>572.01694500000008</v>
          </cell>
          <cell r="Q93">
            <v>1</v>
          </cell>
        </row>
        <row r="94">
          <cell r="D94" t="str">
            <v>(-) Valor das PNs</v>
          </cell>
          <cell r="H94">
            <v>-532.56750051724157</v>
          </cell>
        </row>
        <row r="95">
          <cell r="D95" t="str">
            <v>Valor para as ONs</v>
          </cell>
          <cell r="H95">
            <v>450.95087904837169</v>
          </cell>
          <cell r="O95">
            <v>0.40277438578352798</v>
          </cell>
          <cell r="P95">
            <v>0.59722561421647202</v>
          </cell>
        </row>
        <row r="96">
          <cell r="O96">
            <v>0.34714843944845447</v>
          </cell>
          <cell r="P96">
            <v>0.65285156055154547</v>
          </cell>
        </row>
        <row r="97">
          <cell r="D97" t="str">
            <v>Avaliação do bloco de controle - Critério CVM1</v>
          </cell>
        </row>
        <row r="98">
          <cell r="D98" t="str">
            <v>ONs - Controlador</v>
          </cell>
          <cell r="H98">
            <v>177.53714499999998</v>
          </cell>
        </row>
        <row r="99">
          <cell r="D99" t="str">
            <v>ONs - Minoritários</v>
          </cell>
          <cell r="H99">
            <v>208.23628499999998</v>
          </cell>
        </row>
        <row r="101">
          <cell r="D101" t="str">
            <v>Preço por ação para o controlador</v>
          </cell>
          <cell r="H101">
            <v>1.3104230785967323</v>
          </cell>
        </row>
        <row r="102">
          <cell r="D102" t="str">
            <v>Prêmio sobre mercado</v>
          </cell>
          <cell r="H102">
            <v>0.40749145478908266</v>
          </cell>
        </row>
        <row r="104">
          <cell r="D104" t="str">
            <v>Preço por ação para o minoritário</v>
          </cell>
          <cell r="H104">
            <v>1.048338462877386</v>
          </cell>
        </row>
        <row r="105">
          <cell r="D105" t="str">
            <v>Prêmio sobre mercado</v>
          </cell>
          <cell r="H105">
            <v>0.12599316383126613</v>
          </cell>
        </row>
        <row r="107">
          <cell r="D107" t="str">
            <v>Relações de troca (número de ações ON de controle)</v>
          </cell>
        </row>
        <row r="108">
          <cell r="D108" t="str">
            <v>ONs - Controladores (Critério CVM)</v>
          </cell>
          <cell r="H108">
            <v>1</v>
          </cell>
        </row>
        <row r="109">
          <cell r="D109" t="str">
            <v>ONs - Minoritários</v>
          </cell>
          <cell r="H109">
            <v>0.8</v>
          </cell>
        </row>
        <row r="110">
          <cell r="D110" t="str">
            <v>PNs</v>
          </cell>
          <cell r="H110">
            <v>0.71048388720047573</v>
          </cell>
        </row>
      </sheetData>
      <sheetData sheetId="13">
        <row r="2">
          <cell r="B2" t="str">
            <v>Análise de sensibilidade</v>
          </cell>
        </row>
        <row r="4">
          <cell r="B4" t="str">
            <v>Prêmio de controle?</v>
          </cell>
          <cell r="D4">
            <v>0</v>
          </cell>
          <cell r="E4">
            <v>1</v>
          </cell>
          <cell r="G4">
            <v>1</v>
          </cell>
          <cell r="H4">
            <v>1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</row>
        <row r="5">
          <cell r="B5" t="str">
            <v>Premio ON/PN (min)</v>
          </cell>
          <cell r="D5">
            <v>0</v>
          </cell>
          <cell r="E5">
            <v>0</v>
          </cell>
          <cell r="G5">
            <v>0.05</v>
          </cell>
          <cell r="H5">
            <v>0.2</v>
          </cell>
          <cell r="I5">
            <v>0.3</v>
          </cell>
          <cell r="J5">
            <v>0.7</v>
          </cell>
          <cell r="K5">
            <v>1</v>
          </cell>
          <cell r="L5">
            <v>0.12599316383126613</v>
          </cell>
        </row>
        <row r="7">
          <cell r="B7" t="str">
            <v>Composição acionária resultante</v>
          </cell>
        </row>
        <row r="11">
          <cell r="A11" t="str">
            <v>C</v>
          </cell>
          <cell r="B11" t="str">
            <v>SFB</v>
          </cell>
          <cell r="D11">
            <v>282.69799399999999</v>
          </cell>
          <cell r="E11">
            <v>249.80487980000004</v>
          </cell>
          <cell r="G11">
            <v>243.53952471428573</v>
          </cell>
          <cell r="H11">
            <v>227.87613700000003</v>
          </cell>
          <cell r="I11">
            <v>219.44200515384617</v>
          </cell>
          <cell r="J11">
            <v>195.62798582352943</v>
          </cell>
          <cell r="K11">
            <v>184.01865140000001</v>
          </cell>
          <cell r="L11">
            <v>235.08256119472583</v>
          </cell>
        </row>
        <row r="12">
          <cell r="A12" t="str">
            <v>C</v>
          </cell>
          <cell r="B12" t="str">
            <v xml:space="preserve">JPSUL </v>
          </cell>
          <cell r="D12">
            <v>42.357518000000006</v>
          </cell>
          <cell r="E12">
            <v>41.842202800000003</v>
          </cell>
          <cell r="G12">
            <v>41.744047523809527</v>
          </cell>
          <cell r="H12">
            <v>41.498659333333336</v>
          </cell>
          <cell r="I12">
            <v>41.366527230769236</v>
          </cell>
          <cell r="J12">
            <v>40.993448352941179</v>
          </cell>
          <cell r="K12">
            <v>40.811572400000003</v>
          </cell>
          <cell r="L12">
            <v>41.611557732147453</v>
          </cell>
        </row>
        <row r="13">
          <cell r="A13" t="str">
            <v>M</v>
          </cell>
          <cell r="B13" t="str">
            <v>CF Jereissati</v>
          </cell>
          <cell r="D13">
            <v>32.122770000000003</v>
          </cell>
          <cell r="E13">
            <v>25.698216000000002</v>
          </cell>
          <cell r="G13">
            <v>25.34291340952381</v>
          </cell>
          <cell r="H13">
            <v>24.454656933333336</v>
          </cell>
          <cell r="I13">
            <v>23.976364984615387</v>
          </cell>
          <cell r="J13">
            <v>22.625893600000001</v>
          </cell>
          <cell r="K13">
            <v>21.9675388</v>
          </cell>
          <cell r="L13">
            <v>24.863326697365469</v>
          </cell>
        </row>
        <row r="14">
          <cell r="A14" t="str">
            <v>M</v>
          </cell>
          <cell r="B14" t="str">
            <v>Southmall</v>
          </cell>
          <cell r="D14">
            <v>88.404635999999996</v>
          </cell>
          <cell r="E14">
            <v>70.723708799999997</v>
          </cell>
          <cell r="G14">
            <v>70.693537371428562</v>
          </cell>
          <cell r="H14">
            <v>70.618108800000002</v>
          </cell>
          <cell r="I14">
            <v>70.577493415384609</v>
          </cell>
          <cell r="J14">
            <v>70.462814682352942</v>
          </cell>
          <cell r="K14">
            <v>70.406908799999997</v>
          </cell>
          <cell r="L14">
            <v>70.652812038662773</v>
          </cell>
        </row>
        <row r="15">
          <cell r="A15" t="str">
            <v>M</v>
          </cell>
          <cell r="B15" t="str">
            <v>Previ</v>
          </cell>
          <cell r="D15">
            <v>169.181872</v>
          </cell>
          <cell r="E15">
            <v>135.34549759999999</v>
          </cell>
          <cell r="G15">
            <v>130.83240613333334</v>
          </cell>
          <cell r="H15">
            <v>119.54967746666667</v>
          </cell>
          <cell r="I15">
            <v>113.47436203076923</v>
          </cell>
          <cell r="J15">
            <v>96.320530211764705</v>
          </cell>
          <cell r="K15">
            <v>87.958037200000007</v>
          </cell>
          <cell r="L15">
            <v>124.74064447387651</v>
          </cell>
        </row>
        <row r="16">
          <cell r="A16" t="str">
            <v>M</v>
          </cell>
          <cell r="B16" t="str">
            <v>Fundação Atlântico</v>
          </cell>
          <cell r="D16">
            <v>125.169641</v>
          </cell>
          <cell r="E16">
            <v>100.13571280000001</v>
          </cell>
          <cell r="G16">
            <v>97.064472228571418</v>
          </cell>
          <cell r="H16">
            <v>89.386370800000009</v>
          </cell>
          <cell r="I16">
            <v>85.252008492307695</v>
          </cell>
          <cell r="J16">
            <v>73.578514917647055</v>
          </cell>
          <cell r="K16">
            <v>67.887686800000012</v>
          </cell>
          <cell r="L16">
            <v>92.918917967555018</v>
          </cell>
        </row>
        <row r="17">
          <cell r="A17" t="str">
            <v>C</v>
          </cell>
          <cell r="B17" t="str">
            <v>Outros - Bloco de controle</v>
          </cell>
          <cell r="D17">
            <v>62.439741999999995</v>
          </cell>
          <cell r="E17">
            <v>53.856549599999994</v>
          </cell>
          <cell r="G17">
            <v>52.22165580952381</v>
          </cell>
          <cell r="H17">
            <v>48.134421333333336</v>
          </cell>
          <cell r="I17">
            <v>45.933602769230774</v>
          </cell>
          <cell r="J17">
            <v>39.719526823529414</v>
          </cell>
          <cell r="K17">
            <v>36.690164799999998</v>
          </cell>
          <cell r="L17">
            <v>50.014879504707906</v>
          </cell>
        </row>
        <row r="18">
          <cell r="A18" t="str">
            <v>M</v>
          </cell>
          <cell r="B18" t="str">
            <v>Outros - Minoritários</v>
          </cell>
          <cell r="D18">
            <v>155.416202</v>
          </cell>
          <cell r="E18">
            <v>124.33296160000002</v>
          </cell>
          <cell r="G18">
            <v>118.5100500952381</v>
          </cell>
          <cell r="H18">
            <v>103.95277133333335</v>
          </cell>
          <cell r="I18">
            <v>96.114236615384627</v>
          </cell>
          <cell r="J18">
            <v>73.981903294117657</v>
          </cell>
          <cell r="K18">
            <v>63.192390800000005</v>
          </cell>
          <cell r="L18">
            <v>110.65029601909976</v>
          </cell>
        </row>
        <row r="20">
          <cell r="B20" t="str">
            <v>TOTAL</v>
          </cell>
          <cell r="D20">
            <v>957.79037499999993</v>
          </cell>
          <cell r="E20">
            <v>801.7397289999999</v>
          </cell>
          <cell r="G20">
            <v>779.94860728571427</v>
          </cell>
          <cell r="H20">
            <v>725.47080300000005</v>
          </cell>
          <cell r="I20">
            <v>696.13660069230764</v>
          </cell>
          <cell r="J20">
            <v>613.31061770588235</v>
          </cell>
          <cell r="K20">
            <v>572.932951</v>
          </cell>
          <cell r="L20">
            <v>750.53499562814068</v>
          </cell>
        </row>
        <row r="21">
          <cell r="B21" t="str">
            <v>Controladores - Critério CVM</v>
          </cell>
          <cell r="D21">
            <v>325.05551200000002</v>
          </cell>
          <cell r="E21">
            <v>291.64708260000003</v>
          </cell>
          <cell r="G21">
            <v>285.28357223809525</v>
          </cell>
          <cell r="H21">
            <v>269.37479633333339</v>
          </cell>
          <cell r="I21">
            <v>260.80853238461543</v>
          </cell>
          <cell r="J21">
            <v>236.62143417647061</v>
          </cell>
          <cell r="K21">
            <v>224.8302238</v>
          </cell>
          <cell r="L21">
            <v>276.69411892687327</v>
          </cell>
        </row>
        <row r="22">
          <cell r="B22" t="str">
            <v>Controladores</v>
          </cell>
          <cell r="D22">
            <v>508.02265999999997</v>
          </cell>
          <cell r="E22">
            <v>441.92555700000003</v>
          </cell>
          <cell r="G22">
            <v>433.54167882857143</v>
          </cell>
          <cell r="H22">
            <v>412.58198340000013</v>
          </cell>
          <cell r="I22">
            <v>401.29599355384619</v>
          </cell>
          <cell r="J22">
            <v>369.42966928235296</v>
          </cell>
          <cell r="K22">
            <v>353.89483619999999</v>
          </cell>
          <cell r="L22">
            <v>422.22513716760943</v>
          </cell>
        </row>
        <row r="25">
          <cell r="B25" t="str">
            <v>Tag along para minoritários</v>
          </cell>
        </row>
        <row r="26">
          <cell r="E26" t="str">
            <v>% preço ON de controle¹</v>
          </cell>
          <cell r="L26" t="str">
            <v>Prêmio ON / PN minoritários²</v>
          </cell>
        </row>
        <row r="27">
          <cell r="B27" t="str">
            <v>Acionista</v>
          </cell>
          <cell r="D27">
            <v>1</v>
          </cell>
          <cell r="E27">
            <v>0.8</v>
          </cell>
          <cell r="G27">
            <v>0.05</v>
          </cell>
          <cell r="H27">
            <v>0.2</v>
          </cell>
          <cell r="I27">
            <v>0.3</v>
          </cell>
          <cell r="J27">
            <v>0.7</v>
          </cell>
          <cell r="K27">
            <v>1</v>
          </cell>
          <cell r="L27">
            <v>0.12599316383126613</v>
          </cell>
        </row>
        <row r="28">
          <cell r="B28" t="str">
            <v>SFB</v>
          </cell>
          <cell r="D28">
            <v>0.29515643650104545</v>
          </cell>
          <cell r="E28">
            <v>0.31157852201184866</v>
          </cell>
          <cell r="G28">
            <v>0.31225073349617666</v>
          </cell>
          <cell r="H28">
            <v>0.31410793660844266</v>
          </cell>
          <cell r="I28">
            <v>0.3152283688799169</v>
          </cell>
          <cell r="J28">
            <v>0.31897048604063832</v>
          </cell>
          <cell r="K28">
            <v>0.32118706225364235</v>
          </cell>
          <cell r="L28">
            <v>0.31321998649507293</v>
          </cell>
        </row>
        <row r="29">
          <cell r="B29" t="str">
            <v xml:space="preserve">JPSUL </v>
          </cell>
          <cell r="D29">
            <v>4.4224205113775561E-2</v>
          </cell>
          <cell r="E29">
            <v>5.2189259539613023E-2</v>
          </cell>
          <cell r="G29">
            <v>5.3521536077976044E-2</v>
          </cell>
          <cell r="H29">
            <v>5.7202383833679017E-2</v>
          </cell>
          <cell r="I29">
            <v>5.9423002884247483E-2</v>
          </cell>
          <cell r="J29">
            <v>6.6839619549192111E-2</v>
          </cell>
          <cell r="K29">
            <v>7.1232719864981198E-2</v>
          </cell>
          <cell r="L29">
            <v>5.5442528295861472E-2</v>
          </cell>
        </row>
        <row r="30">
          <cell r="B30" t="str">
            <v>CF Jereissati</v>
          </cell>
          <cell r="D30">
            <v>3.3538413872659774E-2</v>
          </cell>
          <cell r="E30">
            <v>3.2053065440642528E-2</v>
          </cell>
          <cell r="G30">
            <v>3.249305553313217E-2</v>
          </cell>
          <cell r="H30">
            <v>3.370867143406367E-2</v>
          </cell>
          <cell r="I30">
            <v>3.4442040485690453E-2</v>
          </cell>
          <cell r="J30">
            <v>3.6891410236191961E-2</v>
          </cell>
          <cell r="K30">
            <v>3.8342250627508415E-2</v>
          </cell>
          <cell r="L30">
            <v>3.3127471526569863E-2</v>
          </cell>
        </row>
        <row r="31">
          <cell r="B31" t="str">
            <v>Southmall</v>
          </cell>
          <cell r="D31">
            <v>9.2300610141337031E-2</v>
          </cell>
          <cell r="E31">
            <v>8.8212803035484857E-2</v>
          </cell>
          <cell r="G31">
            <v>9.0638712231884008E-2</v>
          </cell>
          <cell r="H31">
            <v>9.7341076316202896E-2</v>
          </cell>
          <cell r="I31">
            <v>0.10138454628760406</v>
          </cell>
          <cell r="J31">
            <v>0.11488927901806505</v>
          </cell>
          <cell r="K31">
            <v>0.12288856606538588</v>
          </cell>
          <cell r="L31">
            <v>9.4136599159552511E-2</v>
          </cell>
        </row>
        <row r="32">
          <cell r="B32" t="str">
            <v>Previ</v>
          </cell>
          <cell r="D32">
            <v>0.17663768233210739</v>
          </cell>
          <cell r="E32">
            <v>0.16881475708932966</v>
          </cell>
          <cell r="G32">
            <v>0.16774490640946324</v>
          </cell>
          <cell r="H32">
            <v>0.16478909553947502</v>
          </cell>
          <cell r="I32">
            <v>0.16300588407206146</v>
          </cell>
          <cell r="J32">
            <v>0.15705015930109975</v>
          </cell>
          <cell r="K32">
            <v>0.15352239218651609</v>
          </cell>
          <cell r="L32">
            <v>0.16620230262478045</v>
          </cell>
        </row>
        <row r="33">
          <cell r="B33" t="str">
            <v>Fundação Atlântico</v>
          </cell>
          <cell r="D33">
            <v>0.13068584135646594</v>
          </cell>
          <cell r="E33">
            <v>0.1248980300937538</v>
          </cell>
          <cell r="G33">
            <v>0.12444983082457678</v>
          </cell>
          <cell r="H33">
            <v>0.12321153439995848</v>
          </cell>
          <cell r="I33">
            <v>0.12246448241268251</v>
          </cell>
          <cell r="J33">
            <v>0.11996941320349386</v>
          </cell>
          <cell r="K33">
            <v>0.11849150355466291</v>
          </cell>
          <cell r="L33">
            <v>0.12380357812601257</v>
          </cell>
        </row>
        <row r="34">
          <cell r="B34" t="str">
            <v>Outros - Bloco de controle</v>
          </cell>
          <cell r="D34">
            <v>6.5191448598551638E-2</v>
          </cell>
          <cell r="E34">
            <v>6.7174604989545181E-2</v>
          </cell>
          <cell r="G34">
            <v>6.6955252335483356E-2</v>
          </cell>
          <cell r="H34">
            <v>6.6349219202600132E-2</v>
          </cell>
          <cell r="I34">
            <v>6.5983605406682855E-2</v>
          </cell>
          <cell r="J34">
            <v>6.4762496648276199E-2</v>
          </cell>
          <cell r="K34">
            <v>6.4039194701510538E-2</v>
          </cell>
          <cell r="L34">
            <v>6.663897059570055E-2</v>
          </cell>
        </row>
        <row r="35">
          <cell r="B35" t="str">
            <v>Outros - Minoritários</v>
          </cell>
          <cell r="D35">
            <v>0.16226536208405729</v>
          </cell>
          <cell r="E35">
            <v>0.15507895779978248</v>
          </cell>
          <cell r="G35">
            <v>0.15194597309130775</v>
          </cell>
          <cell r="H35">
            <v>0.14329008266557811</v>
          </cell>
          <cell r="I35">
            <v>0.13806806957111442</v>
          </cell>
          <cell r="J35">
            <v>0.1206271360030428</v>
          </cell>
          <cell r="K35">
            <v>0.11029631074579267</v>
          </cell>
          <cell r="L35">
            <v>0.14742856317644973</v>
          </cell>
        </row>
        <row r="37">
          <cell r="B37" t="str">
            <v>TOTAL</v>
          </cell>
          <cell r="D37">
            <v>1</v>
          </cell>
          <cell r="E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</row>
        <row r="39">
          <cell r="B39" t="str">
            <v>Controladores (Critério CVM4)</v>
          </cell>
          <cell r="D39">
            <v>0.33938064161482101</v>
          </cell>
          <cell r="E39">
            <v>0.36376778155146167</v>
          </cell>
          <cell r="G39">
            <v>0.36577226957415271</v>
          </cell>
          <cell r="H39">
            <v>0.37131032044212176</v>
          </cell>
          <cell r="I39">
            <v>0.37465137176416441</v>
          </cell>
          <cell r="J39">
            <v>0.38581010558983048</v>
          </cell>
          <cell r="K39">
            <v>0.39241978211862349</v>
          </cell>
          <cell r="L39">
            <v>0.36866251479093437</v>
          </cell>
        </row>
        <row r="40">
          <cell r="B40" t="str">
            <v>Grupo de controle</v>
          </cell>
          <cell r="D40">
            <v>0.53041111422736942</v>
          </cell>
          <cell r="E40">
            <v>0.55120825501713422</v>
          </cell>
          <cell r="G40">
            <v>0.55585928967465226</v>
          </cell>
          <cell r="H40">
            <v>0.56870928739498849</v>
          </cell>
          <cell r="I40">
            <v>0.57646156394414172</v>
          </cell>
          <cell r="J40">
            <v>0.60235329149236361</v>
          </cell>
          <cell r="K40">
            <v>0.61768979351302833</v>
          </cell>
          <cell r="L40">
            <v>0.56256555607275727</v>
          </cell>
        </row>
        <row r="42">
          <cell r="B42" t="str">
            <v>Relações de troca (número de ações ON de controle)</v>
          </cell>
        </row>
        <row r="43">
          <cell r="A43" t="str">
            <v>C</v>
          </cell>
          <cell r="B43" t="str">
            <v>ONs - Controlador (Critério CVM)</v>
          </cell>
          <cell r="D43">
            <v>1</v>
          </cell>
          <cell r="E43">
            <v>1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1</v>
          </cell>
          <cell r="L43">
            <v>1</v>
          </cell>
        </row>
        <row r="44">
          <cell r="A44" t="str">
            <v>M</v>
          </cell>
          <cell r="B44" t="str">
            <v>ONs - Minoritários</v>
          </cell>
          <cell r="D44">
            <v>1</v>
          </cell>
          <cell r="E44">
            <v>0.8</v>
          </cell>
          <cell r="G44">
            <v>0.8</v>
          </cell>
          <cell r="H44">
            <v>0.8</v>
          </cell>
          <cell r="I44">
            <v>0.8</v>
          </cell>
          <cell r="J44">
            <v>0.8</v>
          </cell>
          <cell r="K44">
            <v>0.8</v>
          </cell>
          <cell r="L44">
            <v>0.8</v>
          </cell>
        </row>
        <row r="45">
          <cell r="B45" t="str">
            <v>PNs</v>
          </cell>
          <cell r="D45">
            <v>1</v>
          </cell>
          <cell r="E45">
            <v>0.8</v>
          </cell>
          <cell r="G45">
            <v>0.76190476190476186</v>
          </cell>
          <cell r="H45">
            <v>0.66666666666666674</v>
          </cell>
          <cell r="I45">
            <v>0.61538461538461542</v>
          </cell>
          <cell r="J45">
            <v>0.4705882352941177</v>
          </cell>
          <cell r="K45">
            <v>0.4</v>
          </cell>
          <cell r="L45">
            <v>0.71048388720047573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Graficos Rig"/>
      <sheetName val="Graficos Guanambi"/>
      <sheetName val="Consolidated Cash Flow"/>
      <sheetName val="Macro"/>
      <sheetName val="Discovery Schedule"/>
      <sheetName val="CF"/>
      <sheetName val="Current Portfolio"/>
      <sheetName val="OffShore Portfolio"/>
    </sheetNames>
    <sheetDataSet>
      <sheetData sheetId="0" refreshError="1"/>
      <sheetData sheetId="1" refreshError="1"/>
      <sheetData sheetId="2" refreshError="1"/>
      <sheetData sheetId="3" refreshError="1">
        <row r="6">
          <cell r="C6" t="str">
            <v>2008E</v>
          </cell>
          <cell r="D6" t="str">
            <v>2009E</v>
          </cell>
          <cell r="E6" t="str">
            <v>2010E</v>
          </cell>
          <cell r="F6" t="str">
            <v>2011E</v>
          </cell>
          <cell r="G6" t="str">
            <v>2012E</v>
          </cell>
          <cell r="H6" t="str">
            <v>2013E</v>
          </cell>
          <cell r="I6" t="str">
            <v>2014E</v>
          </cell>
          <cell r="J6" t="str">
            <v>2015E</v>
          </cell>
          <cell r="K6" t="str">
            <v>2016E</v>
          </cell>
          <cell r="L6" t="str">
            <v>2017E</v>
          </cell>
          <cell r="M6" t="str">
            <v>2018E</v>
          </cell>
          <cell r="N6" t="str">
            <v>2019E</v>
          </cell>
          <cell r="O6" t="str">
            <v>2020E</v>
          </cell>
          <cell r="P6" t="str">
            <v>2021E</v>
          </cell>
        </row>
        <row r="7">
          <cell r="B7" t="str">
            <v>EBIT</v>
          </cell>
          <cell r="C7">
            <v>9.0814643187756321</v>
          </cell>
          <cell r="D7">
            <v>32.781195008746778</v>
          </cell>
          <cell r="E7">
            <v>44.038819024513039</v>
          </cell>
          <cell r="F7">
            <v>42.46428840469455</v>
          </cell>
          <cell r="G7">
            <v>39.772355757467338</v>
          </cell>
          <cell r="H7">
            <v>102.24090386619083</v>
          </cell>
          <cell r="I7">
            <v>208.37388813546784</v>
          </cell>
          <cell r="J7">
            <v>277.33976106233627</v>
          </cell>
          <cell r="K7">
            <v>262.18663721945757</v>
          </cell>
          <cell r="L7">
            <v>258.15685265365732</v>
          </cell>
          <cell r="M7">
            <v>261.33336182748445</v>
          </cell>
          <cell r="N7">
            <v>260.22783782934482</v>
          </cell>
          <cell r="O7">
            <v>267.27849620909603</v>
          </cell>
          <cell r="P7">
            <v>278.63595289221689</v>
          </cell>
          <cell r="T7" t="str">
            <v>Equity Value CF - US$MM</v>
          </cell>
        </row>
        <row r="8">
          <cell r="V8" t="str">
            <v>Wacc</v>
          </cell>
        </row>
        <row r="9">
          <cell r="B9" t="str">
            <v>(-) Income Taxes</v>
          </cell>
          <cell r="C9">
            <v>3.0876978683837151</v>
          </cell>
          <cell r="D9">
            <v>11.145606302973905</v>
          </cell>
          <cell r="E9">
            <v>14.973198468334434</v>
          </cell>
          <cell r="F9">
            <v>14.437858057596149</v>
          </cell>
          <cell r="G9">
            <v>13.522600957538895</v>
          </cell>
          <cell r="H9">
            <v>34.761907314504889</v>
          </cell>
          <cell r="I9">
            <v>70.847121966059063</v>
          </cell>
          <cell r="J9">
            <v>94.29551876119433</v>
          </cell>
          <cell r="K9">
            <v>89.143456654615576</v>
          </cell>
          <cell r="L9">
            <v>87.773329902243503</v>
          </cell>
          <cell r="M9">
            <v>88.853343021344713</v>
          </cell>
          <cell r="N9">
            <v>88.477464861977239</v>
          </cell>
          <cell r="O9">
            <v>90.874688711092659</v>
          </cell>
          <cell r="P9">
            <v>94.736223983353753</v>
          </cell>
          <cell r="V9">
            <v>0</v>
          </cell>
          <cell r="W9">
            <v>0.11</v>
          </cell>
          <cell r="X9">
            <v>0.12</v>
          </cell>
          <cell r="Y9">
            <v>0.13</v>
          </cell>
        </row>
        <row r="10">
          <cell r="B10" t="str">
            <v>Effective Tax Rate</v>
          </cell>
          <cell r="T10" t="str">
            <v>Perpetual Growth</v>
          </cell>
          <cell r="U10">
            <v>0.01</v>
          </cell>
          <cell r="V10" t="e">
            <v>#DIV/0!</v>
          </cell>
          <cell r="W10" t="e">
            <v>#DIV/0!</v>
          </cell>
          <cell r="X10" t="e">
            <v>#DIV/0!</v>
          </cell>
          <cell r="Y10" t="e">
            <v>#DIV/0!</v>
          </cell>
        </row>
        <row r="11">
          <cell r="U11">
            <v>0.02</v>
          </cell>
          <cell r="V11" t="e">
            <v>#DIV/0!</v>
          </cell>
          <cell r="W11" t="e">
            <v>#DIV/0!</v>
          </cell>
          <cell r="X11" t="e">
            <v>#DIV/0!</v>
          </cell>
          <cell r="Y11" t="e">
            <v>#DIV/0!</v>
          </cell>
        </row>
        <row r="12">
          <cell r="B12" t="str">
            <v>(+) Depreciation and Amortization</v>
          </cell>
          <cell r="C12">
            <v>1.9157308000000002</v>
          </cell>
          <cell r="D12">
            <v>8.964222877391304</v>
          </cell>
          <cell r="E12">
            <v>18.145012413826088</v>
          </cell>
          <cell r="F12">
            <v>33.516319031996382</v>
          </cell>
          <cell r="G12">
            <v>54.148203106104361</v>
          </cell>
          <cell r="H12">
            <v>75.899699729968503</v>
          </cell>
          <cell r="I12">
            <v>108.1384502931719</v>
          </cell>
          <cell r="J12">
            <v>142.51080466895334</v>
          </cell>
          <cell r="K12">
            <v>157.66392851183198</v>
          </cell>
          <cell r="L12">
            <v>161.69371307763228</v>
          </cell>
          <cell r="M12">
            <v>158.51720390380513</v>
          </cell>
          <cell r="N12">
            <v>151.93740226861144</v>
          </cell>
          <cell r="O12">
            <v>144.88674388886022</v>
          </cell>
          <cell r="P12">
            <v>133.52928720573934</v>
          </cell>
          <cell r="U12">
            <v>0.03</v>
          </cell>
          <cell r="V12" t="e">
            <v>#DIV/0!</v>
          </cell>
          <cell r="W12" t="e">
            <v>#DIV/0!</v>
          </cell>
          <cell r="X12" t="e">
            <v>#DIV/0!</v>
          </cell>
          <cell r="Y12" t="e">
            <v>#DIV/0!</v>
          </cell>
        </row>
        <row r="13">
          <cell r="U13">
            <v>0.04</v>
          </cell>
          <cell r="V13" t="e">
            <v>#DIV/0!</v>
          </cell>
          <cell r="W13" t="e">
            <v>#DIV/0!</v>
          </cell>
          <cell r="X13" t="e">
            <v>#DIV/0!</v>
          </cell>
          <cell r="Y13" t="e">
            <v>#DIV/0!</v>
          </cell>
        </row>
        <row r="14">
          <cell r="B14" t="str">
            <v>(-) Investments</v>
          </cell>
          <cell r="C14">
            <v>62.821997573913045</v>
          </cell>
          <cell r="D14">
            <v>64.763365534782622</v>
          </cell>
          <cell r="E14">
            <v>123.44125101039859</v>
          </cell>
          <cell r="F14">
            <v>160.57966514083336</v>
          </cell>
          <cell r="G14">
            <v>163.81117274952902</v>
          </cell>
          <cell r="H14">
            <v>282.49772934091811</v>
          </cell>
          <cell r="I14">
            <v>282.52235488439641</v>
          </cell>
          <cell r="J14">
            <v>104.60842771048331</v>
          </cell>
          <cell r="K14">
            <v>104.60842771048331</v>
          </cell>
          <cell r="L14">
            <v>104.60842771048331</v>
          </cell>
          <cell r="M14">
            <v>104.60842771048331</v>
          </cell>
          <cell r="N14">
            <v>104.60842771048331</v>
          </cell>
          <cell r="O14">
            <v>69.053227787041266</v>
          </cell>
          <cell r="P14">
            <v>69.053227787041266</v>
          </cell>
          <cell r="U14">
            <v>0.05</v>
          </cell>
          <cell r="V14" t="e">
            <v>#DIV/0!</v>
          </cell>
          <cell r="W14" t="e">
            <v>#DIV/0!</v>
          </cell>
          <cell r="X14" t="e">
            <v>#DIV/0!</v>
          </cell>
          <cell r="Y14" t="e">
            <v>#DIV/0!</v>
          </cell>
        </row>
        <row r="15">
          <cell r="U15">
            <v>0.06</v>
          </cell>
          <cell r="V15" t="e">
            <v>#DIV/0!</v>
          </cell>
          <cell r="W15" t="e">
            <v>#DIV/0!</v>
          </cell>
          <cell r="X15" t="e">
            <v>#DIV/0!</v>
          </cell>
          <cell r="Y15" t="e">
            <v>#DIV/0!</v>
          </cell>
        </row>
        <row r="16">
          <cell r="B16" t="str">
            <v>FCFF</v>
          </cell>
          <cell r="C16">
            <v>-54.91250032352113</v>
          </cell>
          <cell r="D16">
            <v>-34.163553951618439</v>
          </cell>
          <cell r="E16">
            <v>-76.230618040393892</v>
          </cell>
          <cell r="F16">
            <v>-99.03691576173857</v>
          </cell>
          <cell r="G16">
            <v>-83.41321484349622</v>
          </cell>
          <cell r="H16">
            <v>-139.11903305926364</v>
          </cell>
          <cell r="I16">
            <v>-36.857138421815733</v>
          </cell>
          <cell r="J16">
            <v>220.94661925961199</v>
          </cell>
          <cell r="K16">
            <v>226.09868136619068</v>
          </cell>
          <cell r="L16">
            <v>227.46880811856281</v>
          </cell>
          <cell r="M16">
            <v>226.38879499946157</v>
          </cell>
          <cell r="N16">
            <v>219.07934752549571</v>
          </cell>
          <cell r="O16">
            <v>252.23732359982236</v>
          </cell>
          <cell r="P16">
            <v>248.37578832756125</v>
          </cell>
        </row>
        <row r="20">
          <cell r="T20" t="str">
            <v>Enterprise Value CF - US$MM</v>
          </cell>
        </row>
        <row r="21">
          <cell r="T21" t="str">
            <v>Perpetual Growth</v>
          </cell>
          <cell r="V21" t="str">
            <v>Wacc</v>
          </cell>
        </row>
        <row r="22">
          <cell r="V22">
            <v>0.11288722691624214</v>
          </cell>
          <cell r="W22">
            <v>0.11</v>
          </cell>
          <cell r="X22">
            <v>0.12</v>
          </cell>
          <cell r="Y22">
            <v>0.13</v>
          </cell>
        </row>
        <row r="23">
          <cell r="U23">
            <v>0.01</v>
          </cell>
          <cell r="V23">
            <v>827.79723096148848</v>
          </cell>
          <cell r="W23">
            <v>553.78593198425006</v>
          </cell>
          <cell r="X23">
            <v>418.42321138786167</v>
          </cell>
          <cell r="Y23">
            <v>311.73475545109534</v>
          </cell>
        </row>
        <row r="24">
          <cell r="U24">
            <v>0.02</v>
          </cell>
          <cell r="V24">
            <v>925.0796990109792</v>
          </cell>
          <cell r="W24">
            <v>615.84684765269287</v>
          </cell>
          <cell r="X24">
            <v>463.20870744407796</v>
          </cell>
          <cell r="Y24">
            <v>344.68891587113575</v>
          </cell>
        </row>
        <row r="25">
          <cell r="U25">
            <v>0.03</v>
          </cell>
          <cell r="V25">
            <v>1050.3168992585991</v>
          </cell>
          <cell r="W25">
            <v>693.42299223824625</v>
          </cell>
          <cell r="X25">
            <v>517.94653595723094</v>
          </cell>
          <cell r="Y25">
            <v>384.23390837518411</v>
          </cell>
        </row>
        <row r="26">
          <cell r="U26">
            <v>0.04</v>
          </cell>
          <cell r="V26">
            <v>1217.5800056295818</v>
          </cell>
          <cell r="W26">
            <v>793.16374956252912</v>
          </cell>
          <cell r="X26">
            <v>586.36882159867241</v>
          </cell>
          <cell r="Y26">
            <v>432.56667699124336</v>
          </cell>
        </row>
        <row r="27">
          <cell r="U27">
            <v>0.05</v>
          </cell>
          <cell r="V27">
            <v>1452.2879129566059</v>
          </cell>
          <cell r="W27">
            <v>926.1514259949065</v>
          </cell>
          <cell r="X27">
            <v>674.3403317090972</v>
          </cell>
          <cell r="Y27">
            <v>492.98263776131722</v>
          </cell>
        </row>
        <row r="28">
          <cell r="U28">
            <v>0.06</v>
          </cell>
          <cell r="V28">
            <v>1805.5351674184901</v>
          </cell>
          <cell r="W28">
            <v>1112.3341730002346</v>
          </cell>
          <cell r="X28">
            <v>791.63567852299661</v>
          </cell>
          <cell r="Y28">
            <v>570.66030160855519</v>
          </cell>
        </row>
        <row r="32">
          <cell r="T32" t="str">
            <v>Equity Value CF - US$MM</v>
          </cell>
        </row>
        <row r="33">
          <cell r="V33" t="str">
            <v>Wacc</v>
          </cell>
        </row>
        <row r="34">
          <cell r="V34">
            <v>9.9599999999999994E-2</v>
          </cell>
          <cell r="W34">
            <v>0.11</v>
          </cell>
          <cell r="X34">
            <v>0.12</v>
          </cell>
          <cell r="Y34">
            <v>0.13</v>
          </cell>
        </row>
        <row r="35">
          <cell r="T35" t="str">
            <v>Perpetual Growth</v>
          </cell>
          <cell r="U35">
            <v>0.01</v>
          </cell>
          <cell r="V35">
            <v>838.64504493455718</v>
          </cell>
          <cell r="W35">
            <v>557.96235977324045</v>
          </cell>
          <cell r="X35">
            <v>425.27366849445502</v>
          </cell>
          <cell r="Y35">
            <v>318.98150501346379</v>
          </cell>
        </row>
        <row r="36">
          <cell r="U36">
            <v>0.02</v>
          </cell>
          <cell r="V36">
            <v>918.51868756602244</v>
          </cell>
          <cell r="W36">
            <v>608.463216896934</v>
          </cell>
          <cell r="X36">
            <v>461.71699056259479</v>
          </cell>
          <cell r="Y36">
            <v>345.79730895510579</v>
          </cell>
        </row>
        <row r="37">
          <cell r="U37">
            <v>0.03</v>
          </cell>
          <cell r="V37">
            <v>1021.3445263559547</v>
          </cell>
          <cell r="W37">
            <v>671.58928830155105</v>
          </cell>
          <cell r="X37">
            <v>506.25882864587663</v>
          </cell>
          <cell r="Y37">
            <v>377.97627368507608</v>
          </cell>
        </row>
        <row r="38">
          <cell r="U38">
            <v>0.04</v>
          </cell>
          <cell r="V38">
            <v>1158.675680176066</v>
          </cell>
          <cell r="W38">
            <v>752.75138010748719</v>
          </cell>
          <cell r="X38">
            <v>561.93612624997911</v>
          </cell>
          <cell r="Y38">
            <v>417.3061194661509</v>
          </cell>
        </row>
        <row r="39">
          <cell r="U39">
            <v>0.05</v>
          </cell>
          <cell r="V39">
            <v>1351.3822992462219</v>
          </cell>
          <cell r="W39">
            <v>860.9675025154022</v>
          </cell>
          <cell r="X39">
            <v>633.52122316953933</v>
          </cell>
          <cell r="Y39">
            <v>466.46842669249463</v>
          </cell>
        </row>
        <row r="40">
          <cell r="U40">
            <v>0.06</v>
          </cell>
          <cell r="V40">
            <v>1641.4154936043351</v>
          </cell>
          <cell r="W40">
            <v>1012.470073886483</v>
          </cell>
          <cell r="X40">
            <v>728.9680190622862</v>
          </cell>
          <cell r="Y40">
            <v>529.67710741207918</v>
          </cell>
        </row>
        <row r="43">
          <cell r="AA43" t="str">
            <v>Reserves Upside  %</v>
          </cell>
          <cell r="AB43" t="str">
            <v>Reserves</v>
          </cell>
          <cell r="AC43" t="str">
            <v>IRR   %</v>
          </cell>
        </row>
        <row r="44">
          <cell r="AA44">
            <v>1</v>
          </cell>
          <cell r="AB44">
            <v>53929.661103712446</v>
          </cell>
          <cell r="AC44">
            <v>0.23222857625406151</v>
          </cell>
        </row>
        <row r="45">
          <cell r="AA45">
            <v>1.1000000000000001</v>
          </cell>
          <cell r="AB45">
            <v>59322.627214083681</v>
          </cell>
          <cell r="AC45">
            <v>0.2639490290968452</v>
          </cell>
        </row>
        <row r="46">
          <cell r="AA46">
            <v>1.2</v>
          </cell>
          <cell r="AB46">
            <v>64715.593324454938</v>
          </cell>
          <cell r="AC46">
            <v>0.29428224159576066</v>
          </cell>
        </row>
        <row r="47">
          <cell r="AA47">
            <v>1.3</v>
          </cell>
          <cell r="AB47">
            <v>70108.55943482618</v>
          </cell>
          <cell r="AC47">
            <v>0.32346103747476546</v>
          </cell>
        </row>
        <row r="48">
          <cell r="AA48">
            <v>1.4</v>
          </cell>
          <cell r="AB48">
            <v>75501.525545197408</v>
          </cell>
          <cell r="AC48">
            <v>0.35166910200426166</v>
          </cell>
        </row>
        <row r="49">
          <cell r="AA49">
            <v>0.8</v>
          </cell>
          <cell r="AB49">
            <v>43143.728882969954</v>
          </cell>
          <cell r="AC49">
            <v>0.16218220820107321</v>
          </cell>
        </row>
        <row r="50">
          <cell r="AA50">
            <v>0.9</v>
          </cell>
          <cell r="AB50">
            <v>48536.694993341189</v>
          </cell>
          <cell r="AC50">
            <v>0.19877499427687562</v>
          </cell>
        </row>
      </sheetData>
      <sheetData sheetId="4" refreshError="1"/>
      <sheetData sheetId="5" refreshError="1"/>
      <sheetData sheetId="6" refreshError="1">
        <row r="4"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>
            <v>2012</v>
          </cell>
          <cell r="H4">
            <v>2013</v>
          </cell>
          <cell r="I4">
            <v>2014</v>
          </cell>
          <cell r="J4">
            <v>2015</v>
          </cell>
          <cell r="K4">
            <v>2016</v>
          </cell>
          <cell r="L4">
            <v>2017</v>
          </cell>
          <cell r="M4">
            <v>2018</v>
          </cell>
          <cell r="N4">
            <v>2019</v>
          </cell>
          <cell r="O4">
            <v>2020</v>
          </cell>
          <cell r="P4">
            <v>2021</v>
          </cell>
        </row>
        <row r="6">
          <cell r="B6" t="str">
            <v>Oil Production (MM BOE/Year)</v>
          </cell>
          <cell r="C6">
            <v>76.409607277000006</v>
          </cell>
          <cell r="D6">
            <v>641.93336031460001</v>
          </cell>
          <cell r="E6">
            <v>1101.82041712712</v>
          </cell>
          <cell r="F6">
            <v>1506.1597923570937</v>
          </cell>
          <cell r="G6">
            <v>1927.2280055308031</v>
          </cell>
          <cell r="H6">
            <v>4046.1201866201336</v>
          </cell>
          <cell r="I6">
            <v>7619.9366731112823</v>
          </cell>
          <cell r="J6">
            <v>10298.514072942315</v>
          </cell>
          <cell r="K6">
            <v>10298.514072942315</v>
          </cell>
          <cell r="L6">
            <v>10298.514072942315</v>
          </cell>
          <cell r="M6">
            <v>10298.514072942315</v>
          </cell>
          <cell r="N6">
            <v>10298.514072942315</v>
          </cell>
          <cell r="O6">
            <v>10298.514072942315</v>
          </cell>
          <cell r="P6">
            <v>10298.514072942315</v>
          </cell>
        </row>
        <row r="8">
          <cell r="B8" t="str">
            <v>Operational Costs - Calculated/Multiples</v>
          </cell>
          <cell r="C8">
            <v>0.34358173552629345</v>
          </cell>
          <cell r="D8">
            <v>2.886503227657673</v>
          </cell>
          <cell r="E8">
            <v>4.9544211081005276</v>
          </cell>
          <cell r="F8">
            <v>6.7725645227042151</v>
          </cell>
          <cell r="G8">
            <v>8.6659304568166107</v>
          </cell>
          <cell r="H8">
            <v>10.514663216489604</v>
          </cell>
          <cell r="I8">
            <v>11.454458871213502</v>
          </cell>
          <cell r="J8">
            <v>10.797172010020727</v>
          </cell>
          <cell r="K8">
            <v>11.991072972453393</v>
          </cell>
          <cell r="L8">
            <v>32.117333764107364</v>
          </cell>
          <cell r="M8">
            <v>54.210712022080074</v>
          </cell>
          <cell r="N8">
            <v>75.831367709095488</v>
          </cell>
          <cell r="O8">
            <v>90.430291048768083</v>
          </cell>
          <cell r="P8">
            <v>100.2376073973488</v>
          </cell>
        </row>
        <row r="9">
          <cell r="B9" t="str">
            <v>Operational costs - From Projects</v>
          </cell>
          <cell r="C9">
            <v>4.2407332038734997E-3</v>
          </cell>
          <cell r="D9">
            <v>1.9432995581042893</v>
          </cell>
          <cell r="E9">
            <v>3.4515347843022059</v>
          </cell>
          <cell r="F9">
            <v>5.0517604849324016</v>
          </cell>
          <cell r="G9">
            <v>7.0141771880895973</v>
          </cell>
          <cell r="H9">
            <v>22.850821722123904</v>
          </cell>
          <cell r="I9">
            <v>51.456521577342031</v>
          </cell>
          <cell r="J9">
            <v>74.350640987596478</v>
          </cell>
          <cell r="K9">
            <v>74.350640987596478</v>
          </cell>
          <cell r="L9">
            <v>74.350640987596478</v>
          </cell>
          <cell r="M9">
            <v>74.350640987596478</v>
          </cell>
          <cell r="N9">
            <v>74.350640987596478</v>
          </cell>
          <cell r="O9">
            <v>74.350640987596478</v>
          </cell>
          <cell r="P9">
            <v>74.350640987596478</v>
          </cell>
        </row>
        <row r="10">
          <cell r="B10" t="str">
            <v>Operational costs - % of Revenue</v>
          </cell>
          <cell r="C10">
            <v>9.2499999999999993E-4</v>
          </cell>
          <cell r="D10">
            <v>5.0454343037308245E-2</v>
          </cell>
          <cell r="E10">
            <v>5.2209578661068894E-2</v>
          </cell>
          <cell r="F10">
            <v>5.5901112557547789E-2</v>
          </cell>
          <cell r="G10">
            <v>6.0658600227547467E-2</v>
          </cell>
          <cell r="H10">
            <v>9.4126474532680637E-2</v>
          </cell>
          <cell r="I10">
            <v>0.11254800790956336</v>
          </cell>
          <cell r="J10">
            <v>0.12032583934113499</v>
          </cell>
          <cell r="K10">
            <v>0.12032583934113499</v>
          </cell>
          <cell r="L10">
            <v>0.12032583934113499</v>
          </cell>
          <cell r="M10">
            <v>0.12032583934113499</v>
          </cell>
          <cell r="N10">
            <v>0.12032583934113499</v>
          </cell>
          <cell r="O10">
            <v>0.12032583934113499</v>
          </cell>
          <cell r="P10">
            <v>0.12032583934113499</v>
          </cell>
        </row>
        <row r="11">
          <cell r="B11" t="str">
            <v>Operational  Centers  (G&amp;A costs)</v>
          </cell>
          <cell r="C11">
            <v>9.7000000000000003E-2</v>
          </cell>
          <cell r="D11">
            <v>0.32489241499999999</v>
          </cell>
          <cell r="E11">
            <v>0.54223747143982992</v>
          </cell>
          <cell r="F11">
            <v>0.80924040386156493</v>
          </cell>
          <cell r="G11">
            <v>1.0554884424343975</v>
          </cell>
          <cell r="H11">
            <v>2.1412851957144921</v>
          </cell>
          <cell r="I11">
            <v>3.9938220942779887</v>
          </cell>
          <cell r="J11">
            <v>5.4358040709514945</v>
          </cell>
          <cell r="K11">
            <v>5.4358040709514945</v>
          </cell>
          <cell r="L11">
            <v>5.4358040709514945</v>
          </cell>
          <cell r="M11">
            <v>5.4358040709514945</v>
          </cell>
          <cell r="N11">
            <v>5.4358040709514945</v>
          </cell>
          <cell r="O11">
            <v>5.4358040709514945</v>
          </cell>
          <cell r="P11">
            <v>5.4358040709514945</v>
          </cell>
        </row>
        <row r="12">
          <cell r="B12" t="str">
            <v>Abandonment  costs</v>
          </cell>
          <cell r="C12">
            <v>1.4999999999999999E-2</v>
          </cell>
          <cell r="D12">
            <v>0.16343089799999999</v>
          </cell>
          <cell r="E12">
            <v>0.280964965727796</v>
          </cell>
          <cell r="F12">
            <v>0.46769898088295814</v>
          </cell>
          <cell r="G12">
            <v>0.71983774053838478</v>
          </cell>
          <cell r="H12">
            <v>2.2376778944144484</v>
          </cell>
          <cell r="I12">
            <v>4.9085753453151568</v>
          </cell>
          <cell r="J12">
            <v>7.0113216775508835</v>
          </cell>
          <cell r="K12">
            <v>7.0113216775508835</v>
          </cell>
          <cell r="L12">
            <v>7.0113216775508835</v>
          </cell>
          <cell r="M12">
            <v>7.0113216775508835</v>
          </cell>
          <cell r="N12">
            <v>7.0113216775508835</v>
          </cell>
          <cell r="O12">
            <v>7.0113216775508835</v>
          </cell>
          <cell r="P12">
            <v>7.0113216775508835</v>
          </cell>
        </row>
        <row r="14">
          <cell r="B14" t="str">
            <v>EBITDA</v>
          </cell>
          <cell r="C14">
            <v>10.997195118775632</v>
          </cell>
          <cell r="D14">
            <v>41.745417886138078</v>
          </cell>
          <cell r="E14">
            <v>62.183831438339126</v>
          </cell>
          <cell r="F14">
            <v>75.980607436690931</v>
          </cell>
          <cell r="G14">
            <v>93.920558863571699</v>
          </cell>
          <cell r="H14">
            <v>178.14060359615934</v>
          </cell>
          <cell r="I14">
            <v>316.51233842863974</v>
          </cell>
          <cell r="J14">
            <v>419.85056573128958</v>
          </cell>
          <cell r="K14">
            <v>419.85056573128958</v>
          </cell>
          <cell r="L14">
            <v>419.85056573128958</v>
          </cell>
          <cell r="M14">
            <v>419.85056573128958</v>
          </cell>
          <cell r="N14">
            <v>412.16524009795626</v>
          </cell>
          <cell r="O14">
            <v>412.16524009795626</v>
          </cell>
          <cell r="P14">
            <v>412.16524009795626</v>
          </cell>
        </row>
        <row r="16">
          <cell r="B16" t="str">
            <v>Depreciation and Amortization</v>
          </cell>
          <cell r="C16">
            <v>1.9157308000000002</v>
          </cell>
          <cell r="D16">
            <v>8.964222877391304</v>
          </cell>
          <cell r="E16">
            <v>18.145012413826088</v>
          </cell>
          <cell r="F16">
            <v>33.516319031996382</v>
          </cell>
          <cell r="G16">
            <v>54.148203106104361</v>
          </cell>
          <cell r="H16">
            <v>75.899699729968503</v>
          </cell>
          <cell r="I16">
            <v>108.1384502931719</v>
          </cell>
          <cell r="J16">
            <v>142.51080466895334</v>
          </cell>
          <cell r="K16">
            <v>157.66392851183198</v>
          </cell>
          <cell r="L16">
            <v>161.69371307763228</v>
          </cell>
          <cell r="M16">
            <v>158.51720390380513</v>
          </cell>
          <cell r="N16">
            <v>151.93740226861144</v>
          </cell>
          <cell r="O16">
            <v>144.88674388886022</v>
          </cell>
          <cell r="P16">
            <v>133.52928720573934</v>
          </cell>
        </row>
        <row r="18">
          <cell r="B18" t="str">
            <v>EBIT</v>
          </cell>
          <cell r="C18">
            <v>9.0814643187756321</v>
          </cell>
          <cell r="D18">
            <v>32.781195008746778</v>
          </cell>
          <cell r="E18">
            <v>44.038819024513039</v>
          </cell>
          <cell r="F18">
            <v>42.46428840469455</v>
          </cell>
          <cell r="G18">
            <v>39.772355757467338</v>
          </cell>
          <cell r="H18">
            <v>102.24090386619083</v>
          </cell>
          <cell r="I18">
            <v>208.37388813546784</v>
          </cell>
          <cell r="J18">
            <v>277.33976106233627</v>
          </cell>
          <cell r="K18">
            <v>262.18663721945757</v>
          </cell>
          <cell r="L18">
            <v>258.15685265365732</v>
          </cell>
          <cell r="M18">
            <v>261.33336182748445</v>
          </cell>
          <cell r="N18">
            <v>260.22783782934482</v>
          </cell>
          <cell r="O18">
            <v>267.27849620909603</v>
          </cell>
          <cell r="P18">
            <v>278.63595289221689</v>
          </cell>
        </row>
        <row r="20">
          <cell r="B20" t="str">
            <v>Income tax + Social Contrib.</v>
          </cell>
          <cell r="C20">
            <v>3.0876978683837151</v>
          </cell>
          <cell r="D20">
            <v>11.145606302973905</v>
          </cell>
          <cell r="E20">
            <v>14.973198468334434</v>
          </cell>
          <cell r="F20">
            <v>14.437858057596149</v>
          </cell>
          <cell r="G20">
            <v>13.522600957538895</v>
          </cell>
          <cell r="H20">
            <v>34.761907314504889</v>
          </cell>
          <cell r="I20">
            <v>70.847121966059063</v>
          </cell>
          <cell r="J20">
            <v>94.29551876119433</v>
          </cell>
          <cell r="K20">
            <v>89.143456654615576</v>
          </cell>
          <cell r="L20">
            <v>87.773329902243503</v>
          </cell>
          <cell r="M20">
            <v>88.853343021344713</v>
          </cell>
          <cell r="N20">
            <v>88.477464861977239</v>
          </cell>
          <cell r="O20">
            <v>90.874688711092659</v>
          </cell>
          <cell r="P20">
            <v>94.736223983353753</v>
          </cell>
        </row>
      </sheetData>
      <sheetData sheetId="7" refreshError="1">
        <row r="2">
          <cell r="B2" t="str">
            <v>Concession Contract</v>
          </cell>
          <cell r="C2" t="str">
            <v>Exploratory Block</v>
          </cell>
          <cell r="D2" t="str">
            <v>Main Prospects and Leads</v>
          </cell>
          <cell r="E2" t="str">
            <v>Depth (meters)</v>
          </cell>
          <cell r="F2" t="str">
            <v>Expected Fluid</v>
          </cell>
          <cell r="G2" t="str">
            <v>P50% (Reserve MMBo)</v>
          </cell>
          <cell r="H2" t="str">
            <v>Reserves (MM m3 OER)</v>
          </cell>
          <cell r="I2" t="str">
            <v>Exploratory Risk</v>
          </cell>
          <cell r="J2" t="str">
            <v>Initial Qo (bbl/day)/well</v>
          </cell>
          <cell r="K2" t="str">
            <v>SF WI (%)</v>
          </cell>
          <cell r="L2" t="str">
            <v>SF Reserve (MMBo)</v>
          </cell>
          <cell r="M2" t="str">
            <v>SF Risked Reserve (MMBo)</v>
          </cell>
        </row>
        <row r="3">
          <cell r="C3" t="str">
            <v>REC-T-7</v>
          </cell>
          <cell r="D3" t="str">
            <v>1-FET-1-BA</v>
          </cell>
          <cell r="E3">
            <v>3100</v>
          </cell>
          <cell r="F3" t="str">
            <v>Óleo &amp; Gás</v>
          </cell>
          <cell r="G3">
            <v>8</v>
          </cell>
          <cell r="I3">
            <v>0.3</v>
          </cell>
          <cell r="J3">
            <v>600</v>
          </cell>
          <cell r="K3">
            <v>0.25</v>
          </cell>
          <cell r="L3">
            <v>2</v>
          </cell>
          <cell r="M3">
            <v>0.6</v>
          </cell>
        </row>
        <row r="4">
          <cell r="C4" t="str">
            <v>REC-T-7</v>
          </cell>
          <cell r="D4" t="str">
            <v>1-FBR-1-BA</v>
          </cell>
          <cell r="E4">
            <v>3923</v>
          </cell>
          <cell r="F4" t="str">
            <v>Óleo &amp; Gás</v>
          </cell>
          <cell r="G4">
            <v>0.79500000000000004</v>
          </cell>
          <cell r="I4">
            <v>0.18</v>
          </cell>
          <cell r="J4">
            <v>630</v>
          </cell>
          <cell r="K4">
            <v>0.25</v>
          </cell>
          <cell r="L4">
            <v>0.19875000000000001</v>
          </cell>
          <cell r="M4">
            <v>3.5775000000000001E-2</v>
          </cell>
        </row>
        <row r="5">
          <cell r="B5" t="str">
            <v>BT-REC-19</v>
          </cell>
          <cell r="C5" t="str">
            <v>REC-T-206</v>
          </cell>
          <cell r="D5" t="str">
            <v>1-FES-1-BA</v>
          </cell>
          <cell r="E5">
            <v>0</v>
          </cell>
          <cell r="F5" t="str">
            <v xml:space="preserve">Óleo  </v>
          </cell>
          <cell r="G5">
            <v>4.3220000000000001</v>
          </cell>
          <cell r="I5">
            <v>0.15</v>
          </cell>
          <cell r="J5">
            <v>250</v>
          </cell>
          <cell r="K5">
            <v>0.2</v>
          </cell>
          <cell r="L5">
            <v>0.86440000000000006</v>
          </cell>
          <cell r="M5">
            <v>0.12966</v>
          </cell>
        </row>
        <row r="6">
          <cell r="C6" t="str">
            <v>REC-T-205</v>
          </cell>
          <cell r="D6" t="str">
            <v>1-FES-1-BA</v>
          </cell>
          <cell r="E6">
            <v>0</v>
          </cell>
          <cell r="G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B7" t="str">
            <v>BT-REC-18</v>
          </cell>
          <cell r="C7" t="str">
            <v>REC-T-178</v>
          </cell>
          <cell r="D7" t="str">
            <v>1-SPU-1-BA</v>
          </cell>
          <cell r="E7">
            <v>1134</v>
          </cell>
          <cell r="F7" t="str">
            <v xml:space="preserve">Óleo  </v>
          </cell>
          <cell r="G7">
            <v>3.0419999999999998</v>
          </cell>
          <cell r="I7">
            <v>0.247</v>
          </cell>
          <cell r="J7">
            <v>250</v>
          </cell>
          <cell r="K7">
            <v>1</v>
          </cell>
          <cell r="L7">
            <v>3.0419999999999998</v>
          </cell>
          <cell r="M7">
            <v>0.75137399999999999</v>
          </cell>
        </row>
        <row r="8">
          <cell r="C8" t="str">
            <v>REC-T-192</v>
          </cell>
          <cell r="D8" t="str">
            <v>1-IPA-1-BA</v>
          </cell>
          <cell r="E8">
            <v>1660</v>
          </cell>
          <cell r="F8" t="str">
            <v xml:space="preserve">Óleo  </v>
          </cell>
          <cell r="G8">
            <v>1.675</v>
          </cell>
          <cell r="I8">
            <v>0.32300000000000001</v>
          </cell>
          <cell r="J8">
            <v>250</v>
          </cell>
          <cell r="K8">
            <v>1</v>
          </cell>
          <cell r="L8">
            <v>1.675</v>
          </cell>
          <cell r="M8">
            <v>0.54102499999999998</v>
          </cell>
        </row>
        <row r="9">
          <cell r="C9" t="str">
            <v>REC-T-192</v>
          </cell>
          <cell r="D9" t="str">
            <v>1-PBR-1-BA</v>
          </cell>
          <cell r="E9">
            <v>792</v>
          </cell>
          <cell r="F9" t="str">
            <v xml:space="preserve">Óleo  </v>
          </cell>
          <cell r="G9">
            <v>0</v>
          </cell>
          <cell r="J9">
            <v>250</v>
          </cell>
          <cell r="K9">
            <v>1</v>
          </cell>
          <cell r="L9">
            <v>0</v>
          </cell>
          <cell r="M9">
            <v>0</v>
          </cell>
        </row>
        <row r="10">
          <cell r="B10" t="str">
            <v>BT-REC-22</v>
          </cell>
          <cell r="C10" t="str">
            <v>REC-T-106</v>
          </cell>
          <cell r="D10" t="str">
            <v>1-JTB-1-BA</v>
          </cell>
          <cell r="E10">
            <v>1560</v>
          </cell>
          <cell r="F10" t="str">
            <v xml:space="preserve">Óleo  </v>
          </cell>
          <cell r="G10">
            <v>2.581</v>
          </cell>
          <cell r="I10">
            <v>0.21199999999999999</v>
          </cell>
          <cell r="J10">
            <v>300</v>
          </cell>
          <cell r="K10">
            <v>0.4</v>
          </cell>
          <cell r="L10">
            <v>1.0324</v>
          </cell>
          <cell r="M10">
            <v>0.2188688</v>
          </cell>
        </row>
        <row r="11">
          <cell r="B11" t="str">
            <v>BT-REC-30</v>
          </cell>
          <cell r="C11" t="str">
            <v>REC-T-165</v>
          </cell>
          <cell r="D11" t="str">
            <v>165/1</v>
          </cell>
          <cell r="E11">
            <v>1150</v>
          </cell>
          <cell r="F11" t="str">
            <v xml:space="preserve">Óleo  </v>
          </cell>
          <cell r="G11">
            <v>3.0739999999999998</v>
          </cell>
          <cell r="I11">
            <v>0.18</v>
          </cell>
          <cell r="J11">
            <v>250</v>
          </cell>
          <cell r="K11">
            <v>0.4</v>
          </cell>
          <cell r="L11">
            <v>1.2296</v>
          </cell>
          <cell r="M11">
            <v>0.221328</v>
          </cell>
        </row>
        <row r="12">
          <cell r="B12" t="str">
            <v>BT-SEAL-5</v>
          </cell>
          <cell r="C12" t="str">
            <v>SEAL-T-355</v>
          </cell>
          <cell r="D12" t="str">
            <v>355/1</v>
          </cell>
          <cell r="E12" t="str">
            <v>(-) 270</v>
          </cell>
          <cell r="F12" t="str">
            <v xml:space="preserve">Óleo  </v>
          </cell>
          <cell r="G12">
            <v>0.9</v>
          </cell>
          <cell r="I12">
            <v>0.15</v>
          </cell>
          <cell r="J12">
            <v>200</v>
          </cell>
          <cell r="K12">
            <v>0.3</v>
          </cell>
          <cell r="L12">
            <v>0.27</v>
          </cell>
          <cell r="M12">
            <v>4.0500000000000001E-2</v>
          </cell>
        </row>
        <row r="13">
          <cell r="B13" t="str">
            <v>BT-SEAL-18</v>
          </cell>
          <cell r="C13" t="str">
            <v>SEAL-T-455</v>
          </cell>
          <cell r="D13" t="str">
            <v>455/1</v>
          </cell>
          <cell r="E13" t="str">
            <v>(-) 2300</v>
          </cell>
          <cell r="F13" t="str">
            <v xml:space="preserve">Óleo  </v>
          </cell>
          <cell r="G13">
            <v>2.83</v>
          </cell>
          <cell r="I13">
            <v>0.1</v>
          </cell>
          <cell r="J13">
            <v>250</v>
          </cell>
          <cell r="K13">
            <v>0.2</v>
          </cell>
          <cell r="L13">
            <v>0.56600000000000006</v>
          </cell>
          <cell r="M13">
            <v>5.6600000000000011E-2</v>
          </cell>
        </row>
        <row r="14">
          <cell r="C14" t="str">
            <v>SEAL-T-455</v>
          </cell>
          <cell r="D14" t="str">
            <v>455/2</v>
          </cell>
          <cell r="E14" t="str">
            <v>(-) 600</v>
          </cell>
          <cell r="F14" t="str">
            <v xml:space="preserve">Óleo  </v>
          </cell>
          <cell r="G14">
            <v>5.22</v>
          </cell>
          <cell r="I14">
            <v>0.126</v>
          </cell>
          <cell r="J14">
            <v>250</v>
          </cell>
          <cell r="K14">
            <v>0.3</v>
          </cell>
          <cell r="L14">
            <v>1.5659999999999998</v>
          </cell>
          <cell r="M14">
            <v>0.19731599999999999</v>
          </cell>
        </row>
        <row r="15">
          <cell r="C15" t="str">
            <v>SEAL-T-461</v>
          </cell>
          <cell r="D15">
            <v>461</v>
          </cell>
          <cell r="E15" t="str">
            <v>(-) 2100</v>
          </cell>
          <cell r="F15" t="str">
            <v xml:space="preserve">Óleo  </v>
          </cell>
          <cell r="G15">
            <v>5.77</v>
          </cell>
          <cell r="I15">
            <v>0.15</v>
          </cell>
          <cell r="J15">
            <v>250</v>
          </cell>
          <cell r="K15">
            <v>0.3</v>
          </cell>
          <cell r="L15">
            <v>1.7309999999999999</v>
          </cell>
          <cell r="M15">
            <v>0.25964999999999999</v>
          </cell>
        </row>
        <row r="16">
          <cell r="C16" t="str">
            <v>SEAL-T-462</v>
          </cell>
          <cell r="D16" t="str">
            <v>Cajueiro</v>
          </cell>
          <cell r="E16" t="str">
            <v>(-) 2300</v>
          </cell>
          <cell r="F16" t="str">
            <v xml:space="preserve">Óleo  </v>
          </cell>
          <cell r="G16">
            <v>3.2320000000000002</v>
          </cell>
          <cell r="H16">
            <v>5.173</v>
          </cell>
          <cell r="I16">
            <v>0.20499999999999999</v>
          </cell>
          <cell r="J16">
            <v>250</v>
          </cell>
          <cell r="K16">
            <v>0.3</v>
          </cell>
          <cell r="L16">
            <v>0.96960000000000002</v>
          </cell>
          <cell r="M16">
            <v>0.198768</v>
          </cell>
        </row>
        <row r="17">
          <cell r="C17" t="str">
            <v>SEAL-T-462</v>
          </cell>
          <cell r="D17" t="str">
            <v>Angico</v>
          </cell>
          <cell r="E17" t="str">
            <v>(-) 2300</v>
          </cell>
          <cell r="F17" t="str">
            <v xml:space="preserve">Óleo  </v>
          </cell>
          <cell r="G17">
            <v>1.296</v>
          </cell>
          <cell r="H17">
            <v>2.1579999999999999</v>
          </cell>
          <cell r="I17">
            <v>0.20499999999999999</v>
          </cell>
          <cell r="J17">
            <v>250</v>
          </cell>
          <cell r="K17">
            <v>0.3</v>
          </cell>
          <cell r="L17">
            <v>0.38879999999999998</v>
          </cell>
          <cell r="M17">
            <v>7.9703999999999997E-2</v>
          </cell>
        </row>
        <row r="18">
          <cell r="B18" t="str">
            <v>BT-POT-55</v>
          </cell>
          <cell r="C18" t="str">
            <v>POT-T-748</v>
          </cell>
          <cell r="D18" t="str">
            <v>Carnauba</v>
          </cell>
          <cell r="E18" t="str">
            <v>(-) 700</v>
          </cell>
          <cell r="F18" t="str">
            <v xml:space="preserve">Óleo  </v>
          </cell>
          <cell r="G18">
            <v>1.1299999999999999</v>
          </cell>
          <cell r="H18">
            <v>2.504</v>
          </cell>
          <cell r="I18">
            <v>0.215</v>
          </cell>
          <cell r="J18">
            <v>200</v>
          </cell>
          <cell r="K18">
            <v>0.3</v>
          </cell>
          <cell r="L18">
            <v>0.33899999999999997</v>
          </cell>
          <cell r="M18">
            <v>7.2884999999999991E-2</v>
          </cell>
        </row>
        <row r="19">
          <cell r="C19" t="str">
            <v>POT-T-748</v>
          </cell>
          <cell r="D19" t="str">
            <v>Carnauba</v>
          </cell>
          <cell r="E19" t="str">
            <v>(-) 700</v>
          </cell>
          <cell r="F19" t="str">
            <v xml:space="preserve">Óleo  </v>
          </cell>
          <cell r="G19">
            <v>1.228</v>
          </cell>
          <cell r="H19">
            <v>1.9710000000000001</v>
          </cell>
          <cell r="I19">
            <v>0.215</v>
          </cell>
          <cell r="J19">
            <v>200</v>
          </cell>
          <cell r="K19">
            <v>0.3</v>
          </cell>
          <cell r="L19">
            <v>0.36840000000000001</v>
          </cell>
          <cell r="M19">
            <v>7.9205999999999999E-2</v>
          </cell>
        </row>
        <row r="20">
          <cell r="C20" t="str">
            <v>POT-T-748</v>
          </cell>
          <cell r="D20" t="str">
            <v>Pau Banco</v>
          </cell>
          <cell r="E20" t="str">
            <v>(-) 700</v>
          </cell>
          <cell r="F20" t="str">
            <v xml:space="preserve">Óleo  </v>
          </cell>
          <cell r="G20">
            <v>0.47699999999999998</v>
          </cell>
          <cell r="H20">
            <v>0.84099999999999997</v>
          </cell>
          <cell r="I20">
            <v>0.215</v>
          </cell>
          <cell r="J20">
            <v>200</v>
          </cell>
          <cell r="K20">
            <v>0.3</v>
          </cell>
          <cell r="L20">
            <v>0.14309999999999998</v>
          </cell>
          <cell r="M20">
            <v>3.0766499999999995E-2</v>
          </cell>
        </row>
        <row r="21">
          <cell r="C21" t="str">
            <v>POT-T-749</v>
          </cell>
          <cell r="D21" t="str">
            <v>Pereiro</v>
          </cell>
          <cell r="E21" t="str">
            <v>(-)700</v>
          </cell>
          <cell r="F21" t="str">
            <v xml:space="preserve">Óleo  </v>
          </cell>
          <cell r="G21">
            <v>0.81399999999999995</v>
          </cell>
          <cell r="H21">
            <v>1.24</v>
          </cell>
          <cell r="I21">
            <v>0.251</v>
          </cell>
          <cell r="J21">
            <v>200</v>
          </cell>
          <cell r="K21">
            <v>0.3</v>
          </cell>
          <cell r="L21">
            <v>0.24419999999999997</v>
          </cell>
          <cell r="M21">
            <v>6.1294199999999993E-2</v>
          </cell>
        </row>
        <row r="22">
          <cell r="C22" t="str">
            <v>POT-T-794</v>
          </cell>
          <cell r="D22" t="str">
            <v>Macambira</v>
          </cell>
          <cell r="E22" t="str">
            <v>(-) 700</v>
          </cell>
          <cell r="F22" t="str">
            <v xml:space="preserve">Óleo  </v>
          </cell>
          <cell r="G22">
            <v>3.1920000000000002</v>
          </cell>
          <cell r="H22">
            <v>5.7670000000000003</v>
          </cell>
          <cell r="I22">
            <v>0.215</v>
          </cell>
          <cell r="J22">
            <v>200</v>
          </cell>
          <cell r="K22">
            <v>0.3</v>
          </cell>
          <cell r="L22">
            <v>0.95760000000000001</v>
          </cell>
          <cell r="M22">
            <v>0.20588400000000001</v>
          </cell>
        </row>
        <row r="23">
          <cell r="B23" t="str">
            <v xml:space="preserve">Tucano </v>
          </cell>
          <cell r="C23" t="str">
            <v>TUC-T-162</v>
          </cell>
          <cell r="D23" t="str">
            <v>TUC-T-162/1</v>
          </cell>
          <cell r="E23">
            <v>3000</v>
          </cell>
          <cell r="F23" t="str">
            <v>Óleo &amp; Gás</v>
          </cell>
          <cell r="G23">
            <v>21.773076923076925</v>
          </cell>
          <cell r="I23">
            <v>0.13</v>
          </cell>
          <cell r="J23">
            <v>300</v>
          </cell>
          <cell r="K23">
            <v>0.3</v>
          </cell>
          <cell r="L23">
            <v>6.5319230769230776</v>
          </cell>
          <cell r="M23">
            <v>0.84915000000000007</v>
          </cell>
        </row>
        <row r="24">
          <cell r="C24" t="str">
            <v>TUC-T-167</v>
          </cell>
          <cell r="D24" t="str">
            <v>TUC-T-167/1</v>
          </cell>
          <cell r="E24">
            <v>3000</v>
          </cell>
          <cell r="F24" t="str">
            <v>Óleo &amp; Gás</v>
          </cell>
          <cell r="G24">
            <v>21.773076923076925</v>
          </cell>
          <cell r="I24">
            <v>0.13</v>
          </cell>
          <cell r="J24">
            <v>300</v>
          </cell>
          <cell r="K24">
            <v>0.3</v>
          </cell>
          <cell r="L24">
            <v>6.5319230769230776</v>
          </cell>
          <cell r="M24">
            <v>0.84915000000000007</v>
          </cell>
        </row>
        <row r="27">
          <cell r="C27">
            <v>2007</v>
          </cell>
          <cell r="D27">
            <v>2008</v>
          </cell>
          <cell r="E27">
            <v>2009</v>
          </cell>
          <cell r="F27">
            <v>2010</v>
          </cell>
          <cell r="G27">
            <v>2011</v>
          </cell>
          <cell r="H27">
            <v>2012</v>
          </cell>
          <cell r="I27">
            <v>2013</v>
          </cell>
          <cell r="J27">
            <v>2014</v>
          </cell>
          <cell r="K27">
            <v>2015</v>
          </cell>
          <cell r="L27">
            <v>2016</v>
          </cell>
          <cell r="M27">
            <v>2017</v>
          </cell>
          <cell r="N27">
            <v>2018</v>
          </cell>
        </row>
        <row r="28">
          <cell r="B28" t="str">
            <v>Oil Production (M Boe/Year)</v>
          </cell>
          <cell r="D28">
            <v>0</v>
          </cell>
          <cell r="E28">
            <v>494.76965999999999</v>
          </cell>
          <cell r="F28">
            <v>886.54988575931998</v>
          </cell>
          <cell r="G28">
            <v>886.86740294319361</v>
          </cell>
          <cell r="H28">
            <v>810.30476114383373</v>
          </cell>
          <cell r="I28">
            <v>809.75188697233966</v>
          </cell>
          <cell r="J28">
            <v>691.93708151562782</v>
          </cell>
          <cell r="K28">
            <v>454.32299978777519</v>
          </cell>
          <cell r="L28">
            <v>296.32514818153044</v>
          </cell>
          <cell r="M28">
            <v>190.9252731950366</v>
          </cell>
          <cell r="N28">
            <v>111.3885628761426</v>
          </cell>
        </row>
        <row r="61">
          <cell r="B61" t="str">
            <v>Concession Contract</v>
          </cell>
          <cell r="C61" t="str">
            <v>Exploratory Block</v>
          </cell>
          <cell r="D61" t="str">
            <v>Main Prospects and Leads</v>
          </cell>
          <cell r="E61" t="str">
            <v>Depth (meters)</v>
          </cell>
          <cell r="F61" t="str">
            <v>Expected Fluid</v>
          </cell>
          <cell r="G61" t="str">
            <v>P50% (Reserve MMBo)</v>
          </cell>
          <cell r="H61" t="str">
            <v>Reserves (MM m3 OER)</v>
          </cell>
          <cell r="I61" t="str">
            <v>Exploratory Risk</v>
          </cell>
          <cell r="J61" t="str">
            <v>Initial Qo (bbl/day)/well</v>
          </cell>
          <cell r="K61" t="str">
            <v>SF WI (%)</v>
          </cell>
          <cell r="L61" t="str">
            <v>SF Reserve (MMBo)</v>
          </cell>
          <cell r="M61" t="str">
            <v>SF Risked Reserve (MMBo)</v>
          </cell>
        </row>
        <row r="62">
          <cell r="B62" t="str">
            <v>Reconcavo</v>
          </cell>
          <cell r="C62" t="str">
            <v>1-HBV-1-BA</v>
          </cell>
          <cell r="D62" t="str">
            <v>GUANAMBI</v>
          </cell>
          <cell r="E62">
            <v>1590</v>
          </cell>
          <cell r="F62" t="str">
            <v>Óleo</v>
          </cell>
          <cell r="G62">
            <v>6.74</v>
          </cell>
          <cell r="H62">
            <v>0</v>
          </cell>
          <cell r="I62">
            <v>0.95</v>
          </cell>
          <cell r="J62">
            <v>250</v>
          </cell>
          <cell r="K62">
            <v>0.2</v>
          </cell>
          <cell r="L62">
            <v>1.3480000000000001</v>
          </cell>
          <cell r="M62">
            <v>1.2806</v>
          </cell>
        </row>
        <row r="63">
          <cell r="B63" t="str">
            <v>BT-REC-7</v>
          </cell>
          <cell r="C63" t="str">
            <v>REC-T-7</v>
          </cell>
          <cell r="D63" t="str">
            <v>3-LM-3-BA</v>
          </cell>
          <cell r="E63" t="str">
            <v>2050-2100</v>
          </cell>
          <cell r="F63" t="str">
            <v xml:space="preserve">Óleo  </v>
          </cell>
          <cell r="G63">
            <v>0</v>
          </cell>
          <cell r="H63">
            <v>0</v>
          </cell>
          <cell r="I63">
            <v>0</v>
          </cell>
          <cell r="J63">
            <v>80</v>
          </cell>
          <cell r="K63">
            <v>0.25</v>
          </cell>
          <cell r="L63">
            <v>0</v>
          </cell>
          <cell r="M63">
            <v>0</v>
          </cell>
        </row>
        <row r="64">
          <cell r="B64" t="str">
            <v>TOTAL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99.86415384615384</v>
          </cell>
          <cell r="H64">
            <v>19.654</v>
          </cell>
          <cell r="I64">
            <v>0</v>
          </cell>
          <cell r="J64">
            <v>0</v>
          </cell>
          <cell r="K64">
            <v>0</v>
          </cell>
          <cell r="L64">
            <v>30.649696153846158</v>
          </cell>
          <cell r="M64">
            <v>5.4789044999999996</v>
          </cell>
        </row>
        <row r="70">
          <cell r="B70" t="str">
            <v>Location</v>
          </cell>
          <cell r="C70" t="str">
            <v>Exploratory Block</v>
          </cell>
          <cell r="D70" t="str">
            <v>Main Prospects and Leads</v>
          </cell>
          <cell r="E70" t="str">
            <v>Depth (meters)</v>
          </cell>
          <cell r="F70" t="str">
            <v>Expected Fluid</v>
          </cell>
          <cell r="G70" t="str">
            <v>P50% (Reserve MMBo)</v>
          </cell>
          <cell r="H70" t="str">
            <v>Reserves (MM m3 OER)</v>
          </cell>
          <cell r="I70" t="str">
            <v>Exploratory Risk</v>
          </cell>
          <cell r="J70" t="str">
            <v>Initial Qo (bbl/day)/well</v>
          </cell>
          <cell r="K70" t="str">
            <v>SF WI (%)</v>
          </cell>
          <cell r="L70" t="str">
            <v>SF Reserve (MMBo)</v>
          </cell>
          <cell r="M70" t="str">
            <v>SF Risked Reserve (MMBo)</v>
          </cell>
        </row>
        <row r="71">
          <cell r="B71" t="str">
            <v>Alagoas</v>
          </cell>
          <cell r="C71" t="str">
            <v>AL-T-01</v>
          </cell>
          <cell r="D71" t="str">
            <v>B.Itiuba</v>
          </cell>
          <cell r="E71">
            <v>2200</v>
          </cell>
          <cell r="F71" t="str">
            <v>Oil</v>
          </cell>
          <cell r="G71">
            <v>4</v>
          </cell>
          <cell r="H71">
            <v>5.2</v>
          </cell>
          <cell r="I71">
            <v>0.15</v>
          </cell>
          <cell r="J71">
            <v>250</v>
          </cell>
          <cell r="K71">
            <v>0.3</v>
          </cell>
          <cell r="L71">
            <v>1.2</v>
          </cell>
          <cell r="M71">
            <v>0.18</v>
          </cell>
        </row>
        <row r="72">
          <cell r="B72">
            <v>0</v>
          </cell>
          <cell r="C72" t="str">
            <v>AL-T-02</v>
          </cell>
          <cell r="D72" t="str">
            <v>B.Itiuba</v>
          </cell>
          <cell r="E72">
            <v>2200</v>
          </cell>
          <cell r="F72" t="str">
            <v>Oil</v>
          </cell>
          <cell r="G72">
            <v>4</v>
          </cell>
          <cell r="H72">
            <v>5.2</v>
          </cell>
          <cell r="I72">
            <v>0.15</v>
          </cell>
          <cell r="J72">
            <v>250</v>
          </cell>
          <cell r="K72">
            <v>0.3</v>
          </cell>
          <cell r="L72">
            <v>1.2</v>
          </cell>
          <cell r="M72">
            <v>0.18</v>
          </cell>
        </row>
        <row r="73">
          <cell r="B73">
            <v>0</v>
          </cell>
          <cell r="C73" t="str">
            <v>AL-T-03</v>
          </cell>
          <cell r="D73" t="str">
            <v>B.Itiuba</v>
          </cell>
          <cell r="E73">
            <v>2200</v>
          </cell>
          <cell r="F73" t="str">
            <v>Oil</v>
          </cell>
          <cell r="G73">
            <v>4</v>
          </cell>
          <cell r="H73">
            <v>5.2</v>
          </cell>
          <cell r="I73">
            <v>0.15</v>
          </cell>
          <cell r="J73">
            <v>250</v>
          </cell>
          <cell r="K73">
            <v>0.3</v>
          </cell>
          <cell r="L73">
            <v>1.2</v>
          </cell>
          <cell r="M73">
            <v>0.18</v>
          </cell>
        </row>
        <row r="74">
          <cell r="B74" t="str">
            <v>Reconcavo</v>
          </cell>
          <cell r="C74" t="str">
            <v>REC-T-001</v>
          </cell>
          <cell r="D74" t="str">
            <v>AGrande/Sergi</v>
          </cell>
          <cell r="E74">
            <v>1700</v>
          </cell>
          <cell r="F74" t="str">
            <v>Oil</v>
          </cell>
          <cell r="G74">
            <v>4</v>
          </cell>
          <cell r="H74">
            <v>5.2</v>
          </cell>
          <cell r="I74">
            <v>0.15</v>
          </cell>
          <cell r="J74">
            <v>250</v>
          </cell>
          <cell r="K74">
            <v>0.3</v>
          </cell>
          <cell r="L74">
            <v>1.2</v>
          </cell>
          <cell r="M74">
            <v>0.18</v>
          </cell>
        </row>
        <row r="75">
          <cell r="B75">
            <v>0</v>
          </cell>
          <cell r="C75" t="str">
            <v>REC-T-002</v>
          </cell>
          <cell r="D75" t="str">
            <v>AGrande/Sergi</v>
          </cell>
          <cell r="E75">
            <v>1700</v>
          </cell>
          <cell r="F75" t="str">
            <v>Oil</v>
          </cell>
          <cell r="G75">
            <v>4</v>
          </cell>
          <cell r="H75">
            <v>5.2</v>
          </cell>
          <cell r="I75">
            <v>0.15</v>
          </cell>
          <cell r="J75">
            <v>250</v>
          </cell>
          <cell r="K75">
            <v>0.3</v>
          </cell>
          <cell r="L75">
            <v>1.2</v>
          </cell>
          <cell r="M75">
            <v>0.18</v>
          </cell>
        </row>
        <row r="76">
          <cell r="B76">
            <v>0</v>
          </cell>
          <cell r="C76" t="str">
            <v>REC-T-003</v>
          </cell>
          <cell r="D76" t="str">
            <v>AGrande/Sergi</v>
          </cell>
          <cell r="E76">
            <v>1700</v>
          </cell>
          <cell r="F76" t="str">
            <v>Oil</v>
          </cell>
          <cell r="G76">
            <v>4</v>
          </cell>
          <cell r="H76">
            <v>5.2</v>
          </cell>
          <cell r="I76">
            <v>0.15</v>
          </cell>
          <cell r="J76">
            <v>250</v>
          </cell>
          <cell r="K76">
            <v>0.3</v>
          </cell>
          <cell r="L76">
            <v>1.2</v>
          </cell>
          <cell r="M76">
            <v>0.18</v>
          </cell>
        </row>
        <row r="77">
          <cell r="B77" t="str">
            <v>Potiguar</v>
          </cell>
          <cell r="C77" t="str">
            <v>POT-T-001</v>
          </cell>
          <cell r="D77" t="str">
            <v>Pendencia</v>
          </cell>
          <cell r="E77">
            <v>1500</v>
          </cell>
          <cell r="F77" t="str">
            <v>Oil</v>
          </cell>
          <cell r="G77">
            <v>3</v>
          </cell>
          <cell r="H77">
            <v>3.9000000000000004</v>
          </cell>
          <cell r="I77">
            <v>0.15</v>
          </cell>
          <cell r="J77">
            <v>250</v>
          </cell>
          <cell r="K77">
            <v>0.3</v>
          </cell>
          <cell r="L77">
            <v>0.89999999999999991</v>
          </cell>
          <cell r="M77">
            <v>0.13499999999999998</v>
          </cell>
        </row>
        <row r="78">
          <cell r="B78">
            <v>0</v>
          </cell>
          <cell r="C78" t="str">
            <v>POT-T-002</v>
          </cell>
          <cell r="D78" t="str">
            <v>Pendencia</v>
          </cell>
          <cell r="E78">
            <v>1500</v>
          </cell>
          <cell r="F78" t="str">
            <v>Oil</v>
          </cell>
          <cell r="G78">
            <v>3</v>
          </cell>
          <cell r="H78">
            <v>3.9000000000000004</v>
          </cell>
          <cell r="I78">
            <v>0.15</v>
          </cell>
          <cell r="J78">
            <v>250</v>
          </cell>
          <cell r="K78">
            <v>0.3</v>
          </cell>
          <cell r="L78">
            <v>0.89999999999999991</v>
          </cell>
          <cell r="M78">
            <v>0.13499999999999998</v>
          </cell>
        </row>
        <row r="79">
          <cell r="B79">
            <v>0</v>
          </cell>
          <cell r="C79" t="str">
            <v>POT-T-003</v>
          </cell>
          <cell r="D79" t="str">
            <v>Pendencia</v>
          </cell>
          <cell r="E79">
            <v>1500</v>
          </cell>
          <cell r="F79" t="str">
            <v>Oil</v>
          </cell>
          <cell r="G79">
            <v>3</v>
          </cell>
          <cell r="H79">
            <v>3.9000000000000004</v>
          </cell>
          <cell r="I79">
            <v>0.15</v>
          </cell>
          <cell r="J79">
            <v>250</v>
          </cell>
          <cell r="K79">
            <v>0.3</v>
          </cell>
          <cell r="L79">
            <v>0.89999999999999991</v>
          </cell>
          <cell r="M79">
            <v>0.13499999999999998</v>
          </cell>
        </row>
        <row r="80">
          <cell r="B80" t="str">
            <v>Sergipe</v>
          </cell>
          <cell r="C80" t="str">
            <v>SEAL-001</v>
          </cell>
          <cell r="D80" t="str">
            <v>Serraria</v>
          </cell>
          <cell r="E80">
            <v>2200</v>
          </cell>
          <cell r="F80" t="str">
            <v>Oil</v>
          </cell>
          <cell r="G80">
            <v>4</v>
          </cell>
          <cell r="H80">
            <v>5.2</v>
          </cell>
          <cell r="I80">
            <v>0.15</v>
          </cell>
          <cell r="J80">
            <v>250</v>
          </cell>
          <cell r="K80">
            <v>0.3</v>
          </cell>
          <cell r="L80">
            <v>1.2</v>
          </cell>
          <cell r="M80">
            <v>0.18</v>
          </cell>
        </row>
        <row r="81">
          <cell r="B81">
            <v>0</v>
          </cell>
          <cell r="C81" t="str">
            <v>SEAL-002</v>
          </cell>
          <cell r="D81" t="str">
            <v>Serraria</v>
          </cell>
          <cell r="E81">
            <v>2200</v>
          </cell>
          <cell r="F81" t="str">
            <v>Oil</v>
          </cell>
          <cell r="G81">
            <v>4</v>
          </cell>
          <cell r="H81">
            <v>5.2</v>
          </cell>
          <cell r="I81">
            <v>0.15</v>
          </cell>
          <cell r="J81">
            <v>250</v>
          </cell>
          <cell r="K81">
            <v>0.3</v>
          </cell>
          <cell r="L81">
            <v>1.2</v>
          </cell>
          <cell r="M81">
            <v>0.18</v>
          </cell>
        </row>
        <row r="82">
          <cell r="B82">
            <v>0</v>
          </cell>
          <cell r="C82" t="str">
            <v>SEAL-003</v>
          </cell>
          <cell r="D82" t="str">
            <v>Serraria</v>
          </cell>
          <cell r="E82">
            <v>2200</v>
          </cell>
          <cell r="F82" t="str">
            <v>Oil</v>
          </cell>
          <cell r="G82">
            <v>4</v>
          </cell>
          <cell r="H82">
            <v>5.2</v>
          </cell>
          <cell r="I82">
            <v>0.15</v>
          </cell>
          <cell r="J82">
            <v>250</v>
          </cell>
          <cell r="K82">
            <v>0.3</v>
          </cell>
          <cell r="L82">
            <v>1.2</v>
          </cell>
          <cell r="M82">
            <v>0.18</v>
          </cell>
        </row>
        <row r="83">
          <cell r="B83" t="str">
            <v>Potiguar</v>
          </cell>
          <cell r="C83" t="str">
            <v>POT-T-004</v>
          </cell>
          <cell r="D83" t="str">
            <v>Pendencia</v>
          </cell>
          <cell r="E83">
            <v>1500</v>
          </cell>
          <cell r="F83" t="str">
            <v>Oil</v>
          </cell>
          <cell r="G83">
            <v>3</v>
          </cell>
          <cell r="H83">
            <v>3.9000000000000004</v>
          </cell>
          <cell r="I83">
            <v>0.15</v>
          </cell>
          <cell r="J83">
            <v>250</v>
          </cell>
          <cell r="K83">
            <v>0.3</v>
          </cell>
          <cell r="L83">
            <v>0.89999999999999991</v>
          </cell>
          <cell r="M83">
            <v>0.13499999999999998</v>
          </cell>
        </row>
        <row r="84">
          <cell r="B84">
            <v>0</v>
          </cell>
          <cell r="C84" t="str">
            <v>POT-T-005</v>
          </cell>
          <cell r="D84" t="str">
            <v>Pendencia</v>
          </cell>
          <cell r="E84">
            <v>1500</v>
          </cell>
          <cell r="F84" t="str">
            <v>Oil</v>
          </cell>
          <cell r="G84">
            <v>3</v>
          </cell>
          <cell r="H84">
            <v>3.9000000000000004</v>
          </cell>
          <cell r="I84">
            <v>0.15</v>
          </cell>
          <cell r="J84">
            <v>250</v>
          </cell>
          <cell r="K84">
            <v>0.3</v>
          </cell>
          <cell r="L84">
            <v>0.89999999999999991</v>
          </cell>
          <cell r="M84">
            <v>0.13499999999999998</v>
          </cell>
        </row>
        <row r="85">
          <cell r="B85">
            <v>0</v>
          </cell>
          <cell r="C85" t="str">
            <v>POT-T-006</v>
          </cell>
          <cell r="D85" t="str">
            <v>Pendencia</v>
          </cell>
          <cell r="E85">
            <v>1500</v>
          </cell>
          <cell r="F85" t="str">
            <v>Oil</v>
          </cell>
          <cell r="G85">
            <v>3</v>
          </cell>
          <cell r="H85">
            <v>3.9000000000000004</v>
          </cell>
          <cell r="I85">
            <v>0.15</v>
          </cell>
          <cell r="J85">
            <v>250</v>
          </cell>
          <cell r="K85">
            <v>0.3</v>
          </cell>
          <cell r="L85">
            <v>0.89999999999999991</v>
          </cell>
          <cell r="M85">
            <v>0.13499999999999998</v>
          </cell>
        </row>
        <row r="90">
          <cell r="C90">
            <v>2007</v>
          </cell>
          <cell r="D90">
            <v>2008</v>
          </cell>
          <cell r="E90">
            <v>2009</v>
          </cell>
          <cell r="F90">
            <v>2010</v>
          </cell>
          <cell r="G90">
            <v>2011</v>
          </cell>
          <cell r="H90">
            <v>2012</v>
          </cell>
          <cell r="I90">
            <v>2013</v>
          </cell>
          <cell r="J90">
            <v>2014</v>
          </cell>
          <cell r="K90">
            <v>2015</v>
          </cell>
          <cell r="L90">
            <v>2016</v>
          </cell>
          <cell r="M90">
            <v>2017</v>
          </cell>
          <cell r="N90">
            <v>2018</v>
          </cell>
          <cell r="O90">
            <v>2019</v>
          </cell>
          <cell r="P90">
            <v>2020</v>
          </cell>
          <cell r="Q90">
            <v>2021</v>
          </cell>
        </row>
        <row r="91">
          <cell r="B91" t="str">
            <v>Operational costs</v>
          </cell>
          <cell r="C91">
            <v>0</v>
          </cell>
          <cell r="D91">
            <v>0</v>
          </cell>
          <cell r="E91">
            <v>1.7420995581042893</v>
          </cell>
          <cell r="F91">
            <v>3.1309347843022057</v>
          </cell>
          <cell r="G91">
            <v>3.1414522946512515</v>
          </cell>
          <cell r="H91">
            <v>2.8788636768505236</v>
          </cell>
          <cell r="I91">
            <v>2.8855301149277093</v>
          </cell>
          <cell r="J91">
            <v>2.47309717263553</v>
          </cell>
          <cell r="K91">
            <v>1.6286967574402234</v>
          </cell>
          <cell r="L91">
            <v>1.0654791407024236</v>
          </cell>
          <cell r="M91">
            <v>0.68855842294321701</v>
          </cell>
          <cell r="N91">
            <v>0.40292007705489924</v>
          </cell>
          <cell r="O91">
            <v>0.24364571097096901</v>
          </cell>
          <cell r="P91">
            <v>0.10564690929058457</v>
          </cell>
          <cell r="Q91">
            <v>6.3106047450538549E-2</v>
          </cell>
        </row>
        <row r="92">
          <cell r="B92" t="str">
            <v>Operational  Centers  (G&amp;A costs)</v>
          </cell>
          <cell r="C92">
            <v>0</v>
          </cell>
          <cell r="D92">
            <v>0</v>
          </cell>
          <cell r="E92">
            <v>0.123692415</v>
          </cell>
          <cell r="F92">
            <v>0.22163747143982998</v>
          </cell>
          <cell r="G92">
            <v>0.22171685073579842</v>
          </cell>
          <cell r="H92">
            <v>0.20257619028595844</v>
          </cell>
          <cell r="I92">
            <v>0.20243797174308492</v>
          </cell>
          <cell r="J92">
            <v>0.17298427037890696</v>
          </cell>
          <cell r="K92">
            <v>0.1135807499469438</v>
          </cell>
          <cell r="L92">
            <v>7.408128704538261E-2</v>
          </cell>
          <cell r="M92">
            <v>4.7731318298759151E-2</v>
          </cell>
          <cell r="N92">
            <v>2.784714071903565E-2</v>
          </cell>
          <cell r="O92">
            <v>1.6788795485523332E-2</v>
          </cell>
          <cell r="P92">
            <v>7.257994442264732E-3</v>
          </cell>
          <cell r="Q92">
            <v>4.3224490388894593E-3</v>
          </cell>
        </row>
        <row r="93">
          <cell r="B93" t="str">
            <v>Abandonment  costs</v>
          </cell>
          <cell r="C93">
            <v>0</v>
          </cell>
          <cell r="D93">
            <v>0</v>
          </cell>
          <cell r="E93">
            <v>0.14843089799999998</v>
          </cell>
          <cell r="F93">
            <v>0.26596496572779599</v>
          </cell>
          <cell r="G93">
            <v>0.26606022088295805</v>
          </cell>
          <cell r="H93">
            <v>0.24309142834315012</v>
          </cell>
          <cell r="I93">
            <v>0.24292556609170188</v>
          </cell>
          <cell r="J93">
            <v>0.20758112445468835</v>
          </cell>
          <cell r="K93">
            <v>0.13629689993633254</v>
          </cell>
          <cell r="L93">
            <v>8.8897544454459118E-2</v>
          </cell>
          <cell r="M93">
            <v>5.727758195851098E-2</v>
          </cell>
          <cell r="N93">
            <v>3.3416568862842777E-2</v>
          </cell>
          <cell r="O93">
            <v>2.0146554582627995E-2</v>
          </cell>
          <cell r="P93">
            <v>8.7095933307176788E-3</v>
          </cell>
          <cell r="Q93">
            <v>1.4210791360732469E-2</v>
          </cell>
        </row>
        <row r="95">
          <cell r="B95" t="str">
            <v>Total depreciation</v>
          </cell>
          <cell r="C95">
            <v>0</v>
          </cell>
          <cell r="D95">
            <v>0</v>
          </cell>
          <cell r="E95">
            <v>4.8943106783783792</v>
          </cell>
          <cell r="F95">
            <v>7.9393846497297309</v>
          </cell>
          <cell r="G95">
            <v>8.8637555975675699</v>
          </cell>
          <cell r="H95">
            <v>8.4830594997297304</v>
          </cell>
          <cell r="I95">
            <v>7.3954623940540545</v>
          </cell>
          <cell r="J95">
            <v>6.199130318378379</v>
          </cell>
          <cell r="K95">
            <v>5.0027982427027036</v>
          </cell>
          <cell r="L95">
            <v>4.2958972348648654</v>
          </cell>
          <cell r="M95">
            <v>3.6977311970270272</v>
          </cell>
          <cell r="N95">
            <v>2.6101340913513518</v>
          </cell>
          <cell r="O95">
            <v>0.43493987999999995</v>
          </cell>
          <cell r="P95">
            <v>0</v>
          </cell>
          <cell r="Q95">
            <v>0</v>
          </cell>
        </row>
        <row r="97">
          <cell r="B97" t="str">
            <v>Year</v>
          </cell>
          <cell r="C97">
            <v>1</v>
          </cell>
          <cell r="D97">
            <v>2</v>
          </cell>
          <cell r="E97">
            <v>3</v>
          </cell>
          <cell r="F97">
            <v>4</v>
          </cell>
          <cell r="G97">
            <v>5</v>
          </cell>
          <cell r="H97">
            <v>6</v>
          </cell>
          <cell r="I97">
            <v>7</v>
          </cell>
          <cell r="J97">
            <v>8</v>
          </cell>
          <cell r="K97">
            <v>9</v>
          </cell>
          <cell r="L97">
            <v>10</v>
          </cell>
        </row>
        <row r="98">
          <cell r="B98" t="str">
            <v>Depreciation Ratio</v>
          </cell>
          <cell r="C98">
            <v>0.1</v>
          </cell>
          <cell r="D98">
            <v>0.14000000000000001</v>
          </cell>
          <cell r="E98">
            <v>0.15</v>
          </cell>
          <cell r="F98">
            <v>0.14000000000000001</v>
          </cell>
          <cell r="G98">
            <v>0.12</v>
          </cell>
          <cell r="H98">
            <v>0.1</v>
          </cell>
          <cell r="I98">
            <v>0.08</v>
          </cell>
          <cell r="J98">
            <v>7.0000000000000007E-2</v>
          </cell>
          <cell r="K98">
            <v>0.06</v>
          </cell>
          <cell r="L98">
            <v>0.04</v>
          </cell>
        </row>
        <row r="100">
          <cell r="B100" t="str">
            <v>EBITDA</v>
          </cell>
          <cell r="C100">
            <v>0</v>
          </cell>
          <cell r="D100">
            <v>0</v>
          </cell>
          <cell r="E100">
            <v>21.660505359895705</v>
          </cell>
          <cell r="F100">
            <v>38.802874812113629</v>
          </cell>
          <cell r="G100">
            <v>38.807375864561813</v>
          </cell>
          <cell r="H100">
            <v>35.44855152525281</v>
          </cell>
          <cell r="I100">
            <v>35.415734138863954</v>
          </cell>
          <cell r="J100">
            <v>30.255526783053671</v>
          </cell>
          <cell r="K100">
            <v>19.860781132521542</v>
          </cell>
          <cell r="L100">
            <v>12.950700368283966</v>
          </cell>
          <cell r="M100">
            <v>8.3422069991820162</v>
          </cell>
          <cell r="N100">
            <v>4.8657589469866451</v>
          </cell>
          <cell r="O100">
            <v>2.932794394890045</v>
          </cell>
          <cell r="P100">
            <v>1.2675656391859027</v>
          </cell>
          <cell r="Q100">
            <v>0.74567745819328213</v>
          </cell>
        </row>
        <row r="103">
          <cell r="B103" t="str">
            <v>Oil Production</v>
          </cell>
          <cell r="D103">
            <v>0</v>
          </cell>
          <cell r="E103">
            <v>0</v>
          </cell>
          <cell r="F103">
            <v>0</v>
          </cell>
          <cell r="G103">
            <v>373.2775200000001</v>
          </cell>
          <cell r="H103">
            <v>923.49262439046936</v>
          </cell>
          <cell r="I103">
            <v>1397.8796566454937</v>
          </cell>
          <cell r="J103">
            <v>1763.1423537948911</v>
          </cell>
          <cell r="K103">
            <v>1874.0749952924184</v>
          </cell>
          <cell r="L103">
            <v>1200.6872296949236</v>
          </cell>
          <cell r="M103">
            <v>804.84471908350542</v>
          </cell>
          <cell r="N103">
            <v>539.50354914759646</v>
          </cell>
          <cell r="O103">
            <v>361.64004390100769</v>
          </cell>
          <cell r="P103">
            <v>205.55522308150714</v>
          </cell>
          <cell r="Q103">
            <v>84.088231691582195</v>
          </cell>
        </row>
        <row r="124">
          <cell r="B124" t="str">
            <v>Location</v>
          </cell>
          <cell r="C124" t="str">
            <v>Exploratory Block</v>
          </cell>
          <cell r="D124" t="str">
            <v>Main Prospects and Leads</v>
          </cell>
          <cell r="E124" t="str">
            <v>Depth (meters)</v>
          </cell>
          <cell r="F124" t="str">
            <v>Expected Fluid</v>
          </cell>
          <cell r="G124" t="str">
            <v>P50% (Reserve MMBo)</v>
          </cell>
          <cell r="H124" t="str">
            <v>Reserves (MM m3 OER)</v>
          </cell>
          <cell r="I124" t="str">
            <v>Exploratory Risk</v>
          </cell>
          <cell r="J124" t="str">
            <v>Initial Qo (bbl/day)/well</v>
          </cell>
          <cell r="K124" t="str">
            <v>SF WI (%)</v>
          </cell>
          <cell r="L124" t="str">
            <v>SF Reserve (MMBo)</v>
          </cell>
          <cell r="M124" t="str">
            <v>SF Risked Reserve (MMBo)</v>
          </cell>
        </row>
        <row r="125">
          <cell r="B125" t="str">
            <v>Campos Offshore</v>
          </cell>
          <cell r="C125" t="str">
            <v>C-M-001</v>
          </cell>
          <cell r="D125" t="str">
            <v>Macae</v>
          </cell>
          <cell r="E125">
            <v>3000</v>
          </cell>
          <cell r="F125" t="str">
            <v xml:space="preserve">Óleo  </v>
          </cell>
          <cell r="G125">
            <v>56.404891304347828</v>
          </cell>
          <cell r="H125">
            <v>73.326358695652175</v>
          </cell>
          <cell r="I125">
            <v>0.22</v>
          </cell>
          <cell r="J125">
            <v>500</v>
          </cell>
          <cell r="K125">
            <v>0.3</v>
          </cell>
          <cell r="L125">
            <v>16.921467391304347</v>
          </cell>
          <cell r="M125">
            <v>3.7227228260869563</v>
          </cell>
        </row>
        <row r="126">
          <cell r="C126" t="str">
            <v>C-M-002</v>
          </cell>
          <cell r="D126" t="str">
            <v>Macae</v>
          </cell>
          <cell r="E126">
            <v>3000</v>
          </cell>
          <cell r="F126" t="str">
            <v xml:space="preserve">Óleo  </v>
          </cell>
          <cell r="G126">
            <v>56.404891304347828</v>
          </cell>
          <cell r="H126">
            <v>73.326358695652175</v>
          </cell>
          <cell r="I126">
            <v>0.22</v>
          </cell>
          <cell r="J126">
            <v>500</v>
          </cell>
          <cell r="K126">
            <v>0.3</v>
          </cell>
          <cell r="L126">
            <v>16.921467391304347</v>
          </cell>
          <cell r="M126">
            <v>3.7227228260869563</v>
          </cell>
        </row>
        <row r="127">
          <cell r="B127" t="str">
            <v>Campos Offshore</v>
          </cell>
          <cell r="C127" t="str">
            <v>C-M-003</v>
          </cell>
          <cell r="D127" t="str">
            <v>Macae</v>
          </cell>
          <cell r="E127">
            <v>3000</v>
          </cell>
          <cell r="F127" t="str">
            <v xml:space="preserve">Óleo  </v>
          </cell>
          <cell r="G127">
            <v>56.404891304347828</v>
          </cell>
          <cell r="H127">
            <v>73.326358695652175</v>
          </cell>
          <cell r="I127">
            <v>0.22</v>
          </cell>
          <cell r="J127">
            <v>500</v>
          </cell>
          <cell r="K127">
            <v>0.3</v>
          </cell>
          <cell r="L127">
            <v>16.921467391304347</v>
          </cell>
          <cell r="M127">
            <v>3.7227228260869563</v>
          </cell>
        </row>
        <row r="128">
          <cell r="C128" t="str">
            <v>C-M-004</v>
          </cell>
          <cell r="D128" t="str">
            <v>Macae</v>
          </cell>
          <cell r="E128">
            <v>3000</v>
          </cell>
          <cell r="F128" t="str">
            <v xml:space="preserve">Óleo  </v>
          </cell>
          <cell r="G128">
            <v>56.404891304347828</v>
          </cell>
          <cell r="H128">
            <v>73.326358695652175</v>
          </cell>
          <cell r="I128">
            <v>0.22</v>
          </cell>
          <cell r="J128">
            <v>500</v>
          </cell>
          <cell r="K128">
            <v>0.3</v>
          </cell>
          <cell r="L128">
            <v>16.921467391304347</v>
          </cell>
          <cell r="M128">
            <v>3.7227228260869563</v>
          </cell>
        </row>
        <row r="129">
          <cell r="B129" t="str">
            <v>Campos Offshore</v>
          </cell>
          <cell r="C129" t="str">
            <v>C-M-005</v>
          </cell>
          <cell r="D129" t="str">
            <v>Macae</v>
          </cell>
          <cell r="E129">
            <v>3000</v>
          </cell>
          <cell r="F129" t="str">
            <v xml:space="preserve">Óleo  </v>
          </cell>
          <cell r="G129">
            <v>56.404891304347828</v>
          </cell>
          <cell r="H129">
            <v>73.326358695652175</v>
          </cell>
          <cell r="I129">
            <v>0.22</v>
          </cell>
          <cell r="J129">
            <v>500</v>
          </cell>
          <cell r="K129">
            <v>0.3</v>
          </cell>
          <cell r="L129">
            <v>16.921467391304347</v>
          </cell>
          <cell r="M129">
            <v>3.7227228260869563</v>
          </cell>
        </row>
        <row r="130">
          <cell r="C130" t="str">
            <v>C-M-006</v>
          </cell>
          <cell r="D130" t="str">
            <v>Macae</v>
          </cell>
          <cell r="E130">
            <v>3000</v>
          </cell>
          <cell r="F130" t="str">
            <v xml:space="preserve">Óleo  </v>
          </cell>
          <cell r="G130">
            <v>56.404891304347828</v>
          </cell>
          <cell r="H130">
            <v>73.326358695652175</v>
          </cell>
          <cell r="I130">
            <v>0.22</v>
          </cell>
          <cell r="J130">
            <v>500</v>
          </cell>
          <cell r="K130">
            <v>0.3</v>
          </cell>
          <cell r="L130">
            <v>16.921467391304347</v>
          </cell>
          <cell r="M130">
            <v>3.7227228260869563</v>
          </cell>
        </row>
        <row r="131">
          <cell r="B131" t="str">
            <v>Campos Offshore</v>
          </cell>
          <cell r="C131" t="str">
            <v>C-M-007</v>
          </cell>
          <cell r="D131" t="str">
            <v>Macae</v>
          </cell>
          <cell r="E131">
            <v>3000</v>
          </cell>
          <cell r="F131" t="str">
            <v xml:space="preserve">Óleo  </v>
          </cell>
          <cell r="G131">
            <v>56.404891304347828</v>
          </cell>
          <cell r="H131">
            <v>73.326358695652175</v>
          </cell>
          <cell r="I131">
            <v>0.22</v>
          </cell>
          <cell r="J131">
            <v>500</v>
          </cell>
          <cell r="K131">
            <v>0.3</v>
          </cell>
          <cell r="L131">
            <v>16.921467391304347</v>
          </cell>
          <cell r="M131">
            <v>3.7227228260869563</v>
          </cell>
        </row>
        <row r="132">
          <cell r="C132" t="str">
            <v>C-M-008</v>
          </cell>
          <cell r="D132" t="str">
            <v>Macae</v>
          </cell>
          <cell r="E132">
            <v>3000</v>
          </cell>
          <cell r="F132" t="str">
            <v xml:space="preserve">Óleo  </v>
          </cell>
          <cell r="G132">
            <v>56.404891304347828</v>
          </cell>
          <cell r="H132">
            <v>73.326358695652175</v>
          </cell>
          <cell r="I132">
            <v>0.22</v>
          </cell>
          <cell r="J132">
            <v>500</v>
          </cell>
          <cell r="K132">
            <v>0.3</v>
          </cell>
          <cell r="L132">
            <v>16.921467391304347</v>
          </cell>
          <cell r="M132">
            <v>3.7227228260869563</v>
          </cell>
        </row>
        <row r="136">
          <cell r="B136" t="str">
            <v>New Onshore Portfolio</v>
          </cell>
        </row>
        <row r="137">
          <cell r="C137">
            <v>2007</v>
          </cell>
          <cell r="D137">
            <v>2008</v>
          </cell>
          <cell r="E137">
            <v>2009</v>
          </cell>
          <cell r="F137">
            <v>2010</v>
          </cell>
          <cell r="G137">
            <v>2011</v>
          </cell>
          <cell r="H137">
            <v>2012</v>
          </cell>
          <cell r="I137">
            <v>2013</v>
          </cell>
          <cell r="J137">
            <v>2014</v>
          </cell>
          <cell r="K137">
            <v>2015</v>
          </cell>
          <cell r="L137">
            <v>2016</v>
          </cell>
          <cell r="M137">
            <v>2017</v>
          </cell>
          <cell r="N137">
            <v>2018</v>
          </cell>
          <cell r="O137">
            <v>2019</v>
          </cell>
          <cell r="P137">
            <v>2020</v>
          </cell>
          <cell r="Q137">
            <v>2021</v>
          </cell>
        </row>
        <row r="138">
          <cell r="B138" t="str">
            <v>Operational costs</v>
          </cell>
          <cell r="D138">
            <v>0</v>
          </cell>
          <cell r="E138">
            <v>0</v>
          </cell>
          <cell r="F138">
            <v>0</v>
          </cell>
          <cell r="G138">
            <v>1.260381412004854</v>
          </cell>
          <cell r="H138">
            <v>3.2117431717894176</v>
          </cell>
          <cell r="I138">
            <v>5.0074242428661657</v>
          </cell>
          <cell r="J138">
            <v>6.5053281058680792</v>
          </cell>
          <cell r="K138">
            <v>7.12206640293922</v>
          </cell>
          <cell r="L138">
            <v>4.6998734984164834</v>
          </cell>
          <cell r="M138">
            <v>3.2449320024148252</v>
          </cell>
          <cell r="N138">
            <v>2.2403972583184615</v>
          </cell>
          <cell r="O138">
            <v>1.5468366891341754</v>
          </cell>
          <cell r="P138">
            <v>0.90559432521375116</v>
          </cell>
          <cell r="Q138">
            <v>0.38157298571376946</v>
          </cell>
        </row>
        <row r="139">
          <cell r="B139" t="str">
            <v>Operational  Centers  (G&amp;A costs)</v>
          </cell>
          <cell r="D139">
            <v>0</v>
          </cell>
          <cell r="E139">
            <v>0</v>
          </cell>
          <cell r="F139">
            <v>0</v>
          </cell>
          <cell r="G139">
            <v>0.18832355312576651</v>
          </cell>
          <cell r="H139">
            <v>0.46731225214843897</v>
          </cell>
          <cell r="I139">
            <v>0.70948701932913083</v>
          </cell>
          <cell r="J139">
            <v>0.89755894731131058</v>
          </cell>
          <cell r="K139">
            <v>0.95689327334555718</v>
          </cell>
          <cell r="L139">
            <v>0.61490405932641756</v>
          </cell>
          <cell r="M139">
            <v>0.41341906490725128</v>
          </cell>
          <cell r="N139">
            <v>0.27795445588050144</v>
          </cell>
          <cell r="O139">
            <v>0.18687739899261369</v>
          </cell>
          <cell r="P139">
            <v>0.10653927009720621</v>
          </cell>
          <cell r="Q139">
            <v>4.3713678445949831E-2</v>
          </cell>
        </row>
        <row r="140">
          <cell r="B140" t="str">
            <v>Abandonment  costs</v>
          </cell>
          <cell r="D140">
            <v>0</v>
          </cell>
          <cell r="E140">
            <v>0</v>
          </cell>
          <cell r="F140">
            <v>0</v>
          </cell>
          <cell r="G140">
            <v>0.18663876000000004</v>
          </cell>
          <cell r="H140">
            <v>0.46174631219523465</v>
          </cell>
          <cell r="I140">
            <v>0.69893982832274681</v>
          </cell>
          <cell r="J140">
            <v>0.88157117689744557</v>
          </cell>
          <cell r="K140">
            <v>0.93703749764620925</v>
          </cell>
          <cell r="L140">
            <v>0.60034361484746179</v>
          </cell>
          <cell r="M140">
            <v>0.40242235954175271</v>
          </cell>
          <cell r="N140">
            <v>0.26975177457379823</v>
          </cell>
          <cell r="O140">
            <v>0.18082002195050384</v>
          </cell>
          <cell r="P140">
            <v>0.10277761154075357</v>
          </cell>
          <cell r="Q140">
            <v>4.2044115845791097E-2</v>
          </cell>
        </row>
        <row r="142">
          <cell r="B142" t="str">
            <v>Total depreciation</v>
          </cell>
          <cell r="C142">
            <v>0</v>
          </cell>
          <cell r="D142">
            <v>0</v>
          </cell>
          <cell r="E142">
            <v>0</v>
          </cell>
          <cell r="F142">
            <v>5.0091999999999999</v>
          </cell>
          <cell r="G142">
            <v>12.19988</v>
          </cell>
          <cell r="H142">
            <v>19.394200000000001</v>
          </cell>
          <cell r="I142">
            <v>25.613419999999998</v>
          </cell>
          <cell r="J142">
            <v>27.37154</v>
          </cell>
          <cell r="K142">
            <v>25.735919999999997</v>
          </cell>
          <cell r="L142">
            <v>22.445080000000001</v>
          </cell>
          <cell r="M142">
            <v>19.004719999999999</v>
          </cell>
          <cell r="N142">
            <v>15.975539999999999</v>
          </cell>
          <cell r="O142">
            <v>12.907300000000001</v>
          </cell>
          <cell r="P142">
            <v>8.7539200000000008</v>
          </cell>
          <cell r="Q142">
            <v>5.2124800000000002</v>
          </cell>
        </row>
        <row r="144">
          <cell r="B144" t="str">
            <v>Year</v>
          </cell>
          <cell r="C144">
            <v>1</v>
          </cell>
          <cell r="D144">
            <v>2</v>
          </cell>
          <cell r="E144">
            <v>3</v>
          </cell>
          <cell r="F144">
            <v>4</v>
          </cell>
          <cell r="G144">
            <v>5</v>
          </cell>
          <cell r="H144">
            <v>6</v>
          </cell>
          <cell r="I144">
            <v>7</v>
          </cell>
          <cell r="J144">
            <v>8</v>
          </cell>
          <cell r="K144">
            <v>9</v>
          </cell>
          <cell r="L144">
            <v>10</v>
          </cell>
        </row>
        <row r="145">
          <cell r="B145" t="str">
            <v>Depreciation Ratio</v>
          </cell>
          <cell r="C145">
            <v>0.1</v>
          </cell>
          <cell r="D145">
            <v>0.14000000000000001</v>
          </cell>
          <cell r="E145">
            <v>0.15</v>
          </cell>
          <cell r="F145">
            <v>0.14000000000000001</v>
          </cell>
          <cell r="G145">
            <v>0.12</v>
          </cell>
          <cell r="H145">
            <v>0.1</v>
          </cell>
          <cell r="I145">
            <v>0.08</v>
          </cell>
          <cell r="J145">
            <v>7.0000000000000007E-2</v>
          </cell>
          <cell r="K145">
            <v>0.06</v>
          </cell>
          <cell r="L145">
            <v>0.04</v>
          </cell>
        </row>
        <row r="147">
          <cell r="B147" t="str">
            <v>EBITDA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16.225985606869383</v>
          </cell>
          <cell r="H147">
            <v>40.048320340950866</v>
          </cell>
          <cell r="I147">
            <v>60.472690479968819</v>
          </cell>
          <cell r="J147">
            <v>76.081903399008695</v>
          </cell>
          <cell r="K147">
            <v>80.658491350811218</v>
          </cell>
          <cell r="L147">
            <v>51.537762768311737</v>
          </cell>
          <cell r="M147">
            <v>34.451046381281898</v>
          </cell>
          <cell r="N147">
            <v>23.027141337939728</v>
          </cell>
          <cell r="O147">
            <v>15.389941990585923</v>
          </cell>
          <cell r="P147">
            <v>8.7209062175984062</v>
          </cell>
          <cell r="Q147">
            <v>3.5562911064366975</v>
          </cell>
        </row>
        <row r="198">
          <cell r="B198" t="str">
            <v>New Offshore Portfolio</v>
          </cell>
        </row>
        <row r="200">
          <cell r="C200">
            <v>2007</v>
          </cell>
          <cell r="D200">
            <v>2008</v>
          </cell>
          <cell r="E200">
            <v>2009</v>
          </cell>
          <cell r="F200">
            <v>2010</v>
          </cell>
          <cell r="G200">
            <v>2011</v>
          </cell>
          <cell r="H200">
            <v>2012</v>
          </cell>
          <cell r="I200">
            <v>2013</v>
          </cell>
          <cell r="J200">
            <v>2014</v>
          </cell>
          <cell r="K200">
            <v>2015</v>
          </cell>
          <cell r="L200">
            <v>2016</v>
          </cell>
          <cell r="M200">
            <v>2017</v>
          </cell>
          <cell r="N200">
            <v>2018</v>
          </cell>
          <cell r="O200">
            <v>2019</v>
          </cell>
          <cell r="P200">
            <v>2020</v>
          </cell>
          <cell r="Q200">
            <v>2021</v>
          </cell>
        </row>
        <row r="201">
          <cell r="B201" t="str">
            <v>Operational costs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12.24059563240734</v>
          </cell>
          <cell r="J201">
            <v>36.467562042102884</v>
          </cell>
          <cell r="K201">
            <v>56.945532692251732</v>
          </cell>
          <cell r="L201">
            <v>60.106509506844546</v>
          </cell>
          <cell r="M201">
            <v>49.909047920599711</v>
          </cell>
          <cell r="N201">
            <v>37.697170249104367</v>
          </cell>
          <cell r="O201">
            <v>25.344976403483347</v>
          </cell>
          <cell r="P201">
            <v>17.040213486803815</v>
          </cell>
          <cell r="Q201">
            <v>11.456663878998247</v>
          </cell>
        </row>
        <row r="202">
          <cell r="B202" t="str">
            <v>Operational  Centers  (G&amp;A costs)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0.7627489800852032</v>
          </cell>
          <cell r="J202">
            <v>2.272405411397239</v>
          </cell>
          <cell r="K202">
            <v>3.5484504419399143</v>
          </cell>
          <cell r="L202">
            <v>3.7454205824304934</v>
          </cell>
          <cell r="M202">
            <v>3.1099855384222161</v>
          </cell>
          <cell r="N202">
            <v>2.3490260623818777</v>
          </cell>
          <cell r="O202">
            <v>1.5793230560495608</v>
          </cell>
          <cell r="P202">
            <v>1.061827859347197</v>
          </cell>
          <cell r="Q202">
            <v>0.71389979305821594</v>
          </cell>
        </row>
        <row r="203">
          <cell r="B203" t="str">
            <v>Abandonment  costs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0.75141000000000002</v>
          </cell>
          <cell r="J203">
            <v>2.2319281857916398</v>
          </cell>
          <cell r="K203">
            <v>3.4748192042480937</v>
          </cell>
          <cell r="L203">
            <v>3.6567319689571054</v>
          </cell>
          <cell r="M203">
            <v>3.0272617417713215</v>
          </cell>
          <cell r="N203">
            <v>2.279704230106081</v>
          </cell>
          <cell r="O203">
            <v>1.5281314444723497</v>
          </cell>
          <cell r="P203">
            <v>1.0243371402072137</v>
          </cell>
          <cell r="Q203">
            <v>0.68663371897971459</v>
          </cell>
        </row>
        <row r="205">
          <cell r="B205" t="str">
            <v>Total depreciation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1.0605</v>
          </cell>
          <cell r="J205">
            <v>4.1359500000000002</v>
          </cell>
          <cell r="K205">
            <v>9.8979999999999997</v>
          </cell>
          <cell r="L205">
            <v>27.342988043478265</v>
          </cell>
          <cell r="M205">
            <v>46.831111304347836</v>
          </cell>
          <cell r="N205">
            <v>57.359322173913043</v>
          </cell>
          <cell r="O205">
            <v>61.398538260869572</v>
          </cell>
          <cell r="P205">
            <v>57.494751521739133</v>
          </cell>
          <cell r="Q205">
            <v>50.361216304347835</v>
          </cell>
        </row>
        <row r="207">
          <cell r="B207" t="str">
            <v>Year</v>
          </cell>
          <cell r="C207">
            <v>1</v>
          </cell>
          <cell r="D207">
            <v>2</v>
          </cell>
          <cell r="E207">
            <v>3</v>
          </cell>
          <cell r="F207">
            <v>4</v>
          </cell>
          <cell r="G207">
            <v>5</v>
          </cell>
          <cell r="H207">
            <v>6</v>
          </cell>
          <cell r="I207">
            <v>7</v>
          </cell>
          <cell r="J207">
            <v>8</v>
          </cell>
          <cell r="K207">
            <v>9</v>
          </cell>
          <cell r="L207">
            <v>10</v>
          </cell>
        </row>
        <row r="208">
          <cell r="B208" t="str">
            <v>Depreciation Ratio</v>
          </cell>
          <cell r="C208">
            <v>0.1</v>
          </cell>
          <cell r="D208">
            <v>0.14000000000000001</v>
          </cell>
          <cell r="E208">
            <v>0.15</v>
          </cell>
          <cell r="F208">
            <v>0.14000000000000001</v>
          </cell>
          <cell r="G208">
            <v>0.12</v>
          </cell>
          <cell r="H208">
            <v>0.1</v>
          </cell>
          <cell r="I208">
            <v>0.08</v>
          </cell>
          <cell r="J208">
            <v>7.0000000000000007E-2</v>
          </cell>
          <cell r="K208">
            <v>0.06</v>
          </cell>
          <cell r="L208">
            <v>0.04</v>
          </cell>
        </row>
        <row r="210">
          <cell r="B210" t="str">
            <v>EBITDA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59.056874387507463</v>
          </cell>
          <cell r="J210">
            <v>175.30194556391811</v>
          </cell>
          <cell r="K210">
            <v>272.74117855320054</v>
          </cell>
          <cell r="L210">
            <v>286.82866573371138</v>
          </cell>
          <cell r="M210">
            <v>237.29536757684784</v>
          </cell>
          <cell r="N210">
            <v>178.57743935568692</v>
          </cell>
          <cell r="O210">
            <v>119.62350606536545</v>
          </cell>
          <cell r="P210">
            <v>80.131890399720774</v>
          </cell>
          <cell r="Q210">
            <v>53.677609978098161</v>
          </cell>
        </row>
        <row r="212">
          <cell r="B212" t="str">
            <v>Oil Production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1502.82</v>
          </cell>
          <cell r="J212">
            <v>4463.8563715832797</v>
          </cell>
          <cell r="K212">
            <v>6949.6384084961874</v>
          </cell>
          <cell r="L212">
            <v>7313.4639379142109</v>
          </cell>
          <cell r="M212">
            <v>6054.5234835426427</v>
          </cell>
          <cell r="N212">
            <v>4559.408460212162</v>
          </cell>
          <cell r="O212">
            <v>3056.2628889446996</v>
          </cell>
          <cell r="P212">
            <v>2048.6742804144274</v>
          </cell>
          <cell r="Q212">
            <v>1373.2674379594291</v>
          </cell>
        </row>
      </sheetData>
      <sheetData sheetId="8" refreshError="1">
        <row r="4">
          <cell r="C4" t="str">
            <v>New Offshore Block</v>
          </cell>
        </row>
        <row r="5">
          <cell r="C5" t="str">
            <v>Basin</v>
          </cell>
          <cell r="D5" t="str">
            <v>Block</v>
          </cell>
          <cell r="E5" t="str">
            <v># Blocks</v>
          </cell>
          <cell r="F5">
            <v>2007</v>
          </cell>
          <cell r="G5">
            <v>2008</v>
          </cell>
          <cell r="H5">
            <v>2009</v>
          </cell>
          <cell r="I5">
            <v>2010</v>
          </cell>
          <cell r="J5">
            <v>2011</v>
          </cell>
          <cell r="K5">
            <v>2012</v>
          </cell>
          <cell r="L5">
            <v>2013</v>
          </cell>
          <cell r="M5">
            <v>2014</v>
          </cell>
          <cell r="N5">
            <v>2015</v>
          </cell>
        </row>
        <row r="6">
          <cell r="C6" t="str">
            <v>Campos Basin</v>
          </cell>
          <cell r="D6" t="str">
            <v>C-M-001</v>
          </cell>
          <cell r="E6">
            <v>3</v>
          </cell>
        </row>
        <row r="7">
          <cell r="D7" t="str">
            <v>C-M-003</v>
          </cell>
          <cell r="E7">
            <v>3</v>
          </cell>
        </row>
        <row r="8">
          <cell r="D8" t="str">
            <v>C-M-005</v>
          </cell>
          <cell r="E8">
            <v>1</v>
          </cell>
        </row>
        <row r="9">
          <cell r="D9" t="str">
            <v>C-M-007</v>
          </cell>
          <cell r="E9">
            <v>1</v>
          </cell>
        </row>
        <row r="13">
          <cell r="D13" t="str">
            <v>Block</v>
          </cell>
          <cell r="E13" t="str">
            <v>Prospect</v>
          </cell>
          <cell r="F13" t="str">
            <v>Depth (meters)</v>
          </cell>
          <cell r="G13" t="str">
            <v>Product</v>
          </cell>
          <cell r="H13" t="str">
            <v>P50% Reserve (MMBo)</v>
          </cell>
          <cell r="I13" t="str">
            <v>P90% Reserve (MMBo)</v>
          </cell>
          <cell r="J13" t="str">
            <v>Exploratory Risk</v>
          </cell>
          <cell r="K13" t="str">
            <v>SF WI (%)</v>
          </cell>
          <cell r="L13" t="str">
            <v>Reserve SF (MMBoe)</v>
          </cell>
          <cell r="M13" t="str">
            <v>Reserve SF with Risk (MMBoe)</v>
          </cell>
        </row>
        <row r="14">
          <cell r="C14" t="str">
            <v>Campos off</v>
          </cell>
          <cell r="D14" t="str">
            <v>C-M-001</v>
          </cell>
          <cell r="E14" t="str">
            <v>Macae</v>
          </cell>
          <cell r="F14">
            <v>3000</v>
          </cell>
          <cell r="G14" t="str">
            <v xml:space="preserve">Óleo  </v>
          </cell>
          <cell r="H14">
            <v>56.404891304347828</v>
          </cell>
          <cell r="I14">
            <v>73.326358695652175</v>
          </cell>
          <cell r="J14">
            <v>0.22</v>
          </cell>
          <cell r="K14">
            <v>0.3</v>
          </cell>
          <cell r="L14">
            <v>16.921467391304347</v>
          </cell>
          <cell r="M14">
            <v>3.7227228260869563</v>
          </cell>
        </row>
        <row r="15">
          <cell r="D15" t="str">
            <v>C-M-002</v>
          </cell>
          <cell r="E15" t="str">
            <v>Macae</v>
          </cell>
          <cell r="F15">
            <v>3000</v>
          </cell>
          <cell r="G15" t="str">
            <v xml:space="preserve">Óleo  </v>
          </cell>
          <cell r="H15">
            <v>56.404891304347828</v>
          </cell>
          <cell r="I15">
            <v>73.326358695652175</v>
          </cell>
          <cell r="J15">
            <v>0.22</v>
          </cell>
          <cell r="K15">
            <v>0.3</v>
          </cell>
          <cell r="L15">
            <v>16.921467391304347</v>
          </cell>
          <cell r="M15">
            <v>3.7227228260869563</v>
          </cell>
        </row>
        <row r="16">
          <cell r="C16" t="str">
            <v>Campos off</v>
          </cell>
          <cell r="D16" t="str">
            <v>C-M-003</v>
          </cell>
          <cell r="E16" t="str">
            <v>Macae</v>
          </cell>
          <cell r="F16">
            <v>3000</v>
          </cell>
          <cell r="G16" t="str">
            <v xml:space="preserve">Óleo  </v>
          </cell>
          <cell r="H16">
            <v>56.404891304347828</v>
          </cell>
          <cell r="I16">
            <v>73.326358695652175</v>
          </cell>
          <cell r="J16">
            <v>0.22</v>
          </cell>
          <cell r="K16">
            <v>0.3</v>
          </cell>
          <cell r="L16">
            <v>16.921467391304347</v>
          </cell>
          <cell r="M16">
            <v>3.7227228260869563</v>
          </cell>
        </row>
        <row r="17">
          <cell r="D17" t="str">
            <v>C-M-004</v>
          </cell>
          <cell r="E17" t="str">
            <v>Macae</v>
          </cell>
          <cell r="F17">
            <v>3000</v>
          </cell>
          <cell r="G17" t="str">
            <v xml:space="preserve">Óleo  </v>
          </cell>
          <cell r="H17">
            <v>56.404891304347828</v>
          </cell>
          <cell r="I17">
            <v>73.326358695652175</v>
          </cell>
          <cell r="J17">
            <v>0.22</v>
          </cell>
          <cell r="K17">
            <v>0.3</v>
          </cell>
          <cell r="L17">
            <v>16.921467391304347</v>
          </cell>
          <cell r="M17">
            <v>3.7227228260869563</v>
          </cell>
        </row>
        <row r="18">
          <cell r="C18" t="str">
            <v>Campos off</v>
          </cell>
          <cell r="D18" t="str">
            <v>C-M-005</v>
          </cell>
          <cell r="E18" t="str">
            <v>Macae</v>
          </cell>
          <cell r="F18">
            <v>3000</v>
          </cell>
          <cell r="G18" t="str">
            <v xml:space="preserve">Óleo  </v>
          </cell>
          <cell r="H18">
            <v>56.404891304347828</v>
          </cell>
          <cell r="I18">
            <v>73.326358695652175</v>
          </cell>
          <cell r="J18">
            <v>0.22</v>
          </cell>
          <cell r="K18">
            <v>0.3</v>
          </cell>
          <cell r="L18">
            <v>16.921467391304347</v>
          </cell>
          <cell r="M18">
            <v>3.7227228260869563</v>
          </cell>
        </row>
        <row r="19">
          <cell r="D19" t="str">
            <v>C-M-006</v>
          </cell>
          <cell r="E19" t="str">
            <v>Macae</v>
          </cell>
          <cell r="F19">
            <v>3000</v>
          </cell>
          <cell r="G19" t="str">
            <v xml:space="preserve">Óleo  </v>
          </cell>
          <cell r="H19">
            <v>56.404891304347828</v>
          </cell>
          <cell r="I19">
            <v>73.326358695652175</v>
          </cell>
          <cell r="J19">
            <v>0.22</v>
          </cell>
          <cell r="K19">
            <v>0.3</v>
          </cell>
          <cell r="L19">
            <v>16.921467391304347</v>
          </cell>
          <cell r="M19">
            <v>3.7227228260869563</v>
          </cell>
        </row>
        <row r="20">
          <cell r="C20" t="str">
            <v>Campos off</v>
          </cell>
          <cell r="D20" t="str">
            <v>C-M-007</v>
          </cell>
          <cell r="E20" t="str">
            <v>Macae</v>
          </cell>
          <cell r="F20">
            <v>3000</v>
          </cell>
          <cell r="G20" t="str">
            <v xml:space="preserve">Óleo  </v>
          </cell>
          <cell r="H20">
            <v>56.404891304347828</v>
          </cell>
          <cell r="I20">
            <v>73.326358695652175</v>
          </cell>
          <cell r="J20">
            <v>0.22</v>
          </cell>
          <cell r="K20">
            <v>0.3</v>
          </cell>
          <cell r="L20">
            <v>16.921467391304347</v>
          </cell>
          <cell r="M20">
            <v>3.7227228260869563</v>
          </cell>
        </row>
        <row r="21">
          <cell r="D21" t="str">
            <v>C-M-008</v>
          </cell>
          <cell r="E21" t="str">
            <v>Macae</v>
          </cell>
          <cell r="F21">
            <v>3000</v>
          </cell>
          <cell r="G21" t="str">
            <v xml:space="preserve">Óleo  </v>
          </cell>
          <cell r="H21">
            <v>56.404891304347828</v>
          </cell>
          <cell r="I21">
            <v>73.326358695652175</v>
          </cell>
          <cell r="J21">
            <v>0.22</v>
          </cell>
          <cell r="K21">
            <v>0.3</v>
          </cell>
          <cell r="L21">
            <v>16.921467391304347</v>
          </cell>
          <cell r="M21">
            <v>3.7227228260869563</v>
          </cell>
        </row>
        <row r="22">
          <cell r="C22" t="str">
            <v>TOTAL</v>
          </cell>
          <cell r="H22">
            <v>451.23913043478257</v>
          </cell>
          <cell r="I22">
            <v>586.6108695652174</v>
          </cell>
          <cell r="L22">
            <v>135.37173913043478</v>
          </cell>
          <cell r="M22">
            <v>29.781782608695657</v>
          </cell>
        </row>
        <row r="43">
          <cell r="C43" t="str">
            <v>Basin</v>
          </cell>
          <cell r="D43" t="str">
            <v>Block</v>
          </cell>
          <cell r="E43" t="str">
            <v># of Blocks</v>
          </cell>
          <cell r="F43">
            <v>2007</v>
          </cell>
          <cell r="G43">
            <v>2008</v>
          </cell>
          <cell r="H43">
            <v>2009</v>
          </cell>
          <cell r="I43">
            <v>2010</v>
          </cell>
          <cell r="J43">
            <v>2011</v>
          </cell>
          <cell r="K43">
            <v>2012</v>
          </cell>
          <cell r="L43">
            <v>2013</v>
          </cell>
          <cell r="M43">
            <v>2014</v>
          </cell>
          <cell r="N43">
            <v>2015</v>
          </cell>
          <cell r="O43">
            <v>2016</v>
          </cell>
          <cell r="P43">
            <v>2017</v>
          </cell>
          <cell r="Q43">
            <v>2018</v>
          </cell>
          <cell r="R43">
            <v>2019</v>
          </cell>
          <cell r="S43">
            <v>2020</v>
          </cell>
          <cell r="T43">
            <v>2021</v>
          </cell>
          <cell r="U43">
            <v>2022</v>
          </cell>
          <cell r="V43">
            <v>2023</v>
          </cell>
        </row>
        <row r="44">
          <cell r="C44" t="str">
            <v>Tucano Sul</v>
          </cell>
          <cell r="D44" t="str">
            <v>TUC-T-162</v>
          </cell>
        </row>
        <row r="45">
          <cell r="D45" t="str">
            <v>TUC-T-167</v>
          </cell>
        </row>
        <row r="46">
          <cell r="C46" t="str">
            <v xml:space="preserve">Reconcavo </v>
          </cell>
          <cell r="D46" t="str">
            <v>REC-T-001</v>
          </cell>
          <cell r="E46">
            <v>7</v>
          </cell>
        </row>
        <row r="47">
          <cell r="D47" t="str">
            <v>REC-T-005</v>
          </cell>
          <cell r="E47">
            <v>7</v>
          </cell>
        </row>
        <row r="48">
          <cell r="C48" t="str">
            <v>Potiguar</v>
          </cell>
          <cell r="D48" t="str">
            <v>POT-T-001</v>
          </cell>
          <cell r="E48">
            <v>7</v>
          </cell>
          <cell r="F48">
            <v>0</v>
          </cell>
        </row>
        <row r="49">
          <cell r="D49" t="str">
            <v>POT-T-005</v>
          </cell>
          <cell r="E49">
            <v>7</v>
          </cell>
        </row>
        <row r="50">
          <cell r="C50" t="str">
            <v>Alagoas</v>
          </cell>
          <cell r="D50" t="str">
            <v>AL-T-01</v>
          </cell>
          <cell r="E50">
            <v>7</v>
          </cell>
        </row>
        <row r="51">
          <cell r="D51" t="str">
            <v>AL-T-05</v>
          </cell>
          <cell r="E51">
            <v>7</v>
          </cell>
        </row>
        <row r="52">
          <cell r="C52" t="str">
            <v>Sergipe</v>
          </cell>
          <cell r="D52" t="str">
            <v>SEAL-001</v>
          </cell>
          <cell r="E52">
            <v>7</v>
          </cell>
          <cell r="O52">
            <v>0</v>
          </cell>
        </row>
        <row r="53">
          <cell r="D53" t="str">
            <v>SEAL-005</v>
          </cell>
          <cell r="E53">
            <v>7</v>
          </cell>
        </row>
        <row r="58">
          <cell r="D58" t="str">
            <v>Block</v>
          </cell>
          <cell r="E58" t="str">
            <v>Prospect</v>
          </cell>
          <cell r="F58" t="str">
            <v>Depth (meters)</v>
          </cell>
          <cell r="G58" t="str">
            <v>Product</v>
          </cell>
          <cell r="H58" t="str">
            <v>P50% Reserve (MMBo)</v>
          </cell>
          <cell r="I58" t="str">
            <v>P90% Reserve (MMBo)</v>
          </cell>
          <cell r="J58" t="str">
            <v>Exploratory Risk</v>
          </cell>
          <cell r="K58" t="str">
            <v>SF WI (%)</v>
          </cell>
          <cell r="L58" t="str">
            <v>Reserve SF (MMBoe)</v>
          </cell>
          <cell r="M58" t="str">
            <v>Reserve SF with Risk (MMBoe)</v>
          </cell>
        </row>
        <row r="59">
          <cell r="C59" t="str">
            <v>Alagoas</v>
          </cell>
          <cell r="D59" t="str">
            <v>AL-T-01</v>
          </cell>
          <cell r="E59" t="str">
            <v>B.Itiuba</v>
          </cell>
          <cell r="F59">
            <v>2200</v>
          </cell>
          <cell r="G59" t="str">
            <v xml:space="preserve">Óleo  </v>
          </cell>
          <cell r="H59">
            <v>4</v>
          </cell>
          <cell r="I59">
            <v>5.2</v>
          </cell>
          <cell r="J59">
            <v>0.15</v>
          </cell>
          <cell r="K59">
            <v>0.3</v>
          </cell>
          <cell r="L59">
            <v>1.2</v>
          </cell>
          <cell r="M59">
            <v>0.18</v>
          </cell>
        </row>
        <row r="60">
          <cell r="D60" t="str">
            <v>AL-T-02</v>
          </cell>
          <cell r="E60" t="str">
            <v>B.Itiuba</v>
          </cell>
          <cell r="F60">
            <v>2200</v>
          </cell>
          <cell r="G60" t="str">
            <v xml:space="preserve">Óleo  </v>
          </cell>
          <cell r="H60">
            <v>4</v>
          </cell>
          <cell r="I60">
            <v>5.2</v>
          </cell>
          <cell r="J60">
            <v>0.15</v>
          </cell>
          <cell r="K60">
            <v>0.3</v>
          </cell>
          <cell r="L60">
            <v>1.2</v>
          </cell>
          <cell r="M60">
            <v>0.18</v>
          </cell>
        </row>
        <row r="61">
          <cell r="D61" t="str">
            <v>AL-T-03</v>
          </cell>
          <cell r="E61" t="str">
            <v>B.Itiuba</v>
          </cell>
          <cell r="F61">
            <v>2200</v>
          </cell>
          <cell r="G61" t="str">
            <v xml:space="preserve">Óleo  </v>
          </cell>
          <cell r="H61">
            <v>4</v>
          </cell>
          <cell r="I61">
            <v>5.2</v>
          </cell>
          <cell r="J61">
            <v>0.15</v>
          </cell>
          <cell r="K61">
            <v>0.3</v>
          </cell>
          <cell r="L61">
            <v>1.2</v>
          </cell>
          <cell r="M61">
            <v>0.18</v>
          </cell>
        </row>
        <row r="62">
          <cell r="C62" t="str">
            <v>Reconcavo</v>
          </cell>
          <cell r="D62" t="str">
            <v>REC-T-001</v>
          </cell>
          <cell r="E62" t="str">
            <v>AGrande/Sergi</v>
          </cell>
          <cell r="F62">
            <v>1700</v>
          </cell>
          <cell r="G62" t="str">
            <v xml:space="preserve">Óleo  </v>
          </cell>
          <cell r="H62">
            <v>4</v>
          </cell>
          <cell r="I62">
            <v>5.2</v>
          </cell>
          <cell r="J62">
            <v>0.15</v>
          </cell>
          <cell r="K62">
            <v>0.3</v>
          </cell>
          <cell r="L62">
            <v>1.2</v>
          </cell>
          <cell r="M62">
            <v>0.18</v>
          </cell>
        </row>
        <row r="63">
          <cell r="D63" t="str">
            <v>REC-T-002</v>
          </cell>
          <cell r="E63" t="str">
            <v>AGrande/Sergi</v>
          </cell>
          <cell r="F63">
            <v>1700</v>
          </cell>
          <cell r="G63" t="str">
            <v xml:space="preserve">Óleo  </v>
          </cell>
          <cell r="H63">
            <v>4</v>
          </cell>
          <cell r="I63">
            <v>5.2</v>
          </cell>
          <cell r="J63">
            <v>0.15</v>
          </cell>
          <cell r="K63">
            <v>0.3</v>
          </cell>
          <cell r="L63">
            <v>1.2</v>
          </cell>
          <cell r="M63">
            <v>0.18</v>
          </cell>
        </row>
        <row r="64">
          <cell r="D64" t="str">
            <v>REC-T-003</v>
          </cell>
          <cell r="E64" t="str">
            <v>AGrande/Sergi</v>
          </cell>
          <cell r="F64">
            <v>1700</v>
          </cell>
          <cell r="G64" t="str">
            <v xml:space="preserve">Óleo  </v>
          </cell>
          <cell r="H64">
            <v>4</v>
          </cell>
          <cell r="I64">
            <v>5.2</v>
          </cell>
          <cell r="J64">
            <v>0.15</v>
          </cell>
          <cell r="K64">
            <v>0.3</v>
          </cell>
          <cell r="L64">
            <v>1.2</v>
          </cell>
          <cell r="M64">
            <v>0.18</v>
          </cell>
        </row>
        <row r="65">
          <cell r="C65" t="str">
            <v>Potiguar</v>
          </cell>
          <cell r="D65" t="str">
            <v>POT-T-001</v>
          </cell>
          <cell r="E65" t="str">
            <v>Pendencia</v>
          </cell>
          <cell r="F65">
            <v>1500</v>
          </cell>
          <cell r="G65" t="str">
            <v xml:space="preserve">Óleo  </v>
          </cell>
          <cell r="H65">
            <v>3</v>
          </cell>
          <cell r="I65">
            <v>3.9000000000000004</v>
          </cell>
          <cell r="J65">
            <v>0.15</v>
          </cell>
          <cell r="K65">
            <v>0.3</v>
          </cell>
          <cell r="L65">
            <v>0.89999999999999991</v>
          </cell>
          <cell r="M65">
            <v>0.13499999999999998</v>
          </cell>
        </row>
        <row r="66">
          <cell r="D66" t="str">
            <v>POT-T-002</v>
          </cell>
          <cell r="E66" t="str">
            <v>Pendencia</v>
          </cell>
          <cell r="F66">
            <v>1500</v>
          </cell>
          <cell r="G66" t="str">
            <v xml:space="preserve">Óleo  </v>
          </cell>
          <cell r="H66">
            <v>3</v>
          </cell>
          <cell r="I66">
            <v>3.9000000000000004</v>
          </cell>
          <cell r="J66">
            <v>0.15</v>
          </cell>
          <cell r="K66">
            <v>0.3</v>
          </cell>
          <cell r="L66">
            <v>0.89999999999999991</v>
          </cell>
          <cell r="M66">
            <v>0.13499999999999998</v>
          </cell>
        </row>
        <row r="67">
          <cell r="D67" t="str">
            <v>POT-T-003</v>
          </cell>
          <cell r="E67" t="str">
            <v>Pendencia</v>
          </cell>
          <cell r="F67">
            <v>1500</v>
          </cell>
          <cell r="G67" t="str">
            <v xml:space="preserve">Óleo  </v>
          </cell>
          <cell r="H67">
            <v>3</v>
          </cell>
          <cell r="I67">
            <v>3.9000000000000004</v>
          </cell>
          <cell r="J67">
            <v>0.15</v>
          </cell>
          <cell r="K67">
            <v>0.3</v>
          </cell>
          <cell r="L67">
            <v>0.89999999999999991</v>
          </cell>
          <cell r="M67">
            <v>0.13499999999999998</v>
          </cell>
        </row>
        <row r="68">
          <cell r="C68" t="str">
            <v>Sergipe</v>
          </cell>
          <cell r="D68" t="str">
            <v>SEAL-001</v>
          </cell>
          <cell r="E68" t="str">
            <v>Serraria</v>
          </cell>
          <cell r="F68">
            <v>2200</v>
          </cell>
          <cell r="G68" t="str">
            <v xml:space="preserve">Óleo  </v>
          </cell>
          <cell r="H68">
            <v>4</v>
          </cell>
          <cell r="I68">
            <v>5.2</v>
          </cell>
          <cell r="J68">
            <v>0.15</v>
          </cell>
          <cell r="K68">
            <v>0.3</v>
          </cell>
          <cell r="L68">
            <v>1.2</v>
          </cell>
          <cell r="M68">
            <v>0.18</v>
          </cell>
        </row>
        <row r="69">
          <cell r="D69" t="str">
            <v>SEAL-002</v>
          </cell>
          <cell r="E69" t="str">
            <v>Serraria</v>
          </cell>
          <cell r="F69">
            <v>2200</v>
          </cell>
          <cell r="G69" t="str">
            <v xml:space="preserve">Óleo  </v>
          </cell>
          <cell r="H69">
            <v>4</v>
          </cell>
          <cell r="I69">
            <v>5.2</v>
          </cell>
          <cell r="J69">
            <v>0.15</v>
          </cell>
          <cell r="K69">
            <v>0.3</v>
          </cell>
          <cell r="L69">
            <v>1.2</v>
          </cell>
          <cell r="M69">
            <v>0.18</v>
          </cell>
        </row>
        <row r="70">
          <cell r="D70" t="str">
            <v>SEAL-003</v>
          </cell>
          <cell r="E70" t="str">
            <v>Serraria</v>
          </cell>
          <cell r="F70">
            <v>2200</v>
          </cell>
          <cell r="G70" t="str">
            <v xml:space="preserve">Óleo  </v>
          </cell>
          <cell r="H70">
            <v>4</v>
          </cell>
          <cell r="I70">
            <v>5.2</v>
          </cell>
          <cell r="J70">
            <v>0.15</v>
          </cell>
          <cell r="K70">
            <v>0.3</v>
          </cell>
          <cell r="L70">
            <v>1.2</v>
          </cell>
          <cell r="M70">
            <v>0.18</v>
          </cell>
        </row>
        <row r="71">
          <cell r="C71" t="str">
            <v>Potiguar</v>
          </cell>
          <cell r="D71" t="str">
            <v>POT-T-004</v>
          </cell>
          <cell r="E71" t="str">
            <v>Pendencia</v>
          </cell>
          <cell r="F71">
            <v>1500</v>
          </cell>
          <cell r="G71" t="str">
            <v xml:space="preserve">Óleo  </v>
          </cell>
          <cell r="H71">
            <v>3</v>
          </cell>
          <cell r="I71">
            <v>3.9000000000000004</v>
          </cell>
          <cell r="J71">
            <v>0.15</v>
          </cell>
          <cell r="K71">
            <v>0.3</v>
          </cell>
          <cell r="L71">
            <v>0.89999999999999991</v>
          </cell>
          <cell r="M71">
            <v>0.13499999999999998</v>
          </cell>
        </row>
        <row r="72">
          <cell r="D72" t="str">
            <v>POT-T-005</v>
          </cell>
          <cell r="E72" t="str">
            <v>Pendencia</v>
          </cell>
          <cell r="F72">
            <v>1500</v>
          </cell>
          <cell r="G72" t="str">
            <v xml:space="preserve">Óleo  </v>
          </cell>
          <cell r="H72">
            <v>3</v>
          </cell>
          <cell r="I72">
            <v>3.9000000000000004</v>
          </cell>
          <cell r="J72">
            <v>0.15</v>
          </cell>
          <cell r="K72">
            <v>0.3</v>
          </cell>
          <cell r="L72">
            <v>0.89999999999999991</v>
          </cell>
          <cell r="M72">
            <v>0.13499999999999998</v>
          </cell>
        </row>
        <row r="73">
          <cell r="D73" t="str">
            <v>POT-T-006</v>
          </cell>
          <cell r="E73" t="str">
            <v>Pendencia</v>
          </cell>
          <cell r="F73">
            <v>1500</v>
          </cell>
          <cell r="G73" t="str">
            <v xml:space="preserve">Óleo  </v>
          </cell>
          <cell r="H73">
            <v>3</v>
          </cell>
          <cell r="I73">
            <v>3.9000000000000004</v>
          </cell>
          <cell r="J73">
            <v>0.15</v>
          </cell>
          <cell r="K73">
            <v>0.3</v>
          </cell>
          <cell r="L73">
            <v>0.89999999999999991</v>
          </cell>
          <cell r="M73">
            <v>0.13499999999999998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LISTAS"/>
      <sheetName val="Moedas"/>
      <sheetName val="Classific Capex"/>
      <sheetName val="Plan1"/>
      <sheetName val="Cotação"/>
      <sheetName val="Plan2"/>
    </sheetNames>
    <sheetDataSet>
      <sheetData sheetId="0">
        <row r="3">
          <cell r="A3" t="str">
            <v>Asset Per Account ($Thous.)</v>
          </cell>
        </row>
        <row r="4">
          <cell r="A4" t="str">
            <v>Mass Affluent Account</v>
          </cell>
          <cell r="B4">
            <v>397.49090909090899</v>
          </cell>
        </row>
        <row r="5">
          <cell r="A5" t="str">
            <v>E*Trade</v>
          </cell>
          <cell r="B5">
            <v>41.735056462525101</v>
          </cell>
        </row>
        <row r="7">
          <cell r="B7" t="str">
            <v>Mass Affluent</v>
          </cell>
          <cell r="C7" t="str">
            <v>ET</v>
          </cell>
        </row>
        <row r="8">
          <cell r="A8" t="str">
            <v>Revenues per Account</v>
          </cell>
          <cell r="B8">
            <v>1875.1245454545458</v>
          </cell>
          <cell r="C8">
            <v>525.67277261607057</v>
          </cell>
        </row>
        <row r="32">
          <cell r="Q32" t="str">
            <v>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wareValPrintout"/>
      <sheetName val="Forecast"/>
      <sheetName val="Quarterly"/>
      <sheetName val="Variance"/>
      <sheetName val="Assumptions"/>
      <sheetName val="RIM"/>
      <sheetName val="__FDSCACHE__"/>
      <sheetName val="RESIDUAL INCOME"/>
      <sheetName val="Sensitivity analysis"/>
      <sheetName val="mwareDates"/>
      <sheetName val="mwareSettings"/>
      <sheetName val="Variance Analysis"/>
      <sheetName val="RESIDUAL_INCOME"/>
      <sheetName val="Sensitivity_analysis"/>
      <sheetName val="Variance_Analysis"/>
    </sheetNames>
    <sheetDataSet>
      <sheetData sheetId="0" refreshError="1"/>
      <sheetData sheetId="1" refreshError="1">
        <row r="1">
          <cell r="A1" t="str">
            <v>Table XX</v>
          </cell>
          <cell r="AJ1" t="str">
            <v>ElementName</v>
          </cell>
          <cell r="AK1" t="str">
            <v>ScaleOverride</v>
          </cell>
          <cell r="AL1" t="str">
            <v>UnitOverride</v>
          </cell>
          <cell r="AM1" t="str">
            <v>ReverseSign</v>
          </cell>
          <cell r="AN1" t="str">
            <v>IsDrivingAssumption</v>
          </cell>
          <cell r="AO1" t="str">
            <v>SegmentID</v>
          </cell>
        </row>
        <row r="2">
          <cell r="A2" t="str">
            <v>IntercontinentalExchange, Inc.</v>
          </cell>
        </row>
        <row r="3">
          <cell r="A3" t="str">
            <v xml:space="preserve">Forecasting Variables, 2002A-2012E </v>
          </cell>
        </row>
        <row r="5">
          <cell r="A5" t="str">
            <v>($ Millions, Except Per Share Data)</v>
          </cell>
        </row>
        <row r="7">
          <cell r="B7" t="str">
            <v>2002A</v>
          </cell>
          <cell r="C7" t="str">
            <v>2003A</v>
          </cell>
          <cell r="D7" t="str">
            <v>2004A</v>
          </cell>
          <cell r="E7" t="str">
            <v>2005E</v>
          </cell>
          <cell r="F7" t="str">
            <v>2006E</v>
          </cell>
          <cell r="G7" t="str">
            <v>2007E</v>
          </cell>
          <cell r="H7" t="str">
            <v>2008E</v>
          </cell>
          <cell r="I7" t="str">
            <v>2009E</v>
          </cell>
          <cell r="J7" t="str">
            <v>2010E</v>
          </cell>
          <cell r="K7" t="str">
            <v>2011E</v>
          </cell>
          <cell r="L7" t="str">
            <v>2012E</v>
          </cell>
          <cell r="M7" t="str">
            <v>Notes</v>
          </cell>
        </row>
        <row r="9">
          <cell r="A9" t="str">
            <v>REVENUES</v>
          </cell>
        </row>
        <row r="10">
          <cell r="A10" t="str">
            <v>Futures fees</v>
          </cell>
          <cell r="B10">
            <v>31.536999999999999</v>
          </cell>
          <cell r="C10">
            <v>39.96</v>
          </cell>
          <cell r="D10">
            <v>45.499000000000002</v>
          </cell>
          <cell r="E10">
            <v>57.995181485124988</v>
          </cell>
          <cell r="F10">
            <v>90.665188974707377</v>
          </cell>
          <cell r="G10">
            <v>113.75205835922087</v>
          </cell>
          <cell r="H10">
            <v>141.7694055401445</v>
          </cell>
          <cell r="I10">
            <v>165.78208100500646</v>
          </cell>
          <cell r="J10">
            <v>190.64939315575742</v>
          </cell>
          <cell r="K10">
            <v>219.24680212912099</v>
          </cell>
          <cell r="L10">
            <v>252.13382244848913</v>
          </cell>
        </row>
        <row r="11">
          <cell r="A11" t="str">
            <v xml:space="preserve">Change Yr./Yr. </v>
          </cell>
          <cell r="B11" t="str">
            <v>N/A</v>
          </cell>
          <cell r="C11">
            <v>0.26708310872942898</v>
          </cell>
          <cell r="D11">
            <v>0.13861361361361357</v>
          </cell>
          <cell r="E11">
            <v>0.27464738752774753</v>
          </cell>
          <cell r="F11">
            <v>0.56332279084188785</v>
          </cell>
          <cell r="G11">
            <v>0.25463873892055711</v>
          </cell>
          <cell r="H11">
            <v>0.2463018918958535</v>
          </cell>
          <cell r="I11">
            <v>0.16937840271935367</v>
          </cell>
          <cell r="J11">
            <v>0.14999999999999991</v>
          </cell>
          <cell r="K11">
            <v>0.14999999999999969</v>
          </cell>
          <cell r="L11">
            <v>0.14999999999999991</v>
          </cell>
        </row>
        <row r="12">
          <cell r="A12" t="str">
            <v xml:space="preserve">Change Yr./Yr. </v>
          </cell>
          <cell r="B12" t="str">
            <v>N/A</v>
          </cell>
          <cell r="C12">
            <v>0.26708310872942898</v>
          </cell>
          <cell r="D12">
            <v>0.13861361361361357</v>
          </cell>
          <cell r="E12">
            <v>0.27464738752774753</v>
          </cell>
          <cell r="F12">
            <v>0.31560288441088158</v>
          </cell>
          <cell r="G12">
            <v>0.20022456684477263</v>
          </cell>
          <cell r="H12">
            <v>0.20000000000000018</v>
          </cell>
          <cell r="I12">
            <v>0.17500000000000004</v>
          </cell>
          <cell r="J12">
            <v>0.15000000000000013</v>
          </cell>
          <cell r="K12">
            <v>0.14999999999999969</v>
          </cell>
          <cell r="L12">
            <v>0.14999999999999991</v>
          </cell>
        </row>
        <row r="13">
          <cell r="A13" t="str">
            <v>Average daily volume excl. WTI('000s)</v>
          </cell>
          <cell r="B13">
            <v>120.79949999999999</v>
          </cell>
          <cell r="C13">
            <v>131.78357312252965</v>
          </cell>
          <cell r="D13">
            <v>139.92434251968504</v>
          </cell>
          <cell r="E13">
            <v>170.90392281746031</v>
          </cell>
          <cell r="F13">
            <v>234.6374772145378</v>
          </cell>
          <cell r="G13">
            <v>293.29684651817223</v>
          </cell>
          <cell r="H13">
            <v>351.95621582180667</v>
          </cell>
          <cell r="I13">
            <v>413.54855359062287</v>
          </cell>
          <cell r="J13">
            <v>475.58083662921626</v>
          </cell>
          <cell r="K13">
            <v>546.91796212359861</v>
          </cell>
          <cell r="L13">
            <v>628.95565644213832</v>
          </cell>
        </row>
        <row r="14">
          <cell r="A14" t="str">
            <v xml:space="preserve">Change Yr./Yr. </v>
          </cell>
          <cell r="B14" t="str">
            <v>N/A</v>
          </cell>
          <cell r="C14">
            <v>9.0928133995005433E-2</v>
          </cell>
          <cell r="D14">
            <v>6.1773779571041576E-2</v>
          </cell>
          <cell r="E14">
            <v>0.22140236459154305</v>
          </cell>
          <cell r="F14">
            <v>0.37292037155373103</v>
          </cell>
          <cell r="G14">
            <v>0.25</v>
          </cell>
          <cell r="H14">
            <v>0.2</v>
          </cell>
          <cell r="I14">
            <v>0.17499999999999999</v>
          </cell>
          <cell r="J14">
            <v>0.15</v>
          </cell>
          <cell r="K14">
            <v>0.15</v>
          </cell>
          <cell r="L14">
            <v>0.15</v>
          </cell>
          <cell r="M14" t="str">
            <v>adoption cycle '05 - '07 then revert to l-t growth rate in commodity trading activity</v>
          </cell>
        </row>
        <row r="15">
          <cell r="A15" t="str">
            <v>ICE WTI average daily volume (000')</v>
          </cell>
          <cell r="B15" t="str">
            <v>N/A</v>
          </cell>
          <cell r="C15">
            <v>0</v>
          </cell>
          <cell r="D15">
            <v>0</v>
          </cell>
          <cell r="E15">
            <v>0</v>
          </cell>
          <cell r="F15">
            <v>40.721544588844615</v>
          </cell>
          <cell r="G15">
            <v>62.858760103585645</v>
          </cell>
          <cell r="H15">
            <v>90.359467648904356</v>
          </cell>
          <cell r="I15">
            <v>103.91338779624</v>
          </cell>
          <cell r="J15">
            <v>119.50039596567599</v>
          </cell>
          <cell r="K15">
            <v>137.42545536052739</v>
          </cell>
          <cell r="L15">
            <v>158.0392736646065</v>
          </cell>
          <cell r="M15" t="str">
            <v>adoption cycle '05 - '07 then revert to l-t growth rate in commodity trading activity</v>
          </cell>
        </row>
        <row r="16">
          <cell r="A16" t="str">
            <v xml:space="preserve">Change Yr./Yr. </v>
          </cell>
          <cell r="C16" t="str">
            <v>N/A</v>
          </cell>
          <cell r="D16" t="str">
            <v>N/A</v>
          </cell>
          <cell r="E16" t="str">
            <v>N/A</v>
          </cell>
          <cell r="F16" t="str">
            <v>N/A</v>
          </cell>
          <cell r="G16">
            <v>0.5436241610738255</v>
          </cell>
          <cell r="H16">
            <v>0.43749999999999978</v>
          </cell>
          <cell r="I16">
            <v>0.14999999999999991</v>
          </cell>
          <cell r="J16">
            <v>0.14999999999999991</v>
          </cell>
          <cell r="K16">
            <v>0.15000000000000013</v>
          </cell>
          <cell r="L16">
            <v>0.14999999999999991</v>
          </cell>
        </row>
        <row r="17">
          <cell r="A17" t="str">
            <v>Total ICE Futures Average Daily Volume</v>
          </cell>
          <cell r="B17">
            <v>30441.473999999998</v>
          </cell>
          <cell r="C17">
            <v>131.78357312252965</v>
          </cell>
          <cell r="D17">
            <v>139.92434251968504</v>
          </cell>
          <cell r="E17">
            <v>170.90392281746031</v>
          </cell>
          <cell r="F17">
            <v>275.3590218033824</v>
          </cell>
          <cell r="G17">
            <v>356.1556066217579</v>
          </cell>
          <cell r="H17">
            <v>442.31568347071101</v>
          </cell>
          <cell r="I17">
            <v>517.46194138686292</v>
          </cell>
          <cell r="J17">
            <v>595.0812325948923</v>
          </cell>
          <cell r="K17">
            <v>684.34341748412601</v>
          </cell>
          <cell r="L17">
            <v>786.99493010674485</v>
          </cell>
        </row>
        <row r="19">
          <cell r="A19" t="str">
            <v>Total contracts excl. WTI ('000s)</v>
          </cell>
          <cell r="B19">
            <v>30441.473999999998</v>
          </cell>
          <cell r="C19">
            <v>33341.243999999999</v>
          </cell>
          <cell r="D19">
            <v>35540.783000000003</v>
          </cell>
          <cell r="E19">
            <v>43067.788549999997</v>
          </cell>
          <cell r="F19">
            <v>59128.644258063527</v>
          </cell>
          <cell r="G19">
            <v>73910.805322579399</v>
          </cell>
          <cell r="H19">
            <v>88692.966387095279</v>
          </cell>
          <cell r="I19">
            <v>104214.23550483696</v>
          </cell>
          <cell r="J19">
            <v>119846.3708305625</v>
          </cell>
          <cell r="K19">
            <v>137823.32645514686</v>
          </cell>
          <cell r="L19">
            <v>158496.82542341886</v>
          </cell>
        </row>
        <row r="20">
          <cell r="A20" t="str">
            <v>Total WTI contract (000')</v>
          </cell>
          <cell r="B20" t="str">
            <v>N/A</v>
          </cell>
          <cell r="C20">
            <v>0</v>
          </cell>
          <cell r="D20">
            <v>0</v>
          </cell>
          <cell r="E20">
            <v>0</v>
          </cell>
          <cell r="F20">
            <v>10261.829236388843</v>
          </cell>
          <cell r="G20">
            <v>15840.407546103583</v>
          </cell>
          <cell r="H20">
            <v>22770.585847523897</v>
          </cell>
          <cell r="I20">
            <v>26186.173724652479</v>
          </cell>
          <cell r="J20">
            <v>30114.09978335035</v>
          </cell>
          <cell r="K20">
            <v>34631.214750852901</v>
          </cell>
          <cell r="L20">
            <v>39825.896963480838</v>
          </cell>
        </row>
        <row r="22">
          <cell r="A22" t="str">
            <v>Fee per contract excl. WTI(a)</v>
          </cell>
          <cell r="B22">
            <v>1.0359879419767912</v>
          </cell>
          <cell r="C22">
            <v>1.1985155682853346</v>
          </cell>
          <cell r="D22">
            <v>1.3438083229623838</v>
          </cell>
          <cell r="E22">
            <v>1.3466022621011728</v>
          </cell>
          <cell r="F22">
            <v>1.2921000000000002</v>
          </cell>
          <cell r="G22">
            <v>1.2389999999999999</v>
          </cell>
          <cell r="H22">
            <v>1.2389999999999999</v>
          </cell>
          <cell r="I22">
            <v>1.2389999999999999</v>
          </cell>
          <cell r="J22">
            <v>1.2389999999999999</v>
          </cell>
          <cell r="K22">
            <v>1.2389999999999999</v>
          </cell>
          <cell r="L22">
            <v>1.2389999999999999</v>
          </cell>
        </row>
        <row r="23">
          <cell r="A23" t="str">
            <v xml:space="preserve">Change Yr./Yr. </v>
          </cell>
          <cell r="B23" t="str">
            <v>N/A</v>
          </cell>
          <cell r="C23">
            <v>0.1568817741241475</v>
          </cell>
          <cell r="D23">
            <v>0.12122725688487579</v>
          </cell>
          <cell r="E23">
            <v>2.0791202815515497E-3</v>
          </cell>
          <cell r="F23">
            <v>-4.0473912479643381E-2</v>
          </cell>
          <cell r="G23">
            <v>-4.1095890410959179E-2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5">
          <cell r="A25" t="str">
            <v>Fee per contract excl. WTI(£)</v>
          </cell>
          <cell r="B25">
            <v>0.6890404687596825</v>
          </cell>
          <cell r="C25">
            <v>0.73290299714570895</v>
          </cell>
          <cell r="D25">
            <v>0.73340170558965256</v>
          </cell>
          <cell r="E25">
            <v>0.74466409593351979</v>
          </cell>
          <cell r="F25">
            <v>0.73000000000000009</v>
          </cell>
          <cell r="G25">
            <v>0.7</v>
          </cell>
          <cell r="H25">
            <v>0.7</v>
          </cell>
          <cell r="I25">
            <v>0.7</v>
          </cell>
          <cell r="J25">
            <v>0.7</v>
          </cell>
          <cell r="K25">
            <v>0.7</v>
          </cell>
          <cell r="L25">
            <v>0.7</v>
          </cell>
        </row>
        <row r="26">
          <cell r="A26" t="str">
            <v>Average $/£ FX Rate</v>
          </cell>
          <cell r="B26">
            <v>1.5035226361111078</v>
          </cell>
          <cell r="C26">
            <v>1.6352990408730133</v>
          </cell>
          <cell r="D26">
            <v>1.8322950611111088</v>
          </cell>
          <cell r="E26">
            <v>1.808335153332532</v>
          </cell>
          <cell r="F26">
            <v>1.77</v>
          </cell>
          <cell r="G26">
            <v>1.77</v>
          </cell>
          <cell r="H26">
            <v>1.77</v>
          </cell>
          <cell r="I26">
            <v>1.77</v>
          </cell>
          <cell r="J26">
            <v>1.77</v>
          </cell>
          <cell r="K26">
            <v>1.77</v>
          </cell>
          <cell r="L26">
            <v>1.77</v>
          </cell>
        </row>
        <row r="27">
          <cell r="A27" t="str">
            <v>Fee per WTI contract</v>
          </cell>
          <cell r="C27">
            <v>0</v>
          </cell>
          <cell r="D27">
            <v>0</v>
          </cell>
          <cell r="E27">
            <v>0</v>
          </cell>
          <cell r="F27">
            <v>1.4</v>
          </cell>
          <cell r="G27">
            <v>1.4</v>
          </cell>
          <cell r="H27">
            <v>1.4</v>
          </cell>
          <cell r="I27">
            <v>1.4</v>
          </cell>
          <cell r="J27">
            <v>1.4</v>
          </cell>
          <cell r="K27">
            <v>1.4</v>
          </cell>
          <cell r="L27">
            <v>1.4</v>
          </cell>
        </row>
        <row r="28">
          <cell r="A28" t="str">
            <v>Futures trading days</v>
          </cell>
          <cell r="B28">
            <v>252</v>
          </cell>
          <cell r="C28">
            <v>253</v>
          </cell>
          <cell r="D28">
            <v>254</v>
          </cell>
          <cell r="E28">
            <v>252</v>
          </cell>
          <cell r="F28">
            <v>252</v>
          </cell>
          <cell r="G28">
            <v>252</v>
          </cell>
          <cell r="H28">
            <v>252</v>
          </cell>
          <cell r="I28">
            <v>252</v>
          </cell>
          <cell r="J28">
            <v>252</v>
          </cell>
          <cell r="K28">
            <v>252</v>
          </cell>
          <cell r="L28">
            <v>252</v>
          </cell>
        </row>
        <row r="29">
          <cell r="A29" t="str">
            <v xml:space="preserve">Avg daily trading fee revenue ($ Thous.) </v>
          </cell>
          <cell r="B29">
            <v>125.14682539682539</v>
          </cell>
          <cell r="C29">
            <v>157.94466403162056</v>
          </cell>
          <cell r="D29">
            <v>188.03149606299215</v>
          </cell>
          <cell r="E29">
            <v>230.13960906795629</v>
          </cell>
          <cell r="F29">
            <v>359.78249593137849</v>
          </cell>
          <cell r="G29">
            <v>451.39705698103518</v>
          </cell>
          <cell r="H29">
            <v>562.57700611168457</v>
          </cell>
          <cell r="I29">
            <v>657.86540081351768</v>
          </cell>
          <cell r="J29">
            <v>756.54521093554536</v>
          </cell>
          <cell r="K29">
            <v>870.02699257587699</v>
          </cell>
          <cell r="L29">
            <v>1000.5310414622585</v>
          </cell>
        </row>
        <row r="30">
          <cell r="A30" t="str">
            <v xml:space="preserve">Change Yr./Yr. </v>
          </cell>
          <cell r="B30" t="str">
            <v>N/A</v>
          </cell>
          <cell r="C30">
            <v>0.26207487509808747</v>
          </cell>
          <cell r="D30">
            <v>0.19048970230072593</v>
          </cell>
          <cell r="E30">
            <v>0.22394180701970035</v>
          </cell>
          <cell r="F30">
            <v>0.56332279084188808</v>
          </cell>
          <cell r="G30">
            <v>0.25463873892055711</v>
          </cell>
          <cell r="H30">
            <v>0.2463018918958535</v>
          </cell>
          <cell r="I30">
            <v>0.16937840271935345</v>
          </cell>
          <cell r="J30">
            <v>0.15000000000000013</v>
          </cell>
          <cell r="K30">
            <v>0.14999999999999969</v>
          </cell>
          <cell r="L30">
            <v>0.14999999999999991</v>
          </cell>
        </row>
        <row r="31">
          <cell r="A31" t="str">
            <v xml:space="preserve">Change Yr./Yr. </v>
          </cell>
          <cell r="B31" t="str">
            <v>N/A</v>
          </cell>
          <cell r="C31">
            <v>-0.52469142876789254</v>
          </cell>
          <cell r="D31">
            <v>9.4830496214495907E-2</v>
          </cell>
          <cell r="E31">
            <v>0.77354474460931133</v>
          </cell>
          <cell r="F31">
            <v>0.16562316748679429</v>
          </cell>
          <cell r="G31">
            <v>0.17555213754631249</v>
          </cell>
          <cell r="H31">
            <v>0.15112724061215621</v>
          </cell>
          <cell r="I31">
            <v>0.15058754961522247</v>
          </cell>
          <cell r="J31">
            <v>0.15060001587720762</v>
          </cell>
          <cell r="K31">
            <v>0.14085783600242174</v>
          </cell>
          <cell r="L31">
            <v>0.14088350824356666</v>
          </cell>
          <cell r="M31" t="str">
            <v>06 slowdown due to base effect from a huge '05 year</v>
          </cell>
        </row>
        <row r="32">
          <cell r="A32" t="str">
            <v>WTI industry average daily volume (000')</v>
          </cell>
          <cell r="C32">
            <v>181.0236294820717</v>
          </cell>
          <cell r="D32">
            <v>211.53279999999998</v>
          </cell>
          <cell r="E32">
            <v>237.65126693227091</v>
          </cell>
          <cell r="F32">
            <v>273.29895697211151</v>
          </cell>
          <cell r="G32">
            <v>314.29380051792822</v>
          </cell>
          <cell r="H32">
            <v>361.43787059561743</v>
          </cell>
          <cell r="I32">
            <v>415.65355118496001</v>
          </cell>
          <cell r="J32">
            <v>478.00158386270397</v>
          </cell>
          <cell r="K32">
            <v>549.70182144210958</v>
          </cell>
          <cell r="L32">
            <v>632.15709465842599</v>
          </cell>
        </row>
        <row r="33">
          <cell r="A33" t="str">
            <v xml:space="preserve">Change Yr./Yr. </v>
          </cell>
          <cell r="B33">
            <v>83.958999999999989</v>
          </cell>
          <cell r="C33">
            <v>34.217999999999996</v>
          </cell>
          <cell r="D33">
            <v>0.1685369507020622</v>
          </cell>
          <cell r="E33">
            <v>0.12347242097807487</v>
          </cell>
          <cell r="F33">
            <v>0.15</v>
          </cell>
          <cell r="G33">
            <v>0.15</v>
          </cell>
          <cell r="H33">
            <v>0.15</v>
          </cell>
          <cell r="I33">
            <v>0.15</v>
          </cell>
          <cell r="J33">
            <v>0.15</v>
          </cell>
          <cell r="K33">
            <v>0.15</v>
          </cell>
          <cell r="L33">
            <v>0.15</v>
          </cell>
        </row>
        <row r="34">
          <cell r="A34" t="str">
            <v>ICE market share</v>
          </cell>
          <cell r="C34">
            <v>0</v>
          </cell>
          <cell r="D34">
            <v>0</v>
          </cell>
          <cell r="E34">
            <v>0</v>
          </cell>
          <cell r="F34">
            <v>0.14899999999999999</v>
          </cell>
          <cell r="G34">
            <v>0.2</v>
          </cell>
          <cell r="H34">
            <v>0.25</v>
          </cell>
          <cell r="I34">
            <v>0.25</v>
          </cell>
          <cell r="J34">
            <v>0.25</v>
          </cell>
          <cell r="K34">
            <v>0.25</v>
          </cell>
          <cell r="L34">
            <v>0.25</v>
          </cell>
        </row>
        <row r="35">
          <cell r="A35" t="str">
            <v>Average daily trading fee revenue ($ Thous.)</v>
          </cell>
          <cell r="B35">
            <v>334.49800796812752</v>
          </cell>
          <cell r="C35">
            <v>136.32669322709162</v>
          </cell>
          <cell r="D35">
            <v>173.50597609561751</v>
          </cell>
          <cell r="E35">
            <v>313.4329213312231</v>
          </cell>
          <cell r="F35">
            <v>365.72133230068732</v>
          </cell>
          <cell r="G35">
            <v>429.7225654533076</v>
          </cell>
          <cell r="H35">
            <v>494.18095027130369</v>
          </cell>
          <cell r="I35">
            <v>568.30809281199924</v>
          </cell>
          <cell r="J35">
            <v>653.55430673379908</v>
          </cell>
          <cell r="K35">
            <v>745.05190967653107</v>
          </cell>
          <cell r="L35">
            <v>849.35917703124551</v>
          </cell>
          <cell r="M35">
            <v>0.15305371402545354</v>
          </cell>
        </row>
        <row r="36">
          <cell r="A36" t="str">
            <v>Futures trading days</v>
          </cell>
          <cell r="B36">
            <v>252</v>
          </cell>
          <cell r="C36">
            <v>253</v>
          </cell>
          <cell r="D36">
            <v>254</v>
          </cell>
          <cell r="E36">
            <v>252</v>
          </cell>
          <cell r="F36">
            <v>252</v>
          </cell>
          <cell r="G36">
            <v>252</v>
          </cell>
          <cell r="H36">
            <v>252</v>
          </cell>
          <cell r="I36">
            <v>252</v>
          </cell>
          <cell r="J36">
            <v>252</v>
          </cell>
          <cell r="K36">
            <v>252</v>
          </cell>
          <cell r="L36">
            <v>252</v>
          </cell>
          <cell r="M36" t="str">
            <v>assume slowdown in '06 based on high base year in '05 reverts back to l-t growth of 15% by '07. power and gas drive this and arguable have more secular growth potential than oil as have lower client penetration rates</v>
          </cell>
        </row>
        <row r="38">
          <cell r="A38" t="str">
            <v>OTC fees</v>
          </cell>
          <cell r="B38">
            <v>87.256999999999991</v>
          </cell>
          <cell r="C38">
            <v>41.473999999999997</v>
          </cell>
          <cell r="D38">
            <v>45.406999999999996</v>
          </cell>
          <cell r="E38">
            <v>80.531346218474994</v>
          </cell>
          <cell r="F38">
            <v>93.869202861154491</v>
          </cell>
          <cell r="G38">
            <v>110.34814207319859</v>
          </cell>
          <cell r="H38">
            <v>127.02475229139928</v>
          </cell>
          <cell r="I38">
            <v>146.15309847944172</v>
          </cell>
          <cell r="J38">
            <v>168.16375743094872</v>
          </cell>
          <cell r="K38">
            <v>191.85094039670832</v>
          </cell>
          <cell r="L38">
            <v>218.87957393962401</v>
          </cell>
        </row>
        <row r="39">
          <cell r="A39" t="str">
            <v xml:space="preserve">Change Yr./Yr. </v>
          </cell>
          <cell r="B39" t="str">
            <v>N/A</v>
          </cell>
          <cell r="C39">
            <v>-0.52469142876789254</v>
          </cell>
          <cell r="D39">
            <v>9.4830496214495907E-2</v>
          </cell>
          <cell r="E39">
            <v>0.77354474460931133</v>
          </cell>
          <cell r="F39">
            <v>0.16562316748679429</v>
          </cell>
          <cell r="G39">
            <v>0.17555213754631249</v>
          </cell>
          <cell r="H39">
            <v>0.15112724061215621</v>
          </cell>
          <cell r="I39">
            <v>0.15058754961522247</v>
          </cell>
          <cell r="J39">
            <v>0.15060001587720762</v>
          </cell>
          <cell r="K39">
            <v>0.14085783600242174</v>
          </cell>
          <cell r="L39">
            <v>0.14088350824356666</v>
          </cell>
          <cell r="M39" t="str">
            <v>06 slowdown due to base effect from a huge '05 year</v>
          </cell>
        </row>
        <row r="40">
          <cell r="A40" t="str">
            <v>Electronic trade confirmation services revenues</v>
          </cell>
          <cell r="B40">
            <v>3.9E-2</v>
          </cell>
          <cell r="C40">
            <v>0.16500000000000001</v>
          </cell>
          <cell r="D40">
            <v>0.78900000000000003</v>
          </cell>
          <cell r="E40">
            <v>1.5965570734749996</v>
          </cell>
          <cell r="F40">
            <v>2.0731484536819766</v>
          </cell>
          <cell r="G40">
            <v>2.487778144418372</v>
          </cell>
          <cell r="H40">
            <v>2.9853337733020462</v>
          </cell>
          <cell r="I40">
            <v>3.5077671836299045</v>
          </cell>
          <cell r="J40">
            <v>4.1216264407651382</v>
          </cell>
          <cell r="K40">
            <v>4.8429110678990375</v>
          </cell>
          <cell r="L40">
            <v>5.6904205047813692</v>
          </cell>
        </row>
        <row r="41">
          <cell r="A41" t="str">
            <v>Total OTC trading fee revenues</v>
          </cell>
          <cell r="B41">
            <v>83.958999999999989</v>
          </cell>
          <cell r="C41">
            <v>34.217999999999996</v>
          </cell>
          <cell r="D41">
            <v>43.55</v>
          </cell>
          <cell r="E41">
            <v>78.671663254136988</v>
          </cell>
          <cell r="F41">
            <v>91.796054407472525</v>
          </cell>
          <cell r="G41">
            <v>107.86036392878022</v>
          </cell>
          <cell r="H41">
            <v>124.03941851809724</v>
          </cell>
          <cell r="I41">
            <v>142.64533129581181</v>
          </cell>
          <cell r="J41">
            <v>164.04213099018358</v>
          </cell>
          <cell r="K41">
            <v>187.0080293288093</v>
          </cell>
          <cell r="L41">
            <v>213.18915343484264</v>
          </cell>
        </row>
        <row r="43">
          <cell r="A43" t="str">
            <v>Average daily trading fee revenue ($ Thous.)</v>
          </cell>
          <cell r="B43">
            <v>334.49800796812752</v>
          </cell>
          <cell r="C43">
            <v>136.32669322709162</v>
          </cell>
          <cell r="D43">
            <v>173.50597609561751</v>
          </cell>
          <cell r="E43">
            <v>313.4329213312231</v>
          </cell>
          <cell r="F43">
            <v>365.72133230068732</v>
          </cell>
          <cell r="G43">
            <v>429.7225654533076</v>
          </cell>
          <cell r="H43">
            <v>494.18095027130369</v>
          </cell>
          <cell r="I43">
            <v>568.30809281199924</v>
          </cell>
          <cell r="J43">
            <v>653.55430673379908</v>
          </cell>
          <cell r="K43">
            <v>745.05190967653107</v>
          </cell>
          <cell r="L43">
            <v>849.35917703124551</v>
          </cell>
          <cell r="AJ43" t="str">
            <v>mstag:transactionClearingAndSettlementFees</v>
          </cell>
          <cell r="AK43">
            <v>6</v>
          </cell>
          <cell r="AL43" t="str">
            <v>ISO4217:USD</v>
          </cell>
          <cell r="AM43" t="b">
            <v>0</v>
          </cell>
          <cell r="AN43" t="b">
            <v>0</v>
          </cell>
        </row>
        <row r="44">
          <cell r="A44" t="str">
            <v xml:space="preserve">Change Yr./Yr. </v>
          </cell>
          <cell r="B44" t="str">
            <v>N/A</v>
          </cell>
          <cell r="C44">
            <v>-0.59244393096630499</v>
          </cell>
          <cell r="D44">
            <v>0.27272195920275877</v>
          </cell>
          <cell r="E44">
            <v>0.80646758333265223</v>
          </cell>
          <cell r="F44">
            <v>0.16682488472296741</v>
          </cell>
          <cell r="G44">
            <v>0.17499999999999999</v>
          </cell>
          <cell r="H44">
            <v>0.15</v>
          </cell>
          <cell r="I44">
            <v>0.15</v>
          </cell>
          <cell r="J44">
            <v>0.15</v>
          </cell>
          <cell r="K44">
            <v>0.14000000000000001</v>
          </cell>
          <cell r="L44">
            <v>0.14000000000000001</v>
          </cell>
          <cell r="M44" t="str">
            <v>assume slowdown in '06 based on high base year in '05 reverts back to l-t growth of 15% by '07. power and gas drive this and arguable have more secular growth potential than oil as have lower client penetration rates</v>
          </cell>
        </row>
        <row r="46">
          <cell r="A46" t="str">
            <v>OTC trading days</v>
          </cell>
          <cell r="B46">
            <v>251</v>
          </cell>
          <cell r="C46">
            <v>251</v>
          </cell>
          <cell r="D46">
            <v>251</v>
          </cell>
          <cell r="E46">
            <v>251</v>
          </cell>
          <cell r="F46">
            <v>251</v>
          </cell>
          <cell r="G46">
            <v>251</v>
          </cell>
          <cell r="H46">
            <v>251</v>
          </cell>
          <cell r="I46">
            <v>251</v>
          </cell>
          <cell r="J46">
            <v>251</v>
          </cell>
          <cell r="K46">
            <v>251</v>
          </cell>
          <cell r="L46">
            <v>251</v>
          </cell>
          <cell r="AJ46" t="str">
            <v>mstag:marketDataFees</v>
          </cell>
          <cell r="AK46">
            <v>6</v>
          </cell>
          <cell r="AL46" t="str">
            <v>ISO4217:USD</v>
          </cell>
          <cell r="AM46" t="b">
            <v>0</v>
          </cell>
          <cell r="AN46" t="b">
            <v>0</v>
          </cell>
        </row>
        <row r="47">
          <cell r="A47" t="str">
            <v xml:space="preserve">Change Yr./Yr. </v>
          </cell>
          <cell r="B47" t="str">
            <v>N/A</v>
          </cell>
          <cell r="C47">
            <v>0.50600486286714652</v>
          </cell>
          <cell r="D47">
            <v>0.25168375424014156</v>
          </cell>
          <cell r="E47">
            <v>0.19394421215560831</v>
          </cell>
          <cell r="F47">
            <v>0.20768498718288519</v>
          </cell>
          <cell r="G47">
            <v>0.16</v>
          </cell>
          <cell r="H47">
            <v>0.13500000000000001</v>
          </cell>
          <cell r="I47">
            <v>0.11</v>
          </cell>
          <cell r="J47">
            <v>9.5000000000000001E-2</v>
          </cell>
          <cell r="K47">
            <v>9.5000000000000001E-2</v>
          </cell>
          <cell r="L47">
            <v>0.09</v>
          </cell>
        </row>
        <row r="48">
          <cell r="A48" t="str">
            <v>Electronic trade confirmation services revenues</v>
          </cell>
          <cell r="B48">
            <v>3.9E-2</v>
          </cell>
          <cell r="C48">
            <v>0.16500000000000001</v>
          </cell>
          <cell r="D48">
            <v>0.78900000000000003</v>
          </cell>
          <cell r="E48">
            <v>1.5965570734749996</v>
          </cell>
          <cell r="F48">
            <v>2.0731484536819766</v>
          </cell>
          <cell r="G48">
            <v>2.487778144418372</v>
          </cell>
          <cell r="H48">
            <v>2.9853337733020462</v>
          </cell>
          <cell r="I48">
            <v>3.5077671836299045</v>
          </cell>
          <cell r="J48">
            <v>4.1216264407651382</v>
          </cell>
          <cell r="K48">
            <v>4.8429110678990375</v>
          </cell>
          <cell r="L48">
            <v>5.6904205047813692</v>
          </cell>
        </row>
        <row r="49">
          <cell r="A49" t="str">
            <v>Order flow agreements shortfall payments</v>
          </cell>
          <cell r="B49">
            <v>3.2589999999999999</v>
          </cell>
          <cell r="C49">
            <v>7.0910000000000002</v>
          </cell>
          <cell r="D49">
            <v>1.0680000000000001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AJ49" t="str">
            <v>mstag:otherFeesAndCommissions</v>
          </cell>
          <cell r="AK49">
            <v>6</v>
          </cell>
          <cell r="AL49" t="str">
            <v>ISO4217:USD</v>
          </cell>
          <cell r="AM49" t="b">
            <v>0</v>
          </cell>
          <cell r="AN49" t="b">
            <v>0</v>
          </cell>
        </row>
        <row r="50">
          <cell r="A50" t="str">
            <v xml:space="preserve">Change Yr./Yr. </v>
          </cell>
          <cell r="B50" t="str">
            <v>N/A</v>
          </cell>
          <cell r="C50">
            <v>4.0214387755102043</v>
          </cell>
          <cell r="D50">
            <v>0.4610821762199222</v>
          </cell>
          <cell r="E50">
            <v>9.7680111265646685E-2</v>
          </cell>
          <cell r="F50">
            <v>1.7324274737973155E-2</v>
          </cell>
          <cell r="G50">
            <v>1.4999999999999999E-2</v>
          </cell>
          <cell r="H50">
            <v>1.4999999999999999E-2</v>
          </cell>
          <cell r="I50">
            <v>0.01</v>
          </cell>
          <cell r="J50">
            <v>0.01</v>
          </cell>
          <cell r="K50">
            <v>0.01</v>
          </cell>
          <cell r="L50">
            <v>0.01</v>
          </cell>
        </row>
        <row r="51">
          <cell r="A51" t="str">
            <v>Total transaction fees, net</v>
          </cell>
          <cell r="B51">
            <v>118.79399999999998</v>
          </cell>
          <cell r="C51">
            <v>81.432874999999996</v>
          </cell>
          <cell r="D51">
            <v>90.906000000000006</v>
          </cell>
          <cell r="E51">
            <v>138.52652770359998</v>
          </cell>
          <cell r="F51">
            <v>184.53439183586187</v>
          </cell>
          <cell r="G51">
            <v>224.10020043241946</v>
          </cell>
          <cell r="H51">
            <v>268.79415783154377</v>
          </cell>
          <cell r="I51">
            <v>311.93517948444821</v>
          </cell>
          <cell r="J51">
            <v>358.81315058670612</v>
          </cell>
          <cell r="K51">
            <v>411.09774252582929</v>
          </cell>
          <cell r="L51">
            <v>471.01339638811316</v>
          </cell>
          <cell r="AJ51" t="str">
            <v>mstag:transactionClearingAndSettlementFees</v>
          </cell>
          <cell r="AK51">
            <v>6</v>
          </cell>
          <cell r="AL51" t="str">
            <v>ISO4217:USD</v>
          </cell>
          <cell r="AM51" t="b">
            <v>0</v>
          </cell>
          <cell r="AN51" t="b">
            <v>0</v>
          </cell>
        </row>
        <row r="52">
          <cell r="A52" t="str">
            <v xml:space="preserve">Change Yr./Yr. </v>
          </cell>
          <cell r="B52" t="str">
            <v>N/A</v>
          </cell>
          <cell r="C52">
            <v>-0.31450346818862895</v>
          </cell>
          <cell r="D52">
            <v>0.11633047463938873</v>
          </cell>
          <cell r="E52">
            <v>0.52384361542252411</v>
          </cell>
          <cell r="F52">
            <v>0.33212313117891168</v>
          </cell>
          <cell r="G52">
            <v>0.21440886006631366</v>
          </cell>
          <cell r="H52">
            <v>0.19943738253193755</v>
          </cell>
          <cell r="I52">
            <v>0.16049836053334676</v>
          </cell>
          <cell r="J52">
            <v>0.150281129495351</v>
          </cell>
          <cell r="K52">
            <v>0.14571537262118484</v>
          </cell>
          <cell r="L52">
            <v>0.14574551904409772</v>
          </cell>
          <cell r="AJ52" t="str">
            <v>mstag:otherFeesAndCommissions</v>
          </cell>
          <cell r="AK52">
            <v>6</v>
          </cell>
          <cell r="AL52" t="str">
            <v>ISO4217:USD</v>
          </cell>
          <cell r="AM52" t="b">
            <v>0</v>
          </cell>
          <cell r="AN52" t="b">
            <v>0</v>
          </cell>
        </row>
        <row r="53">
          <cell r="A53" t="str">
            <v xml:space="preserve">Change Yr./Yr. </v>
          </cell>
          <cell r="B53" t="str">
            <v>N/A</v>
          </cell>
          <cell r="C53">
            <v>0.98084319248826302</v>
          </cell>
          <cell r="D53">
            <v>1.0013291631865404</v>
          </cell>
          <cell r="E53">
            <v>-0.29074230222643294</v>
          </cell>
          <cell r="F53">
            <v>-0.19852689242828314</v>
          </cell>
          <cell r="G53">
            <v>0.05</v>
          </cell>
          <cell r="H53">
            <v>0.05</v>
          </cell>
          <cell r="I53">
            <v>0.04</v>
          </cell>
          <cell r="J53">
            <v>0.04</v>
          </cell>
          <cell r="K53">
            <v>0.04</v>
          </cell>
          <cell r="L53">
            <v>0.04</v>
          </cell>
        </row>
        <row r="54">
          <cell r="A54" t="str">
            <v>Data services fees</v>
          </cell>
          <cell r="B54">
            <v>5.141</v>
          </cell>
          <cell r="C54">
            <v>7.7423710000000003</v>
          </cell>
          <cell r="D54">
            <v>9.6909999999999989</v>
          </cell>
          <cell r="E54">
            <v>11.57051336</v>
          </cell>
          <cell r="F54">
            <v>13.973535278871001</v>
          </cell>
          <cell r="G54">
            <v>16.20930092349036</v>
          </cell>
          <cell r="H54">
            <v>18.39755654816156</v>
          </cell>
          <cell r="I54">
            <v>20.421287768459333</v>
          </cell>
          <cell r="J54">
            <v>22.36131010646297</v>
          </cell>
          <cell r="K54">
            <v>24.485634566576952</v>
          </cell>
          <cell r="L54">
            <v>26.68934167756888</v>
          </cell>
          <cell r="AJ54" t="str">
            <v>mstag:marketDataFees</v>
          </cell>
          <cell r="AK54">
            <v>6</v>
          </cell>
          <cell r="AL54" t="str">
            <v>ISO4217:USD</v>
          </cell>
          <cell r="AM54" t="b">
            <v>0</v>
          </cell>
          <cell r="AN54" t="b">
            <v>0</v>
          </cell>
        </row>
        <row r="55">
          <cell r="A55" t="str">
            <v xml:space="preserve">Change Yr./Yr. </v>
          </cell>
          <cell r="B55" t="str">
            <v>N/A</v>
          </cell>
          <cell r="C55">
            <v>0.50600486286714652</v>
          </cell>
          <cell r="D55">
            <v>0.25168375424014156</v>
          </cell>
          <cell r="E55">
            <v>0.19394421215560831</v>
          </cell>
          <cell r="F55">
            <v>0.20768498718288519</v>
          </cell>
          <cell r="G55">
            <v>0.16</v>
          </cell>
          <cell r="H55">
            <v>0.13500000000000001</v>
          </cell>
          <cell r="I55">
            <v>0.11</v>
          </cell>
          <cell r="J55">
            <v>9.5000000000000001E-2</v>
          </cell>
          <cell r="K55">
            <v>9.5000000000000001E-2</v>
          </cell>
          <cell r="L55">
            <v>0.09</v>
          </cell>
          <cell r="M55">
            <v>0.19150568969567972</v>
          </cell>
        </row>
        <row r="56">
          <cell r="A56" t="str">
            <v xml:space="preserve">Change Yr./Yr. </v>
          </cell>
          <cell r="B56" t="str">
            <v>N/A</v>
          </cell>
          <cell r="C56">
            <v>-0.25296558291497317</v>
          </cell>
          <cell r="D56">
            <v>0.15647337341503742</v>
          </cell>
          <cell r="E56">
            <v>0.44850007437784756</v>
          </cell>
          <cell r="F56">
            <v>0.21344050658752822</v>
          </cell>
          <cell r="G56">
            <v>0.17932682309353165</v>
          </cell>
          <cell r="H56">
            <v>0.16627718355095733</v>
          </cell>
          <cell r="I56">
            <v>0.15463921849247986</v>
          </cell>
          <cell r="J56">
            <v>0.14364563122409324</v>
          </cell>
          <cell r="K56">
            <v>0.13938812835313685</v>
          </cell>
          <cell r="L56">
            <v>0.13949601063487083</v>
          </cell>
        </row>
        <row r="57">
          <cell r="A57" t="str">
            <v>Trading access fees</v>
          </cell>
          <cell r="B57">
            <v>0.49</v>
          </cell>
          <cell r="C57">
            <v>2.4605049999999999</v>
          </cell>
          <cell r="D57">
            <v>3.5949999999999998</v>
          </cell>
          <cell r="E57">
            <v>3.9461599999999994</v>
          </cell>
          <cell r="F57">
            <v>4.0145243599999993</v>
          </cell>
          <cell r="G57">
            <v>4.0747422253999988</v>
          </cell>
          <cell r="H57">
            <v>4.1358633587809983</v>
          </cell>
          <cell r="I57">
            <v>4.1772219923688088</v>
          </cell>
          <cell r="J57">
            <v>4.2189942122924968</v>
          </cell>
          <cell r="K57">
            <v>4.2611841544154219</v>
          </cell>
          <cell r="L57">
            <v>4.3037959959595762</v>
          </cell>
          <cell r="AJ57" t="str">
            <v>mstag:otherFeesAndCommissions</v>
          </cell>
          <cell r="AK57">
            <v>6</v>
          </cell>
          <cell r="AL57" t="str">
            <v>ISO4217:USD</v>
          </cell>
          <cell r="AM57" t="b">
            <v>0</v>
          </cell>
          <cell r="AN57" t="b">
            <v>0</v>
          </cell>
        </row>
        <row r="58">
          <cell r="A58" t="str">
            <v xml:space="preserve">Change Yr./Yr. </v>
          </cell>
          <cell r="B58" t="str">
            <v>N/A</v>
          </cell>
          <cell r="C58">
            <v>4.0214387755102043</v>
          </cell>
          <cell r="D58">
            <v>0.4610821762199222</v>
          </cell>
          <cell r="E58">
            <v>9.7680111265646685E-2</v>
          </cell>
          <cell r="F58">
            <v>1.7324274737973155E-2</v>
          </cell>
          <cell r="G58">
            <v>1.4999999999999999E-2</v>
          </cell>
          <cell r="H58">
            <v>1.4999999999999999E-2</v>
          </cell>
          <cell r="I58">
            <v>0.01</v>
          </cell>
          <cell r="J58">
            <v>0.01</v>
          </cell>
          <cell r="K58">
            <v>0.01</v>
          </cell>
          <cell r="L58">
            <v>0.01</v>
          </cell>
        </row>
        <row r="59">
          <cell r="A59" t="str">
            <v>Cost of hosting</v>
          </cell>
          <cell r="B59">
            <v>3.9620000000000002</v>
          </cell>
          <cell r="C59">
            <v>1.7144509999999999</v>
          </cell>
          <cell r="D59">
            <v>1.2790000000000001</v>
          </cell>
          <cell r="E59">
            <v>1.3399506399999999</v>
          </cell>
          <cell r="F59">
            <v>1.4464522368000001</v>
          </cell>
          <cell r="G59">
            <v>1.4609167591680001</v>
          </cell>
          <cell r="H59">
            <v>1.4755259267596801</v>
          </cell>
          <cell r="I59">
            <v>1.4902811860272769</v>
          </cell>
          <cell r="J59">
            <v>1.5051839978875496</v>
          </cell>
          <cell r="K59">
            <v>1.5202358378664251</v>
          </cell>
          <cell r="L59">
            <v>1.5354381962450894</v>
          </cell>
          <cell r="AJ59" t="str">
            <v>mstag:otherOperatingExpense</v>
          </cell>
          <cell r="AK59">
            <v>6</v>
          </cell>
          <cell r="AL59" t="str">
            <v>ISO4217:USD</v>
          </cell>
          <cell r="AM59" t="b">
            <v>0</v>
          </cell>
          <cell r="AN59" t="b">
            <v>0</v>
          </cell>
        </row>
        <row r="60">
          <cell r="A60" t="str">
            <v>Other revenues</v>
          </cell>
          <cell r="B60">
            <v>1.0649999999999999</v>
          </cell>
          <cell r="C60">
            <v>2.1095980000000001</v>
          </cell>
          <cell r="D60">
            <v>4.2219999999999995</v>
          </cell>
          <cell r="E60">
            <v>2.9944859999999998</v>
          </cell>
          <cell r="F60">
            <v>2.4</v>
          </cell>
          <cell r="G60">
            <v>2.52</v>
          </cell>
          <cell r="H60">
            <v>2.6460000000000004</v>
          </cell>
          <cell r="I60">
            <v>2.7518400000000005</v>
          </cell>
          <cell r="J60">
            <v>2.8619136000000007</v>
          </cell>
          <cell r="K60">
            <v>2.9763901440000007</v>
          </cell>
          <cell r="L60">
            <v>3.095445749760001</v>
          </cell>
          <cell r="AJ60" t="str">
            <v>mstag:otherFeesAndCommissions</v>
          </cell>
          <cell r="AK60">
            <v>6</v>
          </cell>
          <cell r="AL60" t="str">
            <v>ISO4217:USD</v>
          </cell>
          <cell r="AM60" t="b">
            <v>0</v>
          </cell>
          <cell r="AN60" t="b">
            <v>0</v>
          </cell>
        </row>
        <row r="61">
          <cell r="A61" t="str">
            <v xml:space="preserve">Change Yr./Yr. </v>
          </cell>
          <cell r="B61" t="str">
            <v>N/A</v>
          </cell>
          <cell r="C61">
            <v>0.98084319248826302</v>
          </cell>
          <cell r="D61">
            <v>1.0013291631865404</v>
          </cell>
          <cell r="E61">
            <v>-0.29074230222643294</v>
          </cell>
          <cell r="F61">
            <v>-0.19852689242828314</v>
          </cell>
          <cell r="G61">
            <v>0.05</v>
          </cell>
          <cell r="H61">
            <v>0.05</v>
          </cell>
          <cell r="I61">
            <v>0.04</v>
          </cell>
          <cell r="J61">
            <v>0.04</v>
          </cell>
          <cell r="K61">
            <v>0.04</v>
          </cell>
          <cell r="L61">
            <v>0.04</v>
          </cell>
        </row>
        <row r="63">
          <cell r="A63" t="str">
            <v>Total Revenues</v>
          </cell>
          <cell r="B63">
            <v>125.48999999999998</v>
          </cell>
          <cell r="C63">
            <v>93.745349000000004</v>
          </cell>
          <cell r="D63">
            <v>108.414</v>
          </cell>
          <cell r="E63">
            <v>157.03768706359998</v>
          </cell>
          <cell r="F63">
            <v>204.92245147473287</v>
          </cell>
          <cell r="G63">
            <v>246.90424358130983</v>
          </cell>
          <cell r="H63">
            <v>293.97357773848637</v>
          </cell>
          <cell r="I63">
            <v>339.28552924527634</v>
          </cell>
          <cell r="J63">
            <v>388.25536850546155</v>
          </cell>
          <cell r="K63">
            <v>442.82095139082168</v>
          </cell>
          <cell r="L63">
            <v>505.10197981140169</v>
          </cell>
          <cell r="M63" t="str">
            <v>cme comp / rev is about 18% of revs today (and they still have a trading pit)</v>
          </cell>
          <cell r="AJ63" t="str">
            <v>mstag:employeeExpenses</v>
          </cell>
          <cell r="AK63">
            <v>6</v>
          </cell>
          <cell r="AL63" t="str">
            <v>ISO4217:USD</v>
          </cell>
          <cell r="AM63" t="b">
            <v>0</v>
          </cell>
          <cell r="AN63" t="b">
            <v>0</v>
          </cell>
        </row>
        <row r="64">
          <cell r="A64" t="str">
            <v xml:space="preserve">Change Yr./Yr. </v>
          </cell>
          <cell r="B64" t="str">
            <v>N/A</v>
          </cell>
          <cell r="C64">
            <v>-0.25296558291497317</v>
          </cell>
          <cell r="D64">
            <v>0.15647337341503742</v>
          </cell>
          <cell r="E64">
            <v>0.44850007437784756</v>
          </cell>
          <cell r="F64">
            <v>0.30492530364217374</v>
          </cell>
          <cell r="G64">
            <v>0.20486672789854543</v>
          </cell>
          <cell r="H64">
            <v>0.19063801202621211</v>
          </cell>
          <cell r="I64">
            <v>0.15413613650373259</v>
          </cell>
          <cell r="J64">
            <v>0.14433223653574667</v>
          </cell>
          <cell r="K64">
            <v>0.14054044660194465</v>
          </cell>
          <cell r="L64">
            <v>0.14064607427667197</v>
          </cell>
        </row>
        <row r="65">
          <cell r="A65" t="str">
            <v>Fixed cost</v>
          </cell>
          <cell r="B65" t="str">
            <v>N/A</v>
          </cell>
          <cell r="F65">
            <v>28.236501753468826</v>
          </cell>
          <cell r="G65">
            <v>30.338235857263243</v>
          </cell>
          <cell r="H65">
            <v>32.910762169875902</v>
          </cell>
          <cell r="I65">
            <v>35.786108976578866</v>
          </cell>
          <cell r="J65">
            <v>38.636367713836535</v>
          </cell>
          <cell r="K65">
            <v>42.089691294866313</v>
          </cell>
          <cell r="L65">
            <v>45.761891018426617</v>
          </cell>
        </row>
        <row r="66">
          <cell r="A66" t="str">
            <v xml:space="preserve">OPERATING EXPENSE (b)(c) </v>
          </cell>
          <cell r="B66" t="str">
            <v>N/A</v>
          </cell>
          <cell r="C66">
            <v>186</v>
          </cell>
          <cell r="D66">
            <v>200</v>
          </cell>
          <cell r="E66">
            <v>180</v>
          </cell>
          <cell r="F66">
            <v>200</v>
          </cell>
          <cell r="G66">
            <v>210</v>
          </cell>
          <cell r="H66">
            <v>221</v>
          </cell>
          <cell r="I66">
            <v>232</v>
          </cell>
          <cell r="J66">
            <v>241</v>
          </cell>
          <cell r="K66">
            <v>251</v>
          </cell>
          <cell r="L66">
            <v>261</v>
          </cell>
        </row>
        <row r="67">
          <cell r="A67" t="str">
            <v>Cost of hosting</v>
          </cell>
          <cell r="B67">
            <v>3.9620000000000002</v>
          </cell>
          <cell r="C67">
            <v>1.7144509999999999</v>
          </cell>
          <cell r="D67">
            <v>1.2790000000000001</v>
          </cell>
          <cell r="E67">
            <v>1.3399506399999999</v>
          </cell>
          <cell r="F67">
            <v>1.4464522368000001</v>
          </cell>
          <cell r="G67">
            <v>1.4609167591680001</v>
          </cell>
          <cell r="H67">
            <v>1.4755259267596801</v>
          </cell>
          <cell r="I67">
            <v>1.4902811860272769</v>
          </cell>
          <cell r="J67">
            <v>1.5051839978875496</v>
          </cell>
          <cell r="K67">
            <v>1.5202358378664251</v>
          </cell>
          <cell r="L67">
            <v>1.5354381962450894</v>
          </cell>
          <cell r="AJ67" t="str">
            <v>mstag:otherOperatingExpense</v>
          </cell>
          <cell r="AK67">
            <v>6</v>
          </cell>
          <cell r="AL67" t="str">
            <v>ISO4217:USD</v>
          </cell>
          <cell r="AM67" t="b">
            <v>0</v>
          </cell>
          <cell r="AN67" t="b">
            <v>0</v>
          </cell>
        </row>
        <row r="68">
          <cell r="A68" t="str">
            <v>Cost of hosting/Revenues</v>
          </cell>
          <cell r="B68">
            <v>3.1572236831620054E-2</v>
          </cell>
          <cell r="C68">
            <v>1.8288384632287196E-2</v>
          </cell>
          <cell r="D68">
            <v>1.1797369343442729E-2</v>
          </cell>
          <cell r="E68">
            <v>8.5326692277206198E-3</v>
          </cell>
          <cell r="F68">
            <v>7.0585347110116384E-3</v>
          </cell>
          <cell r="G68">
            <v>5.9169366146876083E-3</v>
          </cell>
          <cell r="H68">
            <v>5.0192467571772096E-3</v>
          </cell>
          <cell r="I68">
            <v>4.3924101017285729E-3</v>
          </cell>
          <cell r="J68">
            <v>3.8767886293023051E-3</v>
          </cell>
          <cell r="K68">
            <v>3.4330711613613477E-3</v>
          </cell>
          <cell r="L68">
            <v>3.0398578061768861E-3</v>
          </cell>
        </row>
        <row r="69">
          <cell r="A69" t="str">
            <v xml:space="preserve">Change Yr./Yr. </v>
          </cell>
          <cell r="B69" t="str">
            <v>N/A</v>
          </cell>
          <cell r="C69">
            <v>-0.56727637556789512</v>
          </cell>
          <cell r="D69">
            <v>-0.2539885945996706</v>
          </cell>
          <cell r="E69">
            <v>4.7654917904612848E-2</v>
          </cell>
          <cell r="F69">
            <v>7.9481731356910501E-2</v>
          </cell>
          <cell r="G69">
            <v>0.01</v>
          </cell>
          <cell r="H69">
            <v>0.01</v>
          </cell>
          <cell r="I69">
            <v>0.01</v>
          </cell>
          <cell r="J69">
            <v>0.01</v>
          </cell>
          <cell r="K69">
            <v>0.01</v>
          </cell>
          <cell r="L69">
            <v>0.01</v>
          </cell>
        </row>
        <row r="70">
          <cell r="A70" t="str">
            <v>% of revenue</v>
          </cell>
          <cell r="F70">
            <v>5.1820367909433611E-2</v>
          </cell>
          <cell r="G70">
            <v>0.06</v>
          </cell>
          <cell r="H70">
            <v>6.5000000000000002E-2</v>
          </cell>
          <cell r="I70">
            <v>7.0000000000000007E-2</v>
          </cell>
          <cell r="J70">
            <v>7.0000000000000007E-2</v>
          </cell>
          <cell r="K70">
            <v>7.4999999999999997E-2</v>
          </cell>
          <cell r="L70">
            <v>0.08</v>
          </cell>
        </row>
        <row r="71">
          <cell r="A71" t="str">
            <v>Compensation and benefits</v>
          </cell>
          <cell r="B71">
            <v>27.905999999999999</v>
          </cell>
          <cell r="C71">
            <v>26.235925999999999</v>
          </cell>
          <cell r="D71">
            <v>30.074000000000002</v>
          </cell>
          <cell r="E71">
            <v>33.101158812720001</v>
          </cell>
          <cell r="F71">
            <v>38.854833043595825</v>
          </cell>
          <cell r="G71">
            <v>45.152490472141835</v>
          </cell>
          <cell r="H71">
            <v>52.019044722877517</v>
          </cell>
          <cell r="I71">
            <v>59.536096023748215</v>
          </cell>
          <cell r="J71">
            <v>65.814243509218841</v>
          </cell>
          <cell r="K71">
            <v>75.301262649177943</v>
          </cell>
          <cell r="L71">
            <v>86.170049403338751</v>
          </cell>
          <cell r="M71" t="str">
            <v>cme comp / rev is about 18% of revs today (and they still have a trading pit)</v>
          </cell>
          <cell r="AJ71" t="str">
            <v>mstag:employeeExpenses</v>
          </cell>
          <cell r="AK71">
            <v>6</v>
          </cell>
          <cell r="AL71" t="str">
            <v>ISO4217:USD</v>
          </cell>
          <cell r="AM71" t="b">
            <v>0</v>
          </cell>
          <cell r="AN71" t="b">
            <v>0</v>
          </cell>
        </row>
        <row r="72">
          <cell r="A72" t="str">
            <v xml:space="preserve">Change Yr./Yr. </v>
          </cell>
          <cell r="B72" t="str">
            <v>N/A</v>
          </cell>
          <cell r="C72">
            <v>-5.984641295778681E-2</v>
          </cell>
          <cell r="D72">
            <v>0.14629077700554594</v>
          </cell>
          <cell r="E72">
            <v>0.10065700647469566</v>
          </cell>
          <cell r="F72">
            <v>0.17382093066375726</v>
          </cell>
          <cell r="G72">
            <v>0.16208170091684404</v>
          </cell>
          <cell r="H72">
            <v>0.1520747621877514</v>
          </cell>
          <cell r="I72">
            <v>0.14450575440046021</v>
          </cell>
          <cell r="J72">
            <v>0.10545111125469742</v>
          </cell>
          <cell r="K72">
            <v>0.14414841885450258</v>
          </cell>
          <cell r="L72">
            <v>0.14433737724688034</v>
          </cell>
        </row>
        <row r="73">
          <cell r="A73" t="str">
            <v>Fixed cost</v>
          </cell>
          <cell r="B73" t="str">
            <v>N/A</v>
          </cell>
          <cell r="C73">
            <v>0.27986376156112019</v>
          </cell>
          <cell r="D73">
            <v>0.27739959783791762</v>
          </cell>
          <cell r="E73">
            <v>0.21078480861294202</v>
          </cell>
          <cell r="F73">
            <v>28.236501753468826</v>
          </cell>
          <cell r="G73">
            <v>30.338235857263243</v>
          </cell>
          <cell r="H73">
            <v>32.910762169875902</v>
          </cell>
          <cell r="I73">
            <v>35.786108976578866</v>
          </cell>
          <cell r="J73">
            <v>38.636367713836535</v>
          </cell>
          <cell r="K73">
            <v>42.089691294866313</v>
          </cell>
          <cell r="L73">
            <v>45.761891018426617</v>
          </cell>
        </row>
        <row r="74">
          <cell r="A74" t="str">
            <v>Head count</v>
          </cell>
          <cell r="B74" t="str">
            <v>N/A</v>
          </cell>
          <cell r="C74">
            <v>186</v>
          </cell>
          <cell r="D74">
            <v>200</v>
          </cell>
          <cell r="E74">
            <v>180</v>
          </cell>
          <cell r="F74">
            <v>200</v>
          </cell>
          <cell r="G74">
            <v>210</v>
          </cell>
          <cell r="H74">
            <v>221</v>
          </cell>
          <cell r="I74">
            <v>232</v>
          </cell>
          <cell r="J74">
            <v>241</v>
          </cell>
          <cell r="K74">
            <v>251</v>
          </cell>
          <cell r="L74">
            <v>261</v>
          </cell>
        </row>
        <row r="75">
          <cell r="A75" t="str">
            <v>Fixed compensation cost per head</v>
          </cell>
          <cell r="B75" t="str">
            <v>N/A</v>
          </cell>
          <cell r="E75">
            <v>1.6004</v>
          </cell>
          <cell r="F75">
            <v>0.14118250876734412</v>
          </cell>
          <cell r="G75">
            <v>0.14446778979649164</v>
          </cell>
          <cell r="H75">
            <v>0.14891747588179141</v>
          </cell>
          <cell r="I75">
            <v>0.15425046972663303</v>
          </cell>
          <cell r="J75">
            <v>0.16031687848064952</v>
          </cell>
          <cell r="K75">
            <v>0.16768801312695741</v>
          </cell>
          <cell r="L75">
            <v>0.17533291577941232</v>
          </cell>
          <cell r="M75" t="str">
            <v>should build as move from options to restricted stock</v>
          </cell>
          <cell r="AJ75" t="str">
            <v>mstag:stockCompensation</v>
          </cell>
          <cell r="AK75">
            <v>6</v>
          </cell>
          <cell r="AL75" t="str">
            <v>ISO4217:USD</v>
          </cell>
          <cell r="AM75" t="b">
            <v>0</v>
          </cell>
          <cell r="AN75" t="b">
            <v>0</v>
          </cell>
        </row>
        <row r="76">
          <cell r="A76" t="str">
            <v>Sequential growth</v>
          </cell>
          <cell r="B76" t="str">
            <v>N/A</v>
          </cell>
          <cell r="F76">
            <v>5</v>
          </cell>
          <cell r="G76">
            <v>2.326974536598847E-2</v>
          </cell>
          <cell r="H76">
            <v>3.0800541017260263E-2</v>
          </cell>
          <cell r="I76">
            <v>3.5811739443360358E-2</v>
          </cell>
          <cell r="J76">
            <v>3.9328300035439412E-2</v>
          </cell>
          <cell r="K76">
            <v>4.5978531494409003E-2</v>
          </cell>
          <cell r="L76">
            <v>4.5590036579817417E-2</v>
          </cell>
          <cell r="M76" t="str">
            <v>declining as move from options to restricted units</v>
          </cell>
          <cell r="AJ76" t="str">
            <v>mstag:stockCompensation</v>
          </cell>
          <cell r="AK76">
            <v>6</v>
          </cell>
          <cell r="AL76" t="str">
            <v>ISO4217:USD</v>
          </cell>
          <cell r="AM76" t="b">
            <v>0</v>
          </cell>
          <cell r="AN76" t="b">
            <v>0</v>
          </cell>
        </row>
        <row r="77">
          <cell r="A77" t="str">
            <v>Variable cost</v>
          </cell>
          <cell r="B77" t="str">
            <v>N/A</v>
          </cell>
          <cell r="C77">
            <v>0.27986376156112019</v>
          </cell>
          <cell r="D77">
            <v>0.27739959783791762</v>
          </cell>
          <cell r="E77">
            <v>0.2209759928434627</v>
          </cell>
          <cell r="F77">
            <v>10.618331290126998</v>
          </cell>
          <cell r="G77">
            <v>14.814254614878589</v>
          </cell>
          <cell r="H77">
            <v>19.108282553001615</v>
          </cell>
          <cell r="I77">
            <v>23.749987047169345</v>
          </cell>
          <cell r="J77">
            <v>27.17787579538231</v>
          </cell>
          <cell r="K77">
            <v>33.211571354311623</v>
          </cell>
          <cell r="L77">
            <v>40.408158384912134</v>
          </cell>
        </row>
        <row r="78">
          <cell r="A78" t="str">
            <v>% of revenue</v>
          </cell>
          <cell r="B78">
            <v>15.875999999999999</v>
          </cell>
          <cell r="C78">
            <v>15.138485999999999</v>
          </cell>
          <cell r="D78">
            <v>14.523</v>
          </cell>
          <cell r="E78">
            <v>12.721568760000002</v>
          </cell>
          <cell r="F78">
            <v>5.1816339369901827E-2</v>
          </cell>
          <cell r="G78">
            <v>0.06</v>
          </cell>
          <cell r="H78">
            <v>6.5000000000000002E-2</v>
          </cell>
          <cell r="I78">
            <v>7.0000000000000007E-2</v>
          </cell>
          <cell r="J78">
            <v>7.0000000000000007E-2</v>
          </cell>
          <cell r="K78">
            <v>7.4999999999999997E-2</v>
          </cell>
          <cell r="L78">
            <v>0.08</v>
          </cell>
          <cell r="AJ78" t="str">
            <v>mstag:otherOperatingExpense</v>
          </cell>
          <cell r="AK78">
            <v>6</v>
          </cell>
          <cell r="AL78" t="str">
            <v>ISO4217:USD</v>
          </cell>
          <cell r="AM78" t="b">
            <v>0</v>
          </cell>
          <cell r="AN78" t="b">
            <v>0</v>
          </cell>
        </row>
        <row r="79">
          <cell r="A79" t="str">
            <v>Variable vs fixed comp costs</v>
          </cell>
          <cell r="B79">
            <v>0.12651207267511358</v>
          </cell>
          <cell r="C79">
            <v>0.16148519538819997</v>
          </cell>
          <cell r="D79">
            <v>0.13395871381924843</v>
          </cell>
          <cell r="E79">
            <v>8.1009654420392666E-2</v>
          </cell>
          <cell r="F79">
            <v>0.27328212369907851</v>
          </cell>
          <cell r="G79">
            <v>0.32809385395958796</v>
          </cell>
          <cell r="H79">
            <v>0.36733243862507842</v>
          </cell>
          <cell r="I79">
            <v>0.39891744056741257</v>
          </cell>
          <cell r="J79">
            <v>0.4129482365253565</v>
          </cell>
          <cell r="K79">
            <v>0.44104932886771708</v>
          </cell>
          <cell r="L79">
            <v>0.4689350727393975</v>
          </cell>
          <cell r="M79" t="str">
            <v>should be part fixed, part variable. Assume some operating leverage over headcount</v>
          </cell>
        </row>
        <row r="80">
          <cell r="A80" t="str">
            <v xml:space="preserve">Change Yr./Yr. </v>
          </cell>
          <cell r="C80">
            <v>-5.984641295778681E-2</v>
          </cell>
          <cell r="D80">
            <v>0.14629077700554594</v>
          </cell>
          <cell r="E80">
            <v>0.10065700647469566</v>
          </cell>
          <cell r="F80">
            <v>0.17382093066375726</v>
          </cell>
          <cell r="G80">
            <v>0.16208170091684404</v>
          </cell>
          <cell r="H80">
            <v>0.1520747621877514</v>
          </cell>
          <cell r="I80">
            <v>0.14450575440046021</v>
          </cell>
          <cell r="J80">
            <v>0.10545111125469742</v>
          </cell>
          <cell r="K80">
            <v>0.14414841885450258</v>
          </cell>
          <cell r="L80">
            <v>0.14433737724688034</v>
          </cell>
        </row>
        <row r="81">
          <cell r="A81" t="str">
            <v>Comp and benefits / revenue</v>
          </cell>
          <cell r="B81">
            <v>0.22237628496294529</v>
          </cell>
          <cell r="C81">
            <v>0.27986376156112019</v>
          </cell>
          <cell r="D81">
            <v>0.27739959783791762</v>
          </cell>
          <cell r="E81">
            <v>0.21078480861294202</v>
          </cell>
          <cell r="F81">
            <v>0.18960749670900098</v>
          </cell>
          <cell r="G81">
            <v>0.18287450153635104</v>
          </cell>
          <cell r="H81">
            <v>0.17695142918304285</v>
          </cell>
          <cell r="I81">
            <v>0.17547490503406754</v>
          </cell>
          <cell r="J81">
            <v>0.16951277135603351</v>
          </cell>
          <cell r="K81">
            <v>0.17004900606592824</v>
          </cell>
          <cell r="L81">
            <v>0.17059931033236791</v>
          </cell>
        </row>
        <row r="82">
          <cell r="A82" t="str">
            <v>Selling, general, and administrative</v>
          </cell>
          <cell r="B82">
            <v>12.425000000000001</v>
          </cell>
          <cell r="C82">
            <v>12.397517000000001</v>
          </cell>
          <cell r="D82">
            <v>13.12</v>
          </cell>
          <cell r="E82">
            <v>14.897130773552474</v>
          </cell>
          <cell r="F82">
            <v>20.573784271018695</v>
          </cell>
          <cell r="G82">
            <v>22.588233002401104</v>
          </cell>
          <cell r="H82">
            <v>24.762872687895154</v>
          </cell>
          <cell r="I82">
            <v>27.098031946338402</v>
          </cell>
          <cell r="J82">
            <v>29.586513482714128</v>
          </cell>
          <cell r="K82">
            <v>31.90897552572693</v>
          </cell>
          <cell r="L82">
            <v>34.43145139860161</v>
          </cell>
          <cell r="M82" t="str">
            <v>company says is 80% fixed</v>
          </cell>
          <cell r="AJ82" t="str">
            <v>mstag:otherOperatingExpense</v>
          </cell>
          <cell r="AK82">
            <v>6</v>
          </cell>
          <cell r="AL82" t="str">
            <v>ISO4217:USD</v>
          </cell>
          <cell r="AM82" t="b">
            <v>0</v>
          </cell>
          <cell r="AN82" t="b">
            <v>0</v>
          </cell>
        </row>
        <row r="83">
          <cell r="A83" t="str">
            <v>Restricted stock expense</v>
          </cell>
          <cell r="C83">
            <v>-2.2119114688129438E-3</v>
          </cell>
          <cell r="D83">
            <v>5.827642744914141E-2</v>
          </cell>
          <cell r="E83">
            <v>1.6004</v>
          </cell>
          <cell r="F83">
            <v>3.0004</v>
          </cell>
          <cell r="G83">
            <v>4.0004</v>
          </cell>
          <cell r="H83">
            <v>5.0004</v>
          </cell>
          <cell r="I83">
            <v>6.0004</v>
          </cell>
          <cell r="J83">
            <v>7.0004</v>
          </cell>
          <cell r="K83">
            <v>8.0003999999999991</v>
          </cell>
          <cell r="L83">
            <v>9.0003999999999991</v>
          </cell>
          <cell r="M83" t="str">
            <v>should build as move from options to restricted stock</v>
          </cell>
          <cell r="AJ83" t="str">
            <v>mstag:stockCompensation</v>
          </cell>
          <cell r="AK83">
            <v>6</v>
          </cell>
          <cell r="AL83" t="str">
            <v>ISO4217:USD</v>
          </cell>
          <cell r="AM83" t="b">
            <v>0</v>
          </cell>
          <cell r="AN83" t="b">
            <v>0</v>
          </cell>
        </row>
        <row r="84">
          <cell r="A84" t="str">
            <v>Stock option expense</v>
          </cell>
          <cell r="F84">
            <v>5</v>
          </cell>
          <cell r="G84">
            <v>5</v>
          </cell>
          <cell r="H84">
            <v>4</v>
          </cell>
          <cell r="I84">
            <v>4</v>
          </cell>
          <cell r="J84">
            <v>4</v>
          </cell>
          <cell r="K84">
            <v>4</v>
          </cell>
          <cell r="L84">
            <v>4</v>
          </cell>
          <cell r="M84" t="str">
            <v>declining as move from options to restricted units</v>
          </cell>
          <cell r="AJ84" t="str">
            <v>mstag:stockCompensation</v>
          </cell>
          <cell r="AK84">
            <v>6</v>
          </cell>
          <cell r="AL84" t="str">
            <v>ISO4217:USD</v>
          </cell>
          <cell r="AM84" t="b">
            <v>0</v>
          </cell>
          <cell r="AN84" t="b">
            <v>0</v>
          </cell>
        </row>
        <row r="85">
          <cell r="A85" t="str">
            <v>Total comp / revenue</v>
          </cell>
          <cell r="B85">
            <v>0.22237628496294529</v>
          </cell>
          <cell r="C85">
            <v>0.27986376156112019</v>
          </cell>
          <cell r="D85">
            <v>0.27739959783791762</v>
          </cell>
          <cell r="E85">
            <v>0.2209759928434627</v>
          </cell>
          <cell r="F85">
            <v>0.22864860685786359</v>
          </cell>
          <cell r="G85">
            <v>0.21932749995164968</v>
          </cell>
          <cell r="H85">
            <v>0.20756778616736543</v>
          </cell>
          <cell r="I85">
            <v>0.204949784267041</v>
          </cell>
          <cell r="J85">
            <v>0.19784566999010678</v>
          </cell>
          <cell r="K85">
            <v>0.1971488981607103</v>
          </cell>
          <cell r="L85">
            <v>0.19633747909752336</v>
          </cell>
        </row>
        <row r="86">
          <cell r="A86" t="str">
            <v>Professional services</v>
          </cell>
          <cell r="B86">
            <v>15.875999999999999</v>
          </cell>
          <cell r="C86">
            <v>15.138485999999999</v>
          </cell>
          <cell r="D86">
            <v>14.523</v>
          </cell>
          <cell r="E86">
            <v>12.721568760000002</v>
          </cell>
          <cell r="F86">
            <v>13.505441147962983</v>
          </cell>
          <cell r="G86">
            <v>14.585876439800023</v>
          </cell>
          <cell r="H86">
            <v>15.752746554984025</v>
          </cell>
          <cell r="I86">
            <v>17.012966279382749</v>
          </cell>
          <cell r="J86">
            <v>18.374003581733369</v>
          </cell>
          <cell r="K86">
            <v>19.843923868272039</v>
          </cell>
          <cell r="L86">
            <v>21.431437777733805</v>
          </cell>
          <cell r="AJ86" t="str">
            <v>mstag:otherOperatingExpense</v>
          </cell>
          <cell r="AK86">
            <v>6</v>
          </cell>
          <cell r="AL86" t="str">
            <v>ISO4217:USD</v>
          </cell>
          <cell r="AM86" t="b">
            <v>0</v>
          </cell>
          <cell r="AN86" t="b">
            <v>0</v>
          </cell>
        </row>
        <row r="87">
          <cell r="A87" t="str">
            <v>Professional services/Revenues</v>
          </cell>
          <cell r="B87">
            <v>0.12651207267511358</v>
          </cell>
          <cell r="C87">
            <v>0.16148519538819997</v>
          </cell>
          <cell r="D87">
            <v>0.13395871381924843</v>
          </cell>
          <cell r="E87">
            <v>8.1009654420392666E-2</v>
          </cell>
          <cell r="F87">
            <v>6.590513167674171E-2</v>
          </cell>
          <cell r="G87">
            <v>5.9075033414711813E-2</v>
          </cell>
          <cell r="H87">
            <v>5.358558641959784E-2</v>
          </cell>
          <cell r="I87">
            <v>5.0143506907669298E-2</v>
          </cell>
          <cell r="J87">
            <v>4.7324531924598241E-2</v>
          </cell>
          <cell r="K87">
            <v>4.4812522546518657E-2</v>
          </cell>
          <cell r="L87">
            <v>4.2429922341100337E-2</v>
          </cell>
        </row>
        <row r="88">
          <cell r="A88" t="str">
            <v xml:space="preserve">Change Yr./Yr. </v>
          </cell>
          <cell r="C88">
            <v>-4.6454648526077169E-2</v>
          </cell>
          <cell r="D88">
            <v>-4.0657037962713027E-2</v>
          </cell>
          <cell r="E88">
            <v>-0.12403988432142099</v>
          </cell>
          <cell r="F88">
            <v>6.1617588424132563E-2</v>
          </cell>
          <cell r="G88">
            <v>0.08</v>
          </cell>
          <cell r="H88">
            <v>0.08</v>
          </cell>
          <cell r="I88">
            <v>0.08</v>
          </cell>
          <cell r="J88">
            <v>0.08</v>
          </cell>
          <cell r="K88">
            <v>0.08</v>
          </cell>
          <cell r="L88">
            <v>0.08</v>
          </cell>
        </row>
        <row r="89">
          <cell r="A89" t="str">
            <v>Depreciation and amortization</v>
          </cell>
          <cell r="B89">
            <v>14.368</v>
          </cell>
          <cell r="C89">
            <v>19.341412000000002</v>
          </cell>
          <cell r="D89">
            <v>17.024000000000001</v>
          </cell>
          <cell r="E89">
            <v>15.328669</v>
          </cell>
          <cell r="F89">
            <v>12</v>
          </cell>
          <cell r="G89">
            <v>12.600000000000001</v>
          </cell>
          <cell r="H89">
            <v>13.230000000000002</v>
          </cell>
          <cell r="I89">
            <v>13.891500000000002</v>
          </cell>
          <cell r="J89">
            <v>14.586075000000003</v>
          </cell>
          <cell r="K89">
            <v>15.315378750000004</v>
          </cell>
          <cell r="L89">
            <v>16.081147687500007</v>
          </cell>
          <cell r="AJ89" t="str">
            <v>mstag:depreciationInIncomeStatement</v>
          </cell>
          <cell r="AK89">
            <v>6</v>
          </cell>
          <cell r="AL89" t="str">
            <v>ISO4217:USD</v>
          </cell>
          <cell r="AM89" t="b">
            <v>0</v>
          </cell>
          <cell r="AN89" t="b">
            <v>0</v>
          </cell>
        </row>
        <row r="90">
          <cell r="A90" t="str">
            <v>Selling, general, and administrative</v>
          </cell>
          <cell r="B90">
            <v>12.425000000000001</v>
          </cell>
          <cell r="C90">
            <v>12.397517000000001</v>
          </cell>
          <cell r="D90">
            <v>13.12</v>
          </cell>
          <cell r="E90">
            <v>14.897130773552474</v>
          </cell>
          <cell r="F90">
            <v>21.148446708256472</v>
          </cell>
          <cell r="G90">
            <v>23.475295824982908</v>
          </cell>
          <cell r="H90">
            <v>26.038025495356493</v>
          </cell>
          <cell r="I90">
            <v>28.564457674918941</v>
          </cell>
          <cell r="J90">
            <v>31.272903070581748</v>
          </cell>
          <cell r="K90">
            <v>33.799839851123494</v>
          </cell>
          <cell r="L90">
            <v>36.550189117058792</v>
          </cell>
          <cell r="M90" t="str">
            <v>company says is 80% fixed</v>
          </cell>
          <cell r="AJ90" t="str">
            <v>mstag:otherOperatingExpense</v>
          </cell>
          <cell r="AK90">
            <v>6</v>
          </cell>
          <cell r="AL90" t="str">
            <v>ISO4217:USD</v>
          </cell>
          <cell r="AM90" t="b">
            <v>0</v>
          </cell>
          <cell r="AN90" t="b">
            <v>0</v>
          </cell>
        </row>
        <row r="91">
          <cell r="A91" t="str">
            <v xml:space="preserve">Change Yr./Yr. </v>
          </cell>
          <cell r="C91">
            <v>-2.2119114688129438E-3</v>
          </cell>
          <cell r="D91">
            <v>5.827642744914141E-2</v>
          </cell>
          <cell r="E91">
            <v>0.13545204066710936</v>
          </cell>
          <cell r="F91">
            <v>0.41963221171436804</v>
          </cell>
          <cell r="G91">
            <v>0.1100245870926313</v>
          </cell>
          <cell r="H91">
            <v>0.10916708737047198</v>
          </cell>
          <cell r="I91">
            <v>9.7028562323706158E-2</v>
          </cell>
          <cell r="J91">
            <v>9.4818722850844139E-2</v>
          </cell>
          <cell r="K91">
            <v>8.080275677760218E-2</v>
          </cell>
          <cell r="L91">
            <v>8.1371665606986054E-2</v>
          </cell>
          <cell r="M91" t="str">
            <v>same growth rate as prof fees - comb of growth and inflation</v>
          </cell>
        </row>
        <row r="92">
          <cell r="A92" t="str">
            <v>Fixed Cost</v>
          </cell>
          <cell r="F92">
            <v>12.951548649267155</v>
          </cell>
          <cell r="G92">
            <v>13.599126081730512</v>
          </cell>
          <cell r="H92">
            <v>14.279082385817038</v>
          </cell>
          <cell r="I92">
            <v>14.99303650510789</v>
          </cell>
          <cell r="J92">
            <v>15.742688330363285</v>
          </cell>
          <cell r="K92">
            <v>16.52982274688145</v>
          </cell>
          <cell r="L92">
            <v>17.356313884225525</v>
          </cell>
        </row>
        <row r="93">
          <cell r="A93" t="str">
            <v>Sequential growth</v>
          </cell>
          <cell r="B93">
            <v>74.536999999999992</v>
          </cell>
          <cell r="C93">
            <v>74.827792000000002</v>
          </cell>
          <cell r="D93">
            <v>76.02000000000001</v>
          </cell>
          <cell r="E93">
            <v>78.98887798627247</v>
          </cell>
          <cell r="F93">
            <v>93.63725576453939</v>
          </cell>
          <cell r="G93">
            <v>0.05</v>
          </cell>
          <cell r="H93">
            <v>0.05</v>
          </cell>
          <cell r="I93">
            <v>0.05</v>
          </cell>
          <cell r="J93">
            <v>0.05</v>
          </cell>
          <cell r="K93">
            <v>0.05</v>
          </cell>
          <cell r="L93">
            <v>0.05</v>
          </cell>
        </row>
        <row r="94">
          <cell r="A94" t="str">
            <v>Variable cost</v>
          </cell>
          <cell r="C94">
            <v>3.9013107584153772E-3</v>
          </cell>
          <cell r="D94">
            <v>1.5932689821984924E-2</v>
          </cell>
          <cell r="E94">
            <v>3.9053906686036033E-2</v>
          </cell>
          <cell r="F94">
            <v>8.1968980589893157</v>
          </cell>
          <cell r="G94">
            <v>9.8761697432523938</v>
          </cell>
          <cell r="H94">
            <v>11.758943109539455</v>
          </cell>
          <cell r="I94">
            <v>13.571421169811053</v>
          </cell>
          <cell r="J94">
            <v>15.530214740218462</v>
          </cell>
          <cell r="K94">
            <v>17.270017104242044</v>
          </cell>
          <cell r="L94">
            <v>19.193875232833264</v>
          </cell>
        </row>
        <row r="95">
          <cell r="A95" t="str">
            <v>% of revenue</v>
          </cell>
          <cell r="F95">
            <v>4.0000000000000008E-2</v>
          </cell>
          <cell r="G95">
            <v>0.04</v>
          </cell>
          <cell r="H95">
            <v>0.04</v>
          </cell>
          <cell r="I95">
            <v>0.04</v>
          </cell>
          <cell r="J95">
            <v>0.04</v>
          </cell>
          <cell r="K95">
            <v>3.9E-2</v>
          </cell>
          <cell r="L95">
            <v>3.7999999999999999E-2</v>
          </cell>
        </row>
        <row r="96">
          <cell r="A96" t="str">
            <v>One time floor closure cost</v>
          </cell>
          <cell r="B96">
            <v>0</v>
          </cell>
          <cell r="C96">
            <v>-2.5300000000072487E-4</v>
          </cell>
          <cell r="D96">
            <v>0</v>
          </cell>
          <cell r="E96">
            <v>13.003537518249907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A97" t="str">
            <v>Depreciation and amortization</v>
          </cell>
          <cell r="B97">
            <v>14.368</v>
          </cell>
          <cell r="C97">
            <v>19.341412000000002</v>
          </cell>
          <cell r="D97">
            <v>17.024000000000001</v>
          </cell>
          <cell r="E97">
            <v>15.328669</v>
          </cell>
          <cell r="F97">
            <v>12</v>
          </cell>
          <cell r="G97">
            <v>12.600000000000001</v>
          </cell>
          <cell r="H97">
            <v>13.230000000000002</v>
          </cell>
          <cell r="I97">
            <v>13.891500000000002</v>
          </cell>
          <cell r="J97">
            <v>14.586075000000003</v>
          </cell>
          <cell r="K97">
            <v>15.315378750000004</v>
          </cell>
          <cell r="L97">
            <v>16.081147687500007</v>
          </cell>
          <cell r="AJ97" t="str">
            <v>mstag:depreciationInIncomeStatement</v>
          </cell>
          <cell r="AK97">
            <v>6</v>
          </cell>
          <cell r="AL97" t="str">
            <v>ISO4217:USD</v>
          </cell>
          <cell r="AM97" t="b">
            <v>0</v>
          </cell>
          <cell r="AN97" t="b">
            <v>0</v>
          </cell>
        </row>
        <row r="98">
          <cell r="A98" t="str">
            <v>Depreciation and amortization/Revenues</v>
          </cell>
          <cell r="B98">
            <v>0.11449517889871705</v>
          </cell>
          <cell r="C98">
            <v>0.20631863027146019</v>
          </cell>
          <cell r="D98">
            <v>0.15702769015071855</v>
          </cell>
          <cell r="E98">
            <v>9.7611403266477784E-2</v>
          </cell>
          <cell r="F98">
            <v>5.8558737286429602E-2</v>
          </cell>
          <cell r="G98">
            <v>5.1031929695653871E-2</v>
          </cell>
          <cell r="H98">
            <v>4.5004044587194751E-2</v>
          </cell>
          <cell r="I98">
            <v>4.0943390750855034E-2</v>
          </cell>
          <cell r="J98">
            <v>3.7568250649430035E-2</v>
          </cell>
          <cell r="K98">
            <v>3.4585939761651134E-2</v>
          </cell>
          <cell r="L98">
            <v>3.183742754978805E-2</v>
          </cell>
          <cell r="AJ98" t="str">
            <v>mstag:legalProvisionOneTime</v>
          </cell>
          <cell r="AK98">
            <v>6</v>
          </cell>
          <cell r="AL98" t="str">
            <v>ISO4217:USD</v>
          </cell>
          <cell r="AM98" t="b">
            <v>0</v>
          </cell>
          <cell r="AN98" t="b">
            <v>0</v>
          </cell>
        </row>
        <row r="99">
          <cell r="A99" t="str">
            <v xml:space="preserve">Change Yr./Yr. </v>
          </cell>
          <cell r="C99">
            <v>0.34614504454342998</v>
          </cell>
          <cell r="D99">
            <v>-0.11981607133956929</v>
          </cell>
          <cell r="E99">
            <v>-9.9584762687970008E-2</v>
          </cell>
          <cell r="F99">
            <v>-0.21715316574452748</v>
          </cell>
          <cell r="G99">
            <v>0.05</v>
          </cell>
          <cell r="H99">
            <v>0.05</v>
          </cell>
          <cell r="I99">
            <v>0.05</v>
          </cell>
          <cell r="J99">
            <v>0.05</v>
          </cell>
          <cell r="K99">
            <v>0.05</v>
          </cell>
          <cell r="L99">
            <v>0.05</v>
          </cell>
          <cell r="M99" t="str">
            <v>declining technology cost curve should allow d&amp;a to grow at a slower rate than other non-comp expenses</v>
          </cell>
        </row>
        <row r="100">
          <cell r="A100" t="str">
            <v>(a) Excludes the impact of the two-month fee rebate program.</v>
          </cell>
        </row>
        <row r="101">
          <cell r="A101" t="str">
            <v>Total Operating Expenses</v>
          </cell>
          <cell r="B101">
            <v>74.536999999999992</v>
          </cell>
          <cell r="C101">
            <v>74.827792000000002</v>
          </cell>
          <cell r="D101">
            <v>76.02000000000001</v>
          </cell>
          <cell r="E101">
            <v>78.98887798627247</v>
          </cell>
          <cell r="F101">
            <v>94.955573136615286</v>
          </cell>
          <cell r="G101">
            <v>106.27497949609277</v>
          </cell>
          <cell r="H101">
            <v>117.51574269997772</v>
          </cell>
          <cell r="I101">
            <v>130.49570116407719</v>
          </cell>
          <cell r="J101">
            <v>142.55280915942151</v>
          </cell>
          <cell r="K101">
            <v>157.78104095643988</v>
          </cell>
          <cell r="L101">
            <v>174.76866218187644</v>
          </cell>
        </row>
        <row r="102">
          <cell r="A102" t="str">
            <v xml:space="preserve">Change Yr./Yr. </v>
          </cell>
          <cell r="C102">
            <v>3.9013107584153772E-3</v>
          </cell>
          <cell r="D102">
            <v>1.5932689821984924E-2</v>
          </cell>
          <cell r="E102">
            <v>3.9053906686036033E-2</v>
          </cell>
          <cell r="F102">
            <v>0.20213852326295445</v>
          </cell>
          <cell r="G102">
            <v>0.11920739336902253</v>
          </cell>
          <cell r="H102">
            <v>0.10577055161227511</v>
          </cell>
          <cell r="I102">
            <v>0.11045293307840298</v>
          </cell>
          <cell r="J102">
            <v>9.239467574632565E-2</v>
          </cell>
          <cell r="K102">
            <v>0.1068251961277602</v>
          </cell>
          <cell r="L102">
            <v>0.10766579509464957</v>
          </cell>
        </row>
        <row r="104">
          <cell r="A104" t="str">
            <v>One time floor closure cost</v>
          </cell>
          <cell r="B104">
            <v>0</v>
          </cell>
          <cell r="C104">
            <v>-2.5300000000072487E-4</v>
          </cell>
          <cell r="D104">
            <v>0</v>
          </cell>
          <cell r="E104">
            <v>13.003537518249907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A105" t="str">
            <v>Floor closure cost</v>
          </cell>
          <cell r="E105">
            <v>3.1550535182499075</v>
          </cell>
          <cell r="AJ105" t="str">
            <v>mstag:otherProvisionsOneTime</v>
          </cell>
          <cell r="AK105">
            <v>6</v>
          </cell>
          <cell r="AL105" t="str">
            <v>ISO4217:USD</v>
          </cell>
          <cell r="AM105" t="b">
            <v>0</v>
          </cell>
          <cell r="AN105" t="b">
            <v>0</v>
          </cell>
        </row>
        <row r="106">
          <cell r="A106" t="str">
            <v>Legal cost</v>
          </cell>
          <cell r="E106">
            <v>9.8484839999999991</v>
          </cell>
          <cell r="AJ106" t="str">
            <v>mstag:legalProvisionOneTime</v>
          </cell>
          <cell r="AK106">
            <v>6</v>
          </cell>
          <cell r="AL106" t="str">
            <v>ISO4217:USD</v>
          </cell>
          <cell r="AM106" t="b">
            <v>0</v>
          </cell>
          <cell r="AN106" t="b">
            <v>0</v>
          </cell>
        </row>
        <row r="108">
          <cell r="A108" t="str">
            <v>(a) Excludes the impact of the two-month fee rebate program.</v>
          </cell>
        </row>
        <row r="109">
          <cell r="A109" t="str">
            <v>(b) Excludes $4.8M pre-tax one-time floor closure expenses in 2005.</v>
          </cell>
        </row>
        <row r="110">
          <cell r="A110" t="str">
            <v>(c) Excludes $15M pre-tax one time lump sum payment to EBS in 2Q05</v>
          </cell>
        </row>
        <row r="111">
          <cell r="A111" t="str">
            <v xml:space="preserve">Forecasting Variables, 2002A-2012E </v>
          </cell>
        </row>
        <row r="112">
          <cell r="A112" t="str">
            <v>A = Actual    E = Morgan Stanley Research Estimate</v>
          </cell>
        </row>
        <row r="113">
          <cell r="A113" t="str">
            <v>Source: Company data, Morgan Stanley Research</v>
          </cell>
        </row>
        <row r="115">
          <cell r="B115" t="str">
            <v>2002A</v>
          </cell>
          <cell r="C115" t="str">
            <v>2003A</v>
          </cell>
          <cell r="D115" t="str">
            <v>2004A</v>
          </cell>
          <cell r="E115" t="str">
            <v>2005E</v>
          </cell>
          <cell r="F115" t="str">
            <v>2006E</v>
          </cell>
          <cell r="G115" t="str">
            <v>2007E</v>
          </cell>
          <cell r="H115" t="str">
            <v>2008E</v>
          </cell>
          <cell r="I115" t="str">
            <v>2009E</v>
          </cell>
          <cell r="J115" t="str">
            <v>2010E</v>
          </cell>
          <cell r="K115" t="str">
            <v>2011E</v>
          </cell>
          <cell r="L115" t="str">
            <v>2012E</v>
          </cell>
        </row>
        <row r="117">
          <cell r="A117" t="str">
            <v>Table XX</v>
          </cell>
          <cell r="B117">
            <v>50.952999999999989</v>
          </cell>
          <cell r="C117">
            <v>18.917557000000002</v>
          </cell>
          <cell r="D117">
            <v>32.393999999999991</v>
          </cell>
          <cell r="E117">
            <v>78.048809077327505</v>
          </cell>
          <cell r="F117">
            <v>96.918634779249089</v>
          </cell>
          <cell r="G117">
            <v>120.67035057712654</v>
          </cell>
          <cell r="H117">
            <v>147.9262909715612</v>
          </cell>
          <cell r="I117">
            <v>176.16185562028215</v>
          </cell>
          <cell r="J117">
            <v>208.18039101598552</v>
          </cell>
          <cell r="K117">
            <v>242.08335165742392</v>
          </cell>
          <cell r="L117">
            <v>281.15630005901909</v>
          </cell>
        </row>
        <row r="118">
          <cell r="A118" t="str">
            <v>IntercontinentalExchange, Inc.</v>
          </cell>
        </row>
        <row r="119">
          <cell r="A119" t="str">
            <v xml:space="preserve">Forecasting Variables, 2002A-2012E </v>
          </cell>
          <cell r="B119">
            <v>1.556</v>
          </cell>
          <cell r="C119">
            <v>1.613559</v>
          </cell>
          <cell r="D119">
            <v>2.7490000000000001</v>
          </cell>
          <cell r="E119">
            <v>2.5354130000000001</v>
          </cell>
          <cell r="F119">
            <v>5.8871456948195116</v>
          </cell>
          <cell r="G119">
            <v>8.673749319569108</v>
          </cell>
          <cell r="H119">
            <v>11.727088077135312</v>
          </cell>
          <cell r="I119">
            <v>12.931923886977243</v>
          </cell>
          <cell r="J119">
            <v>13.367608422023508</v>
          </cell>
          <cell r="K119">
            <v>14.169891137679102</v>
          </cell>
          <cell r="L119">
            <v>15.144970659844217</v>
          </cell>
          <cell r="M119" t="str">
            <v>(AVERAGE(K277:L277)+AVERAGE(K278:L278)+AVERAGE(K279:L279))*0.025</v>
          </cell>
        </row>
        <row r="120">
          <cell r="A120" t="str">
            <v>Other income (expense), net</v>
          </cell>
          <cell r="B120">
            <v>-6.4000000000000001E-2</v>
          </cell>
          <cell r="C120">
            <v>-0.66553599999999991</v>
          </cell>
          <cell r="D120">
            <v>-1.421</v>
          </cell>
          <cell r="E120">
            <v>1.2741500000000001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AJ120" t="str">
            <v>mstag:otherFeesAndCommissions</v>
          </cell>
          <cell r="AK120">
            <v>6</v>
          </cell>
          <cell r="AL120" t="str">
            <v>ISO4217:USD</v>
          </cell>
          <cell r="AM120" t="b">
            <v>0</v>
          </cell>
          <cell r="AN120" t="b">
            <v>0</v>
          </cell>
        </row>
        <row r="121">
          <cell r="A121" t="str">
            <v>($ Millions, Except Per Share Data)</v>
          </cell>
        </row>
        <row r="122">
          <cell r="A122" t="str">
            <v>Pretax income</v>
          </cell>
          <cell r="B122">
            <v>52.444999999999986</v>
          </cell>
          <cell r="C122">
            <v>19.865580000000001</v>
          </cell>
          <cell r="D122">
            <v>33.721999999999994</v>
          </cell>
          <cell r="E122">
            <v>81.858372077327516</v>
          </cell>
          <cell r="F122">
            <v>102.8057804740686</v>
          </cell>
          <cell r="G122">
            <v>129.34409989669564</v>
          </cell>
          <cell r="H122">
            <v>159.65337904869651</v>
          </cell>
          <cell r="I122">
            <v>189.0937795072594</v>
          </cell>
          <cell r="J122">
            <v>221.54799943800901</v>
          </cell>
          <cell r="K122">
            <v>256.25324279510301</v>
          </cell>
          <cell r="L122">
            <v>296.30127071886329</v>
          </cell>
        </row>
        <row r="123">
          <cell r="A123" t="str">
            <v>Taxes on Income</v>
          </cell>
          <cell r="B123" t="str">
            <v>2002A</v>
          </cell>
          <cell r="C123" t="str">
            <v>2003A</v>
          </cell>
          <cell r="D123" t="str">
            <v>2004A</v>
          </cell>
          <cell r="E123" t="str">
            <v>2005E</v>
          </cell>
          <cell r="F123" t="str">
            <v>2006E</v>
          </cell>
          <cell r="G123" t="str">
            <v>2007E</v>
          </cell>
          <cell r="H123" t="str">
            <v>2008E</v>
          </cell>
          <cell r="I123" t="str">
            <v>2009E</v>
          </cell>
          <cell r="J123" t="str">
            <v>2010E</v>
          </cell>
          <cell r="K123" t="str">
            <v>2011E</v>
          </cell>
          <cell r="L123" t="str">
            <v>2012E</v>
          </cell>
          <cell r="AJ123" t="str">
            <v>mstag:taxExpenseIncome</v>
          </cell>
          <cell r="AK123">
            <v>6</v>
          </cell>
          <cell r="AL123" t="str">
            <v>ISO4217:USD</v>
          </cell>
          <cell r="AM123" t="b">
            <v>0</v>
          </cell>
          <cell r="AN123" t="b">
            <v>0</v>
          </cell>
        </row>
        <row r="124">
          <cell r="A124" t="str">
            <v>Tax Rate</v>
          </cell>
          <cell r="B124">
            <v>0.33824006101630288</v>
          </cell>
          <cell r="C124">
            <v>0.3266453836233324</v>
          </cell>
          <cell r="D124">
            <v>0.34911926931973197</v>
          </cell>
          <cell r="E124">
            <v>0.33948625538952998</v>
          </cell>
          <cell r="F124">
            <v>0.34000000000000019</v>
          </cell>
          <cell r="G124">
            <v>0.34</v>
          </cell>
          <cell r="H124">
            <v>0.34</v>
          </cell>
          <cell r="I124">
            <v>0.34</v>
          </cell>
          <cell r="J124">
            <v>0.34</v>
          </cell>
          <cell r="K124">
            <v>0.34</v>
          </cell>
          <cell r="L124">
            <v>0.34</v>
          </cell>
        </row>
        <row r="125">
          <cell r="A125" t="str">
            <v>Pretax operating income</v>
          </cell>
          <cell r="B125">
            <v>50.952999999999989</v>
          </cell>
          <cell r="C125">
            <v>18.917557000000002</v>
          </cell>
          <cell r="D125">
            <v>32.393999999999991</v>
          </cell>
          <cell r="E125">
            <v>78.048809077327505</v>
          </cell>
          <cell r="F125">
            <v>109.96687833811758</v>
          </cell>
          <cell r="G125">
            <v>140.62926408521707</v>
          </cell>
          <cell r="H125">
            <v>176.45783503850865</v>
          </cell>
          <cell r="I125">
            <v>208.78982808119915</v>
          </cell>
          <cell r="J125">
            <v>245.70255934604003</v>
          </cell>
          <cell r="K125">
            <v>285.0399104343818</v>
          </cell>
          <cell r="L125">
            <v>330.33331762952525</v>
          </cell>
        </row>
        <row r="126">
          <cell r="A126" t="str">
            <v xml:space="preserve">Change Yr./Yr. </v>
          </cell>
          <cell r="C126">
            <v>-0.61457442517144001</v>
          </cell>
          <cell r="D126">
            <v>0.64085289363947995</v>
          </cell>
          <cell r="E126">
            <v>1.4633732684182763</v>
          </cell>
          <cell r="F126">
            <v>0.25492134762724339</v>
          </cell>
          <cell r="G126">
            <v>0.25814034288977572</v>
          </cell>
          <cell r="H126">
            <v>0.23433058930564488</v>
          </cell>
          <cell r="I126">
            <v>0.18440198781876815</v>
          </cell>
          <cell r="J126">
            <v>0.17163028850192119</v>
          </cell>
          <cell r="K126">
            <v>0.15664886816910673</v>
          </cell>
          <cell r="L126">
            <v>0.15628300928773875</v>
          </cell>
        </row>
        <row r="127">
          <cell r="A127" t="str">
            <v>Net interest income</v>
          </cell>
          <cell r="B127">
            <v>1.556</v>
          </cell>
          <cell r="C127">
            <v>1.613559</v>
          </cell>
          <cell r="D127">
            <v>2.7490000000000001</v>
          </cell>
          <cell r="E127">
            <v>2.5354130000000001</v>
          </cell>
          <cell r="F127">
            <v>6.0362096741869689</v>
          </cell>
          <cell r="G127">
            <v>9.1371962962279092</v>
          </cell>
          <cell r="H127">
            <v>12.59774816774895</v>
          </cell>
          <cell r="I127">
            <v>14.045573635529623</v>
          </cell>
          <cell r="J127">
            <v>14.576348365626504</v>
          </cell>
          <cell r="K127">
            <v>15.533670044033707</v>
          </cell>
          <cell r="L127">
            <v>16.689259110750424</v>
          </cell>
        </row>
        <row r="128">
          <cell r="A128" t="str">
            <v>Other income (expense), net</v>
          </cell>
          <cell r="B128">
            <v>-6.4000000000000001E-2</v>
          </cell>
          <cell r="C128">
            <v>-0.66553599999999991</v>
          </cell>
          <cell r="D128">
            <v>-1.421</v>
          </cell>
          <cell r="E128">
            <v>1.2741500000000001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AJ128" t="str">
            <v>mstag:otherFeesAndCommissions</v>
          </cell>
          <cell r="AK128">
            <v>6</v>
          </cell>
          <cell r="AL128" t="str">
            <v>ISO4217:USD</v>
          </cell>
          <cell r="AM128" t="b">
            <v>0</v>
          </cell>
          <cell r="AN128" t="b">
            <v>0</v>
          </cell>
        </row>
        <row r="130">
          <cell r="A130" t="str">
            <v>Pretax income</v>
          </cell>
          <cell r="B130">
            <v>52.444999999999986</v>
          </cell>
          <cell r="C130">
            <v>19.865580000000001</v>
          </cell>
          <cell r="D130">
            <v>33.721999999999994</v>
          </cell>
          <cell r="E130">
            <v>81.858372077327516</v>
          </cell>
          <cell r="F130">
            <v>116.00308801230454</v>
          </cell>
          <cell r="G130">
            <v>149.76646038144497</v>
          </cell>
          <cell r="H130">
            <v>189.05558320625761</v>
          </cell>
          <cell r="I130">
            <v>222.83540171672877</v>
          </cell>
          <cell r="J130">
            <v>260.27890771166653</v>
          </cell>
          <cell r="K130">
            <v>300.57358047841552</v>
          </cell>
          <cell r="L130">
            <v>347.02257674027567</v>
          </cell>
          <cell r="AJ130" t="str">
            <v>mstag:otherProvisionsOneTime</v>
          </cell>
          <cell r="AK130">
            <v>6</v>
          </cell>
          <cell r="AL130" t="str">
            <v>ISO4217:USD</v>
          </cell>
          <cell r="AM130" t="b">
            <v>1</v>
          </cell>
          <cell r="AN130" t="b">
            <v>0</v>
          </cell>
        </row>
        <row r="131">
          <cell r="A131" t="str">
            <v>Taxes on Income</v>
          </cell>
          <cell r="B131">
            <v>17.739000000000001</v>
          </cell>
          <cell r="C131">
            <v>6.4889999999999999</v>
          </cell>
          <cell r="D131">
            <v>11.773</v>
          </cell>
          <cell r="E131">
            <v>27.789792208814781</v>
          </cell>
          <cell r="F131">
            <v>39.441049924183552</v>
          </cell>
          <cell r="G131">
            <v>50.920596529691295</v>
          </cell>
          <cell r="H131">
            <v>64.278898290127586</v>
          </cell>
          <cell r="I131">
            <v>75.764036583687783</v>
          </cell>
          <cell r="J131">
            <v>88.494828621966633</v>
          </cell>
          <cell r="K131">
            <v>102.19501736266129</v>
          </cell>
          <cell r="L131">
            <v>117.98767609169373</v>
          </cell>
          <cell r="AJ131" t="str">
            <v>mstag:taxExpenseIncome</v>
          </cell>
          <cell r="AK131">
            <v>6</v>
          </cell>
          <cell r="AL131" t="str">
            <v>ISO4217:USD</v>
          </cell>
          <cell r="AM131" t="b">
            <v>0</v>
          </cell>
          <cell r="AN131" t="b">
            <v>0</v>
          </cell>
        </row>
        <row r="132">
          <cell r="A132" t="str">
            <v>Tax Rate</v>
          </cell>
          <cell r="B132">
            <v>0.33824006101630288</v>
          </cell>
          <cell r="C132">
            <v>0.3266453836233324</v>
          </cell>
          <cell r="D132">
            <v>0.34911926931973197</v>
          </cell>
          <cell r="E132">
            <v>0.33948625538952998</v>
          </cell>
          <cell r="F132">
            <v>0.34000000000000008</v>
          </cell>
          <cell r="G132">
            <v>0.34</v>
          </cell>
          <cell r="H132">
            <v>0.34</v>
          </cell>
          <cell r="I132">
            <v>0.34</v>
          </cell>
          <cell r="J132">
            <v>0.34</v>
          </cell>
          <cell r="K132">
            <v>0.34</v>
          </cell>
          <cell r="L132">
            <v>0.34</v>
          </cell>
        </row>
        <row r="133">
          <cell r="A133" t="str">
            <v>Operating earnings</v>
          </cell>
          <cell r="B133">
            <v>34.705999999999989</v>
          </cell>
          <cell r="C133">
            <v>13.376580000000001</v>
          </cell>
          <cell r="D133">
            <v>21.948999999999995</v>
          </cell>
          <cell r="E133">
            <v>54.068579868512735</v>
          </cell>
          <cell r="F133">
            <v>76.562038088121</v>
          </cell>
          <cell r="G133">
            <v>98.845863851753677</v>
          </cell>
          <cell r="H133">
            <v>124.77668491613002</v>
          </cell>
          <cell r="I133">
            <v>147.07136513304098</v>
          </cell>
          <cell r="J133">
            <v>171.7840790896999</v>
          </cell>
          <cell r="K133">
            <v>198.37856311575422</v>
          </cell>
          <cell r="L133">
            <v>229.03490064858192</v>
          </cell>
        </row>
        <row r="134">
          <cell r="A134" t="str">
            <v xml:space="preserve">Change Yr./Yr. </v>
          </cell>
          <cell r="B134">
            <v>34.705999999999989</v>
          </cell>
          <cell r="C134">
            <v>-0.61457442517144001</v>
          </cell>
          <cell r="D134">
            <v>0.64085289363947995</v>
          </cell>
          <cell r="E134">
            <v>1.4633732684182763</v>
          </cell>
          <cell r="F134">
            <v>0.41601718177746161</v>
          </cell>
          <cell r="G134">
            <v>0.29105580676920528</v>
          </cell>
          <cell r="H134">
            <v>0.26233592437683262</v>
          </cell>
          <cell r="I134">
            <v>0.17867665126619259</v>
          </cell>
          <cell r="J134">
            <v>0.16803212463761219</v>
          </cell>
          <cell r="K134">
            <v>0.15481343886453858</v>
          </cell>
          <cell r="L134">
            <v>0.15453452757866626</v>
          </cell>
        </row>
        <row r="135">
          <cell r="A135" t="str">
            <v xml:space="preserve">Change Yr./Yr. </v>
          </cell>
          <cell r="C135">
            <v>-0.61457442517144001</v>
          </cell>
          <cell r="D135">
            <v>0.64085289363947995</v>
          </cell>
          <cell r="E135">
            <v>1.4633732684182763</v>
          </cell>
          <cell r="F135">
            <v>0.25492134762724339</v>
          </cell>
          <cell r="G135">
            <v>0.25814034288977572</v>
          </cell>
          <cell r="H135">
            <v>0.23433058930564488</v>
          </cell>
          <cell r="I135">
            <v>0.18440198781876815</v>
          </cell>
          <cell r="J135">
            <v>0.17163028850192119</v>
          </cell>
          <cell r="K135">
            <v>0.15664886816910673</v>
          </cell>
          <cell r="L135">
            <v>0.15628300928773875</v>
          </cell>
        </row>
        <row r="136">
          <cell r="A136" t="str">
            <v>Net income (GAAP)</v>
          </cell>
          <cell r="B136">
            <v>34.705999999999989</v>
          </cell>
          <cell r="C136">
            <v>13.376833000000001</v>
          </cell>
          <cell r="D136">
            <v>21.949000000000002</v>
          </cell>
          <cell r="E136">
            <v>41.065042350262829</v>
          </cell>
          <cell r="F136">
            <v>76.562038088121</v>
          </cell>
          <cell r="G136">
            <v>98.845863851753677</v>
          </cell>
          <cell r="H136">
            <v>124.77668491613002</v>
          </cell>
          <cell r="I136">
            <v>147.07136513304098</v>
          </cell>
          <cell r="J136">
            <v>171.7840790896999</v>
          </cell>
          <cell r="K136">
            <v>198.37856311575422</v>
          </cell>
          <cell r="L136">
            <v>229.03490064858192</v>
          </cell>
        </row>
        <row r="137">
          <cell r="A137" t="str">
            <v>Operating EPS</v>
          </cell>
          <cell r="B137">
            <v>0.63274275094692156</v>
          </cell>
          <cell r="C137">
            <v>0.24481426360464573</v>
          </cell>
          <cell r="D137">
            <v>0.41365085903744009</v>
          </cell>
          <cell r="E137">
            <v>1.0060949103251546</v>
          </cell>
          <cell r="F137">
            <v>1.156122644700025</v>
          </cell>
          <cell r="G137">
            <v>1.4670631370977147</v>
          </cell>
          <cell r="H137">
            <v>1.8425049898295223</v>
          </cell>
          <cell r="I137">
            <v>2.2410464587753922</v>
          </cell>
          <cell r="J137">
            <v>2.7234883459565831</v>
          </cell>
          <cell r="K137">
            <v>3.2720068721946536</v>
          </cell>
          <cell r="L137">
            <v>3.9356474305451052</v>
          </cell>
          <cell r="M137">
            <v>0.24685413743358686</v>
          </cell>
        </row>
        <row r="138">
          <cell r="A138" t="str">
            <v>Redemption adjustments to redeemable stock put</v>
          </cell>
          <cell r="B138">
            <v>-10.73</v>
          </cell>
          <cell r="C138">
            <v>8.3780000000000001</v>
          </cell>
          <cell r="D138">
            <v>0</v>
          </cell>
          <cell r="E138">
            <v>-20.658999999999999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AJ138" t="str">
            <v>mstag:otherProvisionsOneTime</v>
          </cell>
          <cell r="AK138">
            <v>6</v>
          </cell>
          <cell r="AL138" t="str">
            <v>ISO4217:USD</v>
          </cell>
          <cell r="AM138" t="b">
            <v>1</v>
          </cell>
          <cell r="AN138" t="b">
            <v>0</v>
          </cell>
        </row>
        <row r="139">
          <cell r="A139" t="str">
            <v>Ded. for accretion of Class B redeemable common stock</v>
          </cell>
          <cell r="B139">
            <v>-3.6560000000000001</v>
          </cell>
          <cell r="C139">
            <v>-1.768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AJ139" t="str">
            <v>mstag:preferredDividendsPaid</v>
          </cell>
          <cell r="AK139">
            <v>6</v>
          </cell>
          <cell r="AL139" t="str">
            <v>ISO4217:USD</v>
          </cell>
          <cell r="AM139" t="b">
            <v>1</v>
          </cell>
          <cell r="AN139" t="b">
            <v>0</v>
          </cell>
        </row>
        <row r="140">
          <cell r="A140" t="str">
            <v>Average diluted shares (Millions)</v>
          </cell>
          <cell r="B140">
            <v>54.850095000000003</v>
          </cell>
          <cell r="C140">
            <v>54.639708499999998</v>
          </cell>
          <cell r="D140">
            <v>53.061656999999997</v>
          </cell>
          <cell r="E140">
            <v>53.741033091041672</v>
          </cell>
          <cell r="F140">
            <v>58.689115228333335</v>
          </cell>
          <cell r="G140">
            <v>58.189115228333335</v>
          </cell>
          <cell r="H140">
            <v>57.189115228333335</v>
          </cell>
          <cell r="I140">
            <v>55.689115228333335</v>
          </cell>
          <cell r="J140">
            <v>53.689115228333335</v>
          </cell>
          <cell r="K140">
            <v>51.689115228333335</v>
          </cell>
          <cell r="L140">
            <v>49.689115228333335</v>
          </cell>
          <cell r="AJ140" t="str">
            <v>mstag:averageDilutedSharesOutstanding</v>
          </cell>
          <cell r="AK140">
            <v>6</v>
          </cell>
          <cell r="AL140" t="str">
            <v>ms_eqr_gcim_Decimal:ms_eqr_gcim_decimal</v>
          </cell>
          <cell r="AM140" t="b">
            <v>0</v>
          </cell>
          <cell r="AN140" t="b">
            <v>0</v>
          </cell>
        </row>
        <row r="141">
          <cell r="A141" t="str">
            <v>Operating earnings available to common shareholders (GAAP)</v>
          </cell>
          <cell r="B141">
            <v>20.31999999999999</v>
          </cell>
          <cell r="C141">
            <v>19.986833000000001</v>
          </cell>
          <cell r="D141">
            <v>21.949000000000002</v>
          </cell>
          <cell r="E141">
            <v>20.40604235026283</v>
          </cell>
          <cell r="F141">
            <v>76.562038088121</v>
          </cell>
          <cell r="G141">
            <v>98.845863851753677</v>
          </cell>
          <cell r="H141">
            <v>124.77668491613002</v>
          </cell>
          <cell r="I141">
            <v>147.07136513304098</v>
          </cell>
          <cell r="J141">
            <v>171.7840790896999</v>
          </cell>
          <cell r="K141">
            <v>198.37856311575422</v>
          </cell>
          <cell r="L141">
            <v>229.03490064858192</v>
          </cell>
          <cell r="N141">
            <v>4</v>
          </cell>
          <cell r="O141" t="str">
            <v>Historical share split factor to adjust '02-'04 share count to make it comparable</v>
          </cell>
          <cell r="AJ141" t="str">
            <v>mstag:periodEndBasicSharesOutstanding</v>
          </cell>
          <cell r="AK141">
            <v>6</v>
          </cell>
          <cell r="AL141" t="str">
            <v>ms_eqr_gcim_Decimal:ms_eqr_gcim_decimal</v>
          </cell>
          <cell r="AM141" t="b">
            <v>0</v>
          </cell>
          <cell r="AN141" t="b">
            <v>0</v>
          </cell>
        </row>
        <row r="142">
          <cell r="A142" t="str">
            <v>Operating earnings available to common shareholders</v>
          </cell>
          <cell r="B142">
            <v>34.705999999999989</v>
          </cell>
          <cell r="C142">
            <v>13.376580000000001</v>
          </cell>
          <cell r="D142">
            <v>21.948999999999995</v>
          </cell>
          <cell r="E142">
            <v>54.068579868512735</v>
          </cell>
          <cell r="F142">
            <v>76.562038088121</v>
          </cell>
          <cell r="G142">
            <v>98.845863851753677</v>
          </cell>
          <cell r="H142">
            <v>124.77668491613002</v>
          </cell>
          <cell r="I142">
            <v>147.07136513304098</v>
          </cell>
          <cell r="J142">
            <v>171.7840790896999</v>
          </cell>
          <cell r="K142">
            <v>198.37856311575422</v>
          </cell>
          <cell r="L142">
            <v>229.03490064858192</v>
          </cell>
          <cell r="AJ142" t="str">
            <v>mstag:averageBasicSharesOutstanding</v>
          </cell>
          <cell r="AK142">
            <v>6</v>
          </cell>
          <cell r="AL142" t="str">
            <v>ms_eqr_gcim_Decimal:ms_eqr_gcim_decimal</v>
          </cell>
          <cell r="AM142" t="b">
            <v>0</v>
          </cell>
          <cell r="AN142" t="b">
            <v>0</v>
          </cell>
        </row>
        <row r="143">
          <cell r="A143" t="str">
            <v xml:space="preserve">Change Yr./Yr. </v>
          </cell>
          <cell r="C143">
            <v>-0.61457442517144001</v>
          </cell>
          <cell r="D143">
            <v>0.64085289363947995</v>
          </cell>
          <cell r="E143">
            <v>1.4633732684182763</v>
          </cell>
          <cell r="F143">
            <v>0.41601718177746161</v>
          </cell>
          <cell r="G143">
            <v>0.29105580676920528</v>
          </cell>
          <cell r="H143">
            <v>0.26233592437683262</v>
          </cell>
          <cell r="I143">
            <v>0.17867665126619259</v>
          </cell>
          <cell r="J143">
            <v>0.16803212463761219</v>
          </cell>
          <cell r="K143">
            <v>0.15481343886453858</v>
          </cell>
          <cell r="L143">
            <v>0.15453452757866626</v>
          </cell>
        </row>
        <row r="144">
          <cell r="A144" t="str">
            <v>Profitability</v>
          </cell>
        </row>
        <row r="145">
          <cell r="A145" t="str">
            <v>Operating EPS</v>
          </cell>
          <cell r="B145">
            <v>0.63274275094692156</v>
          </cell>
          <cell r="C145">
            <v>0.24481426360464573</v>
          </cell>
          <cell r="D145">
            <v>0.41365085903744009</v>
          </cell>
          <cell r="E145">
            <v>1.0060949103251546</v>
          </cell>
          <cell r="F145">
            <v>1.3045355649041912</v>
          </cell>
          <cell r="G145">
            <v>1.698700237387762</v>
          </cell>
          <cell r="H145">
            <v>2.1818257620868318</v>
          </cell>
          <cell r="I145">
            <v>2.6409355675705632</v>
          </cell>
          <cell r="J145">
            <v>3.1996071896346758</v>
          </cell>
          <cell r="K145">
            <v>3.8379175623229318</v>
          </cell>
          <cell r="L145">
            <v>4.6093575946384222</v>
          </cell>
        </row>
        <row r="146">
          <cell r="A146" t="str">
            <v xml:space="preserve">Change Yr./Yr. </v>
          </cell>
          <cell r="B146">
            <v>0.41792174675272925</v>
          </cell>
          <cell r="C146">
            <v>-0.61309037007808831</v>
          </cell>
          <cell r="D146">
            <v>0.68965179130841481</v>
          </cell>
          <cell r="E146">
            <v>1.4322321308997732</v>
          </cell>
          <cell r="F146">
            <v>0.29663270484350734</v>
          </cell>
          <cell r="G146">
            <v>0.30214942626920216</v>
          </cell>
          <cell r="H146">
            <v>0.2844089345875489</v>
          </cell>
          <cell r="I146">
            <v>0.21042459643734834</v>
          </cell>
          <cell r="J146">
            <v>0.21154307167669484</v>
          </cell>
          <cell r="K146">
            <v>0.19949648030423917</v>
          </cell>
          <cell r="L146">
            <v>0.20100484697450605</v>
          </cell>
        </row>
        <row r="147">
          <cell r="A147" t="str">
            <v>GAAP EPS</v>
          </cell>
          <cell r="B147">
            <v>0.37046426264165977</v>
          </cell>
          <cell r="C147">
            <v>0.36579318500573627</v>
          </cell>
          <cell r="D147">
            <v>0.4136508590374402</v>
          </cell>
          <cell r="E147">
            <v>0.37971064522882042</v>
          </cell>
          <cell r="F147">
            <v>1.3045355649041912</v>
          </cell>
          <cell r="G147">
            <v>1.698700237387762</v>
          </cell>
          <cell r="H147">
            <v>2.1818257620868318</v>
          </cell>
          <cell r="I147">
            <v>2.6409355675705632</v>
          </cell>
          <cell r="J147">
            <v>3.1996071896346758</v>
          </cell>
          <cell r="K147">
            <v>3.8379175623229318</v>
          </cell>
          <cell r="L147">
            <v>4.6093575946384222</v>
          </cell>
        </row>
        <row r="148">
          <cell r="A148" t="str">
            <v>Average diluted shares (Millions)</v>
          </cell>
          <cell r="B148">
            <v>54.850095000000003</v>
          </cell>
          <cell r="C148">
            <v>54.639708499999998</v>
          </cell>
          <cell r="D148">
            <v>53.061656999999997</v>
          </cell>
          <cell r="E148">
            <v>53.741033091041672</v>
          </cell>
          <cell r="F148">
            <v>58.689115228333335</v>
          </cell>
          <cell r="G148">
            <v>58.189115228333335</v>
          </cell>
          <cell r="H148">
            <v>57.189115228333335</v>
          </cell>
          <cell r="I148">
            <v>55.689115228333335</v>
          </cell>
          <cell r="J148">
            <v>53.689115228333335</v>
          </cell>
          <cell r="K148">
            <v>51.689115228333335</v>
          </cell>
          <cell r="L148">
            <v>49.689115228333335</v>
          </cell>
          <cell r="AJ148" t="str">
            <v>mstag:averageDilutedSharesOutstanding</v>
          </cell>
          <cell r="AK148">
            <v>6</v>
          </cell>
          <cell r="AL148" t="str">
            <v>ms_eqr_gcim_Decimal:ms_eqr_gcim_decimal</v>
          </cell>
          <cell r="AM148" t="b">
            <v>0</v>
          </cell>
          <cell r="AN148" t="b">
            <v>0</v>
          </cell>
        </row>
        <row r="149">
          <cell r="A149" t="str">
            <v>End-of-period shares outstanding</v>
          </cell>
          <cell r="B149">
            <v>54.394499999999994</v>
          </cell>
          <cell r="C149">
            <v>52.862749999999998</v>
          </cell>
          <cell r="D149">
            <v>52.864999999999995</v>
          </cell>
          <cell r="E149">
            <v>55.365000000000002</v>
          </cell>
          <cell r="F149">
            <v>55.365000000000002</v>
          </cell>
          <cell r="G149">
            <v>54.365000000000002</v>
          </cell>
          <cell r="H149">
            <v>53.365000000000002</v>
          </cell>
          <cell r="I149">
            <v>51.365000000000002</v>
          </cell>
          <cell r="J149">
            <v>49.365000000000002</v>
          </cell>
          <cell r="K149">
            <v>47.365000000000002</v>
          </cell>
          <cell r="L149">
            <v>45.365000000000002</v>
          </cell>
          <cell r="N149">
            <v>4</v>
          </cell>
          <cell r="O149" t="str">
            <v>Historical share split factor to adjust '02-'04 share count to make it comparable</v>
          </cell>
          <cell r="AJ149" t="str">
            <v>mstag:periodEndBasicSharesOutstanding</v>
          </cell>
          <cell r="AK149">
            <v>6</v>
          </cell>
          <cell r="AL149" t="str">
            <v>ms_eqr_gcim_Decimal:ms_eqr_gcim_decimal</v>
          </cell>
          <cell r="AM149" t="b">
            <v>0</v>
          </cell>
          <cell r="AN149" t="b">
            <v>0</v>
          </cell>
        </row>
        <row r="150">
          <cell r="A150" t="str">
            <v>Average basic shares outstanding</v>
          </cell>
          <cell r="B150">
            <v>54.392601999999997</v>
          </cell>
          <cell r="C150">
            <v>54.3289665</v>
          </cell>
          <cell r="D150">
            <v>52.865108499999998</v>
          </cell>
          <cell r="E150">
            <v>53.177886437500007</v>
          </cell>
          <cell r="F150">
            <v>55.365000000000002</v>
          </cell>
          <cell r="G150">
            <v>54.865000000000002</v>
          </cell>
          <cell r="H150">
            <v>53.865000000000002</v>
          </cell>
          <cell r="I150">
            <v>52.365000000000002</v>
          </cell>
          <cell r="J150">
            <v>50.365000000000002</v>
          </cell>
          <cell r="K150">
            <v>48.365000000000002</v>
          </cell>
          <cell r="L150">
            <v>46.365000000000002</v>
          </cell>
          <cell r="AJ150" t="str">
            <v>mstag:averageBasicSharesOutstanding</v>
          </cell>
          <cell r="AK150">
            <v>6</v>
          </cell>
          <cell r="AL150" t="str">
            <v>ms_eqr_gcim_Decimal:ms_eqr_gcim_decimal</v>
          </cell>
          <cell r="AM150" t="b">
            <v>0</v>
          </cell>
          <cell r="AN150" t="b">
            <v>0</v>
          </cell>
        </row>
        <row r="151">
          <cell r="A151" t="str">
            <v>End-of-period shares outstanding</v>
          </cell>
          <cell r="B151">
            <v>54.394499999999994</v>
          </cell>
          <cell r="C151">
            <v>52.862749999999998</v>
          </cell>
          <cell r="D151">
            <v>52.864999999999995</v>
          </cell>
          <cell r="E151">
            <v>55.365000000000002</v>
          </cell>
          <cell r="F151">
            <v>55.365000000000002</v>
          </cell>
          <cell r="G151">
            <v>54.365000000000002</v>
          </cell>
          <cell r="H151">
            <v>53.365000000000002</v>
          </cell>
          <cell r="I151">
            <v>51.365000000000002</v>
          </cell>
          <cell r="J151">
            <v>49.365000000000002</v>
          </cell>
          <cell r="K151">
            <v>47.365000000000002</v>
          </cell>
          <cell r="L151">
            <v>45.365000000000002</v>
          </cell>
          <cell r="N151">
            <v>4</v>
          </cell>
          <cell r="O151" t="str">
            <v>Historical share split factor to adjust '02-'04 share count to make it comparable</v>
          </cell>
          <cell r="AJ151" t="str">
            <v>mstag:periodEndBasicSharesOutstanding</v>
          </cell>
          <cell r="AK151">
            <v>6</v>
          </cell>
          <cell r="AL151" t="str">
            <v>ms_eqr_gcim_Decimal:ms_eqr_gcim_decimal</v>
          </cell>
          <cell r="AM151" t="b">
            <v>0</v>
          </cell>
          <cell r="AN151" t="b">
            <v>0</v>
          </cell>
        </row>
        <row r="152">
          <cell r="A152" t="str">
            <v>Profitability</v>
          </cell>
          <cell r="B152">
            <v>54.392601999999997</v>
          </cell>
          <cell r="C152">
            <v>54.3289665</v>
          </cell>
          <cell r="D152">
            <v>52.865108499999998</v>
          </cell>
          <cell r="E152">
            <v>53.177886437500007</v>
          </cell>
          <cell r="F152">
            <v>55.365000000000002</v>
          </cell>
          <cell r="G152">
            <v>54.865000000000002</v>
          </cell>
          <cell r="H152">
            <v>53.865000000000002</v>
          </cell>
          <cell r="I152">
            <v>52.365000000000002</v>
          </cell>
          <cell r="J152">
            <v>50.365000000000002</v>
          </cell>
          <cell r="K152">
            <v>48.365000000000002</v>
          </cell>
          <cell r="L152">
            <v>46.365000000000002</v>
          </cell>
          <cell r="AJ152" t="str">
            <v>mstag:averageBasicSharesOutstanding</v>
          </cell>
          <cell r="AK152">
            <v>6</v>
          </cell>
          <cell r="AL152" t="str">
            <v>ms_eqr_gcim_Decimal:ms_eqr_gcim_decimal</v>
          </cell>
          <cell r="AM152" t="b">
            <v>0</v>
          </cell>
          <cell r="AN152" t="b">
            <v>0</v>
          </cell>
        </row>
        <row r="153">
          <cell r="A153" t="str">
            <v>Pretax operating margin</v>
          </cell>
          <cell r="B153">
            <v>0.40603235317555181</v>
          </cell>
          <cell r="C153">
            <v>0.2017972859645549</v>
          </cell>
          <cell r="D153">
            <v>0.29879904809341956</v>
          </cell>
          <cell r="E153">
            <v>0.49700686845774722</v>
          </cell>
          <cell r="F153">
            <v>0.53662679490088283</v>
          </cell>
          <cell r="G153">
            <v>0.56957005698002683</v>
          </cell>
          <cell r="H153">
            <v>0.60025066332826138</v>
          </cell>
          <cell r="I153">
            <v>0.61538088154140158</v>
          </cell>
          <cell r="J153">
            <v>0.63283750664373306</v>
          </cell>
          <cell r="K153">
            <v>0.64369111158612136</v>
          </cell>
          <cell r="L153">
            <v>0.65399331389052817</v>
          </cell>
        </row>
        <row r="154">
          <cell r="A154" t="str">
            <v>Pretax margin</v>
          </cell>
          <cell r="B154">
            <v>0.41792174675272925</v>
          </cell>
          <cell r="C154">
            <v>0.21191003299801039</v>
          </cell>
          <cell r="D154">
            <v>0.31104838858450012</v>
          </cell>
          <cell r="E154">
            <v>0.52126577771216809</v>
          </cell>
          <cell r="F154">
            <v>0.56608286294392607</v>
          </cell>
          <cell r="G154">
            <v>0.60657710134546272</v>
          </cell>
          <cell r="H154">
            <v>0.64310399819142272</v>
          </cell>
          <cell r="I154">
            <v>0.65677838430779811</v>
          </cell>
          <cell r="J154">
            <v>0.67038070513635462</v>
          </cell>
          <cell r="K154">
            <v>0.67877000745869742</v>
          </cell>
          <cell r="L154">
            <v>0.68703467935296803</v>
          </cell>
        </row>
        <row r="155">
          <cell r="A155" t="str">
            <v>After-tax margin</v>
          </cell>
          <cell r="B155">
            <v>0.27656386963104623</v>
          </cell>
          <cell r="C155">
            <v>0.14269059897574224</v>
          </cell>
          <cell r="D155">
            <v>0.20245540243879936</v>
          </cell>
          <cell r="E155">
            <v>0.34430321077395298</v>
          </cell>
          <cell r="F155">
            <v>0.37361468954299121</v>
          </cell>
          <cell r="G155">
            <v>0.40034088688800534</v>
          </cell>
          <cell r="H155">
            <v>0.42444863880633898</v>
          </cell>
          <cell r="I155">
            <v>0.43347373364314673</v>
          </cell>
          <cell r="J155">
            <v>0.44245126538999402</v>
          </cell>
          <cell r="K155">
            <v>0.44798820492274022</v>
          </cell>
          <cell r="L155">
            <v>0.45344288837295882</v>
          </cell>
        </row>
        <row r="156">
          <cell r="A156" t="str">
            <v>Pretax margin</v>
          </cell>
          <cell r="B156">
            <v>0.41792174675272925</v>
          </cell>
          <cell r="C156">
            <v>0.21191003299801039</v>
          </cell>
          <cell r="D156">
            <v>0.31104838858450012</v>
          </cell>
          <cell r="E156">
            <v>0.52126577771216809</v>
          </cell>
          <cell r="F156">
            <v>0.56608286294392607</v>
          </cell>
          <cell r="G156">
            <v>0.60657710134546272</v>
          </cell>
          <cell r="H156">
            <v>0.64310399819142272</v>
          </cell>
          <cell r="I156">
            <v>0.65677838430779811</v>
          </cell>
          <cell r="J156">
            <v>0.67038070513635462</v>
          </cell>
          <cell r="K156">
            <v>0.67877000745869742</v>
          </cell>
          <cell r="L156">
            <v>0.68703467935296803</v>
          </cell>
        </row>
        <row r="157">
          <cell r="A157" t="str">
            <v>Employees</v>
          </cell>
          <cell r="B157">
            <v>0.27656386963104623</v>
          </cell>
          <cell r="C157">
            <v>186</v>
          </cell>
          <cell r="D157">
            <v>200</v>
          </cell>
          <cell r="E157">
            <v>180</v>
          </cell>
          <cell r="F157">
            <v>200</v>
          </cell>
          <cell r="G157">
            <v>210</v>
          </cell>
          <cell r="H157">
            <v>221</v>
          </cell>
          <cell r="I157">
            <v>232</v>
          </cell>
          <cell r="J157">
            <v>241</v>
          </cell>
          <cell r="K157">
            <v>251</v>
          </cell>
          <cell r="L157">
            <v>261</v>
          </cell>
        </row>
        <row r="158">
          <cell r="A158" t="str">
            <v xml:space="preserve">Change Yr./Yr. </v>
          </cell>
          <cell r="D158">
            <v>7.5268817204301008E-2</v>
          </cell>
          <cell r="E158">
            <v>-9.9999999999999978E-2</v>
          </cell>
          <cell r="F158">
            <v>0.11</v>
          </cell>
          <cell r="G158">
            <v>0.05</v>
          </cell>
          <cell r="H158">
            <v>0.05</v>
          </cell>
          <cell r="I158">
            <v>0.05</v>
          </cell>
          <cell r="J158">
            <v>0.04</v>
          </cell>
          <cell r="K158">
            <v>0.04</v>
          </cell>
          <cell r="L158">
            <v>0.04</v>
          </cell>
        </row>
        <row r="159">
          <cell r="A159" t="str">
            <v>Ann. Net Revs./Avg. Employee (Thous.)</v>
          </cell>
          <cell r="C159">
            <v>186</v>
          </cell>
          <cell r="D159">
            <v>0.54207000000000005</v>
          </cell>
          <cell r="E159">
            <v>0.87243159479777765</v>
          </cell>
          <cell r="F159">
            <v>1.0246122573736642</v>
          </cell>
          <cell r="G159">
            <v>1.1757344932443325</v>
          </cell>
          <cell r="H159">
            <v>1.3301971843370424</v>
          </cell>
          <cell r="I159">
            <v>1.4624376260572256</v>
          </cell>
          <cell r="J159">
            <v>1.6110181265786787</v>
          </cell>
          <cell r="K159">
            <v>1.7642268979714011</v>
          </cell>
          <cell r="L159">
            <v>1.9352566276298915</v>
          </cell>
        </row>
        <row r="160">
          <cell r="A160" t="str">
            <v xml:space="preserve">Change Yr./Yr. </v>
          </cell>
          <cell r="B160">
            <v>50.021000000000001</v>
          </cell>
          <cell r="C160">
            <v>101.19383300000001</v>
          </cell>
          <cell r="D160">
            <v>7.5268817204301008E-2</v>
          </cell>
          <cell r="E160">
            <v>-9.9999999999999978E-2</v>
          </cell>
          <cell r="F160">
            <v>0.11</v>
          </cell>
          <cell r="G160">
            <v>0.05</v>
          </cell>
          <cell r="H160">
            <v>0.05</v>
          </cell>
          <cell r="I160">
            <v>0.05</v>
          </cell>
          <cell r="J160">
            <v>0.04</v>
          </cell>
          <cell r="K160">
            <v>0.04</v>
          </cell>
          <cell r="L160">
            <v>0.04</v>
          </cell>
        </row>
        <row r="161">
          <cell r="A161" t="str">
            <v>Expense data</v>
          </cell>
          <cell r="C161">
            <v>0.19622816990252098</v>
          </cell>
          <cell r="D161">
            <v>0.54207000000000005</v>
          </cell>
          <cell r="E161">
            <v>0.87243159479777765</v>
          </cell>
          <cell r="F161">
            <v>1.0246122573736642</v>
          </cell>
          <cell r="G161">
            <v>1.1757344932443325</v>
          </cell>
          <cell r="H161">
            <v>1.3301971843370424</v>
          </cell>
          <cell r="I161">
            <v>1.4624376260572256</v>
          </cell>
          <cell r="J161">
            <v>1.6110181265786787</v>
          </cell>
          <cell r="K161">
            <v>1.7642268979714011</v>
          </cell>
          <cell r="L161">
            <v>1.9352566276298915</v>
          </cell>
        </row>
        <row r="162">
          <cell r="A162" t="str">
            <v>Employee compensation and benefits</v>
          </cell>
          <cell r="B162">
            <v>27.905999999999999</v>
          </cell>
          <cell r="C162">
            <v>26.235925999999999</v>
          </cell>
          <cell r="D162">
            <v>30.074000000000002</v>
          </cell>
          <cell r="E162">
            <v>33.101158812720001</v>
          </cell>
          <cell r="F162">
            <v>38.854833043595825</v>
          </cell>
          <cell r="G162">
            <v>45.152490472141835</v>
          </cell>
          <cell r="H162">
            <v>52.019044722877517</v>
          </cell>
          <cell r="I162">
            <v>59.536096023748215</v>
          </cell>
          <cell r="J162">
            <v>65.814243509218841</v>
          </cell>
          <cell r="K162">
            <v>75.301262649177943</v>
          </cell>
          <cell r="L162">
            <v>86.170049403338751</v>
          </cell>
        </row>
        <row r="163">
          <cell r="A163" t="str">
            <v>% of Net Revenues</v>
          </cell>
          <cell r="B163">
            <v>0.22237628496294529</v>
          </cell>
          <cell r="C163">
            <v>0.27986376156112019</v>
          </cell>
          <cell r="D163">
            <v>0.27739959783791762</v>
          </cell>
          <cell r="E163">
            <v>0.21078480861294202</v>
          </cell>
          <cell r="F163">
            <v>0.18960749670900098</v>
          </cell>
          <cell r="G163">
            <v>0.18287450153635104</v>
          </cell>
          <cell r="H163">
            <v>0.17695142918304285</v>
          </cell>
          <cell r="I163">
            <v>0.17547490503406754</v>
          </cell>
          <cell r="J163">
            <v>0.16951277135603351</v>
          </cell>
          <cell r="K163">
            <v>0.17004900606592824</v>
          </cell>
          <cell r="L163">
            <v>0.17059931033236791</v>
          </cell>
        </row>
        <row r="164">
          <cell r="A164" t="str">
            <v>Non-compensation expenses</v>
          </cell>
          <cell r="B164">
            <v>46.630999999999993</v>
          </cell>
          <cell r="C164">
            <v>48.591866000000003</v>
          </cell>
          <cell r="D164">
            <v>45.946000000000012</v>
          </cell>
          <cell r="E164">
            <v>45.887719173552469</v>
          </cell>
          <cell r="F164">
            <v>56.100740093019461</v>
          </cell>
          <cell r="G164">
            <v>61.122489023950934</v>
          </cell>
          <cell r="H164">
            <v>65.496697977100212</v>
          </cell>
          <cell r="I164">
            <v>70.959605140328975</v>
          </cell>
          <cell r="J164">
            <v>76.738565650202673</v>
          </cell>
          <cell r="K164">
            <v>82.479778307261938</v>
          </cell>
          <cell r="L164">
            <v>88.598612778537685</v>
          </cell>
        </row>
        <row r="165">
          <cell r="A165" t="str">
            <v>% of Net Revenues</v>
          </cell>
          <cell r="B165">
            <v>0.37159136186150293</v>
          </cell>
          <cell r="C165">
            <v>0.51833895247432493</v>
          </cell>
          <cell r="D165">
            <v>0.42380135406866282</v>
          </cell>
          <cell r="E165">
            <v>0.29220832292931076</v>
          </cell>
          <cell r="F165">
            <v>0.27376570839011621</v>
          </cell>
          <cell r="G165">
            <v>0.24755544148362216</v>
          </cell>
          <cell r="H165">
            <v>0.2227979074886958</v>
          </cell>
          <cell r="I165">
            <v>0.20914421342453085</v>
          </cell>
          <cell r="J165">
            <v>0.19764972200023345</v>
          </cell>
          <cell r="K165">
            <v>0.18625988234795046</v>
          </cell>
          <cell r="L165">
            <v>0.17540737577710391</v>
          </cell>
        </row>
        <row r="166">
          <cell r="A166" t="str">
            <v>Non-compensation expenses</v>
          </cell>
          <cell r="B166">
            <v>46.630999999999993</v>
          </cell>
          <cell r="C166">
            <v>48.591866000000003</v>
          </cell>
          <cell r="D166">
            <v>45.946000000000012</v>
          </cell>
          <cell r="E166">
            <v>45.887719173552469</v>
          </cell>
          <cell r="F166">
            <v>56.100740093019461</v>
          </cell>
          <cell r="G166">
            <v>61.122489023950934</v>
          </cell>
          <cell r="H166">
            <v>65.496697977100212</v>
          </cell>
          <cell r="I166">
            <v>70.959605140328975</v>
          </cell>
          <cell r="J166">
            <v>76.738565650202673</v>
          </cell>
          <cell r="K166">
            <v>82.479778307261938</v>
          </cell>
          <cell r="L166">
            <v>88.598612778537685</v>
          </cell>
        </row>
        <row r="167">
          <cell r="A167" t="str">
            <v>Equity statistics</v>
          </cell>
          <cell r="B167">
            <v>0.37159136186150293</v>
          </cell>
          <cell r="C167">
            <v>0.51833895247432493</v>
          </cell>
          <cell r="D167">
            <v>0.42380135406866282</v>
          </cell>
          <cell r="E167">
            <v>0.29220832292931076</v>
          </cell>
          <cell r="F167">
            <v>0.27376570839011621</v>
          </cell>
          <cell r="G167">
            <v>0.24755544148362216</v>
          </cell>
          <cell r="H167">
            <v>0.2227979074886958</v>
          </cell>
          <cell r="I167">
            <v>0.20914421342453085</v>
          </cell>
          <cell r="J167">
            <v>0.19764972200023345</v>
          </cell>
          <cell r="K167">
            <v>0.18625988234795046</v>
          </cell>
          <cell r="L167">
            <v>0.17540737577710391</v>
          </cell>
        </row>
        <row r="168">
          <cell r="A168" t="str">
            <v>Common equity</v>
          </cell>
          <cell r="B168">
            <v>50.021000000000001</v>
          </cell>
          <cell r="C168">
            <v>101.19383300000001</v>
          </cell>
          <cell r="D168">
            <v>132.148833</v>
          </cell>
          <cell r="E168">
            <v>251.7840303502629</v>
          </cell>
          <cell r="F168">
            <v>328.3460684383839</v>
          </cell>
          <cell r="G168">
            <v>376.23092516850465</v>
          </cell>
          <cell r="H168">
            <v>444.28014027037716</v>
          </cell>
          <cell r="I168">
            <v>459.30472702488998</v>
          </cell>
          <cell r="J168">
            <v>483.90687539139481</v>
          </cell>
          <cell r="K168">
            <v>521.09290088958596</v>
          </cell>
          <cell r="L168">
            <v>556.53478256335427</v>
          </cell>
        </row>
        <row r="169">
          <cell r="A169" t="str">
            <v>Return on average common equity</v>
          </cell>
          <cell r="C169">
            <v>0.19622816990252098</v>
          </cell>
          <cell r="D169">
            <v>0.18530070714034752</v>
          </cell>
          <cell r="E169">
            <v>0.32351476050442268</v>
          </cell>
          <cell r="F169">
            <v>0.25717882044381463</v>
          </cell>
          <cell r="G169">
            <v>0.28058214999538772</v>
          </cell>
          <cell r="H169">
            <v>0.30414382004559176</v>
          </cell>
          <cell r="I169">
            <v>0.32552861486774332</v>
          </cell>
          <cell r="J169">
            <v>0.36425353261056109</v>
          </cell>
          <cell r="K169">
            <v>0.39478329806173201</v>
          </cell>
          <cell r="L169">
            <v>0.42507241446267802</v>
          </cell>
        </row>
        <row r="170">
          <cell r="A170" t="str">
            <v>Common equity</v>
          </cell>
          <cell r="B170">
            <v>50.021000000000001</v>
          </cell>
          <cell r="C170">
            <v>101.19383300000001</v>
          </cell>
          <cell r="D170">
            <v>132.148833</v>
          </cell>
          <cell r="E170">
            <v>251.78403035026287</v>
          </cell>
          <cell r="F170">
            <v>328.3460684383839</v>
          </cell>
          <cell r="G170">
            <v>376.23092516850465</v>
          </cell>
          <cell r="H170">
            <v>444.28014027037716</v>
          </cell>
          <cell r="I170">
            <v>459.30472702488998</v>
          </cell>
          <cell r="J170">
            <v>483.90687539139481</v>
          </cell>
          <cell r="K170">
            <v>521.09290088958596</v>
          </cell>
          <cell r="L170">
            <v>556.53478256335427</v>
          </cell>
        </row>
        <row r="171">
          <cell r="A171" t="str">
            <v>Book Value Per Share</v>
          </cell>
          <cell r="B171">
            <v>0.91959665039663951</v>
          </cell>
          <cell r="C171">
            <v>1.9142748532757001</v>
          </cell>
          <cell r="D171">
            <v>2.4997414735647405</v>
          </cell>
          <cell r="E171">
            <v>4.5477111957060039</v>
          </cell>
          <cell r="F171">
            <v>5.930571090732121</v>
          </cell>
          <cell r="G171">
            <v>6.9204621570588545</v>
          </cell>
          <cell r="H171">
            <v>8.3253094775672665</v>
          </cell>
          <cell r="I171">
            <v>8.9419785267183869</v>
          </cell>
          <cell r="J171">
            <v>9.8026309205184798</v>
          </cell>
          <cell r="K171">
            <v>11.001644693119095</v>
          </cell>
          <cell r="L171">
            <v>12.267933044491441</v>
          </cell>
        </row>
        <row r="172">
          <cell r="A172" t="str">
            <v>Forecasting Variables, 2002A-2012E</v>
          </cell>
        </row>
        <row r="173">
          <cell r="A173" t="str">
            <v>A = Actual    E = Morgan Stanley Research Estimate</v>
          </cell>
          <cell r="B173">
            <v>0.91959665039663951</v>
          </cell>
          <cell r="C173">
            <v>1.9142748532757001</v>
          </cell>
          <cell r="D173">
            <v>2.4997414735647405</v>
          </cell>
          <cell r="E173">
            <v>4.547711195706003</v>
          </cell>
          <cell r="F173">
            <v>5.930571090732121</v>
          </cell>
          <cell r="G173">
            <v>6.9204621570588545</v>
          </cell>
          <cell r="H173">
            <v>8.3253094775672665</v>
          </cell>
          <cell r="I173">
            <v>8.9419785267183869</v>
          </cell>
          <cell r="J173">
            <v>9.8026309205184798</v>
          </cell>
          <cell r="K173">
            <v>11.001644693119095</v>
          </cell>
          <cell r="L173">
            <v>12.267933044491441</v>
          </cell>
        </row>
        <row r="174">
          <cell r="A174" t="str">
            <v>Source: Company data, Morgan Stanley Research</v>
          </cell>
        </row>
        <row r="175">
          <cell r="A175" t="str">
            <v>A = Actual    E = Morgan Stanley Research Estimate</v>
          </cell>
        </row>
        <row r="176">
          <cell r="A176" t="str">
            <v>Source: Company data, Morgan Stanley Research</v>
          </cell>
          <cell r="B176" t="str">
            <v>2002A</v>
          </cell>
          <cell r="C176" t="str">
            <v>2003A</v>
          </cell>
          <cell r="D176" t="str">
            <v>2004A</v>
          </cell>
          <cell r="E176" t="str">
            <v>2005E</v>
          </cell>
          <cell r="F176" t="str">
            <v>2006E</v>
          </cell>
          <cell r="G176" t="str">
            <v>2007E</v>
          </cell>
          <cell r="H176" t="str">
            <v>2008E</v>
          </cell>
          <cell r="I176" t="str">
            <v>2009E</v>
          </cell>
          <cell r="J176" t="str">
            <v>2010E</v>
          </cell>
          <cell r="K176" t="str">
            <v>2011E</v>
          </cell>
          <cell r="L176" t="str">
            <v>2012E</v>
          </cell>
        </row>
        <row r="178">
          <cell r="A178" t="str">
            <v>Table XX</v>
          </cell>
        </row>
        <row r="179">
          <cell r="A179" t="str">
            <v>IntercontinentalExchange, Inc.</v>
          </cell>
        </row>
        <row r="180">
          <cell r="A180" t="str">
            <v>Forecasting Variables, 2002A-2012E</v>
          </cell>
        </row>
        <row r="181">
          <cell r="A181" t="str">
            <v>IntercontinentalExchange, Inc.</v>
          </cell>
          <cell r="M181" t="str">
            <v>Need macro data</v>
          </cell>
        </row>
        <row r="182">
          <cell r="A182" t="str">
            <v>($ Millions, Except Per Share Data)</v>
          </cell>
          <cell r="B182">
            <v>22.091999999999999</v>
          </cell>
          <cell r="C182">
            <v>28.497</v>
          </cell>
          <cell r="D182">
            <v>34.263000000000005</v>
          </cell>
          <cell r="E182">
            <v>41.60774783673638</v>
          </cell>
          <cell r="F182">
            <v>56.955940844216997</v>
          </cell>
        </row>
        <row r="183">
          <cell r="A183" t="str">
            <v>Other futures products and options</v>
          </cell>
          <cell r="B183">
            <v>9.4450000000000003</v>
          </cell>
          <cell r="C183">
            <v>11.462999999999999</v>
          </cell>
          <cell r="D183">
            <v>13.497</v>
          </cell>
          <cell r="E183">
            <v>15.803578860202046</v>
          </cell>
          <cell r="F183">
            <v>19.446411486119999</v>
          </cell>
        </row>
        <row r="184">
          <cell r="A184" t="str">
            <v>($ Millions, Except Per Share Data)</v>
          </cell>
          <cell r="B184" t="str">
            <v>2002A</v>
          </cell>
          <cell r="C184" t="str">
            <v>2003A</v>
          </cell>
          <cell r="D184" t="str">
            <v>2004A</v>
          </cell>
          <cell r="E184" t="str">
            <v>2005E</v>
          </cell>
          <cell r="F184" t="str">
            <v>2006E</v>
          </cell>
          <cell r="G184" t="str">
            <v>2007E</v>
          </cell>
          <cell r="H184" t="str">
            <v>2008E</v>
          </cell>
          <cell r="I184" t="str">
            <v>2009E</v>
          </cell>
          <cell r="J184" t="str">
            <v>2010E</v>
          </cell>
          <cell r="K184" t="str">
            <v>2011E</v>
          </cell>
          <cell r="L184" t="str">
            <v>2012E</v>
          </cell>
        </row>
        <row r="185">
          <cell r="A185" t="str">
            <v>Total  Futures</v>
          </cell>
          <cell r="B185">
            <v>31.536999999999999</v>
          </cell>
          <cell r="C185">
            <v>39.96</v>
          </cell>
          <cell r="D185">
            <v>45.499000000000002</v>
          </cell>
          <cell r="E185">
            <v>57.995181485124988</v>
          </cell>
          <cell r="F185">
            <v>76.298628043762989</v>
          </cell>
          <cell r="G185">
            <v>91.575487794675851</v>
          </cell>
          <cell r="H185">
            <v>109.89058535361104</v>
          </cell>
          <cell r="I185">
            <v>129.12143779049299</v>
          </cell>
          <cell r="J185">
            <v>148.48965345906694</v>
          </cell>
          <cell r="K185">
            <v>170.76310147792694</v>
          </cell>
          <cell r="L185">
            <v>196.37756669961595</v>
          </cell>
        </row>
        <row r="186">
          <cell r="A186" t="str">
            <v>TRANSACTION FEES - KEY DRIVERS/DETAILS</v>
          </cell>
          <cell r="B186" t="str">
            <v>2002A</v>
          </cell>
          <cell r="C186" t="str">
            <v>2003A</v>
          </cell>
          <cell r="D186" t="str">
            <v>2004A</v>
          </cell>
          <cell r="E186" t="str">
            <v>2005E</v>
          </cell>
          <cell r="F186" t="str">
            <v>2006E</v>
          </cell>
          <cell r="G186" t="str">
            <v>2007E</v>
          </cell>
          <cell r="H186" t="str">
            <v>2008E</v>
          </cell>
          <cell r="I186" t="str">
            <v>2009E</v>
          </cell>
          <cell r="J186" t="str">
            <v>2010E</v>
          </cell>
          <cell r="K186" t="str">
            <v>2011E</v>
          </cell>
          <cell r="L186" t="str">
            <v>2012E</v>
          </cell>
        </row>
        <row r="187">
          <cell r="A187" t="str">
            <v>Trading Data</v>
          </cell>
        </row>
        <row r="188">
          <cell r="A188" t="str">
            <v>Futures</v>
          </cell>
        </row>
        <row r="189">
          <cell r="A189" t="str">
            <v>Revenue Composition</v>
          </cell>
          <cell r="B189">
            <v>120.79949999999999</v>
          </cell>
          <cell r="C189">
            <v>131.78357312252965</v>
          </cell>
          <cell r="D189">
            <v>139.92434251968504</v>
          </cell>
          <cell r="E189">
            <v>170.90392281746031</v>
          </cell>
          <cell r="F189">
            <v>234.6374772145378</v>
          </cell>
          <cell r="G189">
            <v>293.29684651817223</v>
          </cell>
          <cell r="H189">
            <v>351.95621582180667</v>
          </cell>
          <cell r="I189">
            <v>413.54855359062287</v>
          </cell>
          <cell r="J189">
            <v>475.58083662921626</v>
          </cell>
          <cell r="K189">
            <v>546.91796212359861</v>
          </cell>
          <cell r="L189">
            <v>628.95565644213832</v>
          </cell>
        </row>
        <row r="190">
          <cell r="A190" t="str">
            <v>Brent crude futures</v>
          </cell>
          <cell r="B190">
            <v>22.091999999999999</v>
          </cell>
          <cell r="C190">
            <v>28.497</v>
          </cell>
          <cell r="D190">
            <v>34.263000000000005</v>
          </cell>
          <cell r="E190">
            <v>41.60774783673638</v>
          </cell>
          <cell r="F190">
            <v>56.955940844216997</v>
          </cell>
          <cell r="G190">
            <v>0.25</v>
          </cell>
          <cell r="H190">
            <v>0.19999999999999996</v>
          </cell>
          <cell r="I190">
            <v>0.17500000000000004</v>
          </cell>
          <cell r="J190">
            <v>0.14999999999999991</v>
          </cell>
          <cell r="K190">
            <v>0.14999999999999991</v>
          </cell>
          <cell r="L190">
            <v>0.14999999999999991</v>
          </cell>
        </row>
        <row r="191">
          <cell r="A191" t="str">
            <v>WTI crude futures</v>
          </cell>
          <cell r="C191">
            <v>0</v>
          </cell>
          <cell r="D191">
            <v>0</v>
          </cell>
          <cell r="E191">
            <v>0</v>
          </cell>
          <cell r="F191">
            <v>14.462980802964141</v>
          </cell>
        </row>
        <row r="192">
          <cell r="A192" t="str">
            <v>Other futures products and options</v>
          </cell>
          <cell r="B192">
            <v>9.4450000000000003</v>
          </cell>
          <cell r="C192">
            <v>11.462999999999999</v>
          </cell>
          <cell r="D192">
            <v>13.497</v>
          </cell>
          <cell r="E192">
            <v>15.803578860202046</v>
          </cell>
          <cell r="F192">
            <v>19.446411486119999</v>
          </cell>
          <cell r="G192">
            <v>73910.805322579399</v>
          </cell>
          <cell r="H192">
            <v>88692.966387095279</v>
          </cell>
          <cell r="I192">
            <v>104214.23550483696</v>
          </cell>
          <cell r="J192">
            <v>119846.3708305625</v>
          </cell>
          <cell r="K192">
            <v>137823.32645514686</v>
          </cell>
          <cell r="L192">
            <v>158496.82542341886</v>
          </cell>
        </row>
        <row r="193">
          <cell r="A193" t="str">
            <v>Two month fee rebate program</v>
          </cell>
          <cell r="B193">
            <v>0</v>
          </cell>
          <cell r="C193">
            <v>0</v>
          </cell>
          <cell r="D193">
            <v>-2.2610000000000001</v>
          </cell>
          <cell r="E193">
            <v>0</v>
          </cell>
          <cell r="F193">
            <v>0</v>
          </cell>
        </row>
        <row r="194">
          <cell r="A194" t="str">
            <v>Total  Futures</v>
          </cell>
          <cell r="B194">
            <v>31.536999999999999</v>
          </cell>
          <cell r="C194">
            <v>39.96</v>
          </cell>
          <cell r="D194">
            <v>45.499000000000002</v>
          </cell>
          <cell r="E194">
            <v>57.995181485124988</v>
          </cell>
          <cell r="F194">
            <v>90.665188974707377</v>
          </cell>
          <cell r="G194">
            <v>113.75205835922087</v>
          </cell>
          <cell r="H194">
            <v>141.7694055401445</v>
          </cell>
          <cell r="I194">
            <v>165.78208100500646</v>
          </cell>
          <cell r="J194">
            <v>190.64939315575742</v>
          </cell>
          <cell r="K194">
            <v>219.24680212912099</v>
          </cell>
          <cell r="L194">
            <v>252.13382244848913</v>
          </cell>
        </row>
        <row r="195">
          <cell r="A195" t="str">
            <v>Two month fee rebate program</v>
          </cell>
          <cell r="B195">
            <v>0</v>
          </cell>
          <cell r="C195">
            <v>0</v>
          </cell>
          <cell r="D195">
            <v>-2.2610000000000001</v>
          </cell>
          <cell r="E195">
            <v>0</v>
          </cell>
          <cell r="F195">
            <v>0</v>
          </cell>
          <cell r="G195">
            <v>-3.982034652418176E-2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A196" t="str">
            <v>Trading Data</v>
          </cell>
          <cell r="B196">
            <v>31.536999999999999</v>
          </cell>
          <cell r="C196">
            <v>39.96</v>
          </cell>
          <cell r="D196">
            <v>45.499000000000002</v>
          </cell>
          <cell r="E196">
            <v>57.995181485124988</v>
          </cell>
          <cell r="F196">
            <v>90.665188974707377</v>
          </cell>
          <cell r="G196">
            <v>113.75205835922087</v>
          </cell>
          <cell r="H196">
            <v>141.7694055401445</v>
          </cell>
          <cell r="I196">
            <v>165.78208100500646</v>
          </cell>
          <cell r="J196">
            <v>190.64939315575742</v>
          </cell>
          <cell r="K196">
            <v>219.24680212912099</v>
          </cell>
          <cell r="L196">
            <v>252.13382244848913</v>
          </cell>
        </row>
        <row r="197">
          <cell r="A197" t="str">
            <v>Total futures</v>
          </cell>
          <cell r="B197">
            <v>125.14682539682539</v>
          </cell>
          <cell r="C197">
            <v>157.94466403162056</v>
          </cell>
          <cell r="D197">
            <v>188.03149606299215</v>
          </cell>
          <cell r="E197">
            <v>230.13960906795629</v>
          </cell>
          <cell r="F197">
            <v>302.77233350699601</v>
          </cell>
          <cell r="G197">
            <v>363.39479283601526</v>
          </cell>
          <cell r="H197">
            <v>436.07375140321841</v>
          </cell>
          <cell r="I197">
            <v>512.38665789878166</v>
          </cell>
          <cell r="J197">
            <v>589.24465658359895</v>
          </cell>
          <cell r="K197">
            <v>677.63135507113873</v>
          </cell>
          <cell r="L197">
            <v>779.27605833180928</v>
          </cell>
        </row>
        <row r="198">
          <cell r="A198" t="str">
            <v>Average daily volume excl. WTI ('000s)</v>
          </cell>
          <cell r="B198">
            <v>120.79949999999999</v>
          </cell>
          <cell r="C198">
            <v>131.78357312252965</v>
          </cell>
          <cell r="D198">
            <v>139.92434251968504</v>
          </cell>
          <cell r="E198">
            <v>170.90392281746031</v>
          </cell>
          <cell r="F198">
            <v>234.6374772145378</v>
          </cell>
          <cell r="G198">
            <v>293.29684651817223</v>
          </cell>
          <cell r="H198">
            <v>351.95621582180667</v>
          </cell>
          <cell r="I198">
            <v>413.54855359062287</v>
          </cell>
          <cell r="J198">
            <v>475.58083662921626</v>
          </cell>
          <cell r="K198">
            <v>546.91796212359861</v>
          </cell>
          <cell r="L198">
            <v>628.95565644213832</v>
          </cell>
        </row>
        <row r="199">
          <cell r="A199" t="str">
            <v>Average daily WTI volume ('000s)</v>
          </cell>
          <cell r="C199">
            <v>0</v>
          </cell>
          <cell r="D199">
            <v>0</v>
          </cell>
          <cell r="E199">
            <v>0</v>
          </cell>
          <cell r="F199">
            <v>40.994843545816728</v>
          </cell>
          <cell r="G199">
            <v>62.858760103585645</v>
          </cell>
          <cell r="H199">
            <v>90.359467648904356</v>
          </cell>
          <cell r="I199">
            <v>103.91338779624</v>
          </cell>
          <cell r="J199">
            <v>119.50039596567599</v>
          </cell>
          <cell r="K199">
            <v>137.42545536052739</v>
          </cell>
          <cell r="L199">
            <v>158.0392736646065</v>
          </cell>
        </row>
        <row r="200">
          <cell r="A200" t="str">
            <v>Total ADV</v>
          </cell>
          <cell r="B200">
            <v>120.79949999999999</v>
          </cell>
          <cell r="C200">
            <v>131.78357312252965</v>
          </cell>
          <cell r="D200">
            <v>139.92434251968504</v>
          </cell>
          <cell r="E200">
            <v>170.90392281746031</v>
          </cell>
          <cell r="F200">
            <v>275.6323207603545</v>
          </cell>
          <cell r="G200">
            <v>356.1556066217579</v>
          </cell>
          <cell r="H200">
            <v>442.31568347071101</v>
          </cell>
          <cell r="I200">
            <v>517.46194138686292</v>
          </cell>
          <cell r="J200">
            <v>595.0812325948923</v>
          </cell>
          <cell r="K200">
            <v>684.34341748412601</v>
          </cell>
          <cell r="L200">
            <v>786.99493010674485</v>
          </cell>
        </row>
        <row r="201">
          <cell r="A201" t="str">
            <v xml:space="preserve">Change Yr./Yr. </v>
          </cell>
          <cell r="B201">
            <v>85.291611111111109</v>
          </cell>
          <cell r="C201">
            <v>0</v>
          </cell>
          <cell r="D201">
            <v>6.1773779571041576E-2</v>
          </cell>
          <cell r="E201">
            <v>0.22140236459154305</v>
          </cell>
          <cell r="F201">
            <v>0.61279107124271737</v>
          </cell>
          <cell r="G201">
            <v>0.29214021650027577</v>
          </cell>
          <cell r="H201">
            <v>0.24191694654537987</v>
          </cell>
          <cell r="I201">
            <v>0.16989281801292466</v>
          </cell>
          <cell r="J201">
            <v>0.14999999999999991</v>
          </cell>
          <cell r="K201">
            <v>0.14999999999999969</v>
          </cell>
          <cell r="L201">
            <v>0.14999999999999991</v>
          </cell>
        </row>
        <row r="202">
          <cell r="A202" t="str">
            <v>Total ADV</v>
          </cell>
          <cell r="C202">
            <v>131.78357312252965</v>
          </cell>
          <cell r="D202">
            <v>139.92434251968504</v>
          </cell>
          <cell r="E202">
            <v>170.90392281746031</v>
          </cell>
          <cell r="F202">
            <v>275.6323207603545</v>
          </cell>
          <cell r="G202">
            <v>356.1556066217579</v>
          </cell>
          <cell r="H202">
            <v>442.31568347071101</v>
          </cell>
          <cell r="I202">
            <v>517.46194138686292</v>
          </cell>
          <cell r="J202">
            <v>595.0812325948923</v>
          </cell>
          <cell r="K202">
            <v>684.34341748412601</v>
          </cell>
          <cell r="L202">
            <v>786.99493010674485</v>
          </cell>
        </row>
        <row r="203">
          <cell r="A203" t="str">
            <v>Total Contracts ('000s)</v>
          </cell>
          <cell r="B203">
            <v>30441.473999999998</v>
          </cell>
          <cell r="C203">
            <v>33341.243999999999</v>
          </cell>
          <cell r="D203">
            <v>35540.783000000003</v>
          </cell>
          <cell r="E203">
            <v>43067.788549999997</v>
          </cell>
          <cell r="F203">
            <v>59128.644258063527</v>
          </cell>
          <cell r="G203">
            <v>73910.805322579399</v>
          </cell>
          <cell r="H203">
            <v>88692.966387095279</v>
          </cell>
          <cell r="I203">
            <v>104214.23550483696</v>
          </cell>
          <cell r="J203">
            <v>119846.3708305625</v>
          </cell>
          <cell r="K203">
            <v>137823.32645514686</v>
          </cell>
          <cell r="L203">
            <v>158496.82542341886</v>
          </cell>
        </row>
        <row r="204">
          <cell r="A204" t="str">
            <v>Total Contracts ('000s)</v>
          </cell>
          <cell r="B204">
            <v>21493.486000000001</v>
          </cell>
          <cell r="C204">
            <v>24012.969000000001</v>
          </cell>
          <cell r="D204">
            <v>25458.259000000002</v>
          </cell>
          <cell r="E204">
            <v>31229.301549999996</v>
          </cell>
          <cell r="F204">
            <v>44080.133769999993</v>
          </cell>
        </row>
        <row r="205">
          <cell r="A205" t="str">
            <v>Fee per contract (a)</v>
          </cell>
          <cell r="B205">
            <v>1.0359879419767912</v>
          </cell>
          <cell r="C205">
            <v>1.1985155682853346</v>
          </cell>
          <cell r="D205">
            <v>1.3438083229623838</v>
          </cell>
          <cell r="E205">
            <v>1.3466022621011728</v>
          </cell>
          <cell r="F205">
            <v>1.2921000000000002</v>
          </cell>
          <cell r="G205">
            <v>1.2389999999999999</v>
          </cell>
          <cell r="H205">
            <v>1.2389999999999999</v>
          </cell>
          <cell r="I205">
            <v>1.2389999999999999</v>
          </cell>
          <cell r="J205">
            <v>1.2389999999999999</v>
          </cell>
          <cell r="K205">
            <v>1.2389999999999999</v>
          </cell>
          <cell r="L205">
            <v>1.2389999999999999</v>
          </cell>
        </row>
        <row r="206">
          <cell r="A206" t="str">
            <v xml:space="preserve">Change Yr./Yr. </v>
          </cell>
          <cell r="B206">
            <v>1.0278462972455933</v>
          </cell>
          <cell r="C206">
            <v>0.1568817741241475</v>
          </cell>
          <cell r="D206">
            <v>0.12122725688487579</v>
          </cell>
          <cell r="E206">
            <v>2.0791202815515497E-3</v>
          </cell>
          <cell r="F206">
            <v>-4.0473912479643381E-2</v>
          </cell>
          <cell r="G206">
            <v>-4.1095890410959179E-2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A207" t="str">
            <v>Fee per contract (a)</v>
          </cell>
          <cell r="B207">
            <v>1.0359879419767912</v>
          </cell>
          <cell r="C207">
            <v>1.1985155682853346</v>
          </cell>
          <cell r="D207">
            <v>1.3438083229623838</v>
          </cell>
          <cell r="E207">
            <v>1.3466022621011728</v>
          </cell>
          <cell r="F207">
            <v>1.2921000000000002</v>
          </cell>
          <cell r="G207">
            <v>1.2389999999999999</v>
          </cell>
          <cell r="H207">
            <v>1.2389999999999999</v>
          </cell>
          <cell r="I207">
            <v>1.2389999999999999</v>
          </cell>
          <cell r="J207">
            <v>1.2389999999999999</v>
          </cell>
          <cell r="K207">
            <v>1.2389999999999999</v>
          </cell>
          <cell r="L207">
            <v>1.2389999999999999</v>
          </cell>
        </row>
        <row r="208">
          <cell r="A208" t="str">
            <v>Avg daily trading fee revenue ($ Thous.) (a)</v>
          </cell>
          <cell r="B208">
            <v>125.14682539682539</v>
          </cell>
          <cell r="C208">
            <v>157.94466403162056</v>
          </cell>
          <cell r="D208">
            <v>188.03149606299215</v>
          </cell>
          <cell r="E208">
            <v>230.13960906795629</v>
          </cell>
          <cell r="F208">
            <v>359.78249593137849</v>
          </cell>
          <cell r="G208">
            <v>451.39705698103518</v>
          </cell>
          <cell r="H208">
            <v>562.57700611168457</v>
          </cell>
          <cell r="I208">
            <v>657.86540081351768</v>
          </cell>
          <cell r="J208">
            <v>756.54521093554536</v>
          </cell>
          <cell r="K208">
            <v>870.02699257587699</v>
          </cell>
          <cell r="L208">
            <v>1000.5310414622585</v>
          </cell>
        </row>
        <row r="209">
          <cell r="A209" t="str">
            <v xml:space="preserve">Change Yr./Yr. </v>
          </cell>
          <cell r="B209">
            <v>87.666666666666671</v>
          </cell>
          <cell r="C209">
            <v>0.26207487509808747</v>
          </cell>
          <cell r="D209">
            <v>0.19048970230072593</v>
          </cell>
          <cell r="E209">
            <v>0.22394180701970035</v>
          </cell>
          <cell r="F209">
            <v>0.56332279084188808</v>
          </cell>
          <cell r="G209">
            <v>0.25463873892055711</v>
          </cell>
          <cell r="H209">
            <v>0.2463018918958535</v>
          </cell>
          <cell r="I209">
            <v>0.16937840271935345</v>
          </cell>
          <cell r="J209">
            <v>0.15000000000000013</v>
          </cell>
          <cell r="K209">
            <v>0.14999999999999969</v>
          </cell>
          <cell r="L209">
            <v>0.14999999999999991</v>
          </cell>
        </row>
        <row r="210">
          <cell r="A210" t="str">
            <v>Avg daily trading fee revenue ($ Thous.) (a)</v>
          </cell>
          <cell r="B210">
            <v>125.14682539682539</v>
          </cell>
          <cell r="C210">
            <v>157.94466403162056</v>
          </cell>
          <cell r="D210">
            <v>188.03149606299215</v>
          </cell>
          <cell r="E210">
            <v>230.13960906795629</v>
          </cell>
          <cell r="F210">
            <v>359.78249593137849</v>
          </cell>
          <cell r="G210">
            <v>451.39705698103518</v>
          </cell>
          <cell r="H210">
            <v>562.57700611168457</v>
          </cell>
          <cell r="I210">
            <v>657.86540081351768</v>
          </cell>
          <cell r="J210">
            <v>756.54521093554536</v>
          </cell>
          <cell r="K210">
            <v>870.02699257587699</v>
          </cell>
          <cell r="L210">
            <v>1000.5310414622585</v>
          </cell>
        </row>
        <row r="211">
          <cell r="A211" t="str">
            <v>Brent crude futures</v>
          </cell>
          <cell r="C211">
            <v>0.26207487509808747</v>
          </cell>
          <cell r="D211">
            <v>0.19048970230072593</v>
          </cell>
          <cell r="E211">
            <v>0.22394180701970035</v>
          </cell>
          <cell r="F211">
            <v>0.56332279084188808</v>
          </cell>
          <cell r="G211">
            <v>0.25463873892055711</v>
          </cell>
          <cell r="H211">
            <v>0.2463018918958535</v>
          </cell>
          <cell r="I211">
            <v>0.16937840271935345</v>
          </cell>
          <cell r="J211">
            <v>0.15000000000000013</v>
          </cell>
          <cell r="K211">
            <v>0.14999999999999969</v>
          </cell>
          <cell r="L211">
            <v>0.14999999999999991</v>
          </cell>
        </row>
        <row r="212">
          <cell r="A212" t="str">
            <v>Average daily volume ('000s)</v>
          </cell>
          <cell r="B212">
            <v>85.291611111111109</v>
          </cell>
          <cell r="C212">
            <v>94.912920948616602</v>
          </cell>
          <cell r="D212">
            <v>100.22936614173229</v>
          </cell>
          <cell r="E212">
            <v>123.92579980158729</v>
          </cell>
          <cell r="F212">
            <v>174.92116575396824</v>
          </cell>
        </row>
        <row r="213">
          <cell r="A213" t="str">
            <v xml:space="preserve">Change Yr./Yr. </v>
          </cell>
          <cell r="B213">
            <v>35.507888888888878</v>
          </cell>
          <cell r="C213">
            <v>0.11280487860607558</v>
          </cell>
          <cell r="D213">
            <v>5.6013924552947625E-2</v>
          </cell>
          <cell r="E213">
            <v>0.23642206443116054</v>
          </cell>
          <cell r="F213">
            <v>0.41149918769156724</v>
          </cell>
        </row>
        <row r="214">
          <cell r="A214" t="str">
            <v>Average daily volume ('000s)</v>
          </cell>
          <cell r="B214">
            <v>85.291611111111109</v>
          </cell>
          <cell r="C214">
            <v>94.912920948616602</v>
          </cell>
          <cell r="D214">
            <v>100.22936614173229</v>
          </cell>
          <cell r="E214">
            <v>123.92579980158729</v>
          </cell>
          <cell r="F214">
            <v>174.92116575396824</v>
          </cell>
        </row>
        <row r="215">
          <cell r="A215" t="str">
            <v>Total Contracts ('000s)</v>
          </cell>
          <cell r="B215">
            <v>21493.486000000001</v>
          </cell>
          <cell r="C215">
            <v>24012.969000000001</v>
          </cell>
          <cell r="D215">
            <v>25458.259000000002</v>
          </cell>
          <cell r="E215">
            <v>31229.301549999996</v>
          </cell>
          <cell r="F215">
            <v>44080.133769999993</v>
          </cell>
        </row>
        <row r="216">
          <cell r="A216" t="str">
            <v>Total Contracts ('000s)</v>
          </cell>
          <cell r="B216">
            <v>8947.9879999999976</v>
          </cell>
          <cell r="C216">
            <v>9328.2749999999978</v>
          </cell>
          <cell r="D216">
            <v>10082.524000000001</v>
          </cell>
          <cell r="E216">
            <v>11838.486999999997</v>
          </cell>
          <cell r="F216">
            <v>15050.2372</v>
          </cell>
        </row>
        <row r="217">
          <cell r="A217" t="str">
            <v>Fee per contract</v>
          </cell>
          <cell r="B217">
            <v>1.0278462972455933</v>
          </cell>
          <cell r="C217">
            <v>1.1867337187667213</v>
          </cell>
          <cell r="D217">
            <v>1.3458500834640736</v>
          </cell>
          <cell r="E217">
            <v>1.3323304003491678</v>
          </cell>
          <cell r="F217">
            <v>1.2921</v>
          </cell>
        </row>
        <row r="218">
          <cell r="A218" t="str">
            <v xml:space="preserve">Change Yr./Yr. </v>
          </cell>
          <cell r="B218">
            <v>1.0555445537030226</v>
          </cell>
          <cell r="C218">
            <v>0.15458286121856157</v>
          </cell>
          <cell r="D218">
            <v>0.13407924809173655</v>
          </cell>
          <cell r="E218">
            <v>-1.0045459952053193E-2</v>
          </cell>
          <cell r="F218">
            <v>-3.0195513319086986E-2</v>
          </cell>
        </row>
        <row r="219">
          <cell r="A219" t="str">
            <v>Fee per contract</v>
          </cell>
          <cell r="B219">
            <v>1.0278462972455933</v>
          </cell>
          <cell r="C219">
            <v>1.1867337187667213</v>
          </cell>
          <cell r="D219">
            <v>1.3458500834640736</v>
          </cell>
          <cell r="E219">
            <v>1.3323304003491678</v>
          </cell>
          <cell r="F219">
            <v>1.2921</v>
          </cell>
        </row>
        <row r="220">
          <cell r="A220" t="str">
            <v>Average daily trading fee revenue ($ Thous.)</v>
          </cell>
          <cell r="B220">
            <v>87.666666666666671</v>
          </cell>
          <cell r="C220">
            <v>112.63636363636364</v>
          </cell>
          <cell r="D220">
            <v>134.8937007874016</v>
          </cell>
          <cell r="E220">
            <v>165.11011046323961</v>
          </cell>
          <cell r="F220">
            <v>226.01563827070237</v>
          </cell>
        </row>
        <row r="221">
          <cell r="A221" t="str">
            <v xml:space="preserve">Change Yr./Yr. </v>
          </cell>
          <cell r="B221">
            <v>37.480158730158728</v>
          </cell>
          <cell r="C221">
            <v>0.28482544071897675</v>
          </cell>
          <cell r="D221">
            <v>0.19760347753141039</v>
          </cell>
          <cell r="E221">
            <v>0.22400163609908219</v>
          </cell>
          <cell r="F221">
            <v>0.3688782451697461</v>
          </cell>
        </row>
        <row r="222">
          <cell r="A222" t="str">
            <v>Average daily trading fee revenue ($ Thous.)</v>
          </cell>
          <cell r="B222">
            <v>87.666666666666671</v>
          </cell>
          <cell r="C222">
            <v>112.63636363636364</v>
          </cell>
          <cell r="D222">
            <v>134.8937007874016</v>
          </cell>
          <cell r="E222">
            <v>165.11011046323961</v>
          </cell>
          <cell r="F222">
            <v>226.01563827070237</v>
          </cell>
        </row>
        <row r="223">
          <cell r="A223" t="str">
            <v>WTI crude futures</v>
          </cell>
          <cell r="C223">
            <v>0.28482544071897675</v>
          </cell>
          <cell r="D223">
            <v>0.19760347753141039</v>
          </cell>
          <cell r="E223">
            <v>0.22400163609908219</v>
          </cell>
          <cell r="F223">
            <v>0.3688782451697461</v>
          </cell>
        </row>
        <row r="224">
          <cell r="A224" t="str">
            <v>WTI industry average daily volume (000')</v>
          </cell>
          <cell r="B224">
            <v>252</v>
          </cell>
          <cell r="C224">
            <v>181.0236294820717</v>
          </cell>
          <cell r="D224">
            <v>211.53279999999998</v>
          </cell>
          <cell r="E224">
            <v>237.65126693227091</v>
          </cell>
          <cell r="F224">
            <v>273.29895697211151</v>
          </cell>
          <cell r="G224">
            <v>314.29380051792822</v>
          </cell>
          <cell r="H224">
            <v>361.43787059561743</v>
          </cell>
          <cell r="I224">
            <v>415.65355118496001</v>
          </cell>
          <cell r="J224">
            <v>478.00158386270397</v>
          </cell>
          <cell r="K224">
            <v>549.70182144210958</v>
          </cell>
          <cell r="L224">
            <v>632.15709465842599</v>
          </cell>
        </row>
        <row r="225">
          <cell r="A225" t="str">
            <v xml:space="preserve">Change Yr./Yr. </v>
          </cell>
          <cell r="D225">
            <v>0.1685369507020622</v>
          </cell>
          <cell r="E225">
            <v>0.12347242097807487</v>
          </cell>
          <cell r="F225">
            <v>0.15</v>
          </cell>
          <cell r="G225">
            <v>0.15</v>
          </cell>
          <cell r="H225">
            <v>0.15</v>
          </cell>
          <cell r="I225">
            <v>0.15</v>
          </cell>
          <cell r="J225">
            <v>0.15</v>
          </cell>
          <cell r="K225">
            <v>0.15</v>
          </cell>
          <cell r="L225">
            <v>0.15</v>
          </cell>
        </row>
        <row r="226">
          <cell r="A226" t="str">
            <v>ICE WTI average daily volume (000')</v>
          </cell>
          <cell r="C226">
            <v>0</v>
          </cell>
          <cell r="D226">
            <v>0</v>
          </cell>
          <cell r="E226">
            <v>0</v>
          </cell>
          <cell r="F226">
            <v>40.994843545816728</v>
          </cell>
          <cell r="G226">
            <v>62.858760103585645</v>
          </cell>
          <cell r="H226">
            <v>90.359467648904356</v>
          </cell>
          <cell r="I226">
            <v>103.91338779624</v>
          </cell>
          <cell r="J226">
            <v>119.50039596567599</v>
          </cell>
          <cell r="K226">
            <v>137.42545536052739</v>
          </cell>
          <cell r="L226">
            <v>158.0392736646065</v>
          </cell>
        </row>
        <row r="227">
          <cell r="A227" t="str">
            <v>ICE market share</v>
          </cell>
          <cell r="C227">
            <v>0</v>
          </cell>
          <cell r="D227">
            <v>0</v>
          </cell>
          <cell r="E227">
            <v>0</v>
          </cell>
          <cell r="F227">
            <v>0.15</v>
          </cell>
          <cell r="G227">
            <v>0.2</v>
          </cell>
          <cell r="H227">
            <v>0.25</v>
          </cell>
          <cell r="I227">
            <v>0.25</v>
          </cell>
          <cell r="J227">
            <v>0.25</v>
          </cell>
          <cell r="K227">
            <v>0.25</v>
          </cell>
          <cell r="L227">
            <v>0.25</v>
          </cell>
        </row>
        <row r="228">
          <cell r="A228" t="str">
            <v>Total WTI contract (000')</v>
          </cell>
          <cell r="C228">
            <v>0</v>
          </cell>
          <cell r="D228">
            <v>0</v>
          </cell>
          <cell r="E228">
            <v>0</v>
          </cell>
          <cell r="F228">
            <v>10330.700573545815</v>
          </cell>
          <cell r="G228">
            <v>15840.407546103583</v>
          </cell>
          <cell r="H228">
            <v>22770.585847523897</v>
          </cell>
          <cell r="I228">
            <v>26186.173724652479</v>
          </cell>
          <cell r="J228">
            <v>30114.09978335035</v>
          </cell>
          <cell r="K228">
            <v>34631.214750852901</v>
          </cell>
          <cell r="L228">
            <v>39825.896963480838</v>
          </cell>
        </row>
        <row r="229">
          <cell r="A229" t="str">
            <v>Fee per WTI contract</v>
          </cell>
          <cell r="C229">
            <v>0</v>
          </cell>
          <cell r="D229">
            <v>0</v>
          </cell>
          <cell r="E229">
            <v>0</v>
          </cell>
          <cell r="F229">
            <v>1.4</v>
          </cell>
          <cell r="G229">
            <v>1.4</v>
          </cell>
          <cell r="H229">
            <v>1.4</v>
          </cell>
          <cell r="I229">
            <v>1.4</v>
          </cell>
          <cell r="J229">
            <v>1.4</v>
          </cell>
          <cell r="K229">
            <v>1.4</v>
          </cell>
          <cell r="L229">
            <v>1.4</v>
          </cell>
        </row>
        <row r="230">
          <cell r="A230" t="str">
            <v>Total WTI trading fee revenue</v>
          </cell>
          <cell r="C230">
            <v>0</v>
          </cell>
          <cell r="D230">
            <v>0</v>
          </cell>
          <cell r="E230">
            <v>0</v>
          </cell>
          <cell r="F230">
            <v>14.462980802964141</v>
          </cell>
          <cell r="G230">
            <v>22.176570564545017</v>
          </cell>
          <cell r="H230">
            <v>31.878820186533456</v>
          </cell>
          <cell r="I230">
            <v>36.66064321451347</v>
          </cell>
          <cell r="J230">
            <v>42.159739696690487</v>
          </cell>
          <cell r="K230">
            <v>48.483700651194063</v>
          </cell>
          <cell r="L230">
            <v>55.756255748873173</v>
          </cell>
        </row>
        <row r="231">
          <cell r="A231" t="str">
            <v>Fee per WTI contract</v>
          </cell>
          <cell r="C231">
            <v>0</v>
          </cell>
          <cell r="D231">
            <v>0</v>
          </cell>
          <cell r="E231">
            <v>0</v>
          </cell>
          <cell r="F231">
            <v>1.4</v>
          </cell>
          <cell r="G231">
            <v>1.4</v>
          </cell>
          <cell r="H231">
            <v>1.4</v>
          </cell>
          <cell r="I231">
            <v>1.4</v>
          </cell>
          <cell r="J231">
            <v>1.4</v>
          </cell>
          <cell r="K231">
            <v>1.4</v>
          </cell>
          <cell r="L231">
            <v>1.4</v>
          </cell>
        </row>
        <row r="232">
          <cell r="A232" t="str">
            <v>Other futures products and options</v>
          </cell>
          <cell r="C232">
            <v>0</v>
          </cell>
          <cell r="D232">
            <v>0</v>
          </cell>
          <cell r="E232">
            <v>0</v>
          </cell>
          <cell r="F232">
            <v>14.462980802964141</v>
          </cell>
          <cell r="G232">
            <v>22.176570564545017</v>
          </cell>
          <cell r="H232">
            <v>31.878820186533456</v>
          </cell>
          <cell r="I232">
            <v>36.66064321451347</v>
          </cell>
          <cell r="J232">
            <v>42.159739696690487</v>
          </cell>
          <cell r="K232">
            <v>48.483700651194063</v>
          </cell>
          <cell r="L232">
            <v>55.756255748873173</v>
          </cell>
        </row>
        <row r="233">
          <cell r="A233" t="str">
            <v>Average daily volume ('000s)</v>
          </cell>
          <cell r="B233">
            <v>35.507888888888878</v>
          </cell>
          <cell r="C233">
            <v>36.870652173913037</v>
          </cell>
          <cell r="D233">
            <v>39.694976377952763</v>
          </cell>
          <cell r="E233">
            <v>46.978123015873003</v>
          </cell>
          <cell r="F233">
            <v>59.723163492063492</v>
          </cell>
        </row>
        <row r="234">
          <cell r="A234" t="str">
            <v xml:space="preserve">Change Yr./Yr. </v>
          </cell>
          <cell r="C234">
            <v>3.8379169465369012E-2</v>
          </cell>
          <cell r="D234">
            <v>7.6600874612085423E-2</v>
          </cell>
          <cell r="E234">
            <v>0.18347779246860618</v>
          </cell>
          <cell r="F234">
            <v>0.27129735412979761</v>
          </cell>
        </row>
        <row r="235">
          <cell r="A235" t="str">
            <v>Average daily volume ('000s)</v>
          </cell>
          <cell r="B235">
            <v>35.507888888888878</v>
          </cell>
          <cell r="C235">
            <v>36.870652173913037</v>
          </cell>
          <cell r="D235">
            <v>39.694976377952763</v>
          </cell>
          <cell r="E235">
            <v>46.978123015873003</v>
          </cell>
          <cell r="F235">
            <v>59.723163492063492</v>
          </cell>
        </row>
        <row r="236">
          <cell r="A236" t="str">
            <v>Total Contracts ('000s)</v>
          </cell>
          <cell r="B236">
            <v>8947.9879999999976</v>
          </cell>
          <cell r="C236">
            <v>9328.2749999999978</v>
          </cell>
          <cell r="D236">
            <v>10082.524000000001</v>
          </cell>
          <cell r="E236">
            <v>11838.486999999997</v>
          </cell>
          <cell r="F236">
            <v>15050.2372</v>
          </cell>
        </row>
        <row r="237">
          <cell r="A237" t="str">
            <v>($ Millions, Except Per Share Data)</v>
          </cell>
        </row>
        <row r="238">
          <cell r="A238" t="str">
            <v>Fee per contract</v>
          </cell>
          <cell r="B238">
            <v>1.0555445537030226</v>
          </cell>
          <cell r="C238">
            <v>1.2288445612934871</v>
          </cell>
          <cell r="D238">
            <v>1.3386529008014261</v>
          </cell>
          <cell r="E238">
            <v>1.3349323152698525</v>
          </cell>
          <cell r="F238">
            <v>1.2921</v>
          </cell>
        </row>
        <row r="239">
          <cell r="A239" t="str">
            <v xml:space="preserve">Change Yr./Yr. </v>
          </cell>
          <cell r="B239" t="str">
            <v>2002A</v>
          </cell>
          <cell r="C239">
            <v>0.16418066578288881</v>
          </cell>
          <cell r="D239">
            <v>8.935901493705134E-2</v>
          </cell>
          <cell r="E239">
            <v>-2.7793504420348114E-3</v>
          </cell>
          <cell r="F239">
            <v>-3.2085758041743073E-2</v>
          </cell>
          <cell r="G239" t="str">
            <v>2007E</v>
          </cell>
          <cell r="H239" t="str">
            <v>2008E</v>
          </cell>
          <cell r="I239" t="str">
            <v>2009E</v>
          </cell>
          <cell r="J239" t="str">
            <v>2010E</v>
          </cell>
          <cell r="K239" t="str">
            <v>2011E</v>
          </cell>
          <cell r="L239" t="str">
            <v>2012E</v>
          </cell>
        </row>
        <row r="240">
          <cell r="A240" t="str">
            <v>Fee per contract</v>
          </cell>
          <cell r="B240">
            <v>1.0555445537030226</v>
          </cell>
          <cell r="C240">
            <v>1.2288445612934871</v>
          </cell>
          <cell r="D240">
            <v>1.3386529008014261</v>
          </cell>
          <cell r="E240">
            <v>1.3349323152698525</v>
          </cell>
          <cell r="F240">
            <v>1.2921</v>
          </cell>
        </row>
        <row r="241">
          <cell r="A241" t="str">
            <v>Average daily trading fee revenue ($ Thous.)</v>
          </cell>
          <cell r="B241">
            <v>37.480158730158728</v>
          </cell>
          <cell r="C241">
            <v>45.308300395256914</v>
          </cell>
          <cell r="D241">
            <v>53.137795275590548</v>
          </cell>
          <cell r="E241">
            <v>62.71261452461129</v>
          </cell>
          <cell r="F241">
            <v>77.168299548095234</v>
          </cell>
        </row>
        <row r="242">
          <cell r="A242" t="str">
            <v xml:space="preserve">Change Yr./Yr. </v>
          </cell>
          <cell r="C242">
            <v>0.2088609528432761</v>
          </cell>
          <cell r="D242">
            <v>0.1728048682477894</v>
          </cell>
          <cell r="E242">
            <v>0.18018849294297024</v>
          </cell>
          <cell r="F242">
            <v>0.23050681482608049</v>
          </cell>
        </row>
        <row r="243">
          <cell r="A243" t="str">
            <v>Average daily trading fee revenue ($ Thous.)</v>
          </cell>
          <cell r="B243">
            <v>37.480158730158728</v>
          </cell>
          <cell r="C243">
            <v>45.308300395256914</v>
          </cell>
          <cell r="D243">
            <v>53.137795275590548</v>
          </cell>
          <cell r="E243">
            <v>62.71261452461129</v>
          </cell>
          <cell r="F243">
            <v>77.168299548095234</v>
          </cell>
        </row>
        <row r="244">
          <cell r="A244" t="str">
            <v>Futures trading days</v>
          </cell>
          <cell r="B244">
            <v>252</v>
          </cell>
          <cell r="C244">
            <v>253</v>
          </cell>
          <cell r="D244">
            <v>254</v>
          </cell>
          <cell r="E244">
            <v>252</v>
          </cell>
          <cell r="F244">
            <v>252</v>
          </cell>
          <cell r="G244">
            <v>252</v>
          </cell>
          <cell r="H244">
            <v>252</v>
          </cell>
          <cell r="I244">
            <v>252</v>
          </cell>
          <cell r="J244">
            <v>252</v>
          </cell>
          <cell r="K244">
            <v>252</v>
          </cell>
          <cell r="L244">
            <v>252</v>
          </cell>
        </row>
        <row r="245">
          <cell r="A245" t="str">
            <v>North American natural gas</v>
          </cell>
          <cell r="B245">
            <v>41.844999999999999</v>
          </cell>
          <cell r="C245">
            <v>16.814</v>
          </cell>
          <cell r="D245">
            <v>29.045999999999999</v>
          </cell>
          <cell r="E245">
            <v>59.291647877013467</v>
          </cell>
          <cell r="F245">
            <v>65.426702381311657</v>
          </cell>
        </row>
        <row r="246">
          <cell r="A246" t="str">
            <v>Futures trading days</v>
          </cell>
          <cell r="B246">
            <v>252</v>
          </cell>
          <cell r="C246">
            <v>253</v>
          </cell>
          <cell r="D246">
            <v>254</v>
          </cell>
          <cell r="E246">
            <v>252</v>
          </cell>
          <cell r="F246">
            <v>252</v>
          </cell>
          <cell r="G246">
            <v>252</v>
          </cell>
          <cell r="H246">
            <v>252</v>
          </cell>
          <cell r="I246">
            <v>252</v>
          </cell>
          <cell r="J246">
            <v>252</v>
          </cell>
          <cell r="K246">
            <v>252</v>
          </cell>
          <cell r="L246">
            <v>252</v>
          </cell>
        </row>
        <row r="247">
          <cell r="A247" t="str">
            <v>Global oil</v>
          </cell>
          <cell r="B247">
            <v>14.205</v>
          </cell>
          <cell r="C247">
            <v>8.8439999999999994</v>
          </cell>
          <cell r="D247">
            <v>3.9990000000000001</v>
          </cell>
          <cell r="E247">
            <v>2.2178817745362456</v>
          </cell>
          <cell r="F247">
            <v>4.7266312252325084</v>
          </cell>
        </row>
        <row r="248">
          <cell r="A248" t="str">
            <v>A = Actual    E = Morgan Stanley Research Estimate</v>
          </cell>
          <cell r="B248">
            <v>5.6539999999999999</v>
          </cell>
          <cell r="C248">
            <v>2.8210000000000002</v>
          </cell>
          <cell r="D248">
            <v>1.0429999999999999</v>
          </cell>
          <cell r="E248">
            <v>1.596914274446094</v>
          </cell>
          <cell r="F248">
            <v>1.4455621575357587</v>
          </cell>
        </row>
        <row r="249">
          <cell r="A249" t="str">
            <v>Source: Company data, Morgan Stanley Research</v>
          </cell>
          <cell r="B249">
            <v>83.958999999999989</v>
          </cell>
          <cell r="C249">
            <v>34.217999999999996</v>
          </cell>
          <cell r="D249">
            <v>43.55</v>
          </cell>
          <cell r="E249">
            <v>78.671663254137002</v>
          </cell>
          <cell r="F249">
            <v>91.818914357737313</v>
          </cell>
          <cell r="G249">
            <v>107.86036392878022</v>
          </cell>
          <cell r="H249">
            <v>124.03941851809724</v>
          </cell>
          <cell r="I249">
            <v>142.64533129581181</v>
          </cell>
          <cell r="J249">
            <v>164.04213099018358</v>
          </cell>
          <cell r="K249">
            <v>187.0080293288093</v>
          </cell>
          <cell r="L249">
            <v>213.18915343484264</v>
          </cell>
        </row>
        <row r="250">
          <cell r="A250" t="str">
            <v>A = Actual    E = Morgan Stanley Research Estimate</v>
          </cell>
        </row>
        <row r="251">
          <cell r="A251" t="str">
            <v>Source: Company data, Morgan Stanley Research</v>
          </cell>
          <cell r="B251">
            <v>3.9E-2</v>
          </cell>
          <cell r="C251">
            <v>0.16500000000000001</v>
          </cell>
          <cell r="D251">
            <v>0.78900000000000003</v>
          </cell>
          <cell r="E251">
            <v>1.5965570734749996</v>
          </cell>
          <cell r="F251">
            <v>2.0731484536819766</v>
          </cell>
          <cell r="G251">
            <v>2.487778144418372</v>
          </cell>
          <cell r="H251">
            <v>2.9853337733020462</v>
          </cell>
          <cell r="I251">
            <v>3.5077671836299045</v>
          </cell>
          <cell r="J251">
            <v>4.1216264407651382</v>
          </cell>
          <cell r="K251">
            <v>4.8429110678990375</v>
          </cell>
          <cell r="L251">
            <v>5.6904205047813692</v>
          </cell>
        </row>
        <row r="252">
          <cell r="A252" t="str">
            <v>Order flow agreements shortfall payments</v>
          </cell>
          <cell r="B252">
            <v>3.2589999999999999</v>
          </cell>
          <cell r="C252">
            <v>7.0910000000000002</v>
          </cell>
          <cell r="D252">
            <v>1.0680000000000001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</row>
        <row r="253">
          <cell r="A253" t="str">
            <v>Table XX</v>
          </cell>
          <cell r="B253">
            <v>87.256999999999991</v>
          </cell>
          <cell r="C253">
            <v>41.473999999999997</v>
          </cell>
          <cell r="D253">
            <v>45.406999999999996</v>
          </cell>
          <cell r="E253">
            <v>80.268220327611999</v>
          </cell>
          <cell r="F253">
            <v>93.892062811419294</v>
          </cell>
          <cell r="G253">
            <v>110.34814207319859</v>
          </cell>
          <cell r="H253">
            <v>127.02475229139928</v>
          </cell>
          <cell r="I253">
            <v>146.15309847944172</v>
          </cell>
          <cell r="J253">
            <v>168.16375743094872</v>
          </cell>
          <cell r="K253">
            <v>191.85094039670832</v>
          </cell>
          <cell r="L253">
            <v>218.87957393962401</v>
          </cell>
        </row>
        <row r="254">
          <cell r="A254" t="str">
            <v>IntercontinentalExchange, Inc.</v>
          </cell>
        </row>
        <row r="255">
          <cell r="A255" t="str">
            <v>Forecasting Variables, 2002A-2012E</v>
          </cell>
        </row>
        <row r="256">
          <cell r="A256" t="str">
            <v>IntercontinentalExchange, Inc.</v>
          </cell>
        </row>
        <row r="257">
          <cell r="A257" t="str">
            <v>($ Millions, Except Per Share Data)</v>
          </cell>
          <cell r="B257">
            <v>334.49800796812752</v>
          </cell>
          <cell r="C257">
            <v>136.32669322709162</v>
          </cell>
          <cell r="D257">
            <v>173.50597609561751</v>
          </cell>
          <cell r="E257">
            <v>313.4329213312231</v>
          </cell>
          <cell r="F257">
            <v>365.72133230068732</v>
          </cell>
          <cell r="G257">
            <v>429.7225654533076</v>
          </cell>
          <cell r="H257">
            <v>494.18095027130369</v>
          </cell>
          <cell r="I257">
            <v>568.30809281199924</v>
          </cell>
          <cell r="J257">
            <v>653.55430673379908</v>
          </cell>
          <cell r="K257">
            <v>745.05190967653107</v>
          </cell>
          <cell r="L257">
            <v>849.35917703124551</v>
          </cell>
        </row>
        <row r="258">
          <cell r="A258" t="str">
            <v xml:space="preserve">Change Yr./Yr. </v>
          </cell>
          <cell r="C258">
            <v>-0.59244393096630499</v>
          </cell>
          <cell r="D258">
            <v>0.27272195920275877</v>
          </cell>
          <cell r="E258">
            <v>0.80646758333265223</v>
          </cell>
          <cell r="F258">
            <v>0.16682488472296741</v>
          </cell>
          <cell r="G258">
            <v>0.17500000000000004</v>
          </cell>
          <cell r="H258">
            <v>0.14999999999999991</v>
          </cell>
          <cell r="I258">
            <v>0.14999999999999991</v>
          </cell>
          <cell r="J258">
            <v>0.14999999999999991</v>
          </cell>
          <cell r="K258">
            <v>0.14000000000000012</v>
          </cell>
          <cell r="L258">
            <v>0.14000000000000012</v>
          </cell>
        </row>
        <row r="259">
          <cell r="A259" t="str">
            <v>($ Millions, Except Per Share Data)</v>
          </cell>
          <cell r="B259" t="str">
            <v>2002A</v>
          </cell>
          <cell r="C259" t="str">
            <v>2003A</v>
          </cell>
          <cell r="D259" t="str">
            <v>2004A</v>
          </cell>
          <cell r="E259" t="str">
            <v>2005E</v>
          </cell>
          <cell r="F259" t="str">
            <v>2006E</v>
          </cell>
          <cell r="G259" t="str">
            <v>2007E</v>
          </cell>
          <cell r="H259" t="str">
            <v>2008E</v>
          </cell>
          <cell r="I259" t="str">
            <v>2009E</v>
          </cell>
          <cell r="J259" t="str">
            <v>2010E</v>
          </cell>
          <cell r="K259" t="str">
            <v>2011E</v>
          </cell>
          <cell r="L259" t="str">
            <v>2012E</v>
          </cell>
        </row>
        <row r="260">
          <cell r="A260" t="str">
            <v>North American natural gas</v>
          </cell>
        </row>
        <row r="261">
          <cell r="A261" t="str">
            <v>TRANSACTION FEES - KEY DRIVERS/DETAILS</v>
          </cell>
          <cell r="B261" t="str">
            <v>2002A</v>
          </cell>
          <cell r="C261" t="str">
            <v>2003A</v>
          </cell>
          <cell r="D261" t="str">
            <v>2004A</v>
          </cell>
          <cell r="E261" t="str">
            <v>2005E</v>
          </cell>
          <cell r="F261" t="str">
            <v>2006E</v>
          </cell>
          <cell r="G261" t="str">
            <v>2007E</v>
          </cell>
          <cell r="H261" t="str">
            <v>2008E</v>
          </cell>
          <cell r="I261" t="str">
            <v>2009E</v>
          </cell>
          <cell r="J261" t="str">
            <v>2010E</v>
          </cell>
          <cell r="K261" t="str">
            <v>2011E</v>
          </cell>
          <cell r="L261" t="str">
            <v>2012E</v>
          </cell>
        </row>
        <row r="262">
          <cell r="A262" t="str">
            <v xml:space="preserve">Change Yr./Yr. </v>
          </cell>
          <cell r="C262">
            <v>-0.59818377344963558</v>
          </cell>
          <cell r="D262">
            <v>0.72748899726418448</v>
          </cell>
          <cell r="E262">
            <v>1.0413016552025569</v>
          </cell>
          <cell r="F262">
            <v>0.10347249105007017</v>
          </cell>
        </row>
        <row r="263">
          <cell r="A263" t="str">
            <v>OTC</v>
          </cell>
        </row>
        <row r="264">
          <cell r="A264" t="str">
            <v>Revenue Composition</v>
          </cell>
        </row>
        <row r="265">
          <cell r="A265" t="str">
            <v>North American natural gas</v>
          </cell>
          <cell r="B265">
            <v>41.844999999999999</v>
          </cell>
          <cell r="C265">
            <v>16.814</v>
          </cell>
          <cell r="D265">
            <v>29.045999999999999</v>
          </cell>
          <cell r="E265">
            <v>59.291647877013467</v>
          </cell>
          <cell r="F265">
            <v>65.426702381311657</v>
          </cell>
        </row>
        <row r="266">
          <cell r="A266" t="str">
            <v>North American power</v>
          </cell>
          <cell r="B266">
            <v>22.254999999999999</v>
          </cell>
          <cell r="C266">
            <v>5.7389999999999999</v>
          </cell>
          <cell r="D266">
            <v>9.4619999999999997</v>
          </cell>
          <cell r="E266">
            <v>15.565219328141183</v>
          </cell>
          <cell r="F266">
            <v>20.22001859365739</v>
          </cell>
        </row>
        <row r="267">
          <cell r="A267" t="str">
            <v>Global oil</v>
          </cell>
          <cell r="B267">
            <v>14.205</v>
          </cell>
          <cell r="C267">
            <v>8.8439999999999994</v>
          </cell>
          <cell r="D267">
            <v>3.9990000000000001</v>
          </cell>
          <cell r="E267">
            <v>2.2178817745362456</v>
          </cell>
          <cell r="F267">
            <v>4.7266312252325084</v>
          </cell>
        </row>
        <row r="268">
          <cell r="A268" t="str">
            <v>Other commodities markets</v>
          </cell>
          <cell r="B268">
            <v>5.6539999999999999</v>
          </cell>
          <cell r="C268">
            <v>2.8210000000000002</v>
          </cell>
          <cell r="D268">
            <v>1.0429999999999999</v>
          </cell>
          <cell r="E268">
            <v>1.596914274446094</v>
          </cell>
          <cell r="F268">
            <v>1.4455621575357587</v>
          </cell>
        </row>
        <row r="269">
          <cell r="A269" t="str">
            <v>Total OTC Trading Fee Revenues</v>
          </cell>
          <cell r="B269">
            <v>83.958999999999989</v>
          </cell>
          <cell r="C269">
            <v>34.217999999999996</v>
          </cell>
          <cell r="D269">
            <v>43.55</v>
          </cell>
          <cell r="E269">
            <v>78.671663254137002</v>
          </cell>
          <cell r="F269">
            <v>91.818914357737313</v>
          </cell>
          <cell r="G269">
            <v>107.86036392878022</v>
          </cell>
          <cell r="H269">
            <v>124.03941851809724</v>
          </cell>
          <cell r="I269">
            <v>142.64533129581181</v>
          </cell>
          <cell r="J269">
            <v>164.04213099018358</v>
          </cell>
          <cell r="K269">
            <v>187.0080293288093</v>
          </cell>
          <cell r="L269">
            <v>213.18915343484264</v>
          </cell>
        </row>
        <row r="270">
          <cell r="A270" t="str">
            <v>Other commodities markets</v>
          </cell>
          <cell r="B270">
            <v>5.6539999999999999</v>
          </cell>
          <cell r="C270">
            <v>2.8210000000000002</v>
          </cell>
          <cell r="D270">
            <v>1.0429999999999999</v>
          </cell>
          <cell r="E270">
            <v>1.596914274446094</v>
          </cell>
          <cell r="F270">
            <v>1.4455621575357587</v>
          </cell>
        </row>
        <row r="271">
          <cell r="A271" t="str">
            <v>Electronic trade confirmation services</v>
          </cell>
          <cell r="B271">
            <v>3.9E-2</v>
          </cell>
          <cell r="C271">
            <v>0.16500000000000001</v>
          </cell>
          <cell r="D271">
            <v>0.78900000000000003</v>
          </cell>
          <cell r="E271">
            <v>1.5965570734749996</v>
          </cell>
          <cell r="F271">
            <v>2.0731484536819766</v>
          </cell>
          <cell r="G271">
            <v>2.487778144418372</v>
          </cell>
          <cell r="H271">
            <v>2.9853337733020462</v>
          </cell>
          <cell r="I271">
            <v>3.5077671836299045</v>
          </cell>
          <cell r="J271">
            <v>4.1216264407651382</v>
          </cell>
          <cell r="K271">
            <v>4.8429110678990375</v>
          </cell>
          <cell r="L271">
            <v>5.6904205047813692</v>
          </cell>
        </row>
        <row r="272">
          <cell r="A272" t="str">
            <v>Order flow agreements shortfall payments</v>
          </cell>
          <cell r="B272">
            <v>3.2589999999999999</v>
          </cell>
          <cell r="C272">
            <v>7.0910000000000002</v>
          </cell>
          <cell r="D272">
            <v>1.0680000000000001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</row>
        <row r="273">
          <cell r="A273" t="str">
            <v>Total OTC</v>
          </cell>
          <cell r="B273">
            <v>87.256999999999991</v>
          </cell>
          <cell r="C273">
            <v>41.473999999999997</v>
          </cell>
          <cell r="D273">
            <v>45.406999999999996</v>
          </cell>
          <cell r="E273">
            <v>80.268220327611999</v>
          </cell>
          <cell r="F273">
            <v>93.892062811419294</v>
          </cell>
          <cell r="G273">
            <v>110.34814207319859</v>
          </cell>
          <cell r="H273">
            <v>127.02475229139928</v>
          </cell>
          <cell r="I273">
            <v>146.15309847944172</v>
          </cell>
          <cell r="J273">
            <v>168.16375743094872</v>
          </cell>
          <cell r="K273">
            <v>191.85094039670832</v>
          </cell>
          <cell r="L273">
            <v>218.87957393962401</v>
          </cell>
        </row>
        <row r="274">
          <cell r="A274" t="str">
            <v>Order flow agreements shortfall payments</v>
          </cell>
          <cell r="B274">
            <v>3.2589999999999999</v>
          </cell>
          <cell r="C274">
            <v>7.0910000000000002</v>
          </cell>
          <cell r="D274">
            <v>1.0680000000000001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</row>
        <row r="275">
          <cell r="A275" t="str">
            <v>Trading Data</v>
          </cell>
          <cell r="B275">
            <v>87.256999999999991</v>
          </cell>
          <cell r="C275">
            <v>41.473999999999997</v>
          </cell>
          <cell r="D275">
            <v>45.406999999999996</v>
          </cell>
          <cell r="E275">
            <v>80.268220327611999</v>
          </cell>
          <cell r="F275">
            <v>93.892062811419294</v>
          </cell>
          <cell r="G275">
            <v>110.34814207319859</v>
          </cell>
          <cell r="H275">
            <v>127.02475229139928</v>
          </cell>
          <cell r="I275">
            <v>146.15309847944172</v>
          </cell>
          <cell r="J275">
            <v>168.16375743094872</v>
          </cell>
          <cell r="K275">
            <v>191.85094039670832</v>
          </cell>
          <cell r="L275">
            <v>218.87957393962401</v>
          </cell>
        </row>
        <row r="276">
          <cell r="A276" t="str">
            <v>Total OTC</v>
          </cell>
          <cell r="B276">
            <v>251</v>
          </cell>
          <cell r="C276">
            <v>251</v>
          </cell>
          <cell r="D276">
            <v>251</v>
          </cell>
          <cell r="E276">
            <v>251</v>
          </cell>
          <cell r="F276">
            <v>251</v>
          </cell>
          <cell r="G276">
            <v>251</v>
          </cell>
          <cell r="H276">
            <v>251</v>
          </cell>
          <cell r="I276">
            <v>251</v>
          </cell>
          <cell r="J276">
            <v>251</v>
          </cell>
          <cell r="K276">
            <v>251</v>
          </cell>
          <cell r="L276">
            <v>251</v>
          </cell>
        </row>
        <row r="277">
          <cell r="A277" t="str">
            <v>Average daily trading fee revenue ($ Thous.)</v>
          </cell>
          <cell r="B277">
            <v>334.49800796812752</v>
          </cell>
          <cell r="C277">
            <v>136.32669322709162</v>
          </cell>
          <cell r="D277">
            <v>173.50597609561751</v>
          </cell>
          <cell r="E277">
            <v>313.4329213312231</v>
          </cell>
          <cell r="F277">
            <v>365.72133230068732</v>
          </cell>
          <cell r="G277">
            <v>429.7225654533076</v>
          </cell>
          <cell r="H277">
            <v>494.18095027130369</v>
          </cell>
          <cell r="I277">
            <v>568.30809281199924</v>
          </cell>
          <cell r="J277">
            <v>653.55430673379908</v>
          </cell>
          <cell r="K277">
            <v>745.05190967653107</v>
          </cell>
          <cell r="L277">
            <v>849.35917703124551</v>
          </cell>
        </row>
        <row r="278">
          <cell r="A278" t="str">
            <v xml:space="preserve">Change Yr./Yr. </v>
          </cell>
          <cell r="B278">
            <v>118.79399999999998</v>
          </cell>
          <cell r="C278">
            <v>-0.59244393096630499</v>
          </cell>
          <cell r="D278">
            <v>0.27272195920275877</v>
          </cell>
          <cell r="E278">
            <v>0.80646758333265223</v>
          </cell>
          <cell r="F278">
            <v>0.16682488472296741</v>
          </cell>
          <cell r="G278">
            <v>0.17500000000000004</v>
          </cell>
          <cell r="H278">
            <v>0.14999999999999991</v>
          </cell>
          <cell r="I278">
            <v>0.14999999999999991</v>
          </cell>
          <cell r="J278">
            <v>0.14999999999999991</v>
          </cell>
          <cell r="K278">
            <v>0.14000000000000012</v>
          </cell>
          <cell r="L278">
            <v>0.14000000000000012</v>
          </cell>
        </row>
        <row r="279">
          <cell r="A279" t="str">
            <v>Average daily trading fee revenue ($ Thous.)</v>
          </cell>
          <cell r="B279">
            <v>334.49800796812752</v>
          </cell>
          <cell r="C279">
            <v>136.32669322709162</v>
          </cell>
          <cell r="D279">
            <v>173.50597609561751</v>
          </cell>
          <cell r="E279">
            <v>313.4329213312231</v>
          </cell>
          <cell r="F279">
            <v>365.72133230068732</v>
          </cell>
          <cell r="G279">
            <v>429.7225654533076</v>
          </cell>
          <cell r="H279">
            <v>494.18095027130369</v>
          </cell>
          <cell r="I279">
            <v>568.30809281199924</v>
          </cell>
          <cell r="J279">
            <v>653.55430673379908</v>
          </cell>
          <cell r="K279">
            <v>745.05190967653107</v>
          </cell>
          <cell r="L279">
            <v>849.35917703124551</v>
          </cell>
        </row>
        <row r="280">
          <cell r="A280" t="str">
            <v>North American natural gas</v>
          </cell>
          <cell r="C280">
            <v>-0.59244393096630499</v>
          </cell>
          <cell r="D280">
            <v>0.27272195920275877</v>
          </cell>
          <cell r="E280">
            <v>0.80646758333265223</v>
          </cell>
          <cell r="F280">
            <v>0.16682488472296741</v>
          </cell>
          <cell r="G280">
            <v>0.17500000000000004</v>
          </cell>
          <cell r="H280">
            <v>0.14999999999999991</v>
          </cell>
          <cell r="I280">
            <v>0.14999999999999991</v>
          </cell>
          <cell r="J280">
            <v>0.14999999999999991</v>
          </cell>
          <cell r="K280">
            <v>0.14000000000000012</v>
          </cell>
          <cell r="L280">
            <v>0.14000000000000012</v>
          </cell>
        </row>
        <row r="281">
          <cell r="A281" t="str">
            <v>Average daily trading fee revenue ($ Thous.)</v>
          </cell>
          <cell r="B281">
            <v>166.71314741035857</v>
          </cell>
          <cell r="C281">
            <v>66.988047808764946</v>
          </cell>
          <cell r="D281">
            <v>115.7211155378486</v>
          </cell>
          <cell r="E281">
            <v>236.2217046892967</v>
          </cell>
          <cell r="F281">
            <v>260.66415291359226</v>
          </cell>
        </row>
        <row r="282">
          <cell r="A282" t="str">
            <v xml:space="preserve">Change Yr./Yr. </v>
          </cell>
          <cell r="C282">
            <v>-0.59818377344963558</v>
          </cell>
          <cell r="D282">
            <v>0.72748899726418448</v>
          </cell>
          <cell r="E282">
            <v>1.0413016552025569</v>
          </cell>
          <cell r="F282">
            <v>0.10347249105007017</v>
          </cell>
        </row>
        <row r="283">
          <cell r="A283" t="str">
            <v>Average daily trading fee revenue ($ Thous.)</v>
          </cell>
          <cell r="B283">
            <v>166.71314741035857</v>
          </cell>
          <cell r="C283">
            <v>66.988047808764946</v>
          </cell>
          <cell r="D283">
            <v>115.7211155378486</v>
          </cell>
          <cell r="E283">
            <v>236.2217046892967</v>
          </cell>
          <cell r="F283">
            <v>260.66415291359226</v>
          </cell>
        </row>
        <row r="284">
          <cell r="A284" t="str">
            <v>North American power</v>
          </cell>
          <cell r="C284">
            <v>-0.59818377344963558</v>
          </cell>
          <cell r="D284">
            <v>0.72748899726418448</v>
          </cell>
          <cell r="E284">
            <v>1.0413016552025569</v>
          </cell>
          <cell r="F284">
            <v>0.10347249105007017</v>
          </cell>
        </row>
        <row r="285">
          <cell r="A285" t="str">
            <v>Average daily trading fee revenue ($ Thous.)</v>
          </cell>
          <cell r="B285">
            <v>88.665338645418331</v>
          </cell>
          <cell r="C285">
            <v>22.864541832669321</v>
          </cell>
          <cell r="D285">
            <v>37.697211155378483</v>
          </cell>
          <cell r="E285">
            <v>62.012826008530602</v>
          </cell>
          <cell r="F285">
            <v>80.55784300261908</v>
          </cell>
        </row>
        <row r="286">
          <cell r="A286" t="str">
            <v xml:space="preserve">Change Yr./Yr. </v>
          </cell>
          <cell r="C286">
            <v>-0.7421253650864974</v>
          </cell>
          <cell r="D286">
            <v>0.64871928907475174</v>
          </cell>
          <cell r="E286">
            <v>0.64502423675134035</v>
          </cell>
          <cell r="F286">
            <v>0.29905131224849169</v>
          </cell>
        </row>
        <row r="287">
          <cell r="A287" t="str">
            <v>Average daily trading fee revenue ($ Thous.)</v>
          </cell>
          <cell r="B287">
            <v>88.665338645418331</v>
          </cell>
          <cell r="C287">
            <v>22.864541832669321</v>
          </cell>
          <cell r="D287">
            <v>37.697211155378483</v>
          </cell>
          <cell r="E287">
            <v>62.012826008530602</v>
          </cell>
          <cell r="F287">
            <v>80.55784300261908</v>
          </cell>
        </row>
        <row r="288">
          <cell r="A288" t="str">
            <v>Global oil</v>
          </cell>
          <cell r="C288">
            <v>-0.7421253650864974</v>
          </cell>
          <cell r="D288">
            <v>0.64871928907475174</v>
          </cell>
          <cell r="E288">
            <v>0.64502423675134035</v>
          </cell>
          <cell r="F288">
            <v>0.29905131224849169</v>
          </cell>
        </row>
        <row r="289">
          <cell r="A289" t="str">
            <v>Average daily trading fee revenue ($ Thous.)</v>
          </cell>
          <cell r="B289">
            <v>56.593625498007967</v>
          </cell>
          <cell r="C289">
            <v>35.235059760956176</v>
          </cell>
          <cell r="D289">
            <v>15.932270916334661</v>
          </cell>
          <cell r="E289">
            <v>8.8361823686703023</v>
          </cell>
          <cell r="F289">
            <v>18.831200100527923</v>
          </cell>
        </row>
        <row r="290">
          <cell r="A290" t="str">
            <v xml:space="preserve">Change Yr./Yr. </v>
          </cell>
          <cell r="C290">
            <v>-0.37740232312565991</v>
          </cell>
          <cell r="D290">
            <v>-0.54782903663500682</v>
          </cell>
          <cell r="E290">
            <v>-0.44539090409196147</v>
          </cell>
          <cell r="F290">
            <v>1.1311466100220047</v>
          </cell>
        </row>
        <row r="291">
          <cell r="A291" t="str">
            <v>Average daily trading fee revenue ($ Thous.)</v>
          </cell>
          <cell r="B291">
            <v>56.593625498007967</v>
          </cell>
          <cell r="C291">
            <v>35.235059760956176</v>
          </cell>
          <cell r="D291">
            <v>15.932270916334661</v>
          </cell>
          <cell r="E291">
            <v>8.8361823686703023</v>
          </cell>
          <cell r="F291">
            <v>18.831200100527923</v>
          </cell>
          <cell r="G291" t="str">
            <v>2007E</v>
          </cell>
          <cell r="H291" t="str">
            <v>2008E</v>
          </cell>
          <cell r="I291" t="str">
            <v>2009E</v>
          </cell>
          <cell r="J291" t="str">
            <v>2010E</v>
          </cell>
          <cell r="K291" t="str">
            <v>2011E</v>
          </cell>
          <cell r="L291" t="str">
            <v>2012E</v>
          </cell>
        </row>
        <row r="292">
          <cell r="A292" t="str">
            <v>Other commodities markets</v>
          </cell>
          <cell r="C292">
            <v>-0.37740232312565991</v>
          </cell>
          <cell r="D292">
            <v>-0.54782903663500682</v>
          </cell>
          <cell r="E292">
            <v>-0.44539090409196147</v>
          </cell>
          <cell r="F292">
            <v>1.1311466100220047</v>
          </cell>
        </row>
        <row r="293">
          <cell r="A293" t="str">
            <v>Average daily trading fee revenue ($ Thous.)</v>
          </cell>
          <cell r="B293">
            <v>22.525896414342629</v>
          </cell>
          <cell r="C293">
            <v>11.239043824701195</v>
          </cell>
          <cell r="D293">
            <v>4.1553784860557768</v>
          </cell>
          <cell r="E293">
            <v>6.3622082647254743</v>
          </cell>
          <cell r="F293">
            <v>5.7592117830109908</v>
          </cell>
        </row>
        <row r="294">
          <cell r="A294" t="str">
            <v xml:space="preserve">Change Yr./Yr. </v>
          </cell>
          <cell r="C294">
            <v>-0.50106119561372475</v>
          </cell>
          <cell r="D294">
            <v>-0.63027295285359797</v>
          </cell>
          <cell r="E294">
            <v>0.53107792372588114</v>
          </cell>
          <cell r="F294">
            <v>-9.4777859608546233E-2</v>
          </cell>
        </row>
        <row r="295">
          <cell r="A295" t="str">
            <v>Average daily trading fee revenue ($ Thous.)</v>
          </cell>
          <cell r="B295">
            <v>22.525896414342629</v>
          </cell>
          <cell r="C295">
            <v>11.239043824701195</v>
          </cell>
          <cell r="D295">
            <v>4.1553784860557768</v>
          </cell>
          <cell r="E295">
            <v>6.3622082647254743</v>
          </cell>
          <cell r="F295">
            <v>5.7592117830109908</v>
          </cell>
        </row>
        <row r="296">
          <cell r="A296" t="str">
            <v>OTC trading days</v>
          </cell>
          <cell r="B296">
            <v>251</v>
          </cell>
          <cell r="C296">
            <v>251</v>
          </cell>
          <cell r="D296">
            <v>251</v>
          </cell>
          <cell r="E296">
            <v>251</v>
          </cell>
          <cell r="F296">
            <v>251</v>
          </cell>
          <cell r="G296">
            <v>251</v>
          </cell>
          <cell r="H296">
            <v>251</v>
          </cell>
          <cell r="I296">
            <v>251</v>
          </cell>
          <cell r="J296">
            <v>251</v>
          </cell>
          <cell r="K296">
            <v>251</v>
          </cell>
          <cell r="L296">
            <v>251</v>
          </cell>
          <cell r="AJ296" t="str">
            <v>mstag:cashAndCashEquivalents</v>
          </cell>
          <cell r="AK296">
            <v>6</v>
          </cell>
          <cell r="AL296" t="str">
            <v>ISO4217:USD</v>
          </cell>
          <cell r="AM296" t="b">
            <v>0</v>
          </cell>
          <cell r="AN296" t="b">
            <v>0</v>
          </cell>
        </row>
        <row r="297">
          <cell r="A297" t="str">
            <v>Restricted cash</v>
          </cell>
          <cell r="C297">
            <v>12.797000000000001</v>
          </cell>
          <cell r="D297">
            <v>18.420999999999999</v>
          </cell>
          <cell r="E297">
            <v>26.682819870114333</v>
          </cell>
          <cell r="F297">
            <v>32.378014460375297</v>
          </cell>
          <cell r="G297">
            <v>38.184260931630831</v>
          </cell>
          <cell r="H297">
            <v>44.533432295317255</v>
          </cell>
          <cell r="I297">
            <v>51.420047462252874</v>
          </cell>
          <cell r="J297">
            <v>58.806312637541019</v>
          </cell>
          <cell r="K297">
            <v>67.003214491437276</v>
          </cell>
          <cell r="L297">
            <v>76.349895612705339</v>
          </cell>
          <cell r="AJ297" t="str">
            <v>mstag:cashAndCashEquivalents</v>
          </cell>
          <cell r="AK297">
            <v>6</v>
          </cell>
          <cell r="AL297" t="str">
            <v>ISO4217:USD</v>
          </cell>
          <cell r="AM297" t="b">
            <v>0</v>
          </cell>
          <cell r="AN297" t="b">
            <v>0</v>
          </cell>
        </row>
        <row r="298">
          <cell r="A298" t="str">
            <v>TOTAL TRANSACTION FEES, NET</v>
          </cell>
          <cell r="B298">
            <v>118.79399999999998</v>
          </cell>
          <cell r="C298">
            <v>81.433999999999997</v>
          </cell>
          <cell r="D298">
            <v>90.906000000000006</v>
          </cell>
          <cell r="E298">
            <v>138.26340181273699</v>
          </cell>
          <cell r="F298">
            <v>184.55725178612667</v>
          </cell>
          <cell r="G298">
            <v>224.10020043241946</v>
          </cell>
          <cell r="H298">
            <v>268.79415783154377</v>
          </cell>
          <cell r="I298">
            <v>311.93517948444821</v>
          </cell>
          <cell r="J298">
            <v>358.81315058670612</v>
          </cell>
          <cell r="K298">
            <v>411.09774252582929</v>
          </cell>
          <cell r="L298">
            <v>471.01339638811316</v>
          </cell>
          <cell r="AJ298" t="str">
            <v>mstag:investmentsNonOperating</v>
          </cell>
          <cell r="AK298">
            <v>6</v>
          </cell>
          <cell r="AL298" t="str">
            <v>ISO4217:USD</v>
          </cell>
          <cell r="AM298" t="b">
            <v>0</v>
          </cell>
          <cell r="AN298" t="b">
            <v>0</v>
          </cell>
        </row>
        <row r="299">
          <cell r="A299" t="str">
            <v>Restricted short-term investments</v>
          </cell>
          <cell r="C299">
            <v>24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AJ299" t="str">
            <v>mstag:investmentsNonOperating</v>
          </cell>
          <cell r="AK299">
            <v>6</v>
          </cell>
          <cell r="AL299" t="str">
            <v>ISO4217:USD</v>
          </cell>
          <cell r="AM299" t="b">
            <v>0</v>
          </cell>
          <cell r="AN299" t="b">
            <v>0</v>
          </cell>
        </row>
        <row r="300">
          <cell r="A300" t="str">
            <v>A = Actual    E = Morgan Stanley Research Estimate</v>
          </cell>
          <cell r="B300">
            <v>118.79399999999998</v>
          </cell>
          <cell r="C300">
            <v>81.433999999999997</v>
          </cell>
          <cell r="D300">
            <v>90.906000000000006</v>
          </cell>
          <cell r="E300">
            <v>138.26340181273699</v>
          </cell>
          <cell r="F300">
            <v>184.55725178612667</v>
          </cell>
          <cell r="G300">
            <v>224.10020043241946</v>
          </cell>
          <cell r="H300">
            <v>268.79415783154377</v>
          </cell>
          <cell r="I300">
            <v>311.93517948444821</v>
          </cell>
          <cell r="J300">
            <v>358.81315058670612</v>
          </cell>
          <cell r="K300">
            <v>411.09774252582929</v>
          </cell>
          <cell r="L300">
            <v>471.01339638811316</v>
          </cell>
        </row>
        <row r="301">
          <cell r="A301" t="str">
            <v>Source: Company data, Morgan Stanley Research</v>
          </cell>
          <cell r="C301">
            <v>6.8540000000000001</v>
          </cell>
          <cell r="D301">
            <v>8.33</v>
          </cell>
          <cell r="E301">
            <v>12.066005619567472</v>
          </cell>
          <cell r="F301">
            <v>14.641379971495915</v>
          </cell>
          <cell r="G301">
            <v>17.266972127489542</v>
          </cell>
          <cell r="H301">
            <v>20.138075621301383</v>
          </cell>
          <cell r="I301">
            <v>23.252211897321885</v>
          </cell>
          <cell r="J301">
            <v>26.592290552669059</v>
          </cell>
          <cell r="K301">
            <v>30.298940161428401</v>
          </cell>
          <cell r="L301">
            <v>34.525521440412334</v>
          </cell>
          <cell r="AJ301" t="str">
            <v>mstag:tradeReceivables</v>
          </cell>
          <cell r="AK301">
            <v>6</v>
          </cell>
          <cell r="AL301" t="str">
            <v>ISO4217:USD</v>
          </cell>
          <cell r="AM301" t="b">
            <v>0</v>
          </cell>
          <cell r="AN301" t="b">
            <v>0</v>
          </cell>
        </row>
        <row r="302">
          <cell r="A302" t="str">
            <v>A = Actual    E = Morgan Stanley Research Estimate</v>
          </cell>
          <cell r="C302">
            <v>1.0860000000000001</v>
          </cell>
          <cell r="D302">
            <v>1.278</v>
          </cell>
          <cell r="E302">
            <v>1.8511830950548891</v>
          </cell>
          <cell r="F302">
            <v>2.2463005526496733</v>
          </cell>
          <cell r="G302">
            <v>2.6491224944695837</v>
          </cell>
          <cell r="H302">
            <v>3.0896111217314726</v>
          </cell>
          <cell r="I302">
            <v>3.5673861710417012</v>
          </cell>
          <cell r="J302">
            <v>4.0798256094010874</v>
          </cell>
          <cell r="K302">
            <v>4.6485048651027006</v>
          </cell>
          <cell r="L302">
            <v>5.2969527492013162</v>
          </cell>
          <cell r="AJ302" t="str">
            <v>mstag:tradeReceivables</v>
          </cell>
          <cell r="AK302">
            <v>6</v>
          </cell>
          <cell r="AL302" t="str">
            <v>ISO4217:USD</v>
          </cell>
          <cell r="AM302" t="b">
            <v>0</v>
          </cell>
          <cell r="AN302" t="b">
            <v>0</v>
          </cell>
        </row>
        <row r="303">
          <cell r="A303" t="str">
            <v>Source: Company data, Morgan Stanley Research</v>
          </cell>
          <cell r="C303">
            <v>0.34499999999999997</v>
          </cell>
          <cell r="D303">
            <v>0.42599999999999999</v>
          </cell>
          <cell r="E303">
            <v>0.61706103168496296</v>
          </cell>
          <cell r="F303">
            <v>0.74876685088322437</v>
          </cell>
          <cell r="G303">
            <v>0.88304083148986101</v>
          </cell>
          <cell r="H303">
            <v>1.0298703739104906</v>
          </cell>
          <cell r="I303">
            <v>1.1891287236805668</v>
          </cell>
          <cell r="J303">
            <v>1.3599418698003622</v>
          </cell>
          <cell r="K303">
            <v>1.5495016217008999</v>
          </cell>
          <cell r="L303">
            <v>1.7656509164004384</v>
          </cell>
          <cell r="AJ303" t="str">
            <v>mstag:deferredTaxAssets</v>
          </cell>
          <cell r="AK303">
            <v>6</v>
          </cell>
          <cell r="AL303" t="str">
            <v>ISO4217:USD</v>
          </cell>
          <cell r="AM303" t="b">
            <v>0</v>
          </cell>
          <cell r="AN303" t="b">
            <v>0</v>
          </cell>
        </row>
        <row r="304">
          <cell r="A304" t="str">
            <v>Prepaid expenses and other current assets</v>
          </cell>
          <cell r="C304">
            <v>3.8980000000000001</v>
          </cell>
          <cell r="D304">
            <v>4.6879999999999997</v>
          </cell>
          <cell r="E304">
            <v>6.7905683486833492</v>
          </cell>
          <cell r="F304">
            <v>8.2399506970435592</v>
          </cell>
          <cell r="G304">
            <v>9.7175948779917132</v>
          </cell>
          <cell r="H304">
            <v>11.333409185193382</v>
          </cell>
          <cell r="I304">
            <v>13.08599872444718</v>
          </cell>
          <cell r="J304">
            <v>14.965745271418074</v>
          </cell>
          <cell r="K304">
            <v>17.051792494210847</v>
          </cell>
          <cell r="L304">
            <v>19.430449521326896</v>
          </cell>
          <cell r="AJ304" t="str">
            <v>mstag:otherAssets</v>
          </cell>
          <cell r="AK304">
            <v>6</v>
          </cell>
          <cell r="AL304" t="str">
            <v>ISO4217:USD</v>
          </cell>
          <cell r="AM304" t="b">
            <v>0</v>
          </cell>
          <cell r="AN304" t="b">
            <v>0</v>
          </cell>
        </row>
        <row r="305">
          <cell r="A305" t="str">
            <v>Table XX</v>
          </cell>
          <cell r="C305">
            <v>105.89299999999999</v>
          </cell>
          <cell r="D305">
            <v>100.04200000000002</v>
          </cell>
          <cell r="E305">
            <v>184.86480623868457</v>
          </cell>
          <cell r="F305">
            <v>254.84108477067079</v>
          </cell>
          <cell r="G305">
            <v>297.23206433411877</v>
          </cell>
          <cell r="H305">
            <v>355.23165650782516</v>
          </cell>
          <cell r="I305">
            <v>367.99444980932134</v>
          </cell>
          <cell r="J305">
            <v>388.39903647692108</v>
          </cell>
          <cell r="K305">
            <v>420.55152675937882</v>
          </cell>
          <cell r="L305">
            <v>451.1754850045017</v>
          </cell>
        </row>
        <row r="306">
          <cell r="A306" t="str">
            <v>IntercontinentalExchange, Inc.</v>
          </cell>
        </row>
        <row r="307">
          <cell r="A307" t="str">
            <v>Balance Sheet, 2002A-2012E</v>
          </cell>
          <cell r="C307">
            <v>25.625</v>
          </cell>
          <cell r="D307">
            <v>19.364000000000001</v>
          </cell>
          <cell r="E307">
            <v>20.3322</v>
          </cell>
          <cell r="F307">
            <v>21.34881</v>
          </cell>
          <cell r="G307">
            <v>22.4162505</v>
          </cell>
          <cell r="H307">
            <v>23.537063025000002</v>
          </cell>
          <cell r="I307">
            <v>24.713916176250002</v>
          </cell>
          <cell r="J307">
            <v>25.949611985062504</v>
          </cell>
          <cell r="K307">
            <v>25.949611985062504</v>
          </cell>
          <cell r="L307">
            <v>25.949611985062504</v>
          </cell>
          <cell r="AJ307" t="str">
            <v>mstag:propertyPlantAndEquipmentNet</v>
          </cell>
          <cell r="AK307">
            <v>6</v>
          </cell>
          <cell r="AL307" t="str">
            <v>ISO4217:USD</v>
          </cell>
          <cell r="AM307" t="b">
            <v>0</v>
          </cell>
          <cell r="AN307" t="b">
            <v>0</v>
          </cell>
        </row>
        <row r="308">
          <cell r="A308" t="str">
            <v>IntercontinentalExchange, Inc.</v>
          </cell>
          <cell r="E308">
            <v>0.05</v>
          </cell>
          <cell r="F308">
            <v>0.05</v>
          </cell>
          <cell r="G308">
            <v>0.05</v>
          </cell>
          <cell r="H308">
            <v>0.05</v>
          </cell>
          <cell r="I308">
            <v>0.05</v>
          </cell>
          <cell r="J308">
            <v>0.05</v>
          </cell>
          <cell r="K308">
            <v>0.05</v>
          </cell>
          <cell r="L308">
            <v>0.05</v>
          </cell>
        </row>
        <row r="309">
          <cell r="A309" t="str">
            <v>($ Millions, Except Per Share Data)</v>
          </cell>
          <cell r="C309">
            <v>76.799000000000007</v>
          </cell>
          <cell r="D309">
            <v>82.453999999999994</v>
          </cell>
          <cell r="E309">
            <v>81.283000000000001</v>
          </cell>
          <cell r="F309">
            <v>81.283000000000001</v>
          </cell>
          <cell r="G309">
            <v>81.283000000000001</v>
          </cell>
          <cell r="H309">
            <v>81.283000000000001</v>
          </cell>
          <cell r="I309">
            <v>81.283000000000001</v>
          </cell>
          <cell r="J309">
            <v>81.283000000000001</v>
          </cell>
          <cell r="K309">
            <v>81.283000000000001</v>
          </cell>
          <cell r="L309">
            <v>81.283000000000001</v>
          </cell>
          <cell r="AJ309" t="str">
            <v>mstag:goodwill</v>
          </cell>
          <cell r="AK309">
            <v>6</v>
          </cell>
          <cell r="AL309" t="str">
            <v>ISO4217:USD</v>
          </cell>
          <cell r="AM309" t="b">
            <v>0</v>
          </cell>
          <cell r="AN309" t="b">
            <v>0</v>
          </cell>
        </row>
        <row r="310">
          <cell r="A310" t="str">
            <v>Other intangible assets, net</v>
          </cell>
          <cell r="C310">
            <v>4.649</v>
          </cell>
          <cell r="D310">
            <v>3.621</v>
          </cell>
          <cell r="E310">
            <v>3.2480000000000002</v>
          </cell>
          <cell r="F310">
            <v>3.2480000000000002</v>
          </cell>
          <cell r="G310">
            <v>3.2480000000000002</v>
          </cell>
          <cell r="H310">
            <v>3.2480000000000002</v>
          </cell>
          <cell r="I310">
            <v>3.2480000000000002</v>
          </cell>
          <cell r="J310">
            <v>3.2480000000000002</v>
          </cell>
          <cell r="K310">
            <v>3.2480000000000002</v>
          </cell>
          <cell r="L310">
            <v>3.2480000000000002</v>
          </cell>
          <cell r="AJ310" t="str">
            <v>mstag:otherIntangibleAssets</v>
          </cell>
          <cell r="AK310">
            <v>6</v>
          </cell>
          <cell r="AL310" t="str">
            <v>ISO4217:USD</v>
          </cell>
          <cell r="AM310" t="b">
            <v>0</v>
          </cell>
          <cell r="AN310" t="b">
            <v>0</v>
          </cell>
        </row>
        <row r="311">
          <cell r="A311" t="str">
            <v>($ Millions, Except Per Share Data)</v>
          </cell>
          <cell r="B311" t="str">
            <v>2002A</v>
          </cell>
          <cell r="C311" t="str">
            <v>2003A</v>
          </cell>
          <cell r="D311" t="str">
            <v>2004A</v>
          </cell>
          <cell r="E311" t="str">
            <v>2005E</v>
          </cell>
          <cell r="F311" t="str">
            <v>2006E</v>
          </cell>
          <cell r="G311" t="str">
            <v>2007E</v>
          </cell>
          <cell r="H311" t="str">
            <v>2008E</v>
          </cell>
          <cell r="I311" t="str">
            <v>2009E</v>
          </cell>
          <cell r="J311" t="str">
            <v>2010E</v>
          </cell>
          <cell r="K311" t="str">
            <v>2011E</v>
          </cell>
          <cell r="L311" t="str">
            <v>2012E</v>
          </cell>
          <cell r="AJ311" t="str">
            <v>mstag:otherIntangibleAssets</v>
          </cell>
          <cell r="AK311">
            <v>6</v>
          </cell>
          <cell r="AL311" t="str">
            <v>ISO4217:USD</v>
          </cell>
          <cell r="AM311" t="b">
            <v>0</v>
          </cell>
          <cell r="AN311" t="b">
            <v>0</v>
          </cell>
        </row>
        <row r="312">
          <cell r="A312" t="str">
            <v>Total Assets</v>
          </cell>
          <cell r="B312">
            <v>170.053</v>
          </cell>
          <cell r="C312">
            <v>214.87899999999999</v>
          </cell>
          <cell r="D312">
            <v>207.51800000000003</v>
          </cell>
          <cell r="E312">
            <v>292.72860089019224</v>
          </cell>
          <cell r="F312">
            <v>364.35126583933072</v>
          </cell>
          <cell r="G312">
            <v>408.45174247201749</v>
          </cell>
          <cell r="H312">
            <v>468.2742405461014</v>
          </cell>
          <cell r="I312">
            <v>482.97541107979043</v>
          </cell>
          <cell r="J312">
            <v>505.43246909293038</v>
          </cell>
          <cell r="K312">
            <v>538.49137537215199</v>
          </cell>
          <cell r="L312">
            <v>570.14889256869026</v>
          </cell>
        </row>
        <row r="313">
          <cell r="A313" t="str">
            <v>Assets</v>
          </cell>
          <cell r="B313" t="str">
            <v>2002A</v>
          </cell>
          <cell r="C313" t="str">
            <v>2003A</v>
          </cell>
          <cell r="D313" t="str">
            <v>2004A</v>
          </cell>
          <cell r="E313">
            <v>97.199399999999997</v>
          </cell>
          <cell r="F313" t="str">
            <v>2006E</v>
          </cell>
          <cell r="G313" t="str">
            <v>2007E</v>
          </cell>
          <cell r="H313" t="str">
            <v>2008E</v>
          </cell>
          <cell r="I313" t="str">
            <v>2009E</v>
          </cell>
          <cell r="J313" t="str">
            <v>2010E</v>
          </cell>
          <cell r="K313" t="str">
            <v>2011E</v>
          </cell>
          <cell r="L313" t="str">
            <v>2012E</v>
          </cell>
        </row>
        <row r="314">
          <cell r="A314" t="str">
            <v>Current assets:</v>
          </cell>
          <cell r="E314" t="str">
            <v>Incorporate placeholder for IPO proceeds into cash balance; need to get target amount of primary and hook into capital management section.</v>
          </cell>
        </row>
        <row r="315">
          <cell r="A315" t="str">
            <v>Assets</v>
          </cell>
          <cell r="E315">
            <v>151.14675605184988</v>
          </cell>
        </row>
        <row r="316">
          <cell r="A316" t="str">
            <v>Cash and cash equivalents</v>
          </cell>
          <cell r="C316">
            <v>44.912999999999997</v>
          </cell>
          <cell r="D316">
            <v>61.198999999999998</v>
          </cell>
          <cell r="E316">
            <v>130.85716827357956</v>
          </cell>
          <cell r="F316">
            <v>198.00621679796618</v>
          </cell>
          <cell r="G316">
            <v>235.2582281112177</v>
          </cell>
          <cell r="H316">
            <v>290.6449605880037</v>
          </cell>
          <cell r="I316">
            <v>291.95278365748237</v>
          </cell>
          <cell r="J316">
            <v>301.16401861673353</v>
          </cell>
          <cell r="K316">
            <v>322.22692021293511</v>
          </cell>
          <cell r="L316">
            <v>339.08980757251248</v>
          </cell>
          <cell r="AJ316" t="str">
            <v>mstag:cashAndCashEquivalents</v>
          </cell>
          <cell r="AK316">
            <v>6</v>
          </cell>
          <cell r="AL316" t="str">
            <v>ISO4217:USD</v>
          </cell>
          <cell r="AM316" t="b">
            <v>0</v>
          </cell>
          <cell r="AN316" t="b">
            <v>0</v>
          </cell>
        </row>
        <row r="317">
          <cell r="A317" t="str">
            <v>Restricted cash</v>
          </cell>
          <cell r="C317">
            <v>12.797000000000001</v>
          </cell>
          <cell r="D317">
            <v>18.420999999999999</v>
          </cell>
          <cell r="E317">
            <v>26.682819870114333</v>
          </cell>
          <cell r="F317">
            <v>34.819086821038375</v>
          </cell>
          <cell r="G317">
            <v>41.952359206479869</v>
          </cell>
          <cell r="H317">
            <v>49.950073565412744</v>
          </cell>
          <cell r="I317">
            <v>57.649184922862688</v>
          </cell>
          <cell r="J317">
            <v>65.9698207172423</v>
          </cell>
          <cell r="K317">
            <v>75.241248783093752</v>
          </cell>
          <cell r="L317">
            <v>85.823635048110305</v>
          </cell>
          <cell r="AJ317" t="str">
            <v>mstag:cashAndCashEquivalents</v>
          </cell>
          <cell r="AK317">
            <v>6</v>
          </cell>
          <cell r="AL317" t="str">
            <v>ISO4217:USD</v>
          </cell>
          <cell r="AM317" t="b">
            <v>0</v>
          </cell>
          <cell r="AN317" t="b">
            <v>0</v>
          </cell>
        </row>
        <row r="318">
          <cell r="A318" t="str">
            <v>Short-term investments</v>
          </cell>
          <cell r="C318">
            <v>12</v>
          </cell>
          <cell r="D318">
            <v>5.7</v>
          </cell>
          <cell r="E318">
            <v>6</v>
          </cell>
          <cell r="F318">
            <v>6</v>
          </cell>
          <cell r="G318">
            <v>6</v>
          </cell>
          <cell r="H318">
            <v>6</v>
          </cell>
          <cell r="I318">
            <v>6</v>
          </cell>
          <cell r="J318">
            <v>6</v>
          </cell>
          <cell r="K318">
            <v>6</v>
          </cell>
          <cell r="L318">
            <v>6</v>
          </cell>
          <cell r="AJ318" t="str">
            <v>mstag:investmentsNonOperating</v>
          </cell>
          <cell r="AK318">
            <v>6</v>
          </cell>
          <cell r="AL318" t="str">
            <v>ISO4217:USD</v>
          </cell>
          <cell r="AM318" t="b">
            <v>0</v>
          </cell>
          <cell r="AN318" t="b">
            <v>0</v>
          </cell>
        </row>
        <row r="319">
          <cell r="A319" t="str">
            <v>Restricted short-term investments</v>
          </cell>
          <cell r="C319">
            <v>24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AJ319" t="str">
            <v>mstag:investmentsNonOperating</v>
          </cell>
          <cell r="AK319">
            <v>6</v>
          </cell>
          <cell r="AL319" t="str">
            <v>ISO4217:USD</v>
          </cell>
          <cell r="AM319" t="b">
            <v>0</v>
          </cell>
          <cell r="AN319" t="b">
            <v>0</v>
          </cell>
        </row>
        <row r="320">
          <cell r="A320" t="str">
            <v>Customer accounts receivable</v>
          </cell>
          <cell r="C320">
            <v>12</v>
          </cell>
          <cell r="D320">
            <v>5.7</v>
          </cell>
          <cell r="E320">
            <v>6</v>
          </cell>
          <cell r="F320">
            <v>6</v>
          </cell>
          <cell r="G320">
            <v>6</v>
          </cell>
          <cell r="H320">
            <v>6</v>
          </cell>
          <cell r="I320">
            <v>6</v>
          </cell>
          <cell r="J320">
            <v>6</v>
          </cell>
          <cell r="K320">
            <v>6</v>
          </cell>
          <cell r="L320">
            <v>6</v>
          </cell>
          <cell r="AJ320" t="str">
            <v>mstag:investmentsNonOperating</v>
          </cell>
          <cell r="AK320">
            <v>6</v>
          </cell>
          <cell r="AL320" t="str">
            <v>ISO4217:USD</v>
          </cell>
          <cell r="AM320" t="b">
            <v>0</v>
          </cell>
          <cell r="AN320" t="b">
            <v>0</v>
          </cell>
        </row>
        <row r="321">
          <cell r="A321" t="str">
            <v>Trade, net of allowance for doubtful accounts</v>
          </cell>
          <cell r="C321">
            <v>6.8540000000000001</v>
          </cell>
          <cell r="D321">
            <v>8.33</v>
          </cell>
          <cell r="E321">
            <v>12.066005619567472</v>
          </cell>
          <cell r="F321">
            <v>15.745236046862258</v>
          </cell>
          <cell r="G321">
            <v>18.970911035773156</v>
          </cell>
          <cell r="H321">
            <v>22.587487801959078</v>
          </cell>
          <cell r="I321">
            <v>26.069035905078238</v>
          </cell>
          <cell r="J321">
            <v>29.831638161588863</v>
          </cell>
          <cell r="K321">
            <v>34.024189911686172</v>
          </cell>
          <cell r="L321">
            <v>38.809558653208775</v>
          </cell>
          <cell r="AJ321" t="str">
            <v>mstag:tradeReceivables</v>
          </cell>
          <cell r="AK321">
            <v>6</v>
          </cell>
          <cell r="AL321" t="str">
            <v>ISO4217:USD</v>
          </cell>
          <cell r="AM321" t="b">
            <v>0</v>
          </cell>
          <cell r="AN321" t="b">
            <v>0</v>
          </cell>
        </row>
        <row r="322">
          <cell r="A322" t="str">
            <v>Related-parties</v>
          </cell>
          <cell r="C322">
            <v>1.0860000000000001</v>
          </cell>
          <cell r="D322">
            <v>1.278</v>
          </cell>
          <cell r="E322">
            <v>1.8511830950548891</v>
          </cell>
          <cell r="F322">
            <v>2.4156556624117602</v>
          </cell>
          <cell r="G322">
            <v>2.9105431336996506</v>
          </cell>
          <cell r="H322">
            <v>3.4654032906246939</v>
          </cell>
          <cell r="I322">
            <v>3.9995471652689054</v>
          </cell>
          <cell r="J322">
            <v>4.5768107527623725</v>
          </cell>
          <cell r="K322">
            <v>5.2200377799681785</v>
          </cell>
          <cell r="L322">
            <v>5.9542156012966165</v>
          </cell>
          <cell r="AJ322" t="str">
            <v>mstag:tradeReceivables</v>
          </cell>
          <cell r="AK322">
            <v>6</v>
          </cell>
          <cell r="AL322" t="str">
            <v>ISO4217:USD</v>
          </cell>
          <cell r="AM322" t="b">
            <v>0</v>
          </cell>
          <cell r="AN322" t="b">
            <v>0</v>
          </cell>
        </row>
        <row r="323">
          <cell r="A323" t="str">
            <v>Deferred tax asset, net</v>
          </cell>
          <cell r="C323">
            <v>0.34499999999999997</v>
          </cell>
          <cell r="D323">
            <v>0.42599999999999999</v>
          </cell>
          <cell r="E323">
            <v>0.61706103168496296</v>
          </cell>
          <cell r="F323">
            <v>0.80521855413725341</v>
          </cell>
          <cell r="G323">
            <v>0.97018104456655019</v>
          </cell>
          <cell r="H323">
            <v>1.1551344302082311</v>
          </cell>
          <cell r="I323">
            <v>1.3331823884229683</v>
          </cell>
          <cell r="J323">
            <v>1.525603584254124</v>
          </cell>
          <cell r="K323">
            <v>1.740012593322726</v>
          </cell>
          <cell r="L323">
            <v>1.9847385337655385</v>
          </cell>
          <cell r="AJ323" t="str">
            <v>mstag:deferredTaxAssets</v>
          </cell>
          <cell r="AK323">
            <v>6</v>
          </cell>
          <cell r="AL323" t="str">
            <v>ISO4217:USD</v>
          </cell>
          <cell r="AM323" t="b">
            <v>0</v>
          </cell>
          <cell r="AN323" t="b">
            <v>0</v>
          </cell>
        </row>
        <row r="324">
          <cell r="A324" t="str">
            <v>Prepaid expenses and other current assets</v>
          </cell>
          <cell r="C324">
            <v>3.8980000000000001</v>
          </cell>
          <cell r="D324">
            <v>4.6879999999999997</v>
          </cell>
          <cell r="E324">
            <v>6.7905683486833492</v>
          </cell>
          <cell r="F324">
            <v>8.861184464308554</v>
          </cell>
          <cell r="G324">
            <v>10.676546330816873</v>
          </cell>
          <cell r="H324">
            <v>12.71190189862955</v>
          </cell>
          <cell r="I324">
            <v>14.671265344898771</v>
          </cell>
          <cell r="J324">
            <v>16.788801884937403</v>
          </cell>
          <cell r="K324">
            <v>19.148307599758073</v>
          </cell>
          <cell r="L324">
            <v>21.841441892706211</v>
          </cell>
          <cell r="AJ324" t="str">
            <v>mstag:otherAssets</v>
          </cell>
          <cell r="AK324">
            <v>6</v>
          </cell>
          <cell r="AL324" t="str">
            <v>ISO4217:USD</v>
          </cell>
          <cell r="AM324" t="b">
            <v>0</v>
          </cell>
          <cell r="AN324" t="b">
            <v>0</v>
          </cell>
        </row>
        <row r="325">
          <cell r="A325" t="str">
            <v>Total current assets</v>
          </cell>
          <cell r="C325">
            <v>105.89299999999999</v>
          </cell>
          <cell r="D325">
            <v>100.04200000000002</v>
          </cell>
          <cell r="E325">
            <v>184.86480623868457</v>
          </cell>
          <cell r="F325">
            <v>266.6525983467244</v>
          </cell>
          <cell r="G325">
            <v>316.7387688625538</v>
          </cell>
          <cell r="H325">
            <v>386.51496157483803</v>
          </cell>
          <cell r="I325">
            <v>401.67499938401392</v>
          </cell>
          <cell r="J325">
            <v>425.85669371751857</v>
          </cell>
          <cell r="K325">
            <v>463.60071688076397</v>
          </cell>
          <cell r="L325">
            <v>499.50339730159993</v>
          </cell>
          <cell r="AJ325" t="str">
            <v>mstag:deferredTaxAssets</v>
          </cell>
          <cell r="AK325">
            <v>6</v>
          </cell>
          <cell r="AL325" t="str">
            <v>ISO4217:USD</v>
          </cell>
          <cell r="AM325" t="b">
            <v>0</v>
          </cell>
          <cell r="AN325" t="b">
            <v>0</v>
          </cell>
        </row>
        <row r="326">
          <cell r="A326" t="str">
            <v>Prepaid expenses and other current assets</v>
          </cell>
          <cell r="C326">
            <v>3.8980000000000001</v>
          </cell>
          <cell r="D326">
            <v>4.6879999999999997</v>
          </cell>
          <cell r="E326">
            <v>6.7905683486833492</v>
          </cell>
          <cell r="F326">
            <v>8.861184464308554</v>
          </cell>
          <cell r="G326">
            <v>10.676546330816873</v>
          </cell>
          <cell r="H326">
            <v>12.71190189862955</v>
          </cell>
          <cell r="I326">
            <v>14.671265344898771</v>
          </cell>
          <cell r="J326">
            <v>16.788801884937403</v>
          </cell>
          <cell r="K326">
            <v>19.148307599758073</v>
          </cell>
          <cell r="L326">
            <v>21.841441892706211</v>
          </cell>
          <cell r="AJ326" t="str">
            <v>mstag:otherAssets</v>
          </cell>
          <cell r="AK326">
            <v>6</v>
          </cell>
          <cell r="AL326" t="str">
            <v>ISO4217:USD</v>
          </cell>
          <cell r="AM326" t="b">
            <v>0</v>
          </cell>
          <cell r="AN326" t="b">
            <v>0</v>
          </cell>
        </row>
        <row r="327">
          <cell r="A327" t="str">
            <v>Property and equipment, net</v>
          </cell>
          <cell r="C327">
            <v>25.625</v>
          </cell>
          <cell r="D327">
            <v>19.364000000000001</v>
          </cell>
          <cell r="E327">
            <v>20.3322</v>
          </cell>
          <cell r="F327">
            <v>21.34881</v>
          </cell>
          <cell r="G327">
            <v>22.4162505</v>
          </cell>
          <cell r="H327">
            <v>23.537063025000002</v>
          </cell>
          <cell r="I327">
            <v>24.713916176250002</v>
          </cell>
          <cell r="J327">
            <v>25.949611985062504</v>
          </cell>
          <cell r="K327">
            <v>25.949611985062504</v>
          </cell>
          <cell r="L327">
            <v>25.949611985062504</v>
          </cell>
          <cell r="AJ327" t="str">
            <v>mstag:propertyPlantAndEquipmentNet</v>
          </cell>
          <cell r="AK327">
            <v>6</v>
          </cell>
          <cell r="AL327" t="str">
            <v>ISO4217:USD</v>
          </cell>
          <cell r="AM327" t="b">
            <v>0</v>
          </cell>
          <cell r="AN327" t="b">
            <v>0</v>
          </cell>
        </row>
        <row r="328">
          <cell r="A328" t="str">
            <v>Growth in prop, plant and equip</v>
          </cell>
          <cell r="C328">
            <v>1.0129999999999999</v>
          </cell>
          <cell r="D328">
            <v>1.254</v>
          </cell>
          <cell r="E328">
            <v>0.05</v>
          </cell>
          <cell r="F328">
            <v>0.05</v>
          </cell>
          <cell r="G328">
            <v>0.05</v>
          </cell>
          <cell r="H328">
            <v>0.05</v>
          </cell>
          <cell r="I328">
            <v>0.05</v>
          </cell>
          <cell r="J328">
            <v>0.05</v>
          </cell>
          <cell r="K328">
            <v>0.05</v>
          </cell>
          <cell r="L328">
            <v>0.05</v>
          </cell>
          <cell r="AJ328" t="str">
            <v>mstag:otherLiabilitiesNonOperating</v>
          </cell>
          <cell r="AK328">
            <v>6</v>
          </cell>
          <cell r="AL328" t="str">
            <v>ISO4217:USD</v>
          </cell>
          <cell r="AM328" t="b">
            <v>0</v>
          </cell>
          <cell r="AN328" t="b">
            <v>0</v>
          </cell>
        </row>
        <row r="329">
          <cell r="A329" t="str">
            <v>Goodwill, net</v>
          </cell>
          <cell r="B329">
            <v>28.34</v>
          </cell>
          <cell r="C329">
            <v>76.799000000000007</v>
          </cell>
          <cell r="D329">
            <v>82.453999999999994</v>
          </cell>
          <cell r="E329">
            <v>81.283000000000001</v>
          </cell>
          <cell r="F329">
            <v>81.283000000000001</v>
          </cell>
          <cell r="G329">
            <v>81.283000000000001</v>
          </cell>
          <cell r="H329">
            <v>81.283000000000001</v>
          </cell>
          <cell r="I329">
            <v>81.283000000000001</v>
          </cell>
          <cell r="J329">
            <v>81.283000000000001</v>
          </cell>
          <cell r="K329">
            <v>81.283000000000001</v>
          </cell>
          <cell r="L329">
            <v>81.283000000000001</v>
          </cell>
          <cell r="AJ329" t="str">
            <v>mstag:goodwill</v>
          </cell>
          <cell r="AK329">
            <v>6</v>
          </cell>
          <cell r="AL329" t="str">
            <v>ISO4217:USD</v>
          </cell>
          <cell r="AM329" t="b">
            <v>0</v>
          </cell>
          <cell r="AN329" t="b">
            <v>0</v>
          </cell>
        </row>
        <row r="330">
          <cell r="A330" t="str">
            <v>Other intangible assets, net</v>
          </cell>
          <cell r="C330">
            <v>4.649</v>
          </cell>
          <cell r="D330">
            <v>3.621</v>
          </cell>
          <cell r="E330">
            <v>3.2480000000000002</v>
          </cell>
          <cell r="F330">
            <v>3.2480000000000002</v>
          </cell>
          <cell r="G330">
            <v>3.2480000000000002</v>
          </cell>
          <cell r="H330">
            <v>3.2480000000000002</v>
          </cell>
          <cell r="I330">
            <v>3.2480000000000002</v>
          </cell>
          <cell r="J330">
            <v>3.2480000000000002</v>
          </cell>
          <cell r="K330">
            <v>3.2480000000000002</v>
          </cell>
          <cell r="L330">
            <v>3.2480000000000002</v>
          </cell>
          <cell r="AJ330" t="str">
            <v>mstag:otherIntangibleAssets</v>
          </cell>
          <cell r="AK330">
            <v>6</v>
          </cell>
          <cell r="AL330" t="str">
            <v>ISO4217:USD</v>
          </cell>
          <cell r="AM330" t="b">
            <v>0</v>
          </cell>
          <cell r="AN330" t="b">
            <v>0</v>
          </cell>
        </row>
        <row r="331">
          <cell r="A331" t="str">
            <v>Other noncurrent assets</v>
          </cell>
          <cell r="B331">
            <v>65.731999999999999</v>
          </cell>
          <cell r="C331">
            <v>1.913</v>
          </cell>
          <cell r="D331">
            <v>2.0369999999999999</v>
          </cell>
          <cell r="E331">
            <v>2.9505946515076755</v>
          </cell>
          <cell r="F331">
            <v>3.8503056215436273</v>
          </cell>
          <cell r="G331">
            <v>4.639105135638645</v>
          </cell>
          <cell r="H331">
            <v>5.5234949162773876</v>
          </cell>
          <cell r="I331">
            <v>6.3748650826703921</v>
          </cell>
          <cell r="J331">
            <v>7.2949636176658466</v>
          </cell>
          <cell r="K331">
            <v>8.3202010624375422</v>
          </cell>
          <cell r="L331">
            <v>9.4904046790619763</v>
          </cell>
          <cell r="AJ331" t="str">
            <v>mstag:otherIntangibleAssets</v>
          </cell>
          <cell r="AK331">
            <v>6</v>
          </cell>
          <cell r="AL331" t="str">
            <v>ISO4217:USD</v>
          </cell>
          <cell r="AM331" t="b">
            <v>0</v>
          </cell>
          <cell r="AN331" t="b">
            <v>0</v>
          </cell>
        </row>
        <row r="332">
          <cell r="A332" t="str">
            <v>Total Assets</v>
          </cell>
          <cell r="B332">
            <v>170.053</v>
          </cell>
          <cell r="C332">
            <v>214.87899999999999</v>
          </cell>
          <cell r="D332">
            <v>207.51800000000003</v>
          </cell>
          <cell r="E332">
            <v>292.72860089019224</v>
          </cell>
          <cell r="F332">
            <v>376.43271396826805</v>
          </cell>
          <cell r="G332">
            <v>428.37512449819246</v>
          </cell>
          <cell r="H332">
            <v>500.1565195161154</v>
          </cell>
          <cell r="I332">
            <v>517.34478064293432</v>
          </cell>
          <cell r="J332">
            <v>543.68226932024686</v>
          </cell>
          <cell r="K332">
            <v>582.45152992826399</v>
          </cell>
          <cell r="L332">
            <v>619.52441396572442</v>
          </cell>
          <cell r="M332" t="str">
            <v>Based on 8,791,252 shares at $2.  Will need to revalue based on transaction (1:6 reverse split?)</v>
          </cell>
          <cell r="AJ332" t="str">
            <v>mstag:otherIntangibleAssets</v>
          </cell>
          <cell r="AK332">
            <v>6</v>
          </cell>
          <cell r="AL332" t="str">
            <v>ISO4217:USD</v>
          </cell>
          <cell r="AM332" t="b">
            <v>0</v>
          </cell>
          <cell r="AN332" t="b">
            <v>0</v>
          </cell>
        </row>
        <row r="333">
          <cell r="A333" t="str">
            <v>Other noncurrent assets</v>
          </cell>
          <cell r="C333">
            <v>1.913</v>
          </cell>
          <cell r="D333">
            <v>2.0369999999999999</v>
          </cell>
          <cell r="E333">
            <v>2.9505946515076755</v>
          </cell>
          <cell r="F333">
            <v>3.8503056215436273</v>
          </cell>
          <cell r="G333">
            <v>4.639105135638645</v>
          </cell>
          <cell r="H333">
            <v>5.5234949162773876</v>
          </cell>
          <cell r="I333">
            <v>6.3748650826703921</v>
          </cell>
          <cell r="J333">
            <v>7.2949636176658466</v>
          </cell>
          <cell r="K333">
            <v>8.3202010624375422</v>
          </cell>
          <cell r="L333">
            <v>9.4904046790619763</v>
          </cell>
          <cell r="AJ333" t="str">
            <v>mstag:otherIntangibleAssets</v>
          </cell>
          <cell r="AK333">
            <v>6</v>
          </cell>
          <cell r="AL333" t="str">
            <v>ISO4217:USD</v>
          </cell>
          <cell r="AM333" t="b">
            <v>0</v>
          </cell>
          <cell r="AN333" t="b">
            <v>0</v>
          </cell>
        </row>
        <row r="334">
          <cell r="A334" t="str">
            <v>Liabilities</v>
          </cell>
          <cell r="B334">
            <v>170.053</v>
          </cell>
          <cell r="C334">
            <v>214.87899999999999</v>
          </cell>
          <cell r="D334">
            <v>207.51800000000003</v>
          </cell>
          <cell r="E334">
            <v>292.72860089019218</v>
          </cell>
          <cell r="F334">
            <v>376.43271396826805</v>
          </cell>
          <cell r="G334">
            <v>428.37512449819246</v>
          </cell>
          <cell r="H334">
            <v>500.1565195161154</v>
          </cell>
          <cell r="I334">
            <v>517.34478064293432</v>
          </cell>
          <cell r="J334">
            <v>543.68226932024686</v>
          </cell>
          <cell r="K334">
            <v>582.45152992826399</v>
          </cell>
          <cell r="L334">
            <v>619.52441396572442</v>
          </cell>
        </row>
        <row r="335">
          <cell r="A335" t="str">
            <v>Current liabilities:</v>
          </cell>
          <cell r="B335">
            <v>0.115</v>
          </cell>
          <cell r="C335">
            <v>0.115</v>
          </cell>
          <cell r="D335">
            <v>0.115</v>
          </cell>
          <cell r="E335">
            <v>0.115</v>
          </cell>
          <cell r="F335">
            <v>0.115</v>
          </cell>
          <cell r="G335">
            <v>0.115</v>
          </cell>
          <cell r="H335">
            <v>0.115</v>
          </cell>
          <cell r="I335">
            <v>0.115</v>
          </cell>
          <cell r="J335">
            <v>0.115</v>
          </cell>
          <cell r="K335">
            <v>0.115</v>
          </cell>
          <cell r="L335">
            <v>0.115</v>
          </cell>
          <cell r="AJ335" t="str">
            <v>mstag:commonStock</v>
          </cell>
          <cell r="AK335">
            <v>6</v>
          </cell>
          <cell r="AL335" t="str">
            <v>ISO4217:USD</v>
          </cell>
          <cell r="AM335" t="b">
            <v>0</v>
          </cell>
          <cell r="AN335" t="b">
            <v>0</v>
          </cell>
        </row>
        <row r="336">
          <cell r="A336" t="str">
            <v>Accounts payable</v>
          </cell>
          <cell r="B336">
            <v>2.0609999999999999</v>
          </cell>
          <cell r="C336">
            <v>0.55100000000000005</v>
          </cell>
          <cell r="D336">
            <v>0.82899999999999996</v>
          </cell>
          <cell r="E336">
            <v>1.0507057414518313</v>
          </cell>
          <cell r="F336">
            <v>1.2339832578323457</v>
          </cell>
          <cell r="G336">
            <v>1.338106833131441</v>
          </cell>
          <cell r="H336">
            <v>1.4338807737104784</v>
          </cell>
          <cell r="I336">
            <v>1.489404254739475</v>
          </cell>
          <cell r="J336">
            <v>1.5339359717386922</v>
          </cell>
          <cell r="K336">
            <v>1.5745644164390724</v>
          </cell>
          <cell r="L336">
            <v>1.6164186482762701</v>
          </cell>
          <cell r="AJ336" t="str">
            <v>mstag:tradeAndOtherPayables</v>
          </cell>
          <cell r="AK336">
            <v>6</v>
          </cell>
          <cell r="AL336" t="str">
            <v>ISO4217:USD</v>
          </cell>
          <cell r="AM336" t="b">
            <v>0</v>
          </cell>
          <cell r="AN336" t="b">
            <v>0</v>
          </cell>
        </row>
        <row r="337">
          <cell r="A337" t="str">
            <v>Accrued salaries and benefits</v>
          </cell>
          <cell r="B337">
            <v>0</v>
          </cell>
          <cell r="C337">
            <v>4.0609999999999999</v>
          </cell>
          <cell r="D337">
            <v>7.1449999999999996</v>
          </cell>
          <cell r="E337">
            <v>9.0558414025010059</v>
          </cell>
          <cell r="F337">
            <v>10.635476932704595</v>
          </cell>
          <cell r="G337">
            <v>11.532899062393419</v>
          </cell>
          <cell r="H337">
            <v>12.358357211292359</v>
          </cell>
          <cell r="I337">
            <v>12.836903980836606</v>
          </cell>
          <cell r="J337">
            <v>13.220714738326844</v>
          </cell>
          <cell r="K337">
            <v>13.570883902843388</v>
          </cell>
          <cell r="L337">
            <v>13.931617903418511</v>
          </cell>
          <cell r="AJ337" t="str">
            <v>mstag:payrollAndBenefitsRelatedLiabilities</v>
          </cell>
          <cell r="AK337">
            <v>6</v>
          </cell>
          <cell r="AL337" t="str">
            <v>ISO4217:USD</v>
          </cell>
          <cell r="AM337" t="b">
            <v>0</v>
          </cell>
          <cell r="AN337" t="b">
            <v>0</v>
          </cell>
        </row>
        <row r="338">
          <cell r="A338" t="str">
            <v>Accrued liabilities</v>
          </cell>
          <cell r="B338">
            <v>7.74</v>
          </cell>
          <cell r="C338">
            <v>4.6379999999999999</v>
          </cell>
          <cell r="D338">
            <v>6.431</v>
          </cell>
          <cell r="E338">
            <v>8.1508909810334469</v>
          </cell>
          <cell r="F338">
            <v>9.5726734995413949</v>
          </cell>
          <cell r="G338">
            <v>10.380416216970204</v>
          </cell>
          <cell r="H338">
            <v>11.123386315720252</v>
          </cell>
          <cell r="I338">
            <v>11.554111896537473</v>
          </cell>
          <cell r="J338">
            <v>11.899568436974103</v>
          </cell>
          <cell r="K338">
            <v>12.214745189529163</v>
          </cell>
          <cell r="L338">
            <v>12.539431033853672</v>
          </cell>
          <cell r="AJ338" t="str">
            <v>mstag:otherAccruedExpenses</v>
          </cell>
          <cell r="AK338">
            <v>6</v>
          </cell>
          <cell r="AL338" t="str">
            <v>ISO4217:USD</v>
          </cell>
          <cell r="AM338" t="b">
            <v>0</v>
          </cell>
          <cell r="AN338" t="b">
            <v>0</v>
          </cell>
        </row>
        <row r="339">
          <cell r="A339" t="str">
            <v>Income taxes payable</v>
          </cell>
          <cell r="B339">
            <v>0</v>
          </cell>
          <cell r="C339">
            <v>5.7089999999999996</v>
          </cell>
          <cell r="D339">
            <v>6</v>
          </cell>
          <cell r="E339">
            <v>7.6046253904837009</v>
          </cell>
          <cell r="F339">
            <v>8.9311212870857357</v>
          </cell>
          <cell r="G339">
            <v>9.6847297934724335</v>
          </cell>
          <cell r="H339">
            <v>10.377906685479941</v>
          </cell>
          <cell r="I339">
            <v>10.779765414278469</v>
          </cell>
          <cell r="J339">
            <v>11.102069759266772</v>
          </cell>
          <cell r="K339">
            <v>11.396123641296061</v>
          </cell>
          <cell r="L339">
            <v>11.699049324074331</v>
          </cell>
          <cell r="AJ339" t="str">
            <v>mstag:incomeTaxPayable</v>
          </cell>
          <cell r="AK339">
            <v>6</v>
          </cell>
          <cell r="AL339" t="str">
            <v>ISO4217:USD</v>
          </cell>
          <cell r="AM339" t="b">
            <v>0</v>
          </cell>
          <cell r="AN339" t="b">
            <v>0</v>
          </cell>
        </row>
        <row r="340">
          <cell r="A340" t="str">
            <v>Current portion of revolving credit facility</v>
          </cell>
          <cell r="B340">
            <v>26.884</v>
          </cell>
          <cell r="C340">
            <v>0</v>
          </cell>
          <cell r="D340">
            <v>12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AJ340" t="str">
            <v>mstag:shortTermBorrowings</v>
          </cell>
          <cell r="AK340">
            <v>6</v>
          </cell>
          <cell r="AL340" t="str">
            <v>ISO4217:USD</v>
          </cell>
          <cell r="AM340" t="b">
            <v>0</v>
          </cell>
          <cell r="AN340" t="b">
            <v>0</v>
          </cell>
        </row>
        <row r="341">
          <cell r="A341" t="str">
            <v>Current portion of obligations under capital leases</v>
          </cell>
          <cell r="B341">
            <v>13.221</v>
          </cell>
          <cell r="C341">
            <v>1.6479999999999999</v>
          </cell>
          <cell r="D341">
            <v>0.48199999999999998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AJ341" t="str">
            <v>mstag:capitalLeaseObligationsCi</v>
          </cell>
          <cell r="AK341">
            <v>6</v>
          </cell>
          <cell r="AL341" t="str">
            <v>ISO4217:USD</v>
          </cell>
          <cell r="AM341" t="b">
            <v>0</v>
          </cell>
          <cell r="AN341" t="b">
            <v>0</v>
          </cell>
        </row>
        <row r="342">
          <cell r="A342" t="str">
            <v>Deferred revenue</v>
          </cell>
          <cell r="B342">
            <v>50.021000000000001</v>
          </cell>
          <cell r="C342">
            <v>1.31</v>
          </cell>
          <cell r="D342">
            <v>1.5529999999999999</v>
          </cell>
          <cell r="E342">
            <v>1.9683305385701977</v>
          </cell>
          <cell r="F342">
            <v>2.3116718931406908</v>
          </cell>
          <cell r="G342">
            <v>2.5067308948771143</v>
          </cell>
          <cell r="H342">
            <v>2.6861481804250573</v>
          </cell>
          <cell r="I342">
            <v>2.7901626147290761</v>
          </cell>
          <cell r="J342">
            <v>2.8735857226902155</v>
          </cell>
          <cell r="K342">
            <v>2.9496966691554629</v>
          </cell>
          <cell r="L342">
            <v>3.0281039333812383</v>
          </cell>
          <cell r="AJ342" t="str">
            <v>mstag:deferredRevenue</v>
          </cell>
          <cell r="AK342">
            <v>6</v>
          </cell>
          <cell r="AL342" t="str">
            <v>ISO4217:USD</v>
          </cell>
          <cell r="AM342" t="b">
            <v>0</v>
          </cell>
          <cell r="AN342" t="b">
            <v>0</v>
          </cell>
        </row>
        <row r="343">
          <cell r="A343" t="str">
            <v>Total current liabilities</v>
          </cell>
          <cell r="C343">
            <v>17.916999999999998</v>
          </cell>
          <cell r="D343">
            <v>34.44</v>
          </cell>
          <cell r="E343">
            <v>27.830394054040184</v>
          </cell>
          <cell r="F343">
            <v>32.684926870304764</v>
          </cell>
          <cell r="G343">
            <v>35.442882800844615</v>
          </cell>
          <cell r="H343">
            <v>37.979679166628088</v>
          </cell>
          <cell r="I343">
            <v>39.450348161121099</v>
          </cell>
          <cell r="J343">
            <v>40.629874628996625</v>
          </cell>
          <cell r="K343">
            <v>41.706013819263148</v>
          </cell>
          <cell r="L343">
            <v>42.814620843004022</v>
          </cell>
          <cell r="AJ343" t="str">
            <v>mstag:capitalLeaseObligationsCi</v>
          </cell>
          <cell r="AK343">
            <v>6</v>
          </cell>
          <cell r="AL343" t="str">
            <v>ISO4217:USD</v>
          </cell>
          <cell r="AM343" t="b">
            <v>0</v>
          </cell>
          <cell r="AN343" t="b">
            <v>0</v>
          </cell>
        </row>
        <row r="344">
          <cell r="A344" t="str">
            <v>Deferred revenue</v>
          </cell>
          <cell r="B344">
            <v>170.05300000000003</v>
          </cell>
          <cell r="C344">
            <v>1.31</v>
          </cell>
          <cell r="D344">
            <v>1.5529999999999999</v>
          </cell>
          <cell r="E344">
            <v>1.9683305385701977</v>
          </cell>
          <cell r="F344">
            <v>2.3116718931406908</v>
          </cell>
          <cell r="G344">
            <v>2.5067308948771143</v>
          </cell>
          <cell r="H344">
            <v>2.6861481804250573</v>
          </cell>
          <cell r="I344">
            <v>2.7901626147290761</v>
          </cell>
          <cell r="J344">
            <v>2.8735857226902155</v>
          </cell>
          <cell r="K344">
            <v>2.9496966691554629</v>
          </cell>
          <cell r="L344">
            <v>3.0281039333812383</v>
          </cell>
          <cell r="AJ344" t="str">
            <v>mstag:deferredRevenue</v>
          </cell>
          <cell r="AK344">
            <v>6</v>
          </cell>
          <cell r="AL344" t="str">
            <v>ISO4217:USD</v>
          </cell>
          <cell r="AM344" t="b">
            <v>0</v>
          </cell>
          <cell r="AN344" t="b">
            <v>0</v>
          </cell>
        </row>
        <row r="345">
          <cell r="A345" t="str">
            <v>Obligations under capital leases</v>
          </cell>
          <cell r="C345">
            <v>0.48199999999999998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AJ345" t="str">
            <v>mstag:capitalLeaseObligationsCi</v>
          </cell>
          <cell r="AK345">
            <v>6</v>
          </cell>
          <cell r="AL345" t="str">
            <v>ISO4217:USD</v>
          </cell>
          <cell r="AM345" t="b">
            <v>0</v>
          </cell>
          <cell r="AN345" t="b">
            <v>0</v>
          </cell>
        </row>
        <row r="346">
          <cell r="A346" t="str">
            <v>Long-term portion of revolving credit facility</v>
          </cell>
          <cell r="C346">
            <v>0</v>
          </cell>
          <cell r="D346">
            <v>13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AJ346" t="str">
            <v>mstag:otherLongTermDebtCi</v>
          </cell>
          <cell r="AK346">
            <v>6</v>
          </cell>
          <cell r="AL346" t="str">
            <v>ISO4217:USD</v>
          </cell>
          <cell r="AM346" t="b">
            <v>0</v>
          </cell>
          <cell r="AN346" t="b">
            <v>0</v>
          </cell>
        </row>
        <row r="347">
          <cell r="A347" t="str">
            <v>Deferred tax liability, net</v>
          </cell>
          <cell r="B347">
            <v>3.3996321544951118</v>
          </cell>
          <cell r="C347">
            <v>9.1910000000000007</v>
          </cell>
          <cell r="D347">
            <v>9.093</v>
          </cell>
          <cell r="E347">
            <v>11.524809779278048</v>
          </cell>
          <cell r="F347">
            <v>13.535114310578429</v>
          </cell>
          <cell r="G347">
            <v>14.677208002007466</v>
          </cell>
          <cell r="H347">
            <v>15.727717581844844</v>
          </cell>
          <cell r="I347">
            <v>16.336734485339012</v>
          </cell>
          <cell r="J347">
            <v>16.825186720168787</v>
          </cell>
          <cell r="K347">
            <v>17.270825378384174</v>
          </cell>
          <cell r="L347">
            <v>17.729909250634645</v>
          </cell>
          <cell r="AJ347" t="str">
            <v>mstag:deferredTaxLiabilities</v>
          </cell>
          <cell r="AK347">
            <v>6</v>
          </cell>
          <cell r="AL347" t="str">
            <v>ISO4217:USD</v>
          </cell>
          <cell r="AM347" t="b">
            <v>0</v>
          </cell>
          <cell r="AN347" t="b">
            <v>0</v>
          </cell>
        </row>
        <row r="348">
          <cell r="A348" t="str">
            <v>Other noncurrent liabilities</v>
          </cell>
          <cell r="B348">
            <v>0.29414947104726175</v>
          </cell>
          <cell r="C348">
            <v>1.0129999999999999</v>
          </cell>
          <cell r="D348">
            <v>1.254</v>
          </cell>
          <cell r="E348">
            <v>1.5893667066110932</v>
          </cell>
          <cell r="F348">
            <v>1.8666043490009185</v>
          </cell>
          <cell r="G348">
            <v>2.0241085268357382</v>
          </cell>
          <cell r="H348">
            <v>2.1689824972653073</v>
          </cell>
          <cell r="I348">
            <v>2.2529709715841997</v>
          </cell>
          <cell r="J348">
            <v>2.3203325796867555</v>
          </cell>
          <cell r="K348">
            <v>2.3817898410308769</v>
          </cell>
          <cell r="L348">
            <v>2.4451013087315356</v>
          </cell>
          <cell r="AJ348" t="str">
            <v>mstag:otherLiabilitiesNonOperating</v>
          </cell>
          <cell r="AK348">
            <v>6</v>
          </cell>
          <cell r="AL348" t="str">
            <v>ISO4217:USD</v>
          </cell>
          <cell r="AM348" t="b">
            <v>0</v>
          </cell>
          <cell r="AN348" t="b">
            <v>0</v>
          </cell>
        </row>
        <row r="349">
          <cell r="A349" t="str">
            <v>Total liabilities</v>
          </cell>
          <cell r="B349">
            <v>28.34</v>
          </cell>
          <cell r="C349">
            <v>28.602999999999998</v>
          </cell>
          <cell r="D349">
            <v>57.786999999999999</v>
          </cell>
          <cell r="E349">
            <v>40.944570539929323</v>
          </cell>
          <cell r="F349">
            <v>48.086645529884109</v>
          </cell>
          <cell r="G349">
            <v>52.144199329687822</v>
          </cell>
          <cell r="H349">
            <v>55.876379245738235</v>
          </cell>
          <cell r="I349">
            <v>58.040053618044311</v>
          </cell>
          <cell r="J349">
            <v>59.775393928852168</v>
          </cell>
          <cell r="K349">
            <v>61.358629038678203</v>
          </cell>
          <cell r="L349">
            <v>62.9896314023702</v>
          </cell>
          <cell r="AJ349" t="str">
            <v>mstag:deferredTaxLiabilities</v>
          </cell>
          <cell r="AK349">
            <v>6</v>
          </cell>
          <cell r="AL349" t="str">
            <v>ISO4217:USD</v>
          </cell>
          <cell r="AM349" t="b">
            <v>0</v>
          </cell>
          <cell r="AN349" t="b">
            <v>0</v>
          </cell>
        </row>
        <row r="350">
          <cell r="A350" t="str">
            <v>Other noncurrent liabilities</v>
          </cell>
          <cell r="C350">
            <v>1.0129999999999999</v>
          </cell>
          <cell r="D350">
            <v>1.254</v>
          </cell>
          <cell r="E350">
            <v>1.5893667066110932</v>
          </cell>
          <cell r="F350">
            <v>1.8666043490009185</v>
          </cell>
          <cell r="G350">
            <v>2.0241085268357382</v>
          </cell>
          <cell r="H350">
            <v>2.1689824972653073</v>
          </cell>
          <cell r="I350">
            <v>2.2529709715841997</v>
          </cell>
          <cell r="J350">
            <v>2.3203325796867555</v>
          </cell>
          <cell r="K350">
            <v>2.3817898410308769</v>
          </cell>
          <cell r="L350">
            <v>2.4451013087315356</v>
          </cell>
          <cell r="AJ350" t="str">
            <v>mstag:otherLiabilitiesNonOperating</v>
          </cell>
          <cell r="AK350">
            <v>6</v>
          </cell>
          <cell r="AL350" t="str">
            <v>ISO4217:USD</v>
          </cell>
          <cell r="AM350" t="b">
            <v>0</v>
          </cell>
          <cell r="AN350" t="b">
            <v>0</v>
          </cell>
        </row>
        <row r="351">
          <cell r="A351" t="str">
            <v>Class B redeemable common stock</v>
          </cell>
          <cell r="B351">
            <v>65.731999999999999</v>
          </cell>
          <cell r="C351">
            <v>67.5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AJ351" t="str">
            <v>mstag:preferredEquity</v>
          </cell>
          <cell r="AK351">
            <v>6</v>
          </cell>
          <cell r="AL351" t="str">
            <v>ISO4217:USD</v>
          </cell>
          <cell r="AM351" t="b">
            <v>0</v>
          </cell>
          <cell r="AN351" t="b">
            <v>0</v>
          </cell>
        </row>
        <row r="352">
          <cell r="A352" t="str">
            <v>Redeemable stock put</v>
          </cell>
          <cell r="B352">
            <v>25.96</v>
          </cell>
          <cell r="C352">
            <v>17.582000000000001</v>
          </cell>
          <cell r="D352">
            <v>17.582000000000001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AJ352" t="str">
            <v>mstag:otherEquityItems</v>
          </cell>
          <cell r="AK352">
            <v>6</v>
          </cell>
          <cell r="AL352" t="str">
            <v>ISO4217:USD</v>
          </cell>
          <cell r="AM352" t="b">
            <v>0</v>
          </cell>
          <cell r="AN352" t="b">
            <v>0</v>
          </cell>
        </row>
        <row r="353">
          <cell r="A353" t="str">
            <v>Class B redeemable common stock</v>
          </cell>
          <cell r="B353">
            <v>65.731999999999999</v>
          </cell>
          <cell r="C353">
            <v>67.5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AJ353" t="str">
            <v>mstag:preferredEquity</v>
          </cell>
          <cell r="AK353">
            <v>6</v>
          </cell>
          <cell r="AL353" t="str">
            <v>ISO4217:USD</v>
          </cell>
          <cell r="AM353" t="b">
            <v>0</v>
          </cell>
          <cell r="AN353" t="b">
            <v>0</v>
          </cell>
        </row>
        <row r="354">
          <cell r="A354" t="str">
            <v>Shareholders' equity</v>
          </cell>
          <cell r="B354">
            <v>25.96</v>
          </cell>
          <cell r="C354">
            <v>17.582000000000001</v>
          </cell>
          <cell r="D354">
            <v>17.582000000000001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AJ354" t="str">
            <v>mstag:otherEquityItems</v>
          </cell>
          <cell r="AK354">
            <v>6</v>
          </cell>
          <cell r="AL354" t="str">
            <v>ISO4217:USD</v>
          </cell>
          <cell r="AM354" t="b">
            <v>0</v>
          </cell>
          <cell r="AN354" t="b">
            <v>0</v>
          </cell>
        </row>
        <row r="355">
          <cell r="A355" t="str">
            <v>Class A, Series 1 common stock</v>
          </cell>
          <cell r="B355">
            <v>0.115</v>
          </cell>
          <cell r="C355">
            <v>0.115</v>
          </cell>
          <cell r="D355">
            <v>0.115</v>
          </cell>
          <cell r="E355">
            <v>0.115</v>
          </cell>
          <cell r="F355">
            <v>0.115</v>
          </cell>
          <cell r="G355">
            <v>0.115</v>
          </cell>
          <cell r="H355">
            <v>0.115</v>
          </cell>
          <cell r="I355">
            <v>0.115</v>
          </cell>
          <cell r="J355">
            <v>0.115</v>
          </cell>
          <cell r="K355">
            <v>0.115</v>
          </cell>
          <cell r="L355">
            <v>0.115</v>
          </cell>
          <cell r="AJ355" t="str">
            <v>mstag:commonStock</v>
          </cell>
          <cell r="AK355">
            <v>6</v>
          </cell>
          <cell r="AL355" t="str">
            <v>ISO4217:USD</v>
          </cell>
          <cell r="AM355" t="b">
            <v>0</v>
          </cell>
          <cell r="AN355" t="b">
            <v>0</v>
          </cell>
        </row>
        <row r="356">
          <cell r="A356" t="str">
            <v>Class A, Series 2 common stock</v>
          </cell>
          <cell r="B356">
            <v>2.0609999999999999</v>
          </cell>
          <cell r="C356">
            <v>2.0609999999999999</v>
          </cell>
          <cell r="D356">
            <v>2.0609999999999999</v>
          </cell>
          <cell r="E356">
            <v>2.0609999999999999</v>
          </cell>
          <cell r="F356">
            <v>2.0609999999999999</v>
          </cell>
          <cell r="G356">
            <v>2.0609999999999999</v>
          </cell>
          <cell r="H356">
            <v>2.0609999999999999</v>
          </cell>
          <cell r="I356">
            <v>2.0609999999999999</v>
          </cell>
          <cell r="J356">
            <v>2.0609999999999999</v>
          </cell>
          <cell r="K356">
            <v>2.0609999999999999</v>
          </cell>
          <cell r="L356">
            <v>2.0609999999999999</v>
          </cell>
          <cell r="AJ356" t="str">
            <v>mstag:commonStock</v>
          </cell>
          <cell r="AK356">
            <v>6</v>
          </cell>
          <cell r="AL356" t="str">
            <v>ISO4217:USD</v>
          </cell>
          <cell r="AM356" t="b">
            <v>0</v>
          </cell>
          <cell r="AN356" t="b">
            <v>0</v>
          </cell>
        </row>
        <row r="357">
          <cell r="A357" t="str">
            <v>Treasury stock, at cost</v>
          </cell>
          <cell r="B357">
            <v>0</v>
          </cell>
          <cell r="C357">
            <v>-5.5410000000000004</v>
          </cell>
          <cell r="D357">
            <v>-5.5410000000000004</v>
          </cell>
          <cell r="E357">
            <v>-5.5410000000000004</v>
          </cell>
          <cell r="F357">
            <v>-5.5410000000000004</v>
          </cell>
          <cell r="G357">
            <v>-56.502007121632857</v>
          </cell>
          <cell r="H357">
            <v>-113.22947693589049</v>
          </cell>
          <cell r="I357">
            <v>-245.27625531441865</v>
          </cell>
          <cell r="J357">
            <v>-392.4581860376137</v>
          </cell>
          <cell r="K357">
            <v>-553.65072365517688</v>
          </cell>
          <cell r="L357">
            <v>-747.24374262999061</v>
          </cell>
          <cell r="AJ357" t="str">
            <v>mstag:treasuryStockAndInvestmentInOwnShares</v>
          </cell>
          <cell r="AK357">
            <v>6</v>
          </cell>
          <cell r="AL357" t="str">
            <v>ISO4217:USD</v>
          </cell>
          <cell r="AM357" t="b">
            <v>1</v>
          </cell>
          <cell r="AN357" t="b">
            <v>0</v>
          </cell>
        </row>
        <row r="358">
          <cell r="A358" t="str">
            <v>Additional paid-in capital</v>
          </cell>
          <cell r="B358">
            <v>7.74</v>
          </cell>
          <cell r="C358">
            <v>31.812999999999999</v>
          </cell>
          <cell r="D358">
            <v>38.253999999999998</v>
          </cell>
          <cell r="E358">
            <v>137.28315500000005</v>
          </cell>
          <cell r="F358">
            <v>137.28315500000005</v>
          </cell>
          <cell r="G358">
            <v>137.28315500000005</v>
          </cell>
          <cell r="H358">
            <v>137.28315500000005</v>
          </cell>
          <cell r="I358">
            <v>137.28315500000005</v>
          </cell>
          <cell r="J358">
            <v>137.28315500000005</v>
          </cell>
          <cell r="K358">
            <v>137.28315500000005</v>
          </cell>
          <cell r="L358">
            <v>137.28315500000005</v>
          </cell>
          <cell r="AJ358" t="str">
            <v>mstag:additionalPaidInCapital</v>
          </cell>
          <cell r="AK358">
            <v>6</v>
          </cell>
          <cell r="AL358" t="str">
            <v>ISO4217:USD</v>
          </cell>
          <cell r="AM358" t="b">
            <v>0</v>
          </cell>
          <cell r="AN358" t="b">
            <v>0</v>
          </cell>
        </row>
        <row r="359">
          <cell r="A359" t="str">
            <v>Deferred stock compensation</v>
          </cell>
          <cell r="B359">
            <v>0</v>
          </cell>
          <cell r="C359">
            <v>-3.4000000000000002E-2</v>
          </cell>
          <cell r="D359">
            <v>-6.0869999999999997</v>
          </cell>
          <cell r="E359">
            <v>-6.0869999999999997</v>
          </cell>
          <cell r="F359">
            <v>-6.0869999999999997</v>
          </cell>
          <cell r="G359">
            <v>-6.0869999999999997</v>
          </cell>
          <cell r="H359">
            <v>-6.0869999999999997</v>
          </cell>
          <cell r="I359">
            <v>-6.0869999999999997</v>
          </cell>
          <cell r="J359">
            <v>-6.0869999999999997</v>
          </cell>
          <cell r="K359">
            <v>-6.0869999999999997</v>
          </cell>
          <cell r="L359">
            <v>-6.0869999999999997</v>
          </cell>
          <cell r="AJ359" t="str">
            <v>mstag:accumulatedOtherComprehensiveIncomeLossAndReserves</v>
          </cell>
          <cell r="AK359">
            <v>6</v>
          </cell>
          <cell r="AL359" t="str">
            <v>ISO4217:USD</v>
          </cell>
          <cell r="AM359" t="b">
            <v>0</v>
          </cell>
          <cell r="AN359" t="b">
            <v>0</v>
          </cell>
        </row>
        <row r="360">
          <cell r="A360" t="str">
            <v>Retained earnings</v>
          </cell>
          <cell r="B360">
            <v>26.884</v>
          </cell>
          <cell r="C360">
            <v>46.870833000000005</v>
          </cell>
          <cell r="D360">
            <v>68.819833000000003</v>
          </cell>
          <cell r="E360">
            <v>89.225875350262839</v>
          </cell>
          <cell r="F360">
            <v>165.78791343838384</v>
          </cell>
          <cell r="G360">
            <v>264.63377729013752</v>
          </cell>
          <cell r="H360">
            <v>389.41046220626754</v>
          </cell>
          <cell r="I360">
            <v>536.48182733930855</v>
          </cell>
          <cell r="J360">
            <v>708.26590642900851</v>
          </cell>
          <cell r="K360">
            <v>906.64446954476273</v>
          </cell>
          <cell r="L360">
            <v>1135.6793701933448</v>
          </cell>
          <cell r="AJ360" t="str">
            <v>mstag:retainedEarnings</v>
          </cell>
          <cell r="AK360">
            <v>6</v>
          </cell>
          <cell r="AL360" t="str">
            <v>ISO4217:USD</v>
          </cell>
          <cell r="AM360" t="b">
            <v>0</v>
          </cell>
          <cell r="AN360" t="b">
            <v>0</v>
          </cell>
        </row>
        <row r="361">
          <cell r="A361" t="str">
            <v>Accumulated other comprehensive income</v>
          </cell>
          <cell r="B361">
            <v>13.221</v>
          </cell>
          <cell r="C361">
            <v>25.908999999999999</v>
          </cell>
          <cell r="D361">
            <v>34.527000000000001</v>
          </cell>
          <cell r="E361">
            <v>34.727000000000004</v>
          </cell>
          <cell r="F361">
            <v>34.727000000000004</v>
          </cell>
          <cell r="G361">
            <v>34.727000000000004</v>
          </cell>
          <cell r="H361">
            <v>34.727000000000004</v>
          </cell>
          <cell r="I361">
            <v>34.727000000000004</v>
          </cell>
          <cell r="J361">
            <v>34.727000000000004</v>
          </cell>
          <cell r="K361">
            <v>34.727000000000004</v>
          </cell>
          <cell r="L361">
            <v>34.727000000000004</v>
          </cell>
          <cell r="M361" t="str">
            <v>What is this?</v>
          </cell>
          <cell r="AJ361" t="str">
            <v>mstag:accumulatedOtherComprehensiveIncomeLossAndReserves</v>
          </cell>
          <cell r="AK361">
            <v>6</v>
          </cell>
          <cell r="AL361" t="str">
            <v>ISO4217:USD</v>
          </cell>
          <cell r="AM361" t="b">
            <v>0</v>
          </cell>
          <cell r="AN361" t="b">
            <v>0</v>
          </cell>
        </row>
        <row r="362">
          <cell r="A362" t="str">
            <v>Total Shareholders' Equity</v>
          </cell>
          <cell r="B362">
            <v>50.021000000000001</v>
          </cell>
          <cell r="C362">
            <v>101.19383300000001</v>
          </cell>
          <cell r="D362">
            <v>132.148833</v>
          </cell>
          <cell r="E362">
            <v>251.7840303502629</v>
          </cell>
          <cell r="F362">
            <v>328.3460684383839</v>
          </cell>
          <cell r="G362">
            <v>376.23092516850465</v>
          </cell>
          <cell r="H362">
            <v>444.28014027037716</v>
          </cell>
          <cell r="I362">
            <v>459.30472702488998</v>
          </cell>
          <cell r="J362">
            <v>483.90687539139481</v>
          </cell>
          <cell r="K362">
            <v>521.09290088958596</v>
          </cell>
          <cell r="L362">
            <v>556.53478256335427</v>
          </cell>
          <cell r="AJ362" t="str">
            <v>mstag:retainedEarnings</v>
          </cell>
          <cell r="AK362">
            <v>6</v>
          </cell>
          <cell r="AL362" t="str">
            <v>ISO4217:USD</v>
          </cell>
          <cell r="AM362" t="b">
            <v>0</v>
          </cell>
          <cell r="AN362" t="b">
            <v>0</v>
          </cell>
        </row>
        <row r="363">
          <cell r="A363" t="str">
            <v>Accumulated other comprehensive income</v>
          </cell>
          <cell r="B363">
            <v>13.221</v>
          </cell>
          <cell r="C363">
            <v>25.908999999999999</v>
          </cell>
          <cell r="D363">
            <v>34.527000000000001</v>
          </cell>
          <cell r="E363">
            <v>34.727000000000004</v>
          </cell>
          <cell r="F363">
            <v>34.727000000000004</v>
          </cell>
          <cell r="G363">
            <v>34.727000000000004</v>
          </cell>
          <cell r="H363">
            <v>34.727000000000004</v>
          </cell>
          <cell r="I363">
            <v>34.727000000000004</v>
          </cell>
          <cell r="J363">
            <v>34.727000000000004</v>
          </cell>
          <cell r="K363">
            <v>34.727000000000004</v>
          </cell>
          <cell r="L363">
            <v>34.727000000000004</v>
          </cell>
          <cell r="AJ363" t="str">
            <v>mstag:accumulatedOtherComprehensiveIncomeLossAndReserves</v>
          </cell>
          <cell r="AK363">
            <v>6</v>
          </cell>
          <cell r="AL363" t="str">
            <v>ISO4217:USD</v>
          </cell>
          <cell r="AM363" t="b">
            <v>0</v>
          </cell>
          <cell r="AN363" t="b">
            <v>0</v>
          </cell>
        </row>
        <row r="364">
          <cell r="A364" t="str">
            <v>Total Liabilities &amp; Shareholders' Equity</v>
          </cell>
          <cell r="B364">
            <v>170.05300000000003</v>
          </cell>
          <cell r="C364">
            <v>214.87883300000001</v>
          </cell>
          <cell r="D364">
            <v>207.517833</v>
          </cell>
          <cell r="E364">
            <v>292.72860089019224</v>
          </cell>
          <cell r="F364">
            <v>376.43271396826799</v>
          </cell>
          <cell r="G364">
            <v>428.37512449819246</v>
          </cell>
          <cell r="H364">
            <v>500.1565195161154</v>
          </cell>
          <cell r="I364">
            <v>517.34478064293432</v>
          </cell>
          <cell r="J364">
            <v>543.68226932024697</v>
          </cell>
          <cell r="K364">
            <v>582.45152992826411</v>
          </cell>
          <cell r="L364">
            <v>619.52441396572442</v>
          </cell>
        </row>
        <row r="365">
          <cell r="A365" t="str">
            <v>Amounts</v>
          </cell>
        </row>
        <row r="366">
          <cell r="A366" t="str">
            <v>Leverage</v>
          </cell>
          <cell r="B366">
            <v>170.05300000000003</v>
          </cell>
          <cell r="C366">
            <v>214.87883300000001</v>
          </cell>
          <cell r="D366">
            <v>207.517833</v>
          </cell>
          <cell r="E366">
            <v>292.72860089019218</v>
          </cell>
          <cell r="F366">
            <v>376.43271396826799</v>
          </cell>
          <cell r="G366">
            <v>428.37512449819246</v>
          </cell>
          <cell r="H366">
            <v>500.1565195161154</v>
          </cell>
          <cell r="I366">
            <v>517.34478064293432</v>
          </cell>
          <cell r="J366">
            <v>543.68226932024697</v>
          </cell>
          <cell r="K366">
            <v>582.45152992826411</v>
          </cell>
          <cell r="L366">
            <v>619.52441396572442</v>
          </cell>
        </row>
        <row r="367">
          <cell r="A367" t="str">
            <v>Assets/Common Equity</v>
          </cell>
          <cell r="B367">
            <v>3.3996321544951118</v>
          </cell>
          <cell r="C367">
            <v>2.1234396764079482</v>
          </cell>
          <cell r="D367">
            <v>1.5703354716723079</v>
          </cell>
          <cell r="E367">
            <v>1.1626178216425018</v>
          </cell>
          <cell r="F367">
            <v>1.1464511079989006</v>
          </cell>
          <cell r="G367">
            <v>1.1385962605448601</v>
          </cell>
          <cell r="H367">
            <v>1.1257683478980927</v>
          </cell>
          <cell r="I367">
            <v>1.126365025663886</v>
          </cell>
          <cell r="J367">
            <v>1.1235266473130896</v>
          </cell>
          <cell r="K367">
            <v>1.1177498847785672</v>
          </cell>
          <cell r="L367">
            <v>1.1131818412359511</v>
          </cell>
        </row>
        <row r="368">
          <cell r="A368" t="str">
            <v>Common Equity/Assets</v>
          </cell>
          <cell r="B368">
            <v>0.29414947104726175</v>
          </cell>
          <cell r="C368">
            <v>0.47093402798784439</v>
          </cell>
          <cell r="D368">
            <v>0.63680660472826445</v>
          </cell>
          <cell r="E368">
            <v>0.86012787812527969</v>
          </cell>
          <cell r="F368">
            <v>0.87225699641520082</v>
          </cell>
          <cell r="G368">
            <v>0.87827444604592619</v>
          </cell>
          <cell r="H368">
            <v>0.88828221353628112</v>
          </cell>
          <cell r="I368">
            <v>0.88781165715847254</v>
          </cell>
          <cell r="J368">
            <v>0.89005454600609324</v>
          </cell>
          <cell r="K368">
            <v>0.89465453194665812</v>
          </cell>
          <cell r="L368">
            <v>0.89832582868016708</v>
          </cell>
        </row>
        <row r="369">
          <cell r="A369" t="str">
            <v>Assets/Common Equity</v>
          </cell>
          <cell r="B369">
            <v>3.3996321544951118</v>
          </cell>
          <cell r="C369">
            <v>2.1234396764079482</v>
          </cell>
          <cell r="D369">
            <v>1.5703354716723079</v>
          </cell>
          <cell r="E369" t="str">
            <v>Need to hook APIC and Treasury stock into capital mgmt. module, which needs to include IPO proceeds.</v>
          </cell>
          <cell r="F369">
            <v>1.1464511079989006</v>
          </cell>
          <cell r="G369">
            <v>1.1385962605448601</v>
          </cell>
          <cell r="H369">
            <v>1.1257683478980927</v>
          </cell>
          <cell r="I369">
            <v>1.126365025663886</v>
          </cell>
          <cell r="J369">
            <v>1.1235266473130896</v>
          </cell>
          <cell r="K369">
            <v>1.1177498847785672</v>
          </cell>
          <cell r="L369">
            <v>1.1131818412359511</v>
          </cell>
        </row>
        <row r="370">
          <cell r="A370" t="str">
            <v>A = Actual    E = Morgan Stanley Research Estimate</v>
          </cell>
          <cell r="B370">
            <v>0.29414947104726175</v>
          </cell>
          <cell r="C370">
            <v>0.47093402798784439</v>
          </cell>
          <cell r="D370">
            <v>0.63680660472826445</v>
          </cell>
          <cell r="E370" t="str">
            <v>Need to hook Retained earnings into operating to GAAP reconciliation</v>
          </cell>
          <cell r="F370">
            <v>0.87225699641520082</v>
          </cell>
          <cell r="G370">
            <v>0.87827444604592619</v>
          </cell>
          <cell r="H370">
            <v>0.88828221353628112</v>
          </cell>
          <cell r="I370">
            <v>0.88781165715847254</v>
          </cell>
          <cell r="J370">
            <v>0.89005454600609324</v>
          </cell>
          <cell r="K370">
            <v>0.89465453194665812</v>
          </cell>
          <cell r="L370">
            <v>0.89832582868016708</v>
          </cell>
        </row>
        <row r="371">
          <cell r="A371" t="str">
            <v>Source: Company data, Morgan Stanley Research</v>
          </cell>
          <cell r="E371" t="str">
            <v>Need to hook APIC and Treasury stock into capital mgmt. module, which needs to include IPO proceeds.</v>
          </cell>
        </row>
        <row r="372">
          <cell r="A372" t="str">
            <v>A = Actual    E = Morgan Stanley Research Estimate</v>
          </cell>
          <cell r="E372" t="str">
            <v>Need to hook Retained earnings into operating to GAAP reconciliation</v>
          </cell>
        </row>
        <row r="373">
          <cell r="A373" t="str">
            <v>Net interest income calculation</v>
          </cell>
          <cell r="C373">
            <v>-8.3780000000000001</v>
          </cell>
          <cell r="D373">
            <v>0</v>
          </cell>
          <cell r="E373">
            <v>-17.582000000000001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</row>
        <row r="374">
          <cell r="A374" t="str">
            <v>Earning assets</v>
          </cell>
          <cell r="B374">
            <v>0</v>
          </cell>
          <cell r="C374">
            <v>69.709999999999994</v>
          </cell>
          <cell r="D374">
            <v>85.320000000000007</v>
          </cell>
          <cell r="E374">
            <v>163.5399881436939</v>
          </cell>
          <cell r="F374">
            <v>238.82530361900456</v>
          </cell>
          <cell r="G374">
            <v>283.21058731769756</v>
          </cell>
          <cell r="H374">
            <v>346.59503415341646</v>
          </cell>
          <cell r="I374">
            <v>355.60196858034504</v>
          </cell>
          <cell r="J374">
            <v>373.13383933397586</v>
          </cell>
          <cell r="K374">
            <v>403.46816899602885</v>
          </cell>
          <cell r="L374">
            <v>430.91344262062279</v>
          </cell>
          <cell r="AJ374" t="str">
            <v>mstag:netIssuanceRepurchaseOfCommonStock</v>
          </cell>
          <cell r="AK374">
            <v>6</v>
          </cell>
          <cell r="AL374" t="str">
            <v>ISO4217:USD</v>
          </cell>
          <cell r="AM374" t="b">
            <v>0</v>
          </cell>
          <cell r="AN374" t="b">
            <v>0</v>
          </cell>
        </row>
        <row r="375">
          <cell r="A375" t="str">
            <v>Average for year</v>
          </cell>
          <cell r="E375">
            <v>124.42999407184695</v>
          </cell>
          <cell r="F375">
            <v>201.18264588134923</v>
          </cell>
          <cell r="G375">
            <v>261.01794546835106</v>
          </cell>
          <cell r="H375">
            <v>314.90281073555701</v>
          </cell>
          <cell r="I375">
            <v>351.09850136688078</v>
          </cell>
          <cell r="J375">
            <v>364.36790395716048</v>
          </cell>
          <cell r="K375">
            <v>388.30100416500238</v>
          </cell>
          <cell r="L375">
            <v>417.19080580832582</v>
          </cell>
        </row>
        <row r="376">
          <cell r="A376" t="str">
            <v>Pre-tax Interest rate / yield assumed on these investments</v>
          </cell>
          <cell r="B376">
            <v>0</v>
          </cell>
          <cell r="C376">
            <v>69.709999999999994</v>
          </cell>
          <cell r="D376">
            <v>85.320000000000007</v>
          </cell>
          <cell r="E376">
            <v>163.53998814369385</v>
          </cell>
          <cell r="F376">
            <v>0.03</v>
          </cell>
          <cell r="G376">
            <v>3.5000000000000003E-2</v>
          </cell>
          <cell r="H376">
            <v>0.04</v>
          </cell>
          <cell r="I376">
            <v>0.04</v>
          </cell>
          <cell r="J376">
            <v>0.04</v>
          </cell>
          <cell r="K376">
            <v>0.04</v>
          </cell>
          <cell r="L376">
            <v>0.04</v>
          </cell>
        </row>
        <row r="377">
          <cell r="A377" t="str">
            <v>Average for year</v>
          </cell>
          <cell r="B377">
            <v>1.556</v>
          </cell>
          <cell r="C377">
            <v>1.613559</v>
          </cell>
          <cell r="D377">
            <v>2.7490000000000001</v>
          </cell>
          <cell r="E377">
            <v>2.5354130000000001</v>
          </cell>
          <cell r="F377">
            <v>6.0354793764404766</v>
          </cell>
          <cell r="G377">
            <v>9.135628091392288</v>
          </cell>
          <cell r="H377">
            <v>12.596112429422281</v>
          </cell>
          <cell r="I377">
            <v>14.043940054675232</v>
          </cell>
          <cell r="J377">
            <v>14.574716158286419</v>
          </cell>
          <cell r="K377">
            <v>15.532040166600096</v>
          </cell>
          <cell r="L377">
            <v>16.687632232333033</v>
          </cell>
          <cell r="AJ377" t="str">
            <v>mstag:interestIncome</v>
          </cell>
          <cell r="AK377">
            <v>6</v>
          </cell>
          <cell r="AL377" t="str">
            <v>ISO4217:USD</v>
          </cell>
          <cell r="AM377" t="b">
            <v>0</v>
          </cell>
          <cell r="AN377" t="b">
            <v>0</v>
          </cell>
        </row>
        <row r="378">
          <cell r="A378" t="str">
            <v>Check with P&amp;L cash item</v>
          </cell>
          <cell r="B378">
            <v>0</v>
          </cell>
          <cell r="C378">
            <v>-1.1174999999999999</v>
          </cell>
          <cell r="D378">
            <v>0</v>
          </cell>
          <cell r="E378">
            <v>0</v>
          </cell>
          <cell r="F378">
            <v>7.3029774649224777E-4</v>
          </cell>
          <cell r="G378">
            <v>1.5682048356211453E-3</v>
          </cell>
          <cell r="H378">
            <v>1.6357383266694114E-3</v>
          </cell>
          <cell r="I378">
            <v>1.6335808543903596E-3</v>
          </cell>
          <cell r="J378">
            <v>1.6322073400854009E-3</v>
          </cell>
          <cell r="K378">
            <v>1.6298774336114263E-3</v>
          </cell>
          <cell r="L378">
            <v>1.6268784173902873E-3</v>
          </cell>
        </row>
        <row r="379">
          <cell r="A379" t="str">
            <v>Net shares issued/(repurchased)</v>
          </cell>
          <cell r="B379">
            <v>1.556</v>
          </cell>
          <cell r="C379">
            <v>1.613559</v>
          </cell>
          <cell r="D379">
            <v>2.7490000000000001</v>
          </cell>
          <cell r="E379">
            <v>2.5354130000000001</v>
          </cell>
          <cell r="F379">
            <v>6.0354793764404757</v>
          </cell>
          <cell r="G379">
            <v>9.135628091392288</v>
          </cell>
          <cell r="H379">
            <v>12.596112429422281</v>
          </cell>
          <cell r="I379">
            <v>14.043940054675232</v>
          </cell>
          <cell r="J379">
            <v>14.574716158286419</v>
          </cell>
          <cell r="K379">
            <v>15.532040166600096</v>
          </cell>
          <cell r="L379">
            <v>16.687632232333033</v>
          </cell>
          <cell r="AJ379" t="str">
            <v>mstag:interestIncome</v>
          </cell>
          <cell r="AK379">
            <v>6</v>
          </cell>
          <cell r="AL379" t="str">
            <v>ISO4217:USD</v>
          </cell>
          <cell r="AM379" t="b">
            <v>0</v>
          </cell>
          <cell r="AN379" t="b">
            <v>0</v>
          </cell>
        </row>
        <row r="380">
          <cell r="A380" t="str">
            <v>Asset/Liability Growth Adjustments</v>
          </cell>
          <cell r="F380">
            <v>7.3029774649313595E-4</v>
          </cell>
          <cell r="G380">
            <v>1.5682048356211453E-3</v>
          </cell>
          <cell r="H380">
            <v>1.6357383266694114E-3</v>
          </cell>
          <cell r="I380">
            <v>1.6335808543903596E-3</v>
          </cell>
          <cell r="J380">
            <v>1.6322073400854009E-3</v>
          </cell>
          <cell r="K380">
            <v>1.6298774336114263E-3</v>
          </cell>
          <cell r="L380">
            <v>1.6268784173902873E-3</v>
          </cell>
        </row>
        <row r="381">
          <cell r="A381" t="str">
            <v>Assets</v>
          </cell>
          <cell r="E381">
            <v>1</v>
          </cell>
          <cell r="F381">
            <v>1</v>
          </cell>
          <cell r="G381">
            <v>1</v>
          </cell>
          <cell r="H381">
            <v>1</v>
          </cell>
          <cell r="I381">
            <v>1</v>
          </cell>
          <cell r="J381">
            <v>1</v>
          </cell>
          <cell r="K381">
            <v>1</v>
          </cell>
          <cell r="L381">
            <v>1</v>
          </cell>
        </row>
        <row r="382">
          <cell r="A382" t="str">
            <v>Liabilities</v>
          </cell>
          <cell r="E382">
            <v>0.875</v>
          </cell>
          <cell r="F382">
            <v>0.9</v>
          </cell>
          <cell r="G382">
            <v>0.9</v>
          </cell>
          <cell r="H382">
            <v>0.9</v>
          </cell>
          <cell r="I382">
            <v>0.9</v>
          </cell>
          <cell r="J382">
            <v>0.9</v>
          </cell>
          <cell r="K382">
            <v>0.9</v>
          </cell>
          <cell r="L382">
            <v>0.9</v>
          </cell>
        </row>
        <row r="383">
          <cell r="A383" t="str">
            <v>Assets</v>
          </cell>
          <cell r="E383">
            <v>1</v>
          </cell>
          <cell r="F383">
            <v>1</v>
          </cell>
          <cell r="G383">
            <v>1</v>
          </cell>
          <cell r="H383">
            <v>1</v>
          </cell>
          <cell r="I383">
            <v>1</v>
          </cell>
          <cell r="J383">
            <v>1</v>
          </cell>
          <cell r="K383">
            <v>1</v>
          </cell>
          <cell r="L383">
            <v>1</v>
          </cell>
        </row>
        <row r="384">
          <cell r="A384" t="str">
            <v>Capital Management</v>
          </cell>
          <cell r="E384">
            <v>0.875</v>
          </cell>
          <cell r="F384">
            <v>0.9</v>
          </cell>
          <cell r="G384">
            <v>0.9</v>
          </cell>
          <cell r="H384">
            <v>0.9</v>
          </cell>
          <cell r="I384">
            <v>0.9</v>
          </cell>
          <cell r="J384">
            <v>0.9</v>
          </cell>
          <cell r="K384">
            <v>0.9</v>
          </cell>
          <cell r="L384">
            <v>0.9</v>
          </cell>
        </row>
        <row r="385">
          <cell r="A385" t="str">
            <v>Amounts</v>
          </cell>
          <cell r="G385">
            <v>30</v>
          </cell>
          <cell r="H385">
            <v>26</v>
          </cell>
          <cell r="I385">
            <v>25</v>
          </cell>
          <cell r="J385">
            <v>23</v>
          </cell>
          <cell r="K385">
            <v>21</v>
          </cell>
          <cell r="L385">
            <v>21</v>
          </cell>
        </row>
        <row r="386">
          <cell r="A386" t="str">
            <v>Common stock issuance</v>
          </cell>
        </row>
        <row r="387">
          <cell r="A387" t="str">
            <v>Common stock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AJ387" t="str">
            <v>mstag:commonDividends</v>
          </cell>
          <cell r="AK387">
            <v>6</v>
          </cell>
          <cell r="AL387" t="str">
            <v>ISO4217:USD</v>
          </cell>
          <cell r="AM387" t="b">
            <v>0</v>
          </cell>
          <cell r="AN387" t="b">
            <v>0</v>
          </cell>
        </row>
        <row r="388">
          <cell r="A388" t="str">
            <v>Additional paid-In capital</v>
          </cell>
          <cell r="B388">
            <v>2.7000000000000135E-2</v>
          </cell>
          <cell r="C388">
            <v>24.073</v>
          </cell>
          <cell r="D388">
            <v>6.4409999999999989</v>
          </cell>
          <cell r="E388">
            <v>99.02915500000006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</row>
        <row r="389">
          <cell r="A389" t="str">
            <v>Common stock in treasury, at cost</v>
          </cell>
          <cell r="B389">
            <v>0</v>
          </cell>
          <cell r="C389">
            <v>-5.5410000000000004</v>
          </cell>
          <cell r="D389">
            <v>0</v>
          </cell>
          <cell r="E389">
            <v>0</v>
          </cell>
          <cell r="F389">
            <v>0</v>
          </cell>
          <cell r="G389">
            <v>-50.961007121632861</v>
          </cell>
          <cell r="H389">
            <v>-56.727469814257624</v>
          </cell>
          <cell r="I389">
            <v>-132.04677837852816</v>
          </cell>
          <cell r="J389">
            <v>-147.18193072319508</v>
          </cell>
          <cell r="K389">
            <v>-161.19253761756315</v>
          </cell>
          <cell r="L389">
            <v>-193.59301897481373</v>
          </cell>
        </row>
        <row r="390">
          <cell r="A390" t="str">
            <v>Total</v>
          </cell>
          <cell r="B390">
            <v>2.7000000000000135E-2</v>
          </cell>
          <cell r="C390">
            <v>18.532</v>
          </cell>
          <cell r="D390">
            <v>6.4409999999999989</v>
          </cell>
          <cell r="E390">
            <v>99.02915500000006</v>
          </cell>
          <cell r="F390">
            <v>0</v>
          </cell>
          <cell r="G390">
            <v>-50.961007121632861</v>
          </cell>
          <cell r="H390">
            <v>-56.727469814257624</v>
          </cell>
          <cell r="I390">
            <v>-132.04677837852816</v>
          </cell>
          <cell r="J390">
            <v>-147.18193072319508</v>
          </cell>
          <cell r="K390">
            <v>-161.19253761756315</v>
          </cell>
          <cell r="L390">
            <v>-193.59301897481373</v>
          </cell>
        </row>
        <row r="391">
          <cell r="A391" t="str">
            <v>Common stock in treasury, at cost</v>
          </cell>
          <cell r="B391">
            <v>0</v>
          </cell>
          <cell r="C391">
            <v>-5.5410000000000004</v>
          </cell>
          <cell r="D391">
            <v>0</v>
          </cell>
          <cell r="E391">
            <v>0</v>
          </cell>
          <cell r="F391">
            <v>0</v>
          </cell>
          <cell r="G391">
            <v>-50.961007121632861</v>
          </cell>
          <cell r="H391">
            <v>-56.727469814257624</v>
          </cell>
          <cell r="I391">
            <v>-132.04677837852816</v>
          </cell>
          <cell r="J391">
            <v>-147.18193072319508</v>
          </cell>
          <cell r="K391">
            <v>-161.19253761756315</v>
          </cell>
          <cell r="L391">
            <v>-193.59301897481373</v>
          </cell>
        </row>
        <row r="392">
          <cell r="A392" t="str">
            <v>Total</v>
          </cell>
          <cell r="B392">
            <v>2.7000000000000135E-2</v>
          </cell>
          <cell r="C392">
            <v>18.532</v>
          </cell>
          <cell r="D392">
            <v>6.4409999999999989</v>
          </cell>
          <cell r="E392">
            <v>99.02915500000006</v>
          </cell>
          <cell r="F392">
            <v>0</v>
          </cell>
          <cell r="G392">
            <v>-50.961007121632861</v>
          </cell>
          <cell r="H392">
            <v>-56.727469814257624</v>
          </cell>
          <cell r="I392">
            <v>-132.04677837852816</v>
          </cell>
          <cell r="J392">
            <v>-147.18193072319508</v>
          </cell>
          <cell r="K392">
            <v>-161.19253761756315</v>
          </cell>
          <cell r="L392">
            <v>-193.59301897481373</v>
          </cell>
        </row>
        <row r="393">
          <cell r="A393" t="str">
            <v>Change in redeemable stock put</v>
          </cell>
          <cell r="C393">
            <v>-8.3780000000000001</v>
          </cell>
          <cell r="D393">
            <v>0</v>
          </cell>
          <cell r="E393">
            <v>-17.582000000000001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</row>
        <row r="394">
          <cell r="A394" t="str">
            <v>Net Share Issuance/(Repurchases)</v>
          </cell>
          <cell r="B394">
            <v>2.7000000000000135E-2</v>
          </cell>
          <cell r="C394">
            <v>10.154</v>
          </cell>
          <cell r="D394">
            <v>6.4409999999999989</v>
          </cell>
          <cell r="E394">
            <v>81.447155000000066</v>
          </cell>
          <cell r="F394">
            <v>0</v>
          </cell>
          <cell r="G394">
            <v>-50.961007121632861</v>
          </cell>
          <cell r="H394">
            <v>-56.727469814257624</v>
          </cell>
          <cell r="I394">
            <v>-132.04677837852816</v>
          </cell>
          <cell r="J394">
            <v>-147.18193072319508</v>
          </cell>
          <cell r="K394">
            <v>-161.19253761756315</v>
          </cell>
          <cell r="L394">
            <v>-193.59301897481373</v>
          </cell>
          <cell r="AJ394" t="str">
            <v>mstag:netIssuanceRepurchaseOfCommonStock</v>
          </cell>
          <cell r="AK394">
            <v>6</v>
          </cell>
          <cell r="AL394" t="str">
            <v>ISO4217:USD</v>
          </cell>
          <cell r="AM394" t="b">
            <v>0</v>
          </cell>
          <cell r="AN394" t="b">
            <v>0</v>
          </cell>
        </row>
        <row r="395">
          <cell r="A395" t="str">
            <v>Change in redeemable stock put</v>
          </cell>
          <cell r="C395">
            <v>-8.3780000000000001</v>
          </cell>
          <cell r="D395">
            <v>0</v>
          </cell>
          <cell r="E395">
            <v>-17.582000000000001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</row>
        <row r="396">
          <cell r="A396" t="str">
            <v>Shares</v>
          </cell>
          <cell r="B396">
            <v>2.7000000000000135E-2</v>
          </cell>
          <cell r="C396">
            <v>10.154</v>
          </cell>
          <cell r="D396">
            <v>6.4409999999999989</v>
          </cell>
          <cell r="E396">
            <v>81.447155000000066</v>
          </cell>
          <cell r="F396">
            <v>0</v>
          </cell>
          <cell r="G396">
            <v>-50.961007121632861</v>
          </cell>
          <cell r="H396">
            <v>-56.727469814257624</v>
          </cell>
          <cell r="I396">
            <v>-132.04677837852816</v>
          </cell>
          <cell r="J396">
            <v>-147.18193072319508</v>
          </cell>
          <cell r="K396">
            <v>-161.19253761756315</v>
          </cell>
          <cell r="L396">
            <v>-193.59301897481373</v>
          </cell>
          <cell r="AJ396" t="str">
            <v>mstag:netIssuanceRepurchaseOfCommonStock</v>
          </cell>
          <cell r="AK396">
            <v>6</v>
          </cell>
          <cell r="AL396" t="str">
            <v>ISO4217:USD</v>
          </cell>
          <cell r="AM396" t="b">
            <v>0</v>
          </cell>
          <cell r="AN396" t="b">
            <v>0</v>
          </cell>
        </row>
        <row r="397">
          <cell r="A397" t="str">
            <v>Est. No. of shares issued</v>
          </cell>
          <cell r="B397">
            <v>18.135166666666663</v>
          </cell>
          <cell r="C397">
            <v>-0.41424999999999534</v>
          </cell>
          <cell r="D397">
            <v>2.2499999999965326E-3</v>
          </cell>
          <cell r="E397">
            <v>2.5005000000000024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</row>
        <row r="398">
          <cell r="A398" t="str">
            <v>Est. No. of shares repurchased</v>
          </cell>
          <cell r="B398">
            <v>0</v>
          </cell>
          <cell r="C398">
            <v>-1.1174999999999999</v>
          </cell>
          <cell r="D398">
            <v>0</v>
          </cell>
          <cell r="E398">
            <v>0</v>
          </cell>
          <cell r="F398">
            <v>0</v>
          </cell>
          <cell r="G398">
            <v>-1</v>
          </cell>
          <cell r="H398">
            <v>-1</v>
          </cell>
          <cell r="I398">
            <v>-2</v>
          </cell>
          <cell r="J398">
            <v>-2</v>
          </cell>
          <cell r="K398">
            <v>-2</v>
          </cell>
          <cell r="L398">
            <v>-2</v>
          </cell>
        </row>
        <row r="399">
          <cell r="A399" t="str">
            <v>Net shares issued/(repurchased)</v>
          </cell>
          <cell r="B399">
            <v>18.135166666666663</v>
          </cell>
          <cell r="C399">
            <v>-1.5317499999999953</v>
          </cell>
          <cell r="D399">
            <v>2.2499999999965326E-3</v>
          </cell>
          <cell r="E399">
            <v>2.5005000000000024</v>
          </cell>
          <cell r="F399">
            <v>0</v>
          </cell>
          <cell r="G399">
            <v>-1</v>
          </cell>
          <cell r="H399">
            <v>-1</v>
          </cell>
          <cell r="I399">
            <v>-2</v>
          </cell>
          <cell r="J399">
            <v>-2</v>
          </cell>
          <cell r="K399">
            <v>-2</v>
          </cell>
          <cell r="L399">
            <v>-2</v>
          </cell>
        </row>
        <row r="400">
          <cell r="A400" t="str">
            <v>Est. No. of shares repurchased</v>
          </cell>
          <cell r="B400">
            <v>0</v>
          </cell>
          <cell r="C400">
            <v>-1.1174999999999999</v>
          </cell>
          <cell r="D400">
            <v>0</v>
          </cell>
          <cell r="E400">
            <v>0</v>
          </cell>
          <cell r="F400">
            <v>0</v>
          </cell>
          <cell r="G400">
            <v>-1</v>
          </cell>
          <cell r="H400">
            <v>-1</v>
          </cell>
          <cell r="I400">
            <v>-2</v>
          </cell>
          <cell r="J400">
            <v>-2</v>
          </cell>
          <cell r="K400">
            <v>-2</v>
          </cell>
          <cell r="L400">
            <v>-2</v>
          </cell>
        </row>
        <row r="401">
          <cell r="A401" t="str">
            <v>Assumed price for stock issuance</v>
          </cell>
          <cell r="B401">
            <v>18.135166666666663</v>
          </cell>
          <cell r="C401">
            <v>-1.5317499999999953</v>
          </cell>
          <cell r="D401">
            <v>2.2499999999965326E-3</v>
          </cell>
          <cell r="E401">
            <v>24.31</v>
          </cell>
          <cell r="F401">
            <v>0</v>
          </cell>
          <cell r="G401">
            <v>-1</v>
          </cell>
          <cell r="H401">
            <v>-1</v>
          </cell>
          <cell r="I401">
            <v>-2</v>
          </cell>
          <cell r="J401">
            <v>-2</v>
          </cell>
          <cell r="K401">
            <v>-2</v>
          </cell>
          <cell r="L401">
            <v>-2</v>
          </cell>
        </row>
        <row r="402">
          <cell r="A402" t="str">
            <v>% Discount to repurchase price</v>
          </cell>
          <cell r="B402">
            <v>-20.790775</v>
          </cell>
          <cell r="C402">
            <v>-6.7828340000000003</v>
          </cell>
          <cell r="D402">
            <v>-6.5448740000000001</v>
          </cell>
          <cell r="E402">
            <v>-10</v>
          </cell>
          <cell r="F402">
            <v>-12</v>
          </cell>
          <cell r="G402">
            <v>-13.667440499999998</v>
          </cell>
          <cell r="H402">
            <v>-14.350812525000006</v>
          </cell>
          <cell r="I402">
            <v>-15.068353151250001</v>
          </cell>
          <cell r="J402">
            <v>-15.821770808812502</v>
          </cell>
          <cell r="K402">
            <v>-15.315378750000008</v>
          </cell>
          <cell r="L402">
            <v>-16.081147687500007</v>
          </cell>
        </row>
        <row r="403">
          <cell r="A403" t="str">
            <v>Assumed price for stock issuance</v>
          </cell>
          <cell r="D403">
            <v>44.283999999999978</v>
          </cell>
          <cell r="E403">
            <v>24.31</v>
          </cell>
          <cell r="F403">
            <v>-1.9884993176033134</v>
          </cell>
          <cell r="G403">
            <v>-2.7743509938861983</v>
          </cell>
          <cell r="H403">
            <v>-3.4725712338292425</v>
          </cell>
          <cell r="I403">
            <v>-4.1772397656381273</v>
          </cell>
          <cell r="J403">
            <v>-4.8727460988005973</v>
          </cell>
          <cell r="K403">
            <v>-5.6292132460623776</v>
          </cell>
          <cell r="L403">
            <v>-6.5210496392328281</v>
          </cell>
        </row>
        <row r="404">
          <cell r="A404" t="str">
            <v>Assumed repurchase price</v>
          </cell>
          <cell r="C404">
            <v>25.935158000000001</v>
          </cell>
          <cell r="D404">
            <v>76.712125999999984</v>
          </cell>
          <cell r="E404">
            <v>45.884824827562269</v>
          </cell>
          <cell r="F404">
            <v>65.863315795281935</v>
          </cell>
          <cell r="G404">
            <v>50.961007121632861</v>
          </cell>
          <cell r="H404">
            <v>56.727469814257624</v>
          </cell>
          <cell r="I404">
            <v>66.02338918926408</v>
          </cell>
          <cell r="J404">
            <v>73.59096536159754</v>
          </cell>
          <cell r="K404">
            <v>80.596268808781574</v>
          </cell>
          <cell r="L404">
            <v>96.796509487406865</v>
          </cell>
        </row>
        <row r="405">
          <cell r="A405" t="str">
            <v>Assumed P/E for stock repurchases</v>
          </cell>
          <cell r="C405">
            <v>1.9388481958766741</v>
          </cell>
          <cell r="D405">
            <v>3.4950169028201743</v>
          </cell>
          <cell r="E405">
            <v>0.84864120602293935</v>
          </cell>
          <cell r="F405">
            <v>0.9706934985557123</v>
          </cell>
          <cell r="G405">
            <v>30</v>
          </cell>
          <cell r="H405">
            <v>26</v>
          </cell>
          <cell r="I405">
            <v>25</v>
          </cell>
          <cell r="J405">
            <v>23</v>
          </cell>
          <cell r="K405">
            <v>21</v>
          </cell>
          <cell r="L405">
            <v>21</v>
          </cell>
        </row>
        <row r="406">
          <cell r="A406" t="str">
            <v>Assumed repurchase price</v>
          </cell>
          <cell r="B406">
            <v>20.790775</v>
          </cell>
          <cell r="C406">
            <v>6.7828340000000003</v>
          </cell>
          <cell r="D406">
            <v>6.5448740000000001</v>
          </cell>
          <cell r="E406">
            <v>10</v>
          </cell>
          <cell r="F406">
            <v>12</v>
          </cell>
          <cell r="G406">
            <v>50.961007121632861</v>
          </cell>
          <cell r="H406">
            <v>56.727469814257624</v>
          </cell>
          <cell r="I406">
            <v>66.02338918926408</v>
          </cell>
          <cell r="J406">
            <v>73.59096536159754</v>
          </cell>
          <cell r="K406">
            <v>80.596268808781574</v>
          </cell>
          <cell r="L406">
            <v>96.796509487406865</v>
          </cell>
        </row>
        <row r="407">
          <cell r="A407" t="str">
            <v>Common dividends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AJ407" t="str">
            <v>mstag:commonDividends</v>
          </cell>
          <cell r="AK407">
            <v>6</v>
          </cell>
          <cell r="AL407" t="str">
            <v>ISO4217:USD</v>
          </cell>
          <cell r="AM407" t="b">
            <v>0</v>
          </cell>
          <cell r="AN407" t="b">
            <v>0</v>
          </cell>
        </row>
        <row r="408">
          <cell r="A408" t="str">
            <v>net working capital</v>
          </cell>
          <cell r="C408">
            <v>30.265999999999995</v>
          </cell>
          <cell r="D408">
            <v>-14.017999999999979</v>
          </cell>
          <cell r="E408">
            <v>-0.50557595904951214</v>
          </cell>
          <cell r="F408">
            <v>1.4829233585538013</v>
          </cell>
          <cell r="G408">
            <v>4.2572743524399996</v>
          </cell>
          <cell r="H408">
            <v>7.7298455862692421</v>
          </cell>
          <cell r="I408">
            <v>11.907085351907369</v>
          </cell>
          <cell r="J408">
            <v>16.779831450707967</v>
          </cell>
          <cell r="K408">
            <v>22.409044696770344</v>
          </cell>
          <cell r="L408">
            <v>28.930094336003172</v>
          </cell>
        </row>
        <row r="409">
          <cell r="A409" t="str">
            <v>Common dividends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AJ409" t="str">
            <v>mstag:commonDividends</v>
          </cell>
          <cell r="AK409">
            <v>6</v>
          </cell>
          <cell r="AL409" t="str">
            <v>ISO4217:USD</v>
          </cell>
          <cell r="AM409" t="b">
            <v>0</v>
          </cell>
          <cell r="AN409" t="b">
            <v>0</v>
          </cell>
        </row>
        <row r="410">
          <cell r="A410" t="str">
            <v>Table XX</v>
          </cell>
          <cell r="C410">
            <v>0.10349999999999999</v>
          </cell>
        </row>
        <row r="411">
          <cell r="A411" t="str">
            <v>IntercontinentalExchange, Inc.</v>
          </cell>
          <cell r="C411">
            <v>4.4999999999999998E-2</v>
          </cell>
        </row>
        <row r="412">
          <cell r="A412" t="str">
            <v>Operating Cash Flow 2002A-2012E</v>
          </cell>
          <cell r="C412">
            <v>1.3</v>
          </cell>
        </row>
        <row r="413">
          <cell r="A413" t="str">
            <v>IntercontinentalExchange, Inc.</v>
          </cell>
          <cell r="C413">
            <v>4.4999999999999998E-2</v>
          </cell>
        </row>
        <row r="414">
          <cell r="A414" t="str">
            <v>($ Millions, Except Per Share Data)</v>
          </cell>
        </row>
        <row r="415">
          <cell r="A415" t="str">
            <v>Present Value of Cash Flows</v>
          </cell>
          <cell r="C415">
            <v>599.12138333564906</v>
          </cell>
        </row>
        <row r="416">
          <cell r="A416" t="str">
            <v>($ Millions, Except Per Share Data)</v>
          </cell>
          <cell r="B416" t="str">
            <v>2002A</v>
          </cell>
          <cell r="C416" t="str">
            <v>2003A</v>
          </cell>
          <cell r="D416" t="str">
            <v>2004A</v>
          </cell>
          <cell r="E416" t="str">
            <v>2005E</v>
          </cell>
          <cell r="F416" t="str">
            <v>2006E</v>
          </cell>
          <cell r="G416" t="str">
            <v>2007E</v>
          </cell>
          <cell r="H416" t="str">
            <v>2008E</v>
          </cell>
          <cell r="I416" t="str">
            <v>2009E</v>
          </cell>
          <cell r="J416" t="str">
            <v>2010E</v>
          </cell>
          <cell r="K416" t="str">
            <v>2011E</v>
          </cell>
          <cell r="L416" t="str">
            <v>2012E</v>
          </cell>
        </row>
        <row r="417">
          <cell r="A417" t="str">
            <v>Terminal Value</v>
          </cell>
          <cell r="C417">
            <v>1610.4283421160289</v>
          </cell>
        </row>
        <row r="418">
          <cell r="A418" t="str">
            <v>Pre-tax income</v>
          </cell>
          <cell r="B418">
            <v>52.444999999999986</v>
          </cell>
          <cell r="C418">
            <v>19.865580000000001</v>
          </cell>
          <cell r="D418">
            <v>33.721999999999994</v>
          </cell>
          <cell r="E418">
            <v>81.858372077327516</v>
          </cell>
          <cell r="F418">
            <v>116.00308801230454</v>
          </cell>
          <cell r="G418">
            <v>149.76646038144497</v>
          </cell>
          <cell r="H418">
            <v>189.05558320625761</v>
          </cell>
          <cell r="I418">
            <v>222.83540171672877</v>
          </cell>
          <cell r="J418">
            <v>260.27890771166653</v>
          </cell>
          <cell r="K418">
            <v>300.57358047841552</v>
          </cell>
          <cell r="L418">
            <v>347.02257674027567</v>
          </cell>
        </row>
        <row r="419">
          <cell r="A419" t="str">
            <v>Taxes</v>
          </cell>
          <cell r="B419">
            <v>17.739000000000001</v>
          </cell>
          <cell r="C419">
            <v>6.4889999999999999</v>
          </cell>
          <cell r="D419">
            <v>11.773</v>
          </cell>
          <cell r="E419">
            <v>27.789792208814781</v>
          </cell>
          <cell r="F419">
            <v>39.441049924183552</v>
          </cell>
          <cell r="G419">
            <v>50.920596529691295</v>
          </cell>
          <cell r="H419">
            <v>64.278898290127586</v>
          </cell>
          <cell r="I419">
            <v>75.764036583687783</v>
          </cell>
          <cell r="J419">
            <v>88.494828621966633</v>
          </cell>
          <cell r="K419">
            <v>102.19501736266129</v>
          </cell>
          <cell r="L419">
            <v>117.98767609169373</v>
          </cell>
        </row>
        <row r="420">
          <cell r="A420" t="str">
            <v>Net income</v>
          </cell>
          <cell r="B420">
            <v>34.705999999999989</v>
          </cell>
          <cell r="C420">
            <v>13.376580000000001</v>
          </cell>
          <cell r="D420">
            <v>21.948999999999995</v>
          </cell>
          <cell r="E420">
            <v>54.068579868512735</v>
          </cell>
          <cell r="F420">
            <v>76.562038088121</v>
          </cell>
          <cell r="G420">
            <v>98.845863851753677</v>
          </cell>
          <cell r="H420">
            <v>124.77668491613002</v>
          </cell>
          <cell r="I420">
            <v>147.07136513304098</v>
          </cell>
          <cell r="J420">
            <v>171.7840790896999</v>
          </cell>
          <cell r="K420">
            <v>198.37856311575422</v>
          </cell>
          <cell r="L420">
            <v>229.03490064858192</v>
          </cell>
        </row>
        <row r="421">
          <cell r="A421" t="str">
            <v>(+) Depreciation and amortization</v>
          </cell>
          <cell r="B421">
            <v>14.368</v>
          </cell>
          <cell r="C421">
            <v>19.341412000000002</v>
          </cell>
          <cell r="D421">
            <v>17.024000000000001</v>
          </cell>
          <cell r="E421">
            <v>15.328669</v>
          </cell>
          <cell r="F421">
            <v>12</v>
          </cell>
          <cell r="G421">
            <v>12.600000000000001</v>
          </cell>
          <cell r="H421">
            <v>13.230000000000002</v>
          </cell>
          <cell r="I421">
            <v>13.891500000000002</v>
          </cell>
          <cell r="J421">
            <v>14.586075000000003</v>
          </cell>
          <cell r="K421">
            <v>15.315378750000004</v>
          </cell>
          <cell r="L421">
            <v>16.081147687500007</v>
          </cell>
        </row>
        <row r="422">
          <cell r="A422" t="str">
            <v>(-) Capex</v>
          </cell>
          <cell r="B422">
            <v>-20.790775</v>
          </cell>
          <cell r="C422">
            <v>-6.7828340000000003</v>
          </cell>
          <cell r="D422">
            <v>-6.5448740000000001</v>
          </cell>
          <cell r="E422">
            <v>-10</v>
          </cell>
          <cell r="F422">
            <v>-12</v>
          </cell>
          <cell r="G422">
            <v>-13.667440499999998</v>
          </cell>
          <cell r="H422">
            <v>-14.350812525000006</v>
          </cell>
          <cell r="I422">
            <v>-15.068353151250001</v>
          </cell>
          <cell r="J422">
            <v>-15.821770808812502</v>
          </cell>
          <cell r="K422">
            <v>-15.315378750000008</v>
          </cell>
          <cell r="L422">
            <v>-16.081147687500007</v>
          </cell>
        </row>
        <row r="423">
          <cell r="A423" t="str">
            <v>(-) Increase in net working capital</v>
          </cell>
          <cell r="B423">
            <v>14.368</v>
          </cell>
          <cell r="C423">
            <v>19.341412000000002</v>
          </cell>
          <cell r="D423">
            <v>44.283999999999978</v>
          </cell>
          <cell r="E423">
            <v>-13.512424040950467</v>
          </cell>
          <cell r="F423">
            <v>-1.6479438164646005</v>
          </cell>
          <cell r="G423">
            <v>-2.9429308865965211</v>
          </cell>
          <cell r="H423">
            <v>-3.8549495107818856</v>
          </cell>
          <cell r="I423">
            <v>-4.6824343877542631</v>
          </cell>
          <cell r="J423">
            <v>-5.4702971119983559</v>
          </cell>
          <cell r="K423">
            <v>-6.333554310925841</v>
          </cell>
          <cell r="L423">
            <v>-7.3487997725011667</v>
          </cell>
        </row>
        <row r="424">
          <cell r="A424" t="str">
            <v>Free Cashflow</v>
          </cell>
          <cell r="B424">
            <v>-20.790775</v>
          </cell>
          <cell r="C424">
            <v>25.935158000000001</v>
          </cell>
          <cell r="D424">
            <v>76.712125999999984</v>
          </cell>
          <cell r="E424">
            <v>45.884824827562269</v>
          </cell>
          <cell r="F424">
            <v>74.914094271656396</v>
          </cell>
          <cell r="G424">
            <v>94.835492465157159</v>
          </cell>
          <cell r="H424">
            <v>119.80092288034811</v>
          </cell>
          <cell r="I424">
            <v>141.21207759403674</v>
          </cell>
          <cell r="J424">
            <v>165.07808616888903</v>
          </cell>
          <cell r="K424">
            <v>192.04500880482837</v>
          </cell>
          <cell r="L424">
            <v>221.68610087608076</v>
          </cell>
        </row>
        <row r="425">
          <cell r="A425" t="str">
            <v>FCF % Net Income</v>
          </cell>
          <cell r="C425">
            <v>1.9388481958766741</v>
          </cell>
          <cell r="D425">
            <v>3.4950169028201743</v>
          </cell>
          <cell r="E425">
            <v>0.84864120602293935</v>
          </cell>
          <cell r="F425">
            <v>0.9784757060076188</v>
          </cell>
          <cell r="G425">
            <v>0.95942803036643842</v>
          </cell>
          <cell r="H425">
            <v>0.96012266202514973</v>
          </cell>
          <cell r="I425">
            <v>0.96016024238502229</v>
          </cell>
          <cell r="J425">
            <v>0.9609626633833207</v>
          </cell>
          <cell r="K425">
            <v>0.96807339355900968</v>
          </cell>
          <cell r="L425">
            <v>0.9679140613430931</v>
          </cell>
        </row>
        <row r="426">
          <cell r="A426" t="str">
            <v>Capital expenditure</v>
          </cell>
          <cell r="B426">
            <v>20.790775</v>
          </cell>
          <cell r="C426">
            <v>6.7828340000000003</v>
          </cell>
          <cell r="D426">
            <v>6.5448740000000001</v>
          </cell>
          <cell r="E426">
            <v>10</v>
          </cell>
          <cell r="F426">
            <v>12</v>
          </cell>
          <cell r="G426">
            <v>13.667440499999998</v>
          </cell>
          <cell r="H426">
            <v>14.350812525000006</v>
          </cell>
          <cell r="I426">
            <v>15.068353151250001</v>
          </cell>
          <cell r="J426">
            <v>15.821770808812502</v>
          </cell>
          <cell r="K426">
            <v>15.315378750000008</v>
          </cell>
          <cell r="L426">
            <v>16.081147687500007</v>
          </cell>
        </row>
        <row r="427">
          <cell r="A427" t="str">
            <v>%revenue</v>
          </cell>
          <cell r="B427">
            <v>0.16567674715116745</v>
          </cell>
          <cell r="C427">
            <v>7.2353818854522578E-2</v>
          </cell>
          <cell r="D427">
            <v>6.0369269651521021E-2</v>
          </cell>
          <cell r="E427">
            <v>6.3678981695330358E-2</v>
          </cell>
          <cell r="F427">
            <v>5.8558737286429602E-2</v>
          </cell>
          <cell r="G427">
            <v>5.5355227199645411E-2</v>
          </cell>
          <cell r="H427">
            <v>4.8816674734510429E-2</v>
          </cell>
          <cell r="I427">
            <v>4.4412012456790592E-2</v>
          </cell>
          <cell r="J427">
            <v>4.0750938923823123E-2</v>
          </cell>
          <cell r="K427">
            <v>3.4585939761651141E-2</v>
          </cell>
          <cell r="L427">
            <v>3.183742754978805E-2</v>
          </cell>
        </row>
        <row r="428">
          <cell r="A428" t="str">
            <v>net working capital</v>
          </cell>
          <cell r="B428">
            <v>20.790775</v>
          </cell>
          <cell r="C428">
            <v>30.265999999999995</v>
          </cell>
          <cell r="D428">
            <v>-14.017999999999979</v>
          </cell>
          <cell r="E428">
            <v>-0.50557595904951214</v>
          </cell>
          <cell r="F428">
            <v>1.1423678574150884</v>
          </cell>
          <cell r="G428">
            <v>4.0852987440116095</v>
          </cell>
          <cell r="H428">
            <v>7.9402482547934952</v>
          </cell>
          <cell r="I428">
            <v>12.622682642547758</v>
          </cell>
          <cell r="J428">
            <v>18.092979754546114</v>
          </cell>
          <cell r="K428">
            <v>24.426534065471955</v>
          </cell>
          <cell r="L428">
            <v>31.775333837973122</v>
          </cell>
        </row>
        <row r="429">
          <cell r="A429" t="str">
            <v>%revenue</v>
          </cell>
          <cell r="B429">
            <v>0.16567674715116745</v>
          </cell>
          <cell r="C429">
            <v>7.2353818854522578E-2</v>
          </cell>
          <cell r="D429">
            <v>6.0369269651521021E-2</v>
          </cell>
          <cell r="E429">
            <v>6.3678981695330358E-2</v>
          </cell>
          <cell r="F429">
            <v>5.8558737286429602E-2</v>
          </cell>
          <cell r="G429">
            <v>5.5355227199645411E-2</v>
          </cell>
          <cell r="H429">
            <v>4.8816674734510429E-2</v>
          </cell>
          <cell r="I429">
            <v>4.4412012456790592E-2</v>
          </cell>
          <cell r="J429">
            <v>4.0750938923823123E-2</v>
          </cell>
          <cell r="K429">
            <v>3.4585939761651141E-2</v>
          </cell>
          <cell r="L429">
            <v>3.183742754978805E-2</v>
          </cell>
        </row>
        <row r="430">
          <cell r="A430" t="str">
            <v>Discount Rate (%)</v>
          </cell>
          <cell r="C430">
            <v>0.10349999999999999</v>
          </cell>
          <cell r="D430">
            <v>-14.017999999999979</v>
          </cell>
          <cell r="E430">
            <v>-0.50557595904951214</v>
          </cell>
          <cell r="F430">
            <v>1.1423678574150884</v>
          </cell>
          <cell r="G430">
            <v>4.0852987440116095</v>
          </cell>
          <cell r="H430">
            <v>7.9402482547934952</v>
          </cell>
          <cell r="I430">
            <v>12.622682642547758</v>
          </cell>
          <cell r="J430">
            <v>18.092979754546114</v>
          </cell>
          <cell r="K430">
            <v>24.426534065471955</v>
          </cell>
          <cell r="L430">
            <v>31.775333837973122</v>
          </cell>
        </row>
        <row r="431">
          <cell r="A431" t="str">
            <v>Risk Free Rate</v>
          </cell>
          <cell r="B431">
            <v>0.35</v>
          </cell>
          <cell r="C431">
            <v>4.4999999999999998E-2</v>
          </cell>
          <cell r="D431">
            <v>0.35</v>
          </cell>
          <cell r="E431">
            <v>0.35</v>
          </cell>
          <cell r="F431">
            <v>0.35</v>
          </cell>
          <cell r="G431">
            <v>0.35</v>
          </cell>
          <cell r="H431">
            <v>0.35</v>
          </cell>
          <cell r="I431">
            <v>0.35</v>
          </cell>
          <cell r="J431">
            <v>0.35</v>
          </cell>
          <cell r="K431">
            <v>0.35</v>
          </cell>
          <cell r="L431">
            <v>0.35</v>
          </cell>
          <cell r="AJ431" t="str">
            <v>mstag:statutoryTaxRate</v>
          </cell>
          <cell r="AK431">
            <v>0</v>
          </cell>
          <cell r="AL431" t="str">
            <v>ms_eqr_gcim_Decimal:ms_eqr_gcim_decimal</v>
          </cell>
          <cell r="AM431" t="b">
            <v>0</v>
          </cell>
          <cell r="AN431" t="b">
            <v>0</v>
          </cell>
        </row>
        <row r="432">
          <cell r="A432" t="str">
            <v>Beta</v>
          </cell>
          <cell r="B432">
            <v>0</v>
          </cell>
          <cell r="C432">
            <v>1.3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AJ432" t="str">
            <v>mstag:unrecordedGoodwillFromPoolingAndAmortizedOrWrittenOffGoodwill</v>
          </cell>
          <cell r="AK432">
            <v>6</v>
          </cell>
          <cell r="AL432" t="str">
            <v>ISO4217:USD</v>
          </cell>
          <cell r="AM432" t="b">
            <v>0</v>
          </cell>
          <cell r="AN432" t="b">
            <v>0</v>
          </cell>
        </row>
        <row r="433">
          <cell r="A433" t="str">
            <v>Risk Premium</v>
          </cell>
          <cell r="C433">
            <v>4.4999999999999998E-2</v>
          </cell>
          <cell r="D433" t="str">
            <v>2004-FY</v>
          </cell>
          <cell r="E433" t="str">
            <v>2005-FY</v>
          </cell>
          <cell r="F433" t="str">
            <v>2006-FY</v>
          </cell>
          <cell r="G433" t="str">
            <v>2007-FY</v>
          </cell>
          <cell r="H433" t="str">
            <v>2008-FY</v>
          </cell>
          <cell r="I433" t="str">
            <v>2009-FY</v>
          </cell>
          <cell r="J433" t="str">
            <v>2010-FY</v>
          </cell>
          <cell r="K433" t="str">
            <v>2011-FY</v>
          </cell>
          <cell r="L433" t="str">
            <v>2012-FY</v>
          </cell>
        </row>
        <row r="434">
          <cell r="A434" t="str">
            <v>Beta</v>
          </cell>
          <cell r="C434">
            <v>1.3</v>
          </cell>
        </row>
        <row r="435">
          <cell r="A435" t="str">
            <v>Present Value of Cash Flows</v>
          </cell>
          <cell r="C435">
            <v>694.54017586487612</v>
          </cell>
        </row>
        <row r="436">
          <cell r="A436" t="str">
            <v>Terminal Growth Rate</v>
          </cell>
          <cell r="C436">
            <v>0.05</v>
          </cell>
        </row>
        <row r="437">
          <cell r="A437" t="str">
            <v>Terminal Value</v>
          </cell>
          <cell r="C437">
            <v>1891.6125165529859</v>
          </cell>
        </row>
        <row r="438">
          <cell r="A438" t="str">
            <v>Terminal Growth Rate</v>
          </cell>
          <cell r="C438">
            <v>0.05</v>
          </cell>
        </row>
        <row r="439">
          <cell r="A439" t="str">
            <v>Total Enterprise Value</v>
          </cell>
          <cell r="C439">
            <v>2586.152692417862</v>
          </cell>
        </row>
        <row r="440">
          <cell r="A440" t="str">
            <v>Less: Net Debt</v>
          </cell>
          <cell r="C440">
            <v>0</v>
          </cell>
        </row>
        <row r="441">
          <cell r="A441" t="str">
            <v>Total Enterprise Value</v>
          </cell>
          <cell r="C441">
            <v>2586.152692417862</v>
          </cell>
        </row>
        <row r="442">
          <cell r="A442" t="str">
            <v>Total Market Cap</v>
          </cell>
          <cell r="C442">
            <v>2586.152692417862</v>
          </cell>
        </row>
        <row r="443">
          <cell r="A443" t="str">
            <v>Fully Diluted Shares Oustanding</v>
          </cell>
          <cell r="C443">
            <v>58.689115228333335</v>
          </cell>
        </row>
        <row r="444">
          <cell r="A444" t="str">
            <v>Implied Price</v>
          </cell>
          <cell r="C444">
            <v>44.065286763248828</v>
          </cell>
        </row>
        <row r="445">
          <cell r="A445" t="str">
            <v>Assuming 15% IPO discount</v>
          </cell>
          <cell r="C445">
            <v>37.455493748761505</v>
          </cell>
        </row>
        <row r="446">
          <cell r="A446" t="str">
            <v>Implied P/E to '05 Earnings</v>
          </cell>
          <cell r="C446">
            <v>43.798339809717945</v>
          </cell>
        </row>
        <row r="447">
          <cell r="A447" t="str">
            <v>Implied P/E to '06 Earnings</v>
          </cell>
          <cell r="C447">
            <v>33.778524670950695</v>
          </cell>
        </row>
        <row r="448">
          <cell r="A448" t="str">
            <v>12 month fair value</v>
          </cell>
          <cell r="C448">
            <v>49.022631524114324</v>
          </cell>
        </row>
        <row r="449">
          <cell r="A449" t="str">
            <v>Implied P/E to '06 Earnings</v>
          </cell>
          <cell r="C449">
            <v>33.778524670950695</v>
          </cell>
        </row>
        <row r="450">
          <cell r="A450" t="str">
            <v>Modelware items:</v>
          </cell>
          <cell r="C450">
            <v>49.022631524114324</v>
          </cell>
        </row>
        <row r="451">
          <cell r="A451" t="str">
            <v>Statutory tax rate</v>
          </cell>
          <cell r="B451">
            <v>0.35</v>
          </cell>
          <cell r="C451">
            <v>0.35</v>
          </cell>
          <cell r="D451">
            <v>0.35</v>
          </cell>
          <cell r="E451">
            <v>0.35</v>
          </cell>
          <cell r="F451">
            <v>0.35</v>
          </cell>
          <cell r="G451">
            <v>0.35</v>
          </cell>
          <cell r="H451">
            <v>0.35</v>
          </cell>
          <cell r="I451">
            <v>0.35</v>
          </cell>
          <cell r="J451">
            <v>0.35</v>
          </cell>
          <cell r="K451">
            <v>0.35</v>
          </cell>
          <cell r="L451">
            <v>0.35</v>
          </cell>
          <cell r="AJ451" t="str">
            <v>mstag:statutoryTaxRate</v>
          </cell>
          <cell r="AK451">
            <v>0</v>
          </cell>
          <cell r="AL451" t="str">
            <v>ms_eqr_gcim_Decimal:ms_eqr_gcim_decimal</v>
          </cell>
          <cell r="AM451" t="b">
            <v>0</v>
          </cell>
          <cell r="AN451" t="b">
            <v>0</v>
          </cell>
        </row>
        <row r="452">
          <cell r="A452" t="str">
            <v>Unrecorded goodwill</v>
          </cell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AJ452" t="str">
            <v>mstag:unrecordedGoodwillFromPoolingAndAmortizedOrWrittenOffGoodwill</v>
          </cell>
          <cell r="AK452">
            <v>6</v>
          </cell>
          <cell r="AL452" t="str">
            <v>ISO4217:USD</v>
          </cell>
          <cell r="AM452" t="b">
            <v>0</v>
          </cell>
          <cell r="AN452" t="b">
            <v>0</v>
          </cell>
        </row>
        <row r="453">
          <cell r="A453" t="str">
            <v>Statutory tax rate</v>
          </cell>
          <cell r="B453">
            <v>0.35</v>
          </cell>
          <cell r="C453" t="str">
            <v>2003-FY</v>
          </cell>
          <cell r="D453" t="str">
            <v>2004-FY</v>
          </cell>
          <cell r="E453" t="str">
            <v>2005-FY</v>
          </cell>
          <cell r="F453" t="str">
            <v>2006-FY</v>
          </cell>
          <cell r="G453" t="str">
            <v>2007-FY</v>
          </cell>
          <cell r="H453" t="str">
            <v>2008-FY</v>
          </cell>
          <cell r="I453" t="str">
            <v>2009-FY</v>
          </cell>
          <cell r="J453" t="str">
            <v>2010-FY</v>
          </cell>
          <cell r="K453" t="str">
            <v>2011-FY</v>
          </cell>
          <cell r="L453" t="str">
            <v>2012-FY</v>
          </cell>
          <cell r="AJ453" t="str">
            <v>mstag:statutoryTaxRate</v>
          </cell>
          <cell r="AK453">
            <v>0</v>
          </cell>
          <cell r="AL453" t="str">
            <v>ms_eqr_gcim_Decimal:ms_eqr_gcim_decimal</v>
          </cell>
          <cell r="AM453" t="b">
            <v>0</v>
          </cell>
          <cell r="AN453" t="b">
            <v>0</v>
          </cell>
        </row>
        <row r="454">
          <cell r="A454" t="str">
            <v>Unrecorded goodwill</v>
          </cell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AJ454" t="str">
            <v>mstag:unrecordedGoodwillFromPoolingAndAmortizedOrWrittenOffGoodwill</v>
          </cell>
          <cell r="AK454">
            <v>6</v>
          </cell>
          <cell r="AL454" t="str">
            <v>ISO4217:USD</v>
          </cell>
          <cell r="AM454" t="b">
            <v>0</v>
          </cell>
          <cell r="AN454" t="b">
            <v>0</v>
          </cell>
        </row>
        <row r="455">
          <cell r="C455" t="str">
            <v>2003-FY</v>
          </cell>
          <cell r="D455" t="str">
            <v>2004-FY</v>
          </cell>
          <cell r="E455" t="str">
            <v>2005-FY</v>
          </cell>
          <cell r="F455" t="str">
            <v>2006-FY</v>
          </cell>
          <cell r="G455" t="str">
            <v>2007-FY</v>
          </cell>
          <cell r="H455" t="str">
            <v>2008-FY</v>
          </cell>
          <cell r="I455" t="str">
            <v>2009-FY</v>
          </cell>
          <cell r="J455" t="str">
            <v>2010-FY</v>
          </cell>
          <cell r="K455" t="str">
            <v>2011-FY</v>
          </cell>
          <cell r="L455" t="str">
            <v>2012-FY</v>
          </cell>
        </row>
      </sheetData>
      <sheetData sheetId="2" refreshError="1">
        <row r="1">
          <cell r="A1" t="str">
            <v>Table XX</v>
          </cell>
          <cell r="H1" t="str">
            <v>Table XX</v>
          </cell>
          <cell r="O1" t="str">
            <v>Table XX</v>
          </cell>
          <cell r="Z1" t="str">
            <v>Table XX</v>
          </cell>
          <cell r="BD1" t="str">
            <v>ElementName</v>
          </cell>
          <cell r="BE1" t="str">
            <v>ScaleOverride</v>
          </cell>
          <cell r="BF1" t="str">
            <v>UnitOverride</v>
          </cell>
          <cell r="BG1" t="str">
            <v>ReverseSign</v>
          </cell>
          <cell r="BH1" t="str">
            <v>IsDrivingAssumption</v>
          </cell>
          <cell r="BI1" t="str">
            <v>SegmentID</v>
          </cell>
        </row>
        <row r="2">
          <cell r="A2" t="str">
            <v>IntercontinentalExchange, Inc.</v>
          </cell>
          <cell r="H2" t="str">
            <v>IntercontinentalExchange, Inc.</v>
          </cell>
          <cell r="O2" t="str">
            <v>IntercontinentalExchange, Inc.</v>
          </cell>
          <cell r="Z2" t="str">
            <v>IntercontinentalExchange, Inc.</v>
          </cell>
        </row>
        <row r="3">
          <cell r="A3" t="str">
            <v>Quarterly Earnings 2003A</v>
          </cell>
          <cell r="H3" t="str">
            <v>Quarterly Earnings 2004A</v>
          </cell>
          <cell r="O3" t="str">
            <v>Quarterly Earnings 2005E</v>
          </cell>
          <cell r="Z3" t="str">
            <v>Quarterly Earnings 2006E</v>
          </cell>
        </row>
        <row r="5">
          <cell r="A5" t="str">
            <v>($ Millions)</v>
          </cell>
          <cell r="H5" t="str">
            <v>($ Millions)</v>
          </cell>
          <cell r="O5" t="str">
            <v>($ Millions)</v>
          </cell>
          <cell r="Z5" t="str">
            <v>($ Millions)</v>
          </cell>
        </row>
        <row r="6">
          <cell r="B6" t="str">
            <v>1Q</v>
          </cell>
          <cell r="C6" t="str">
            <v>2Q</v>
          </cell>
          <cell r="D6" t="str">
            <v>3Q</v>
          </cell>
          <cell r="E6" t="str">
            <v>4Q</v>
          </cell>
          <cell r="F6" t="str">
            <v>Full Year</v>
          </cell>
          <cell r="I6" t="str">
            <v>1Q</v>
          </cell>
          <cell r="J6" t="str">
            <v>2Q</v>
          </cell>
          <cell r="K6" t="str">
            <v>3Q</v>
          </cell>
          <cell r="L6" t="str">
            <v>4Q</v>
          </cell>
          <cell r="M6" t="str">
            <v>Full Year</v>
          </cell>
          <cell r="P6" t="str">
            <v>1Q</v>
          </cell>
          <cell r="Q6" t="str">
            <v>2Q</v>
          </cell>
          <cell r="R6" t="str">
            <v>3Q</v>
          </cell>
          <cell r="S6" t="str">
            <v>4Q</v>
          </cell>
          <cell r="T6" t="str">
            <v>Full Yr.</v>
          </cell>
          <cell r="AA6" t="str">
            <v>1Q</v>
          </cell>
          <cell r="AB6" t="str">
            <v>2Q</v>
          </cell>
          <cell r="AC6" t="str">
            <v>3Q</v>
          </cell>
          <cell r="AD6" t="str">
            <v>4Q</v>
          </cell>
          <cell r="AE6" t="str">
            <v>Full Yr.</v>
          </cell>
        </row>
        <row r="7">
          <cell r="B7" t="str">
            <v>2003A</v>
          </cell>
          <cell r="C7" t="str">
            <v>2003A</v>
          </cell>
          <cell r="D7" t="str">
            <v>2003A</v>
          </cell>
          <cell r="E7" t="str">
            <v>2003A</v>
          </cell>
          <cell r="F7" t="str">
            <v>2003A</v>
          </cell>
          <cell r="I7" t="str">
            <v>2004A</v>
          </cell>
          <cell r="J7" t="str">
            <v>2004A</v>
          </cell>
          <cell r="K7" t="str">
            <v>2004A</v>
          </cell>
          <cell r="L7" t="str">
            <v>2004A</v>
          </cell>
          <cell r="M7" t="str">
            <v>2004A</v>
          </cell>
          <cell r="P7" t="str">
            <v>2005A</v>
          </cell>
          <cell r="Q7" t="str">
            <v>2005A</v>
          </cell>
          <cell r="R7" t="str">
            <v>2005A</v>
          </cell>
          <cell r="S7" t="str">
            <v>2005E</v>
          </cell>
          <cell r="T7" t="str">
            <v>2005E</v>
          </cell>
          <cell r="AA7" t="str">
            <v>2006E</v>
          </cell>
          <cell r="AB7" t="str">
            <v>2006E</v>
          </cell>
          <cell r="AC7" t="str">
            <v>2006E</v>
          </cell>
          <cell r="AD7" t="str">
            <v>2006E</v>
          </cell>
          <cell r="AE7" t="str">
            <v>2006E</v>
          </cell>
        </row>
        <row r="9">
          <cell r="A9" t="str">
            <v>REVENUE</v>
          </cell>
          <cell r="H9" t="str">
            <v>REVENUE</v>
          </cell>
          <cell r="O9" t="str">
            <v>REVENUE</v>
          </cell>
          <cell r="Z9" t="str">
            <v>REVENUE</v>
          </cell>
          <cell r="AH9" t="str">
            <v>Company forecasts</v>
          </cell>
        </row>
        <row r="10">
          <cell r="A10" t="str">
            <v>Futures</v>
          </cell>
          <cell r="E10">
            <v>10.275</v>
          </cell>
          <cell r="H10" t="str">
            <v>Futures</v>
          </cell>
          <cell r="I10">
            <v>11.865</v>
          </cell>
          <cell r="J10">
            <v>11.723000000000001</v>
          </cell>
          <cell r="K10">
            <v>12.125999999999999</v>
          </cell>
          <cell r="L10">
            <v>9.7850000000000001</v>
          </cell>
          <cell r="M10">
            <v>45.498999999999995</v>
          </cell>
          <cell r="O10" t="str">
            <v>Futures</v>
          </cell>
          <cell r="P10">
            <v>12.058</v>
          </cell>
          <cell r="Q10">
            <v>13.87</v>
          </cell>
          <cell r="R10">
            <v>16.042497999999998</v>
          </cell>
          <cell r="S10">
            <v>16.024683485124996</v>
          </cell>
          <cell r="T10">
            <v>57.995181485124988</v>
          </cell>
          <cell r="Z10" t="str">
            <v>Futures</v>
          </cell>
          <cell r="AA10">
            <v>20.423774361304265</v>
          </cell>
          <cell r="AB10">
            <v>21.321623815311717</v>
          </cell>
          <cell r="AC10">
            <v>23.812380393829997</v>
          </cell>
          <cell r="AD10">
            <v>25.107410404261394</v>
          </cell>
          <cell r="AE10">
            <v>90.665188974707377</v>
          </cell>
          <cell r="AG10">
            <v>73.547269</v>
          </cell>
          <cell r="AH10">
            <v>74.59</v>
          </cell>
          <cell r="AI10">
            <v>72</v>
          </cell>
          <cell r="AJ10" t="str">
            <v xml:space="preserve">we use a lower exchange rate and lower q3 volume jump than company. Company also assumes a big jump in brent futures from q1. not sure why. </v>
          </cell>
        </row>
        <row r="11">
          <cell r="A11" t="str">
            <v>OTC</v>
          </cell>
          <cell r="E11">
            <v>8.2759999999999998</v>
          </cell>
          <cell r="H11" t="str">
            <v>OTC</v>
          </cell>
          <cell r="I11">
            <v>8.4949999999999992</v>
          </cell>
          <cell r="J11">
            <v>10.538000000000002</v>
          </cell>
          <cell r="K11">
            <v>13.084999999999999</v>
          </cell>
          <cell r="L11">
            <v>13.289</v>
          </cell>
          <cell r="M11">
            <v>45.407000000000004</v>
          </cell>
          <cell r="O11" t="str">
            <v>OTC</v>
          </cell>
          <cell r="P11">
            <v>15.027000000000001</v>
          </cell>
          <cell r="Q11">
            <v>19.164536999999999</v>
          </cell>
          <cell r="R11">
            <v>24.616927</v>
          </cell>
          <cell r="S11">
            <v>21.722882218474997</v>
          </cell>
          <cell r="T11">
            <v>80.531346218474994</v>
          </cell>
          <cell r="Z11" t="str">
            <v>OTC</v>
          </cell>
          <cell r="AA11">
            <v>20.030978798795047</v>
          </cell>
          <cell r="AB11">
            <v>23.257320435388284</v>
          </cell>
          <cell r="AC11">
            <v>25.90742694428581</v>
          </cell>
          <cell r="AD11">
            <v>24.673476682685369</v>
          </cell>
          <cell r="AE11">
            <v>93.869202861154491</v>
          </cell>
          <cell r="AG11">
            <v>91.859876999999997</v>
          </cell>
          <cell r="AH11">
            <v>88.7</v>
          </cell>
          <cell r="AI11">
            <v>84.9</v>
          </cell>
          <cell r="AJ11" t="str">
            <v>we assume a degree of q3 seasonailty that co is not forecasting. We're more bullish on gas/power trading vs oil (after conversation with nancy king)</v>
          </cell>
        </row>
        <row r="12">
          <cell r="A12" t="str">
            <v>Total transaction fees, net</v>
          </cell>
          <cell r="B12">
            <v>21.571055999999999</v>
          </cell>
          <cell r="C12">
            <v>23.808292999999999</v>
          </cell>
          <cell r="D12">
            <v>17.502526</v>
          </cell>
          <cell r="E12">
            <v>18.551000000000002</v>
          </cell>
          <cell r="F12">
            <v>81.432874999999996</v>
          </cell>
          <cell r="H12" t="str">
            <v>Total transaction fees, net</v>
          </cell>
          <cell r="I12">
            <v>20.36</v>
          </cell>
          <cell r="J12">
            <v>22.261000000000003</v>
          </cell>
          <cell r="K12">
            <v>25.210999999999999</v>
          </cell>
          <cell r="L12">
            <v>23.073999999999998</v>
          </cell>
          <cell r="M12">
            <v>90.906000000000006</v>
          </cell>
          <cell r="O12" t="str">
            <v>Total transaction fees, net</v>
          </cell>
          <cell r="P12">
            <v>27.085000000000001</v>
          </cell>
          <cell r="Q12">
            <v>33.034537</v>
          </cell>
          <cell r="R12">
            <v>40.659424999999999</v>
          </cell>
          <cell r="S12">
            <v>37.747565703599989</v>
          </cell>
          <cell r="T12">
            <v>138.52652770359998</v>
          </cell>
          <cell r="Z12" t="str">
            <v>Total transaction fees, net</v>
          </cell>
          <cell r="AA12">
            <v>40.454753160099315</v>
          </cell>
          <cell r="AB12">
            <v>44.578944250700005</v>
          </cell>
          <cell r="AC12">
            <v>49.719807338115807</v>
          </cell>
          <cell r="AD12">
            <v>49.780887086946763</v>
          </cell>
          <cell r="AE12">
            <v>184.53439183586187</v>
          </cell>
          <cell r="AG12">
            <v>165.40714600000001</v>
          </cell>
          <cell r="BD12" t="str">
            <v>mstag:transactionClearingAndSettlementFees</v>
          </cell>
          <cell r="BE12">
            <v>6</v>
          </cell>
          <cell r="BF12" t="str">
            <v>ISO4217:USD</v>
          </cell>
          <cell r="BG12" t="b">
            <v>0</v>
          </cell>
          <cell r="BH12" t="b">
            <v>0</v>
          </cell>
        </row>
        <row r="13">
          <cell r="A13" t="str">
            <v>Data services fees</v>
          </cell>
          <cell r="B13">
            <v>1.737412</v>
          </cell>
          <cell r="C13">
            <v>1.945972</v>
          </cell>
          <cell r="D13">
            <v>1.9539869999999999</v>
          </cell>
          <cell r="E13">
            <v>2.105</v>
          </cell>
          <cell r="F13">
            <v>7.7423710000000003</v>
          </cell>
          <cell r="H13" t="str">
            <v>Data services fees</v>
          </cell>
          <cell r="I13">
            <v>2.13</v>
          </cell>
          <cell r="J13">
            <v>2.3820000000000001</v>
          </cell>
          <cell r="K13">
            <v>2.5009999999999999</v>
          </cell>
          <cell r="L13">
            <v>2.6779999999999999</v>
          </cell>
          <cell r="M13">
            <v>9.6909999999999989</v>
          </cell>
          <cell r="O13" t="str">
            <v>Data services fees</v>
          </cell>
          <cell r="P13">
            <v>2.6859999999999999</v>
          </cell>
          <cell r="Q13">
            <v>2.7991579999999998</v>
          </cell>
          <cell r="R13">
            <v>2.9977119999999999</v>
          </cell>
          <cell r="S13">
            <v>3.0876433599999999</v>
          </cell>
          <cell r="T13">
            <v>11.57051336</v>
          </cell>
          <cell r="Z13" t="str">
            <v>Data services fees</v>
          </cell>
          <cell r="AA13">
            <v>3.2420255280000001</v>
          </cell>
          <cell r="AB13">
            <v>3.4041268044000002</v>
          </cell>
          <cell r="AC13">
            <v>3.5743331446200002</v>
          </cell>
          <cell r="AD13">
            <v>3.7530498018510006</v>
          </cell>
          <cell r="AE13">
            <v>13.973535278871001</v>
          </cell>
          <cell r="AG13">
            <v>14.284000000000001</v>
          </cell>
          <cell r="AH13" t="str">
            <v>13.48 in 10/7 forecast vs. 13.69 in 10/5 forecast due to lower US$ assumption</v>
          </cell>
          <cell r="BD13" t="str">
            <v>mstag:marketDataFees</v>
          </cell>
          <cell r="BE13">
            <v>6</v>
          </cell>
          <cell r="BF13" t="str">
            <v>ISO4217:USD</v>
          </cell>
          <cell r="BG13" t="b">
            <v>0</v>
          </cell>
          <cell r="BH13" t="b">
            <v>0</v>
          </cell>
        </row>
        <row r="14">
          <cell r="A14" t="str">
            <v>Trading access fees</v>
          </cell>
          <cell r="B14">
            <v>0.499755</v>
          </cell>
          <cell r="C14">
            <v>0.58453900000000003</v>
          </cell>
          <cell r="D14">
            <v>0.62121099999999996</v>
          </cell>
          <cell r="E14">
            <v>0.755</v>
          </cell>
          <cell r="F14">
            <v>2.4605049999999999</v>
          </cell>
          <cell r="H14" t="str">
            <v>Trading access fees</v>
          </cell>
          <cell r="I14">
            <v>0.92500000000000004</v>
          </cell>
          <cell r="J14">
            <v>0.85899999999999999</v>
          </cell>
          <cell r="K14">
            <v>0.84199999999999997</v>
          </cell>
          <cell r="L14">
            <v>0.96899999999999997</v>
          </cell>
          <cell r="M14">
            <v>3.5949999999999998</v>
          </cell>
          <cell r="O14" t="str">
            <v>Trading access fees</v>
          </cell>
          <cell r="P14">
            <v>1.069</v>
          </cell>
          <cell r="Q14">
            <v>0.91643799999999997</v>
          </cell>
          <cell r="R14">
            <v>1.0111019999999999</v>
          </cell>
          <cell r="S14">
            <v>0.94961999999999991</v>
          </cell>
          <cell r="T14">
            <v>3.9461599999999994</v>
          </cell>
          <cell r="Z14" t="str">
            <v>Trading access fees</v>
          </cell>
          <cell r="AA14">
            <v>0.99416999999999989</v>
          </cell>
          <cell r="AB14">
            <v>0.98058866</v>
          </cell>
          <cell r="AC14">
            <v>1.0616570999999999</v>
          </cell>
          <cell r="AD14">
            <v>0.97810859999999988</v>
          </cell>
          <cell r="AE14">
            <v>4.0145243599999993</v>
          </cell>
          <cell r="AG14">
            <v>3.7769979999999999</v>
          </cell>
          <cell r="BD14" t="str">
            <v>mstag:otherFeesAndCommissions</v>
          </cell>
          <cell r="BE14">
            <v>6</v>
          </cell>
          <cell r="BF14" t="str">
            <v>ISO4217:USD</v>
          </cell>
          <cell r="BG14" t="b">
            <v>0</v>
          </cell>
          <cell r="BH14" t="b">
            <v>0</v>
          </cell>
        </row>
        <row r="15">
          <cell r="A15" t="str">
            <v>Other revenues</v>
          </cell>
          <cell r="B15">
            <v>0.35988199999999998</v>
          </cell>
          <cell r="C15">
            <v>2.2157E-2</v>
          </cell>
          <cell r="D15">
            <v>0.75855899999999998</v>
          </cell>
          <cell r="E15">
            <v>0.96899999999999997</v>
          </cell>
          <cell r="F15">
            <v>2.1095980000000001</v>
          </cell>
          <cell r="H15" t="str">
            <v>Other revenues</v>
          </cell>
          <cell r="I15">
            <v>0.79800000000000004</v>
          </cell>
          <cell r="J15">
            <v>0.75600000000000001</v>
          </cell>
          <cell r="K15">
            <v>0.89300000000000002</v>
          </cell>
          <cell r="L15">
            <v>1.7749999999999999</v>
          </cell>
          <cell r="M15">
            <v>4.2219999999999995</v>
          </cell>
          <cell r="O15" t="str">
            <v>Other revenues</v>
          </cell>
          <cell r="P15">
            <v>0.98799999999999999</v>
          </cell>
          <cell r="Q15">
            <v>0.77930299999999997</v>
          </cell>
          <cell r="R15">
            <v>0.577183</v>
          </cell>
          <cell r="S15">
            <v>0.65</v>
          </cell>
          <cell r="T15">
            <v>2.9944859999999998</v>
          </cell>
          <cell r="Z15" t="str">
            <v>Other revenues</v>
          </cell>
          <cell r="AA15">
            <v>0.6</v>
          </cell>
          <cell r="AB15">
            <v>0.6</v>
          </cell>
          <cell r="AC15">
            <v>0.6</v>
          </cell>
          <cell r="AD15">
            <v>0.6</v>
          </cell>
          <cell r="AE15">
            <v>2.4</v>
          </cell>
          <cell r="AG15">
            <v>2.2040000000000002</v>
          </cell>
          <cell r="BD15" t="str">
            <v>mstag:otherFeesAndCommissions</v>
          </cell>
          <cell r="BE15">
            <v>6</v>
          </cell>
          <cell r="BF15" t="str">
            <v>ISO4217:USD</v>
          </cell>
          <cell r="BG15" t="b">
            <v>0</v>
          </cell>
          <cell r="BH15" t="b">
            <v>0</v>
          </cell>
        </row>
        <row r="16">
          <cell r="A16" t="str">
            <v>Total Revenues</v>
          </cell>
          <cell r="B16">
            <v>24.168104999999997</v>
          </cell>
          <cell r="C16">
            <v>26.360961</v>
          </cell>
          <cell r="D16">
            <v>20.836283000000002</v>
          </cell>
          <cell r="E16">
            <v>22.380000000000003</v>
          </cell>
          <cell r="F16">
            <v>93.745349000000004</v>
          </cell>
          <cell r="H16" t="str">
            <v>Total Revenues</v>
          </cell>
          <cell r="I16">
            <v>24.213000000000001</v>
          </cell>
          <cell r="J16">
            <v>26.258000000000003</v>
          </cell>
          <cell r="K16">
            <v>29.446999999999999</v>
          </cell>
          <cell r="L16">
            <v>28.495999999999999</v>
          </cell>
          <cell r="M16">
            <v>108.414</v>
          </cell>
          <cell r="O16" t="str">
            <v>Total Revenues</v>
          </cell>
          <cell r="P16">
            <v>31.827999999999999</v>
          </cell>
          <cell r="Q16">
            <v>37.529435999999997</v>
          </cell>
          <cell r="R16">
            <v>45.245421999999998</v>
          </cell>
          <cell r="S16">
            <v>42.434829063599992</v>
          </cell>
          <cell r="T16">
            <v>157.03768706359998</v>
          </cell>
          <cell r="Z16" t="str">
            <v>Total Revenues</v>
          </cell>
          <cell r="AA16">
            <v>45.290948688099313</v>
          </cell>
          <cell r="AB16">
            <v>49.563659715100009</v>
          </cell>
          <cell r="AC16">
            <v>54.955797582735805</v>
          </cell>
          <cell r="AD16">
            <v>55.112045488797762</v>
          </cell>
          <cell r="AE16">
            <v>204.92245147473287</v>
          </cell>
          <cell r="AG16">
            <v>185.672909</v>
          </cell>
          <cell r="AH16">
            <v>182.96</v>
          </cell>
          <cell r="AI16">
            <v>177</v>
          </cell>
        </row>
        <row r="18">
          <cell r="A18" t="str">
            <v>OPERATING EXPENSE</v>
          </cell>
          <cell r="H18" t="str">
            <v>OPERATING EXPENSE</v>
          </cell>
          <cell r="O18" t="str">
            <v>OPERATING EXPENSE</v>
          </cell>
          <cell r="Z18" t="str">
            <v>OPERATING EXPENSE</v>
          </cell>
        </row>
        <row r="19">
          <cell r="A19" t="str">
            <v>Cost of hosting</v>
          </cell>
          <cell r="B19">
            <v>0.59636999999999996</v>
          </cell>
          <cell r="C19">
            <v>0.34682000000000002</v>
          </cell>
          <cell r="D19">
            <v>0.37326100000000001</v>
          </cell>
          <cell r="E19">
            <v>0.39800000000000002</v>
          </cell>
          <cell r="F19">
            <v>1.7144509999999999</v>
          </cell>
          <cell r="H19" t="str">
            <v>Cost of hosting</v>
          </cell>
          <cell r="I19">
            <v>0.35699999999999998</v>
          </cell>
          <cell r="J19">
            <v>0.34100000000000003</v>
          </cell>
          <cell r="K19">
            <v>0.36199999999999999</v>
          </cell>
          <cell r="L19">
            <v>0.219</v>
          </cell>
          <cell r="M19">
            <v>1.2790000000000001</v>
          </cell>
          <cell r="O19" t="str">
            <v>Cost of hosting</v>
          </cell>
          <cell r="P19">
            <v>0.28299999999999997</v>
          </cell>
          <cell r="Q19">
            <v>0.34016099999999999</v>
          </cell>
          <cell r="R19">
            <v>0.36570900000000001</v>
          </cell>
          <cell r="S19">
            <v>0.35108064</v>
          </cell>
          <cell r="T19">
            <v>1.3399506399999999</v>
          </cell>
          <cell r="Z19" t="str">
            <v>Cost of hosting</v>
          </cell>
          <cell r="AA19">
            <v>0.36161305920000003</v>
          </cell>
          <cell r="AB19">
            <v>0.36161305920000003</v>
          </cell>
          <cell r="AC19">
            <v>0.36161305920000003</v>
          </cell>
          <cell r="AD19">
            <v>0.36161305920000003</v>
          </cell>
          <cell r="AE19">
            <v>1.4464522368000001</v>
          </cell>
          <cell r="AG19">
            <v>1.4412469999999999</v>
          </cell>
          <cell r="AH19">
            <v>1.44</v>
          </cell>
          <cell r="BD19" t="str">
            <v>mstag:otherOperatingExpense</v>
          </cell>
          <cell r="BE19">
            <v>6</v>
          </cell>
          <cell r="BF19" t="str">
            <v>ISO4217:USD</v>
          </cell>
          <cell r="BG19" t="b">
            <v>0</v>
          </cell>
          <cell r="BH19" t="b">
            <v>0</v>
          </cell>
        </row>
        <row r="20">
          <cell r="A20" t="str">
            <v>Compensation and benefits</v>
          </cell>
          <cell r="B20">
            <v>7.046862</v>
          </cell>
          <cell r="C20">
            <v>6.4392120000000004</v>
          </cell>
          <cell r="D20">
            <v>6.2408520000000003</v>
          </cell>
          <cell r="E20">
            <v>6.5090000000000003</v>
          </cell>
          <cell r="F20">
            <v>26.235925999999999</v>
          </cell>
          <cell r="H20" t="str">
            <v>Compensation and benefits</v>
          </cell>
          <cell r="I20">
            <v>6.5439999999999996</v>
          </cell>
          <cell r="J20">
            <v>6.6740000000000004</v>
          </cell>
          <cell r="K20">
            <v>8.4550000000000001</v>
          </cell>
          <cell r="L20">
            <v>8.4009999999999998</v>
          </cell>
          <cell r="M20">
            <v>30.074000000000002</v>
          </cell>
          <cell r="O20" t="str">
            <v>Compensation and benefits</v>
          </cell>
          <cell r="P20">
            <v>7.4861760000000004</v>
          </cell>
          <cell r="Q20">
            <v>8.112584</v>
          </cell>
          <cell r="R20">
            <v>9.0154329999999998</v>
          </cell>
          <cell r="S20">
            <v>8.4869658127199994</v>
          </cell>
          <cell r="T20">
            <v>33.101158812720001</v>
          </cell>
          <cell r="Z20" t="str">
            <v>Compensation and benefits</v>
          </cell>
          <cell r="AA20">
            <v>8.5367515874943791</v>
          </cell>
          <cell r="AB20">
            <v>9.3862140333632453</v>
          </cell>
          <cell r="AC20">
            <v>10.433133314975162</v>
          </cell>
          <cell r="AD20">
            <v>10.498734107763038</v>
          </cell>
          <cell r="AE20">
            <v>38.854833043595825</v>
          </cell>
          <cell r="AG20">
            <v>36.999412</v>
          </cell>
          <cell r="AH20">
            <v>37.74</v>
          </cell>
          <cell r="AI20">
            <v>35.1</v>
          </cell>
          <cell r="BD20" t="str">
            <v>mstag:employeeExpenses</v>
          </cell>
          <cell r="BE20">
            <v>6</v>
          </cell>
          <cell r="BF20" t="str">
            <v>ISO4217:USD</v>
          </cell>
          <cell r="BG20" t="b">
            <v>0</v>
          </cell>
          <cell r="BH20" t="b">
            <v>0</v>
          </cell>
        </row>
        <row r="21">
          <cell r="A21" t="str">
            <v>Restricted stock</v>
          </cell>
          <cell r="H21" t="str">
            <v>Restricted stock</v>
          </cell>
          <cell r="O21" t="str">
            <v>Restricted stock</v>
          </cell>
          <cell r="P21">
            <v>0.4</v>
          </cell>
          <cell r="Q21">
            <v>0.4</v>
          </cell>
          <cell r="R21">
            <v>0.4002</v>
          </cell>
          <cell r="S21">
            <v>0.4002</v>
          </cell>
          <cell r="T21">
            <v>1.6004</v>
          </cell>
          <cell r="Z21" t="str">
            <v>Restricted stock</v>
          </cell>
          <cell r="AA21">
            <v>0.4002</v>
          </cell>
          <cell r="AB21">
            <v>0.4002</v>
          </cell>
          <cell r="AC21">
            <v>1.1000000000000001</v>
          </cell>
          <cell r="AD21">
            <v>1.1000000000000001</v>
          </cell>
          <cell r="AE21">
            <v>3.0004</v>
          </cell>
          <cell r="BD21" t="str">
            <v>mstag:otherOperatingExpense</v>
          </cell>
          <cell r="BE21">
            <v>6</v>
          </cell>
          <cell r="BF21" t="str">
            <v>ISO4217:USD</v>
          </cell>
          <cell r="BG21" t="b">
            <v>0</v>
          </cell>
          <cell r="BH21" t="b">
            <v>0</v>
          </cell>
        </row>
        <row r="22">
          <cell r="A22" t="str">
            <v>Option expense</v>
          </cell>
          <cell r="H22" t="str">
            <v>Option expense</v>
          </cell>
          <cell r="O22" t="str">
            <v>Option expense</v>
          </cell>
          <cell r="Z22" t="str">
            <v>Option expense</v>
          </cell>
          <cell r="AA22">
            <v>1.25</v>
          </cell>
          <cell r="AB22">
            <v>1.25</v>
          </cell>
          <cell r="AC22">
            <v>1.25</v>
          </cell>
          <cell r="AD22">
            <v>1.25</v>
          </cell>
          <cell r="AE22">
            <v>5</v>
          </cell>
          <cell r="BD22" t="str">
            <v>mstag:otherOperatingExpense</v>
          </cell>
          <cell r="BE22">
            <v>6</v>
          </cell>
          <cell r="BF22" t="str">
            <v>ISO4217:USD</v>
          </cell>
          <cell r="BG22" t="b">
            <v>0</v>
          </cell>
          <cell r="BH22" t="b">
            <v>0</v>
          </cell>
        </row>
        <row r="23">
          <cell r="A23" t="str">
            <v>Professional services</v>
          </cell>
          <cell r="B23">
            <v>3.2191109999999998</v>
          </cell>
          <cell r="C23">
            <v>3.88903</v>
          </cell>
          <cell r="D23">
            <v>4.430345</v>
          </cell>
          <cell r="E23">
            <v>3.6</v>
          </cell>
          <cell r="F23">
            <v>15.138485999999999</v>
          </cell>
          <cell r="H23" t="str">
            <v>Professional services</v>
          </cell>
          <cell r="I23">
            <v>3.2450000000000001</v>
          </cell>
          <cell r="J23">
            <v>4.3159999999999998</v>
          </cell>
          <cell r="K23">
            <v>3.5830000000000002</v>
          </cell>
          <cell r="L23">
            <v>3.379</v>
          </cell>
          <cell r="M23">
            <v>14.523</v>
          </cell>
          <cell r="O23" t="str">
            <v>Professional services</v>
          </cell>
          <cell r="P23">
            <v>3.8839999999999999</v>
          </cell>
          <cell r="Q23">
            <v>3.230051</v>
          </cell>
          <cell r="R23">
            <v>3.0475640000000004</v>
          </cell>
          <cell r="S23">
            <v>2.5599537600000004</v>
          </cell>
          <cell r="T23">
            <v>12.721568760000002</v>
          </cell>
          <cell r="Z23" t="str">
            <v>Professional services</v>
          </cell>
          <cell r="AA23">
            <v>3.2767408128000004</v>
          </cell>
          <cell r="AB23">
            <v>3.3422756290560005</v>
          </cell>
          <cell r="AC23">
            <v>3.4091211416371205</v>
          </cell>
          <cell r="AD23">
            <v>3.4773035644698629</v>
          </cell>
          <cell r="AE23">
            <v>13.505441147962983</v>
          </cell>
          <cell r="AG23">
            <v>13.531328</v>
          </cell>
          <cell r="AH23">
            <v>13.59</v>
          </cell>
          <cell r="AI23">
            <v>13.7</v>
          </cell>
          <cell r="BD23" t="str">
            <v>mstag:otherOperatingExpense</v>
          </cell>
          <cell r="BE23">
            <v>6</v>
          </cell>
          <cell r="BF23" t="str">
            <v>ISO4217:USD</v>
          </cell>
          <cell r="BG23" t="b">
            <v>0</v>
          </cell>
          <cell r="BH23" t="b">
            <v>0</v>
          </cell>
        </row>
        <row r="24">
          <cell r="A24" t="str">
            <v>Selling, general, and administrative</v>
          </cell>
          <cell r="B24">
            <v>3.1295820000000001</v>
          </cell>
          <cell r="C24">
            <v>3.709584</v>
          </cell>
          <cell r="D24">
            <v>2.7373509999999999</v>
          </cell>
          <cell r="E24">
            <v>2.8210000000000002</v>
          </cell>
          <cell r="F24">
            <v>12.397517000000001</v>
          </cell>
          <cell r="H24" t="str">
            <v>Selling, general, and administrative</v>
          </cell>
          <cell r="I24">
            <v>3.109</v>
          </cell>
          <cell r="J24">
            <v>3.0920000000000001</v>
          </cell>
          <cell r="K24">
            <v>3.2519999999999998</v>
          </cell>
          <cell r="L24">
            <v>3.6669999999999998</v>
          </cell>
          <cell r="M24">
            <v>13.12</v>
          </cell>
          <cell r="O24" t="str">
            <v>Selling, general, and administrative</v>
          </cell>
          <cell r="P24">
            <v>3.4089999999999998</v>
          </cell>
          <cell r="Q24">
            <v>3.8081879999999999</v>
          </cell>
          <cell r="R24">
            <v>3.882209</v>
          </cell>
          <cell r="S24">
            <v>3.797733773552475</v>
          </cell>
          <cell r="T24">
            <v>14.897130773552474</v>
          </cell>
          <cell r="Z24" t="str">
            <v>Selling, general, and administrative</v>
          </cell>
          <cell r="AA24">
            <v>4.8207856352567973</v>
          </cell>
          <cell r="AB24">
            <v>5.2157571917260475</v>
          </cell>
          <cell r="AC24">
            <v>5.6974418150676902</v>
          </cell>
          <cell r="AD24">
            <v>5.4144620662059353</v>
          </cell>
          <cell r="AE24">
            <v>21.148446708256472</v>
          </cell>
          <cell r="AG24">
            <v>20.809588000000002</v>
          </cell>
          <cell r="AH24">
            <v>16.0015</v>
          </cell>
          <cell r="AI24">
            <v>16</v>
          </cell>
          <cell r="BD24" t="str">
            <v>mstag:otherOperatingExpense</v>
          </cell>
          <cell r="BE24">
            <v>6</v>
          </cell>
          <cell r="BF24" t="str">
            <v>ISO4217:USD</v>
          </cell>
          <cell r="BG24" t="b">
            <v>0</v>
          </cell>
          <cell r="BH24" t="b">
            <v>0</v>
          </cell>
        </row>
        <row r="25">
          <cell r="A25" t="str">
            <v>Depreciation and amortization</v>
          </cell>
          <cell r="B25">
            <v>4.8972930000000003</v>
          </cell>
          <cell r="C25">
            <v>4.9959870000000004</v>
          </cell>
          <cell r="D25">
            <v>4.8231320000000002</v>
          </cell>
          <cell r="E25">
            <v>4.625</v>
          </cell>
          <cell r="F25">
            <v>19.341412000000002</v>
          </cell>
          <cell r="H25" t="str">
            <v>Depreciation and amortization</v>
          </cell>
          <cell r="I25">
            <v>4.08</v>
          </cell>
          <cell r="J25">
            <v>4.09</v>
          </cell>
          <cell r="K25">
            <v>4.0780000000000003</v>
          </cell>
          <cell r="L25">
            <v>4.7759999999999998</v>
          </cell>
          <cell r="M25">
            <v>17.024000000000001</v>
          </cell>
          <cell r="O25" t="str">
            <v>Depreciation and amortization</v>
          </cell>
          <cell r="P25">
            <v>3.9580000000000002</v>
          </cell>
          <cell r="Q25">
            <v>3.7977180000000001</v>
          </cell>
          <cell r="R25">
            <v>3.6729509999999999</v>
          </cell>
          <cell r="S25">
            <v>3.9</v>
          </cell>
          <cell r="T25">
            <v>15.328669</v>
          </cell>
          <cell r="Z25" t="str">
            <v>Depreciation and amortization</v>
          </cell>
          <cell r="AA25">
            <v>3.2</v>
          </cell>
          <cell r="AB25">
            <v>3.1</v>
          </cell>
          <cell r="AC25">
            <v>3</v>
          </cell>
          <cell r="AD25">
            <v>2.7</v>
          </cell>
          <cell r="AE25">
            <v>12</v>
          </cell>
          <cell r="AG25">
            <v>12.042999999999999</v>
          </cell>
          <cell r="AH25">
            <v>14.04</v>
          </cell>
          <cell r="BD25" t="str">
            <v>mstag:depreciationInIncomeStatement</v>
          </cell>
          <cell r="BE25">
            <v>6</v>
          </cell>
          <cell r="BF25" t="str">
            <v>ISO4217:USD</v>
          </cell>
          <cell r="BG25" t="b">
            <v>0</v>
          </cell>
          <cell r="BH25" t="b">
            <v>0</v>
          </cell>
        </row>
        <row r="26">
          <cell r="A26" t="str">
            <v>Total Operating Expenses</v>
          </cell>
          <cell r="B26">
            <v>18.889218</v>
          </cell>
          <cell r="C26">
            <v>19.380633</v>
          </cell>
          <cell r="D26">
            <v>18.604941</v>
          </cell>
          <cell r="E26">
            <v>17.952999999999999</v>
          </cell>
          <cell r="F26">
            <v>74.827792000000002</v>
          </cell>
          <cell r="H26" t="str">
            <v>Total Operating Expenses</v>
          </cell>
          <cell r="I26">
            <v>17.335000000000001</v>
          </cell>
          <cell r="J26">
            <v>18.512999999999998</v>
          </cell>
          <cell r="K26">
            <v>19.73</v>
          </cell>
          <cell r="L26">
            <v>20.442</v>
          </cell>
          <cell r="M26">
            <v>76.02000000000001</v>
          </cell>
          <cell r="O26" t="str">
            <v>Total Operating Expenses</v>
          </cell>
          <cell r="P26">
            <v>19.420175999999998</v>
          </cell>
          <cell r="Q26">
            <v>19.688701999999999</v>
          </cell>
          <cell r="R26">
            <v>20.384066000000001</v>
          </cell>
          <cell r="S26">
            <v>19.495933986272473</v>
          </cell>
          <cell r="T26">
            <v>78.988877986272485</v>
          </cell>
          <cell r="Z26" t="str">
            <v>Total Operating Expenses</v>
          </cell>
          <cell r="AA26">
            <v>21.846091094751177</v>
          </cell>
          <cell r="AB26">
            <v>23.056059913345294</v>
          </cell>
          <cell r="AC26">
            <v>25.251309330879973</v>
          </cell>
          <cell r="AD26">
            <v>24.802112797638834</v>
          </cell>
          <cell r="AE26">
            <v>94.955573136615271</v>
          </cell>
          <cell r="AI26">
            <v>88.44</v>
          </cell>
        </row>
        <row r="27">
          <cell r="A27" t="str">
            <v>One time expenses</v>
          </cell>
          <cell r="H27" t="str">
            <v>One time expenses</v>
          </cell>
          <cell r="O27" t="str">
            <v>One time expenses</v>
          </cell>
          <cell r="Q27">
            <v>13.0035375182499</v>
          </cell>
          <cell r="T27">
            <v>13.0035375182499</v>
          </cell>
          <cell r="Z27" t="str">
            <v>One time expenses</v>
          </cell>
        </row>
        <row r="28">
          <cell r="A28" t="str">
            <v>Floor closure cost</v>
          </cell>
          <cell r="H28" t="str">
            <v>Floor closure cost</v>
          </cell>
          <cell r="O28" t="str">
            <v>Floor closure cost</v>
          </cell>
          <cell r="Q28">
            <v>3.1550535182499004</v>
          </cell>
          <cell r="T28">
            <v>3.1550535182499004</v>
          </cell>
          <cell r="Z28" t="str">
            <v>Floor closure cost</v>
          </cell>
          <cell r="BD28" t="str">
            <v>mstag:otherProvisionsOneTime</v>
          </cell>
          <cell r="BE28">
            <v>6</v>
          </cell>
          <cell r="BF28" t="str">
            <v>ISO4217:USD</v>
          </cell>
          <cell r="BG28" t="b">
            <v>0</v>
          </cell>
          <cell r="BH28" t="b">
            <v>0</v>
          </cell>
        </row>
        <row r="29">
          <cell r="A29" t="str">
            <v>Legal cost</v>
          </cell>
          <cell r="H29" t="str">
            <v>Legal cost</v>
          </cell>
          <cell r="O29" t="str">
            <v>Legal cost</v>
          </cell>
          <cell r="Q29">
            <v>9.8484839999999991</v>
          </cell>
          <cell r="T29">
            <v>9.8484839999999991</v>
          </cell>
          <cell r="Z29" t="str">
            <v>Legal cost</v>
          </cell>
          <cell r="BD29" t="str">
            <v>mstag:legalProvisionOneTime</v>
          </cell>
          <cell r="BE29">
            <v>6</v>
          </cell>
          <cell r="BF29" t="str">
            <v>ISO4217:USD</v>
          </cell>
          <cell r="BG29" t="b">
            <v>0</v>
          </cell>
          <cell r="BH29" t="b">
            <v>0</v>
          </cell>
        </row>
        <row r="30">
          <cell r="A30" t="str">
            <v>Pretax Operating Income</v>
          </cell>
          <cell r="B30">
            <v>5.2788869999999974</v>
          </cell>
          <cell r="C30">
            <v>6.9803280000000001</v>
          </cell>
          <cell r="D30">
            <v>2.2313420000000015</v>
          </cell>
          <cell r="E30">
            <v>4.4270000000000032</v>
          </cell>
          <cell r="F30">
            <v>18.917557000000002</v>
          </cell>
          <cell r="H30" t="str">
            <v>Pretax Operating Income</v>
          </cell>
          <cell r="I30">
            <v>6.8780000000000001</v>
          </cell>
          <cell r="J30">
            <v>7.7450000000000045</v>
          </cell>
          <cell r="K30">
            <v>9.7169999999999987</v>
          </cell>
          <cell r="L30">
            <v>8.0539999999999985</v>
          </cell>
          <cell r="M30">
            <v>32.393999999999991</v>
          </cell>
          <cell r="O30" t="str">
            <v>Pretax Operating Income</v>
          </cell>
          <cell r="P30">
            <v>12.407824000000002</v>
          </cell>
          <cell r="Q30">
            <v>17.840733999999998</v>
          </cell>
          <cell r="R30">
            <v>24.861355999999997</v>
          </cell>
          <cell r="S30">
            <v>22.938895077327519</v>
          </cell>
          <cell r="T30">
            <v>78.048809077327491</v>
          </cell>
          <cell r="Z30" t="str">
            <v>Pretax Operating Income</v>
          </cell>
          <cell r="AA30">
            <v>23.444857593348136</v>
          </cell>
          <cell r="AB30">
            <v>26.507599801754715</v>
          </cell>
          <cell r="AC30">
            <v>29.704488251855832</v>
          </cell>
          <cell r="AD30">
            <v>30.309932691158927</v>
          </cell>
          <cell r="AE30">
            <v>109.9668783381176</v>
          </cell>
          <cell r="AH30">
            <v>92.144999999999996</v>
          </cell>
          <cell r="AI30">
            <v>88.6</v>
          </cell>
        </row>
        <row r="31">
          <cell r="A31" t="str">
            <v>Interest Income</v>
          </cell>
          <cell r="B31">
            <v>0.38592700000000002</v>
          </cell>
          <cell r="C31">
            <v>0.416024</v>
          </cell>
          <cell r="D31">
            <v>0.41153099999999998</v>
          </cell>
          <cell r="E31">
            <v>0.48</v>
          </cell>
          <cell r="F31">
            <v>1.6934819999999999</v>
          </cell>
          <cell r="H31" t="str">
            <v>Interest Income</v>
          </cell>
          <cell r="I31">
            <v>0.57499999999999996</v>
          </cell>
          <cell r="J31">
            <v>0.68600000000000005</v>
          </cell>
          <cell r="K31">
            <v>0.80500000000000005</v>
          </cell>
          <cell r="L31">
            <v>0.82</v>
          </cell>
          <cell r="M31">
            <v>2.8860000000000001</v>
          </cell>
          <cell r="O31" t="str">
            <v>Interest Income</v>
          </cell>
          <cell r="P31">
            <v>0.66600000000000004</v>
          </cell>
          <cell r="Q31">
            <v>0.74332100000000001</v>
          </cell>
          <cell r="R31">
            <v>0.68230400000000002</v>
          </cell>
          <cell r="Z31" t="str">
            <v>Interest Income</v>
          </cell>
        </row>
        <row r="32">
          <cell r="A32" t="str">
            <v>Interest expense</v>
          </cell>
          <cell r="B32">
            <v>2.6904000000000001E-2</v>
          </cell>
          <cell r="C32">
            <v>2.2447000000000002E-2</v>
          </cell>
          <cell r="D32">
            <v>1.7572000000000001E-2</v>
          </cell>
          <cell r="E32">
            <v>1.2999999999999999E-2</v>
          </cell>
          <cell r="F32">
            <v>7.9923000000000008E-2</v>
          </cell>
          <cell r="H32" t="str">
            <v>Interest expense</v>
          </cell>
          <cell r="I32">
            <v>2.1999999999999999E-2</v>
          </cell>
          <cell r="J32">
            <v>1.7000000000000001E-2</v>
          </cell>
          <cell r="K32">
            <v>1.2E-2</v>
          </cell>
          <cell r="L32">
            <v>8.5999999999999993E-2</v>
          </cell>
          <cell r="M32">
            <v>0.13700000000000001</v>
          </cell>
          <cell r="O32" t="str">
            <v>Interest expense</v>
          </cell>
          <cell r="P32">
            <v>0.16300000000000001</v>
          </cell>
          <cell r="Q32">
            <v>0.151287</v>
          </cell>
          <cell r="R32">
            <v>0.17205200000000001</v>
          </cell>
          <cell r="Z32" t="str">
            <v>Interest expense</v>
          </cell>
        </row>
        <row r="33">
          <cell r="A33" t="str">
            <v>Net interest income</v>
          </cell>
          <cell r="B33">
            <v>0.35902300000000004</v>
          </cell>
          <cell r="C33">
            <v>0.39357700000000001</v>
          </cell>
          <cell r="D33">
            <v>0.393959</v>
          </cell>
          <cell r="E33">
            <v>0.46699999999999997</v>
          </cell>
          <cell r="F33">
            <v>1.613559</v>
          </cell>
          <cell r="H33" t="str">
            <v>Net interest income</v>
          </cell>
          <cell r="I33">
            <v>0.55299999999999994</v>
          </cell>
          <cell r="J33">
            <v>0.66900000000000004</v>
          </cell>
          <cell r="K33">
            <v>0.79300000000000004</v>
          </cell>
          <cell r="L33">
            <v>0.73399999999999999</v>
          </cell>
          <cell r="M33">
            <v>2.7490000000000001</v>
          </cell>
          <cell r="O33" t="str">
            <v>Net interest income</v>
          </cell>
          <cell r="P33">
            <v>0.503</v>
          </cell>
          <cell r="Q33">
            <v>0.59203399999999995</v>
          </cell>
          <cell r="R33">
            <v>0.51025200000000004</v>
          </cell>
          <cell r="S33">
            <v>0.93012700000000015</v>
          </cell>
          <cell r="T33">
            <v>2.5354130000000001</v>
          </cell>
          <cell r="Z33" t="str">
            <v>Net interest income</v>
          </cell>
          <cell r="AA33">
            <v>1.5090524185467422</v>
          </cell>
          <cell r="AB33">
            <v>1.5090524185467422</v>
          </cell>
          <cell r="AC33">
            <v>1.5090524185467422</v>
          </cell>
          <cell r="AD33">
            <v>1.5090524185467422</v>
          </cell>
          <cell r="AE33">
            <v>6.0362096741869689</v>
          </cell>
          <cell r="AI33">
            <v>4.7</v>
          </cell>
          <cell r="BD33" t="str">
            <v>mstag:interestIncome</v>
          </cell>
          <cell r="BE33">
            <v>6</v>
          </cell>
          <cell r="BF33" t="str">
            <v>ISO4217:USD</v>
          </cell>
          <cell r="BG33" t="b">
            <v>0</v>
          </cell>
          <cell r="BH33" t="b">
            <v>0</v>
          </cell>
        </row>
        <row r="34">
          <cell r="A34" t="str">
            <v>Other income (expense), net</v>
          </cell>
          <cell r="B34">
            <v>4.7351999999999998E-2</v>
          </cell>
          <cell r="C34">
            <v>-0.17789099999999999</v>
          </cell>
          <cell r="D34">
            <v>-0.189997</v>
          </cell>
          <cell r="E34">
            <v>-0.34499999999999997</v>
          </cell>
          <cell r="F34">
            <v>-0.66553599999999991</v>
          </cell>
          <cell r="H34" t="str">
            <v>Other income (expense), net</v>
          </cell>
          <cell r="I34">
            <v>-0.21</v>
          </cell>
          <cell r="J34">
            <v>0.01</v>
          </cell>
          <cell r="K34">
            <v>0.10199999999999999</v>
          </cell>
          <cell r="L34">
            <v>-1.323</v>
          </cell>
          <cell r="M34">
            <v>-1.421</v>
          </cell>
          <cell r="O34" t="str">
            <v>Other income (expense), net</v>
          </cell>
          <cell r="P34">
            <v>0.48899999999999999</v>
          </cell>
          <cell r="Q34">
            <v>0.58045800000000003</v>
          </cell>
          <cell r="R34">
            <v>0.20469200000000001</v>
          </cell>
          <cell r="S34">
            <v>0</v>
          </cell>
          <cell r="T34">
            <v>1.2741500000000001</v>
          </cell>
          <cell r="Z34" t="str">
            <v>Other income (expense), net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BD34" t="str">
            <v>mstag:otherFeesAndCommissions</v>
          </cell>
          <cell r="BE34">
            <v>6</v>
          </cell>
          <cell r="BF34" t="str">
            <v>ISO4217:USD</v>
          </cell>
          <cell r="BG34" t="b">
            <v>0</v>
          </cell>
          <cell r="BH34" t="b">
            <v>0</v>
          </cell>
        </row>
        <row r="35">
          <cell r="A35" t="str">
            <v>Pretax income</v>
          </cell>
          <cell r="B35">
            <v>5.6852619999999972</v>
          </cell>
          <cell r="C35">
            <v>7.1960139999999999</v>
          </cell>
          <cell r="D35">
            <v>2.4353040000000017</v>
          </cell>
          <cell r="E35">
            <v>4.549000000000003</v>
          </cell>
          <cell r="F35">
            <v>19.865580000000001</v>
          </cell>
          <cell r="H35" t="str">
            <v>Pretax income</v>
          </cell>
          <cell r="I35">
            <v>7.2210000000000001</v>
          </cell>
          <cell r="J35">
            <v>8.4240000000000048</v>
          </cell>
          <cell r="K35">
            <v>10.611999999999998</v>
          </cell>
          <cell r="L35">
            <v>7.4649999999999981</v>
          </cell>
          <cell r="M35">
            <v>33.722000000000001</v>
          </cell>
          <cell r="O35" t="str">
            <v>Pretax income</v>
          </cell>
          <cell r="P35">
            <v>13.399824000000002</v>
          </cell>
          <cell r="Q35">
            <v>19.013225999999996</v>
          </cell>
          <cell r="R35">
            <v>25.5763</v>
          </cell>
          <cell r="S35">
            <v>23.869022077327518</v>
          </cell>
          <cell r="T35">
            <v>81.858372077327502</v>
          </cell>
          <cell r="U35">
            <v>77.0440320773275</v>
          </cell>
          <cell r="Z35" t="str">
            <v>Pretax income</v>
          </cell>
          <cell r="AA35">
            <v>24.953910011894877</v>
          </cell>
          <cell r="AB35">
            <v>28.016652220301456</v>
          </cell>
          <cell r="AC35">
            <v>31.213540670402573</v>
          </cell>
          <cell r="AD35">
            <v>31.818985109705668</v>
          </cell>
          <cell r="AE35">
            <v>116.00308801230456</v>
          </cell>
          <cell r="AG35">
            <v>97.552999999999997</v>
          </cell>
          <cell r="AH35">
            <v>96.85</v>
          </cell>
        </row>
        <row r="36">
          <cell r="A36" t="str">
            <v>Taxes on income</v>
          </cell>
          <cell r="B36">
            <v>1.9644360000000001</v>
          </cell>
          <cell r="C36">
            <v>2.6316030000000001</v>
          </cell>
          <cell r="D36">
            <v>0.86870800000000004</v>
          </cell>
          <cell r="E36">
            <v>1.024</v>
          </cell>
          <cell r="F36">
            <v>6.488747</v>
          </cell>
          <cell r="H36" t="str">
            <v>Taxes on income</v>
          </cell>
          <cell r="I36">
            <v>2.5990000000000002</v>
          </cell>
          <cell r="J36">
            <v>2.9870000000000001</v>
          </cell>
          <cell r="K36">
            <v>3.5609999999999999</v>
          </cell>
          <cell r="L36">
            <v>2.6259999999999999</v>
          </cell>
          <cell r="M36">
            <v>11.773</v>
          </cell>
          <cell r="O36" t="str">
            <v>Taxes on income</v>
          </cell>
          <cell r="P36">
            <v>4.53</v>
          </cell>
          <cell r="Q36">
            <v>6.1506694817501497</v>
          </cell>
          <cell r="R36">
            <v>8.7549650000000003</v>
          </cell>
          <cell r="S36">
            <v>8.3541577270646314</v>
          </cell>
          <cell r="T36">
            <v>27.789792208814781</v>
          </cell>
          <cell r="U36">
            <v>26.248671727064632</v>
          </cell>
          <cell r="Z36" t="str">
            <v>Taxes on income</v>
          </cell>
          <cell r="AA36">
            <v>8.4843294040442583</v>
          </cell>
          <cell r="AB36">
            <v>9.5256617549024956</v>
          </cell>
          <cell r="AC36">
            <v>10.612603827936875</v>
          </cell>
          <cell r="AD36">
            <v>10.818454937299927</v>
          </cell>
          <cell r="AE36">
            <v>39.441049924183552</v>
          </cell>
          <cell r="BD36" t="str">
            <v>mstag:taxExpenseIncome</v>
          </cell>
          <cell r="BE36">
            <v>6</v>
          </cell>
          <cell r="BF36" t="str">
            <v>ISO4217:USD</v>
          </cell>
          <cell r="BG36" t="b">
            <v>0</v>
          </cell>
          <cell r="BH36" t="b">
            <v>0</v>
          </cell>
        </row>
        <row r="37">
          <cell r="A37" t="str">
            <v>Tax rate</v>
          </cell>
          <cell r="B37">
            <v>0.34553130532946436</v>
          </cell>
          <cell r="C37">
            <v>0.36570287384099032</v>
          </cell>
          <cell r="D37">
            <v>0.35671439787394077</v>
          </cell>
          <cell r="E37">
            <v>0.22510441855352811</v>
          </cell>
          <cell r="F37">
            <v>0.32663264802739206</v>
          </cell>
          <cell r="H37" t="str">
            <v>Tax rate</v>
          </cell>
          <cell r="I37">
            <v>0.35992244841434706</v>
          </cell>
          <cell r="J37">
            <v>0.35458214624881274</v>
          </cell>
          <cell r="K37">
            <v>0.33556351300414627</v>
          </cell>
          <cell r="L37">
            <v>0.35177494976557278</v>
          </cell>
          <cell r="M37">
            <v>0.34911926931973192</v>
          </cell>
          <cell r="O37" t="str">
            <v>Tax rate</v>
          </cell>
          <cell r="P37">
            <v>0.33806414173798099</v>
          </cell>
          <cell r="Q37">
            <v>0.32349426035067119</v>
          </cell>
          <cell r="R37">
            <v>0.34230772238361296</v>
          </cell>
          <cell r="S37">
            <v>0.35</v>
          </cell>
          <cell r="T37">
            <v>0.33948625538953009</v>
          </cell>
          <cell r="Z37" t="str">
            <v>Tax rate</v>
          </cell>
          <cell r="AA37">
            <v>0.34</v>
          </cell>
          <cell r="AB37">
            <v>0.34</v>
          </cell>
          <cell r="AC37">
            <v>0.34</v>
          </cell>
          <cell r="AD37">
            <v>0.34</v>
          </cell>
          <cell r="AE37">
            <v>0.34</v>
          </cell>
          <cell r="AG37">
            <v>0.34</v>
          </cell>
        </row>
        <row r="38">
          <cell r="A38" t="str">
            <v>Operating Earnings</v>
          </cell>
          <cell r="B38">
            <v>3.7208259999999971</v>
          </cell>
          <cell r="C38">
            <v>4.5644109999999998</v>
          </cell>
          <cell r="D38">
            <v>1.5665960000000017</v>
          </cell>
          <cell r="E38">
            <v>3.525000000000003</v>
          </cell>
          <cell r="F38">
            <v>13.376833000000001</v>
          </cell>
          <cell r="H38" t="str">
            <v>Operating Earnings</v>
          </cell>
          <cell r="I38">
            <v>4.6219999999999999</v>
          </cell>
          <cell r="J38">
            <v>5.4370000000000047</v>
          </cell>
          <cell r="K38">
            <v>7.0509999999999984</v>
          </cell>
          <cell r="L38">
            <v>4.8389999999999986</v>
          </cell>
          <cell r="M38">
            <v>21.949000000000002</v>
          </cell>
          <cell r="O38" t="str">
            <v>Operating Earnings</v>
          </cell>
          <cell r="P38">
            <v>8.8698240000000013</v>
          </cell>
          <cell r="Q38">
            <v>12.862556518249846</v>
          </cell>
          <cell r="R38">
            <v>16.821334999999998</v>
          </cell>
          <cell r="S38">
            <v>15.514864350262886</v>
          </cell>
          <cell r="T38">
            <v>54.068579868512721</v>
          </cell>
          <cell r="U38">
            <v>50.795360350262868</v>
          </cell>
          <cell r="Z38" t="str">
            <v>Operating Earnings</v>
          </cell>
          <cell r="AA38">
            <v>16.469580607850617</v>
          </cell>
          <cell r="AB38">
            <v>18.490990465398959</v>
          </cell>
          <cell r="AC38">
            <v>20.6009368424657</v>
          </cell>
          <cell r="AD38">
            <v>21.000530172405739</v>
          </cell>
          <cell r="AE38">
            <v>76.562038088121</v>
          </cell>
        </row>
        <row r="39">
          <cell r="A39" t="str">
            <v>Net income (GAAP)</v>
          </cell>
          <cell r="B39">
            <v>3.7208259999999971</v>
          </cell>
          <cell r="C39">
            <v>4.5644109999999998</v>
          </cell>
          <cell r="D39">
            <v>1.5665960000000017</v>
          </cell>
          <cell r="E39">
            <v>3.525000000000003</v>
          </cell>
          <cell r="F39">
            <v>13.376833000000001</v>
          </cell>
          <cell r="H39" t="str">
            <v>Net income (GAAP)</v>
          </cell>
          <cell r="I39">
            <v>4.6219999999999999</v>
          </cell>
          <cell r="J39">
            <v>5.4370000000000047</v>
          </cell>
          <cell r="K39">
            <v>7.0509999999999984</v>
          </cell>
          <cell r="L39">
            <v>4.8389999999999986</v>
          </cell>
          <cell r="M39">
            <v>21.949000000000002</v>
          </cell>
          <cell r="O39" t="str">
            <v>Net income (GAAP)</v>
          </cell>
          <cell r="P39">
            <v>8.8698240000000013</v>
          </cell>
          <cell r="Q39">
            <v>-0.14098100000005331</v>
          </cell>
          <cell r="R39">
            <v>16.821334999999998</v>
          </cell>
          <cell r="S39">
            <v>15.514864350262886</v>
          </cell>
          <cell r="T39">
            <v>41.065042350262829</v>
          </cell>
          <cell r="Z39" t="str">
            <v>Net income (GAAP)</v>
          </cell>
          <cell r="AA39">
            <v>16.469580607850617</v>
          </cell>
          <cell r="AB39">
            <v>18.490990465398959</v>
          </cell>
          <cell r="AC39">
            <v>20.6009368424657</v>
          </cell>
          <cell r="AD39">
            <v>21.000530172405739</v>
          </cell>
          <cell r="AE39">
            <v>76.562038088121014</v>
          </cell>
        </row>
        <row r="40">
          <cell r="A40" t="str">
            <v>Red. adjustments to redeemable stock put</v>
          </cell>
          <cell r="B40">
            <v>0</v>
          </cell>
          <cell r="C40">
            <v>0</v>
          </cell>
          <cell r="D40">
            <v>0</v>
          </cell>
          <cell r="E40">
            <v>8.3780000000000001</v>
          </cell>
          <cell r="F40">
            <v>8.3780000000000001</v>
          </cell>
          <cell r="H40" t="str">
            <v>Red. adjustments to redeemable stock put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O40" t="str">
            <v>Red. adjustments to redeemable stock put</v>
          </cell>
          <cell r="P40">
            <v>0</v>
          </cell>
          <cell r="Q40">
            <v>0</v>
          </cell>
          <cell r="R40">
            <v>-20.658999999999999</v>
          </cell>
          <cell r="S40">
            <v>0</v>
          </cell>
          <cell r="T40">
            <v>-20.658999999999999</v>
          </cell>
          <cell r="Z40" t="str">
            <v>Red. adjustments to redeemable stock put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</row>
        <row r="41">
          <cell r="A41" t="str">
            <v>Ded. for acc. of Cl. B redeemable comm stk</v>
          </cell>
          <cell r="B41">
            <v>-0.88400000000000001</v>
          </cell>
          <cell r="C41">
            <v>-0.88400000000000001</v>
          </cell>
          <cell r="D41">
            <v>0</v>
          </cell>
          <cell r="E41">
            <v>0</v>
          </cell>
          <cell r="F41">
            <v>-1.768</v>
          </cell>
          <cell r="H41" t="str">
            <v>Ded. for acc. of Cl. B redeemable comm stk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O41" t="str">
            <v>Ded. for acc. of Cl. B redeemable comm stk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Z41" t="str">
            <v>Ded. for acc. of Cl. B redeemable comm stk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</row>
        <row r="42">
          <cell r="A42" t="str">
            <v>Operating Earnings Available to Common</v>
          </cell>
          <cell r="B42">
            <v>3.7208259999999971</v>
          </cell>
          <cell r="C42">
            <v>4.5644109999999998</v>
          </cell>
          <cell r="D42">
            <v>1.5665960000000017</v>
          </cell>
          <cell r="E42">
            <v>3.525000000000003</v>
          </cell>
          <cell r="F42">
            <v>13.376833000000001</v>
          </cell>
          <cell r="H42" t="str">
            <v>Operating Earnings Available to Common</v>
          </cell>
          <cell r="I42">
            <v>4.6219999999999999</v>
          </cell>
          <cell r="J42">
            <v>5.4370000000000047</v>
          </cell>
          <cell r="K42">
            <v>7.0509999999999984</v>
          </cell>
          <cell r="L42">
            <v>4.8389999999999986</v>
          </cell>
          <cell r="M42">
            <v>21.949000000000002</v>
          </cell>
          <cell r="O42" t="str">
            <v>Operating Earnings Available to Common</v>
          </cell>
          <cell r="P42">
            <v>8.8698240000000013</v>
          </cell>
          <cell r="Q42">
            <v>12.862556518249846</v>
          </cell>
          <cell r="R42">
            <v>16.821334999999998</v>
          </cell>
          <cell r="S42">
            <v>15.514864350262886</v>
          </cell>
          <cell r="T42">
            <v>54.068579868512721</v>
          </cell>
          <cell r="Z42" t="str">
            <v>Operating Earnings Available to Common</v>
          </cell>
          <cell r="AA42">
            <v>16.469580607850617</v>
          </cell>
          <cell r="AB42">
            <v>18.490990465398959</v>
          </cell>
          <cell r="AC42">
            <v>20.6009368424657</v>
          </cell>
          <cell r="AD42">
            <v>21.000530172405739</v>
          </cell>
          <cell r="AE42">
            <v>76.562038088121</v>
          </cell>
          <cell r="AG42">
            <v>64.385396</v>
          </cell>
          <cell r="AH42">
            <v>62.953000000000003</v>
          </cell>
          <cell r="AI42">
            <v>60.7</v>
          </cell>
        </row>
        <row r="43">
          <cell r="A43" t="str">
            <v>Operating Earnings Available to Common (GAAP)</v>
          </cell>
          <cell r="B43">
            <v>2.8368259999999972</v>
          </cell>
          <cell r="C43">
            <v>3.6804109999999999</v>
          </cell>
          <cell r="D43">
            <v>1.5665960000000017</v>
          </cell>
          <cell r="E43">
            <v>11.903000000000002</v>
          </cell>
          <cell r="F43">
            <v>19.986833000000001</v>
          </cell>
          <cell r="H43" t="str">
            <v>Operating Earnings Available to Common (GAAP)</v>
          </cell>
          <cell r="I43">
            <v>4.6219999999999999</v>
          </cell>
          <cell r="J43">
            <v>5.4370000000000047</v>
          </cell>
          <cell r="K43">
            <v>7.0509999999999984</v>
          </cell>
          <cell r="L43">
            <v>4.8389999999999986</v>
          </cell>
          <cell r="M43">
            <v>21.949000000000002</v>
          </cell>
          <cell r="O43" t="str">
            <v>Operating Earnings Available to Common (GAAP)</v>
          </cell>
          <cell r="P43">
            <v>8.8698240000000013</v>
          </cell>
          <cell r="Q43">
            <v>-0.14098100000005331</v>
          </cell>
          <cell r="R43">
            <v>-3.8376650000000012</v>
          </cell>
          <cell r="S43">
            <v>15.514864350262886</v>
          </cell>
          <cell r="T43">
            <v>20.40604235026283</v>
          </cell>
          <cell r="Z43" t="str">
            <v>Operating Earnings Available to Common (GAAP)</v>
          </cell>
          <cell r="AA43">
            <v>16.469580607850617</v>
          </cell>
          <cell r="AB43">
            <v>18.490990465398959</v>
          </cell>
          <cell r="AC43">
            <v>20.6009368424657</v>
          </cell>
          <cell r="AD43">
            <v>21.000530172405739</v>
          </cell>
          <cell r="AE43">
            <v>76.562038088121014</v>
          </cell>
        </row>
        <row r="44">
          <cell r="A44" t="str">
            <v>Operating EPS</v>
          </cell>
          <cell r="B44">
            <v>6.799535548623635E-2</v>
          </cell>
          <cell r="C44">
            <v>8.341595251044262E-2</v>
          </cell>
          <cell r="D44">
            <v>2.8630880840500007E-2</v>
          </cell>
          <cell r="E44">
            <v>6.4513521334031335E-2</v>
          </cell>
          <cell r="F44">
            <v>0.24455222250347206</v>
          </cell>
          <cell r="H44" t="str">
            <v>Operating EPS</v>
          </cell>
          <cell r="I44">
            <v>8.71072230691739E-2</v>
          </cell>
          <cell r="J44">
            <v>0.1024657838700077</v>
          </cell>
          <cell r="K44">
            <v>0.13288255660234358</v>
          </cell>
          <cell r="L44">
            <v>9.1195071553737461E-2</v>
          </cell>
          <cell r="M44">
            <v>0.4136508590374402</v>
          </cell>
          <cell r="O44" t="str">
            <v>Operating EPS</v>
          </cell>
          <cell r="P44">
            <v>0.16715603729717179</v>
          </cell>
          <cell r="Q44">
            <v>0.24240575128180197</v>
          </cell>
          <cell r="R44">
            <v>0.31701377202446579</v>
          </cell>
          <cell r="S44">
            <v>0.27815852993870205</v>
          </cell>
          <cell r="T44">
            <v>1.0060949103251544</v>
          </cell>
          <cell r="Z44" t="str">
            <v>Operating EPS</v>
          </cell>
          <cell r="AA44">
            <v>0.28062410795894227</v>
          </cell>
          <cell r="AB44">
            <v>0.31506677845557407</v>
          </cell>
          <cell r="AC44">
            <v>0.35101801692386375</v>
          </cell>
          <cell r="AD44">
            <v>0.35782666156581139</v>
          </cell>
          <cell r="AE44">
            <v>1.3045355649041912</v>
          </cell>
        </row>
        <row r="45">
          <cell r="A45" t="str">
            <v>Dividends Per Share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H45" t="str">
            <v>Dividends Per Share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O45" t="str">
            <v>Dividends Per Share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Z45" t="str">
            <v>Dividends Per Share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</row>
        <row r="46">
          <cell r="A46" t="str">
            <v>Dividends Per Share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H46" t="str">
            <v>Dividends Per Share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O46" t="str">
            <v>Dividends Per Share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Z46" t="str">
            <v>Dividends Per Share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</row>
        <row r="47">
          <cell r="A47" t="str">
            <v>Average Diluted Shares (Millions)</v>
          </cell>
          <cell r="B47">
            <v>54.721767</v>
          </cell>
          <cell r="C47">
            <v>54.718682250000001</v>
          </cell>
          <cell r="D47">
            <v>54.717003249999998</v>
          </cell>
          <cell r="E47">
            <v>54.639708499999998</v>
          </cell>
          <cell r="F47">
            <v>54.699290250000004</v>
          </cell>
          <cell r="H47" t="str">
            <v>Average Diluted Shares (Millions)</v>
          </cell>
          <cell r="I47">
            <v>53.061041750000001</v>
          </cell>
          <cell r="J47">
            <v>53.061615250000003</v>
          </cell>
          <cell r="K47">
            <v>53.061892999999998</v>
          </cell>
          <cell r="L47">
            <v>53.062078</v>
          </cell>
          <cell r="M47">
            <v>53.061656999999997</v>
          </cell>
          <cell r="O47" t="str">
            <v>Average Diluted Shares (Millions)</v>
          </cell>
          <cell r="P47">
            <v>53.06313875</v>
          </cell>
          <cell r="Q47">
            <v>53.062093000000004</v>
          </cell>
          <cell r="R47">
            <v>53.061843000000003</v>
          </cell>
          <cell r="S47">
            <v>55.777057614166665</v>
          </cell>
          <cell r="T47">
            <v>53.741033091041672</v>
          </cell>
          <cell r="W47">
            <v>4</v>
          </cell>
          <cell r="Z47" t="str">
            <v>Average Diluted Shares (Millions)</v>
          </cell>
          <cell r="AA47">
            <v>58.689115228333335</v>
          </cell>
          <cell r="AB47">
            <v>58.689115228333335</v>
          </cell>
          <cell r="AC47">
            <v>58.689115228333335</v>
          </cell>
          <cell r="AD47">
            <v>58.689115228333335</v>
          </cell>
          <cell r="AE47">
            <v>58.689115228333335</v>
          </cell>
          <cell r="BD47" t="str">
            <v>mstag:averageDilutedSharesOutstanding</v>
          </cell>
          <cell r="BE47">
            <v>6</v>
          </cell>
          <cell r="BF47" t="str">
            <v>ms_eqr_gcim_Decimal:ms_eqr_gcim_decimal</v>
          </cell>
          <cell r="BG47" t="b">
            <v>0</v>
          </cell>
          <cell r="BH47" t="b">
            <v>0</v>
          </cell>
        </row>
        <row r="48">
          <cell r="A48" t="str">
            <v>End-of-Period Shares Outstanding</v>
          </cell>
          <cell r="B48">
            <v>52.864999999999995</v>
          </cell>
          <cell r="C48">
            <v>52.864999999999995</v>
          </cell>
          <cell r="D48">
            <v>52.864999999999995</v>
          </cell>
          <cell r="E48">
            <v>52.864999999999995</v>
          </cell>
          <cell r="F48">
            <v>52.864999999999995</v>
          </cell>
          <cell r="H48" t="str">
            <v>End-of-Period Shares Outstanding</v>
          </cell>
          <cell r="I48">
            <v>52.864999999999995</v>
          </cell>
          <cell r="J48">
            <v>52.864999999999995</v>
          </cell>
          <cell r="K48">
            <v>52.864999999999995</v>
          </cell>
          <cell r="L48">
            <v>52.864999999999995</v>
          </cell>
          <cell r="M48">
            <v>52.864999999999995</v>
          </cell>
          <cell r="O48" t="str">
            <v>End-of-Period Shares Outstanding</v>
          </cell>
          <cell r="P48">
            <v>52.865499999999997</v>
          </cell>
          <cell r="Q48">
            <v>52.865000000000002</v>
          </cell>
          <cell r="R48">
            <v>52.865000000000002</v>
          </cell>
          <cell r="S48">
            <v>55.365000000000002</v>
          </cell>
          <cell r="T48">
            <v>55.365000000000002</v>
          </cell>
          <cell r="W48">
            <v>4</v>
          </cell>
          <cell r="Z48" t="str">
            <v>End-of-Period Shares Outstanding</v>
          </cell>
          <cell r="AA48">
            <v>55.365000000000002</v>
          </cell>
          <cell r="AB48">
            <v>55.365000000000002</v>
          </cell>
          <cell r="AC48">
            <v>55.365000000000002</v>
          </cell>
          <cell r="AD48">
            <v>55.365000000000002</v>
          </cell>
          <cell r="AE48">
            <v>55.365000000000002</v>
          </cell>
          <cell r="BD48" t="str">
            <v>mstag:periodEndBasicSharesOutstanding</v>
          </cell>
          <cell r="BE48">
            <v>6</v>
          </cell>
          <cell r="BF48" t="str">
            <v>ms_eqr_gcim_Decimal:ms_eqr_gcim_decimal</v>
          </cell>
          <cell r="BG48" t="b">
            <v>0</v>
          </cell>
          <cell r="BH48" t="b">
            <v>0</v>
          </cell>
        </row>
        <row r="49">
          <cell r="A49" t="str">
            <v>Average Basic Shares Outstanding</v>
          </cell>
          <cell r="B49">
            <v>54.395333749999999</v>
          </cell>
          <cell r="C49">
            <v>54.395571250000003</v>
          </cell>
          <cell r="D49">
            <v>54.395943250000002</v>
          </cell>
          <cell r="E49">
            <v>54.3289665</v>
          </cell>
          <cell r="F49">
            <v>54.378953687500008</v>
          </cell>
          <cell r="H49" t="str">
            <v>Average Basic Shares Outstanding</v>
          </cell>
          <cell r="I49">
            <v>52.86369225</v>
          </cell>
          <cell r="J49">
            <v>52.864519000000001</v>
          </cell>
          <cell r="K49">
            <v>52.864881250000003</v>
          </cell>
          <cell r="L49">
            <v>52.865108499999998</v>
          </cell>
          <cell r="M49">
            <v>52.864550250000001</v>
          </cell>
          <cell r="O49" t="str">
            <v>Average Basic Shares Outstanding</v>
          </cell>
          <cell r="P49">
            <v>52.866295749999999</v>
          </cell>
          <cell r="Q49">
            <v>52.865250000000003</v>
          </cell>
          <cell r="R49">
            <v>52.865000000000002</v>
          </cell>
          <cell r="S49">
            <v>54.115000000000002</v>
          </cell>
          <cell r="T49">
            <v>53.177886437500007</v>
          </cell>
          <cell r="Z49" t="str">
            <v>Average Basic Shares Outstanding</v>
          </cell>
          <cell r="AA49">
            <v>55.365000000000002</v>
          </cell>
          <cell r="AB49">
            <v>55.365000000000002</v>
          </cell>
          <cell r="AC49">
            <v>55.365000000000002</v>
          </cell>
          <cell r="AD49">
            <v>55.365000000000002</v>
          </cell>
          <cell r="AE49">
            <v>55.365000000000002</v>
          </cell>
          <cell r="BD49" t="str">
            <v>mstag:averageBasicSharesOutstanding</v>
          </cell>
          <cell r="BE49">
            <v>6</v>
          </cell>
          <cell r="BF49" t="str">
            <v>ms_eqr_gcim_Decimal:ms_eqr_gcim_decimal</v>
          </cell>
          <cell r="BG49" t="b">
            <v>0</v>
          </cell>
          <cell r="BH49" t="b">
            <v>0</v>
          </cell>
        </row>
        <row r="50">
          <cell r="A50" t="str">
            <v>Profitability</v>
          </cell>
          <cell r="B50">
            <v>54.395333749999999</v>
          </cell>
          <cell r="C50">
            <v>54.395571250000003</v>
          </cell>
          <cell r="D50">
            <v>54.395943250000002</v>
          </cell>
          <cell r="E50">
            <v>54.3289665</v>
          </cell>
          <cell r="F50">
            <v>54.378953687500008</v>
          </cell>
          <cell r="H50" t="str">
            <v>Profitability</v>
          </cell>
          <cell r="I50">
            <v>52.86369225</v>
          </cell>
          <cell r="J50">
            <v>52.864519000000001</v>
          </cell>
          <cell r="K50">
            <v>52.864881250000003</v>
          </cell>
          <cell r="L50">
            <v>52.865108499999998</v>
          </cell>
          <cell r="M50">
            <v>52.864550250000001</v>
          </cell>
          <cell r="O50" t="str">
            <v>Profitability</v>
          </cell>
          <cell r="P50">
            <v>52.866295749999999</v>
          </cell>
          <cell r="Q50">
            <v>52.865250000000003</v>
          </cell>
          <cell r="R50">
            <v>52.865000000000002</v>
          </cell>
          <cell r="S50">
            <v>54.115000000000002</v>
          </cell>
          <cell r="T50">
            <v>53.177886437500007</v>
          </cell>
          <cell r="Z50" t="str">
            <v>Profitability</v>
          </cell>
          <cell r="AA50">
            <v>55.365000000000002</v>
          </cell>
          <cell r="AB50">
            <v>55.365000000000002</v>
          </cell>
          <cell r="AC50">
            <v>55.365000000000002</v>
          </cell>
          <cell r="AD50">
            <v>55.365000000000002</v>
          </cell>
          <cell r="AE50">
            <v>55.365000000000002</v>
          </cell>
          <cell r="BD50" t="str">
            <v>mstag:averageBasicSharesOutstanding</v>
          </cell>
          <cell r="BE50">
            <v>6</v>
          </cell>
          <cell r="BF50" t="str">
            <v>ms_eqr_gcim_Decimal:ms_eqr_gcim_decimal</v>
          </cell>
          <cell r="BG50" t="b">
            <v>0</v>
          </cell>
          <cell r="BH50" t="b">
            <v>0</v>
          </cell>
        </row>
        <row r="51">
          <cell r="A51" t="str">
            <v>Pretax Operating Margin</v>
          </cell>
          <cell r="B51">
            <v>0.21842370347199327</v>
          </cell>
          <cell r="C51">
            <v>0.26479793358064602</v>
          </cell>
          <cell r="D51">
            <v>0.10708925387507941</v>
          </cell>
          <cell r="E51">
            <v>0.1978105451295801</v>
          </cell>
          <cell r="F51">
            <v>0.2017972859645549</v>
          </cell>
          <cell r="H51" t="str">
            <v>Pretax Operating Margin</v>
          </cell>
          <cell r="I51">
            <v>0.28406228059306982</v>
          </cell>
          <cell r="J51">
            <v>0.29495772716886298</v>
          </cell>
          <cell r="K51">
            <v>0.32998268074846332</v>
          </cell>
          <cell r="L51">
            <v>0.28263615946097692</v>
          </cell>
          <cell r="M51">
            <v>0.29879904809341956</v>
          </cell>
          <cell r="O51" t="str">
            <v>Pretax Operating Margin</v>
          </cell>
          <cell r="P51">
            <v>0.38983988940555492</v>
          </cell>
          <cell r="Q51">
            <v>0.4753797525760845</v>
          </cell>
          <cell r="R51">
            <v>0.54947782341382512</v>
          </cell>
          <cell r="S51">
            <v>0.54056763237922845</v>
          </cell>
          <cell r="T51">
            <v>0.49700686845774711</v>
          </cell>
          <cell r="Z51" t="str">
            <v>Pretax Operating Margin</v>
          </cell>
          <cell r="AA51">
            <v>0.5176499559504375</v>
          </cell>
          <cell r="AB51">
            <v>0.53481925979890743</v>
          </cell>
          <cell r="AC51">
            <v>0.54051600665308885</v>
          </cell>
          <cell r="AD51">
            <v>0.54996929296191366</v>
          </cell>
          <cell r="AE51">
            <v>0.53662679490088283</v>
          </cell>
        </row>
        <row r="52">
          <cell r="A52" t="str">
            <v>Pretax Margin</v>
          </cell>
          <cell r="B52">
            <v>0.23523821995973609</v>
          </cell>
          <cell r="C52">
            <v>0.27297995699018712</v>
          </cell>
          <cell r="D52">
            <v>0.11687804393902701</v>
          </cell>
          <cell r="E52">
            <v>0.20326184092940136</v>
          </cell>
          <cell r="F52">
            <v>0.21191003299801039</v>
          </cell>
          <cell r="H52" t="str">
            <v>Pretax Margin</v>
          </cell>
          <cell r="I52">
            <v>0.29822822450749598</v>
          </cell>
          <cell r="J52">
            <v>0.32081651306268583</v>
          </cell>
          <cell r="K52">
            <v>0.36037626922946303</v>
          </cell>
          <cell r="L52">
            <v>0.26196659180235815</v>
          </cell>
          <cell r="M52">
            <v>0.31104838858450018</v>
          </cell>
          <cell r="O52" t="str">
            <v>Pretax Margin</v>
          </cell>
          <cell r="P52">
            <v>0.42100741485484489</v>
          </cell>
          <cell r="Q52">
            <v>0.50662168224430548</v>
          </cell>
          <cell r="R52">
            <v>0.56527928947154038</v>
          </cell>
          <cell r="S52">
            <v>0.56248658481817793</v>
          </cell>
          <cell r="T52">
            <v>0.52126577771216798</v>
          </cell>
          <cell r="Z52" t="str">
            <v>Pretax Margin</v>
          </cell>
          <cell r="AA52">
            <v>0.55096902879519027</v>
          </cell>
          <cell r="AB52">
            <v>0.56526601105216479</v>
          </cell>
          <cell r="AC52">
            <v>0.56797539192131041</v>
          </cell>
          <cell r="AD52">
            <v>0.57735082825356732</v>
          </cell>
          <cell r="AE52">
            <v>0.56608286294392618</v>
          </cell>
        </row>
        <row r="53">
          <cell r="A53" t="str">
            <v>After-Tax Margin</v>
          </cell>
          <cell r="B53">
            <v>0.15395605075366883</v>
          </cell>
          <cell r="C53">
            <v>0.17315040221788575</v>
          </cell>
          <cell r="D53">
            <v>7.5185962870632991E-2</v>
          </cell>
          <cell r="E53">
            <v>0.15750670241286874</v>
          </cell>
          <cell r="F53">
            <v>0.14269329777629822</v>
          </cell>
          <cell r="H53" t="str">
            <v>After-Tax Margin</v>
          </cell>
          <cell r="I53">
            <v>0.19088919175649444</v>
          </cell>
          <cell r="J53">
            <v>0.20706070530885842</v>
          </cell>
          <cell r="K53">
            <v>0.2394471423234964</v>
          </cell>
          <cell r="L53">
            <v>0.16981330713082535</v>
          </cell>
          <cell r="M53">
            <v>0.20245540243879942</v>
          </cell>
          <cell r="O53" t="str">
            <v>After-Tax Margin</v>
          </cell>
          <cell r="P53">
            <v>0.27867990448661561</v>
          </cell>
          <cell r="Q53">
            <v>0.34273247586907107</v>
          </cell>
          <cell r="R53">
            <v>0.37177982338191029</v>
          </cell>
          <cell r="S53">
            <v>0.36561628013181563</v>
          </cell>
          <cell r="T53">
            <v>0.34430321077395293</v>
          </cell>
          <cell r="Z53" t="str">
            <v>After-Tax Margin</v>
          </cell>
          <cell r="AA53">
            <v>0.36363955900482553</v>
          </cell>
          <cell r="AB53">
            <v>0.3730755672944287</v>
          </cell>
          <cell r="AC53">
            <v>0.37486375866806493</v>
          </cell>
          <cell r="AD53">
            <v>0.38105154664735441</v>
          </cell>
          <cell r="AE53">
            <v>0.37361468954299121</v>
          </cell>
        </row>
        <row r="54">
          <cell r="A54" t="str">
            <v>After-Tax Margin</v>
          </cell>
          <cell r="B54">
            <v>0.15395605075366883</v>
          </cell>
          <cell r="C54">
            <v>0.17315040221788575</v>
          </cell>
          <cell r="D54">
            <v>7.5185962870632991E-2</v>
          </cell>
          <cell r="E54">
            <v>0.15750670241286874</v>
          </cell>
          <cell r="F54">
            <v>0.14269329777629822</v>
          </cell>
          <cell r="H54" t="str">
            <v>After-Tax Margin</v>
          </cell>
          <cell r="I54">
            <v>0.19088919175649444</v>
          </cell>
          <cell r="J54">
            <v>0.20706070530885842</v>
          </cell>
          <cell r="K54">
            <v>0.2394471423234964</v>
          </cell>
          <cell r="L54">
            <v>0.16981330713082535</v>
          </cell>
          <cell r="M54">
            <v>0.20245540243879942</v>
          </cell>
          <cell r="O54" t="str">
            <v>After-Tax Margin</v>
          </cell>
          <cell r="P54">
            <v>0.27867990448661561</v>
          </cell>
          <cell r="Q54">
            <v>0.34273247586907107</v>
          </cell>
          <cell r="R54">
            <v>0.37177982338191029</v>
          </cell>
          <cell r="S54">
            <v>0.36561628013181563</v>
          </cell>
          <cell r="T54">
            <v>0.34430321077395293</v>
          </cell>
          <cell r="Z54" t="str">
            <v>After-Tax Margin</v>
          </cell>
          <cell r="AA54">
            <v>0.36363955900482553</v>
          </cell>
          <cell r="AB54">
            <v>0.3730755672944287</v>
          </cell>
          <cell r="AC54">
            <v>0.37486375866806493</v>
          </cell>
          <cell r="AD54">
            <v>0.38105154664735441</v>
          </cell>
          <cell r="AE54">
            <v>0.37361468954299121</v>
          </cell>
        </row>
        <row r="55">
          <cell r="A55" t="str">
            <v>Expense data</v>
          </cell>
          <cell r="H55" t="str">
            <v>Expense data</v>
          </cell>
          <cell r="O55" t="str">
            <v>Expense data</v>
          </cell>
          <cell r="Z55" t="str">
            <v>Expense data</v>
          </cell>
        </row>
        <row r="56">
          <cell r="A56" t="str">
            <v>Employee compensation and benefits</v>
          </cell>
          <cell r="B56">
            <v>7.046862</v>
          </cell>
          <cell r="C56">
            <v>6.4392120000000004</v>
          </cell>
          <cell r="D56">
            <v>6.2408520000000003</v>
          </cell>
          <cell r="E56">
            <v>6.5090000000000003</v>
          </cell>
          <cell r="F56">
            <v>26.235925999999999</v>
          </cell>
          <cell r="H56" t="str">
            <v>Employee compensation and benefits</v>
          </cell>
          <cell r="I56">
            <v>6.5439999999999996</v>
          </cell>
          <cell r="J56">
            <v>6.6740000000000004</v>
          </cell>
          <cell r="K56">
            <v>8.4550000000000001</v>
          </cell>
          <cell r="L56">
            <v>8.4009999999999998</v>
          </cell>
          <cell r="M56">
            <v>30.074000000000002</v>
          </cell>
          <cell r="O56" t="str">
            <v>Employee compensation and benefits</v>
          </cell>
          <cell r="P56">
            <v>7.4861760000000004</v>
          </cell>
          <cell r="Q56">
            <v>8.112584</v>
          </cell>
          <cell r="R56">
            <v>9.0154329999999998</v>
          </cell>
          <cell r="S56">
            <v>8.4869658127199994</v>
          </cell>
          <cell r="T56">
            <v>33.101158812720001</v>
          </cell>
          <cell r="Z56" t="str">
            <v>Employee compensation and benefits</v>
          </cell>
          <cell r="AA56">
            <v>8.5367515874943791</v>
          </cell>
          <cell r="AB56">
            <v>9.3862140333632453</v>
          </cell>
          <cell r="AC56">
            <v>10.433133314975162</v>
          </cell>
          <cell r="AD56">
            <v>10.498734107763038</v>
          </cell>
          <cell r="AE56">
            <v>38.854833043595825</v>
          </cell>
        </row>
        <row r="57">
          <cell r="A57" t="str">
            <v>% of net revenues</v>
          </cell>
          <cell r="B57">
            <v>0.2915769358003038</v>
          </cell>
          <cell r="C57">
            <v>0.24427076084214078</v>
          </cell>
          <cell r="D57">
            <v>0.29951848897425704</v>
          </cell>
          <cell r="E57">
            <v>0.29084003574620193</v>
          </cell>
          <cell r="F57">
            <v>0.27986376156112019</v>
          </cell>
          <cell r="H57" t="str">
            <v>% of net revenues</v>
          </cell>
          <cell r="I57">
            <v>0.27026803783091724</v>
          </cell>
          <cell r="J57">
            <v>0.25417015766623502</v>
          </cell>
          <cell r="K57">
            <v>0.28712602302441675</v>
          </cell>
          <cell r="L57">
            <v>0.29481330713082537</v>
          </cell>
          <cell r="M57">
            <v>0.27739959783791762</v>
          </cell>
          <cell r="O57" t="str">
            <v>% of net revenues</v>
          </cell>
          <cell r="P57">
            <v>0.23520723890913661</v>
          </cell>
          <cell r="Q57">
            <v>0.21616589175494139</v>
          </cell>
          <cell r="R57">
            <v>0.19925624740553863</v>
          </cell>
          <cell r="S57">
            <v>0.20000000000000004</v>
          </cell>
          <cell r="T57">
            <v>0.21078480861294202</v>
          </cell>
          <cell r="Z57" t="str">
            <v>% of net revenues</v>
          </cell>
          <cell r="AA57">
            <v>0.18848692365186651</v>
          </cell>
          <cell r="AB57">
            <v>0.18937693639486536</v>
          </cell>
          <cell r="AC57">
            <v>0.18984590841881802</v>
          </cell>
          <cell r="AD57">
            <v>0.19049799394393813</v>
          </cell>
          <cell r="AE57">
            <v>0.18960749670900098</v>
          </cell>
        </row>
        <row r="58">
          <cell r="A58" t="str">
            <v>Non-compensation expenses</v>
          </cell>
          <cell r="B58">
            <v>11.842355999999999</v>
          </cell>
          <cell r="C58">
            <v>12.941420999999998</v>
          </cell>
          <cell r="D58">
            <v>12.364089</v>
          </cell>
          <cell r="E58">
            <v>11.443999999999999</v>
          </cell>
          <cell r="F58">
            <v>48.591866000000003</v>
          </cell>
          <cell r="H58" t="str">
            <v>Non-compensation expenses</v>
          </cell>
          <cell r="I58">
            <v>10.791</v>
          </cell>
          <cell r="J58">
            <v>11.838999999999999</v>
          </cell>
          <cell r="K58">
            <v>11.275</v>
          </cell>
          <cell r="L58">
            <v>12.041</v>
          </cell>
          <cell r="M58">
            <v>45.946000000000012</v>
          </cell>
          <cell r="O58" t="str">
            <v>Non-compensation expenses</v>
          </cell>
          <cell r="P58">
            <v>11.933999999999997</v>
          </cell>
          <cell r="Q58">
            <v>11.576117999999999</v>
          </cell>
          <cell r="R58">
            <v>11.368633000000001</v>
          </cell>
          <cell r="S58">
            <v>11.008968173552473</v>
          </cell>
          <cell r="T58">
            <v>45.887719173552483</v>
          </cell>
          <cell r="Z58" t="str">
            <v>Non-compensation expenses</v>
          </cell>
          <cell r="AA58">
            <v>13.309339507256798</v>
          </cell>
          <cell r="AB58">
            <v>13.669845879982049</v>
          </cell>
          <cell r="AC58">
            <v>14.818176015904811</v>
          </cell>
          <cell r="AD58">
            <v>14.303378689875796</v>
          </cell>
          <cell r="AE58">
            <v>56.100740093019446</v>
          </cell>
        </row>
        <row r="59">
          <cell r="A59" t="str">
            <v>% of net revenues</v>
          </cell>
          <cell r="B59">
            <v>0.48999936072770289</v>
          </cell>
          <cell r="C59">
            <v>0.49093130557721315</v>
          </cell>
          <cell r="D59">
            <v>0.59339225715066357</v>
          </cell>
          <cell r="E59">
            <v>0.51134941912421794</v>
          </cell>
          <cell r="F59">
            <v>0.51833895247432493</v>
          </cell>
          <cell r="H59" t="str">
            <v>% of net revenues</v>
          </cell>
          <cell r="I59">
            <v>0.44566968157601289</v>
          </cell>
          <cell r="J59">
            <v>0.45087211516490205</v>
          </cell>
          <cell r="K59">
            <v>0.38289129622711993</v>
          </cell>
          <cell r="L59">
            <v>0.42255053340819765</v>
          </cell>
          <cell r="M59">
            <v>0.42380135406866282</v>
          </cell>
          <cell r="O59" t="str">
            <v>% of net revenues</v>
          </cell>
          <cell r="P59">
            <v>0.37495287168530844</v>
          </cell>
          <cell r="Q59">
            <v>0.30845435566897411</v>
          </cell>
          <cell r="R59">
            <v>0.25126592918063623</v>
          </cell>
          <cell r="S59">
            <v>0.25943236762077154</v>
          </cell>
          <cell r="T59">
            <v>0.29220832292931087</v>
          </cell>
          <cell r="Z59" t="str">
            <v>% of net revenues</v>
          </cell>
          <cell r="AA59">
            <v>0.29386312039769596</v>
          </cell>
          <cell r="AB59">
            <v>0.27580380380622715</v>
          </cell>
          <cell r="AC59">
            <v>0.2696380849280931</v>
          </cell>
          <cell r="AD59">
            <v>0.25953271309414822</v>
          </cell>
          <cell r="AE59">
            <v>0.27376570839011616</v>
          </cell>
        </row>
        <row r="60">
          <cell r="A60" t="str">
            <v>% of net revenues</v>
          </cell>
          <cell r="B60">
            <v>0.48999936072770289</v>
          </cell>
          <cell r="C60">
            <v>0.49093130557721315</v>
          </cell>
          <cell r="D60">
            <v>0.59339225715066357</v>
          </cell>
          <cell r="E60">
            <v>0.51134941912421794</v>
          </cell>
          <cell r="F60">
            <v>0.51833895247432493</v>
          </cell>
          <cell r="H60" t="str">
            <v>% of net revenues</v>
          </cell>
          <cell r="I60">
            <v>0.44566968157601289</v>
          </cell>
          <cell r="J60">
            <v>0.45087211516490205</v>
          </cell>
          <cell r="K60">
            <v>0.38289129622711993</v>
          </cell>
          <cell r="L60">
            <v>0.42255053340819765</v>
          </cell>
          <cell r="M60">
            <v>0.42380135406866282</v>
          </cell>
          <cell r="O60" t="str">
            <v>% of net revenues</v>
          </cell>
          <cell r="P60">
            <v>0.37495287168530844</v>
          </cell>
          <cell r="Q60">
            <v>0.30845435566897411</v>
          </cell>
          <cell r="R60">
            <v>0.25126592918063623</v>
          </cell>
          <cell r="S60">
            <v>0.25943236762077154</v>
          </cell>
          <cell r="T60">
            <v>0.29220832292931087</v>
          </cell>
          <cell r="Z60" t="str">
            <v>% of net revenues</v>
          </cell>
          <cell r="AA60">
            <v>0.29386312039769596</v>
          </cell>
          <cell r="AB60">
            <v>0.27580380380622715</v>
          </cell>
          <cell r="AC60">
            <v>0.2696380849280931</v>
          </cell>
          <cell r="AD60">
            <v>0.25953271309414822</v>
          </cell>
          <cell r="AE60">
            <v>0.27376570839011616</v>
          </cell>
        </row>
        <row r="61">
          <cell r="A61" t="str">
            <v>Equity roll rorward</v>
          </cell>
          <cell r="H61" t="str">
            <v>Equity roll rorward</v>
          </cell>
          <cell r="O61" t="str">
            <v>Equity roll rorward</v>
          </cell>
          <cell r="Z61" t="str">
            <v>Equity roll rorward</v>
          </cell>
        </row>
        <row r="62">
          <cell r="A62" t="str">
            <v>Beginning Common Equity</v>
          </cell>
          <cell r="B62">
            <v>50.021000000000001</v>
          </cell>
          <cell r="C62">
            <v>50.734999999999999</v>
          </cell>
          <cell r="D62">
            <v>58.738999999999997</v>
          </cell>
          <cell r="E62">
            <v>62.006</v>
          </cell>
          <cell r="F62">
            <v>50.021000000000001</v>
          </cell>
          <cell r="H62" t="str">
            <v>Beginning Common Equity</v>
          </cell>
          <cell r="I62">
            <v>101.194</v>
          </cell>
          <cell r="J62">
            <v>109.81699999999999</v>
          </cell>
          <cell r="K62">
            <v>112.497</v>
          </cell>
          <cell r="L62">
            <v>119.34</v>
          </cell>
          <cell r="M62">
            <v>101.194</v>
          </cell>
          <cell r="O62" t="str">
            <v>Beginning Common Equity</v>
          </cell>
          <cell r="P62">
            <v>132.148833</v>
          </cell>
          <cell r="Q62">
            <v>138.303</v>
          </cell>
          <cell r="R62">
            <v>141.119</v>
          </cell>
          <cell r="S62">
            <v>137.28133500000001</v>
          </cell>
          <cell r="T62">
            <v>132.148833</v>
          </cell>
          <cell r="Z62" t="str">
            <v>Beginning Common Equity</v>
          </cell>
          <cell r="AA62">
            <v>251.81119935026288</v>
          </cell>
          <cell r="AB62">
            <v>268.2807799581135</v>
          </cell>
          <cell r="AC62">
            <v>286.77177042351246</v>
          </cell>
          <cell r="AD62">
            <v>307.37270726597819</v>
          </cell>
          <cell r="AE62">
            <v>251.81119935026288</v>
          </cell>
        </row>
        <row r="63">
          <cell r="A63" t="str">
            <v>Plus: Operating Earnings</v>
          </cell>
          <cell r="B63">
            <v>2.8368259999999972</v>
          </cell>
          <cell r="C63">
            <v>3.6804109999999999</v>
          </cell>
          <cell r="D63">
            <v>1.5665960000000017</v>
          </cell>
          <cell r="E63">
            <v>11.903000000000002</v>
          </cell>
          <cell r="F63">
            <v>19.986833000000001</v>
          </cell>
          <cell r="H63" t="str">
            <v>Plus: Operating Earnings</v>
          </cell>
          <cell r="I63">
            <v>4.6219999999999999</v>
          </cell>
          <cell r="J63">
            <v>5.4370000000000047</v>
          </cell>
          <cell r="K63">
            <v>7.0509999999999984</v>
          </cell>
          <cell r="L63">
            <v>4.8389999999999986</v>
          </cell>
          <cell r="M63">
            <v>21.949000000000002</v>
          </cell>
          <cell r="O63" t="str">
            <v>Plus: Operating Earnings</v>
          </cell>
          <cell r="P63">
            <v>8.8698240000000013</v>
          </cell>
          <cell r="Q63">
            <v>-0.14098100000005331</v>
          </cell>
          <cell r="R63">
            <v>-3.8376650000000012</v>
          </cell>
          <cell r="S63">
            <v>15.514864350262886</v>
          </cell>
          <cell r="T63">
            <v>20.406042350262833</v>
          </cell>
          <cell r="U63" t="str">
            <v>Adjust for available to common? - Only historically</v>
          </cell>
          <cell r="Z63" t="str">
            <v>Plus: Operating Earnings</v>
          </cell>
          <cell r="AA63">
            <v>16.469580607850617</v>
          </cell>
          <cell r="AB63">
            <v>18.490990465398959</v>
          </cell>
          <cell r="AC63">
            <v>20.6009368424657</v>
          </cell>
          <cell r="AD63">
            <v>21.000530172405739</v>
          </cell>
          <cell r="AE63">
            <v>76.562038088121014</v>
          </cell>
        </row>
        <row r="64">
          <cell r="A64" t="str">
            <v>Less: Dividends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H64" t="str">
            <v>Less: Dividends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O64" t="str">
            <v>Less: Dividends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 t="str">
            <v>Adjust for available to common? - Only historically</v>
          </cell>
          <cell r="Z64" t="str">
            <v>Less: Dividends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</row>
        <row r="65">
          <cell r="A65" t="str">
            <v>Other</v>
          </cell>
          <cell r="B65">
            <v>-2.1228259999999985</v>
          </cell>
          <cell r="C65">
            <v>4.3235889999999984</v>
          </cell>
          <cell r="D65">
            <v>1.7004040000000014</v>
          </cell>
          <cell r="E65">
            <v>27.285</v>
          </cell>
          <cell r="F65">
            <v>31.186167000000001</v>
          </cell>
          <cell r="H65" t="str">
            <v>Other</v>
          </cell>
          <cell r="I65">
            <v>4.0009999999999906</v>
          </cell>
          <cell r="J65">
            <v>-2.7569999999999979</v>
          </cell>
          <cell r="K65">
            <v>-0.20799999999999486</v>
          </cell>
          <cell r="L65">
            <v>7.9698329999999942</v>
          </cell>
          <cell r="M65">
            <v>9.005832999999992</v>
          </cell>
          <cell r="O65" t="str">
            <v>Other</v>
          </cell>
          <cell r="P65">
            <v>-2.7156570000000002</v>
          </cell>
          <cell r="Q65">
            <v>2.9569810000000598</v>
          </cell>
          <cell r="R65">
            <v>0</v>
          </cell>
          <cell r="S65">
            <v>99.015000000000001</v>
          </cell>
          <cell r="T65">
            <v>99.256324000000063</v>
          </cell>
          <cell r="U65" t="str">
            <v>Need to hook into capital management module/IPO proceeds, net place holder inserted in 3Q05</v>
          </cell>
          <cell r="Z65" t="str">
            <v>Other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</row>
        <row r="66">
          <cell r="A66" t="str">
            <v>Ending common equity</v>
          </cell>
          <cell r="B66">
            <v>50.734999999999999</v>
          </cell>
          <cell r="C66">
            <v>58.738999999999997</v>
          </cell>
          <cell r="D66">
            <v>62.006</v>
          </cell>
          <cell r="E66">
            <v>101.194</v>
          </cell>
          <cell r="F66">
            <v>101.194</v>
          </cell>
          <cell r="H66" t="str">
            <v>Ending common equity</v>
          </cell>
          <cell r="I66">
            <v>109.81699999999999</v>
          </cell>
          <cell r="J66">
            <v>112.497</v>
          </cell>
          <cell r="K66">
            <v>119.34</v>
          </cell>
          <cell r="L66">
            <v>132.148833</v>
          </cell>
          <cell r="M66">
            <v>132.148833</v>
          </cell>
          <cell r="O66" t="str">
            <v>Ending common equity</v>
          </cell>
          <cell r="P66">
            <v>138.303</v>
          </cell>
          <cell r="Q66">
            <v>141.119</v>
          </cell>
          <cell r="R66">
            <v>137.28133500000001</v>
          </cell>
          <cell r="S66">
            <v>251.81119935026288</v>
          </cell>
          <cell r="T66">
            <v>251.81119935026288</v>
          </cell>
          <cell r="U66" t="str">
            <v>Need to hook into capital management module/IPO proceeds, net place holder inserted in 3Q05</v>
          </cell>
          <cell r="Z66" t="str">
            <v>Ending common equity</v>
          </cell>
          <cell r="AA66">
            <v>268.2807799581135</v>
          </cell>
          <cell r="AB66">
            <v>286.77177042351246</v>
          </cell>
          <cell r="AC66">
            <v>307.37270726597819</v>
          </cell>
          <cell r="AD66">
            <v>328.37323743838391</v>
          </cell>
          <cell r="AE66">
            <v>328.37323743838391</v>
          </cell>
        </row>
        <row r="67">
          <cell r="A67" t="str">
            <v>Estimated ROE (Ann.)</v>
          </cell>
          <cell r="B67">
            <v>0.29543260947238853</v>
          </cell>
          <cell r="C67">
            <v>0.3335521493687999</v>
          </cell>
          <cell r="D67">
            <v>0.10379533728104694</v>
          </cell>
          <cell r="E67">
            <v>0.17279411764705899</v>
          </cell>
          <cell r="F67">
            <v>0.70769873359124436</v>
          </cell>
          <cell r="H67" t="str">
            <v>Estimated ROE (Ann.)</v>
          </cell>
          <cell r="I67">
            <v>0.17523257081384383</v>
          </cell>
          <cell r="J67">
            <v>0.19565119605602904</v>
          </cell>
          <cell r="K67">
            <v>0.24330887649512367</v>
          </cell>
          <cell r="L67">
            <v>0.15393128807432968</v>
          </cell>
          <cell r="M67">
            <v>0.75250650616725834</v>
          </cell>
          <cell r="O67" t="str">
            <v>Estimated ROE (Ann.)</v>
          </cell>
          <cell r="P67">
            <v>0.26237053457130766</v>
          </cell>
          <cell r="Q67">
            <v>0.36826181240560429</v>
          </cell>
          <cell r="R67">
            <v>0.48337111375961511</v>
          </cell>
          <cell r="S67">
            <v>0.31899587847237049</v>
          </cell>
          <cell r="T67">
            <v>1.1265460008960375</v>
          </cell>
          <cell r="U67" t="str">
            <v>Need to adjust 3Q for timing of IPO proceeds/Adjust for available to common (only in '04 and prior)</v>
          </cell>
          <cell r="Z67" t="str">
            <v>Estimated ROE (Ann.)</v>
          </cell>
          <cell r="AA67">
            <v>0.25333335276197927</v>
          </cell>
          <cell r="AB67">
            <v>0.26651156475451548</v>
          </cell>
          <cell r="AC67">
            <v>0.27738622663064894</v>
          </cell>
          <cell r="AD67">
            <v>0.26426317427376139</v>
          </cell>
          <cell r="AE67">
            <v>1.0556924072199683</v>
          </cell>
        </row>
        <row r="68">
          <cell r="A68" t="str">
            <v>Estimated ROE (GAPP)</v>
          </cell>
          <cell r="B68">
            <v>0.29543260947238853</v>
          </cell>
          <cell r="C68">
            <v>0.3335521493687999</v>
          </cell>
          <cell r="D68">
            <v>0.10379533728104694</v>
          </cell>
          <cell r="E68">
            <v>0.17279411764705899</v>
          </cell>
          <cell r="F68">
            <v>0.70769873359124436</v>
          </cell>
          <cell r="H68" t="str">
            <v>Estimated ROE (GAPP)</v>
          </cell>
          <cell r="I68">
            <v>0.17523257081384383</v>
          </cell>
          <cell r="J68">
            <v>0.19565119605602904</v>
          </cell>
          <cell r="K68">
            <v>0.24330887649512367</v>
          </cell>
          <cell r="L68">
            <v>0.15393128807432968</v>
          </cell>
          <cell r="M68">
            <v>0.75250650616725834</v>
          </cell>
          <cell r="O68" t="str">
            <v>Estimated ROE (GAPP)</v>
          </cell>
          <cell r="P68">
            <v>0.26237053457130766</v>
          </cell>
          <cell r="Q68">
            <v>-4.0363607733121462E-3</v>
          </cell>
          <cell r="R68">
            <v>0.48337111375961511</v>
          </cell>
          <cell r="S68">
            <v>0.31899587847237049</v>
          </cell>
          <cell r="T68">
            <v>0.8556107696709796</v>
          </cell>
          <cell r="U68" t="str">
            <v>Need to adjust 3Q for timing of IPO proceeds/Adjust for available to common (only in '04 and prior)</v>
          </cell>
          <cell r="Z68" t="str">
            <v>Estimated ROE (GAPP)</v>
          </cell>
          <cell r="AA68">
            <v>0.25333335276197927</v>
          </cell>
          <cell r="AB68">
            <v>0.26651156475451548</v>
          </cell>
          <cell r="AC68">
            <v>0.27738622663064894</v>
          </cell>
          <cell r="AD68">
            <v>0.26426317427376139</v>
          </cell>
          <cell r="AE68">
            <v>1.0556924072199685</v>
          </cell>
        </row>
        <row r="69">
          <cell r="A69" t="str">
            <v>Book Value Per Share</v>
          </cell>
          <cell r="B69">
            <v>0.29543260947238853</v>
          </cell>
          <cell r="C69">
            <v>0.3335521493687999</v>
          </cell>
          <cell r="D69">
            <v>0.10379533728104694</v>
          </cell>
          <cell r="E69">
            <v>0.17279411764705899</v>
          </cell>
          <cell r="F69">
            <v>0.70769873359124436</v>
          </cell>
          <cell r="H69" t="str">
            <v>Book Value Per Share</v>
          </cell>
          <cell r="I69">
            <v>0.17523257081384383</v>
          </cell>
          <cell r="J69">
            <v>0.19565119605602904</v>
          </cell>
          <cell r="K69">
            <v>0.24330887649512367</v>
          </cell>
          <cell r="L69">
            <v>2.4997414735647405</v>
          </cell>
          <cell r="M69">
            <v>2.4997414735647405</v>
          </cell>
          <cell r="O69" t="str">
            <v>Book Value Per Share</v>
          </cell>
          <cell r="P69">
            <v>2.6161296119397339</v>
          </cell>
          <cell r="Q69">
            <v>2.6694221129291589</v>
          </cell>
          <cell r="R69">
            <v>2.5968284309089191</v>
          </cell>
          <cell r="S69">
            <v>4.5482019208933959</v>
          </cell>
          <cell r="T69">
            <v>4.5482019208933959</v>
          </cell>
          <cell r="Z69" t="str">
            <v>Book Value Per Share</v>
          </cell>
          <cell r="AA69">
            <v>4.8456747034789753</v>
          </cell>
          <cell r="AB69">
            <v>5.1796580948886923</v>
          </cell>
          <cell r="AC69">
            <v>5.5517512375323435</v>
          </cell>
          <cell r="AD69">
            <v>5.9310618159195139</v>
          </cell>
          <cell r="AE69">
            <v>5.9310618159195139</v>
          </cell>
        </row>
        <row r="70">
          <cell r="A70" t="str">
            <v>Staturary tax rate</v>
          </cell>
          <cell r="B70">
            <v>0.35</v>
          </cell>
          <cell r="C70">
            <v>0.35</v>
          </cell>
          <cell r="D70">
            <v>0.35</v>
          </cell>
          <cell r="E70">
            <v>0.35</v>
          </cell>
          <cell r="F70">
            <v>0.35</v>
          </cell>
          <cell r="H70" t="str">
            <v>Staturary tax rate</v>
          </cell>
          <cell r="I70">
            <v>0.35</v>
          </cell>
          <cell r="J70">
            <v>0.35</v>
          </cell>
          <cell r="K70">
            <v>0.35</v>
          </cell>
          <cell r="L70">
            <v>0.35</v>
          </cell>
          <cell r="M70">
            <v>0.35</v>
          </cell>
          <cell r="O70" t="str">
            <v>Staturary tax rate</v>
          </cell>
          <cell r="P70">
            <v>0.35</v>
          </cell>
          <cell r="Q70">
            <v>0.35</v>
          </cell>
          <cell r="R70">
            <v>0.35</v>
          </cell>
          <cell r="S70">
            <v>0.35</v>
          </cell>
          <cell r="T70">
            <v>0.35</v>
          </cell>
          <cell r="Z70" t="str">
            <v>Staturary tax rate</v>
          </cell>
          <cell r="AA70">
            <v>0.35</v>
          </cell>
          <cell r="AB70">
            <v>0.35</v>
          </cell>
          <cell r="AC70">
            <v>0.35</v>
          </cell>
          <cell r="AD70">
            <v>0.35</v>
          </cell>
          <cell r="AE70">
            <v>0.35</v>
          </cell>
          <cell r="BD70" t="str">
            <v>mstag:statutoryTaxRate</v>
          </cell>
          <cell r="BE70">
            <v>0</v>
          </cell>
          <cell r="BF70" t="str">
            <v>ms_eqr_gcim_Decimal:ms_eqr_gcim_decimal</v>
          </cell>
          <cell r="BG70" t="b">
            <v>0</v>
          </cell>
          <cell r="BH70" t="b">
            <v>0</v>
          </cell>
        </row>
        <row r="71">
          <cell r="A71" t="str">
            <v>Staturary tax rate</v>
          </cell>
          <cell r="B71">
            <v>0.35</v>
          </cell>
          <cell r="C71">
            <v>0.35</v>
          </cell>
          <cell r="D71">
            <v>0.35</v>
          </cell>
          <cell r="E71">
            <v>0.35</v>
          </cell>
          <cell r="F71">
            <v>0.35</v>
          </cell>
          <cell r="H71" t="str">
            <v>Staturary tax rate</v>
          </cell>
          <cell r="I71">
            <v>0.35</v>
          </cell>
          <cell r="J71">
            <v>0.35</v>
          </cell>
          <cell r="K71">
            <v>0.35</v>
          </cell>
          <cell r="L71">
            <v>0.35</v>
          </cell>
          <cell r="M71">
            <v>0.35</v>
          </cell>
          <cell r="O71" t="str">
            <v>Staturary tax rate</v>
          </cell>
          <cell r="P71">
            <v>0.35</v>
          </cell>
          <cell r="Q71">
            <v>0.35</v>
          </cell>
          <cell r="R71">
            <v>0.35</v>
          </cell>
          <cell r="S71">
            <v>0.35</v>
          </cell>
          <cell r="T71">
            <v>0.35</v>
          </cell>
          <cell r="Z71" t="str">
            <v>Staturary tax rate</v>
          </cell>
          <cell r="AA71">
            <v>0.35</v>
          </cell>
          <cell r="AB71">
            <v>0.35</v>
          </cell>
          <cell r="AC71">
            <v>0.35</v>
          </cell>
          <cell r="AD71">
            <v>0.35</v>
          </cell>
          <cell r="AE71">
            <v>0.35</v>
          </cell>
          <cell r="BD71" t="str">
            <v>mstag:statutoryTaxRate</v>
          </cell>
          <cell r="BE71">
            <v>0</v>
          </cell>
          <cell r="BF71" t="str">
            <v>ms_eqr_gcim_Decimal:ms_eqr_gcim_decimal</v>
          </cell>
          <cell r="BG71" t="b">
            <v>0</v>
          </cell>
          <cell r="BH71" t="b">
            <v>0</v>
          </cell>
        </row>
        <row r="72">
          <cell r="A72" t="str">
            <v>A = Actual    E = Morgan Stanley Research Estimate</v>
          </cell>
          <cell r="H72" t="str">
            <v>A = Actual    E = Morgan Stanley Research Estimate</v>
          </cell>
          <cell r="O72" t="str">
            <v>A = Actual    E = Morgan Stanley Research Estimate</v>
          </cell>
          <cell r="Z72" t="str">
            <v>A = Actual    E = Morgan Stanley Research Estimate</v>
          </cell>
        </row>
        <row r="73">
          <cell r="A73" t="str">
            <v>Source: Company data, Morgan Stanley Research</v>
          </cell>
          <cell r="H73" t="str">
            <v>Source: Company data, Morgan Stanley Research</v>
          </cell>
          <cell r="O73" t="str">
            <v>Source: Company data, Morgan Stanley Research</v>
          </cell>
          <cell r="Z73" t="str">
            <v>Source: Company data, Morgan Stanley Research</v>
          </cell>
        </row>
        <row r="74">
          <cell r="A74" t="str">
            <v>Source: Company data, Morgan Stanley Research</v>
          </cell>
          <cell r="H74" t="str">
            <v>Source: Company data, Morgan Stanley Research</v>
          </cell>
          <cell r="O74" t="str">
            <v>Source: Company data, Morgan Stanley Research</v>
          </cell>
          <cell r="Z74" t="str">
            <v>Source: Company data, Morgan Stanley Research</v>
          </cell>
        </row>
        <row r="76">
          <cell r="A76" t="str">
            <v>Table XX</v>
          </cell>
          <cell r="H76" t="str">
            <v>Table XX</v>
          </cell>
          <cell r="O76" t="str">
            <v>Table XX</v>
          </cell>
          <cell r="Z76" t="str">
            <v>Table XX</v>
          </cell>
        </row>
        <row r="77">
          <cell r="A77" t="str">
            <v>IntercontinentalExchange, Inc.</v>
          </cell>
          <cell r="H77" t="str">
            <v>IntercontinentalExchange, Inc.</v>
          </cell>
          <cell r="O77" t="str">
            <v>IntercontinentalExchange, Inc.</v>
          </cell>
          <cell r="Z77" t="str">
            <v>IntercontinentalExchange, Inc.</v>
          </cell>
        </row>
        <row r="78">
          <cell r="A78" t="str">
            <v>Quarterly Earnings 2003A</v>
          </cell>
          <cell r="H78" t="str">
            <v>Quarterly Earnings 2004A</v>
          </cell>
          <cell r="O78" t="str">
            <v>Quarterly Earnings 2005E</v>
          </cell>
          <cell r="Z78" t="str">
            <v>Quarterly Earnings 2006E</v>
          </cell>
        </row>
        <row r="79">
          <cell r="A79" t="str">
            <v>Quarterly Earnings 2003A</v>
          </cell>
          <cell r="H79" t="str">
            <v>Quarterly Earnings 2004A</v>
          </cell>
          <cell r="O79" t="str">
            <v>Quarterly Earnings 2005E</v>
          </cell>
          <cell r="Z79" t="str">
            <v>Quarterly Earnings 2006E</v>
          </cell>
        </row>
        <row r="80">
          <cell r="A80" t="str">
            <v>($ Millions)</v>
          </cell>
          <cell r="H80" t="str">
            <v>($ Millions)</v>
          </cell>
          <cell r="O80" t="str">
            <v>($ Millions)</v>
          </cell>
          <cell r="Z80" t="str">
            <v>($ Millions)</v>
          </cell>
        </row>
        <row r="81">
          <cell r="A81" t="str">
            <v>($ Millions)</v>
          </cell>
          <cell r="B81" t="str">
            <v>1Q</v>
          </cell>
          <cell r="C81" t="str">
            <v>2Q</v>
          </cell>
          <cell r="D81" t="str">
            <v>3Q</v>
          </cell>
          <cell r="E81" t="str">
            <v>4Q</v>
          </cell>
          <cell r="F81" t="str">
            <v>Full Year</v>
          </cell>
          <cell r="H81" t="str">
            <v>($ Millions)</v>
          </cell>
          <cell r="I81" t="str">
            <v>1Q</v>
          </cell>
          <cell r="J81" t="str">
            <v>2Q</v>
          </cell>
          <cell r="K81" t="str">
            <v>3Q</v>
          </cell>
          <cell r="L81" t="str">
            <v>4Q</v>
          </cell>
          <cell r="M81" t="str">
            <v>Full Year</v>
          </cell>
          <cell r="O81" t="str">
            <v>($ Millions)</v>
          </cell>
          <cell r="P81" t="str">
            <v>1Q</v>
          </cell>
          <cell r="Q81" t="str">
            <v>2Q</v>
          </cell>
          <cell r="R81" t="str">
            <v>3Q</v>
          </cell>
          <cell r="S81" t="str">
            <v>4Q</v>
          </cell>
          <cell r="T81" t="str">
            <v>Full Yr.</v>
          </cell>
          <cell r="Z81" t="str">
            <v>($ Millions)</v>
          </cell>
          <cell r="AA81" t="str">
            <v>1Q</v>
          </cell>
          <cell r="AB81" t="str">
            <v>2Q</v>
          </cell>
          <cell r="AC81" t="str">
            <v>3Q</v>
          </cell>
          <cell r="AD81" t="str">
            <v>4Q</v>
          </cell>
          <cell r="AE81" t="str">
            <v>Full Yr.</v>
          </cell>
        </row>
        <row r="82">
          <cell r="B82" t="str">
            <v>2003A</v>
          </cell>
          <cell r="C82" t="str">
            <v>2003A</v>
          </cell>
          <cell r="D82" t="str">
            <v>2003A</v>
          </cell>
          <cell r="E82" t="str">
            <v>2003A</v>
          </cell>
          <cell r="F82" t="str">
            <v>2003A</v>
          </cell>
          <cell r="I82" t="str">
            <v>2004A</v>
          </cell>
          <cell r="J82" t="str">
            <v>2004A</v>
          </cell>
          <cell r="K82" t="str">
            <v>2004A</v>
          </cell>
          <cell r="L82" t="str">
            <v>2004A</v>
          </cell>
          <cell r="M82" t="str">
            <v>2004A</v>
          </cell>
          <cell r="P82" t="str">
            <v>2005A</v>
          </cell>
          <cell r="Q82" t="str">
            <v>2005A</v>
          </cell>
          <cell r="R82" t="str">
            <v>2005A</v>
          </cell>
          <cell r="S82" t="str">
            <v>2005E</v>
          </cell>
          <cell r="T82" t="str">
            <v>2005E</v>
          </cell>
          <cell r="AA82" t="str">
            <v>2006E</v>
          </cell>
          <cell r="AB82" t="str">
            <v>2006E</v>
          </cell>
          <cell r="AC82" t="str">
            <v>2006E</v>
          </cell>
          <cell r="AD82" t="str">
            <v>2006E</v>
          </cell>
          <cell r="AE82" t="str">
            <v>2006E</v>
          </cell>
        </row>
        <row r="83">
          <cell r="B83" t="str">
            <v>2003A</v>
          </cell>
          <cell r="C83" t="str">
            <v>2003A</v>
          </cell>
          <cell r="D83" t="str">
            <v>2003A</v>
          </cell>
          <cell r="E83" t="str">
            <v>2003A</v>
          </cell>
          <cell r="F83" t="str">
            <v>2003A</v>
          </cell>
          <cell r="I83" t="str">
            <v>2004A</v>
          </cell>
          <cell r="J83" t="str">
            <v>2004A</v>
          </cell>
          <cell r="K83" t="str">
            <v>2004A</v>
          </cell>
          <cell r="L83" t="str">
            <v>2004A</v>
          </cell>
          <cell r="M83" t="str">
            <v>2004A</v>
          </cell>
          <cell r="P83" t="str">
            <v>2005A</v>
          </cell>
          <cell r="Q83" t="str">
            <v>2005A</v>
          </cell>
          <cell r="R83" t="str">
            <v>2005A</v>
          </cell>
          <cell r="S83" t="str">
            <v>2005E</v>
          </cell>
          <cell r="T83" t="str">
            <v>2005E</v>
          </cell>
          <cell r="AA83" t="str">
            <v>2006E</v>
          </cell>
          <cell r="AB83" t="str">
            <v>2006E</v>
          </cell>
          <cell r="AC83" t="str">
            <v>2006E</v>
          </cell>
          <cell r="AD83" t="str">
            <v>2006E</v>
          </cell>
          <cell r="AE83" t="str">
            <v>2006E</v>
          </cell>
        </row>
        <row r="84">
          <cell r="A84" t="str">
            <v>KEY DRIVERS</v>
          </cell>
          <cell r="H84" t="str">
            <v>KEY DRIVERS</v>
          </cell>
          <cell r="O84" t="str">
            <v>KEY DRIVERS</v>
          </cell>
          <cell r="Z84" t="str">
            <v>KEY DRIVERS</v>
          </cell>
        </row>
        <row r="85">
          <cell r="A85" t="str">
            <v>TRANSACTION FEES</v>
          </cell>
          <cell r="H85" t="str">
            <v>TRANSACTION FEES</v>
          </cell>
          <cell r="O85" t="str">
            <v>TRANSACTION FEES</v>
          </cell>
          <cell r="Z85" t="str">
            <v>TRANSACTION FEES</v>
          </cell>
        </row>
        <row r="86">
          <cell r="A86" t="str">
            <v>TRANSACTION FEES</v>
          </cell>
          <cell r="H86" t="str">
            <v>TRANSACTION FEES</v>
          </cell>
          <cell r="O86" t="str">
            <v>TRANSACTION FEES</v>
          </cell>
          <cell r="Z86" t="str">
            <v>TRANSACTION FEES</v>
          </cell>
        </row>
        <row r="87">
          <cell r="A87" t="str">
            <v>Futures</v>
          </cell>
          <cell r="E87">
            <v>160.546875</v>
          </cell>
          <cell r="H87" t="str">
            <v>Futures</v>
          </cell>
          <cell r="I87">
            <v>185.390625</v>
          </cell>
          <cell r="J87">
            <v>192.18032786885246</v>
          </cell>
          <cell r="K87">
            <v>186.55384615384617</v>
          </cell>
          <cell r="L87">
            <v>188.21875</v>
          </cell>
          <cell r="O87" t="str">
            <v>Futures</v>
          </cell>
          <cell r="Z87" t="str">
            <v>Futures</v>
          </cell>
        </row>
        <row r="88">
          <cell r="A88" t="str">
            <v>Revenue Composition</v>
          </cell>
          <cell r="E88">
            <v>160.546875</v>
          </cell>
          <cell r="H88" t="str">
            <v>Revenue Composition</v>
          </cell>
          <cell r="I88">
            <v>185.390625</v>
          </cell>
          <cell r="J88">
            <v>192.18032786885246</v>
          </cell>
          <cell r="K88">
            <v>186.55384615384617</v>
          </cell>
          <cell r="L88">
            <v>188.21875</v>
          </cell>
          <cell r="O88" t="str">
            <v>Revenue Composition</v>
          </cell>
          <cell r="Z88" t="str">
            <v>Revenue Composition</v>
          </cell>
        </row>
        <row r="89">
          <cell r="A89" t="str">
            <v>Brent crude futures</v>
          </cell>
          <cell r="E89">
            <v>7.2389999999999999</v>
          </cell>
          <cell r="F89">
            <v>28.497</v>
          </cell>
          <cell r="H89" t="str">
            <v>Brent crude futures</v>
          </cell>
          <cell r="I89">
            <v>8.3650000000000002</v>
          </cell>
          <cell r="J89">
            <v>8.5630000000000006</v>
          </cell>
          <cell r="K89">
            <v>8.8239999999999998</v>
          </cell>
          <cell r="L89">
            <v>8.5109999999999992</v>
          </cell>
          <cell r="M89">
            <v>34.263000000000005</v>
          </cell>
          <cell r="O89" t="str">
            <v>Brent crude futures</v>
          </cell>
          <cell r="P89">
            <v>8.4949999999999992</v>
          </cell>
          <cell r="Q89">
            <v>9.9891082537500004</v>
          </cell>
          <cell r="R89">
            <v>11.745919931642067</v>
          </cell>
          <cell r="S89">
            <v>11.423409535124998</v>
          </cell>
          <cell r="T89">
            <v>41.60774783673638</v>
          </cell>
          <cell r="Z89" t="str">
            <v>Brent crude futures</v>
          </cell>
          <cell r="AA89">
            <v>12.81021494304</v>
          </cell>
          <cell r="AB89">
            <v>13.601286795599998</v>
          </cell>
          <cell r="AC89">
            <v>14.66754681678</v>
          </cell>
          <cell r="AD89">
            <v>15.809998796612998</v>
          </cell>
          <cell r="AE89">
            <v>56.955940844216997</v>
          </cell>
          <cell r="AG89">
            <v>0.3688782451697461</v>
          </cell>
          <cell r="AH89" t="str">
            <v>lower than volume growth due to stronger $ and thus lower $ fee per contract</v>
          </cell>
        </row>
        <row r="90">
          <cell r="A90" t="str">
            <v>Brent crude futures</v>
          </cell>
          <cell r="E90">
            <v>7.2389999999999999</v>
          </cell>
          <cell r="F90">
            <v>28.497</v>
          </cell>
          <cell r="H90" t="str">
            <v>Brent crude futures</v>
          </cell>
          <cell r="I90">
            <v>8.3650000000000002</v>
          </cell>
          <cell r="J90">
            <v>8.5630000000000006</v>
          </cell>
          <cell r="K90">
            <v>8.8239999999999998</v>
          </cell>
          <cell r="L90">
            <v>8.5109999999999992</v>
          </cell>
          <cell r="M90">
            <v>34.263000000000005</v>
          </cell>
          <cell r="O90" t="str">
            <v>Brent crude futures</v>
          </cell>
          <cell r="P90">
            <v>8.4949999999999992</v>
          </cell>
          <cell r="Q90">
            <v>9.9891082537500004</v>
          </cell>
          <cell r="R90">
            <v>11.745919931642067</v>
          </cell>
          <cell r="S90">
            <v>11.423409535124998</v>
          </cell>
          <cell r="T90">
            <v>41.60774783673638</v>
          </cell>
          <cell r="Z90" t="str">
            <v>WTI crude futures</v>
          </cell>
          <cell r="AA90">
            <v>3.2589884382842675</v>
          </cell>
          <cell r="AB90">
            <v>3.5101193977117178</v>
          </cell>
          <cell r="AC90">
            <v>3.9859014397999997</v>
          </cell>
          <cell r="AD90">
            <v>3.6115516551483933</v>
          </cell>
          <cell r="AE90">
            <v>14.366560930944379</v>
          </cell>
          <cell r="AG90">
            <v>0.23050681482608049</v>
          </cell>
          <cell r="AH90" t="str">
            <v>lower than volume growth due to stronger $ and thus lower $ fee per contract</v>
          </cell>
        </row>
        <row r="91">
          <cell r="A91" t="str">
            <v>Other futures products and options</v>
          </cell>
          <cell r="E91">
            <v>3.036</v>
          </cell>
          <cell r="F91">
            <v>11.462999999999999</v>
          </cell>
          <cell r="H91" t="str">
            <v>Other futures products and options</v>
          </cell>
          <cell r="I91">
            <v>3.5</v>
          </cell>
          <cell r="J91">
            <v>3.16</v>
          </cell>
          <cell r="K91">
            <v>3.302</v>
          </cell>
          <cell r="L91">
            <v>3.5350000000000001</v>
          </cell>
          <cell r="M91">
            <v>13.497</v>
          </cell>
          <cell r="O91" t="str">
            <v>Other futures products and options</v>
          </cell>
          <cell r="P91">
            <v>3.5630000000000002</v>
          </cell>
          <cell r="Q91">
            <v>3.3479057337499998</v>
          </cell>
          <cell r="R91">
            <v>4.2965780683579302</v>
          </cell>
          <cell r="S91">
            <v>4.6012739499999986</v>
          </cell>
          <cell r="T91">
            <v>15.803578860202046</v>
          </cell>
          <cell r="Z91" t="str">
            <v>Other futures products and options</v>
          </cell>
          <cell r="AA91">
            <v>4.3545709799799992</v>
          </cell>
          <cell r="AB91">
            <v>4.210217622</v>
          </cell>
          <cell r="AC91">
            <v>5.1589321372499999</v>
          </cell>
          <cell r="AD91">
            <v>5.6858599524999986</v>
          </cell>
          <cell r="AE91">
            <v>19.446411486119999</v>
          </cell>
        </row>
        <row r="92">
          <cell r="A92" t="str">
            <v>Two month fee rebate program</v>
          </cell>
          <cell r="E92">
            <v>0</v>
          </cell>
          <cell r="F92">
            <v>0</v>
          </cell>
          <cell r="H92" t="str">
            <v>Two month fee rebate program</v>
          </cell>
          <cell r="I92">
            <v>0</v>
          </cell>
          <cell r="J92">
            <v>0</v>
          </cell>
          <cell r="K92">
            <v>0</v>
          </cell>
          <cell r="L92">
            <v>-2.2610000000000001</v>
          </cell>
          <cell r="M92">
            <v>-2.2610000000000001</v>
          </cell>
          <cell r="O92" t="str">
            <v>Two month fee rebate program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Z92" t="str">
            <v>Two month fee rebate program</v>
          </cell>
          <cell r="AA92">
            <v>4.3545709799799992</v>
          </cell>
          <cell r="AB92">
            <v>4.210217622</v>
          </cell>
          <cell r="AC92">
            <v>5.1589321372499999</v>
          </cell>
          <cell r="AD92">
            <v>5.6858599524999986</v>
          </cell>
          <cell r="AE92">
            <v>19.446411486119999</v>
          </cell>
        </row>
        <row r="93">
          <cell r="A93" t="str">
            <v>Total  Futures</v>
          </cell>
          <cell r="E93">
            <v>10.275</v>
          </cell>
          <cell r="F93">
            <v>39.96</v>
          </cell>
          <cell r="H93" t="str">
            <v>Total  Futures</v>
          </cell>
          <cell r="I93">
            <v>11.865</v>
          </cell>
          <cell r="J93">
            <v>11.723000000000001</v>
          </cell>
          <cell r="K93">
            <v>12.125999999999999</v>
          </cell>
          <cell r="L93">
            <v>9.7850000000000001</v>
          </cell>
          <cell r="M93">
            <v>45.499000000000002</v>
          </cell>
          <cell r="O93" t="str">
            <v>Total  Futures</v>
          </cell>
          <cell r="P93">
            <v>12.058</v>
          </cell>
          <cell r="Q93">
            <v>13.87</v>
          </cell>
          <cell r="R93">
            <v>16.042497999999998</v>
          </cell>
          <cell r="S93">
            <v>16.024683485124996</v>
          </cell>
          <cell r="T93">
            <v>57.995181485124988</v>
          </cell>
          <cell r="U93">
            <v>0</v>
          </cell>
          <cell r="V93">
            <v>0</v>
          </cell>
          <cell r="Z93" t="str">
            <v>Total  Futures</v>
          </cell>
          <cell r="AA93">
            <v>20.423774361304265</v>
          </cell>
          <cell r="AB93">
            <v>21.321623815311717</v>
          </cell>
          <cell r="AC93">
            <v>23.812380393829997</v>
          </cell>
          <cell r="AD93">
            <v>25.107410404261394</v>
          </cell>
          <cell r="AE93">
            <v>90.768913261281369</v>
          </cell>
        </row>
        <row r="94">
          <cell r="A94" t="str">
            <v>Total  Futures</v>
          </cell>
          <cell r="E94">
            <v>10.275</v>
          </cell>
          <cell r="F94">
            <v>39.96</v>
          </cell>
          <cell r="H94" t="str">
            <v>Total  Futures</v>
          </cell>
          <cell r="I94">
            <v>11.865</v>
          </cell>
          <cell r="J94">
            <v>11.723000000000001</v>
          </cell>
          <cell r="K94">
            <v>12.125999999999999</v>
          </cell>
          <cell r="L94">
            <v>9.7850000000000001</v>
          </cell>
          <cell r="M94">
            <v>45.499000000000002</v>
          </cell>
          <cell r="O94" t="str">
            <v>Total  Futures</v>
          </cell>
          <cell r="P94">
            <v>12.058</v>
          </cell>
          <cell r="Q94">
            <v>13.87</v>
          </cell>
          <cell r="R94">
            <v>16.042497999999998</v>
          </cell>
          <cell r="S94">
            <v>16.024683485124996</v>
          </cell>
          <cell r="T94">
            <v>57.995181485124988</v>
          </cell>
          <cell r="Z94" t="str">
            <v>Total  Futures</v>
          </cell>
          <cell r="AA94">
            <v>20.423774361304265</v>
          </cell>
          <cell r="AB94">
            <v>21.321623815311717</v>
          </cell>
          <cell r="AC94">
            <v>23.812380393829997</v>
          </cell>
          <cell r="AD94">
            <v>25.107410404261394</v>
          </cell>
          <cell r="AE94">
            <v>90.768913261281369</v>
          </cell>
        </row>
        <row r="95">
          <cell r="A95" t="str">
            <v>Trading Data</v>
          </cell>
          <cell r="H95" t="str">
            <v>Trading Data</v>
          </cell>
          <cell r="O95" t="str">
            <v>Trading Data</v>
          </cell>
          <cell r="Z95" t="str">
            <v>Trading Data</v>
          </cell>
        </row>
        <row r="96">
          <cell r="A96" t="str">
            <v>Total futures</v>
          </cell>
          <cell r="E96">
            <v>128.91874999999999</v>
          </cell>
          <cell r="H96" t="str">
            <v>Total futures</v>
          </cell>
          <cell r="I96">
            <v>138.66660937500001</v>
          </cell>
          <cell r="J96">
            <v>145.63129508196721</v>
          </cell>
          <cell r="K96">
            <v>139.12326153846155</v>
          </cell>
          <cell r="L96">
            <v>136.556234375</v>
          </cell>
          <cell r="M96">
            <v>139.92434251968504</v>
          </cell>
          <cell r="O96" t="str">
            <v>Total futures</v>
          </cell>
          <cell r="P96">
            <v>143.26983606557377</v>
          </cell>
          <cell r="Q96">
            <v>156.48128571428572</v>
          </cell>
          <cell r="R96">
            <v>183.48036923076921</v>
          </cell>
          <cell r="S96">
            <v>199.10767539682536</v>
          </cell>
          <cell r="T96">
            <v>170.90392281746031</v>
          </cell>
          <cell r="Z96" t="str">
            <v>Total futures</v>
          </cell>
          <cell r="AA96">
            <v>206.4027859375</v>
          </cell>
          <cell r="AB96">
            <v>222.21603934426227</v>
          </cell>
          <cell r="AC96">
            <v>239.75600468749997</v>
          </cell>
          <cell r="AD96">
            <v>270.17507888888883</v>
          </cell>
          <cell r="AE96">
            <v>234.6374772145378</v>
          </cell>
        </row>
        <row r="97">
          <cell r="A97" t="str">
            <v>Average daily volume excl. WTI('000s)</v>
          </cell>
          <cell r="E97">
            <v>128.91874999999999</v>
          </cell>
          <cell r="H97" t="str">
            <v>Average daily volume excl. WTI('000s)</v>
          </cell>
          <cell r="I97">
            <v>138.66660937500001</v>
          </cell>
          <cell r="J97">
            <v>145.63129508196721</v>
          </cell>
          <cell r="K97">
            <v>139.12326153846155</v>
          </cell>
          <cell r="L97">
            <v>136.556234375</v>
          </cell>
          <cell r="M97">
            <v>139.92434251968504</v>
          </cell>
          <cell r="O97" t="str">
            <v>Average daily volume excl. WTI('000s)</v>
          </cell>
          <cell r="P97">
            <v>143.26983606557377</v>
          </cell>
          <cell r="Q97">
            <v>156.48128571428572</v>
          </cell>
          <cell r="R97">
            <v>183.48036923076921</v>
          </cell>
          <cell r="S97">
            <v>199.10767539682536</v>
          </cell>
          <cell r="T97">
            <v>170.90392281746031</v>
          </cell>
          <cell r="Z97" t="str">
            <v>Average daily volume excl. WTI('000s)</v>
          </cell>
          <cell r="AA97">
            <v>206.4027859375</v>
          </cell>
          <cell r="AB97">
            <v>222.21603934426227</v>
          </cell>
          <cell r="AC97">
            <v>239.75600468749997</v>
          </cell>
          <cell r="AD97">
            <v>270.17507888888883</v>
          </cell>
          <cell r="AE97">
            <v>234.6374772145378</v>
          </cell>
        </row>
        <row r="98">
          <cell r="A98" t="str">
            <v>Average daily WTI volume ('000s)</v>
          </cell>
          <cell r="E98">
            <v>128.91874999999999</v>
          </cell>
          <cell r="H98" t="str">
            <v>Average daily WTI volume ('000s)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O98" t="str">
            <v>Average daily WTI volume ('000s)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Z98" t="str">
            <v>Average daily WTI volume ('000s)</v>
          </cell>
          <cell r="AA98">
            <v>36.372638820136913</v>
          </cell>
          <cell r="AB98">
            <v>41.102100675781244</v>
          </cell>
          <cell r="AC98">
            <v>44.485507140624996</v>
          </cell>
          <cell r="AD98">
            <v>40.947297677419435</v>
          </cell>
          <cell r="AE98">
            <v>40.721544588844615</v>
          </cell>
        </row>
        <row r="99">
          <cell r="A99" t="str">
            <v>Total ADV</v>
          </cell>
          <cell r="H99" t="str">
            <v>Total ADV</v>
          </cell>
          <cell r="I99">
            <v>138.66660937500001</v>
          </cell>
          <cell r="J99">
            <v>145.63129508196721</v>
          </cell>
          <cell r="K99">
            <v>139.12326153846155</v>
          </cell>
          <cell r="L99">
            <v>136.556234375</v>
          </cell>
          <cell r="M99">
            <v>139.92434251968504</v>
          </cell>
          <cell r="O99" t="str">
            <v>Total ADV</v>
          </cell>
          <cell r="P99">
            <v>143.26983606557377</v>
          </cell>
          <cell r="Q99">
            <v>156.48128571428572</v>
          </cell>
          <cell r="R99">
            <v>183.48036923076921</v>
          </cell>
          <cell r="S99">
            <v>199.10767539682536</v>
          </cell>
          <cell r="T99">
            <v>170.90392281746031</v>
          </cell>
          <cell r="Z99" t="str">
            <v>Total ADV</v>
          </cell>
          <cell r="AA99">
            <v>242.77542475763693</v>
          </cell>
          <cell r="AB99">
            <v>263.31814002004353</v>
          </cell>
          <cell r="AC99">
            <v>284.24151182812494</v>
          </cell>
          <cell r="AD99">
            <v>311.12237656630828</v>
          </cell>
          <cell r="AE99">
            <v>275.3590218033824</v>
          </cell>
        </row>
        <row r="100">
          <cell r="A100" t="str">
            <v xml:space="preserve">Change Yr./Yr. </v>
          </cell>
          <cell r="E100">
            <v>8250.7999999999993</v>
          </cell>
          <cell r="H100" t="str">
            <v xml:space="preserve">Change Yr./Yr. </v>
          </cell>
          <cell r="I100">
            <v>138.66660937500001</v>
          </cell>
          <cell r="J100">
            <v>145.63129508196721</v>
          </cell>
          <cell r="K100">
            <v>139.12326153846155</v>
          </cell>
          <cell r="L100">
            <v>136.556234375</v>
          </cell>
          <cell r="M100">
            <v>139.92434251968504</v>
          </cell>
          <cell r="O100" t="str">
            <v xml:space="preserve">Change Yr./Yr. </v>
          </cell>
          <cell r="P100">
            <v>3.3196360041696238E-2</v>
          </cell>
          <cell r="Q100">
            <v>7.4503152816238316E-2</v>
          </cell>
          <cell r="R100">
            <v>0.31883314983989819</v>
          </cell>
          <cell r="S100">
            <v>0.45806360513758393</v>
          </cell>
          <cell r="T100">
            <v>0.22140236459154305</v>
          </cell>
          <cell r="Z100" t="str">
            <v xml:space="preserve">Change Yr./Yr. </v>
          </cell>
          <cell r="AA100">
            <v>0.69453271829333296</v>
          </cell>
          <cell r="AB100">
            <v>0.68274524853296437</v>
          </cell>
          <cell r="AC100">
            <v>0.54916579370202356</v>
          </cell>
          <cell r="AD100">
            <v>0.5625835415246323</v>
          </cell>
          <cell r="AE100">
            <v>0.61119193324479082</v>
          </cell>
        </row>
        <row r="101">
          <cell r="A101" t="str">
            <v>Sequential change</v>
          </cell>
          <cell r="H101" t="str">
            <v>Sequential change</v>
          </cell>
          <cell r="J101">
            <v>5.0226119599797947E-2</v>
          </cell>
          <cell r="K101">
            <v>-4.4688427304328204E-2</v>
          </cell>
          <cell r="L101">
            <v>-1.8451459052028274E-2</v>
          </cell>
          <cell r="O101" t="str">
            <v>Sequential change</v>
          </cell>
          <cell r="P101">
            <v>4.9163641054551954E-2</v>
          </cell>
          <cell r="Q101">
            <v>9.2213755606345149E-2</v>
          </cell>
          <cell r="R101">
            <v>0.17253873773621908</v>
          </cell>
          <cell r="S101">
            <v>8.5171543046118403E-2</v>
          </cell>
          <cell r="T101">
            <v>0.22140236459154305</v>
          </cell>
          <cell r="Z101" t="str">
            <v>Sequential change</v>
          </cell>
          <cell r="AA101">
            <v>0.2193172577289193</v>
          </cell>
          <cell r="AB101">
            <v>8.4616123246059383E-2</v>
          </cell>
          <cell r="AC101">
            <v>7.9460426868003697E-2</v>
          </cell>
          <cell r="AD101">
            <v>9.4570510005018704E-2</v>
          </cell>
          <cell r="AE101">
            <v>0.61119193324479082</v>
          </cell>
        </row>
        <row r="102">
          <cell r="A102" t="str">
            <v>Sequential change</v>
          </cell>
          <cell r="E102">
            <v>1.2453337858147089</v>
          </cell>
          <cell r="H102" t="str">
            <v>Sequential change</v>
          </cell>
          <cell r="I102">
            <v>1.3369521749727284</v>
          </cell>
          <cell r="J102">
            <v>5.0226119599797947E-2</v>
          </cell>
          <cell r="K102">
            <v>-4.4688427304328204E-2</v>
          </cell>
          <cell r="L102">
            <v>-1.8451459052028274E-2</v>
          </cell>
          <cell r="M102">
            <v>1.3439593452426914</v>
          </cell>
          <cell r="O102" t="str">
            <v>Sequential change</v>
          </cell>
          <cell r="P102">
            <v>4.9163641054551954E-2</v>
          </cell>
          <cell r="Q102">
            <v>9.2213755606345149E-2</v>
          </cell>
          <cell r="R102">
            <v>0.17253873773621908</v>
          </cell>
          <cell r="S102">
            <v>8.5171543046118403E-2</v>
          </cell>
          <cell r="T102">
            <v>1.3466022621011728</v>
          </cell>
          <cell r="Z102" t="str">
            <v>Sequential change</v>
          </cell>
          <cell r="AA102">
            <v>0.2193172577289193</v>
          </cell>
          <cell r="AB102">
            <v>8.4616123246059383E-2</v>
          </cell>
          <cell r="AC102">
            <v>7.9460426868003697E-2</v>
          </cell>
          <cell r="AD102">
            <v>9.4570510005018704E-2</v>
          </cell>
          <cell r="AE102">
            <v>1.2921000000000002</v>
          </cell>
        </row>
        <row r="103">
          <cell r="A103" t="str">
            <v>Total contracts excl. WTI ('000s)</v>
          </cell>
          <cell r="E103">
            <v>8250.7999999999993</v>
          </cell>
          <cell r="H103" t="str">
            <v>Total contracts excl. WTI ('000s)</v>
          </cell>
          <cell r="I103">
            <v>8874.6630000000005</v>
          </cell>
          <cell r="J103">
            <v>8883.509</v>
          </cell>
          <cell r="K103">
            <v>9043.0120000000006</v>
          </cell>
          <cell r="L103">
            <v>8739.5990000000002</v>
          </cell>
          <cell r="M103">
            <v>35540.783000000003</v>
          </cell>
          <cell r="O103" t="str">
            <v>Total contracts excl. WTI ('000s)</v>
          </cell>
          <cell r="P103">
            <v>8739.4599999999991</v>
          </cell>
          <cell r="Q103">
            <v>9858.3209999999999</v>
          </cell>
          <cell r="R103">
            <v>11926.223999999998</v>
          </cell>
          <cell r="S103">
            <v>12543.783549999998</v>
          </cell>
          <cell r="T103">
            <v>43067.788549999997</v>
          </cell>
          <cell r="Z103" t="str">
            <v>Total contracts excl. WTI ('000s)</v>
          </cell>
          <cell r="AA103">
            <v>13209.7783</v>
          </cell>
          <cell r="AB103">
            <v>13555.178399999999</v>
          </cell>
          <cell r="AC103">
            <v>15344.384299999998</v>
          </cell>
          <cell r="AD103">
            <v>17021.02997</v>
          </cell>
          <cell r="AE103">
            <v>59130.370969999989</v>
          </cell>
        </row>
        <row r="104">
          <cell r="A104" t="str">
            <v>Total WTI contracts ('000)</v>
          </cell>
          <cell r="E104">
            <v>8250.7999999999993</v>
          </cell>
          <cell r="H104" t="str">
            <v>Total WTI contracts ('000)</v>
          </cell>
          <cell r="I104">
            <v>8874.6630000000005</v>
          </cell>
          <cell r="J104">
            <v>8883.509</v>
          </cell>
          <cell r="K104">
            <v>9043.0120000000006</v>
          </cell>
          <cell r="L104">
            <v>8739.5990000000002</v>
          </cell>
          <cell r="M104">
            <v>35540.783000000003</v>
          </cell>
          <cell r="O104" t="str">
            <v>Total WTI contracts ('000)</v>
          </cell>
          <cell r="P104">
            <v>8739.4599999999991</v>
          </cell>
          <cell r="Q104">
            <v>9858.3209999999999</v>
          </cell>
          <cell r="R104">
            <v>11926.223999999998</v>
          </cell>
          <cell r="S104">
            <v>12543.783549999998</v>
          </cell>
          <cell r="T104">
            <v>43067.788549999997</v>
          </cell>
          <cell r="Z104" t="str">
            <v>Total WTI contracts ('000)</v>
          </cell>
          <cell r="AA104">
            <v>2327.8488844887625</v>
          </cell>
          <cell r="AB104">
            <v>2507.2281412226557</v>
          </cell>
          <cell r="AC104">
            <v>2847.0724569999998</v>
          </cell>
          <cell r="AD104">
            <v>2579.6797536774243</v>
          </cell>
          <cell r="AE104">
            <v>10261.829236388843</v>
          </cell>
        </row>
        <row r="105">
          <cell r="A105" t="str">
            <v>Total contracts</v>
          </cell>
          <cell r="H105" t="str">
            <v>Total contracts</v>
          </cell>
          <cell r="O105" t="str">
            <v>Total contracts</v>
          </cell>
          <cell r="Z105" t="str">
            <v>Total contracts</v>
          </cell>
          <cell r="AA105">
            <v>15537.627184488763</v>
          </cell>
          <cell r="AB105">
            <v>16062.406541222656</v>
          </cell>
          <cell r="AC105">
            <v>18191.456756999996</v>
          </cell>
          <cell r="AD105">
            <v>19600.709723677424</v>
          </cell>
          <cell r="AE105">
            <v>69392.200206388836</v>
          </cell>
        </row>
        <row r="106">
          <cell r="A106" t="str">
            <v>Total contracts</v>
          </cell>
          <cell r="E106">
            <v>0.72961973111408762</v>
          </cell>
          <cell r="H106" t="str">
            <v>Total contracts</v>
          </cell>
          <cell r="I106">
            <v>0.72725978252399293</v>
          </cell>
          <cell r="J106">
            <v>0.73072786111838384</v>
          </cell>
          <cell r="K106">
            <v>0.73723364011759429</v>
          </cell>
          <cell r="L106">
            <v>0.73888032105088475</v>
          </cell>
          <cell r="M106">
            <v>0.73354770756271526</v>
          </cell>
          <cell r="O106" t="str">
            <v>Total contracts</v>
          </cell>
          <cell r="P106">
            <v>0.72967814241365891</v>
          </cell>
          <cell r="Q106">
            <v>0.75809285398120829</v>
          </cell>
          <cell r="R106">
            <v>0.759968804215852</v>
          </cell>
          <cell r="S106">
            <v>0.73</v>
          </cell>
          <cell r="T106">
            <v>0.74466409593351979</v>
          </cell>
          <cell r="Z106" t="str">
            <v>Total contracts</v>
          </cell>
          <cell r="AA106">
            <v>15537.627184488763</v>
          </cell>
          <cell r="AB106">
            <v>16062.406541222656</v>
          </cell>
          <cell r="AC106">
            <v>18191.456756999996</v>
          </cell>
          <cell r="AD106">
            <v>19600.709723677424</v>
          </cell>
          <cell r="AE106">
            <v>69392.200206388836</v>
          </cell>
        </row>
        <row r="107">
          <cell r="A107" t="str">
            <v>Fee per non-WTI contract ($) (a)</v>
          </cell>
          <cell r="E107">
            <v>1.2453337858147089</v>
          </cell>
          <cell r="H107" t="str">
            <v>Fee per non-WTI contract ($) (a)</v>
          </cell>
          <cell r="I107">
            <v>1.3369521749727284</v>
          </cell>
          <cell r="J107">
            <v>1.3196361933105487</v>
          </cell>
          <cell r="K107">
            <v>1.3409249042243889</v>
          </cell>
          <cell r="L107">
            <v>1.3783241084630999</v>
          </cell>
          <cell r="M107">
            <v>1.3439593452426914</v>
          </cell>
          <cell r="O107" t="str">
            <v>Fee per non-WTI contract ($) (a)</v>
          </cell>
          <cell r="P107">
            <v>1.3797191130802133</v>
          </cell>
          <cell r="Q107">
            <v>1.4069332901616818</v>
          </cell>
          <cell r="R107">
            <v>1.345144783462058</v>
          </cell>
          <cell r="S107">
            <v>1.2774999999999999</v>
          </cell>
          <cell r="T107">
            <v>1.3466022621011728</v>
          </cell>
          <cell r="Z107" t="str">
            <v>Fee per non-WTI contract ($) (a)</v>
          </cell>
          <cell r="AA107">
            <v>1.2993999999999999</v>
          </cell>
          <cell r="AB107">
            <v>1.3140000000000001</v>
          </cell>
          <cell r="AC107">
            <v>1.2921</v>
          </cell>
          <cell r="AD107">
            <v>1.2628999999999999</v>
          </cell>
          <cell r="AE107">
            <v>1.2921000000000002</v>
          </cell>
          <cell r="AH107" t="str">
            <v>use ms official exchange rate view</v>
          </cell>
        </row>
        <row r="108">
          <cell r="A108" t="str">
            <v xml:space="preserve">Change Yr./Yr. </v>
          </cell>
          <cell r="E108">
            <v>1.2453337858147089</v>
          </cell>
          <cell r="H108" t="str">
            <v xml:space="preserve">Change Yr./Yr. </v>
          </cell>
          <cell r="I108">
            <v>1.3369521749727284</v>
          </cell>
          <cell r="J108">
            <v>1.3196361933105487</v>
          </cell>
          <cell r="K108">
            <v>1.3409249042243889</v>
          </cell>
          <cell r="L108">
            <v>0.10679090550923065</v>
          </cell>
          <cell r="M108">
            <v>7.9196084255805266E-2</v>
          </cell>
          <cell r="O108" t="str">
            <v xml:space="preserve">Change Yr./Yr. </v>
          </cell>
          <cell r="P108">
            <v>3.1988382911570579E-2</v>
          </cell>
          <cell r="Q108">
            <v>6.6152396617837894E-2</v>
          </cell>
          <cell r="R108">
            <v>3.1469914716140135E-3</v>
          </cell>
          <cell r="S108">
            <v>-7.3149782292877386E-2</v>
          </cell>
          <cell r="T108">
            <v>1.9665154811689955E-3</v>
          </cell>
          <cell r="Z108" t="str">
            <v xml:space="preserve">Change Yr./Yr. </v>
          </cell>
          <cell r="AA108">
            <v>-5.821410482667122E-2</v>
          </cell>
          <cell r="AB108">
            <v>-6.6053800000000051E-2</v>
          </cell>
          <cell r="AC108">
            <v>-3.9434255787346828E-2</v>
          </cell>
          <cell r="AD108">
            <v>-1.1428571428571344E-2</v>
          </cell>
          <cell r="AE108">
            <v>-4.0473912479643381E-2</v>
          </cell>
        </row>
        <row r="109">
          <cell r="A109" t="str">
            <v>Sequential change</v>
          </cell>
          <cell r="E109">
            <v>160.546875</v>
          </cell>
          <cell r="H109" t="str">
            <v>Sequential change</v>
          </cell>
          <cell r="I109">
            <v>7.3569343578101076E-2</v>
          </cell>
          <cell r="J109">
            <v>-1.2951833271472868E-2</v>
          </cell>
          <cell r="K109">
            <v>1.6132257528064242E-2</v>
          </cell>
          <cell r="L109">
            <v>2.7890603061282659E-2</v>
          </cell>
          <cell r="M109">
            <v>7.9196084255805266E-2</v>
          </cell>
          <cell r="O109" t="str">
            <v>Sequential change</v>
          </cell>
          <cell r="P109">
            <v>1.0121020219757693E-3</v>
          </cell>
          <cell r="Q109">
            <v>1.972443291063275E-2</v>
          </cell>
          <cell r="R109">
            <v>-4.3917154517342571E-2</v>
          </cell>
          <cell r="S109">
            <v>-5.0288106004439004E-2</v>
          </cell>
          <cell r="T109">
            <v>1.9665154811689955E-3</v>
          </cell>
          <cell r="Z109" t="str">
            <v>Sequential change</v>
          </cell>
          <cell r="AA109">
            <v>1.7142857142857126E-2</v>
          </cell>
          <cell r="AB109">
            <v>1.1235955056179803E-2</v>
          </cell>
          <cell r="AC109">
            <v>-1.6666666666666718E-2</v>
          </cell>
          <cell r="AD109">
            <v>-2.25988700564973E-2</v>
          </cell>
          <cell r="AE109">
            <v>-4.0473912479643381E-2</v>
          </cell>
        </row>
        <row r="110">
          <cell r="A110" t="str">
            <v>Sequential change</v>
          </cell>
          <cell r="H110" t="str">
            <v>Sequential change</v>
          </cell>
          <cell r="I110">
            <v>7.3569343578101076E-2</v>
          </cell>
          <cell r="J110">
            <v>-1.2951833271472868E-2</v>
          </cell>
          <cell r="K110">
            <v>1.6132257528064242E-2</v>
          </cell>
          <cell r="L110">
            <v>2.7890603061282659E-2</v>
          </cell>
          <cell r="O110" t="str">
            <v>Sequential change</v>
          </cell>
          <cell r="P110">
            <v>1.0121020219757693E-3</v>
          </cell>
          <cell r="Q110">
            <v>1.972443291063275E-2</v>
          </cell>
          <cell r="R110">
            <v>-4.3917154517342571E-2</v>
          </cell>
          <cell r="S110">
            <v>-5.0288106004439004E-2</v>
          </cell>
          <cell r="T110">
            <v>0.22394180701970035</v>
          </cell>
          <cell r="Z110" t="str">
            <v>Sequential change</v>
          </cell>
          <cell r="AA110">
            <v>1.7142857142857126E-2</v>
          </cell>
          <cell r="AB110">
            <v>1.1235955056179803E-2</v>
          </cell>
          <cell r="AC110">
            <v>-1.6666666666666718E-2</v>
          </cell>
          <cell r="AD110">
            <v>-2.25988700564973E-2</v>
          </cell>
          <cell r="AE110">
            <v>0.31739138276398404</v>
          </cell>
        </row>
        <row r="111">
          <cell r="A111" t="str">
            <v>Fee per contract (£)</v>
          </cell>
          <cell r="E111">
            <v>0.72961973111408762</v>
          </cell>
          <cell r="H111" t="str">
            <v>Fee per contract (£)</v>
          </cell>
          <cell r="I111">
            <v>0.72725978252399293</v>
          </cell>
          <cell r="J111">
            <v>0.73072786111838384</v>
          </cell>
          <cell r="K111">
            <v>0.73723364011759429</v>
          </cell>
          <cell r="L111">
            <v>0.73888032105088475</v>
          </cell>
          <cell r="M111">
            <v>0.73354770756271526</v>
          </cell>
          <cell r="O111" t="str">
            <v>Fee per contract (£)</v>
          </cell>
          <cell r="P111">
            <v>0.72967814241365891</v>
          </cell>
          <cell r="Q111">
            <v>0.75809285398120829</v>
          </cell>
          <cell r="R111">
            <v>0.759968804215852</v>
          </cell>
          <cell r="S111">
            <v>0.73</v>
          </cell>
          <cell r="T111">
            <v>0.74466409593351979</v>
          </cell>
          <cell r="Z111" t="str">
            <v>Fee per contract (£)</v>
          </cell>
          <cell r="AA111">
            <v>0.73</v>
          </cell>
          <cell r="AB111">
            <v>0.73</v>
          </cell>
          <cell r="AC111">
            <v>0.73</v>
          </cell>
          <cell r="AD111">
            <v>0.73</v>
          </cell>
          <cell r="AE111">
            <v>0.73000000000000009</v>
          </cell>
        </row>
        <row r="112">
          <cell r="A112" t="str">
            <v>Average $/£ FX rate</v>
          </cell>
          <cell r="E112">
            <v>1.7068258062499975</v>
          </cell>
          <cell r="H112" t="str">
            <v>Average $/£ FX rate</v>
          </cell>
          <cell r="I112">
            <v>1.8383419612903196</v>
          </cell>
          <cell r="J112">
            <v>1.8059201838709651</v>
          </cell>
          <cell r="K112">
            <v>1.818860170312496</v>
          </cell>
          <cell r="L112">
            <v>1.8654226796874975</v>
          </cell>
          <cell r="M112">
            <v>1.8321362487903197</v>
          </cell>
          <cell r="O112" t="str">
            <v>Average $/£ FX rate</v>
          </cell>
          <cell r="P112">
            <v>1.8908598639344227</v>
          </cell>
          <cell r="Q112">
            <v>1.8558851765624966</v>
          </cell>
          <cell r="R112">
            <v>1.77</v>
          </cell>
          <cell r="S112">
            <v>1.75</v>
          </cell>
          <cell r="T112">
            <v>1.808335153332532</v>
          </cell>
          <cell r="Z112" t="str">
            <v>Average $/£ FX rate</v>
          </cell>
          <cell r="AA112">
            <v>1.78</v>
          </cell>
          <cell r="AB112">
            <v>1.8</v>
          </cell>
          <cell r="AC112">
            <v>1.77</v>
          </cell>
          <cell r="AD112">
            <v>1.73</v>
          </cell>
          <cell r="AE112">
            <v>1.77</v>
          </cell>
        </row>
        <row r="113">
          <cell r="A113" t="str">
            <v xml:space="preserve">Fee per WTI contract ($) </v>
          </cell>
          <cell r="E113">
            <v>1.7068258062499975</v>
          </cell>
          <cell r="H113" t="str">
            <v xml:space="preserve">Fee per WTI contract ($) </v>
          </cell>
          <cell r="I113">
            <v>1.8383419612903196</v>
          </cell>
          <cell r="J113">
            <v>1.8059201838709651</v>
          </cell>
          <cell r="K113">
            <v>1.818860170312496</v>
          </cell>
          <cell r="L113">
            <v>1.8654226796874975</v>
          </cell>
          <cell r="M113">
            <v>1.8321362487903197</v>
          </cell>
          <cell r="O113" t="str">
            <v xml:space="preserve">Fee per WTI contract ($) </v>
          </cell>
          <cell r="P113">
            <v>1.8908598639344227</v>
          </cell>
          <cell r="Q113">
            <v>1.8558851765624966</v>
          </cell>
          <cell r="R113">
            <v>1.77</v>
          </cell>
          <cell r="S113">
            <v>1.75</v>
          </cell>
          <cell r="T113">
            <v>1.808335153332532</v>
          </cell>
          <cell r="Z113" t="str">
            <v xml:space="preserve">Fee per WTI contract ($) </v>
          </cell>
          <cell r="AA113">
            <v>1.4</v>
          </cell>
          <cell r="AB113">
            <v>1.4</v>
          </cell>
          <cell r="AC113">
            <v>1.4</v>
          </cell>
          <cell r="AD113">
            <v>1.4</v>
          </cell>
          <cell r="AE113">
            <v>1.4</v>
          </cell>
        </row>
        <row r="114">
          <cell r="A114" t="str">
            <v xml:space="preserve">Fee per WTI contract ($) </v>
          </cell>
          <cell r="E114">
            <v>90.885265625000002</v>
          </cell>
          <cell r="H114" t="str">
            <v xml:space="preserve">Fee per WTI contract ($) </v>
          </cell>
          <cell r="I114">
            <v>97.436953125000002</v>
          </cell>
          <cell r="J114">
            <v>106.18693442622951</v>
          </cell>
          <cell r="K114">
            <v>101.19987692307693</v>
          </cell>
          <cell r="L114">
            <v>96.357796875000005</v>
          </cell>
          <cell r="M114">
            <v>100.22936614173229</v>
          </cell>
          <cell r="O114" t="str">
            <v xml:space="preserve">Fee per WTI contract ($) </v>
          </cell>
          <cell r="P114">
            <v>101.00985245901639</v>
          </cell>
          <cell r="Q114">
            <v>117.35890476190475</v>
          </cell>
          <cell r="R114">
            <v>134.33978461538462</v>
          </cell>
          <cell r="S114">
            <v>141.93656428571427</v>
          </cell>
          <cell r="T114">
            <v>123.92579980158729</v>
          </cell>
          <cell r="Z114" t="str">
            <v xml:space="preserve">Fee per WTI contract ($) </v>
          </cell>
          <cell r="AA114">
            <v>1.4</v>
          </cell>
          <cell r="AB114">
            <v>1.4</v>
          </cell>
          <cell r="AC114">
            <v>1.4</v>
          </cell>
          <cell r="AD114">
            <v>1.4</v>
          </cell>
          <cell r="AE114">
            <v>1.4</v>
          </cell>
        </row>
        <row r="115">
          <cell r="A115" t="str">
            <v xml:space="preserve">Avg daily trading fee revenue ($ Thous.) </v>
          </cell>
          <cell r="E115">
            <v>160.546875</v>
          </cell>
          <cell r="H115" t="str">
            <v xml:space="preserve">Avg daily trading fee revenue ($ Thous.) </v>
          </cell>
          <cell r="I115">
            <v>185.390625</v>
          </cell>
          <cell r="J115">
            <v>192.18032786885246</v>
          </cell>
          <cell r="K115">
            <v>186.55384615384617</v>
          </cell>
          <cell r="L115">
            <v>188.21875</v>
          </cell>
          <cell r="M115">
            <v>188.03149606299215</v>
          </cell>
          <cell r="O115" t="str">
            <v xml:space="preserve">Avg daily trading fee revenue ($ Thous.) </v>
          </cell>
          <cell r="P115">
            <v>197.67213114754099</v>
          </cell>
          <cell r="Q115">
            <v>220.15873015873015</v>
          </cell>
          <cell r="R115">
            <v>246.8076615384615</v>
          </cell>
          <cell r="S115">
            <v>254.36005531944437</v>
          </cell>
          <cell r="T115">
            <v>230.13960906795629</v>
          </cell>
          <cell r="Z115" t="str">
            <v xml:space="preserve">Avg daily trading fee revenue ($ Thous.) </v>
          </cell>
          <cell r="AA115">
            <v>319.12147439537915</v>
          </cell>
          <cell r="AB115">
            <v>349.53481664445439</v>
          </cell>
          <cell r="AC115">
            <v>372.0684436535937</v>
          </cell>
          <cell r="AD115">
            <v>398.53032387716502</v>
          </cell>
          <cell r="AE115">
            <v>360.19410024318006</v>
          </cell>
        </row>
        <row r="116">
          <cell r="A116" t="str">
            <v xml:space="preserve">Change Yr./Yr. </v>
          </cell>
          <cell r="E116">
            <v>160.546875</v>
          </cell>
          <cell r="H116" t="str">
            <v xml:space="preserve">Change Yr./Yr. </v>
          </cell>
          <cell r="I116">
            <v>185.390625</v>
          </cell>
          <cell r="J116">
            <v>192.18032786885246</v>
          </cell>
          <cell r="K116">
            <v>186.55384615384617</v>
          </cell>
          <cell r="L116">
            <v>0.17236009732360102</v>
          </cell>
          <cell r="M116">
            <v>188.03149606299215</v>
          </cell>
          <cell r="O116" t="str">
            <v xml:space="preserve">Change Yr./Yr. </v>
          </cell>
          <cell r="P116">
            <v>6.6246640829551007E-2</v>
          </cell>
          <cell r="Q116">
            <v>0.14558411154845508</v>
          </cell>
          <cell r="R116">
            <v>0.32298350651492624</v>
          </cell>
          <cell r="S116">
            <v>0.35140656985260166</v>
          </cell>
          <cell r="T116">
            <v>0.22394180701970035</v>
          </cell>
          <cell r="Z116" t="str">
            <v xml:space="preserve">Change Yr./Yr. </v>
          </cell>
          <cell r="AA116">
            <v>0.61439790496915969</v>
          </cell>
          <cell r="AB116">
            <v>0.58764913111756512</v>
          </cell>
          <cell r="AC116">
            <v>0.50752388047569608</v>
          </cell>
          <cell r="AD116">
            <v>0.56679602611605362</v>
          </cell>
          <cell r="AE116">
            <v>0.56511128919498987</v>
          </cell>
        </row>
        <row r="117">
          <cell r="A117" t="str">
            <v>Sequential change</v>
          </cell>
          <cell r="H117" t="str">
            <v>Sequential change</v>
          </cell>
          <cell r="I117">
            <v>0.15474452554744533</v>
          </cell>
          <cell r="J117">
            <v>3.6623766001395497E-2</v>
          </cell>
          <cell r="K117">
            <v>-2.9277094994061614E-2</v>
          </cell>
          <cell r="L117">
            <v>8.9245216889328738E-3</v>
          </cell>
          <cell r="O117" t="str">
            <v>Sequential change</v>
          </cell>
          <cell r="P117">
            <v>5.0225501697046537E-2</v>
          </cell>
          <cell r="Q117">
            <v>0.11375705255287261</v>
          </cell>
          <cell r="R117">
            <v>0.12104417281348767</v>
          </cell>
          <cell r="S117">
            <v>3.0600321456414559E-2</v>
          </cell>
          <cell r="T117">
            <v>0.22394180701970035</v>
          </cell>
          <cell r="Z117" t="str">
            <v>Sequential change</v>
          </cell>
          <cell r="AA117">
            <v>0.25460530347267984</v>
          </cell>
          <cell r="AB117">
            <v>9.5303339603508785E-2</v>
          </cell>
          <cell r="AC117">
            <v>6.4467474872640373E-2</v>
          </cell>
          <cell r="AD117">
            <v>7.1121001189254462E-2</v>
          </cell>
          <cell r="AE117">
            <v>0.56511128919498987</v>
          </cell>
        </row>
        <row r="118">
          <cell r="A118" t="str">
            <v>Sequential change</v>
          </cell>
          <cell r="E118">
            <v>5816.6570000000002</v>
          </cell>
          <cell r="H118" t="str">
            <v>Sequential change</v>
          </cell>
          <cell r="I118">
            <v>0.15474452554744533</v>
          </cell>
          <cell r="J118">
            <v>3.6623766001395497E-2</v>
          </cell>
          <cell r="K118">
            <v>-2.9277094994061614E-2</v>
          </cell>
          <cell r="L118">
            <v>8.9245216889328738E-3</v>
          </cell>
          <cell r="M118">
            <v>25458.259000000002</v>
          </cell>
          <cell r="O118" t="str">
            <v>Sequential change</v>
          </cell>
          <cell r="P118">
            <v>5.0225501697046537E-2</v>
          </cell>
          <cell r="Q118">
            <v>0.11375705255287261</v>
          </cell>
          <cell r="R118">
            <v>0.12104417281348767</v>
          </cell>
          <cell r="S118">
            <v>3.0600321456414559E-2</v>
          </cell>
          <cell r="T118">
            <v>31229.301549999996</v>
          </cell>
          <cell r="Z118" t="str">
            <v>Sequential change</v>
          </cell>
          <cell r="AA118">
            <v>0.25460530347267984</v>
          </cell>
          <cell r="AB118">
            <v>9.5303339603508785E-2</v>
          </cell>
          <cell r="AC118">
            <v>6.4467474872640373E-2</v>
          </cell>
          <cell r="AD118">
            <v>7.1121001189254462E-2</v>
          </cell>
          <cell r="AE118">
            <v>44080.133769999993</v>
          </cell>
        </row>
        <row r="119">
          <cell r="A119" t="str">
            <v>Brent crude futures</v>
          </cell>
          <cell r="H119" t="str">
            <v>Brent crude futures</v>
          </cell>
          <cell r="I119">
            <v>7.2087455045054316E-2</v>
          </cell>
          <cell r="J119">
            <v>3.8717022946729296E-2</v>
          </cell>
          <cell r="K119">
            <v>1.5529217496579983E-2</v>
          </cell>
          <cell r="L119">
            <v>-6.2495211304604781E-2</v>
          </cell>
          <cell r="O119" t="str">
            <v>Brent crude futures</v>
          </cell>
          <cell r="P119">
            <v>-8.5910276785794437E-4</v>
          </cell>
          <cell r="Q119">
            <v>0.19994965594169445</v>
          </cell>
          <cell r="R119">
            <v>0.1810312985089424</v>
          </cell>
          <cell r="S119">
            <v>2.4039794156860195E-2</v>
          </cell>
          <cell r="Z119" t="str">
            <v>Brent crude futures</v>
          </cell>
          <cell r="AA119">
            <v>0.10250030039408808</v>
          </cell>
          <cell r="AB119">
            <v>4.9955948948982476E-2</v>
          </cell>
          <cell r="AC119">
            <v>9.6671920044017812E-2</v>
          </cell>
          <cell r="AD119">
            <v>0.10281208601508007</v>
          </cell>
        </row>
        <row r="120">
          <cell r="A120" t="str">
            <v>Average daily volume ('000s)</v>
          </cell>
          <cell r="E120">
            <v>90.885265625000002</v>
          </cell>
          <cell r="H120" t="str">
            <v>Average daily volume ('000s)</v>
          </cell>
          <cell r="I120">
            <v>97.436953125000002</v>
          </cell>
          <cell r="J120">
            <v>106.18693442622951</v>
          </cell>
          <cell r="K120">
            <v>101.19987692307693</v>
          </cell>
          <cell r="L120">
            <v>96.357796875000005</v>
          </cell>
          <cell r="M120">
            <v>100.22936614173229</v>
          </cell>
          <cell r="O120" t="str">
            <v>Average daily volume ('000s)</v>
          </cell>
          <cell r="P120">
            <v>101.00985245901639</v>
          </cell>
          <cell r="Q120">
            <v>117.35890476190475</v>
          </cell>
          <cell r="R120">
            <v>134.33978461538462</v>
          </cell>
          <cell r="S120">
            <v>141.93656428571427</v>
          </cell>
          <cell r="T120">
            <v>123.92579980158729</v>
          </cell>
          <cell r="Z120" t="str">
            <v>Average daily volume ('000s)</v>
          </cell>
          <cell r="AA120">
            <v>154.04002500000001</v>
          </cell>
          <cell r="AB120">
            <v>169.68943278688522</v>
          </cell>
          <cell r="AC120">
            <v>177.37049687499999</v>
          </cell>
          <cell r="AD120">
            <v>198.71118999999999</v>
          </cell>
          <cell r="AE120">
            <v>174.95278616547131</v>
          </cell>
          <cell r="AF120">
            <v>0.43</v>
          </cell>
          <cell r="AH120" t="str">
            <v xml:space="preserve">lower than oct forecast from company (45%) because 3Q '05 growth may have been overstated due to abnormal events that company has not fully factored in </v>
          </cell>
        </row>
        <row r="121">
          <cell r="A121" t="str">
            <v xml:space="preserve">Change Yr./Yr. </v>
          </cell>
          <cell r="E121">
            <v>90.885265625000002</v>
          </cell>
          <cell r="H121" t="str">
            <v xml:space="preserve">Change Yr./Yr. </v>
          </cell>
          <cell r="I121">
            <v>97.436953125000002</v>
          </cell>
          <cell r="J121">
            <v>106.18693442622951</v>
          </cell>
          <cell r="K121">
            <v>101.19987692307693</v>
          </cell>
          <cell r="L121">
            <v>6.0213624423788525E-2</v>
          </cell>
          <cell r="M121">
            <v>100.22936614173229</v>
          </cell>
          <cell r="O121" t="str">
            <v xml:space="preserve">Change Yr./Yr. </v>
          </cell>
          <cell r="P121">
            <v>3.6668832711063803E-2</v>
          </cell>
          <cell r="Q121">
            <v>0.1052104046137301</v>
          </cell>
          <cell r="R121">
            <v>0.3274698418605555</v>
          </cell>
          <cell r="S121">
            <v>0.47301587301587267</v>
          </cell>
          <cell r="T121">
            <v>0.23642206443116054</v>
          </cell>
          <cell r="Z121" t="str">
            <v xml:space="preserve">Change Yr./Yr. </v>
          </cell>
          <cell r="AA121">
            <v>0.52500000000000036</v>
          </cell>
          <cell r="AB121">
            <v>0.44590163934426208</v>
          </cell>
          <cell r="AC121">
            <v>0.3203125</v>
          </cell>
          <cell r="AD121">
            <v>0.40000000000000013</v>
          </cell>
          <cell r="AE121">
            <v>0.41175434369260722</v>
          </cell>
        </row>
        <row r="122">
          <cell r="A122" t="str">
            <v>Sequential change</v>
          </cell>
          <cell r="H122" t="str">
            <v>Sequential change</v>
          </cell>
          <cell r="I122">
            <v>7.2087455045054316E-2</v>
          </cell>
          <cell r="J122">
            <v>8.9801466698207655E-2</v>
          </cell>
          <cell r="K122">
            <v>-4.696488819551714E-2</v>
          </cell>
          <cell r="L122">
            <v>-4.7846698981239277E-2</v>
          </cell>
          <cell r="O122" t="str">
            <v>Sequential change</v>
          </cell>
          <cell r="P122">
            <v>4.8278974145198106E-2</v>
          </cell>
          <cell r="Q122">
            <v>0.16185601607052957</v>
          </cell>
          <cell r="R122">
            <v>0.1446918739394365</v>
          </cell>
          <cell r="S122">
            <v>5.6548993971363481E-2</v>
          </cell>
          <cell r="T122">
            <v>0.23642206443116054</v>
          </cell>
          <cell r="Z122" t="str">
            <v>Sequential change</v>
          </cell>
          <cell r="AA122">
            <v>8.5273733200430524E-2</v>
          </cell>
          <cell r="AB122">
            <v>0.1015931267661454</v>
          </cell>
          <cell r="AC122">
            <v>4.5265423791954751E-2</v>
          </cell>
          <cell r="AD122">
            <v>0.12031703976135133</v>
          </cell>
          <cell r="AE122">
            <v>0.41175434369260722</v>
          </cell>
        </row>
        <row r="123">
          <cell r="A123" t="str">
            <v>Sequential change</v>
          </cell>
          <cell r="H123" t="str">
            <v>Sequential change</v>
          </cell>
          <cell r="I123">
            <v>7.2087455045054316E-2</v>
          </cell>
          <cell r="J123">
            <v>8.9801466698207655E-2</v>
          </cell>
          <cell r="K123">
            <v>-4.696488819551714E-2</v>
          </cell>
          <cell r="L123">
            <v>-4.7846698981239277E-2</v>
          </cell>
          <cell r="O123" t="str">
            <v>Sequential change</v>
          </cell>
          <cell r="P123">
            <v>4.8278974145198106E-2</v>
          </cell>
          <cell r="Q123">
            <v>0.16185601607052957</v>
          </cell>
          <cell r="R123">
            <v>0.1446918739394365</v>
          </cell>
          <cell r="S123">
            <v>5.6548993971363481E-2</v>
          </cell>
          <cell r="Z123" t="str">
            <v>Sequential change</v>
          </cell>
          <cell r="AA123">
            <v>8.5273733200430524E-2</v>
          </cell>
          <cell r="AB123">
            <v>0.1015931267661454</v>
          </cell>
          <cell r="AC123">
            <v>4.5265423791954751E-2</v>
          </cell>
          <cell r="AD123">
            <v>0.12031703976135133</v>
          </cell>
        </row>
        <row r="124">
          <cell r="A124" t="str">
            <v>Total contracts ('000s)</v>
          </cell>
          <cell r="E124">
            <v>5816.6570000000002</v>
          </cell>
          <cell r="H124" t="str">
            <v>Total contracts ('000s)</v>
          </cell>
          <cell r="I124">
            <v>6235.9650000000001</v>
          </cell>
          <cell r="J124">
            <v>6477.4030000000002</v>
          </cell>
          <cell r="K124">
            <v>6577.9920000000002</v>
          </cell>
          <cell r="L124">
            <v>6166.8990000000003</v>
          </cell>
          <cell r="M124">
            <v>25458.259000000002</v>
          </cell>
          <cell r="O124" t="str">
            <v>Total contracts ('000s)</v>
          </cell>
          <cell r="P124">
            <v>6161.6009999999997</v>
          </cell>
          <cell r="Q124">
            <v>7393.6109999999999</v>
          </cell>
          <cell r="R124">
            <v>8732.0859999999993</v>
          </cell>
          <cell r="S124">
            <v>8942.0035499999994</v>
          </cell>
          <cell r="T124">
            <v>31229.301549999996</v>
          </cell>
          <cell r="Z124" t="str">
            <v>Total contracts ('000s)</v>
          </cell>
          <cell r="AA124">
            <v>9858.5616000000009</v>
          </cell>
          <cell r="AB124">
            <v>10351.055399999999</v>
          </cell>
          <cell r="AC124">
            <v>11351.711799999999</v>
          </cell>
          <cell r="AD124">
            <v>12518.804969999999</v>
          </cell>
          <cell r="AE124">
            <v>44080.133769999993</v>
          </cell>
        </row>
        <row r="125">
          <cell r="A125" t="str">
            <v>Sequential change</v>
          </cell>
          <cell r="E125">
            <v>5816.6570000000002</v>
          </cell>
          <cell r="H125" t="str">
            <v>Sequential change</v>
          </cell>
          <cell r="I125">
            <v>7.2087455045054316E-2</v>
          </cell>
          <cell r="J125">
            <v>3.8717022946729296E-2</v>
          </cell>
          <cell r="K125">
            <v>1.5529217496579983E-2</v>
          </cell>
          <cell r="L125">
            <v>-6.2495211304604781E-2</v>
          </cell>
          <cell r="M125">
            <v>25458.259000000002</v>
          </cell>
          <cell r="O125" t="str">
            <v>Sequential change</v>
          </cell>
          <cell r="P125">
            <v>-8.5910276785794437E-4</v>
          </cell>
          <cell r="Q125">
            <v>0.19994965594169445</v>
          </cell>
          <cell r="R125">
            <v>0.1810312985089424</v>
          </cell>
          <cell r="S125">
            <v>2.4039794156860195E-2</v>
          </cell>
          <cell r="T125">
            <v>31229.301549999996</v>
          </cell>
          <cell r="Z125" t="str">
            <v>Sequential change</v>
          </cell>
          <cell r="AA125">
            <v>0.10250030039408808</v>
          </cell>
          <cell r="AB125">
            <v>4.9955948948982476E-2</v>
          </cell>
          <cell r="AC125">
            <v>9.6671920044017812E-2</v>
          </cell>
          <cell r="AD125">
            <v>0.10281208601508007</v>
          </cell>
          <cell r="AE125">
            <v>44080.133769999993</v>
          </cell>
        </row>
        <row r="126">
          <cell r="A126" t="str">
            <v xml:space="preserve">Change Yr./Yr. </v>
          </cell>
          <cell r="H126" t="str">
            <v xml:space="preserve">Change Yr./Yr. </v>
          </cell>
          <cell r="I126">
            <v>7.2087455045054316E-2</v>
          </cell>
          <cell r="J126">
            <v>3.8717022946729296E-2</v>
          </cell>
          <cell r="K126">
            <v>1.5529217496579983E-2</v>
          </cell>
          <cell r="L126">
            <v>6.0213624423788525E-2</v>
          </cell>
          <cell r="O126" t="str">
            <v xml:space="preserve">Change Yr./Yr. </v>
          </cell>
          <cell r="P126">
            <v>-1.1925018822267375E-2</v>
          </cell>
          <cell r="Q126">
            <v>0.14144681132237724</v>
          </cell>
          <cell r="R126">
            <v>0.3274698418605555</v>
          </cell>
          <cell r="S126">
            <v>0.45</v>
          </cell>
          <cell r="T126">
            <v>0.22668645762461592</v>
          </cell>
          <cell r="Z126" t="str">
            <v xml:space="preserve">Change Yr./Yr. </v>
          </cell>
          <cell r="AA126">
            <v>0.6</v>
          </cell>
          <cell r="AB126">
            <v>0.4</v>
          </cell>
          <cell r="AC126">
            <v>0.3</v>
          </cell>
          <cell r="AD126">
            <v>0.4</v>
          </cell>
          <cell r="AE126">
            <v>0.41149918769156701</v>
          </cell>
        </row>
        <row r="127">
          <cell r="A127" t="str">
            <v>Fee per contract ($)</v>
          </cell>
          <cell r="E127">
            <v>1.2445292889025432</v>
          </cell>
          <cell r="H127" t="str">
            <v>Fee per contract ($)</v>
          </cell>
          <cell r="I127">
            <v>1.341412275405651</v>
          </cell>
          <cell r="J127">
            <v>1.3219804295023792</v>
          </cell>
          <cell r="K127">
            <v>1.3414427989574933</v>
          </cell>
          <cell r="L127">
            <v>1.380110165579167</v>
          </cell>
          <cell r="M127">
            <v>1.3458500834640736</v>
          </cell>
          <cell r="O127" t="str">
            <v>Fee per contract ($)</v>
          </cell>
          <cell r="P127">
            <v>1.3787001138178212</v>
          </cell>
          <cell r="Q127">
            <v>1.3510459576180029</v>
          </cell>
          <cell r="R127">
            <v>1.345144783462058</v>
          </cell>
          <cell r="S127">
            <v>1.2774999999999999</v>
          </cell>
          <cell r="T127">
            <v>1.3323304003491678</v>
          </cell>
          <cell r="Z127" t="str">
            <v>Fee per contract ($)</v>
          </cell>
          <cell r="AA127">
            <v>1.2993999999999999</v>
          </cell>
          <cell r="AB127">
            <v>1.3140000000000001</v>
          </cell>
          <cell r="AC127">
            <v>1.2921</v>
          </cell>
          <cell r="AD127">
            <v>1.2628999999999999</v>
          </cell>
          <cell r="AE127">
            <v>1.2921</v>
          </cell>
        </row>
        <row r="128">
          <cell r="A128" t="str">
            <v xml:space="preserve">Change Yr./Yr. </v>
          </cell>
          <cell r="E128">
            <v>1.2445292889025432</v>
          </cell>
          <cell r="H128" t="str">
            <v xml:space="preserve">Change Yr./Yr. </v>
          </cell>
          <cell r="I128">
            <v>1.341412275405651</v>
          </cell>
          <cell r="J128">
            <v>1.3219804295023792</v>
          </cell>
          <cell r="K128">
            <v>1.3414427989574933</v>
          </cell>
          <cell r="L128">
            <v>0.10894149128156094</v>
          </cell>
          <cell r="M128">
            <v>1.3458500834640736</v>
          </cell>
          <cell r="O128" t="str">
            <v xml:space="preserve">Change Yr./Yr. </v>
          </cell>
          <cell r="P128">
            <v>2.7797448328027441E-2</v>
          </cell>
          <cell r="Q128">
            <v>2.1986352798403219E-2</v>
          </cell>
          <cell r="R128">
            <v>2.7597035873923037E-3</v>
          </cell>
          <cell r="S128">
            <v>-7.43492571378217E-2</v>
          </cell>
          <cell r="T128">
            <v>-1.0045459952053193E-2</v>
          </cell>
          <cell r="Z128" t="str">
            <v xml:space="preserve">Change Yr./Yr. </v>
          </cell>
          <cell r="AA128">
            <v>-5.7518029499705858E-2</v>
          </cell>
          <cell r="AB128">
            <v>-2.7420205366897932E-2</v>
          </cell>
          <cell r="AC128">
            <v>-3.9434255787346828E-2</v>
          </cell>
          <cell r="AD128">
            <v>-1.1428571428571344E-2</v>
          </cell>
          <cell r="AE128">
            <v>-3.0195513319086986E-2</v>
          </cell>
        </row>
        <row r="129">
          <cell r="A129" t="str">
            <v>Sequential change</v>
          </cell>
          <cell r="H129" t="str">
            <v>Sequential change</v>
          </cell>
          <cell r="I129">
            <v>7.7847092364167425E-2</v>
          </cell>
          <cell r="J129">
            <v>-1.4486110094225513E-2</v>
          </cell>
          <cell r="K129">
            <v>1.4722131296936114E-2</v>
          </cell>
          <cell r="L129">
            <v>2.8825207196105707E-2</v>
          </cell>
          <cell r="O129" t="str">
            <v>Sequential change</v>
          </cell>
          <cell r="P129">
            <v>-1.0216950766057664E-3</v>
          </cell>
          <cell r="Q129">
            <v>-2.0058137315474567E-2</v>
          </cell>
          <cell r="R129">
            <v>-4.3678559731226141E-3</v>
          </cell>
          <cell r="S129">
            <v>-5.0288106004439004E-2</v>
          </cell>
          <cell r="T129">
            <v>-1.0045459952053193E-2</v>
          </cell>
          <cell r="Z129" t="str">
            <v>Sequential change</v>
          </cell>
          <cell r="AA129">
            <v>1.7142857142857126E-2</v>
          </cell>
          <cell r="AB129">
            <v>1.1235955056179803E-2</v>
          </cell>
          <cell r="AC129">
            <v>-1.6666666666666718E-2</v>
          </cell>
          <cell r="AD129">
            <v>-2.25988700564973E-2</v>
          </cell>
          <cell r="AE129">
            <v>-3.0195513319086986E-2</v>
          </cell>
        </row>
        <row r="130">
          <cell r="A130" t="str">
            <v>Sequential change</v>
          </cell>
          <cell r="H130" t="str">
            <v>Sequential change</v>
          </cell>
          <cell r="I130">
            <v>7.7847092364167425E-2</v>
          </cell>
          <cell r="J130">
            <v>-1.4486110094225513E-2</v>
          </cell>
          <cell r="K130">
            <v>1.4722131296936114E-2</v>
          </cell>
          <cell r="L130">
            <v>2.8825207196105707E-2</v>
          </cell>
          <cell r="O130" t="str">
            <v>Sequential change</v>
          </cell>
          <cell r="P130">
            <v>-1.0216950766057664E-3</v>
          </cell>
          <cell r="Q130">
            <v>-2.0058137315474567E-2</v>
          </cell>
          <cell r="R130">
            <v>-4.3678559731226141E-3</v>
          </cell>
          <cell r="S130">
            <v>-5.0288106004439004E-2</v>
          </cell>
          <cell r="Z130" t="str">
            <v>Sequential change</v>
          </cell>
          <cell r="AA130">
            <v>1.7142857142857126E-2</v>
          </cell>
          <cell r="AB130">
            <v>1.1235955056179803E-2</v>
          </cell>
          <cell r="AC130">
            <v>-1.6666666666666718E-2</v>
          </cell>
          <cell r="AD130">
            <v>-2.25988700564973E-2</v>
          </cell>
        </row>
        <row r="131">
          <cell r="A131" t="str">
            <v>Fee per contract (£)</v>
          </cell>
          <cell r="E131">
            <v>0.72914839015520372</v>
          </cell>
          <cell r="H131" t="str">
            <v>Fee per contract (£)</v>
          </cell>
          <cell r="I131">
            <v>0.72968593637721402</v>
          </cell>
          <cell r="J131">
            <v>0.73202594517147057</v>
          </cell>
          <cell r="K131">
            <v>0.73751837598765035</v>
          </cell>
          <cell r="L131">
            <v>0.73983777543133988</v>
          </cell>
          <cell r="M131">
            <v>0.73457969316020044</v>
          </cell>
          <cell r="O131" t="str">
            <v>Fee per contract (£)</v>
          </cell>
          <cell r="P131">
            <v>0.72913923454331475</v>
          </cell>
          <cell r="Q131">
            <v>0.72797928162799064</v>
          </cell>
          <cell r="R131">
            <v>0.759968804215852</v>
          </cell>
          <cell r="S131">
            <v>0.73</v>
          </cell>
          <cell r="T131">
            <v>0.73677183009678937</v>
          </cell>
          <cell r="Z131" t="str">
            <v>Fee per contract (£)</v>
          </cell>
          <cell r="AA131">
            <v>0.73</v>
          </cell>
          <cell r="AB131">
            <v>0.73</v>
          </cell>
          <cell r="AC131">
            <v>0.73</v>
          </cell>
          <cell r="AD131">
            <v>0.73</v>
          </cell>
          <cell r="AE131">
            <v>0.73</v>
          </cell>
        </row>
        <row r="132">
          <cell r="A132" t="str">
            <v>Fee per contract (£)</v>
          </cell>
          <cell r="E132">
            <v>0.72914839015520372</v>
          </cell>
          <cell r="H132" t="str">
            <v>Fee per contract (£)</v>
          </cell>
          <cell r="I132">
            <v>0.72968593637721402</v>
          </cell>
          <cell r="J132">
            <v>0.73202594517147057</v>
          </cell>
          <cell r="K132">
            <v>0.73751837598765035</v>
          </cell>
          <cell r="L132">
            <v>0.73983777543133988</v>
          </cell>
          <cell r="M132">
            <v>0.73457969316020044</v>
          </cell>
          <cell r="O132" t="str">
            <v>Fee per contract (£)</v>
          </cell>
          <cell r="P132">
            <v>0.72913923454331475</v>
          </cell>
          <cell r="Q132">
            <v>0.72797928162799064</v>
          </cell>
          <cell r="R132">
            <v>0.759968804215852</v>
          </cell>
          <cell r="S132">
            <v>0.73</v>
          </cell>
          <cell r="T132">
            <v>0.73677183009678937</v>
          </cell>
          <cell r="Z132" t="str">
            <v>Fee per contract (£)</v>
          </cell>
          <cell r="AA132">
            <v>0.73</v>
          </cell>
          <cell r="AB132">
            <v>0.73</v>
          </cell>
          <cell r="AC132">
            <v>0.73</v>
          </cell>
          <cell r="AD132">
            <v>0.73</v>
          </cell>
          <cell r="AE132">
            <v>0.73</v>
          </cell>
        </row>
        <row r="133">
          <cell r="A133" t="str">
            <v>Average daily trading fee revenue ($ Thous.)</v>
          </cell>
          <cell r="E133">
            <v>113.109375</v>
          </cell>
          <cell r="H133" t="str">
            <v>Average daily trading fee revenue ($ Thous.)</v>
          </cell>
          <cell r="I133">
            <v>130.703125</v>
          </cell>
          <cell r="J133">
            <v>140.37704918032787</v>
          </cell>
          <cell r="K133">
            <v>135.75384615384615</v>
          </cell>
          <cell r="L133">
            <v>132.984375</v>
          </cell>
          <cell r="M133">
            <v>134.8937007874016</v>
          </cell>
          <cell r="O133" t="str">
            <v>Average daily trading fee revenue ($ Thous.)</v>
          </cell>
          <cell r="P133">
            <v>139.26229508196721</v>
          </cell>
          <cell r="Q133">
            <v>158.55727386904763</v>
          </cell>
          <cell r="R133">
            <v>180.70646048680106</v>
          </cell>
          <cell r="S133">
            <v>181.32396087499995</v>
          </cell>
          <cell r="T133">
            <v>165.11011046323961</v>
          </cell>
          <cell r="Z133" t="str">
            <v>Average daily trading fee revenue ($ Thous.)</v>
          </cell>
          <cell r="AA133">
            <v>200.15960848500001</v>
          </cell>
          <cell r="AB133">
            <v>222.97191468196718</v>
          </cell>
          <cell r="AC133">
            <v>229.18041901218749</v>
          </cell>
          <cell r="AD133">
            <v>250.95236185099998</v>
          </cell>
          <cell r="AE133">
            <v>225.81607600753867</v>
          </cell>
        </row>
        <row r="134">
          <cell r="A134" t="str">
            <v xml:space="preserve">Change Yr./Yr. </v>
          </cell>
          <cell r="E134">
            <v>113.109375</v>
          </cell>
          <cell r="H134" t="str">
            <v xml:space="preserve">Change Yr./Yr. </v>
          </cell>
          <cell r="I134">
            <v>130.703125</v>
          </cell>
          <cell r="J134">
            <v>140.37704918032787</v>
          </cell>
          <cell r="K134">
            <v>135.75384615384615</v>
          </cell>
          <cell r="L134">
            <v>0.17571487774554506</v>
          </cell>
          <cell r="M134">
            <v>134.8937007874016</v>
          </cell>
          <cell r="O134" t="str">
            <v xml:space="preserve">Change Yr./Yr. </v>
          </cell>
          <cell r="P134">
            <v>6.5485581021625938E-2</v>
          </cell>
          <cell r="Q134">
            <v>0.12950995048603353</v>
          </cell>
          <cell r="R134">
            <v>0.3311332651452934</v>
          </cell>
          <cell r="S134">
            <v>0.36349823710492268</v>
          </cell>
          <cell r="T134">
            <v>0.22400163609908219</v>
          </cell>
          <cell r="Z134" t="str">
            <v xml:space="preserve">Change Yr./Yr. </v>
          </cell>
          <cell r="AA134">
            <v>0.43728500501294887</v>
          </cell>
          <cell r="AB134">
            <v>0.40625471945310787</v>
          </cell>
          <cell r="AC134">
            <v>0.26824695915576857</v>
          </cell>
          <cell r="AD134">
            <v>0.38400000000000012</v>
          </cell>
          <cell r="AE134">
            <v>0.36766958349176759</v>
          </cell>
        </row>
        <row r="135">
          <cell r="A135" t="str">
            <v>Sequential change</v>
          </cell>
          <cell r="H135" t="str">
            <v>Sequential change</v>
          </cell>
          <cell r="I135">
            <v>0.15554634618041163</v>
          </cell>
          <cell r="J135">
            <v>7.4014482670769155E-2</v>
          </cell>
          <cell r="K135">
            <v>-3.2934180148941339E-2</v>
          </cell>
          <cell r="L135">
            <v>-2.0400682796917535E-2</v>
          </cell>
          <cell r="O135" t="str">
            <v>Sequential change</v>
          </cell>
          <cell r="P135">
            <v>4.7207952678404608E-2</v>
          </cell>
          <cell r="Q135">
            <v>0.13855134855937679</v>
          </cell>
          <cell r="R135">
            <v>0.13969202470046516</v>
          </cell>
          <cell r="S135">
            <v>3.4171461636480771E-3</v>
          </cell>
          <cell r="T135">
            <v>0.22400163609908219</v>
          </cell>
          <cell r="Z135" t="str">
            <v>Sequential change</v>
          </cell>
          <cell r="AA135">
            <v>0.10387842576958084</v>
          </cell>
          <cell r="AB135">
            <v>0.11397057762868634</v>
          </cell>
          <cell r="AC135">
            <v>2.7844333395422138E-2</v>
          </cell>
          <cell r="AD135">
            <v>9.4999140557704864E-2</v>
          </cell>
          <cell r="AE135">
            <v>0.36766958349176759</v>
          </cell>
        </row>
        <row r="136">
          <cell r="A136" t="str">
            <v>Sequential change</v>
          </cell>
          <cell r="H136" t="str">
            <v>Sequential change</v>
          </cell>
          <cell r="I136">
            <v>0.15554634618041163</v>
          </cell>
          <cell r="J136">
            <v>7.4014482670769155E-2</v>
          </cell>
          <cell r="K136">
            <v>-3.2934180148941339E-2</v>
          </cell>
          <cell r="L136">
            <v>-2.0400682796917535E-2</v>
          </cell>
          <cell r="O136" t="str">
            <v>Sequential change</v>
          </cell>
          <cell r="P136">
            <v>4.7207952678404608E-2</v>
          </cell>
          <cell r="Q136">
            <v>0.13855134855937679</v>
          </cell>
          <cell r="R136">
            <v>0.13969202470046516</v>
          </cell>
          <cell r="S136">
            <v>3.4171461636480771E-3</v>
          </cell>
          <cell r="Z136" t="str">
            <v>Sequential change</v>
          </cell>
          <cell r="AA136">
            <v>0.10387842576958084</v>
          </cell>
          <cell r="AB136">
            <v>0.11397057762868634</v>
          </cell>
          <cell r="AC136">
            <v>2.7844333395422138E-2</v>
          </cell>
          <cell r="AD136">
            <v>9.4999140557704864E-2</v>
          </cell>
        </row>
        <row r="137">
          <cell r="A137" t="str">
            <v>WTI crude futures</v>
          </cell>
          <cell r="H137" t="str">
            <v>WTI crude futures</v>
          </cell>
          <cell r="O137" t="str">
            <v>WTI crude futures</v>
          </cell>
          <cell r="Z137" t="str">
            <v>WTI crude futures</v>
          </cell>
        </row>
        <row r="138">
          <cell r="A138" t="str">
            <v>Industry ADV (000')</v>
          </cell>
          <cell r="E138">
            <v>2434.1429999999991</v>
          </cell>
          <cell r="H138" t="str">
            <v>Industry ADV (000')</v>
          </cell>
          <cell r="I138">
            <v>204.923770491803</v>
          </cell>
          <cell r="J138">
            <v>209.673523809524</v>
          </cell>
          <cell r="K138">
            <v>215.01728125</v>
          </cell>
          <cell r="L138">
            <v>216.327612903226</v>
          </cell>
          <cell r="M138">
            <v>211.53279999999998</v>
          </cell>
          <cell r="O138" t="str">
            <v>Industry ADV (000')</v>
          </cell>
          <cell r="P138">
            <v>231.23498360655699</v>
          </cell>
          <cell r="Q138">
            <v>246.48935937499999</v>
          </cell>
          <cell r="R138">
            <v>249.5680625</v>
          </cell>
          <cell r="S138">
            <v>222.53966129032301</v>
          </cell>
          <cell r="T138">
            <v>237.65126693227091</v>
          </cell>
          <cell r="Z138" t="str">
            <v>Industry ADV (000')</v>
          </cell>
          <cell r="AA138">
            <v>265.92023114754051</v>
          </cell>
          <cell r="AB138">
            <v>283.46276328124998</v>
          </cell>
          <cell r="AC138">
            <v>287.003271875</v>
          </cell>
          <cell r="AD138">
            <v>255.92061048387146</v>
          </cell>
          <cell r="AE138">
            <v>273.29895697211151</v>
          </cell>
        </row>
        <row r="139">
          <cell r="A139" t="str">
            <v xml:space="preserve">Change Yr./Yr. </v>
          </cell>
          <cell r="H139" t="str">
            <v xml:space="preserve">Change Yr./Yr. </v>
          </cell>
          <cell r="I139" t="str">
            <v>N/A</v>
          </cell>
          <cell r="J139" t="str">
            <v>N/A</v>
          </cell>
          <cell r="K139" t="str">
            <v>N/A</v>
          </cell>
          <cell r="L139" t="str">
            <v>N/A</v>
          </cell>
          <cell r="M139" t="str">
            <v>N/A</v>
          </cell>
          <cell r="O139" t="str">
            <v xml:space="preserve">Change Yr./Yr. </v>
          </cell>
          <cell r="P139">
            <v>0.1283951249365014</v>
          </cell>
          <cell r="Q139">
            <v>0.17558647795188964</v>
          </cell>
          <cell r="R139">
            <v>0.16068839234288301</v>
          </cell>
          <cell r="S139">
            <v>2.8715929065772805E-2</v>
          </cell>
          <cell r="T139">
            <v>0.12347242097807487</v>
          </cell>
          <cell r="Z139" t="str">
            <v xml:space="preserve">Change Yr./Yr. </v>
          </cell>
          <cell r="AA139">
            <v>0.15</v>
          </cell>
          <cell r="AB139">
            <v>0.15</v>
          </cell>
          <cell r="AC139">
            <v>0.15</v>
          </cell>
          <cell r="AD139">
            <v>0.15</v>
          </cell>
          <cell r="AE139">
            <v>0.15</v>
          </cell>
        </row>
        <row r="140">
          <cell r="A140" t="str">
            <v>ICE ADV (000')</v>
          </cell>
          <cell r="H140" t="str">
            <v>ICE ADV (000')</v>
          </cell>
          <cell r="I140" t="str">
            <v>N/A</v>
          </cell>
          <cell r="J140" t="str">
            <v>N/A</v>
          </cell>
          <cell r="K140" t="str">
            <v>N/A</v>
          </cell>
          <cell r="L140" t="str">
            <v>N/A</v>
          </cell>
          <cell r="M140" t="str">
            <v>N/A</v>
          </cell>
          <cell r="O140" t="str">
            <v>ICE ADV (000')</v>
          </cell>
          <cell r="P140" t="str">
            <v>N/A</v>
          </cell>
          <cell r="Q140" t="str">
            <v>N/A</v>
          </cell>
          <cell r="R140" t="str">
            <v>N/A</v>
          </cell>
          <cell r="S140" t="str">
            <v>N/A</v>
          </cell>
          <cell r="T140" t="str">
            <v>N/A</v>
          </cell>
          <cell r="Z140" t="str">
            <v>ICE ADV (000')</v>
          </cell>
          <cell r="AA140">
            <v>36.372638820136913</v>
          </cell>
          <cell r="AB140">
            <v>41.102100675781244</v>
          </cell>
          <cell r="AC140">
            <v>44.485507140624996</v>
          </cell>
          <cell r="AD140">
            <v>40.947297677419435</v>
          </cell>
          <cell r="AE140">
            <v>40.721544588844615</v>
          </cell>
          <cell r="AF140">
            <v>0.31</v>
          </cell>
          <cell r="AG140">
            <v>0.28999999999999998</v>
          </cell>
          <cell r="AH140" t="str">
            <v>Higher than previous company forecast (12%), changed upwards because Q205 performance and aug/sept oil gas volumes</v>
          </cell>
        </row>
        <row r="141">
          <cell r="A141" t="str">
            <v>Market share</v>
          </cell>
          <cell r="E141">
            <v>1.2472562211833902</v>
          </cell>
          <cell r="H141" t="str">
            <v>Market share</v>
          </cell>
          <cell r="I141" t="str">
            <v>N/A</v>
          </cell>
          <cell r="J141" t="str">
            <v>N/A</v>
          </cell>
          <cell r="K141" t="str">
            <v>N/A</v>
          </cell>
          <cell r="L141" t="str">
            <v>N/A</v>
          </cell>
          <cell r="M141" t="str">
            <v>N/A</v>
          </cell>
          <cell r="O141" t="str">
            <v>Market share</v>
          </cell>
          <cell r="P141" t="str">
            <v>N/A</v>
          </cell>
          <cell r="Q141" t="str">
            <v>N/A</v>
          </cell>
          <cell r="R141" t="str">
            <v>N/A</v>
          </cell>
          <cell r="S141" t="str">
            <v>N/A</v>
          </cell>
          <cell r="T141" t="str">
            <v>N/A</v>
          </cell>
          <cell r="Z141" t="str">
            <v>Market share</v>
          </cell>
          <cell r="AA141">
            <v>0.13678026174682545</v>
          </cell>
          <cell r="AB141">
            <v>0.14499999999999999</v>
          </cell>
          <cell r="AC141">
            <v>0.155</v>
          </cell>
          <cell r="AD141">
            <v>0.16</v>
          </cell>
          <cell r="AE141">
            <v>0.14899999999999999</v>
          </cell>
        </row>
        <row r="142">
          <cell r="A142" t="str">
            <v>Total contracts</v>
          </cell>
          <cell r="H142" t="str">
            <v>Total contracts</v>
          </cell>
          <cell r="I142" t="str">
            <v>N/A</v>
          </cell>
          <cell r="J142" t="str">
            <v>N/A</v>
          </cell>
          <cell r="K142" t="str">
            <v>N/A</v>
          </cell>
          <cell r="L142" t="str">
            <v>N/A</v>
          </cell>
          <cell r="M142" t="str">
            <v>N/A</v>
          </cell>
          <cell r="O142" t="str">
            <v>Total contracts</v>
          </cell>
          <cell r="P142" t="str">
            <v>N/A</v>
          </cell>
          <cell r="Q142" t="str">
            <v>N/A</v>
          </cell>
          <cell r="R142" t="str">
            <v>N/A</v>
          </cell>
          <cell r="S142" t="str">
            <v>N/A</v>
          </cell>
          <cell r="T142" t="str">
            <v>N/A</v>
          </cell>
          <cell r="Z142" t="str">
            <v>Total contracts</v>
          </cell>
          <cell r="AA142">
            <v>2327.8488844887625</v>
          </cell>
          <cell r="AB142">
            <v>2507.2281412226557</v>
          </cell>
          <cell r="AC142">
            <v>2847.0724569999998</v>
          </cell>
          <cell r="AD142">
            <v>2579.6797536774243</v>
          </cell>
          <cell r="AE142">
            <v>10261.829236388843</v>
          </cell>
        </row>
        <row r="143">
          <cell r="A143" t="str">
            <v>Fee per contract ($)</v>
          </cell>
          <cell r="H143" t="str">
            <v>Fee per contract ($)</v>
          </cell>
          <cell r="I143" t="str">
            <v>N/A</v>
          </cell>
          <cell r="J143" t="str">
            <v>N/A</v>
          </cell>
          <cell r="K143" t="str">
            <v>N/A</v>
          </cell>
          <cell r="L143" t="str">
            <v>N/A</v>
          </cell>
          <cell r="M143" t="str">
            <v>N/A</v>
          </cell>
          <cell r="O143" t="str">
            <v>Fee per contract ($)</v>
          </cell>
          <cell r="P143" t="str">
            <v>N/A</v>
          </cell>
          <cell r="Q143" t="str">
            <v>N/A</v>
          </cell>
          <cell r="R143" t="str">
            <v>N/A</v>
          </cell>
          <cell r="S143" t="str">
            <v>N/A</v>
          </cell>
          <cell r="T143" t="str">
            <v>N/A</v>
          </cell>
          <cell r="Z143" t="str">
            <v>Fee per contract ($)</v>
          </cell>
          <cell r="AA143">
            <v>1.4</v>
          </cell>
          <cell r="AB143">
            <v>1.4</v>
          </cell>
          <cell r="AC143">
            <v>1.4</v>
          </cell>
          <cell r="AD143">
            <v>1.4</v>
          </cell>
          <cell r="AE143">
            <v>1.4</v>
          </cell>
        </row>
        <row r="144">
          <cell r="A144" t="str">
            <v>Average daily trading fee revenue ($ Thous.)</v>
          </cell>
          <cell r="H144" t="str">
            <v>Average daily trading fee revenue ($ Thous.)</v>
          </cell>
          <cell r="I144" t="str">
            <v>N/A</v>
          </cell>
          <cell r="J144" t="str">
            <v>N/A</v>
          </cell>
          <cell r="K144" t="str">
            <v>N/A</v>
          </cell>
          <cell r="L144" t="str">
            <v>N/A</v>
          </cell>
          <cell r="M144" t="str">
            <v>N/A</v>
          </cell>
          <cell r="O144" t="str">
            <v>Average daily trading fee revenue ($ Thous.)</v>
          </cell>
          <cell r="P144" t="str">
            <v>N/A</v>
          </cell>
          <cell r="Q144" t="str">
            <v>N/A</v>
          </cell>
          <cell r="R144" t="str">
            <v>N/A</v>
          </cell>
          <cell r="S144" t="str">
            <v>N/A</v>
          </cell>
          <cell r="T144" t="str">
            <v>N/A</v>
          </cell>
          <cell r="Z144" t="str">
            <v>Average daily trading fee revenue ($ Thous.)</v>
          </cell>
          <cell r="AA144">
            <v>50.921694348191679</v>
          </cell>
          <cell r="AB144">
            <v>57.542940946093736</v>
          </cell>
          <cell r="AC144">
            <v>62.279709996874992</v>
          </cell>
          <cell r="AD144">
            <v>57.326216748387203</v>
          </cell>
          <cell r="AE144">
            <v>57.010162424382457</v>
          </cell>
        </row>
        <row r="145">
          <cell r="A145" t="str">
            <v>Average daily trading fee revenue ($ Thous.)</v>
          </cell>
          <cell r="E145">
            <v>0.73074605306307716</v>
          </cell>
          <cell r="H145" t="str">
            <v>Average daily trading fee revenue ($ Thous.)</v>
          </cell>
          <cell r="I145" t="str">
            <v>N/A</v>
          </cell>
          <cell r="J145" t="str">
            <v>N/A</v>
          </cell>
          <cell r="K145" t="str">
            <v>N/A</v>
          </cell>
          <cell r="L145" t="str">
            <v>N/A</v>
          </cell>
          <cell r="M145" t="str">
            <v>N/A</v>
          </cell>
          <cell r="O145" t="str">
            <v>Average daily trading fee revenue ($ Thous.)</v>
          </cell>
          <cell r="P145" t="str">
            <v>N/A</v>
          </cell>
          <cell r="Q145" t="str">
            <v>N/A</v>
          </cell>
          <cell r="R145" t="str">
            <v>N/A</v>
          </cell>
          <cell r="S145" t="str">
            <v>N/A</v>
          </cell>
          <cell r="T145" t="str">
            <v>N/A</v>
          </cell>
          <cell r="Z145" t="str">
            <v>Average daily trading fee revenue ($ Thous.)</v>
          </cell>
          <cell r="AA145">
            <v>50.921694348191679</v>
          </cell>
          <cell r="AB145">
            <v>57.542940946093736</v>
          </cell>
          <cell r="AC145">
            <v>62.279709996874992</v>
          </cell>
          <cell r="AD145">
            <v>57.326216748387203</v>
          </cell>
          <cell r="AE145">
            <v>57.010162424382457</v>
          </cell>
        </row>
        <row r="146">
          <cell r="A146" t="str">
            <v>Other futures products and options</v>
          </cell>
          <cell r="H146" t="str">
            <v>Other futures products and options</v>
          </cell>
          <cell r="O146" t="str">
            <v>Other futures products and options</v>
          </cell>
          <cell r="Z146" t="str">
            <v>Other futures products and options</v>
          </cell>
          <cell r="AA146">
            <v>4354.5709799799988</v>
          </cell>
          <cell r="AB146">
            <v>4210.2176220000001</v>
          </cell>
          <cell r="AC146">
            <v>5158.9321372499999</v>
          </cell>
          <cell r="AD146">
            <v>5685.8599524999991</v>
          </cell>
          <cell r="AE146">
            <v>19409.58069173</v>
          </cell>
        </row>
        <row r="147">
          <cell r="A147" t="str">
            <v>Average daily volume ('000s)</v>
          </cell>
          <cell r="E147">
            <v>38.033484374999986</v>
          </cell>
          <cell r="H147" t="str">
            <v>Average daily volume ('000s)</v>
          </cell>
          <cell r="I147">
            <v>41.229656250000005</v>
          </cell>
          <cell r="J147">
            <v>39.444360655737704</v>
          </cell>
          <cell r="K147">
            <v>37.92338461538462</v>
          </cell>
          <cell r="L147">
            <v>40.198437499999997</v>
          </cell>
          <cell r="M147">
            <v>39.694976377952763</v>
          </cell>
          <cell r="O147" t="str">
            <v>Average daily volume ('000s)</v>
          </cell>
          <cell r="P147">
            <v>42.25998360655737</v>
          </cell>
          <cell r="Q147">
            <v>39.122380952380951</v>
          </cell>
          <cell r="R147">
            <v>49.140584615384611</v>
          </cell>
          <cell r="S147">
            <v>57.171111111111102</v>
          </cell>
          <cell r="T147">
            <v>46.978123015873003</v>
          </cell>
          <cell r="Z147" t="str">
            <v>Average daily volume ('000s)</v>
          </cell>
          <cell r="AA147">
            <v>52.362760937499992</v>
          </cell>
          <cell r="AB147">
            <v>52.52660655737705</v>
          </cell>
          <cell r="AC147">
            <v>62.385507812499995</v>
          </cell>
          <cell r="AD147">
            <v>71.463888888888874</v>
          </cell>
          <cell r="AE147">
            <v>59.68469104906648</v>
          </cell>
        </row>
        <row r="148">
          <cell r="A148" t="str">
            <v xml:space="preserve">Change Yr./Yr. </v>
          </cell>
          <cell r="E148">
            <v>38.033484374999986</v>
          </cell>
          <cell r="H148" t="str">
            <v xml:space="preserve">Change Yr./Yr. </v>
          </cell>
          <cell r="I148">
            <v>41.229656250000005</v>
          </cell>
          <cell r="J148">
            <v>39.444360655737704</v>
          </cell>
          <cell r="K148">
            <v>37.92338461538462</v>
          </cell>
          <cell r="L148">
            <v>5.6922292568678534E-2</v>
          </cell>
          <cell r="M148">
            <v>39.694976377952763</v>
          </cell>
          <cell r="O148" t="str">
            <v xml:space="preserve">Change Yr./Yr. </v>
          </cell>
          <cell r="P148">
            <v>2.4989957478904978E-2</v>
          </cell>
          <cell r="Q148">
            <v>-8.1628830586690793E-3</v>
          </cell>
          <cell r="R148">
            <v>0.29578583540904302</v>
          </cell>
          <cell r="S148">
            <v>0.42222222222222205</v>
          </cell>
          <cell r="T148">
            <v>0.18347779246860618</v>
          </cell>
          <cell r="Z148" t="str">
            <v xml:space="preserve">Change Yr./Yr. </v>
          </cell>
          <cell r="AA148">
            <v>0.23906249999999996</v>
          </cell>
          <cell r="AB148">
            <v>0.34262295081967231</v>
          </cell>
          <cell r="AC148">
            <v>0.26953125</v>
          </cell>
          <cell r="AD148">
            <v>0.25</v>
          </cell>
          <cell r="AE148">
            <v>0.27047841032090991</v>
          </cell>
        </row>
        <row r="149">
          <cell r="A149" t="str">
            <v>Sequential change</v>
          </cell>
          <cell r="H149" t="str">
            <v>Sequential change</v>
          </cell>
          <cell r="I149">
            <v>8.4035736602164013E-2</v>
          </cell>
          <cell r="J149">
            <v>-4.3301248582743201E-2</v>
          </cell>
          <cell r="K149">
            <v>-3.856003786264528E-2</v>
          </cell>
          <cell r="L149">
            <v>5.9990765795003398E-2</v>
          </cell>
          <cell r="O149" t="str">
            <v>Sequential change</v>
          </cell>
          <cell r="P149">
            <v>5.1284234780453186E-2</v>
          </cell>
          <cell r="Q149">
            <v>-7.4245240684134184E-2</v>
          </cell>
          <cell r="R149">
            <v>0.25607346534449515</v>
          </cell>
          <cell r="S149">
            <v>0.16341943341903886</v>
          </cell>
          <cell r="T149">
            <v>0.18347779246860618</v>
          </cell>
          <cell r="Z149" t="str">
            <v>Sequential change</v>
          </cell>
          <cell r="AA149">
            <v>-8.4104543014148603E-2</v>
          </cell>
          <cell r="AB149">
            <v>3.1290485250123901E-3</v>
          </cell>
          <cell r="AC149">
            <v>0.18769347386554758</v>
          </cell>
          <cell r="AD149">
            <v>0.14552067290489967</v>
          </cell>
          <cell r="AE149">
            <v>0.27047841032090991</v>
          </cell>
        </row>
        <row r="150">
          <cell r="A150" t="str">
            <v>Sequential change</v>
          </cell>
          <cell r="H150" t="str">
            <v>Sequential change</v>
          </cell>
          <cell r="I150">
            <v>8.4035736602164013E-2</v>
          </cell>
          <cell r="J150">
            <v>-4.3301248582743201E-2</v>
          </cell>
          <cell r="K150">
            <v>-3.856003786264528E-2</v>
          </cell>
          <cell r="L150">
            <v>5.9990765795003398E-2</v>
          </cell>
          <cell r="O150" t="str">
            <v>Sequential change</v>
          </cell>
          <cell r="P150">
            <v>5.1284234780453186E-2</v>
          </cell>
          <cell r="Q150">
            <v>-7.4245240684134184E-2</v>
          </cell>
          <cell r="R150">
            <v>0.25607346534449515</v>
          </cell>
          <cell r="S150">
            <v>0.16341943341903886</v>
          </cell>
          <cell r="Z150" t="str">
            <v>Sequential change</v>
          </cell>
          <cell r="AA150">
            <v>-8.4104543014148603E-2</v>
          </cell>
          <cell r="AB150">
            <v>3.1290485250123901E-3</v>
          </cell>
          <cell r="AC150">
            <v>0.18769347386554758</v>
          </cell>
          <cell r="AD150">
            <v>0.14552067290489967</v>
          </cell>
        </row>
        <row r="151">
          <cell r="A151" t="str">
            <v>Total contracts ('000s)</v>
          </cell>
          <cell r="E151">
            <v>2434.1429999999991</v>
          </cell>
          <cell r="F151">
            <v>250</v>
          </cell>
          <cell r="H151" t="str">
            <v>Total contracts ('000s)</v>
          </cell>
          <cell r="I151">
            <v>2638.6980000000003</v>
          </cell>
          <cell r="J151">
            <v>2406.1059999999998</v>
          </cell>
          <cell r="K151">
            <v>2465.0200000000004</v>
          </cell>
          <cell r="L151">
            <v>2572.6999999999998</v>
          </cell>
          <cell r="M151">
            <v>10082.524000000001</v>
          </cell>
          <cell r="O151" t="str">
            <v>Total contracts ('000s)</v>
          </cell>
          <cell r="P151">
            <v>2577.8589999999995</v>
          </cell>
          <cell r="Q151">
            <v>2464.71</v>
          </cell>
          <cell r="R151">
            <v>3194.1379999999999</v>
          </cell>
          <cell r="S151">
            <v>3601.7799999999993</v>
          </cell>
          <cell r="T151">
            <v>11838.486999999997</v>
          </cell>
          <cell r="Z151" t="str">
            <v>Total contracts ('000s)</v>
          </cell>
          <cell r="AA151">
            <v>3351.2166999999995</v>
          </cell>
          <cell r="AB151">
            <v>3204.123</v>
          </cell>
          <cell r="AC151">
            <v>3992.6724999999997</v>
          </cell>
          <cell r="AD151">
            <v>4502.2249999999995</v>
          </cell>
          <cell r="AE151">
            <v>15050.2372</v>
          </cell>
        </row>
        <row r="152">
          <cell r="A152" t="str">
            <v>Sequential change</v>
          </cell>
          <cell r="E152">
            <v>2434.1429999999991</v>
          </cell>
          <cell r="H152" t="str">
            <v>Sequential change</v>
          </cell>
          <cell r="I152">
            <v>8.4035736602164013E-2</v>
          </cell>
          <cell r="J152">
            <v>-8.8146502555427109E-2</v>
          </cell>
          <cell r="K152">
            <v>2.4485205556197709E-2</v>
          </cell>
          <cell r="L152">
            <v>4.3683215552003274E-2</v>
          </cell>
          <cell r="M152">
            <v>10082.524000000001</v>
          </cell>
          <cell r="O152" t="str">
            <v>Sequential change</v>
          </cell>
          <cell r="P152">
            <v>2.0052862751194223E-3</v>
          </cell>
          <cell r="Q152">
            <v>-4.3892625624597614E-2</v>
          </cell>
          <cell r="R152">
            <v>0.29594881345066959</v>
          </cell>
          <cell r="S152">
            <v>0.12762191239076071</v>
          </cell>
          <cell r="T152">
            <v>11838.486999999997</v>
          </cell>
          <cell r="Z152" t="str">
            <v>Sequential change</v>
          </cell>
          <cell r="AA152">
            <v>-6.9566519887388933E-2</v>
          </cell>
          <cell r="AB152">
            <v>-4.3892625624597614E-2</v>
          </cell>
          <cell r="AC152">
            <v>0.24610462831795155</v>
          </cell>
          <cell r="AD152">
            <v>0.12762191239076071</v>
          </cell>
          <cell r="AE152">
            <v>15050.2372</v>
          </cell>
        </row>
        <row r="153">
          <cell r="A153" t="str">
            <v xml:space="preserve">Change Yr./Yr. </v>
          </cell>
          <cell r="H153" t="str">
            <v xml:space="preserve">Change Yr./Yr. </v>
          </cell>
          <cell r="I153">
            <v>8.4035736602164013E-2</v>
          </cell>
          <cell r="J153">
            <v>-8.8146502555427109E-2</v>
          </cell>
          <cell r="K153">
            <v>2.4485205556197709E-2</v>
          </cell>
          <cell r="L153">
            <v>5.6922292568678534E-2</v>
          </cell>
          <cell r="O153" t="str">
            <v xml:space="preserve">Change Yr./Yr. </v>
          </cell>
          <cell r="P153">
            <v>-2.3056446777918849E-2</v>
          </cell>
          <cell r="Q153">
            <v>2.4356366677112495E-2</v>
          </cell>
          <cell r="R153">
            <v>0.29578583540904302</v>
          </cell>
          <cell r="S153">
            <v>0.4</v>
          </cell>
          <cell r="Z153" t="str">
            <v xml:space="preserve">Change Yr./Yr. </v>
          </cell>
          <cell r="AA153">
            <v>0.3</v>
          </cell>
          <cell r="AB153">
            <v>0.3</v>
          </cell>
          <cell r="AC153">
            <v>0.25</v>
          </cell>
          <cell r="AD153">
            <v>0.25</v>
          </cell>
          <cell r="AE153">
            <v>0.27129735412979739</v>
          </cell>
        </row>
        <row r="154">
          <cell r="A154" t="str">
            <v>Fee per contract ($)</v>
          </cell>
          <cell r="E154">
            <v>1.2472562211833902</v>
          </cell>
          <cell r="H154" t="str">
            <v>Fee per contract ($)</v>
          </cell>
          <cell r="I154">
            <v>1.3264117379101359</v>
          </cell>
          <cell r="J154">
            <v>1.3133253480935587</v>
          </cell>
          <cell r="K154">
            <v>1.3395428840333949</v>
          </cell>
          <cell r="L154">
            <v>1.3740428343763362</v>
          </cell>
          <cell r="M154">
            <v>1.3386529008014261</v>
          </cell>
          <cell r="O154" t="str">
            <v>Fee per contract ($)</v>
          </cell>
          <cell r="P154">
            <v>1.3821547260730711</v>
          </cell>
          <cell r="Q154">
            <v>1.3583365725582319</v>
          </cell>
          <cell r="R154">
            <v>1.345144783462058</v>
          </cell>
          <cell r="S154">
            <v>1.2774999999999999</v>
          </cell>
          <cell r="T154">
            <v>1.3349323152698525</v>
          </cell>
          <cell r="Z154" t="str">
            <v>Fee per contract ($)</v>
          </cell>
          <cell r="AA154">
            <v>1.2993999999999999</v>
          </cell>
          <cell r="AB154">
            <v>1.3140000000000001</v>
          </cell>
          <cell r="AC154">
            <v>1.2921</v>
          </cell>
          <cell r="AD154">
            <v>1.2628999999999999</v>
          </cell>
          <cell r="AE154">
            <v>1.2921</v>
          </cell>
        </row>
        <row r="155">
          <cell r="A155" t="str">
            <v xml:space="preserve">Change Yr./Yr. </v>
          </cell>
          <cell r="E155">
            <v>1.2472562211833902</v>
          </cell>
          <cell r="H155" t="str">
            <v xml:space="preserve">Change Yr./Yr. </v>
          </cell>
          <cell r="I155">
            <v>1.3264117379101359</v>
          </cell>
          <cell r="J155">
            <v>1.3133253480935587</v>
          </cell>
          <cell r="K155">
            <v>1.3395428840333949</v>
          </cell>
          <cell r="L155">
            <v>0.10165241995959073</v>
          </cell>
          <cell r="M155">
            <v>1.3386529008014261</v>
          </cell>
          <cell r="O155" t="str">
            <v xml:space="preserve">Change Yr./Yr. </v>
          </cell>
          <cell r="P155">
            <v>4.2025403251302995E-2</v>
          </cell>
          <cell r="Q155">
            <v>3.4272714320188857E-2</v>
          </cell>
          <cell r="R155">
            <v>4.1819485553129532E-3</v>
          </cell>
          <cell r="S155">
            <v>-7.0261881188118935E-2</v>
          </cell>
          <cell r="T155">
            <v>-2.7793504420348114E-3</v>
          </cell>
          <cell r="Z155" t="str">
            <v xml:space="preserve">Change Yr./Yr. </v>
          </cell>
          <cell r="AA155">
            <v>-5.9873706258771087E-2</v>
          </cell>
          <cell r="AB155">
            <v>-3.2640343677657335E-2</v>
          </cell>
          <cell r="AC155">
            <v>-3.9434255787346828E-2</v>
          </cell>
          <cell r="AD155">
            <v>-1.1428571428571344E-2</v>
          </cell>
          <cell r="AE155">
            <v>-3.2085758041743073E-2</v>
          </cell>
        </row>
        <row r="156">
          <cell r="A156" t="str">
            <v>Sequential change</v>
          </cell>
          <cell r="H156" t="str">
            <v>Sequential change</v>
          </cell>
          <cell r="I156">
            <v>6.3463717704805855E-2</v>
          </cell>
          <cell r="J156">
            <v>-9.8660087532064233E-3</v>
          </cell>
          <cell r="K156">
            <v>1.9962712193055454E-2</v>
          </cell>
          <cell r="L156">
            <v>2.5755017442264494E-2</v>
          </cell>
          <cell r="O156" t="str">
            <v>Sequential change</v>
          </cell>
          <cell r="P156">
            <v>5.9036672611569863E-3</v>
          </cell>
          <cell r="Q156">
            <v>-1.7232624586474787E-2</v>
          </cell>
          <cell r="R156">
            <v>-9.7117234142706232E-3</v>
          </cell>
          <cell r="S156">
            <v>-5.0288106004439004E-2</v>
          </cell>
          <cell r="T156">
            <v>-2.7793504420348114E-3</v>
          </cell>
          <cell r="Z156" t="str">
            <v>Sequential change</v>
          </cell>
          <cell r="AA156">
            <v>1.7142857142857126E-2</v>
          </cell>
          <cell r="AB156">
            <v>1.1235955056179803E-2</v>
          </cell>
          <cell r="AC156">
            <v>-1.6666666666666718E-2</v>
          </cell>
          <cell r="AD156">
            <v>-2.25988700564973E-2</v>
          </cell>
          <cell r="AE156">
            <v>-3.2085758041743073E-2</v>
          </cell>
        </row>
        <row r="157">
          <cell r="A157" t="str">
            <v>Sequential change</v>
          </cell>
          <cell r="H157" t="str">
            <v>Sequential change</v>
          </cell>
          <cell r="I157">
            <v>6.3463717704805855E-2</v>
          </cell>
          <cell r="J157">
            <v>-9.8660087532064233E-3</v>
          </cell>
          <cell r="K157">
            <v>1.9962712193055454E-2</v>
          </cell>
          <cell r="L157">
            <v>2.5755017442264494E-2</v>
          </cell>
          <cell r="O157" t="str">
            <v>Sequential change</v>
          </cell>
          <cell r="P157">
            <v>5.9036672611569863E-3</v>
          </cell>
          <cell r="Q157">
            <v>-1.7232624586474787E-2</v>
          </cell>
          <cell r="R157">
            <v>-9.7117234142706232E-3</v>
          </cell>
          <cell r="S157">
            <v>-5.0288106004439004E-2</v>
          </cell>
          <cell r="Z157" t="str">
            <v>Sequential change</v>
          </cell>
          <cell r="AA157">
            <v>1.7142857142857126E-2</v>
          </cell>
          <cell r="AB157">
            <v>1.1235955056179803E-2</v>
          </cell>
          <cell r="AC157">
            <v>-1.6666666666666718E-2</v>
          </cell>
          <cell r="AD157">
            <v>-2.25988700564973E-2</v>
          </cell>
        </row>
        <row r="158">
          <cell r="A158" t="str">
            <v>Fee per contract (£)</v>
          </cell>
          <cell r="E158">
            <v>0.73074605306307716</v>
          </cell>
          <cell r="H158" t="str">
            <v>Fee per contract (£)</v>
          </cell>
          <cell r="I158">
            <v>0.72152611746899176</v>
          </cell>
          <cell r="J158">
            <v>0.72723332948107589</v>
          </cell>
          <cell r="K158">
            <v>0.73647381249942367</v>
          </cell>
          <cell r="L158">
            <v>0.73658525187788593</v>
          </cell>
          <cell r="M158">
            <v>0.73065139215780528</v>
          </cell>
          <cell r="O158" t="str">
            <v>Fee per contract (£)</v>
          </cell>
          <cell r="P158">
            <v>0.73096624051088632</v>
          </cell>
          <cell r="Q158">
            <v>0.73190765771089727</v>
          </cell>
          <cell r="R158">
            <v>0.759968804215852</v>
          </cell>
          <cell r="S158">
            <v>0.73</v>
          </cell>
          <cell r="T158">
            <v>0.7382106756094089</v>
          </cell>
          <cell r="Z158" t="str">
            <v>Fee per contract (£)</v>
          </cell>
          <cell r="AA158">
            <v>0.73</v>
          </cell>
          <cell r="AB158">
            <v>0.73</v>
          </cell>
          <cell r="AC158">
            <v>0.73</v>
          </cell>
          <cell r="AD158">
            <v>0.73</v>
          </cell>
          <cell r="AE158">
            <v>0.73</v>
          </cell>
        </row>
        <row r="159">
          <cell r="A159" t="str">
            <v>Fee per contract (£)</v>
          </cell>
          <cell r="E159">
            <v>0.73074605306307716</v>
          </cell>
          <cell r="H159" t="str">
            <v>Fee per contract (£)</v>
          </cell>
          <cell r="I159">
            <v>0.72152611746899176</v>
          </cell>
          <cell r="J159">
            <v>0.72723332948107589</v>
          </cell>
          <cell r="K159">
            <v>0.73647381249942367</v>
          </cell>
          <cell r="L159">
            <v>0.73658525187788593</v>
          </cell>
          <cell r="M159">
            <v>0.73065139215780528</v>
          </cell>
          <cell r="O159" t="str">
            <v>Fee per contract (£)</v>
          </cell>
          <cell r="P159">
            <v>0.73096624051088632</v>
          </cell>
          <cell r="Q159">
            <v>0.73190765771089727</v>
          </cell>
          <cell r="R159">
            <v>0.759968804215852</v>
          </cell>
          <cell r="S159">
            <v>0.73</v>
          </cell>
          <cell r="T159">
            <v>0.7382106756094089</v>
          </cell>
          <cell r="Z159" t="str">
            <v>Fee per contract (£)</v>
          </cell>
          <cell r="AA159">
            <v>0.73</v>
          </cell>
          <cell r="AB159">
            <v>0.73</v>
          </cell>
          <cell r="AC159">
            <v>0.73</v>
          </cell>
          <cell r="AD159">
            <v>0.73</v>
          </cell>
          <cell r="AE159">
            <v>0.73</v>
          </cell>
        </row>
        <row r="160">
          <cell r="A160" t="str">
            <v>Average daily trading fee revenue ($ Thous.)</v>
          </cell>
          <cell r="E160">
            <v>47.4375</v>
          </cell>
          <cell r="H160" t="str">
            <v>Average daily trading fee revenue ($ Thous.)</v>
          </cell>
          <cell r="I160">
            <v>54.6875</v>
          </cell>
          <cell r="J160">
            <v>51.803278688524593</v>
          </cell>
          <cell r="K160">
            <v>50.8</v>
          </cell>
          <cell r="L160">
            <v>55.234375</v>
          </cell>
          <cell r="M160">
            <v>53.137795275590548</v>
          </cell>
          <cell r="O160" t="str">
            <v>Average daily trading fee revenue ($ Thous.)</v>
          </cell>
          <cell r="P160">
            <v>58.409836065573771</v>
          </cell>
          <cell r="Q160">
            <v>53.141360853174604</v>
          </cell>
          <cell r="R160">
            <v>66.101201051660468</v>
          </cell>
          <cell r="S160">
            <v>73.03609444444443</v>
          </cell>
          <cell r="T160">
            <v>62.71261452461129</v>
          </cell>
          <cell r="Z160" t="str">
            <v>Average daily trading fee revenue ($ Thous.)</v>
          </cell>
          <cell r="AA160">
            <v>68.040171562187481</v>
          </cell>
          <cell r="AB160">
            <v>69.019961016393452</v>
          </cell>
          <cell r="AC160">
            <v>80.608314644531248</v>
          </cell>
          <cell r="AD160">
            <v>90.251745277777758</v>
          </cell>
          <cell r="AE160">
            <v>77.118589304498798</v>
          </cell>
        </row>
        <row r="161">
          <cell r="A161" t="str">
            <v xml:space="preserve">Change Yr./Yr. </v>
          </cell>
          <cell r="E161">
            <v>47.4375</v>
          </cell>
          <cell r="H161" t="str">
            <v xml:space="preserve">Change Yr./Yr. </v>
          </cell>
          <cell r="I161">
            <v>54.6875</v>
          </cell>
          <cell r="J161">
            <v>51.803278688524593</v>
          </cell>
          <cell r="K161">
            <v>50.8</v>
          </cell>
          <cell r="L161">
            <v>0.16436100131752296</v>
          </cell>
          <cell r="M161">
            <v>53.137795275590548</v>
          </cell>
          <cell r="O161" t="str">
            <v xml:space="preserve">Change Yr./Yr. </v>
          </cell>
          <cell r="P161">
            <v>6.8065573770491827E-2</v>
          </cell>
          <cell r="Q161">
            <v>2.5830067102421195E-2</v>
          </cell>
          <cell r="R161">
            <v>0.30120474511142659</v>
          </cell>
          <cell r="S161">
            <v>0.32229421342134179</v>
          </cell>
          <cell r="T161">
            <v>0.18018849294297024</v>
          </cell>
          <cell r="Z161" t="str">
            <v xml:space="preserve">Change Yr./Yr. </v>
          </cell>
          <cell r="AA161">
            <v>0.16487523583874153</v>
          </cell>
          <cell r="AB161">
            <v>0.2987992762754077</v>
          </cell>
          <cell r="AC161">
            <v>0.21946822995746995</v>
          </cell>
          <cell r="AD161">
            <v>0.23571428571428577</v>
          </cell>
          <cell r="AE161">
            <v>0.22971414745009477</v>
          </cell>
        </row>
        <row r="162">
          <cell r="A162" t="str">
            <v>Sequential change</v>
          </cell>
          <cell r="H162" t="str">
            <v>Sequential change</v>
          </cell>
          <cell r="I162">
            <v>0.15283267457180494</v>
          </cell>
          <cell r="J162">
            <v>-5.2740046838407495E-2</v>
          </cell>
          <cell r="K162">
            <v>-1.9367088607595062E-2</v>
          </cell>
          <cell r="L162">
            <v>8.729084645669305E-2</v>
          </cell>
          <cell r="O162" t="str">
            <v>Sequential change</v>
          </cell>
          <cell r="P162">
            <v>5.7490667099496795E-2</v>
          </cell>
          <cell r="Q162">
            <v>-9.0198424910566732E-2</v>
          </cell>
          <cell r="R162">
            <v>0.24387482726106469</v>
          </cell>
          <cell r="S162">
            <v>0.104913273623638</v>
          </cell>
          <cell r="T162">
            <v>0.18018849294297024</v>
          </cell>
          <cell r="Z162" t="str">
            <v>Sequential change</v>
          </cell>
          <cell r="AA162">
            <v>-6.8403478037248333E-2</v>
          </cell>
          <cell r="AB162">
            <v>1.440016142978795E-2</v>
          </cell>
          <cell r="AC162">
            <v>0.16789858263445501</v>
          </cell>
          <cell r="AD162">
            <v>0.11963320007089062</v>
          </cell>
          <cell r="AE162">
            <v>0.22971414745009477</v>
          </cell>
        </row>
        <row r="163">
          <cell r="A163" t="str">
            <v>Sequential change</v>
          </cell>
          <cell r="H163" t="str">
            <v>Sequential change</v>
          </cell>
          <cell r="I163">
            <v>0.15283267457180494</v>
          </cell>
          <cell r="J163">
            <v>-5.2740046838407495E-2</v>
          </cell>
          <cell r="K163">
            <v>-1.9367088607595062E-2</v>
          </cell>
          <cell r="L163">
            <v>8.729084645669305E-2</v>
          </cell>
          <cell r="O163" t="str">
            <v>Sequential change</v>
          </cell>
          <cell r="P163">
            <v>5.7490667099496795E-2</v>
          </cell>
          <cell r="Q163">
            <v>-9.0198424910566732E-2</v>
          </cell>
          <cell r="R163">
            <v>0.24387482726106469</v>
          </cell>
          <cell r="S163">
            <v>0.104913273623638</v>
          </cell>
          <cell r="Z163" t="str">
            <v>Sequential change</v>
          </cell>
          <cell r="AA163">
            <v>-6.8403478037248333E-2</v>
          </cell>
          <cell r="AB163">
            <v>1.440016142978795E-2</v>
          </cell>
          <cell r="AC163">
            <v>0.16789858263445501</v>
          </cell>
          <cell r="AD163">
            <v>0.11963320007089062</v>
          </cell>
        </row>
        <row r="164">
          <cell r="A164" t="str">
            <v>Futures trading days</v>
          </cell>
          <cell r="B164" t="str">
            <v>1Q</v>
          </cell>
          <cell r="C164" t="str">
            <v>2Q</v>
          </cell>
          <cell r="D164" t="str">
            <v>3Q</v>
          </cell>
          <cell r="E164">
            <v>64</v>
          </cell>
          <cell r="F164">
            <v>250</v>
          </cell>
          <cell r="H164" t="str">
            <v>Futures trading days</v>
          </cell>
          <cell r="I164">
            <v>64</v>
          </cell>
          <cell r="J164">
            <v>61</v>
          </cell>
          <cell r="K164">
            <v>65</v>
          </cell>
          <cell r="L164">
            <v>64</v>
          </cell>
          <cell r="M164">
            <v>254</v>
          </cell>
          <cell r="O164" t="str">
            <v>Futures trading days</v>
          </cell>
          <cell r="P164">
            <v>61</v>
          </cell>
          <cell r="Q164">
            <v>63</v>
          </cell>
          <cell r="R164">
            <v>65</v>
          </cell>
          <cell r="S164">
            <v>63</v>
          </cell>
          <cell r="T164">
            <v>252</v>
          </cell>
          <cell r="Z164" t="str">
            <v>Futures trading days</v>
          </cell>
          <cell r="AA164">
            <v>64</v>
          </cell>
          <cell r="AB164">
            <v>61</v>
          </cell>
          <cell r="AC164">
            <v>64</v>
          </cell>
          <cell r="AD164">
            <v>63</v>
          </cell>
          <cell r="AE164">
            <v>252</v>
          </cell>
        </row>
        <row r="165">
          <cell r="A165" t="str">
            <v>Futures trading days</v>
          </cell>
          <cell r="B165" t="str">
            <v>2003A</v>
          </cell>
          <cell r="C165" t="str">
            <v>2003A</v>
          </cell>
          <cell r="D165" t="str">
            <v>2003A</v>
          </cell>
          <cell r="E165">
            <v>64</v>
          </cell>
          <cell r="F165">
            <v>250</v>
          </cell>
          <cell r="H165" t="str">
            <v>Futures trading days</v>
          </cell>
          <cell r="I165">
            <v>64</v>
          </cell>
          <cell r="J165">
            <v>61</v>
          </cell>
          <cell r="K165">
            <v>65</v>
          </cell>
          <cell r="L165">
            <v>64</v>
          </cell>
          <cell r="M165">
            <v>254</v>
          </cell>
          <cell r="O165" t="str">
            <v>Futures trading days</v>
          </cell>
          <cell r="P165">
            <v>61</v>
          </cell>
          <cell r="Q165">
            <v>63</v>
          </cell>
          <cell r="R165">
            <v>65</v>
          </cell>
          <cell r="S165">
            <v>63</v>
          </cell>
          <cell r="T165">
            <v>252</v>
          </cell>
          <cell r="Z165" t="str">
            <v>Futures trading days</v>
          </cell>
          <cell r="AA165">
            <v>64</v>
          </cell>
          <cell r="AB165">
            <v>61</v>
          </cell>
          <cell r="AC165">
            <v>64</v>
          </cell>
          <cell r="AD165">
            <v>63</v>
          </cell>
          <cell r="AE165">
            <v>252</v>
          </cell>
        </row>
        <row r="166">
          <cell r="A166" t="str">
            <v>(a) Excludes the impact of the two-month fee rebate program.</v>
          </cell>
          <cell r="H166" t="str">
            <v>(a) Excludes the impact of the two-month fee rebate program.</v>
          </cell>
          <cell r="O166" t="str">
            <v>(a) Excludes the impact of the two-month fee rebate program.</v>
          </cell>
          <cell r="Z166" t="str">
            <v>(a) Excludes the impact of the two-month fee rebate program.</v>
          </cell>
        </row>
        <row r="167">
          <cell r="A167" t="str">
            <v>(a) Excludes the impact of the two-month fee rebate program.</v>
          </cell>
          <cell r="H167" t="str">
            <v>(a) Excludes the impact of the two-month fee rebate program.</v>
          </cell>
          <cell r="O167" t="str">
            <v>(a) Excludes the impact of the two-month fee rebate program.</v>
          </cell>
          <cell r="Z167" t="str">
            <v>(a) Excludes the impact of the two-month fee rebate program.</v>
          </cell>
        </row>
        <row r="168">
          <cell r="A168" t="str">
            <v>A = Actual    E = Morgan Stanley Research Estimate</v>
          </cell>
          <cell r="H168" t="str">
            <v>A = Actual    E = Morgan Stanley Research Estimate</v>
          </cell>
          <cell r="O168" t="str">
            <v>A = Actual    E = Morgan Stanley Research Estimate</v>
          </cell>
          <cell r="Z168" t="str">
            <v>A = Actual    E = Morgan Stanley Research Estimate</v>
          </cell>
        </row>
        <row r="169">
          <cell r="A169" t="str">
            <v>Source: Company data, Morgan Stanley Research</v>
          </cell>
          <cell r="H169" t="str">
            <v>Source: Company data, Morgan Stanley Research</v>
          </cell>
          <cell r="O169" t="str">
            <v>Source: Company data, Morgan Stanley Research</v>
          </cell>
          <cell r="Z169" t="str">
            <v>Source: Company data, Morgan Stanley Research</v>
          </cell>
        </row>
        <row r="170">
          <cell r="A170" t="str">
            <v>Source: Company data, Morgan Stanley Research</v>
          </cell>
          <cell r="H170" t="str">
            <v>Source: Company data, Morgan Stanley Research</v>
          </cell>
          <cell r="O170" t="str">
            <v>Source: Company data, Morgan Stanley Research</v>
          </cell>
          <cell r="Z170" t="str">
            <v>Source: Company data, Morgan Stanley Research</v>
          </cell>
        </row>
        <row r="171">
          <cell r="A171" t="str">
            <v>Revenue Composition</v>
          </cell>
          <cell r="H171" t="str">
            <v>Revenue Composition</v>
          </cell>
          <cell r="O171" t="str">
            <v>Revenue Composition</v>
          </cell>
          <cell r="Z171" t="str">
            <v>Revenue Composition</v>
          </cell>
        </row>
        <row r="172">
          <cell r="A172" t="str">
            <v>Table XX</v>
          </cell>
          <cell r="E172">
            <v>4.6390000000000002</v>
          </cell>
          <cell r="H172" t="str">
            <v>Table XX</v>
          </cell>
          <cell r="I172">
            <v>4.891</v>
          </cell>
          <cell r="J172">
            <v>6.6219999999999999</v>
          </cell>
          <cell r="K172">
            <v>8.6199999999999992</v>
          </cell>
          <cell r="L172">
            <v>8.9130000000000003</v>
          </cell>
          <cell r="M172">
            <v>29.045999999999999</v>
          </cell>
          <cell r="O172" t="str">
            <v>Table XX</v>
          </cell>
          <cell r="P172">
            <v>10.871</v>
          </cell>
          <cell r="Q172">
            <v>13.5421880239396</v>
          </cell>
          <cell r="R172">
            <v>18.963999999999999</v>
          </cell>
          <cell r="S172">
            <v>16.043399999999998</v>
          </cell>
          <cell r="T172">
            <v>59.291647877013467</v>
          </cell>
          <cell r="Z172" t="str">
            <v>Table XX</v>
          </cell>
          <cell r="AA172">
            <v>13.472911475409836</v>
          </cell>
          <cell r="AB172">
            <v>15.73009777655734</v>
          </cell>
          <cell r="AC172">
            <v>19.041041249999999</v>
          </cell>
          <cell r="AD172">
            <v>17.166438000000003</v>
          </cell>
          <cell r="AE172">
            <v>65.426702381311657</v>
          </cell>
        </row>
        <row r="173">
          <cell r="A173" t="str">
            <v>IntercontinentalExchange, Inc.</v>
          </cell>
          <cell r="E173">
            <v>1.26</v>
          </cell>
          <cell r="H173" t="str">
            <v>IntercontinentalExchange, Inc.</v>
          </cell>
          <cell r="I173">
            <v>1.5840000000000001</v>
          </cell>
          <cell r="J173">
            <v>2.242</v>
          </cell>
          <cell r="K173">
            <v>2.8010000000000002</v>
          </cell>
          <cell r="L173">
            <v>2.835</v>
          </cell>
          <cell r="M173">
            <v>9.4619999999999997</v>
          </cell>
          <cell r="O173" t="str">
            <v>IntercontinentalExchange, Inc.</v>
          </cell>
          <cell r="P173">
            <v>3.246</v>
          </cell>
          <cell r="Q173">
            <v>3.5360741139215399</v>
          </cell>
          <cell r="R173">
            <v>4.39757</v>
          </cell>
          <cell r="S173">
            <v>4.3942500000000004</v>
          </cell>
          <cell r="T173">
            <v>15.565219328141183</v>
          </cell>
          <cell r="Z173" t="str">
            <v>IntercontinentalExchange, Inc.</v>
          </cell>
          <cell r="AA173">
            <v>4.8610180327868857</v>
          </cell>
          <cell r="AB173">
            <v>4.8731521382481215</v>
          </cell>
          <cell r="AC173">
            <v>4.7617437656250008</v>
          </cell>
          <cell r="AD173">
            <v>5.7125250000000003</v>
          </cell>
          <cell r="AE173">
            <v>20.22001859365739</v>
          </cell>
        </row>
        <row r="174">
          <cell r="A174" t="str">
            <v>Quarterly Earnings 2003A</v>
          </cell>
          <cell r="E174">
            <v>1.627</v>
          </cell>
          <cell r="H174" t="str">
            <v>Quarterly Earnings 2004A</v>
          </cell>
          <cell r="I174">
            <v>1.3720000000000001</v>
          </cell>
          <cell r="J174">
            <v>0.95399999999999996</v>
          </cell>
          <cell r="K174">
            <v>0.91500000000000004</v>
          </cell>
          <cell r="L174">
            <v>0.75800000000000001</v>
          </cell>
          <cell r="M174">
            <v>3.9990000000000001</v>
          </cell>
          <cell r="O174" t="str">
            <v>Quarterly Earnings 2005E</v>
          </cell>
          <cell r="P174">
            <v>0.436</v>
          </cell>
          <cell r="Q174">
            <v>0.50686070859006804</v>
          </cell>
          <cell r="R174">
            <v>0.64049999999999996</v>
          </cell>
          <cell r="S174">
            <v>0.63672000000000006</v>
          </cell>
          <cell r="T174">
            <v>2.2178817745362456</v>
          </cell>
          <cell r="Z174" t="str">
            <v>Quarterly Earnings 2006E</v>
          </cell>
          <cell r="AA174">
            <v>1.1257377049180328</v>
          </cell>
          <cell r="AB174">
            <v>1.1974584240440358</v>
          </cell>
          <cell r="AC174">
            <v>1.3870828125000001</v>
          </cell>
          <cell r="AD174">
            <v>1.0187520000000001</v>
          </cell>
          <cell r="AE174">
            <v>4.7266312252325084</v>
          </cell>
        </row>
        <row r="175">
          <cell r="A175" t="str">
            <v>Quarterly Earnings 2003A</v>
          </cell>
          <cell r="E175">
            <v>0.435</v>
          </cell>
          <cell r="H175" t="str">
            <v>Quarterly Earnings 2004A</v>
          </cell>
          <cell r="I175">
            <v>0.26</v>
          </cell>
          <cell r="J175">
            <v>0.29099999999999998</v>
          </cell>
          <cell r="K175">
            <v>0.245</v>
          </cell>
          <cell r="L175">
            <v>0.247</v>
          </cell>
          <cell r="M175">
            <v>1.0429999999999999</v>
          </cell>
          <cell r="O175" t="str">
            <v>Quarterly Earnings 2005E</v>
          </cell>
          <cell r="P175">
            <v>0.11600000000000001</v>
          </cell>
          <cell r="Q175">
            <v>1.0817487848337084</v>
          </cell>
          <cell r="R175">
            <v>0.2009</v>
          </cell>
          <cell r="S175">
            <v>0.21736000000000003</v>
          </cell>
          <cell r="T175">
            <v>1.596914274446094</v>
          </cell>
          <cell r="Z175" t="str">
            <v>Quarterly Earnings 2006E</v>
          </cell>
          <cell r="AA175">
            <v>0.10782295081967214</v>
          </cell>
          <cell r="AB175">
            <v>0.95836181406361365</v>
          </cell>
          <cell r="AC175">
            <v>0.1819400625</v>
          </cell>
          <cell r="AD175">
            <v>0.19997120000000002</v>
          </cell>
          <cell r="AE175">
            <v>1.4455621575357587</v>
          </cell>
        </row>
        <row r="176">
          <cell r="A176" t="str">
            <v>($ Millions)</v>
          </cell>
          <cell r="E176">
            <v>7.9609999999999994</v>
          </cell>
          <cell r="H176" t="str">
            <v>($ Millions)</v>
          </cell>
          <cell r="I176">
            <v>8.1069999999999993</v>
          </cell>
          <cell r="J176">
            <v>10.109000000000002</v>
          </cell>
          <cell r="K176">
            <v>12.580999999999998</v>
          </cell>
          <cell r="L176">
            <v>12.753</v>
          </cell>
          <cell r="M176">
            <v>43.55</v>
          </cell>
          <cell r="O176" t="str">
            <v>($ Millions)</v>
          </cell>
          <cell r="P176">
            <v>14.669</v>
          </cell>
          <cell r="Q176">
            <v>18.666871631284916</v>
          </cell>
          <cell r="R176">
            <v>24.202970000000001</v>
          </cell>
          <cell r="S176">
            <v>21.291729999999998</v>
          </cell>
          <cell r="T176">
            <v>78.671663254136988</v>
          </cell>
          <cell r="Z176" t="str">
            <v>($ Millions)</v>
          </cell>
          <cell r="AA176">
            <v>19.567490163934423</v>
          </cell>
          <cell r="AB176">
            <v>22.759070152913111</v>
          </cell>
          <cell r="AC176">
            <v>25.371807890625</v>
          </cell>
          <cell r="AD176">
            <v>24.097686199999998</v>
          </cell>
          <cell r="AE176">
            <v>91.796054407472525</v>
          </cell>
        </row>
        <row r="177">
          <cell r="A177" t="str">
            <v>($ Millions)</v>
          </cell>
          <cell r="B177" t="str">
            <v>1Q</v>
          </cell>
          <cell r="C177" t="str">
            <v>2Q</v>
          </cell>
          <cell r="D177" t="str">
            <v>3Q</v>
          </cell>
          <cell r="E177" t="str">
            <v>4Q</v>
          </cell>
          <cell r="F177" t="str">
            <v>Full Year</v>
          </cell>
          <cell r="H177" t="str">
            <v>($ Millions)</v>
          </cell>
          <cell r="I177" t="str">
            <v>1Q</v>
          </cell>
          <cell r="J177" t="str">
            <v>2Q</v>
          </cell>
          <cell r="K177" t="str">
            <v>3Q</v>
          </cell>
          <cell r="L177" t="str">
            <v>4Q</v>
          </cell>
          <cell r="M177" t="str">
            <v>Full Year</v>
          </cell>
          <cell r="O177" t="str">
            <v>($ Millions)</v>
          </cell>
          <cell r="P177" t="str">
            <v>1Q</v>
          </cell>
          <cell r="Q177" t="str">
            <v>2Q</v>
          </cell>
          <cell r="R177" t="str">
            <v>3Q</v>
          </cell>
          <cell r="S177" t="str">
            <v>4Q</v>
          </cell>
          <cell r="T177" t="str">
            <v>Full Yr.</v>
          </cell>
          <cell r="Z177" t="str">
            <v>($ Millions)</v>
          </cell>
          <cell r="AA177" t="str">
            <v>1Q</v>
          </cell>
          <cell r="AB177" t="str">
            <v>2Q</v>
          </cell>
          <cell r="AC177" t="str">
            <v>3Q</v>
          </cell>
          <cell r="AD177" t="str">
            <v>4Q</v>
          </cell>
          <cell r="AE177" t="str">
            <v>Full Yr.</v>
          </cell>
        </row>
        <row r="178">
          <cell r="A178" t="str">
            <v>Electronic trade confirmation services</v>
          </cell>
          <cell r="B178" t="str">
            <v>2003A</v>
          </cell>
          <cell r="C178" t="str">
            <v>2003A</v>
          </cell>
          <cell r="D178" t="str">
            <v>2003A</v>
          </cell>
          <cell r="E178" t="str">
            <v>2003A</v>
          </cell>
          <cell r="F178" t="str">
            <v>2003A</v>
          </cell>
          <cell r="H178" t="str">
            <v>Electronic trade confirmation services</v>
          </cell>
          <cell r="I178" t="str">
            <v>2004A</v>
          </cell>
          <cell r="J178" t="str">
            <v>2004A</v>
          </cell>
          <cell r="K178" t="str">
            <v>2004A</v>
          </cell>
          <cell r="L178" t="str">
            <v>2004A</v>
          </cell>
          <cell r="M178" t="str">
            <v>2004A</v>
          </cell>
          <cell r="O178" t="str">
            <v>Electronic trade confirmation services</v>
          </cell>
          <cell r="P178" t="str">
            <v>2005A</v>
          </cell>
          <cell r="Q178" t="str">
            <v>2005A</v>
          </cell>
          <cell r="R178" t="str">
            <v>2005A</v>
          </cell>
          <cell r="S178" t="str">
            <v>2005E</v>
          </cell>
          <cell r="T178" t="str">
            <v>2005E</v>
          </cell>
          <cell r="Z178" t="str">
            <v>Electronic trade confirmation services</v>
          </cell>
          <cell r="AA178" t="str">
            <v>2006E</v>
          </cell>
          <cell r="AB178" t="str">
            <v>2006E</v>
          </cell>
          <cell r="AC178" t="str">
            <v>2006E</v>
          </cell>
          <cell r="AD178" t="str">
            <v>2006E</v>
          </cell>
          <cell r="AE178" t="str">
            <v>2006E</v>
          </cell>
        </row>
        <row r="179">
          <cell r="A179" t="str">
            <v>Sequential growth rate</v>
          </cell>
          <cell r="B179" t="str">
            <v>2003A</v>
          </cell>
          <cell r="C179" t="str">
            <v>2003A</v>
          </cell>
          <cell r="D179" t="str">
            <v>2003A</v>
          </cell>
          <cell r="E179" t="str">
            <v>2003A</v>
          </cell>
          <cell r="F179" t="str">
            <v>2003A</v>
          </cell>
          <cell r="H179" t="str">
            <v>Sequential growth rate</v>
          </cell>
          <cell r="I179" t="str">
            <v>2004A</v>
          </cell>
          <cell r="J179" t="str">
            <v>2004A</v>
          </cell>
          <cell r="K179" t="str">
            <v>2004A</v>
          </cell>
          <cell r="L179" t="str">
            <v>2004A</v>
          </cell>
          <cell r="M179" t="str">
            <v>2004A</v>
          </cell>
          <cell r="O179" t="str">
            <v>Sequential growth rate</v>
          </cell>
          <cell r="P179" t="str">
            <v>2005A</v>
          </cell>
          <cell r="Q179" t="str">
            <v>2005A</v>
          </cell>
          <cell r="R179" t="str">
            <v>2005A</v>
          </cell>
          <cell r="S179" t="str">
            <v>2005E</v>
          </cell>
          <cell r="T179" t="str">
            <v>2005E</v>
          </cell>
          <cell r="Z179" t="str">
            <v>Sequential growth rate</v>
          </cell>
          <cell r="AA179" t="str">
            <v>2006E</v>
          </cell>
          <cell r="AB179" t="str">
            <v>2006E</v>
          </cell>
          <cell r="AC179" t="str">
            <v>2006E</v>
          </cell>
          <cell r="AD179" t="str">
            <v>2006E</v>
          </cell>
          <cell r="AE179" t="str">
            <v>2006E</v>
          </cell>
        </row>
        <row r="180">
          <cell r="A180" t="str">
            <v>KEY DRIVERS</v>
          </cell>
          <cell r="E180">
            <v>0.23799999999999999</v>
          </cell>
          <cell r="H180" t="str">
            <v>KEY DRIVERS</v>
          </cell>
          <cell r="I180">
            <v>0.26800000000000002</v>
          </cell>
          <cell r="J180">
            <v>0.26300000000000001</v>
          </cell>
          <cell r="K180">
            <v>0.26500000000000001</v>
          </cell>
          <cell r="L180">
            <v>0.27200000000000002</v>
          </cell>
          <cell r="M180">
            <v>1.0680000000000001</v>
          </cell>
          <cell r="O180" t="str">
            <v>KEY DRIVERS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Z180" t="str">
            <v>KEY DRIVERS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</row>
        <row r="181">
          <cell r="A181" t="str">
            <v>TRANSACTION FEES (Continued)</v>
          </cell>
          <cell r="E181">
            <v>8.2759999999999998</v>
          </cell>
          <cell r="H181" t="str">
            <v>TRANSACTION FEES (Continued)</v>
          </cell>
          <cell r="I181">
            <v>8.4949999999999992</v>
          </cell>
          <cell r="J181">
            <v>10.538000000000002</v>
          </cell>
          <cell r="K181">
            <v>13.084999999999999</v>
          </cell>
          <cell r="L181">
            <v>13.289</v>
          </cell>
          <cell r="M181">
            <v>45.406999999999996</v>
          </cell>
          <cell r="O181" t="str">
            <v>TRANSACTION FEES (Continued)</v>
          </cell>
          <cell r="P181">
            <v>15.027000000000001</v>
          </cell>
          <cell r="Q181">
            <v>19.164536999999999</v>
          </cell>
          <cell r="R181">
            <v>24.616927</v>
          </cell>
          <cell r="S181">
            <v>21.722882218474997</v>
          </cell>
          <cell r="T181">
            <v>80.268220327611985</v>
          </cell>
          <cell r="Z181" t="str">
            <v>TRANSACTION FEES (Continued)</v>
          </cell>
          <cell r="AA181">
            <v>20.030978798795047</v>
          </cell>
          <cell r="AB181">
            <v>23.257320435388284</v>
          </cell>
          <cell r="AC181">
            <v>25.90742694428581</v>
          </cell>
          <cell r="AD181">
            <v>24.673476682685369</v>
          </cell>
          <cell r="AE181">
            <v>93.869202861154506</v>
          </cell>
        </row>
        <row r="182">
          <cell r="A182" t="str">
            <v>TRANSACTION FEES (Continued)</v>
          </cell>
          <cell r="H182" t="str">
            <v>TRANSACTION FEES (Continued)</v>
          </cell>
          <cell r="O182" t="str">
            <v>TRANSACTION FEES (Continued)</v>
          </cell>
          <cell r="Z182" t="str">
            <v>TRANSACTION FEES (Continued)</v>
          </cell>
        </row>
        <row r="183">
          <cell r="A183" t="str">
            <v>OTC</v>
          </cell>
          <cell r="H183" t="str">
            <v>OTC</v>
          </cell>
          <cell r="O183" t="str">
            <v>OTC</v>
          </cell>
          <cell r="Z183" t="str">
            <v>OTC</v>
          </cell>
        </row>
        <row r="184">
          <cell r="A184" t="str">
            <v>Revenue Composition</v>
          </cell>
          <cell r="H184" t="str">
            <v>Revenue Composition</v>
          </cell>
          <cell r="O184" t="str">
            <v>Revenue Composition</v>
          </cell>
          <cell r="Z184" t="str">
            <v>Revenue Composition</v>
          </cell>
        </row>
        <row r="185">
          <cell r="A185" t="str">
            <v>North American natural gas</v>
          </cell>
          <cell r="E185">
            <v>4.6390000000000002</v>
          </cell>
          <cell r="H185" t="str">
            <v>North American natural gas</v>
          </cell>
          <cell r="I185">
            <v>4.891</v>
          </cell>
          <cell r="J185">
            <v>6.6219999999999999</v>
          </cell>
          <cell r="K185">
            <v>8.6199999999999992</v>
          </cell>
          <cell r="L185">
            <v>8.9130000000000003</v>
          </cell>
          <cell r="M185">
            <v>29.045999999999999</v>
          </cell>
          <cell r="O185" t="str">
            <v>North American natural gas</v>
          </cell>
          <cell r="P185">
            <v>10.871</v>
          </cell>
          <cell r="Q185">
            <v>13.5421880239396</v>
          </cell>
          <cell r="R185">
            <v>18.963999999999999</v>
          </cell>
          <cell r="S185">
            <v>16.043399999999998</v>
          </cell>
          <cell r="T185">
            <v>59.291647877013467</v>
          </cell>
          <cell r="Z185" t="str">
            <v>North American natural gas</v>
          </cell>
          <cell r="AA185">
            <v>13.472911475409836</v>
          </cell>
          <cell r="AB185">
            <v>15.73009777655734</v>
          </cell>
          <cell r="AC185">
            <v>19.041041249999999</v>
          </cell>
          <cell r="AD185">
            <v>17.166438000000003</v>
          </cell>
          <cell r="AE185">
            <v>65.426702381311657</v>
          </cell>
        </row>
        <row r="186">
          <cell r="A186" t="str">
            <v>North American power</v>
          </cell>
          <cell r="E186">
            <v>1.26</v>
          </cell>
          <cell r="H186" t="str">
            <v>North American power</v>
          </cell>
          <cell r="I186">
            <v>1.5840000000000001</v>
          </cell>
          <cell r="J186">
            <v>2.242</v>
          </cell>
          <cell r="K186">
            <v>2.8010000000000002</v>
          </cell>
          <cell r="L186">
            <v>2.835</v>
          </cell>
          <cell r="M186">
            <v>9.4619999999999997</v>
          </cell>
          <cell r="O186" t="str">
            <v>North American power</v>
          </cell>
          <cell r="P186">
            <v>3.246</v>
          </cell>
          <cell r="Q186">
            <v>3.5360741139215399</v>
          </cell>
          <cell r="R186">
            <v>4.39757</v>
          </cell>
          <cell r="S186">
            <v>4.3942500000000004</v>
          </cell>
          <cell r="T186">
            <v>15.565219328141183</v>
          </cell>
          <cell r="Z186" t="str">
            <v>North American power</v>
          </cell>
          <cell r="AA186">
            <v>4.8610180327868857</v>
          </cell>
          <cell r="AB186">
            <v>4.8731521382481215</v>
          </cell>
          <cell r="AC186">
            <v>4.7617437656250008</v>
          </cell>
          <cell r="AD186">
            <v>5.7125250000000003</v>
          </cell>
          <cell r="AE186">
            <v>20.22001859365739</v>
          </cell>
        </row>
        <row r="187">
          <cell r="A187" t="str">
            <v>Global oil</v>
          </cell>
          <cell r="E187">
            <v>1.627</v>
          </cell>
          <cell r="H187" t="str">
            <v>Global oil</v>
          </cell>
          <cell r="I187">
            <v>1.3720000000000001</v>
          </cell>
          <cell r="J187">
            <v>0.95399999999999996</v>
          </cell>
          <cell r="K187">
            <v>0.91500000000000004</v>
          </cell>
          <cell r="L187">
            <v>0.75800000000000001</v>
          </cell>
          <cell r="M187">
            <v>3.9990000000000001</v>
          </cell>
          <cell r="O187" t="str">
            <v>Global oil</v>
          </cell>
          <cell r="P187">
            <v>0.436</v>
          </cell>
          <cell r="Q187">
            <v>0.50686070859006804</v>
          </cell>
          <cell r="R187">
            <v>0.64049999999999996</v>
          </cell>
          <cell r="S187">
            <v>0.63672000000000006</v>
          </cell>
          <cell r="T187">
            <v>2.2178817745362456</v>
          </cell>
          <cell r="Z187" t="str">
            <v>Global oil</v>
          </cell>
          <cell r="AA187">
            <v>1.1257377049180328</v>
          </cell>
          <cell r="AB187">
            <v>1.1974584240440358</v>
          </cell>
          <cell r="AC187">
            <v>1.3870828125000001</v>
          </cell>
          <cell r="AD187">
            <v>1.0187520000000001</v>
          </cell>
          <cell r="AE187">
            <v>4.7266312252325084</v>
          </cell>
        </row>
        <row r="188">
          <cell r="A188" t="str">
            <v>Other commodities markets</v>
          </cell>
          <cell r="E188">
            <v>0.435</v>
          </cell>
          <cell r="H188" t="str">
            <v>Other commodities markets</v>
          </cell>
          <cell r="I188">
            <v>0.26</v>
          </cell>
          <cell r="J188">
            <v>0.29099999999999998</v>
          </cell>
          <cell r="K188">
            <v>0.245</v>
          </cell>
          <cell r="L188">
            <v>0.247</v>
          </cell>
          <cell r="M188">
            <v>1.0429999999999999</v>
          </cell>
          <cell r="O188" t="str">
            <v>Other commodities markets</v>
          </cell>
          <cell r="P188">
            <v>0.11600000000000001</v>
          </cell>
          <cell r="Q188">
            <v>1.0817487848337084</v>
          </cell>
          <cell r="R188">
            <v>0.2009</v>
          </cell>
          <cell r="S188">
            <v>0.21736000000000003</v>
          </cell>
          <cell r="T188">
            <v>1.596914274446094</v>
          </cell>
          <cell r="Z188" t="str">
            <v>Other commodities markets</v>
          </cell>
          <cell r="AA188">
            <v>0.10782295081967214</v>
          </cell>
          <cell r="AB188">
            <v>0.95836181406361365</v>
          </cell>
          <cell r="AC188">
            <v>0.1819400625</v>
          </cell>
          <cell r="AD188">
            <v>0.19997120000000002</v>
          </cell>
          <cell r="AE188">
            <v>1.4455621575357587</v>
          </cell>
        </row>
        <row r="189">
          <cell r="A189" t="str">
            <v>Total OTC Trading Fee Revenues</v>
          </cell>
          <cell r="E189">
            <v>7.9609999999999994</v>
          </cell>
          <cell r="H189" t="str">
            <v>Total OTC Trading Fee Revenues</v>
          </cell>
          <cell r="I189">
            <v>8.1069999999999993</v>
          </cell>
          <cell r="J189">
            <v>10.109000000000002</v>
          </cell>
          <cell r="K189">
            <v>12.580999999999998</v>
          </cell>
          <cell r="L189">
            <v>12.753</v>
          </cell>
          <cell r="M189">
            <v>43.55</v>
          </cell>
          <cell r="O189" t="str">
            <v>Total OTC Trading Fee Revenues</v>
          </cell>
          <cell r="P189">
            <v>14.669</v>
          </cell>
          <cell r="Q189">
            <v>18.666871631284916</v>
          </cell>
          <cell r="R189">
            <v>24.202970000000001</v>
          </cell>
          <cell r="S189">
            <v>21.291729999999998</v>
          </cell>
          <cell r="T189">
            <v>78.671663254136988</v>
          </cell>
          <cell r="Z189" t="str">
            <v>Total OTC Trading Fee Revenues</v>
          </cell>
          <cell r="AA189">
            <v>19.567490163934423</v>
          </cell>
          <cell r="AB189">
            <v>22.759070152913111</v>
          </cell>
          <cell r="AC189">
            <v>25.371807890625</v>
          </cell>
          <cell r="AD189">
            <v>24.097686199999998</v>
          </cell>
          <cell r="AE189">
            <v>91.796054407472525</v>
          </cell>
        </row>
        <row r="190">
          <cell r="A190" t="str">
            <v>Total OTC Trading Fee Revenues</v>
          </cell>
          <cell r="E190">
            <v>7.9609999999999994</v>
          </cell>
          <cell r="H190" t="str">
            <v>Total OTC Trading Fee Revenues</v>
          </cell>
          <cell r="I190">
            <v>8.1069999999999993</v>
          </cell>
          <cell r="J190">
            <v>10.109000000000002</v>
          </cell>
          <cell r="K190">
            <v>12.580999999999998</v>
          </cell>
          <cell r="L190">
            <v>12.753</v>
          </cell>
          <cell r="M190">
            <v>43.55</v>
          </cell>
          <cell r="O190" t="str">
            <v>Total OTC Trading Fee Revenues</v>
          </cell>
          <cell r="P190">
            <v>14.669</v>
          </cell>
          <cell r="Q190">
            <v>18.666871631284916</v>
          </cell>
          <cell r="R190">
            <v>24.202970000000001</v>
          </cell>
          <cell r="S190">
            <v>21.291729999999998</v>
          </cell>
          <cell r="T190">
            <v>78.671663254136988</v>
          </cell>
          <cell r="Z190" t="str">
            <v>Total OTC Trading Fee Revenues</v>
          </cell>
          <cell r="AA190">
            <v>19.567490163934423</v>
          </cell>
          <cell r="AB190">
            <v>22.759070152913111</v>
          </cell>
          <cell r="AC190">
            <v>25.371807890625</v>
          </cell>
          <cell r="AD190">
            <v>24.097686199999998</v>
          </cell>
          <cell r="AE190">
            <v>91.796054407472525</v>
          </cell>
        </row>
        <row r="191">
          <cell r="A191" t="str">
            <v>Electronic trade confirmation services</v>
          </cell>
          <cell r="E191">
            <v>7.6999999999999999E-2</v>
          </cell>
          <cell r="H191" t="str">
            <v>Electronic trade confirmation services</v>
          </cell>
          <cell r="I191">
            <v>0.12</v>
          </cell>
          <cell r="J191">
            <v>0.16600000000000001</v>
          </cell>
          <cell r="K191">
            <v>0.23899999999999999</v>
          </cell>
          <cell r="L191">
            <v>0.26400000000000001</v>
          </cell>
          <cell r="M191">
            <v>0.78900000000000003</v>
          </cell>
          <cell r="O191" t="str">
            <v>Electronic trade confirmation services</v>
          </cell>
          <cell r="P191">
            <v>0.35799999999999998</v>
          </cell>
          <cell r="Q191">
            <v>0.39481899999999998</v>
          </cell>
          <cell r="R191">
            <v>0.41258585499999995</v>
          </cell>
          <cell r="S191">
            <v>0.4311522184749999</v>
          </cell>
          <cell r="T191">
            <v>1.5965570734749996</v>
          </cell>
          <cell r="Z191" t="str">
            <v>Electronic trade confirmation services</v>
          </cell>
          <cell r="AA191">
            <v>0.46348863486062486</v>
          </cell>
          <cell r="AB191">
            <v>0.49825028247517172</v>
          </cell>
          <cell r="AC191">
            <v>0.53561905366080953</v>
          </cell>
          <cell r="AD191">
            <v>0.57579048268537025</v>
          </cell>
          <cell r="AE191">
            <v>2.0731484536819766</v>
          </cell>
        </row>
        <row r="192">
          <cell r="A192" t="str">
            <v>Sequential growth rate</v>
          </cell>
          <cell r="E192">
            <v>7.6999999999999999E-2</v>
          </cell>
          <cell r="H192" t="str">
            <v>Sequential growth rate</v>
          </cell>
          <cell r="I192">
            <v>0.55844155844155829</v>
          </cell>
          <cell r="J192">
            <v>0.38333333333333353</v>
          </cell>
          <cell r="K192">
            <v>0.43975903614457823</v>
          </cell>
          <cell r="L192">
            <v>0.10460251046025104</v>
          </cell>
          <cell r="M192">
            <v>1.9886363636363638</v>
          </cell>
          <cell r="O192" t="str">
            <v>Sequential growth rate</v>
          </cell>
          <cell r="P192">
            <v>0.35606060606060597</v>
          </cell>
          <cell r="Q192">
            <v>0.10284636871508379</v>
          </cell>
          <cell r="R192">
            <v>4.4999999999999998E-2</v>
          </cell>
          <cell r="S192">
            <v>4.4999999999999998E-2</v>
          </cell>
          <cell r="T192">
            <v>1.5965570734749996</v>
          </cell>
          <cell r="Z192" t="str">
            <v>Sequential growth rate</v>
          </cell>
          <cell r="AA192">
            <v>7.4999999999999997E-2</v>
          </cell>
          <cell r="AB192">
            <v>7.4999999999999997E-2</v>
          </cell>
          <cell r="AC192">
            <v>7.4999999999999997E-2</v>
          </cell>
          <cell r="AD192">
            <v>7.4999999999999997E-2</v>
          </cell>
          <cell r="AE192">
            <v>2.0731484536819766</v>
          </cell>
        </row>
        <row r="193">
          <cell r="A193" t="str">
            <v>Order flow agreements shortfall payments</v>
          </cell>
          <cell r="E193">
            <v>0.23799999999999999</v>
          </cell>
          <cell r="H193" t="str">
            <v>Order flow agreements shortfall payments</v>
          </cell>
          <cell r="I193">
            <v>0.26800000000000002</v>
          </cell>
          <cell r="J193">
            <v>0.26300000000000001</v>
          </cell>
          <cell r="K193">
            <v>0.26500000000000001</v>
          </cell>
          <cell r="L193">
            <v>0.27200000000000002</v>
          </cell>
          <cell r="M193">
            <v>1.0680000000000001</v>
          </cell>
          <cell r="O193" t="str">
            <v>Order flow agreements shortfall payments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Z193" t="str">
            <v>Order flow agreements shortfall payments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</row>
        <row r="194">
          <cell r="A194" t="str">
            <v>Total OTC</v>
          </cell>
          <cell r="E194">
            <v>8.2759999999999998</v>
          </cell>
          <cell r="H194" t="str">
            <v>Total OTC</v>
          </cell>
          <cell r="I194">
            <v>8.4949999999999992</v>
          </cell>
          <cell r="J194">
            <v>10.538000000000002</v>
          </cell>
          <cell r="K194">
            <v>13.084999999999999</v>
          </cell>
          <cell r="L194">
            <v>13.289</v>
          </cell>
          <cell r="M194">
            <v>45.406999999999996</v>
          </cell>
          <cell r="O194" t="str">
            <v>Total OTC</v>
          </cell>
          <cell r="P194">
            <v>15.027000000000001</v>
          </cell>
          <cell r="Q194">
            <v>19.164536999999999</v>
          </cell>
          <cell r="R194">
            <v>24.616927</v>
          </cell>
          <cell r="S194">
            <v>21.722882218474997</v>
          </cell>
          <cell r="T194">
            <v>80.268220327611985</v>
          </cell>
          <cell r="Z194" t="str">
            <v>Total OTC</v>
          </cell>
          <cell r="AA194">
            <v>20.030978798795047</v>
          </cell>
          <cell r="AB194">
            <v>23.257320435388284</v>
          </cell>
          <cell r="AC194">
            <v>25.90742694428581</v>
          </cell>
          <cell r="AD194">
            <v>24.673476682685369</v>
          </cell>
          <cell r="AE194">
            <v>93.869202861154506</v>
          </cell>
        </row>
        <row r="195">
          <cell r="A195" t="str">
            <v>Total OTC</v>
          </cell>
          <cell r="E195">
            <v>8.2759999999999998</v>
          </cell>
          <cell r="H195" t="str">
            <v>Total OTC</v>
          </cell>
          <cell r="I195">
            <v>8.4949999999999992</v>
          </cell>
          <cell r="J195">
            <v>10.538000000000002</v>
          </cell>
          <cell r="K195">
            <v>13.084999999999999</v>
          </cell>
          <cell r="L195">
            <v>13.289</v>
          </cell>
          <cell r="M195">
            <v>45.406999999999996</v>
          </cell>
          <cell r="O195" t="str">
            <v>Total OTC</v>
          </cell>
          <cell r="P195">
            <v>15.027000000000001</v>
          </cell>
          <cell r="Q195">
            <v>19.164536999999999</v>
          </cell>
          <cell r="R195">
            <v>24.616927</v>
          </cell>
          <cell r="S195">
            <v>21.722882218474997</v>
          </cell>
          <cell r="T195">
            <v>80.268220327611985</v>
          </cell>
          <cell r="Z195" t="str">
            <v>Total OTC</v>
          </cell>
          <cell r="AA195">
            <v>20.030978798795047</v>
          </cell>
          <cell r="AB195">
            <v>23.257320435388284</v>
          </cell>
          <cell r="AC195">
            <v>25.90742694428581</v>
          </cell>
          <cell r="AD195">
            <v>24.673476682685369</v>
          </cell>
          <cell r="AE195">
            <v>93.869202861154506</v>
          </cell>
        </row>
        <row r="196">
          <cell r="A196" t="str">
            <v>Trading Data</v>
          </cell>
          <cell r="H196" t="str">
            <v>Trading Data</v>
          </cell>
          <cell r="L196">
            <v>1.286290322580645</v>
          </cell>
          <cell r="O196" t="str">
            <v>Trading Data</v>
          </cell>
          <cell r="P196">
            <v>1.0828365623447591</v>
          </cell>
          <cell r="Q196">
            <v>0.55255261190522553</v>
          </cell>
          <cell r="R196">
            <v>0.56999999999999995</v>
          </cell>
          <cell r="S196">
            <v>0.55000000000000004</v>
          </cell>
          <cell r="T196">
            <v>0.64679045719437234</v>
          </cell>
          <cell r="Z196" t="str">
            <v>Trading Data</v>
          </cell>
          <cell r="AA196">
            <v>0.45</v>
          </cell>
          <cell r="AB196">
            <v>0.4</v>
          </cell>
          <cell r="AC196">
            <v>0.1</v>
          </cell>
          <cell r="AD196">
            <v>0.3</v>
          </cell>
          <cell r="AE196">
            <v>0.29905131224849169</v>
          </cell>
        </row>
        <row r="197">
          <cell r="A197" t="str">
            <v>Total OTC</v>
          </cell>
          <cell r="H197" t="str">
            <v>Total OTC</v>
          </cell>
          <cell r="I197">
            <v>0.27741935483870961</v>
          </cell>
          <cell r="J197">
            <v>0.39293730960397633</v>
          </cell>
          <cell r="K197">
            <v>0.22981015834076701</v>
          </cell>
          <cell r="L197">
            <v>4.4788151696974587E-2</v>
          </cell>
          <cell r="O197" t="str">
            <v>Total OTC</v>
          </cell>
          <cell r="P197">
            <v>0.1637436030878654</v>
          </cell>
          <cell r="Q197">
            <v>3.8299642585171823E-2</v>
          </cell>
          <cell r="R197">
            <v>0.24363060793515245</v>
          </cell>
          <cell r="S197">
            <v>3.1478748490643804E-2</v>
          </cell>
          <cell r="Z197" t="str">
            <v>Total OTC</v>
          </cell>
          <cell r="AA197">
            <v>8.8663370630583715E-2</v>
          </cell>
          <cell r="AB197">
            <v>2.4962066339588862E-3</v>
          </cell>
          <cell r="AC197">
            <v>-2.2861665193808611E-2</v>
          </cell>
          <cell r="AD197">
            <v>0.21902033912530627</v>
          </cell>
        </row>
        <row r="198">
          <cell r="A198" t="str">
            <v>Average daily trading fee revenue ($ Thous.)</v>
          </cell>
          <cell r="E198">
            <v>126.36507936507937</v>
          </cell>
          <cell r="H198" t="str">
            <v>Average daily trading fee revenue ($ Thous.)</v>
          </cell>
          <cell r="I198">
            <v>130.75806451612902</v>
          </cell>
          <cell r="J198">
            <v>160.46031746031747</v>
          </cell>
          <cell r="K198">
            <v>196.578125</v>
          </cell>
          <cell r="L198">
            <v>205.69354838709674</v>
          </cell>
          <cell r="M198">
            <v>173.3725138408858</v>
          </cell>
          <cell r="O198" t="str">
            <v>Average daily trading fee revenue ($ Thous.)</v>
          </cell>
          <cell r="P198">
            <v>240.47540983606558</v>
          </cell>
          <cell r="Q198">
            <v>291.66986923882683</v>
          </cell>
          <cell r="R198">
            <v>378.17140625000002</v>
          </cell>
          <cell r="S198">
            <v>343.41499999999996</v>
          </cell>
          <cell r="T198">
            <v>313.4329213312231</v>
          </cell>
          <cell r="Z198" t="str">
            <v>Average daily trading fee revenue ($ Thous.)</v>
          </cell>
          <cell r="AA198">
            <v>310.5950819672131</v>
          </cell>
          <cell r="AB198">
            <v>361.2550817922716</v>
          </cell>
          <cell r="AC198">
            <v>402.727109375</v>
          </cell>
          <cell r="AD198">
            <v>388.67235806451612</v>
          </cell>
          <cell r="AE198">
            <v>365.81240779975019</v>
          </cell>
        </row>
        <row r="199">
          <cell r="A199" t="str">
            <v xml:space="preserve">Change Yr./Yr. </v>
          </cell>
          <cell r="E199">
            <v>126.36507936507937</v>
          </cell>
          <cell r="H199" t="str">
            <v xml:space="preserve">Change Yr./Yr. </v>
          </cell>
          <cell r="I199">
            <v>130.75806451612902</v>
          </cell>
          <cell r="J199">
            <v>160.46031746031747</v>
          </cell>
          <cell r="K199">
            <v>196.578125</v>
          </cell>
          <cell r="L199">
            <v>0.62777208245033211</v>
          </cell>
          <cell r="M199">
            <v>173.3725138408858</v>
          </cell>
          <cell r="O199" t="str">
            <v xml:space="preserve">Change Yr./Yr. </v>
          </cell>
          <cell r="P199">
            <v>0.83908664238757447</v>
          </cell>
          <cell r="Q199">
            <v>0.81770716807261734</v>
          </cell>
          <cell r="R199">
            <v>0.92377156028932528</v>
          </cell>
          <cell r="S199">
            <v>0.66954677330824119</v>
          </cell>
          <cell r="T199">
            <v>0.80785820305333411</v>
          </cell>
          <cell r="Z199" t="str">
            <v xml:space="preserve">Change Yr./Yr. </v>
          </cell>
          <cell r="AA199">
            <v>0.29158770195650674</v>
          </cell>
          <cell r="AB199">
            <v>0.23857525199651874</v>
          </cell>
          <cell r="AC199">
            <v>6.4932733462050196E-2</v>
          </cell>
          <cell r="AD199">
            <v>0.13178620055768131</v>
          </cell>
          <cell r="AE199">
            <v>0.16711545885498924</v>
          </cell>
        </row>
        <row r="200">
          <cell r="A200" t="str">
            <v>Sequential change</v>
          </cell>
          <cell r="E200">
            <v>25.825396825396826</v>
          </cell>
          <cell r="H200" t="str">
            <v>Sequential change</v>
          </cell>
          <cell r="I200">
            <v>3.4764233703822089E-2</v>
          </cell>
          <cell r="J200">
            <v>0.22715427193039139</v>
          </cell>
          <cell r="K200">
            <v>0.22508872044712636</v>
          </cell>
          <cell r="L200">
            <v>4.6370486986264225E-2</v>
          </cell>
          <cell r="M200">
            <v>15.948642713133641</v>
          </cell>
          <cell r="O200" t="str">
            <v>Sequential change</v>
          </cell>
          <cell r="P200">
            <v>0.1690955390759874</v>
          </cell>
          <cell r="Q200">
            <v>0.21288854206615548</v>
          </cell>
          <cell r="R200">
            <v>0.29657344187425649</v>
          </cell>
          <cell r="S200">
            <v>-9.1906489162280613E-2</v>
          </cell>
          <cell r="T200">
            <v>0.80785820305333411</v>
          </cell>
          <cell r="Z200" t="str">
            <v>Sequential change</v>
          </cell>
          <cell r="AA200">
            <v>-9.5569261775947045E-2</v>
          </cell>
          <cell r="AB200">
            <v>0.16310625237268317</v>
          </cell>
          <cell r="AC200">
            <v>0.11479984551906064</v>
          </cell>
          <cell r="AD200">
            <v>-3.4898945174800189E-2</v>
          </cell>
          <cell r="AE200">
            <v>0.16711545885498924</v>
          </cell>
        </row>
        <row r="201">
          <cell r="A201" t="str">
            <v>Sequential change</v>
          </cell>
          <cell r="H201" t="str">
            <v>Sequential change</v>
          </cell>
          <cell r="I201">
            <v>3.4764233703822089E-2</v>
          </cell>
          <cell r="J201">
            <v>0.22715427193039139</v>
          </cell>
          <cell r="K201">
            <v>0.22508872044712636</v>
          </cell>
          <cell r="L201">
            <v>4.6370486986264225E-2</v>
          </cell>
          <cell r="O201" t="str">
            <v>Sequential change</v>
          </cell>
          <cell r="P201">
            <v>0.1690955390759874</v>
          </cell>
          <cell r="Q201">
            <v>0.21288854206615548</v>
          </cell>
          <cell r="R201">
            <v>0.29657344187425649</v>
          </cell>
          <cell r="S201">
            <v>-9.1906489162280613E-2</v>
          </cell>
          <cell r="T201">
            <v>-0.44596022823975212</v>
          </cell>
          <cell r="Z201" t="str">
            <v>Sequential change</v>
          </cell>
          <cell r="AA201">
            <v>-9.5569261775947045E-2</v>
          </cell>
          <cell r="AB201">
            <v>0.16310625237268317</v>
          </cell>
          <cell r="AC201">
            <v>0.11479984551906064</v>
          </cell>
          <cell r="AD201">
            <v>-3.4898945174800189E-2</v>
          </cell>
          <cell r="AE201">
            <v>1.1311466100220047</v>
          </cell>
        </row>
        <row r="202">
          <cell r="A202" t="str">
            <v>North American natural gas</v>
          </cell>
          <cell r="H202" t="str">
            <v>North American natural gas</v>
          </cell>
          <cell r="I202">
            <v>-0.14312905208477911</v>
          </cell>
          <cell r="J202">
            <v>-0.31570179092044981</v>
          </cell>
          <cell r="K202">
            <v>-5.5866745283018826E-2</v>
          </cell>
          <cell r="L202">
            <v>-0.14486162524237611</v>
          </cell>
          <cell r="O202" t="str">
            <v>North American natural gas</v>
          </cell>
          <cell r="P202">
            <v>-0.41537263722479345</v>
          </cell>
          <cell r="Q202">
            <v>0.10803122219015737</v>
          </cell>
          <cell r="R202">
            <v>0.26366078321927078</v>
          </cell>
          <cell r="S202">
            <v>2.6166049709148487E-2</v>
          </cell>
          <cell r="Z202" t="str">
            <v>North American natural gas</v>
          </cell>
          <cell r="AA202">
            <v>0.73996238921192448</v>
          </cell>
          <cell r="AB202">
            <v>6.3709973302551015E-2</v>
          </cell>
          <cell r="AC202">
            <v>0.15835571795099845</v>
          </cell>
          <cell r="AD202">
            <v>-0.25369741839334647</v>
          </cell>
        </row>
        <row r="203">
          <cell r="A203" t="str">
            <v>Average daily trading fee revenue ($ Thous.)</v>
          </cell>
          <cell r="E203">
            <v>73.634920634920633</v>
          </cell>
          <cell r="H203" t="str">
            <v>Average daily trading fee revenue ($ Thous.)</v>
          </cell>
          <cell r="I203">
            <v>78.887096774193552</v>
          </cell>
          <cell r="J203">
            <v>105.11111111111111</v>
          </cell>
          <cell r="K203">
            <v>134.6875</v>
          </cell>
          <cell r="L203">
            <v>143.75806451612902</v>
          </cell>
          <cell r="M203">
            <v>115.61094310035843</v>
          </cell>
          <cell r="O203" t="str">
            <v>Average daily trading fee revenue ($ Thous.)</v>
          </cell>
          <cell r="P203">
            <v>178.21311475409837</v>
          </cell>
          <cell r="Q203">
            <v>211.59668787405624</v>
          </cell>
          <cell r="R203">
            <v>296.3125</v>
          </cell>
          <cell r="S203">
            <v>258.76451612903224</v>
          </cell>
          <cell r="T203">
            <v>236.2217046892967</v>
          </cell>
          <cell r="Z203" t="str">
            <v>Average daily trading fee revenue ($ Thous.)</v>
          </cell>
          <cell r="AA203">
            <v>213.85573770491803</v>
          </cell>
          <cell r="AB203">
            <v>249.68409169138636</v>
          </cell>
          <cell r="AC203">
            <v>302.23874999999998</v>
          </cell>
          <cell r="AD203">
            <v>276.87803225806454</v>
          </cell>
          <cell r="AE203">
            <v>260.66415291359226</v>
          </cell>
        </row>
        <row r="204">
          <cell r="A204" t="str">
            <v xml:space="preserve">Change Yr./Yr. </v>
          </cell>
          <cell r="E204">
            <v>73.634920634920633</v>
          </cell>
          <cell r="H204" t="str">
            <v xml:space="preserve">Change Yr./Yr. </v>
          </cell>
          <cell r="I204">
            <v>78.887096774193552</v>
          </cell>
          <cell r="J204">
            <v>105.11111111111111</v>
          </cell>
          <cell r="K204">
            <v>134.6875</v>
          </cell>
          <cell r="L204">
            <v>0.95230826999700979</v>
          </cell>
          <cell r="M204">
            <v>115.61094310035843</v>
          </cell>
          <cell r="O204" t="str">
            <v xml:space="preserve">Change Yr./Yr. </v>
          </cell>
          <cell r="P204">
            <v>1.259090802444101</v>
          </cell>
          <cell r="Q204">
            <v>1.0130763116982093</v>
          </cell>
          <cell r="R204">
            <v>1.2</v>
          </cell>
          <cell r="S204">
            <v>0.8</v>
          </cell>
          <cell r="T204">
            <v>1.0432469310819448</v>
          </cell>
          <cell r="Z204" t="str">
            <v xml:space="preserve">Change Yr./Yr. </v>
          </cell>
          <cell r="AA204">
            <v>0.2</v>
          </cell>
          <cell r="AB204">
            <v>0.18</v>
          </cell>
          <cell r="AC204">
            <v>0.02</v>
          </cell>
          <cell r="AD204">
            <v>7.0000000000000007E-2</v>
          </cell>
          <cell r="AE204">
            <v>0.10347249105007017</v>
          </cell>
        </row>
        <row r="205">
          <cell r="A205" t="str">
            <v>Sequential change</v>
          </cell>
          <cell r="E205">
            <v>6.9047619047619051</v>
          </cell>
          <cell r="H205" t="str">
            <v>Sequential change</v>
          </cell>
          <cell r="I205">
            <v>7.1327246556196044E-2</v>
          </cell>
          <cell r="J205">
            <v>0.33242463481678364</v>
          </cell>
          <cell r="K205">
            <v>0.28138213530655398</v>
          </cell>
          <cell r="L205">
            <v>6.734525858842888E-2</v>
          </cell>
          <cell r="M205">
            <v>4.1561479934715821</v>
          </cell>
          <cell r="O205" t="str">
            <v>Sequential change</v>
          </cell>
          <cell r="P205">
            <v>0.23967386006441149</v>
          </cell>
          <cell r="Q205">
            <v>0.18732388559630486</v>
          </cell>
          <cell r="R205">
            <v>0.40036454718217129</v>
          </cell>
          <cell r="S205">
            <v>-0.12671751570037626</v>
          </cell>
          <cell r="T205">
            <v>1.0432469310819448</v>
          </cell>
          <cell r="Z205" t="str">
            <v>Sequential change</v>
          </cell>
          <cell r="AA205">
            <v>-0.17355075995705904</v>
          </cell>
          <cell r="AB205">
            <v>0.16753515416969988</v>
          </cell>
          <cell r="AC205">
            <v>0.21048460858119888</v>
          </cell>
          <cell r="AD205">
            <v>-8.3909550783727971E-2</v>
          </cell>
          <cell r="AE205">
            <v>0.10347249105007017</v>
          </cell>
        </row>
        <row r="206">
          <cell r="A206" t="str">
            <v>Sequential change</v>
          </cell>
          <cell r="H206" t="str">
            <v>Sequential change</v>
          </cell>
          <cell r="I206">
            <v>7.1327246556196044E-2</v>
          </cell>
          <cell r="J206">
            <v>0.33242463481678364</v>
          </cell>
          <cell r="K206">
            <v>0.28138213530655398</v>
          </cell>
          <cell r="L206">
            <v>6.734525858842888E-2</v>
          </cell>
          <cell r="O206" t="str">
            <v>Sequential change</v>
          </cell>
          <cell r="P206">
            <v>0.23967386006441149</v>
          </cell>
          <cell r="Q206">
            <v>0.18732388559630486</v>
          </cell>
          <cell r="R206">
            <v>0.40036454718217129</v>
          </cell>
          <cell r="S206">
            <v>-0.12671751570037626</v>
          </cell>
          <cell r="T206">
            <v>0.53079444589536751</v>
          </cell>
          <cell r="Z206" t="str">
            <v>Sequential change</v>
          </cell>
          <cell r="AA206">
            <v>-0.17355075995705904</v>
          </cell>
          <cell r="AB206">
            <v>0.16753515416969988</v>
          </cell>
          <cell r="AC206">
            <v>0.21048460858119888</v>
          </cell>
          <cell r="AD206">
            <v>-8.3909550783727971E-2</v>
          </cell>
          <cell r="AE206">
            <v>-9.4777859608546233E-2</v>
          </cell>
        </row>
        <row r="207">
          <cell r="A207" t="str">
            <v>North American power</v>
          </cell>
          <cell r="H207" t="str">
            <v>North American power</v>
          </cell>
          <cell r="I207">
            <v>-0.39265850945494996</v>
          </cell>
          <cell r="J207">
            <v>0.10146520146520133</v>
          </cell>
          <cell r="K207">
            <v>-0.17123067010309267</v>
          </cell>
          <cell r="L207">
            <v>4.0684660961158636E-2</v>
          </cell>
          <cell r="O207" t="str">
            <v>North American power</v>
          </cell>
          <cell r="P207">
            <v>-0.5226654277560232</v>
          </cell>
          <cell r="Q207">
            <v>7.8882914702123141</v>
          </cell>
          <cell r="R207">
            <v>-0.81428220413403718</v>
          </cell>
          <cell r="S207">
            <v>0.11683231908026781</v>
          </cell>
          <cell r="Z207" t="str">
            <v>North American power</v>
          </cell>
          <cell r="AA207">
            <v>-0.51181691475047819</v>
          </cell>
          <cell r="AB207">
            <v>7.8882914702123141</v>
          </cell>
          <cell r="AC207">
            <v>-0.81015514200368244</v>
          </cell>
          <cell r="AD207">
            <v>0.11683231908026781</v>
          </cell>
        </row>
        <row r="208">
          <cell r="A208" t="str">
            <v>Average daily trading fee revenue ($ Thous.)</v>
          </cell>
          <cell r="E208">
            <v>20</v>
          </cell>
          <cell r="H208" t="str">
            <v>Average daily trading fee revenue ($ Thous.)</v>
          </cell>
          <cell r="I208">
            <v>25.548387096774192</v>
          </cell>
          <cell r="J208">
            <v>35.587301587301589</v>
          </cell>
          <cell r="K208">
            <v>43.765625</v>
          </cell>
          <cell r="L208">
            <v>45.725806451612904</v>
          </cell>
          <cell r="M208">
            <v>37.656780033922168</v>
          </cell>
          <cell r="O208" t="str">
            <v>Average daily trading fee revenue ($ Thous.)</v>
          </cell>
          <cell r="P208">
            <v>53.213114754098363</v>
          </cell>
          <cell r="Q208">
            <v>55.251158030024058</v>
          </cell>
          <cell r="R208">
            <v>68.712031249999995</v>
          </cell>
          <cell r="S208">
            <v>70.875</v>
          </cell>
          <cell r="T208">
            <v>62.012826008530602</v>
          </cell>
          <cell r="Z208" t="str">
            <v>Average daily trading fee revenue ($ Thous.)</v>
          </cell>
          <cell r="AA208">
            <v>77.159016393442627</v>
          </cell>
          <cell r="AB208">
            <v>77.351621242033673</v>
          </cell>
          <cell r="AC208">
            <v>75.583234375000004</v>
          </cell>
          <cell r="AD208">
            <v>92.137500000000003</v>
          </cell>
          <cell r="AE208">
            <v>80.55784300261908</v>
          </cell>
        </row>
        <row r="209">
          <cell r="A209" t="str">
            <v xml:space="preserve">Change Yr./Yr. </v>
          </cell>
          <cell r="E209">
            <v>20</v>
          </cell>
          <cell r="H209" t="str">
            <v xml:space="preserve">Change Yr./Yr. </v>
          </cell>
          <cell r="I209">
            <v>25.548387096774192</v>
          </cell>
          <cell r="J209">
            <v>35.587301587301589</v>
          </cell>
          <cell r="K209">
            <v>43.765625</v>
          </cell>
          <cell r="L209">
            <v>1.286290322580645</v>
          </cell>
          <cell r="M209">
            <v>37.656780033922168</v>
          </cell>
          <cell r="O209" t="str">
            <v xml:space="preserve">Change Yr./Yr. </v>
          </cell>
          <cell r="P209">
            <v>1.0828365623447591</v>
          </cell>
          <cell r="Q209">
            <v>0.55255261190522553</v>
          </cell>
          <cell r="R209">
            <v>0.56999999999999995</v>
          </cell>
          <cell r="S209">
            <v>0.55000000000000004</v>
          </cell>
          <cell r="T209">
            <v>0.64679045719437234</v>
          </cell>
          <cell r="Z209" t="str">
            <v xml:space="preserve">Change Yr./Yr. </v>
          </cell>
          <cell r="AA209">
            <v>0.45</v>
          </cell>
          <cell r="AB209">
            <v>0.4</v>
          </cell>
          <cell r="AC209">
            <v>0.1</v>
          </cell>
          <cell r="AD209">
            <v>0.3</v>
          </cell>
          <cell r="AE209">
            <v>0.29905131224849169</v>
          </cell>
        </row>
        <row r="210">
          <cell r="A210" t="str">
            <v>Sequential change</v>
          </cell>
          <cell r="H210" t="str">
            <v>Sequential change</v>
          </cell>
          <cell r="I210">
            <v>0.27741935483870961</v>
          </cell>
          <cell r="J210">
            <v>0.39293730960397633</v>
          </cell>
          <cell r="K210">
            <v>0.22981015834076701</v>
          </cell>
          <cell r="L210">
            <v>4.4788151696974587E-2</v>
          </cell>
          <cell r="O210" t="str">
            <v>Sequential change</v>
          </cell>
          <cell r="P210">
            <v>0.1637436030878654</v>
          </cell>
          <cell r="Q210">
            <v>3.8299642585171823E-2</v>
          </cell>
          <cell r="R210">
            <v>0.24363060793515245</v>
          </cell>
          <cell r="S210">
            <v>3.1478748490643804E-2</v>
          </cell>
          <cell r="T210">
            <v>0.64679045719437234</v>
          </cell>
          <cell r="Z210" t="str">
            <v>Sequential change</v>
          </cell>
          <cell r="AA210">
            <v>8.8663370630583715E-2</v>
          </cell>
          <cell r="AB210">
            <v>2.4962066339588862E-3</v>
          </cell>
          <cell r="AC210">
            <v>-2.2861665193808611E-2</v>
          </cell>
          <cell r="AD210">
            <v>0.21902033912530627</v>
          </cell>
          <cell r="AE210">
            <v>0.29905131224849169</v>
          </cell>
        </row>
        <row r="211">
          <cell r="A211" t="str">
            <v>Sequential change</v>
          </cell>
          <cell r="E211">
            <v>18.551000000000002</v>
          </cell>
          <cell r="H211" t="str">
            <v>Sequential change</v>
          </cell>
          <cell r="I211">
            <v>0.27741935483870961</v>
          </cell>
          <cell r="J211">
            <v>0.39293730960397633</v>
          </cell>
          <cell r="K211">
            <v>0.22981015834076701</v>
          </cell>
          <cell r="L211">
            <v>4.4788151696974587E-2</v>
          </cell>
          <cell r="M211">
            <v>27.085000000000001</v>
          </cell>
          <cell r="O211" t="str">
            <v>Sequential change</v>
          </cell>
          <cell r="P211">
            <v>0.1637436030878654</v>
          </cell>
          <cell r="Q211">
            <v>3.8299642585171823E-2</v>
          </cell>
          <cell r="R211">
            <v>0.24363060793515245</v>
          </cell>
          <cell r="S211">
            <v>3.1478748490643804E-2</v>
          </cell>
          <cell r="T211">
            <v>138.52652770359998</v>
          </cell>
          <cell r="Z211" t="str">
            <v>Sequential change</v>
          </cell>
          <cell r="AA211">
            <v>8.8663370630583715E-2</v>
          </cell>
          <cell r="AB211">
            <v>2.4962066339588862E-3</v>
          </cell>
          <cell r="AC211">
            <v>-2.2861665193808611E-2</v>
          </cell>
          <cell r="AD211">
            <v>0.21902033912530627</v>
          </cell>
          <cell r="AE211">
            <v>170.16783090491751</v>
          </cell>
        </row>
        <row r="212">
          <cell r="A212" t="str">
            <v>Global oil</v>
          </cell>
          <cell r="H212" t="str">
            <v>Global oil</v>
          </cell>
          <cell r="O212" t="str">
            <v>Global oil</v>
          </cell>
          <cell r="Z212" t="str">
            <v>Global oil</v>
          </cell>
        </row>
        <row r="213">
          <cell r="A213" t="str">
            <v>Average daily trading fee revenue ($ Thous.)</v>
          </cell>
          <cell r="E213">
            <v>25.825396825396826</v>
          </cell>
          <cell r="H213" t="str">
            <v>Average daily trading fee revenue ($ Thous.)</v>
          </cell>
          <cell r="I213">
            <v>22.129032258064516</v>
          </cell>
          <cell r="J213">
            <v>15.142857142857142</v>
          </cell>
          <cell r="K213">
            <v>14.296875</v>
          </cell>
          <cell r="L213">
            <v>12.225806451612904</v>
          </cell>
          <cell r="M213">
            <v>15.948642713133641</v>
          </cell>
          <cell r="O213" t="str">
            <v>Average daily trading fee revenue ($ Thous.)</v>
          </cell>
          <cell r="P213">
            <v>7.1475409836065573</v>
          </cell>
          <cell r="Q213">
            <v>7.9196985717198132</v>
          </cell>
          <cell r="R213">
            <v>10.0078125</v>
          </cell>
          <cell r="S213">
            <v>10.269677419354839</v>
          </cell>
          <cell r="T213">
            <v>8.8361823686703023</v>
          </cell>
          <cell r="Z213" t="str">
            <v>Average daily trading fee revenue ($ Thous.)</v>
          </cell>
          <cell r="AA213">
            <v>17.868852459016395</v>
          </cell>
          <cell r="AB213">
            <v>19.007276572127552</v>
          </cell>
          <cell r="AC213">
            <v>22.017187500000002</v>
          </cell>
          <cell r="AD213">
            <v>16.431483870967742</v>
          </cell>
          <cell r="AE213">
            <v>18.831200100527923</v>
          </cell>
        </row>
        <row r="214">
          <cell r="A214" t="str">
            <v xml:space="preserve">Change Yr./Yr. </v>
          </cell>
          <cell r="E214">
            <v>25.825396825396826</v>
          </cell>
          <cell r="H214" t="str">
            <v xml:space="preserve">Change Yr./Yr. </v>
          </cell>
          <cell r="I214">
            <v>22.129032258064516</v>
          </cell>
          <cell r="J214">
            <v>15.142857142857142</v>
          </cell>
          <cell r="K214">
            <v>14.296875</v>
          </cell>
          <cell r="L214">
            <v>-0.52659753752205718</v>
          </cell>
          <cell r="M214">
            <v>15.948642713133641</v>
          </cell>
          <cell r="O214" t="str">
            <v xml:space="preserve">Change Yr./Yr. </v>
          </cell>
          <cell r="P214">
            <v>-0.67700616546384362</v>
          </cell>
          <cell r="Q214">
            <v>-0.47700103771661606</v>
          </cell>
          <cell r="R214">
            <v>-0.3</v>
          </cell>
          <cell r="S214">
            <v>-0.16</v>
          </cell>
          <cell r="T214">
            <v>-0.44596022823975212</v>
          </cell>
          <cell r="Z214" t="str">
            <v xml:space="preserve">Change Yr./Yr. </v>
          </cell>
          <cell r="AA214">
            <v>1.5</v>
          </cell>
          <cell r="AB214">
            <v>1.4</v>
          </cell>
          <cell r="AC214">
            <v>1.2</v>
          </cell>
          <cell r="AD214">
            <v>0.6</v>
          </cell>
          <cell r="AE214">
            <v>1.1311466100220047</v>
          </cell>
        </row>
        <row r="215">
          <cell r="A215" t="str">
            <v>Sequential change</v>
          </cell>
          <cell r="H215" t="str">
            <v>Sequential change</v>
          </cell>
          <cell r="I215">
            <v>-0.14312905208477911</v>
          </cell>
          <cell r="J215">
            <v>-0.31570179092044981</v>
          </cell>
          <cell r="K215">
            <v>-5.5866745283018826E-2</v>
          </cell>
          <cell r="L215">
            <v>-0.14486162524237611</v>
          </cell>
          <cell r="O215" t="str">
            <v>Sequential change</v>
          </cell>
          <cell r="P215">
            <v>-0.41537263722479345</v>
          </cell>
          <cell r="Q215">
            <v>0.10803122219015737</v>
          </cell>
          <cell r="R215">
            <v>0.26366078321927078</v>
          </cell>
          <cell r="S215">
            <v>2.6166049709148487E-2</v>
          </cell>
          <cell r="T215">
            <v>-0.44596022823975212</v>
          </cell>
          <cell r="Z215" t="str">
            <v>Sequential change</v>
          </cell>
          <cell r="AA215">
            <v>0.73996238921192448</v>
          </cell>
          <cell r="AB215">
            <v>6.3709973302551015E-2</v>
          </cell>
          <cell r="AC215">
            <v>0.15835571795099845</v>
          </cell>
          <cell r="AD215">
            <v>-0.25369741839334647</v>
          </cell>
          <cell r="AE215">
            <v>1.1311466100220047</v>
          </cell>
        </row>
        <row r="216">
          <cell r="A216" t="str">
            <v>Sequential change</v>
          </cell>
          <cell r="H216" t="str">
            <v>Sequential change</v>
          </cell>
          <cell r="I216">
            <v>-0.14312905208477911</v>
          </cell>
          <cell r="J216">
            <v>-0.31570179092044981</v>
          </cell>
          <cell r="K216">
            <v>-5.5866745283018826E-2</v>
          </cell>
          <cell r="L216">
            <v>-0.14486162524237611</v>
          </cell>
          <cell r="O216" t="str">
            <v>Sequential change</v>
          </cell>
          <cell r="P216">
            <v>-0.41537263722479345</v>
          </cell>
          <cell r="Q216">
            <v>0.10803122219015737</v>
          </cell>
          <cell r="R216">
            <v>0.26366078321927078</v>
          </cell>
          <cell r="S216">
            <v>2.6166049709148487E-2</v>
          </cell>
          <cell r="Z216" t="str">
            <v>Sequential change</v>
          </cell>
          <cell r="AA216">
            <v>0.73996238921192448</v>
          </cell>
          <cell r="AB216">
            <v>6.3709973302551015E-2</v>
          </cell>
          <cell r="AC216">
            <v>0.15835571795099845</v>
          </cell>
          <cell r="AD216">
            <v>-0.25369741839334647</v>
          </cell>
        </row>
        <row r="217">
          <cell r="A217" t="str">
            <v>Other commodities markets</v>
          </cell>
          <cell r="H217" t="str">
            <v>Other commodities markets</v>
          </cell>
          <cell r="O217" t="str">
            <v>Other commodities markets</v>
          </cell>
          <cell r="Z217" t="str">
            <v>Other commodities markets</v>
          </cell>
        </row>
        <row r="218">
          <cell r="A218" t="str">
            <v>Average daily trading fee revenue ($ Thous.)</v>
          </cell>
          <cell r="E218">
            <v>6.9047619047619051</v>
          </cell>
          <cell r="H218" t="str">
            <v>Average daily trading fee revenue ($ Thous.)</v>
          </cell>
          <cell r="I218">
            <v>4.193548387096774</v>
          </cell>
          <cell r="J218">
            <v>4.6190476190476186</v>
          </cell>
          <cell r="K218">
            <v>3.828125</v>
          </cell>
          <cell r="L218">
            <v>3.9838709677419355</v>
          </cell>
          <cell r="M218">
            <v>4.1561479934715821</v>
          </cell>
          <cell r="O218" t="str">
            <v>Average daily trading fee revenue ($ Thous.)</v>
          </cell>
          <cell r="P218">
            <v>1.901639344262295</v>
          </cell>
          <cell r="Q218">
            <v>16.902324763026694</v>
          </cell>
          <cell r="R218">
            <v>3.1390625000000001</v>
          </cell>
          <cell r="S218">
            <v>3.5058064516129033</v>
          </cell>
          <cell r="T218">
            <v>6.3622082647254743</v>
          </cell>
          <cell r="Z218" t="str">
            <v>Average daily trading fee revenue ($ Thous.)</v>
          </cell>
          <cell r="AA218">
            <v>1.7114754098360656</v>
          </cell>
          <cell r="AB218">
            <v>15.212092286724026</v>
          </cell>
          <cell r="AC218">
            <v>2.8879375</v>
          </cell>
          <cell r="AD218">
            <v>3.225341935483871</v>
          </cell>
          <cell r="AE218">
            <v>5.7592117830109908</v>
          </cell>
        </row>
        <row r="219">
          <cell r="A219" t="str">
            <v xml:space="preserve">Change Yr./Yr. </v>
          </cell>
          <cell r="E219">
            <v>6.9047619047619051</v>
          </cell>
          <cell r="H219" t="str">
            <v xml:space="preserve">Change Yr./Yr. </v>
          </cell>
          <cell r="I219">
            <v>4.193548387096774</v>
          </cell>
          <cell r="J219">
            <v>4.6190476190476186</v>
          </cell>
          <cell r="K219">
            <v>3.828125</v>
          </cell>
          <cell r="L219">
            <v>-0.42302558398220247</v>
          </cell>
          <cell r="M219">
            <v>4.1561479934715821</v>
          </cell>
          <cell r="O219" t="str">
            <v xml:space="preserve">Change Yr./Yr. </v>
          </cell>
          <cell r="P219">
            <v>-0.54653215636822194</v>
          </cell>
          <cell r="Q219">
            <v>2.6592661858099031</v>
          </cell>
          <cell r="R219">
            <v>-0.18</v>
          </cell>
          <cell r="S219">
            <v>-0.12</v>
          </cell>
          <cell r="T219">
            <v>0.53079444589536751</v>
          </cell>
          <cell r="Z219" t="str">
            <v xml:space="preserve">Change Yr./Yr. </v>
          </cell>
          <cell r="AA219">
            <v>-0.1</v>
          </cell>
          <cell r="AB219">
            <v>-0.1</v>
          </cell>
          <cell r="AC219">
            <v>-0.08</v>
          </cell>
          <cell r="AD219">
            <v>-0.08</v>
          </cell>
          <cell r="AE219">
            <v>-9.4777859608546233E-2</v>
          </cell>
        </row>
        <row r="220">
          <cell r="A220" t="str">
            <v>Sequential change</v>
          </cell>
          <cell r="H220" t="str">
            <v>Sequential change</v>
          </cell>
          <cell r="I220">
            <v>-0.39265850945494996</v>
          </cell>
          <cell r="J220">
            <v>0.10146520146520133</v>
          </cell>
          <cell r="K220">
            <v>-0.17123067010309267</v>
          </cell>
          <cell r="L220">
            <v>4.0684660961158636E-2</v>
          </cell>
          <cell r="O220" t="str">
            <v>Sequential change</v>
          </cell>
          <cell r="P220">
            <v>-0.5226654277560232</v>
          </cell>
          <cell r="Q220">
            <v>7.8882914702123141</v>
          </cell>
          <cell r="R220">
            <v>-0.81428220413403718</v>
          </cell>
          <cell r="S220">
            <v>0.11683231908026781</v>
          </cell>
          <cell r="T220">
            <v>0.53079444589536751</v>
          </cell>
          <cell r="Z220" t="str">
            <v>Sequential change</v>
          </cell>
          <cell r="AA220">
            <v>-0.51181691475047819</v>
          </cell>
          <cell r="AB220">
            <v>7.8882914702123141</v>
          </cell>
          <cell r="AC220">
            <v>-0.81015514200368244</v>
          </cell>
          <cell r="AD220">
            <v>0.11683231908026781</v>
          </cell>
          <cell r="AE220">
            <v>-9.4777859608546233E-2</v>
          </cell>
        </row>
        <row r="221">
          <cell r="A221" t="str">
            <v>Sequential change</v>
          </cell>
          <cell r="B221" t="str">
            <v>1Q</v>
          </cell>
          <cell r="C221" t="str">
            <v>2Q</v>
          </cell>
          <cell r="D221" t="str">
            <v>3Q</v>
          </cell>
          <cell r="E221" t="str">
            <v>4Q</v>
          </cell>
          <cell r="F221" t="str">
            <v>Full Year</v>
          </cell>
          <cell r="H221" t="str">
            <v>Sequential change</v>
          </cell>
          <cell r="I221">
            <v>-0.39265850945494996</v>
          </cell>
          <cell r="J221">
            <v>0.10146520146520133</v>
          </cell>
          <cell r="K221">
            <v>-0.17123067010309267</v>
          </cell>
          <cell r="L221">
            <v>4.0684660961158636E-2</v>
          </cell>
          <cell r="M221" t="str">
            <v>Full Year</v>
          </cell>
          <cell r="O221" t="str">
            <v>Sequential change</v>
          </cell>
          <cell r="P221">
            <v>-0.5226654277560232</v>
          </cell>
          <cell r="Q221">
            <v>7.8882914702123141</v>
          </cell>
          <cell r="R221">
            <v>-0.81428220413403718</v>
          </cell>
          <cell r="S221">
            <v>0.11683231908026781</v>
          </cell>
          <cell r="T221" t="str">
            <v>Full Yr.</v>
          </cell>
          <cell r="Z221" t="str">
            <v>Sequential change</v>
          </cell>
          <cell r="AA221">
            <v>-0.51181691475047819</v>
          </cell>
          <cell r="AB221">
            <v>7.8882914702123141</v>
          </cell>
          <cell r="AC221">
            <v>-0.81015514200368244</v>
          </cell>
          <cell r="AD221">
            <v>0.11683231908026781</v>
          </cell>
          <cell r="AE221" t="str">
            <v>Full Yr.</v>
          </cell>
        </row>
        <row r="222">
          <cell r="A222" t="str">
            <v>OTC trading days</v>
          </cell>
          <cell r="B222" t="str">
            <v>2003A</v>
          </cell>
          <cell r="C222" t="str">
            <v>2003A</v>
          </cell>
          <cell r="D222" t="str">
            <v>2003A</v>
          </cell>
          <cell r="E222">
            <v>63</v>
          </cell>
          <cell r="F222" t="str">
            <v>2003A</v>
          </cell>
          <cell r="H222" t="str">
            <v>OTC trading days</v>
          </cell>
          <cell r="I222">
            <v>62</v>
          </cell>
          <cell r="J222">
            <v>63</v>
          </cell>
          <cell r="K222">
            <v>64</v>
          </cell>
          <cell r="L222">
            <v>62</v>
          </cell>
          <cell r="M222">
            <v>251</v>
          </cell>
          <cell r="O222" t="str">
            <v>OTC trading days</v>
          </cell>
          <cell r="P222">
            <v>61</v>
          </cell>
          <cell r="Q222">
            <v>64</v>
          </cell>
          <cell r="R222">
            <v>64</v>
          </cell>
          <cell r="S222">
            <v>62</v>
          </cell>
          <cell r="T222">
            <v>251</v>
          </cell>
          <cell r="Z222" t="str">
            <v>OTC trading days</v>
          </cell>
          <cell r="AA222">
            <v>63</v>
          </cell>
          <cell r="AB222">
            <v>63</v>
          </cell>
          <cell r="AC222">
            <v>63</v>
          </cell>
          <cell r="AD222">
            <v>62</v>
          </cell>
          <cell r="AE222">
            <v>251</v>
          </cell>
        </row>
        <row r="223">
          <cell r="A223" t="str">
            <v>OTC trading days</v>
          </cell>
          <cell r="E223">
            <v>63</v>
          </cell>
          <cell r="H223" t="str">
            <v>OTC trading days</v>
          </cell>
          <cell r="I223">
            <v>62</v>
          </cell>
          <cell r="J223">
            <v>63</v>
          </cell>
          <cell r="K223">
            <v>64</v>
          </cell>
          <cell r="L223">
            <v>62</v>
          </cell>
          <cell r="M223">
            <v>251</v>
          </cell>
          <cell r="O223" t="str">
            <v>OTC trading days</v>
          </cell>
          <cell r="P223">
            <v>61</v>
          </cell>
          <cell r="Q223">
            <v>64</v>
          </cell>
          <cell r="R223">
            <v>64</v>
          </cell>
          <cell r="S223">
            <v>62</v>
          </cell>
          <cell r="T223">
            <v>251</v>
          </cell>
          <cell r="Z223" t="str">
            <v>OTC trading days</v>
          </cell>
          <cell r="AA223">
            <v>63</v>
          </cell>
          <cell r="AB223">
            <v>63</v>
          </cell>
          <cell r="AC223">
            <v>63</v>
          </cell>
          <cell r="AD223">
            <v>62</v>
          </cell>
          <cell r="AE223">
            <v>251</v>
          </cell>
        </row>
        <row r="224">
          <cell r="A224" t="str">
            <v>TOTAL TRANSACTION FEES, NET</v>
          </cell>
          <cell r="E224">
            <v>18.551000000000002</v>
          </cell>
          <cell r="H224" t="str">
            <v>TOTAL TRANSACTION FEES, NET</v>
          </cell>
          <cell r="I224">
            <v>20.36</v>
          </cell>
          <cell r="J224">
            <v>22.261000000000003</v>
          </cell>
          <cell r="K224">
            <v>25.210999999999999</v>
          </cell>
          <cell r="L224">
            <v>23.073999999999998</v>
          </cell>
          <cell r="M224">
            <v>27.085000000000001</v>
          </cell>
          <cell r="O224" t="str">
            <v>TOTAL TRANSACTION FEES, NET</v>
          </cell>
          <cell r="P224">
            <v>27.085000000000001</v>
          </cell>
          <cell r="Q224">
            <v>33.034537</v>
          </cell>
          <cell r="R224">
            <v>40.659424999999999</v>
          </cell>
          <cell r="S224">
            <v>37.747565703599989</v>
          </cell>
          <cell r="T224">
            <v>138.52652770359998</v>
          </cell>
          <cell r="Z224" t="str">
            <v>TOTAL TRANSACTION FEES, NET</v>
          </cell>
          <cell r="AA224">
            <v>40.454753160099315</v>
          </cell>
          <cell r="AB224">
            <v>44.578944250700005</v>
          </cell>
          <cell r="AC224">
            <v>49.719807338115807</v>
          </cell>
          <cell r="AD224">
            <v>49.780887086946763</v>
          </cell>
          <cell r="AE224">
            <v>184.5343918358619</v>
          </cell>
        </row>
        <row r="225">
          <cell r="A225" t="str">
            <v>TOTAL TRANSACTION FEES, NET</v>
          </cell>
          <cell r="C225">
            <v>0.12004061212884465</v>
          </cell>
          <cell r="D225">
            <v>4.1187642987667861E-3</v>
          </cell>
          <cell r="E225">
            <v>18.551000000000002</v>
          </cell>
          <cell r="H225" t="str">
            <v>TOTAL TRANSACTION FEES, NET</v>
          </cell>
          <cell r="I225">
            <v>20.36</v>
          </cell>
          <cell r="J225">
            <v>22.261000000000003</v>
          </cell>
          <cell r="K225">
            <v>25.210999999999999</v>
          </cell>
          <cell r="L225">
            <v>23.073999999999998</v>
          </cell>
          <cell r="M225">
            <v>27.085000000000001</v>
          </cell>
          <cell r="O225" t="str">
            <v>TOTAL TRANSACTION FEES, NET</v>
          </cell>
          <cell r="P225">
            <v>27.085000000000001</v>
          </cell>
          <cell r="Q225">
            <v>33.034537</v>
          </cell>
          <cell r="R225">
            <v>40.659424999999999</v>
          </cell>
          <cell r="S225">
            <v>37.747565703599989</v>
          </cell>
          <cell r="T225">
            <v>138.52652770359998</v>
          </cell>
          <cell r="Z225" t="str">
            <v>TOTAL TRANSACTION FEES, NET</v>
          </cell>
          <cell r="AA225">
            <v>40.454753160099315</v>
          </cell>
          <cell r="AB225">
            <v>44.578944250700005</v>
          </cell>
          <cell r="AC225">
            <v>49.719807338115807</v>
          </cell>
          <cell r="AD225">
            <v>49.780887086946763</v>
          </cell>
          <cell r="AE225">
            <v>184.5343918358619</v>
          </cell>
        </row>
        <row r="226">
          <cell r="A226" t="str">
            <v>A = Actual    E = Morgan Stanley Research Estimate</v>
          </cell>
          <cell r="H226" t="str">
            <v>A = Actual    E = Morgan Stanley Research Estimate</v>
          </cell>
          <cell r="I226">
            <v>0.22596137243210013</v>
          </cell>
          <cell r="J226">
            <v>0.2240669444370218</v>
          </cell>
          <cell r="K226">
            <v>0.27994710302576209</v>
          </cell>
          <cell r="L226">
            <v>0.27220902612826592</v>
          </cell>
          <cell r="M226">
            <v>0.25168375424014156</v>
          </cell>
          <cell r="O226" t="str">
            <v>A = Actual    E = Morgan Stanley Research Estimate</v>
          </cell>
          <cell r="P226">
            <v>0.26103286384976521</v>
          </cell>
          <cell r="Q226">
            <v>0.17512930310663299</v>
          </cell>
          <cell r="R226">
            <v>0.19860535785685718</v>
          </cell>
          <cell r="S226">
            <v>0.15296615384615375</v>
          </cell>
          <cell r="T226">
            <v>0.19394421215560831</v>
          </cell>
          <cell r="Z226" t="str">
            <v>A = Actual    E = Morgan Stanley Research Estimate</v>
          </cell>
          <cell r="AA226">
            <v>0.20700875949367092</v>
          </cell>
          <cell r="AB226">
            <v>0.21612527924468727</v>
          </cell>
          <cell r="AC226">
            <v>0.1923537500000001</v>
          </cell>
          <cell r="AD226">
            <v>0.21550625000000023</v>
          </cell>
          <cell r="AE226">
            <v>0.20768498718288519</v>
          </cell>
        </row>
        <row r="227">
          <cell r="A227" t="str">
            <v>Source: Company data, Morgan Stanley Research</v>
          </cell>
          <cell r="H227" t="str">
            <v>Source: Company data, Morgan Stanley Research</v>
          </cell>
          <cell r="O227" t="str">
            <v>Source: Company data, Morgan Stanley Research</v>
          </cell>
          <cell r="Z227" t="str">
            <v>Source: Company data, Morgan Stanley Research</v>
          </cell>
        </row>
        <row r="228">
          <cell r="A228" t="str">
            <v>Source: Company data, Morgan Stanley Research</v>
          </cell>
          <cell r="C228">
            <v>0.16965112905323609</v>
          </cell>
          <cell r="D228">
            <v>6.2736618087073648E-2</v>
          </cell>
          <cell r="E228">
            <v>0.21536804724964642</v>
          </cell>
          <cell r="H228" t="str">
            <v>Source: Company data, Morgan Stanley Research</v>
          </cell>
          <cell r="I228">
            <v>0.22516556291390732</v>
          </cell>
          <cell r="J228">
            <v>-7.13513513513514E-2</v>
          </cell>
          <cell r="K228">
            <v>-1.9790454016298087E-2</v>
          </cell>
          <cell r="L228">
            <v>0.15083135391923985</v>
          </cell>
          <cell r="O228" t="str">
            <v>Source: Company data, Morgan Stanley Research</v>
          </cell>
          <cell r="P228">
            <v>0.10319917440660475</v>
          </cell>
          <cell r="Q228">
            <v>-0.14271468662301212</v>
          </cell>
          <cell r="R228">
            <v>0.10329558573520514</v>
          </cell>
          <cell r="S228">
            <v>-6.0806921556875615E-2</v>
          </cell>
          <cell r="Z228" t="str">
            <v>Source: Company data, Morgan Stanley Research</v>
          </cell>
          <cell r="AA228">
            <v>4.6913502243002503E-2</v>
          </cell>
          <cell r="AB228">
            <v>-1.3660983534003135E-2</v>
          </cell>
          <cell r="AC228">
            <v>8.2673238338285326E-2</v>
          </cell>
          <cell r="AD228">
            <v>-7.869631352722084E-2</v>
          </cell>
        </row>
        <row r="229">
          <cell r="A229" t="str">
            <v>Change Yr./Yr.</v>
          </cell>
          <cell r="H229" t="str">
            <v>Change Yr./Yr.</v>
          </cell>
          <cell r="I229">
            <v>0.85090694440275749</v>
          </cell>
          <cell r="J229">
            <v>0.46953411149641</v>
          </cell>
          <cell r="K229">
            <v>0.35541708050887699</v>
          </cell>
          <cell r="L229">
            <v>0.28344370860927137</v>
          </cell>
          <cell r="M229">
            <v>0.4610821762199222</v>
          </cell>
          <cell r="O229" t="str">
            <v>Change Yr./Yr.</v>
          </cell>
          <cell r="P229">
            <v>0.15567567567567564</v>
          </cell>
          <cell r="Q229">
            <v>6.6866123399301536E-2</v>
          </cell>
          <cell r="R229">
            <v>0.20083372921615195</v>
          </cell>
          <cell r="S229">
            <v>-0.02</v>
          </cell>
          <cell r="T229">
            <v>9.7680111265646685E-2</v>
          </cell>
          <cell r="Z229" t="str">
            <v>Change Yr./Yr.</v>
          </cell>
          <cell r="AA229">
            <v>-7.0000000000000007E-2</v>
          </cell>
          <cell r="AB229">
            <v>7.0000000000000007E-2</v>
          </cell>
          <cell r="AC229">
            <v>0.05</v>
          </cell>
          <cell r="AD229">
            <v>0.03</v>
          </cell>
          <cell r="AE229">
            <v>1.7324274737973155E-2</v>
          </cell>
        </row>
        <row r="230">
          <cell r="A230" t="str">
            <v>Table XX</v>
          </cell>
          <cell r="H230" t="str">
            <v>Table XX</v>
          </cell>
          <cell r="O230" t="str">
            <v>Table XX</v>
          </cell>
          <cell r="Z230" t="str">
            <v>Table XX</v>
          </cell>
        </row>
        <row r="231">
          <cell r="A231" t="str">
            <v>IntercontinentalExchange, Inc.</v>
          </cell>
          <cell r="H231" t="str">
            <v>IntercontinentalExchange, Inc.</v>
          </cell>
          <cell r="O231" t="str">
            <v>IntercontinentalExchange, Inc.</v>
          </cell>
          <cell r="Z231" t="str">
            <v>IntercontinentalExchange, Inc.</v>
          </cell>
        </row>
        <row r="232">
          <cell r="A232" t="str">
            <v>Quarterly Earnings 2003A</v>
          </cell>
          <cell r="H232" t="str">
            <v>Quarterly Earnings 2003A</v>
          </cell>
          <cell r="O232" t="str">
            <v>Quarterly Earnings 2003A</v>
          </cell>
          <cell r="Z232" t="str">
            <v>Quarterly Earnings 2003A</v>
          </cell>
        </row>
        <row r="233">
          <cell r="A233" t="str">
            <v>($ Millions)</v>
          </cell>
          <cell r="B233">
            <v>2.4675910668213334E-2</v>
          </cell>
          <cell r="C233">
            <v>1.3156576499620026E-2</v>
          </cell>
          <cell r="D233">
            <v>1.7913991665404045E-2</v>
          </cell>
          <cell r="E233">
            <v>1.7783735478105449E-2</v>
          </cell>
          <cell r="F233">
            <v>1.8288384632287196E-2</v>
          </cell>
          <cell r="H233" t="str">
            <v>($ Millions)</v>
          </cell>
          <cell r="I233">
            <v>1.474414570685169E-2</v>
          </cell>
          <cell r="J233">
            <v>1.2986518394394089E-2</v>
          </cell>
          <cell r="K233">
            <v>1.2293272659354093E-2</v>
          </cell>
          <cell r="L233">
            <v>7.6852891633913539E-3</v>
          </cell>
          <cell r="M233">
            <v>1.1797369343442729E-2</v>
          </cell>
          <cell r="O233" t="str">
            <v>($ Millions)</v>
          </cell>
          <cell r="P233">
            <v>8.8915420384567036E-3</v>
          </cell>
          <cell r="Q233">
            <v>9.063845244037241E-3</v>
          </cell>
          <cell r="R233">
            <v>8.0827845964172914E-3</v>
          </cell>
          <cell r="S233">
            <v>8.2734076641103309E-3</v>
          </cell>
          <cell r="T233">
            <v>8.5326692277206198E-3</v>
          </cell>
          <cell r="Z233" t="str">
            <v>($ Millions)</v>
          </cell>
          <cell r="AA233">
            <v>8.6032879991979738E-3</v>
          </cell>
          <cell r="AB233">
            <v>7.8520143447791992E-3</v>
          </cell>
          <cell r="AC233">
            <v>7.0946399063855636E-3</v>
          </cell>
          <cell r="AD233">
            <v>7.02154547038012E-3</v>
          </cell>
          <cell r="AE233">
            <v>7.5906981026525391E-3</v>
          </cell>
        </row>
        <row r="234">
          <cell r="A234" t="str">
            <v>($ Millions)</v>
          </cell>
          <cell r="B234" t="str">
            <v>1Q</v>
          </cell>
          <cell r="C234" t="str">
            <v>2Q</v>
          </cell>
          <cell r="D234" t="str">
            <v>3Q</v>
          </cell>
          <cell r="E234" t="str">
            <v>4Q</v>
          </cell>
          <cell r="F234" t="str">
            <v>Full Year</v>
          </cell>
          <cell r="H234" t="str">
            <v>($ Millions)</v>
          </cell>
          <cell r="I234" t="str">
            <v>1Q</v>
          </cell>
          <cell r="J234" t="str">
            <v>2Q</v>
          </cell>
          <cell r="K234" t="str">
            <v>3Q</v>
          </cell>
          <cell r="L234" t="str">
            <v>4Q</v>
          </cell>
          <cell r="M234" t="str">
            <v>Full Year</v>
          </cell>
          <cell r="O234" t="str">
            <v>($ Millions)</v>
          </cell>
          <cell r="P234" t="str">
            <v>1Q</v>
          </cell>
          <cell r="Q234" t="str">
            <v>2Q</v>
          </cell>
          <cell r="R234" t="str">
            <v>3Q</v>
          </cell>
          <cell r="S234" t="str">
            <v>4Q</v>
          </cell>
          <cell r="T234" t="str">
            <v>Full Yr.</v>
          </cell>
          <cell r="Z234" t="str">
            <v>($ Millions)</v>
          </cell>
          <cell r="AA234" t="str">
            <v>1Q</v>
          </cell>
          <cell r="AB234" t="str">
            <v>2Q</v>
          </cell>
          <cell r="AC234" t="str">
            <v>3Q</v>
          </cell>
          <cell r="AD234" t="str">
            <v>4Q</v>
          </cell>
          <cell r="AE234" t="str">
            <v>Full Yr.</v>
          </cell>
          <cell r="AH234" t="str">
            <v>Level change in 06?</v>
          </cell>
        </row>
        <row r="235">
          <cell r="A235" t="str">
            <v>Compensation and benefits</v>
          </cell>
          <cell r="B235" t="str">
            <v>2003A</v>
          </cell>
          <cell r="C235" t="str">
            <v>2003A</v>
          </cell>
          <cell r="D235" t="str">
            <v>2003A</v>
          </cell>
          <cell r="E235" t="str">
            <v>2003A</v>
          </cell>
          <cell r="F235" t="str">
            <v>2003A</v>
          </cell>
          <cell r="H235" t="str">
            <v>Compensation and benefits</v>
          </cell>
          <cell r="I235" t="str">
            <v>2004A</v>
          </cell>
          <cell r="J235" t="str">
            <v>2004A</v>
          </cell>
          <cell r="K235" t="str">
            <v>2004A</v>
          </cell>
          <cell r="L235" t="str">
            <v>2004A</v>
          </cell>
          <cell r="M235" t="str">
            <v>2004A</v>
          </cell>
          <cell r="O235" t="str">
            <v>Compensation and benefits</v>
          </cell>
          <cell r="P235" t="str">
            <v>2005A</v>
          </cell>
          <cell r="Q235" t="str">
            <v>2005A</v>
          </cell>
          <cell r="R235" t="str">
            <v>2005E</v>
          </cell>
          <cell r="S235" t="str">
            <v>2005E</v>
          </cell>
          <cell r="T235" t="str">
            <v>2005E</v>
          </cell>
          <cell r="Z235" t="str">
            <v>Compensation and benefits</v>
          </cell>
          <cell r="AA235" t="str">
            <v>2006E</v>
          </cell>
          <cell r="AB235" t="str">
            <v>2006E</v>
          </cell>
          <cell r="AC235" t="str">
            <v>2006E</v>
          </cell>
          <cell r="AD235" t="str">
            <v>2006E</v>
          </cell>
          <cell r="AE235" t="str">
            <v>2006E</v>
          </cell>
        </row>
        <row r="236">
          <cell r="A236" t="str">
            <v>Other Revenue Assumptions</v>
          </cell>
          <cell r="B236" t="str">
            <v>2003A</v>
          </cell>
          <cell r="C236" t="str">
            <v>2003A</v>
          </cell>
          <cell r="D236" t="str">
            <v>2003A</v>
          </cell>
          <cell r="E236" t="str">
            <v>2003A</v>
          </cell>
          <cell r="F236" t="str">
            <v>2003A</v>
          </cell>
          <cell r="H236" t="str">
            <v>Other Revenue Assumptions</v>
          </cell>
          <cell r="I236" t="str">
            <v>2004A</v>
          </cell>
          <cell r="J236" t="str">
            <v>2004A</v>
          </cell>
          <cell r="K236" t="str">
            <v>2004A</v>
          </cell>
          <cell r="L236" t="str">
            <v>2004A</v>
          </cell>
          <cell r="M236" t="str">
            <v>2004A</v>
          </cell>
          <cell r="O236" t="str">
            <v>Other Revenue Assumptions</v>
          </cell>
          <cell r="P236" t="str">
            <v>2005A</v>
          </cell>
          <cell r="Q236" t="str">
            <v>2005A</v>
          </cell>
          <cell r="R236" t="str">
            <v>2005E</v>
          </cell>
          <cell r="S236" t="str">
            <v>2005E</v>
          </cell>
          <cell r="T236" t="str">
            <v>2005E</v>
          </cell>
          <cell r="Z236" t="str">
            <v>Other Revenue Assumptions</v>
          </cell>
          <cell r="AA236" t="str">
            <v>2006E</v>
          </cell>
          <cell r="AB236" t="str">
            <v>2006E</v>
          </cell>
          <cell r="AC236" t="str">
            <v>2006E</v>
          </cell>
          <cell r="AD236" t="str">
            <v>2006E</v>
          </cell>
          <cell r="AE236" t="str">
            <v>2006E</v>
          </cell>
        </row>
        <row r="237">
          <cell r="A237" t="str">
            <v>Data service fees</v>
          </cell>
          <cell r="H237" t="str">
            <v>Data service fees</v>
          </cell>
          <cell r="M237">
            <v>200</v>
          </cell>
          <cell r="O237" t="str">
            <v>Data service fees</v>
          </cell>
          <cell r="R237">
            <v>180</v>
          </cell>
          <cell r="S237">
            <v>180</v>
          </cell>
          <cell r="T237">
            <v>180</v>
          </cell>
          <cell r="Z237" t="str">
            <v>Data service fees</v>
          </cell>
          <cell r="AA237">
            <v>185</v>
          </cell>
          <cell r="AB237">
            <v>190</v>
          </cell>
          <cell r="AC237">
            <v>195</v>
          </cell>
          <cell r="AD237">
            <v>200</v>
          </cell>
          <cell r="AE237">
            <v>200</v>
          </cell>
        </row>
        <row r="238">
          <cell r="A238" t="str">
            <v>Sequential growth</v>
          </cell>
          <cell r="C238">
            <v>0.12004061212884465</v>
          </cell>
          <cell r="D238">
            <v>4.1187642987667861E-3</v>
          </cell>
          <cell r="E238">
            <v>7.7284546928920284E-2</v>
          </cell>
          <cell r="H238" t="str">
            <v>Sequential growth</v>
          </cell>
          <cell r="I238">
            <v>1.1876484560570111E-2</v>
          </cell>
          <cell r="J238">
            <v>0.11830985915492964</v>
          </cell>
          <cell r="K238">
            <v>4.9958018471872201E-2</v>
          </cell>
          <cell r="L238">
            <v>7.0771691323470609E-2</v>
          </cell>
          <cell r="O238" t="str">
            <v>Sequential growth</v>
          </cell>
          <cell r="P238">
            <v>2.9873039581778116E-3</v>
          </cell>
          <cell r="Q238">
            <v>4.2128816083395249E-2</v>
          </cell>
          <cell r="R238">
            <v>7.0933473565979455E-2</v>
          </cell>
          <cell r="S238">
            <v>0.03</v>
          </cell>
          <cell r="Z238" t="str">
            <v>Sequential growth</v>
          </cell>
          <cell r="AA238">
            <v>0.05</v>
          </cell>
          <cell r="AB238">
            <v>0.05</v>
          </cell>
          <cell r="AC238">
            <v>0.05</v>
          </cell>
          <cell r="AD238">
            <v>0.05</v>
          </cell>
          <cell r="AE238">
            <v>0.14118250876734412</v>
          </cell>
        </row>
        <row r="239">
          <cell r="A239" t="str">
            <v>Change Yr./Yr.</v>
          </cell>
          <cell r="C239">
            <v>0.12004061212884465</v>
          </cell>
          <cell r="D239">
            <v>4.1187642987667861E-3</v>
          </cell>
          <cell r="E239">
            <v>7.7284546928920284E-2</v>
          </cell>
          <cell r="H239" t="str">
            <v>Change Yr./Yr.</v>
          </cell>
          <cell r="I239">
            <v>0.22596137243210013</v>
          </cell>
          <cell r="J239">
            <v>0.2240669444370218</v>
          </cell>
          <cell r="K239">
            <v>0.27994710302576209</v>
          </cell>
          <cell r="L239">
            <v>0.27220902612826592</v>
          </cell>
          <cell r="M239">
            <v>0.25168375424014156</v>
          </cell>
          <cell r="O239" t="str">
            <v>Change Yr./Yr.</v>
          </cell>
          <cell r="P239">
            <v>0.26103286384976521</v>
          </cell>
          <cell r="Q239">
            <v>0.17512930310663299</v>
          </cell>
          <cell r="R239">
            <v>0.19860535785685718</v>
          </cell>
          <cell r="S239">
            <v>0.15296615384615375</v>
          </cell>
          <cell r="T239">
            <v>0.19394421215560831</v>
          </cell>
          <cell r="Z239" t="str">
            <v>Change Yr./Yr.</v>
          </cell>
          <cell r="AA239">
            <v>0.20700875949367092</v>
          </cell>
          <cell r="AB239">
            <v>0.21612527924468727</v>
          </cell>
          <cell r="AC239">
            <v>0.1923537500000001</v>
          </cell>
          <cell r="AD239">
            <v>0.21550625000000023</v>
          </cell>
          <cell r="AE239">
            <v>0.20768498718288519</v>
          </cell>
        </row>
        <row r="240">
          <cell r="A240" t="str">
            <v>Trading access fees</v>
          </cell>
          <cell r="H240" t="str">
            <v>Trading access fees</v>
          </cell>
          <cell r="I240">
            <v>0.22596137243210013</v>
          </cell>
          <cell r="J240">
            <v>0.2240669444370218</v>
          </cell>
          <cell r="K240">
            <v>0.27994710302576209</v>
          </cell>
          <cell r="L240">
            <v>0.27220902612826592</v>
          </cell>
          <cell r="M240">
            <v>0.25168375424014156</v>
          </cell>
          <cell r="O240" t="str">
            <v>Trading access fees</v>
          </cell>
          <cell r="P240">
            <v>0.26103286384976521</v>
          </cell>
          <cell r="Q240">
            <v>0.17512930310663299</v>
          </cell>
          <cell r="R240">
            <v>0.19860535785685718</v>
          </cell>
          <cell r="S240">
            <v>0.15296615384615375</v>
          </cell>
          <cell r="T240">
            <v>0.19394421215560831</v>
          </cell>
          <cell r="Z240" t="str">
            <v>Trading access fees</v>
          </cell>
          <cell r="AA240">
            <v>0.20700875949367092</v>
          </cell>
          <cell r="AB240">
            <v>0.21612527924468727</v>
          </cell>
          <cell r="AC240">
            <v>0.1923537500000001</v>
          </cell>
          <cell r="AD240">
            <v>0.21550625000000023</v>
          </cell>
          <cell r="AE240">
            <v>0.20768498718288519</v>
          </cell>
        </row>
        <row r="241">
          <cell r="A241" t="str">
            <v>Sequential growth</v>
          </cell>
          <cell r="C241">
            <v>0.16965112905323609</v>
          </cell>
          <cell r="D241">
            <v>6.2736618087073648E-2</v>
          </cell>
          <cell r="E241">
            <v>0.21536804724964642</v>
          </cell>
          <cell r="H241" t="str">
            <v>Sequential growth</v>
          </cell>
          <cell r="I241">
            <v>0.22516556291390732</v>
          </cell>
          <cell r="J241">
            <v>-7.13513513513514E-2</v>
          </cell>
          <cell r="K241">
            <v>-1.9790454016298087E-2</v>
          </cell>
          <cell r="L241">
            <v>0.15083135391923985</v>
          </cell>
          <cell r="O241" t="str">
            <v>Sequential growth</v>
          </cell>
          <cell r="P241">
            <v>0.10319917440660475</v>
          </cell>
          <cell r="Q241">
            <v>-0.14271468662301212</v>
          </cell>
          <cell r="R241">
            <v>0.10329558573520514</v>
          </cell>
          <cell r="S241">
            <v>-6.0806921556875615E-2</v>
          </cell>
          <cell r="Z241" t="str">
            <v>Sequential growth</v>
          </cell>
          <cell r="AA241">
            <v>4.6913502243002503E-2</v>
          </cell>
          <cell r="AB241">
            <v>-1.3660983534003135E-2</v>
          </cell>
          <cell r="AC241">
            <v>8.2673238338285326E-2</v>
          </cell>
          <cell r="AD241">
            <v>-7.869631352722084E-2</v>
          </cell>
          <cell r="AE241">
            <v>5.1820367909433611E-2</v>
          </cell>
        </row>
        <row r="242">
          <cell r="A242" t="str">
            <v>Change Yr./Yr.</v>
          </cell>
          <cell r="C242">
            <v>0.16965112905323609</v>
          </cell>
          <cell r="D242">
            <v>6.2736618087073648E-2</v>
          </cell>
          <cell r="E242">
            <v>0.21536804724964642</v>
          </cell>
          <cell r="H242" t="str">
            <v>Change Yr./Yr.</v>
          </cell>
          <cell r="I242">
            <v>0.85090694440275749</v>
          </cell>
          <cell r="J242">
            <v>0.46953411149641</v>
          </cell>
          <cell r="K242">
            <v>0.35541708050887699</v>
          </cell>
          <cell r="L242">
            <v>0.28344370860927137</v>
          </cell>
          <cell r="M242">
            <v>0.4610821762199222</v>
          </cell>
          <cell r="O242" t="str">
            <v>Change Yr./Yr.</v>
          </cell>
          <cell r="P242">
            <v>0.15567567567567564</v>
          </cell>
          <cell r="Q242">
            <v>6.6866123399301536E-2</v>
          </cell>
          <cell r="R242">
            <v>0.20083372921615195</v>
          </cell>
          <cell r="S242">
            <v>-0.02</v>
          </cell>
          <cell r="T242">
            <v>9.7680111265646685E-2</v>
          </cell>
          <cell r="Z242" t="str">
            <v>Change Yr./Yr.</v>
          </cell>
          <cell r="AA242">
            <v>-7.0000000000000007E-2</v>
          </cell>
          <cell r="AB242">
            <v>7.0000000000000007E-2</v>
          </cell>
          <cell r="AC242">
            <v>0.05</v>
          </cell>
          <cell r="AD242">
            <v>0.03</v>
          </cell>
          <cell r="AE242">
            <v>1.7324274737973155E-2</v>
          </cell>
        </row>
        <row r="243">
          <cell r="A243" t="str">
            <v>Change Yr./Yr.</v>
          </cell>
          <cell r="B243">
            <v>0.13319666560535054</v>
          </cell>
          <cell r="C243">
            <v>0.14752990226722007</v>
          </cell>
          <cell r="D243">
            <v>0.21262645549592504</v>
          </cell>
          <cell r="E243">
            <v>0.16085790884718498</v>
          </cell>
          <cell r="F243">
            <v>0.16148519538819997</v>
          </cell>
          <cell r="H243" t="str">
            <v>Change Yr./Yr.</v>
          </cell>
          <cell r="I243">
            <v>0.85090694440275749</v>
          </cell>
          <cell r="J243">
            <v>0.46953411149641</v>
          </cell>
          <cell r="K243">
            <v>0.35541708050887699</v>
          </cell>
          <cell r="L243">
            <v>0.28344370860927137</v>
          </cell>
          <cell r="M243">
            <v>0.4610821762199222</v>
          </cell>
          <cell r="O243" t="str">
            <v>Change Yr./Yr.</v>
          </cell>
          <cell r="P243">
            <v>0.15567567567567564</v>
          </cell>
          <cell r="Q243">
            <v>6.6866123399301536E-2</v>
          </cell>
          <cell r="R243">
            <v>0.20083372921615195</v>
          </cell>
          <cell r="S243">
            <v>-0.02</v>
          </cell>
          <cell r="T243">
            <v>9.7680111265646685E-2</v>
          </cell>
          <cell r="Z243" t="str">
            <v>Change Yr./Yr.</v>
          </cell>
          <cell r="AA243">
            <v>-7.0000000000000007E-2</v>
          </cell>
          <cell r="AB243">
            <v>7.0000000000000007E-2</v>
          </cell>
          <cell r="AC243">
            <v>0.05</v>
          </cell>
          <cell r="AD243">
            <v>0.03</v>
          </cell>
          <cell r="AE243">
            <v>1.7324274737973155E-2</v>
          </cell>
        </row>
        <row r="244">
          <cell r="A244" t="str">
            <v>Expense Assumptions</v>
          </cell>
          <cell r="C244">
            <v>0.20810683446454625</v>
          </cell>
          <cell r="D244">
            <v>0.13919023509718365</v>
          </cell>
          <cell r="E244">
            <v>-0.18742219849695674</v>
          </cell>
          <cell r="H244" t="str">
            <v>Expense Assumptions</v>
          </cell>
          <cell r="I244">
            <v>-9.8611111111111094E-2</v>
          </cell>
          <cell r="J244">
            <v>0.33004622496147906</v>
          </cell>
          <cell r="K244">
            <v>-0.16983317886932336</v>
          </cell>
          <cell r="L244">
            <v>-5.6935528886408071E-2</v>
          </cell>
          <cell r="O244" t="str">
            <v>Expense Assumptions</v>
          </cell>
          <cell r="P244">
            <v>0.14945250073986394</v>
          </cell>
          <cell r="Q244">
            <v>-0.16836997940267762</v>
          </cell>
          <cell r="R244">
            <v>-5.6496631167743061E-2</v>
          </cell>
          <cell r="S244">
            <v>-0.16</v>
          </cell>
          <cell r="Z244" t="str">
            <v>Expense Assumptions</v>
          </cell>
          <cell r="AA244">
            <v>0.28000000000000003</v>
          </cell>
          <cell r="AB244">
            <v>0.02</v>
          </cell>
          <cell r="AC244">
            <v>0.02</v>
          </cell>
          <cell r="AD244">
            <v>0.02</v>
          </cell>
        </row>
        <row r="245">
          <cell r="A245" t="str">
            <v>Cost of hosting</v>
          </cell>
          <cell r="H245" t="str">
            <v>Cost of hosting</v>
          </cell>
          <cell r="O245" t="str">
            <v>Cost of hosting</v>
          </cell>
          <cell r="Z245" t="str">
            <v>Cost of hosting</v>
          </cell>
        </row>
        <row r="246">
          <cell r="A246" t="str">
            <v>% of revenue</v>
          </cell>
          <cell r="B246">
            <v>2.4675910668213334E-2</v>
          </cell>
          <cell r="C246">
            <v>1.3156576499620026E-2</v>
          </cell>
          <cell r="D246">
            <v>1.7913991665404045E-2</v>
          </cell>
          <cell r="E246">
            <v>1.7783735478105449E-2</v>
          </cell>
          <cell r="F246">
            <v>1.8288384632287196E-2</v>
          </cell>
          <cell r="H246" t="str">
            <v>% of revenue</v>
          </cell>
          <cell r="I246">
            <v>1.474414570685169E-2</v>
          </cell>
          <cell r="J246">
            <v>1.2986518394394089E-2</v>
          </cell>
          <cell r="K246">
            <v>1.2293272659354093E-2</v>
          </cell>
          <cell r="L246">
            <v>7.6852891633913539E-3</v>
          </cell>
          <cell r="M246">
            <v>1.1797369343442729E-2</v>
          </cell>
          <cell r="O246" t="str">
            <v>% of revenue</v>
          </cell>
          <cell r="P246">
            <v>8.8915420384567036E-3</v>
          </cell>
          <cell r="Q246">
            <v>9.063845244037241E-3</v>
          </cell>
          <cell r="R246">
            <v>8.0827845964172914E-3</v>
          </cell>
          <cell r="S246">
            <v>8.2734076641103309E-3</v>
          </cell>
          <cell r="T246">
            <v>8.5326692277206198E-3</v>
          </cell>
          <cell r="Z246" t="str">
            <v>% of revenue</v>
          </cell>
          <cell r="AA246">
            <v>7.9842235518245569E-3</v>
          </cell>
          <cell r="AB246">
            <v>7.2959313593590706E-3</v>
          </cell>
          <cell r="AC246">
            <v>6.580071168207368E-3</v>
          </cell>
          <cell r="AD246">
            <v>6.5614160387769058E-3</v>
          </cell>
          <cell r="AE246">
            <v>7.0585347110116384E-3</v>
          </cell>
        </row>
        <row r="247">
          <cell r="A247" t="str">
            <v>Sequential growth</v>
          </cell>
          <cell r="B247">
            <v>2.4675910668213334E-2</v>
          </cell>
          <cell r="C247">
            <v>-0.41844827875312296</v>
          </cell>
          <cell r="D247">
            <v>7.6238394556253919E-2</v>
          </cell>
          <cell r="E247">
            <v>6.6278019937791477E-2</v>
          </cell>
          <cell r="F247">
            <v>1.8288384632287196E-2</v>
          </cell>
          <cell r="H247" t="str">
            <v>Sequential growth</v>
          </cell>
          <cell r="I247">
            <v>-0.10301507537688448</v>
          </cell>
          <cell r="J247">
            <v>-4.4817927170868188E-2</v>
          </cell>
          <cell r="K247">
            <v>6.1583577712609916E-2</v>
          </cell>
          <cell r="L247">
            <v>-0.3950276243093922</v>
          </cell>
          <cell r="M247">
            <v>1.1797369343442729E-2</v>
          </cell>
          <cell r="O247" t="str">
            <v>Sequential growth</v>
          </cell>
          <cell r="P247">
            <v>0.29223744292237441</v>
          </cell>
          <cell r="Q247">
            <v>0.20198233215547701</v>
          </cell>
          <cell r="R247">
            <v>2.7E-2</v>
          </cell>
          <cell r="S247">
            <v>-0.04</v>
          </cell>
          <cell r="T247">
            <v>8.5326692277206198E-3</v>
          </cell>
          <cell r="Z247" t="str">
            <v>Sequential growth</v>
          </cell>
          <cell r="AA247">
            <v>0.03</v>
          </cell>
          <cell r="AB247">
            <v>0</v>
          </cell>
          <cell r="AC247">
            <v>0</v>
          </cell>
          <cell r="AD247">
            <v>0</v>
          </cell>
          <cell r="AE247">
            <v>7.0585347110116384E-3</v>
          </cell>
        </row>
        <row r="248">
          <cell r="A248" t="str">
            <v>Compensation and benefits</v>
          </cell>
          <cell r="C248">
            <v>-0.41844827875312296</v>
          </cell>
          <cell r="D248">
            <v>7.6238394556253919E-2</v>
          </cell>
          <cell r="E248">
            <v>6.6278019937791477E-2</v>
          </cell>
          <cell r="H248" t="str">
            <v>Compensation and benefits</v>
          </cell>
          <cell r="I248">
            <v>-0.10301507537688448</v>
          </cell>
          <cell r="J248">
            <v>-4.4817927170868188E-2</v>
          </cell>
          <cell r="K248">
            <v>6.1583577712609916E-2</v>
          </cell>
          <cell r="L248">
            <v>-0.3950276243093922</v>
          </cell>
          <cell r="O248" t="str">
            <v>Compensation and benefits</v>
          </cell>
          <cell r="P248">
            <v>0.29223744292237441</v>
          </cell>
          <cell r="Q248">
            <v>0.20198233215547701</v>
          </cell>
          <cell r="R248">
            <v>2.7E-2</v>
          </cell>
          <cell r="S248">
            <v>-0.04</v>
          </cell>
          <cell r="Z248" t="str">
            <v>Compensation and benefits</v>
          </cell>
          <cell r="AA248">
            <v>0.03</v>
          </cell>
          <cell r="AB248">
            <v>0</v>
          </cell>
          <cell r="AC248">
            <v>0</v>
          </cell>
          <cell r="AD248">
            <v>0</v>
          </cell>
          <cell r="AE248">
            <v>7.6222356217515408</v>
          </cell>
        </row>
        <row r="249">
          <cell r="A249" t="str">
            <v>Fixed cost</v>
          </cell>
          <cell r="H249" t="str">
            <v>Fixed cost</v>
          </cell>
          <cell r="O249" t="str">
            <v>Fixed cost</v>
          </cell>
          <cell r="R249">
            <v>7.2123464000000004</v>
          </cell>
          <cell r="S249">
            <v>6.7895726501759999</v>
          </cell>
          <cell r="Z249" t="str">
            <v>Fixed cost</v>
          </cell>
          <cell r="AA249">
            <v>6.7251136399704068</v>
          </cell>
          <cell r="AB249">
            <v>6.9080310476082447</v>
          </cell>
          <cell r="AC249">
            <v>7.1357854600110144</v>
          </cell>
          <cell r="AD249">
            <v>7.4675716058791615</v>
          </cell>
          <cell r="AE249">
            <v>28.236501753468826</v>
          </cell>
        </row>
        <row r="250">
          <cell r="A250" t="str">
            <v>Head count</v>
          </cell>
          <cell r="H250" t="str">
            <v>Head count</v>
          </cell>
          <cell r="M250">
            <v>200</v>
          </cell>
          <cell r="O250" t="str">
            <v>Head count</v>
          </cell>
          <cell r="R250">
            <v>180</v>
          </cell>
          <cell r="S250">
            <v>180</v>
          </cell>
          <cell r="T250">
            <v>180</v>
          </cell>
          <cell r="Z250" t="str">
            <v>Head count</v>
          </cell>
          <cell r="AA250">
            <v>185</v>
          </cell>
          <cell r="AB250">
            <v>190</v>
          </cell>
          <cell r="AC250">
            <v>195</v>
          </cell>
          <cell r="AD250">
            <v>200</v>
          </cell>
          <cell r="AE250">
            <v>200</v>
          </cell>
        </row>
        <row r="251">
          <cell r="A251" t="str">
            <v>Fixed cost per head</v>
          </cell>
          <cell r="H251" t="str">
            <v>Fixed cost per head</v>
          </cell>
          <cell r="M251">
            <v>200</v>
          </cell>
          <cell r="O251" t="str">
            <v>Fixed cost per head</v>
          </cell>
          <cell r="R251">
            <v>4.0068591111111114E-2</v>
          </cell>
          <cell r="S251">
            <v>3.7719848056533334E-2</v>
          </cell>
          <cell r="T251">
            <v>180</v>
          </cell>
          <cell r="Z251" t="str">
            <v>Fixed cost per head</v>
          </cell>
          <cell r="AA251">
            <v>3.635196562146166E-2</v>
          </cell>
          <cell r="AB251">
            <v>3.635805814530655E-2</v>
          </cell>
          <cell r="AC251">
            <v>3.6593771589800074E-2</v>
          </cell>
          <cell r="AD251">
            <v>3.7337858029395807E-2</v>
          </cell>
          <cell r="AE251">
            <v>0.14118250876734412</v>
          </cell>
        </row>
        <row r="252">
          <cell r="A252" t="str">
            <v>Sequential growth</v>
          </cell>
          <cell r="H252" t="str">
            <v>Sequential growth</v>
          </cell>
          <cell r="O252" t="str">
            <v>Sequential growth</v>
          </cell>
          <cell r="R252">
            <v>4.0068591111111114E-2</v>
          </cell>
          <cell r="S252">
            <v>-5.8618059418776736E-2</v>
          </cell>
          <cell r="Z252" t="str">
            <v>Sequential growth</v>
          </cell>
          <cell r="AA252">
            <v>-3.6264261537361842E-2</v>
          </cell>
          <cell r="AB252">
            <v>1.6759819560596689E-4</v>
          </cell>
          <cell r="AC252">
            <v>6.4831142398058539E-3</v>
          </cell>
          <cell r="AD252">
            <v>2.0333690878781452E-2</v>
          </cell>
          <cell r="AE252">
            <v>0.14118250876734412</v>
          </cell>
        </row>
        <row r="253">
          <cell r="A253" t="str">
            <v>Variable cost</v>
          </cell>
          <cell r="H253" t="str">
            <v>Variable cost</v>
          </cell>
          <cell r="O253" t="str">
            <v>Variable cost</v>
          </cell>
          <cell r="R253">
            <v>1.8030865999999994</v>
          </cell>
          <cell r="S253">
            <v>1.6973931625439997</v>
          </cell>
          <cell r="Z253" t="str">
            <v>Variable cost</v>
          </cell>
          <cell r="AA253">
            <v>1.8116379475239726</v>
          </cell>
          <cell r="AB253">
            <v>2.4781829857550006</v>
          </cell>
          <cell r="AC253">
            <v>3.2973478549641482</v>
          </cell>
          <cell r="AD253">
            <v>3.0311625018838768</v>
          </cell>
          <cell r="AE253">
            <v>10.618331290126998</v>
          </cell>
        </row>
        <row r="254">
          <cell r="A254" t="str">
            <v>% of revenue</v>
          </cell>
          <cell r="H254" t="str">
            <v>% of revenue</v>
          </cell>
          <cell r="O254" t="str">
            <v>% of revenue</v>
          </cell>
          <cell r="R254">
            <v>3.9851249481107714E-2</v>
          </cell>
          <cell r="S254">
            <v>0.04</v>
          </cell>
          <cell r="Z254" t="str">
            <v>% of revenue</v>
          </cell>
          <cell r="AA254">
            <v>0.04</v>
          </cell>
          <cell r="AB254">
            <v>0.05</v>
          </cell>
          <cell r="AC254">
            <v>0.06</v>
          </cell>
          <cell r="AD254">
            <v>5.5E-2</v>
          </cell>
          <cell r="AE254">
            <v>5.1816339369901827E-2</v>
          </cell>
        </row>
        <row r="255">
          <cell r="A255" t="str">
            <v>Professional service</v>
          </cell>
          <cell r="H255" t="str">
            <v>Professional service</v>
          </cell>
          <cell r="O255" t="str">
            <v>Professional service</v>
          </cell>
          <cell r="R255">
            <v>3.9851249481107714E-2</v>
          </cell>
          <cell r="S255">
            <v>0.04</v>
          </cell>
          <cell r="Z255" t="str">
            <v>Professional service</v>
          </cell>
          <cell r="AA255">
            <v>0.04</v>
          </cell>
          <cell r="AB255">
            <v>0.05</v>
          </cell>
          <cell r="AC255">
            <v>0.06</v>
          </cell>
          <cell r="AD255">
            <v>5.5E-2</v>
          </cell>
          <cell r="AE255">
            <v>5.1816339369901827E-2</v>
          </cell>
        </row>
        <row r="256">
          <cell r="A256" t="str">
            <v>% of revenue</v>
          </cell>
          <cell r="B256">
            <v>0.13319666560535054</v>
          </cell>
          <cell r="C256">
            <v>0.14752990226722007</v>
          </cell>
          <cell r="D256">
            <v>0.21262645549592504</v>
          </cell>
          <cell r="E256">
            <v>0.16085790884718498</v>
          </cell>
          <cell r="F256">
            <v>0.16148519538819997</v>
          </cell>
          <cell r="H256" t="str">
            <v>% of revenue</v>
          </cell>
          <cell r="I256">
            <v>0.13401891545863792</v>
          </cell>
          <cell r="J256">
            <v>0.16436895422347472</v>
          </cell>
          <cell r="K256">
            <v>0.1216762318742147</v>
          </cell>
          <cell r="L256">
            <v>0.1185780460415497</v>
          </cell>
          <cell r="M256">
            <v>0.13395871381924843</v>
          </cell>
          <cell r="O256" t="str">
            <v>% of revenue</v>
          </cell>
          <cell r="P256">
            <v>0.12203091617443761</v>
          </cell>
          <cell r="Q256">
            <v>8.6067134075769228E-2</v>
          </cell>
          <cell r="R256">
            <v>6.735629518495817E-2</v>
          </cell>
          <cell r="S256">
            <v>6.0326713138474576E-2</v>
          </cell>
          <cell r="T256">
            <v>8.1009654420392666E-2</v>
          </cell>
          <cell r="Z256" t="str">
            <v>% of revenue</v>
          </cell>
          <cell r="AA256">
            <v>7.2348690140398839E-2</v>
          </cell>
          <cell r="AB256">
            <v>6.7433995961314108E-2</v>
          </cell>
          <cell r="AC256">
            <v>6.2033876162104602E-2</v>
          </cell>
          <cell r="AD256">
            <v>6.3095164289931324E-2</v>
          </cell>
          <cell r="AE256">
            <v>6.590513167674171E-2</v>
          </cell>
        </row>
        <row r="257">
          <cell r="A257" t="str">
            <v>Sequential growth</v>
          </cell>
          <cell r="B257">
            <v>0.13319666560535054</v>
          </cell>
          <cell r="C257">
            <v>0.20810683446454625</v>
          </cell>
          <cell r="D257">
            <v>0.13919023509718365</v>
          </cell>
          <cell r="E257">
            <v>-0.18742219849695674</v>
          </cell>
          <cell r="F257">
            <v>0.16148519538819997</v>
          </cell>
          <cell r="H257" t="str">
            <v>Sequential growth</v>
          </cell>
          <cell r="I257">
            <v>-9.8611111111111094E-2</v>
          </cell>
          <cell r="J257">
            <v>0.33004622496147906</v>
          </cell>
          <cell r="K257">
            <v>-0.16983317886932336</v>
          </cell>
          <cell r="L257">
            <v>-5.6935528886408071E-2</v>
          </cell>
          <cell r="M257">
            <v>0.13395871381924843</v>
          </cell>
          <cell r="O257" t="str">
            <v>Sequential growth</v>
          </cell>
          <cell r="P257">
            <v>0.14945250073986394</v>
          </cell>
          <cell r="Q257">
            <v>-0.16836997940267762</v>
          </cell>
          <cell r="R257">
            <v>-5.6496631167743061E-2</v>
          </cell>
          <cell r="S257">
            <v>-0.16</v>
          </cell>
          <cell r="T257">
            <v>8.1009654420392666E-2</v>
          </cell>
          <cell r="Z257" t="str">
            <v>Sequential growth</v>
          </cell>
          <cell r="AA257">
            <v>0.28000000000000003</v>
          </cell>
          <cell r="AB257">
            <v>0.02</v>
          </cell>
          <cell r="AC257">
            <v>0.02</v>
          </cell>
          <cell r="AD257">
            <v>0.02</v>
          </cell>
          <cell r="AE257">
            <v>6.590513167674171E-2</v>
          </cell>
        </row>
        <row r="258">
          <cell r="A258" t="str">
            <v>Selling, general and administrative</v>
          </cell>
          <cell r="B258" t="str">
            <v>1Q</v>
          </cell>
          <cell r="C258">
            <v>0.20810683446454625</v>
          </cell>
          <cell r="D258">
            <v>0.13919023509718365</v>
          </cell>
          <cell r="E258">
            <v>-0.18742219849695674</v>
          </cell>
          <cell r="F258" t="str">
            <v>Full Year</v>
          </cell>
          <cell r="H258" t="str">
            <v>Selling, general and administrative</v>
          </cell>
          <cell r="I258">
            <v>-9.8611111111111094E-2</v>
          </cell>
          <cell r="J258">
            <v>0.33004622496147906</v>
          </cell>
          <cell r="K258">
            <v>-0.16983317886932336</v>
          </cell>
          <cell r="L258">
            <v>-5.6935528886408071E-2</v>
          </cell>
          <cell r="M258" t="str">
            <v>Full Year</v>
          </cell>
          <cell r="O258" t="str">
            <v>Selling, general and administrative</v>
          </cell>
          <cell r="P258">
            <v>0.14945250073986394</v>
          </cell>
          <cell r="Q258">
            <v>-0.16836997940267762</v>
          </cell>
          <cell r="R258">
            <v>-5.6496631167743061E-2</v>
          </cell>
          <cell r="S258">
            <v>-0.16</v>
          </cell>
          <cell r="T258" t="str">
            <v>Full Yr.</v>
          </cell>
          <cell r="Z258" t="str">
            <v>Selling, general and administrative</v>
          </cell>
          <cell r="AA258">
            <v>0.28000000000000003</v>
          </cell>
          <cell r="AB258">
            <v>0.02</v>
          </cell>
          <cell r="AC258">
            <v>0.02</v>
          </cell>
          <cell r="AD258">
            <v>0.02</v>
          </cell>
          <cell r="AE258" t="str">
            <v>Full Yr.</v>
          </cell>
        </row>
        <row r="259">
          <cell r="A259" t="str">
            <v>Fixed cost</v>
          </cell>
          <cell r="B259" t="str">
            <v>2003A</v>
          </cell>
          <cell r="C259" t="str">
            <v>2003A</v>
          </cell>
          <cell r="D259" t="str">
            <v>2003A</v>
          </cell>
          <cell r="E259" t="str">
            <v>2003A</v>
          </cell>
          <cell r="F259" t="str">
            <v>2003A</v>
          </cell>
          <cell r="H259" t="str">
            <v>Fixed cost</v>
          </cell>
          <cell r="I259" t="str">
            <v>2004A</v>
          </cell>
          <cell r="J259" t="str">
            <v>2004A</v>
          </cell>
          <cell r="K259" t="str">
            <v>2004A</v>
          </cell>
          <cell r="L259" t="str">
            <v>2004A</v>
          </cell>
          <cell r="M259" t="str">
            <v>2004A</v>
          </cell>
          <cell r="O259" t="str">
            <v>Fixed cost</v>
          </cell>
          <cell r="P259" t="str">
            <v>2005A</v>
          </cell>
          <cell r="Q259" t="str">
            <v>2005A</v>
          </cell>
          <cell r="R259">
            <v>3.1057672000000003</v>
          </cell>
          <cell r="S259">
            <v>2.9490371922804752</v>
          </cell>
          <cell r="T259" t="str">
            <v>2005E</v>
          </cell>
          <cell r="Z259" t="str">
            <v>Fixed cost</v>
          </cell>
          <cell r="AA259">
            <v>3.0091476877328249</v>
          </cell>
          <cell r="AB259">
            <v>3.2332108031220468</v>
          </cell>
          <cell r="AC259">
            <v>3.4992099117582578</v>
          </cell>
          <cell r="AD259">
            <v>3.2099802466540246</v>
          </cell>
          <cell r="AE259">
            <v>12.951548649267155</v>
          </cell>
        </row>
        <row r="260">
          <cell r="A260" t="str">
            <v>Sequential growth</v>
          </cell>
          <cell r="H260" t="str">
            <v>Sequential growth</v>
          </cell>
          <cell r="O260" t="str">
            <v>Sequential growth</v>
          </cell>
          <cell r="R260">
            <v>3.1057672000000003</v>
          </cell>
          <cell r="S260">
            <v>-5.0464184089369299E-2</v>
          </cell>
          <cell r="Z260" t="str">
            <v>Sequential growth</v>
          </cell>
          <cell r="AA260">
            <v>2.0383091678089826E-2</v>
          </cell>
          <cell r="AB260">
            <v>7.4460657515297068E-2</v>
          </cell>
          <cell r="AC260">
            <v>8.2270883290182395E-2</v>
          </cell>
          <cell r="AD260">
            <v>-8.2655705830149251E-2</v>
          </cell>
          <cell r="AE260">
            <v>12.951548649267155</v>
          </cell>
        </row>
        <row r="261">
          <cell r="A261" t="str">
            <v>Variable cost</v>
          </cell>
          <cell r="H261" t="str">
            <v>Variable cost</v>
          </cell>
          <cell r="O261" t="str">
            <v>Variable cost</v>
          </cell>
          <cell r="R261">
            <v>0.77644179999999974</v>
          </cell>
          <cell r="S261">
            <v>0.84869658127199987</v>
          </cell>
          <cell r="Z261" t="str">
            <v>Variable cost</v>
          </cell>
          <cell r="AA261">
            <v>1.8116379475239726</v>
          </cell>
          <cell r="AB261">
            <v>1.9825463886040005</v>
          </cell>
          <cell r="AC261">
            <v>2.1982319033094324</v>
          </cell>
          <cell r="AD261">
            <v>2.2044818195519107</v>
          </cell>
          <cell r="AE261">
            <v>8.1968980589893157</v>
          </cell>
        </row>
        <row r="262">
          <cell r="A262" t="str">
            <v>% of revenue</v>
          </cell>
          <cell r="H262" t="str">
            <v>% of revenue</v>
          </cell>
          <cell r="O262" t="str">
            <v>% of revenue</v>
          </cell>
          <cell r="R262">
            <v>1.7160670973518598E-2</v>
          </cell>
          <cell r="S262">
            <v>0.02</v>
          </cell>
          <cell r="Z262" t="str">
            <v>% of revenue</v>
          </cell>
          <cell r="AA262">
            <v>0.04</v>
          </cell>
          <cell r="AB262">
            <v>0.04</v>
          </cell>
          <cell r="AC262">
            <v>0.04</v>
          </cell>
          <cell r="AD262">
            <v>0.04</v>
          </cell>
          <cell r="AE262">
            <v>4.0000000000000008E-2</v>
          </cell>
        </row>
        <row r="263">
          <cell r="A263" t="str">
            <v>Depreciation and amortization</v>
          </cell>
          <cell r="H263" t="str">
            <v>Depreciation and amortization</v>
          </cell>
          <cell r="O263" t="str">
            <v>Depreciation and amortization</v>
          </cell>
          <cell r="R263">
            <v>1.7160670973518598E-2</v>
          </cell>
          <cell r="S263">
            <v>0.02</v>
          </cell>
          <cell r="Z263" t="str">
            <v>Depreciation and amortization</v>
          </cell>
          <cell r="AA263">
            <v>0.04</v>
          </cell>
          <cell r="AB263">
            <v>0.04</v>
          </cell>
          <cell r="AC263">
            <v>0.04</v>
          </cell>
          <cell r="AD263">
            <v>0.04</v>
          </cell>
          <cell r="AE263">
            <v>4.0000000000000008E-2</v>
          </cell>
        </row>
        <row r="264">
          <cell r="A264" t="str">
            <v>Depreciation and amortization</v>
          </cell>
          <cell r="H264" t="str">
            <v>Depreciation and amortization</v>
          </cell>
          <cell r="O264" t="str">
            <v>Depreciation and amortization</v>
          </cell>
          <cell r="Z264" t="str">
            <v>Depreciation and amortization</v>
          </cell>
        </row>
        <row r="265">
          <cell r="A265" t="str">
            <v>A = Actual    E = Morgan Stanley Research Estimate</v>
          </cell>
          <cell r="E265">
            <v>0.45911528150134046</v>
          </cell>
          <cell r="H265" t="str">
            <v>A = Actual    E = Morgan Stanley Research Estimate</v>
          </cell>
          <cell r="I265">
            <v>0.49002601908065913</v>
          </cell>
          <cell r="J265">
            <v>0.4464544138929088</v>
          </cell>
          <cell r="K265">
            <v>0.41179067477162357</v>
          </cell>
          <cell r="L265">
            <v>0.34338152723189219</v>
          </cell>
          <cell r="M265">
            <v>0.37884881236646978</v>
          </cell>
          <cell r="O265" t="str">
            <v>A = Actual    E = Morgan Stanley Research Estimate</v>
          </cell>
          <cell r="P265">
            <v>0.37884881236646978</v>
          </cell>
          <cell r="Q265">
            <v>0.36957656384710924</v>
          </cell>
          <cell r="R265">
            <v>0.35456621445590669</v>
          </cell>
          <cell r="S265">
            <v>0.37763044741166985</v>
          </cell>
          <cell r="T265">
            <v>0.36930741002086365</v>
          </cell>
          <cell r="Z265" t="str">
            <v>A = Actual    E = Morgan Stanley Research Estimate</v>
          </cell>
          <cell r="AA265">
            <v>0.4083746230487913</v>
          </cell>
          <cell r="AB265">
            <v>0.3867564642120459</v>
          </cell>
          <cell r="AC265">
            <v>0.38898409560086689</v>
          </cell>
          <cell r="AD265">
            <v>0.41739131315024491</v>
          </cell>
          <cell r="AE265">
            <v>0.40040025960903092</v>
          </cell>
        </row>
        <row r="266">
          <cell r="A266" t="str">
            <v>Source: Company data, Morgan Stanley Research</v>
          </cell>
          <cell r="E266">
            <v>0.3697944593386952</v>
          </cell>
          <cell r="H266" t="str">
            <v>Source: Company data, Morgan Stanley Research</v>
          </cell>
          <cell r="I266">
            <v>0.35084458761822157</v>
          </cell>
          <cell r="J266">
            <v>0.40132531038159802</v>
          </cell>
          <cell r="K266">
            <v>0.44435765952389034</v>
          </cell>
          <cell r="L266">
            <v>0.46634615384615385</v>
          </cell>
          <cell r="M266">
            <v>0.47213145657911276</v>
          </cell>
          <cell r="O266" t="str">
            <v>Source: Company data, Morgan Stanley Research</v>
          </cell>
          <cell r="P266">
            <v>0.47213145657911276</v>
          </cell>
          <cell r="Q266">
            <v>0.51065347744634371</v>
          </cell>
          <cell r="R266">
            <v>0.5440755310006834</v>
          </cell>
          <cell r="S266">
            <v>0.5119116230188514</v>
          </cell>
          <cell r="T266">
            <v>0.51281541217465809</v>
          </cell>
          <cell r="Z266" t="str">
            <v>Source: Company data, Morgan Stanley Research</v>
          </cell>
          <cell r="AA266">
            <v>0.47656542021218701</v>
          </cell>
          <cell r="AB266">
            <v>0.50500613579553821</v>
          </cell>
          <cell r="AC266">
            <v>0.50828879210648459</v>
          </cell>
          <cell r="AD266">
            <v>0.47909204060028299</v>
          </cell>
          <cell r="AE266">
            <v>0.49260719568038741</v>
          </cell>
        </row>
        <row r="267">
          <cell r="A267" t="str">
            <v>Source: Company data, Morgan Stanley Research</v>
          </cell>
          <cell r="B267">
            <v>0.89254229903420235</v>
          </cell>
          <cell r="C267">
            <v>0.90316483530323499</v>
          </cell>
          <cell r="D267">
            <v>0.84000231711193396</v>
          </cell>
          <cell r="E267">
            <v>0.82890974084003577</v>
          </cell>
          <cell r="H267" t="str">
            <v>Source: Company data, Morgan Stanley Research</v>
          </cell>
          <cell r="I267">
            <v>0.8408706066988807</v>
          </cell>
          <cell r="J267">
            <v>0.84777972427450687</v>
          </cell>
          <cell r="K267">
            <v>0.85614833429551396</v>
          </cell>
          <cell r="L267">
            <v>0.80972768107804605</v>
          </cell>
          <cell r="M267">
            <v>0.85098026894558254</v>
          </cell>
          <cell r="O267" t="str">
            <v>Source: Company data, Morgan Stanley Research</v>
          </cell>
          <cell r="P267">
            <v>0.85098026894558254</v>
          </cell>
          <cell r="Q267">
            <v>0.88023004129345306</v>
          </cell>
          <cell r="R267">
            <v>0.89864174545659004</v>
          </cell>
          <cell r="S267">
            <v>0.88954207043052114</v>
          </cell>
          <cell r="T267">
            <v>0.88212282219552174</v>
          </cell>
          <cell r="Z267" t="str">
            <v>Source: Company data, Morgan Stanley Research</v>
          </cell>
          <cell r="AA267">
            <v>0.8849400432609783</v>
          </cell>
          <cell r="AB267">
            <v>0.89176260000758423</v>
          </cell>
          <cell r="AC267">
            <v>0.89727288770735147</v>
          </cell>
          <cell r="AD267">
            <v>0.8964833537505279</v>
          </cell>
          <cell r="AE267">
            <v>0.89300745528941827</v>
          </cell>
        </row>
        <row r="268">
          <cell r="A268" t="str">
            <v>Table XX</v>
          </cell>
          <cell r="H268" t="str">
            <v>Table XX</v>
          </cell>
          <cell r="O268" t="str">
            <v>Table XX</v>
          </cell>
          <cell r="Z268" t="str">
            <v>Table XX</v>
          </cell>
        </row>
        <row r="269">
          <cell r="A269" t="str">
            <v>IntercontinentalExchange, Inc.</v>
          </cell>
          <cell r="B269">
            <v>7.1888631731780381E-2</v>
          </cell>
          <cell r="C269">
            <v>7.3820222259727175E-2</v>
          </cell>
          <cell r="D269">
            <v>9.3778098521698897E-2</v>
          </cell>
          <cell r="E269">
            <v>9.4057193923145654E-2</v>
          </cell>
          <cell r="H269" t="str">
            <v>IntercontinentalExchange, Inc.</v>
          </cell>
          <cell r="I269">
            <v>8.7969272704745374E-2</v>
          </cell>
          <cell r="J269">
            <v>9.0715210602483054E-2</v>
          </cell>
          <cell r="K269">
            <v>8.4932251163106598E-2</v>
          </cell>
          <cell r="L269">
            <v>9.3978102189781018E-2</v>
          </cell>
          <cell r="M269">
            <v>8.4391102174186244E-2</v>
          </cell>
          <cell r="O269" t="str">
            <v>IntercontinentalExchange, Inc.</v>
          </cell>
          <cell r="P269">
            <v>8.4391102174186244E-2</v>
          </cell>
          <cell r="Q269">
            <v>7.4585666568503725E-2</v>
          </cell>
          <cell r="R269">
            <v>6.6254482055665212E-2</v>
          </cell>
          <cell r="S269">
            <v>7.2762007721825311E-2</v>
          </cell>
          <cell r="T269">
            <v>7.3679850845701542E-2</v>
          </cell>
          <cell r="Z269" t="str">
            <v>IntercontinentalExchange, Inc.</v>
          </cell>
          <cell r="AA269">
            <v>7.7132389465805751E-2</v>
          </cell>
          <cell r="AB269">
            <v>7.3916723468808204E-2</v>
          </cell>
          <cell r="AC269">
            <v>7.0126357224594538E-2</v>
          </cell>
          <cell r="AD269">
            <v>7.2874054644478659E-2</v>
          </cell>
          <cell r="AE269">
            <v>7.3330376925083693E-2</v>
          </cell>
        </row>
        <row r="270">
          <cell r="A270" t="str">
            <v>Quarterly Earnings 2003A</v>
          </cell>
          <cell r="B270">
            <v>2.0678286526808788E-2</v>
          </cell>
          <cell r="C270">
            <v>2.2174419210286001E-2</v>
          </cell>
          <cell r="D270">
            <v>2.9813906827815685E-2</v>
          </cell>
          <cell r="E270">
            <v>3.3735478105451293E-2</v>
          </cell>
          <cell r="H270" t="str">
            <v>Quarterly Earnings 2004A</v>
          </cell>
          <cell r="I270">
            <v>3.8202618428117126E-2</v>
          </cell>
          <cell r="J270">
            <v>3.2713839591743468E-2</v>
          </cell>
          <cell r="K270">
            <v>2.8593744693856761E-2</v>
          </cell>
          <cell r="L270">
            <v>3.4004772599663113E-2</v>
          </cell>
          <cell r="M270">
            <v>3.3586778936785217E-2</v>
          </cell>
          <cell r="O270" t="str">
            <v>Quarterly Earnings 2005E</v>
          </cell>
          <cell r="P270">
            <v>3.3586778936785217E-2</v>
          </cell>
          <cell r="Q270">
            <v>2.4419178588242042E-2</v>
          </cell>
          <cell r="R270">
            <v>2.2347056460209389E-2</v>
          </cell>
          <cell r="S270">
            <v>2.237831566557601E-2</v>
          </cell>
          <cell r="T270">
            <v>2.5128745040684481E-2</v>
          </cell>
          <cell r="Z270" t="str">
            <v>Quarterly Earnings 2006E</v>
          </cell>
          <cell r="AA270">
            <v>2.3652715554811046E-2</v>
          </cell>
          <cell r="AB270">
            <v>2.1292362177631807E-2</v>
          </cell>
          <cell r="AC270">
            <v>2.0829100711187945E-2</v>
          </cell>
          <cell r="AD270">
            <v>1.8992217883567628E-2</v>
          </cell>
          <cell r="AE270">
            <v>2.1067437739887073E-2</v>
          </cell>
        </row>
        <row r="271">
          <cell r="A271" t="str">
            <v>Quarterly Earnings 2003A</v>
          </cell>
          <cell r="B271" t="str">
            <v>1Q</v>
          </cell>
          <cell r="C271" t="str">
            <v>2Q</v>
          </cell>
          <cell r="D271" t="str">
            <v>3Q</v>
          </cell>
          <cell r="E271" t="str">
            <v>4Q</v>
          </cell>
          <cell r="F271" t="str">
            <v>Full Year</v>
          </cell>
          <cell r="H271" t="str">
            <v>Quarterly Earnings 2004A</v>
          </cell>
          <cell r="I271" t="str">
            <v>1Q</v>
          </cell>
          <cell r="J271" t="str">
            <v>2Q</v>
          </cell>
          <cell r="K271" t="str">
            <v>3Q</v>
          </cell>
          <cell r="L271" t="str">
            <v>4Q</v>
          </cell>
          <cell r="M271" t="str">
            <v>Full Year</v>
          </cell>
          <cell r="O271" t="str">
            <v>Quarterly Earnings 2005E</v>
          </cell>
          <cell r="P271" t="str">
            <v>1Q</v>
          </cell>
          <cell r="Q271" t="str">
            <v>2Q</v>
          </cell>
          <cell r="R271" t="str">
            <v>3Q</v>
          </cell>
          <cell r="S271" t="str">
            <v>4Q</v>
          </cell>
          <cell r="T271" t="str">
            <v>Full Yr.</v>
          </cell>
          <cell r="Z271" t="str">
            <v>Quarterly Earnings 2006E</v>
          </cell>
          <cell r="AA271" t="str">
            <v>1Q</v>
          </cell>
          <cell r="AB271" t="str">
            <v>2Q</v>
          </cell>
          <cell r="AC271" t="str">
            <v>3Q</v>
          </cell>
          <cell r="AD271" t="str">
            <v>4Q</v>
          </cell>
          <cell r="AE271" t="str">
            <v>Full Yr.</v>
          </cell>
        </row>
        <row r="272">
          <cell r="A272" t="str">
            <v>Total Revenues</v>
          </cell>
          <cell r="B272" t="str">
            <v>2003A</v>
          </cell>
          <cell r="C272" t="str">
            <v>2003A</v>
          </cell>
          <cell r="D272" t="str">
            <v>2003A</v>
          </cell>
          <cell r="E272" t="str">
            <v>2003A</v>
          </cell>
          <cell r="F272" t="str">
            <v>2003A</v>
          </cell>
          <cell r="H272" t="str">
            <v>Total Revenues</v>
          </cell>
          <cell r="I272" t="str">
            <v>2004A</v>
          </cell>
          <cell r="J272" t="str">
            <v>2004A</v>
          </cell>
          <cell r="K272" t="str">
            <v>2004A</v>
          </cell>
          <cell r="L272" t="str">
            <v>2004A</v>
          </cell>
          <cell r="M272" t="str">
            <v>2004A</v>
          </cell>
          <cell r="O272" t="str">
            <v>Total Revenues</v>
          </cell>
          <cell r="P272" t="str">
            <v>2005A</v>
          </cell>
          <cell r="Q272" t="str">
            <v>2005A</v>
          </cell>
          <cell r="R272" t="str">
            <v>2005A</v>
          </cell>
          <cell r="S272" t="str">
            <v>2005E</v>
          </cell>
          <cell r="T272" t="str">
            <v>2005E</v>
          </cell>
          <cell r="Z272" t="str">
            <v>Total Revenues</v>
          </cell>
          <cell r="AA272" t="str">
            <v>2006E</v>
          </cell>
          <cell r="AB272" t="str">
            <v>2006E</v>
          </cell>
          <cell r="AC272" t="str">
            <v>2006E</v>
          </cell>
          <cell r="AD272" t="str">
            <v>2006E</v>
          </cell>
          <cell r="AE272" t="str">
            <v>2006E</v>
          </cell>
        </row>
        <row r="273">
          <cell r="B273" t="str">
            <v>2003A</v>
          </cell>
          <cell r="C273" t="str">
            <v>2003A</v>
          </cell>
          <cell r="D273" t="str">
            <v>2003A</v>
          </cell>
          <cell r="E273" t="str">
            <v>2003A</v>
          </cell>
          <cell r="F273" t="str">
            <v>2003A</v>
          </cell>
          <cell r="I273" t="str">
            <v>2004A</v>
          </cell>
          <cell r="J273" t="str">
            <v>2004A</v>
          </cell>
          <cell r="K273" t="str">
            <v>2004A</v>
          </cell>
          <cell r="L273" t="str">
            <v>2004A</v>
          </cell>
          <cell r="M273" t="str">
            <v>2004A</v>
          </cell>
          <cell r="P273" t="str">
            <v>2005A</v>
          </cell>
          <cell r="Q273" t="str">
            <v>2005A</v>
          </cell>
          <cell r="R273" t="str">
            <v>2005A</v>
          </cell>
          <cell r="S273" t="str">
            <v>2005E</v>
          </cell>
          <cell r="T273" t="str">
            <v>2005E</v>
          </cell>
          <cell r="AA273" t="str">
            <v>2006E</v>
          </cell>
          <cell r="AB273" t="str">
            <v>2006E</v>
          </cell>
          <cell r="AC273" t="str">
            <v>2006E</v>
          </cell>
          <cell r="AD273" t="str">
            <v>2006E</v>
          </cell>
          <cell r="AE273" t="str">
            <v>2006E</v>
          </cell>
        </row>
        <row r="274">
          <cell r="A274" t="str">
            <v>% of Revenues</v>
          </cell>
          <cell r="H274" t="str">
            <v>% of Revenues</v>
          </cell>
          <cell r="O274" t="str">
            <v>% of Revenues</v>
          </cell>
          <cell r="Z274" t="str">
            <v>% of Revenues</v>
          </cell>
        </row>
        <row r="275">
          <cell r="A275" t="str">
            <v>% of Revenues</v>
          </cell>
          <cell r="B275">
            <v>2.4675910668213334E-2</v>
          </cell>
          <cell r="C275">
            <v>1.3156576499620026E-2</v>
          </cell>
          <cell r="D275">
            <v>1.7913991665404045E-2</v>
          </cell>
          <cell r="E275">
            <v>1.7783735478105449E-2</v>
          </cell>
          <cell r="F275">
            <v>1.8288384632287196E-2</v>
          </cell>
          <cell r="H275" t="str">
            <v>% of Revenues</v>
          </cell>
          <cell r="I275">
            <v>1.474414570685169E-2</v>
          </cell>
          <cell r="J275">
            <v>1.2986518394394089E-2</v>
          </cell>
          <cell r="K275">
            <v>1.2293272659354093E-2</v>
          </cell>
          <cell r="L275">
            <v>7.6852891633913539E-3</v>
          </cell>
          <cell r="M275">
            <v>1.1797369343442729E-2</v>
          </cell>
          <cell r="O275" t="str">
            <v>% of Revenues</v>
          </cell>
          <cell r="P275">
            <v>8.8915420384567036E-3</v>
          </cell>
          <cell r="Q275">
            <v>9.063845244037241E-3</v>
          </cell>
          <cell r="R275">
            <v>8.0827845964172914E-3</v>
          </cell>
          <cell r="S275">
            <v>8.2734076641103309E-3</v>
          </cell>
          <cell r="T275">
            <v>8.5326692277206198E-3</v>
          </cell>
          <cell r="Z275" t="str">
            <v>% of Revenues</v>
          </cell>
          <cell r="AA275">
            <v>8.6032879991979738E-3</v>
          </cell>
          <cell r="AB275">
            <v>7.8520143447791992E-3</v>
          </cell>
          <cell r="AC275">
            <v>7.0946399063855636E-3</v>
          </cell>
          <cell r="AD275">
            <v>7.02154547038012E-3</v>
          </cell>
          <cell r="AE275">
            <v>7.5906981026525391E-3</v>
          </cell>
        </row>
        <row r="276">
          <cell r="A276" t="str">
            <v>Revenues</v>
          </cell>
          <cell r="B276">
            <v>0.2915769358003038</v>
          </cell>
          <cell r="C276">
            <v>0.24427076084214078</v>
          </cell>
          <cell r="D276">
            <v>0.29951848897425704</v>
          </cell>
          <cell r="E276">
            <v>0.29084003574620193</v>
          </cell>
          <cell r="F276">
            <v>0.27986376156112019</v>
          </cell>
          <cell r="H276" t="str">
            <v>Revenues</v>
          </cell>
          <cell r="I276">
            <v>0.27026803783091724</v>
          </cell>
          <cell r="J276">
            <v>0.25417015766623502</v>
          </cell>
          <cell r="K276">
            <v>0.28712602302441675</v>
          </cell>
          <cell r="L276">
            <v>0.29481330713082537</v>
          </cell>
          <cell r="M276">
            <v>0.27739959783791762</v>
          </cell>
          <cell r="O276" t="str">
            <v>Revenues</v>
          </cell>
          <cell r="P276">
            <v>0.23520723890913661</v>
          </cell>
          <cell r="Q276">
            <v>0.21616589175494139</v>
          </cell>
          <cell r="R276">
            <v>0.19925624740553863</v>
          </cell>
          <cell r="S276">
            <v>0.20000000000000004</v>
          </cell>
          <cell r="T276">
            <v>0.21078480861294202</v>
          </cell>
          <cell r="Z276" t="str">
            <v>Revenues</v>
          </cell>
          <cell r="AA276">
            <v>0.19999999999999998</v>
          </cell>
          <cell r="AB276">
            <v>0.2</v>
          </cell>
          <cell r="AC276">
            <v>0.20000000000000004</v>
          </cell>
          <cell r="AD276">
            <v>0.20000000000000007</v>
          </cell>
          <cell r="AE276">
            <v>0.20000000000000009</v>
          </cell>
        </row>
        <row r="277">
          <cell r="A277" t="str">
            <v>Transaction fees, net</v>
          </cell>
          <cell r="B277">
            <v>0.13319666560535054</v>
          </cell>
          <cell r="C277">
            <v>0.14752990226722007</v>
          </cell>
          <cell r="D277">
            <v>0.21262645549592504</v>
          </cell>
          <cell r="E277">
            <v>0.16085790884718498</v>
          </cell>
          <cell r="F277">
            <v>0.16148519538819997</v>
          </cell>
          <cell r="H277" t="str">
            <v>Transaction fees, net</v>
          </cell>
          <cell r="I277">
            <v>0.13401891545863792</v>
          </cell>
          <cell r="J277">
            <v>0.16436895422347472</v>
          </cell>
          <cell r="K277">
            <v>0.1216762318742147</v>
          </cell>
          <cell r="L277">
            <v>0.1185780460415497</v>
          </cell>
          <cell r="M277">
            <v>0.13395871381924843</v>
          </cell>
          <cell r="O277" t="str">
            <v>Transaction fees, net</v>
          </cell>
          <cell r="P277">
            <v>0.12203091617443761</v>
          </cell>
          <cell r="Q277">
            <v>8.6067134075769228E-2</v>
          </cell>
          <cell r="R277">
            <v>6.735629518495817E-2</v>
          </cell>
          <cell r="S277">
            <v>6.0326713138474576E-2</v>
          </cell>
          <cell r="T277">
            <v>8.1009654420392666E-2</v>
          </cell>
          <cell r="Z277" t="str">
            <v>Transaction fees, net</v>
          </cell>
          <cell r="AA277">
            <v>7.7958315370609418E-2</v>
          </cell>
          <cell r="AB277">
            <v>7.2573695877058725E-2</v>
          </cell>
          <cell r="AC277">
            <v>6.6884992900061238E-2</v>
          </cell>
          <cell r="AD277">
            <v>6.7519810114866588E-2</v>
          </cell>
          <cell r="AE277">
            <v>7.087391058561647E-2</v>
          </cell>
        </row>
        <row r="278">
          <cell r="A278" t="str">
            <v>Futures</v>
          </cell>
          <cell r="B278">
            <v>0.12949223780681193</v>
          </cell>
          <cell r="C278">
            <v>0.14072263905705107</v>
          </cell>
          <cell r="D278">
            <v>0.13137424750854074</v>
          </cell>
          <cell r="E278">
            <v>0.45911528150134046</v>
          </cell>
          <cell r="F278">
            <v>0.1322467421823775</v>
          </cell>
          <cell r="H278" t="str">
            <v>Futures</v>
          </cell>
          <cell r="I278">
            <v>0.49002601908065913</v>
          </cell>
          <cell r="J278">
            <v>0.4464544138929088</v>
          </cell>
          <cell r="K278">
            <v>0.41179067477162357</v>
          </cell>
          <cell r="L278">
            <v>0.34338152723189219</v>
          </cell>
          <cell r="M278">
            <v>0.37884881236646978</v>
          </cell>
          <cell r="O278" t="str">
            <v>Futures</v>
          </cell>
          <cell r="P278">
            <v>0.37884881236646978</v>
          </cell>
          <cell r="Q278">
            <v>0.36957656384710924</v>
          </cell>
          <cell r="R278">
            <v>0.35456621445590669</v>
          </cell>
          <cell r="S278">
            <v>0.37763044741166985</v>
          </cell>
          <cell r="T278">
            <v>0.36930741002086365</v>
          </cell>
          <cell r="Z278" t="str">
            <v>Futures</v>
          </cell>
          <cell r="AA278">
            <v>0.45094604888836942</v>
          </cell>
          <cell r="AB278">
            <v>0.43018663145280001</v>
          </cell>
          <cell r="AC278">
            <v>0.43330060596392078</v>
          </cell>
          <cell r="AD278">
            <v>0.45557028743135292</v>
          </cell>
          <cell r="AE278">
            <v>0.44243658184953188</v>
          </cell>
        </row>
        <row r="279">
          <cell r="A279" t="str">
            <v>OTC</v>
          </cell>
          <cell r="B279">
            <v>0.20263454664732716</v>
          </cell>
          <cell r="C279">
            <v>0.18952218775332205</v>
          </cell>
          <cell r="D279">
            <v>0.23147756248079371</v>
          </cell>
          <cell r="E279">
            <v>0.3697944593386952</v>
          </cell>
          <cell r="F279">
            <v>0.20631863027146019</v>
          </cell>
          <cell r="H279" t="str">
            <v>OTC</v>
          </cell>
          <cell r="I279">
            <v>0.35084458761822157</v>
          </cell>
          <cell r="J279">
            <v>0.40132531038159802</v>
          </cell>
          <cell r="K279">
            <v>0.44435765952389034</v>
          </cell>
          <cell r="L279">
            <v>0.46634615384615385</v>
          </cell>
          <cell r="M279">
            <v>0.47213145657911276</v>
          </cell>
          <cell r="O279" t="str">
            <v>OTC</v>
          </cell>
          <cell r="P279">
            <v>0.47213145657911276</v>
          </cell>
          <cell r="Q279">
            <v>0.51065347744634371</v>
          </cell>
          <cell r="R279">
            <v>0.5440755310006834</v>
          </cell>
          <cell r="S279">
            <v>0.5119116230188514</v>
          </cell>
          <cell r="T279">
            <v>0.51281541217465809</v>
          </cell>
          <cell r="Z279" t="str">
            <v>OTC</v>
          </cell>
          <cell r="AA279">
            <v>0.44227333228854188</v>
          </cell>
          <cell r="AB279">
            <v>0.46924138711860969</v>
          </cell>
          <cell r="AC279">
            <v>0.47142299964407303</v>
          </cell>
          <cell r="AD279">
            <v>0.44769662355755918</v>
          </cell>
          <cell r="AE279">
            <v>0.4580718324694093</v>
          </cell>
        </row>
        <row r="280">
          <cell r="A280" t="str">
            <v>Total transaction fees, net</v>
          </cell>
          <cell r="B280">
            <v>0.89254229903420235</v>
          </cell>
          <cell r="C280">
            <v>0.90316483530323499</v>
          </cell>
          <cell r="D280">
            <v>0.84000231711193396</v>
          </cell>
          <cell r="E280">
            <v>0.82890974084003577</v>
          </cell>
          <cell r="F280">
            <v>0.79820271403544507</v>
          </cell>
          <cell r="H280" t="str">
            <v>Total transaction fees, net</v>
          </cell>
          <cell r="I280">
            <v>0.8408706066988807</v>
          </cell>
          <cell r="J280">
            <v>0.84777972427450687</v>
          </cell>
          <cell r="K280">
            <v>0.85614833429551396</v>
          </cell>
          <cell r="L280">
            <v>0.80972768107804605</v>
          </cell>
          <cell r="M280">
            <v>0.85098026894558254</v>
          </cell>
          <cell r="O280" t="str">
            <v>Total transaction fees, net</v>
          </cell>
          <cell r="P280">
            <v>0.85098026894558254</v>
          </cell>
          <cell r="Q280">
            <v>0.88023004129345306</v>
          </cell>
          <cell r="R280">
            <v>0.89864174545659004</v>
          </cell>
          <cell r="S280">
            <v>0.88954207043052114</v>
          </cell>
          <cell r="T280">
            <v>0.88212282219552174</v>
          </cell>
          <cell r="Z280" t="str">
            <v>Total transaction fees, net</v>
          </cell>
          <cell r="AA280">
            <v>0.89321938117691135</v>
          </cell>
          <cell r="AB280">
            <v>0.89942801857140975</v>
          </cell>
          <cell r="AC280">
            <v>0.90472360560799381</v>
          </cell>
          <cell r="AD280">
            <v>0.9032669109889121</v>
          </cell>
          <cell r="AE280">
            <v>0.90050841431894124</v>
          </cell>
        </row>
        <row r="281">
          <cell r="A281" t="str">
            <v>Total transaction fees, net</v>
          </cell>
          <cell r="B281">
            <v>0.89254229903420235</v>
          </cell>
          <cell r="C281">
            <v>0.90316483530323499</v>
          </cell>
          <cell r="D281">
            <v>0.84000231711193396</v>
          </cell>
          <cell r="E281">
            <v>0.82890974084003577</v>
          </cell>
          <cell r="H281" t="str">
            <v>Total transaction fees, net</v>
          </cell>
          <cell r="I281">
            <v>0.8408706066988807</v>
          </cell>
          <cell r="J281">
            <v>0.84777972427450687</v>
          </cell>
          <cell r="K281">
            <v>0.85614833429551396</v>
          </cell>
          <cell r="L281">
            <v>0.80972768107804605</v>
          </cell>
          <cell r="M281">
            <v>0.85098026894558254</v>
          </cell>
          <cell r="O281" t="str">
            <v>Total transaction fees, net</v>
          </cell>
          <cell r="P281">
            <v>0.85098026894558254</v>
          </cell>
          <cell r="Q281">
            <v>0.88023004129345306</v>
          </cell>
          <cell r="R281">
            <v>0.89864174545659004</v>
          </cell>
          <cell r="S281">
            <v>0.88954207043052114</v>
          </cell>
          <cell r="T281">
            <v>0.88212282219552174</v>
          </cell>
          <cell r="Z281" t="str">
            <v>Total transaction fees, net</v>
          </cell>
          <cell r="AA281">
            <v>0.89321938117691135</v>
          </cell>
          <cell r="AB281">
            <v>0.89942801857140975</v>
          </cell>
          <cell r="AC281">
            <v>0.90472360560799381</v>
          </cell>
          <cell r="AD281">
            <v>0.9032669109889121</v>
          </cell>
          <cell r="AE281">
            <v>0.90050841431894124</v>
          </cell>
        </row>
        <row r="282">
          <cell r="A282" t="str">
            <v>Data services fees</v>
          </cell>
          <cell r="B282">
            <v>7.1888631731780381E-2</v>
          </cell>
          <cell r="C282">
            <v>7.3820222259727175E-2</v>
          </cell>
          <cell r="D282">
            <v>9.3778098521698897E-2</v>
          </cell>
          <cell r="E282">
            <v>9.4057193923145654E-2</v>
          </cell>
          <cell r="F282">
            <v>0.2017972859645549</v>
          </cell>
          <cell r="H282" t="str">
            <v>Data services fees</v>
          </cell>
          <cell r="I282">
            <v>8.7969272704745374E-2</v>
          </cell>
          <cell r="J282">
            <v>9.0715210602483054E-2</v>
          </cell>
          <cell r="K282">
            <v>8.4932251163106598E-2</v>
          </cell>
          <cell r="L282">
            <v>9.3978102189781018E-2</v>
          </cell>
          <cell r="M282">
            <v>8.4391102174186244E-2</v>
          </cell>
          <cell r="O282" t="str">
            <v>Data services fees</v>
          </cell>
          <cell r="P282">
            <v>8.4391102174186244E-2</v>
          </cell>
          <cell r="Q282">
            <v>7.4585666568503725E-2</v>
          </cell>
          <cell r="R282">
            <v>6.6254482055665212E-2</v>
          </cell>
          <cell r="S282">
            <v>7.2762007721825311E-2</v>
          </cell>
          <cell r="T282">
            <v>7.3679850845701542E-2</v>
          </cell>
          <cell r="Z282" t="str">
            <v>Data services fees</v>
          </cell>
          <cell r="AA282">
            <v>7.1582195160594581E-2</v>
          </cell>
          <cell r="AB282">
            <v>6.868190976952622E-2</v>
          </cell>
          <cell r="AC282">
            <v>6.5040146842357288E-2</v>
          </cell>
          <cell r="AD282">
            <v>6.8098539413019188E-2</v>
          </cell>
          <cell r="AE282">
            <v>6.8189381779838562E-2</v>
          </cell>
        </row>
        <row r="283">
          <cell r="A283" t="str">
            <v>Trading access fees</v>
          </cell>
          <cell r="B283">
            <v>2.0678286526808788E-2</v>
          </cell>
          <cell r="C283">
            <v>2.2174419210286001E-2</v>
          </cell>
          <cell r="D283">
            <v>2.9813906827815685E-2</v>
          </cell>
          <cell r="E283">
            <v>3.3735478105451293E-2</v>
          </cell>
          <cell r="H283" t="str">
            <v>Trading access fees</v>
          </cell>
          <cell r="I283">
            <v>3.8202618428117126E-2</v>
          </cell>
          <cell r="J283">
            <v>3.2713839591743468E-2</v>
          </cell>
          <cell r="K283">
            <v>2.8593744693856761E-2</v>
          </cell>
          <cell r="L283">
            <v>3.4004772599663113E-2</v>
          </cell>
          <cell r="M283">
            <v>3.3586778936785217E-2</v>
          </cell>
          <cell r="O283" t="str">
            <v>Trading access fees</v>
          </cell>
          <cell r="P283">
            <v>3.3586778936785217E-2</v>
          </cell>
          <cell r="Q283">
            <v>2.4419178588242042E-2</v>
          </cell>
          <cell r="R283">
            <v>2.2347056460209389E-2</v>
          </cell>
          <cell r="S283">
            <v>2.237831566557601E-2</v>
          </cell>
          <cell r="T283">
            <v>2.5128745040684481E-2</v>
          </cell>
          <cell r="Z283" t="str">
            <v>Trading access fees</v>
          </cell>
          <cell r="AA283">
            <v>2.1950743554665898E-2</v>
          </cell>
          <cell r="AB283">
            <v>1.9784428059521499E-2</v>
          </cell>
          <cell r="AC283">
            <v>1.9318382167080334E-2</v>
          </cell>
          <cell r="AD283">
            <v>1.7747637405307576E-2</v>
          </cell>
          <cell r="AE283">
            <v>1.9590456443934322E-2</v>
          </cell>
        </row>
        <row r="284">
          <cell r="A284" t="str">
            <v>Other revenues</v>
          </cell>
          <cell r="B284">
            <v>1.4890782707208531E-2</v>
          </cell>
          <cell r="C284">
            <v>8.4052322675186233E-4</v>
          </cell>
          <cell r="D284">
            <v>3.6405677538551381E-2</v>
          </cell>
          <cell r="E284">
            <v>4.3297587131367284E-2</v>
          </cell>
          <cell r="F284">
            <v>1.7212149906231614E-2</v>
          </cell>
          <cell r="H284" t="str">
            <v>Other revenues</v>
          </cell>
          <cell r="I284">
            <v>3.2957502168256721E-2</v>
          </cell>
          <cell r="J284">
            <v>2.8791225531266659E-2</v>
          </cell>
          <cell r="K284">
            <v>3.032566984752267E-2</v>
          </cell>
          <cell r="L284">
            <v>6.2289444132509829E-2</v>
          </cell>
          <cell r="M284">
            <v>3.1041849943446023E-2</v>
          </cell>
          <cell r="O284" t="str">
            <v>Other revenues</v>
          </cell>
          <cell r="P284">
            <v>3.1041849943446023E-2</v>
          </cell>
          <cell r="Q284">
            <v>2.0765113549801283E-2</v>
          </cell>
          <cell r="R284">
            <v>1.2756716027535338E-2</v>
          </cell>
          <cell r="S284">
            <v>1.5317606182077472E-2</v>
          </cell>
          <cell r="T284">
            <v>1.9068581918092301E-2</v>
          </cell>
          <cell r="Z284" t="str">
            <v>Other revenues</v>
          </cell>
          <cell r="AA284">
            <v>1.3247680107828178E-2</v>
          </cell>
          <cell r="AB284">
            <v>1.2105643599542441E-2</v>
          </cell>
          <cell r="AC284">
            <v>1.0917865382568628E-2</v>
          </cell>
          <cell r="AD284">
            <v>1.088691219276116E-2</v>
          </cell>
          <cell r="AE284">
            <v>1.1711747457285919E-2</v>
          </cell>
        </row>
        <row r="285">
          <cell r="A285" t="str">
            <v>Total Revenues</v>
          </cell>
          <cell r="B285">
            <v>1</v>
          </cell>
          <cell r="C285">
            <v>1</v>
          </cell>
          <cell r="D285">
            <v>1</v>
          </cell>
          <cell r="E285">
            <v>1</v>
          </cell>
          <cell r="F285">
            <v>-7.0994028727761191E-3</v>
          </cell>
          <cell r="H285" t="str">
            <v>Total Revenues</v>
          </cell>
          <cell r="I285">
            <v>0.99999999999999989</v>
          </cell>
          <cell r="J285">
            <v>1</v>
          </cell>
          <cell r="K285">
            <v>1</v>
          </cell>
          <cell r="L285">
            <v>1</v>
          </cell>
          <cell r="M285">
            <v>1</v>
          </cell>
          <cell r="O285" t="str">
            <v>Total Revenues</v>
          </cell>
          <cell r="P285">
            <v>1</v>
          </cell>
          <cell r="Q285">
            <v>1</v>
          </cell>
          <cell r="R285">
            <v>1</v>
          </cell>
          <cell r="S285">
            <v>0.99999999999999989</v>
          </cell>
          <cell r="T285">
            <v>1</v>
          </cell>
          <cell r="Z285" t="str">
            <v>Total Revenues</v>
          </cell>
          <cell r="AA285">
            <v>1</v>
          </cell>
          <cell r="AB285">
            <v>0.99999999999999989</v>
          </cell>
          <cell r="AC285">
            <v>1</v>
          </cell>
          <cell r="AD285">
            <v>1</v>
          </cell>
          <cell r="AE285">
            <v>1</v>
          </cell>
        </row>
        <row r="286">
          <cell r="A286" t="str">
            <v>Total Revenues</v>
          </cell>
          <cell r="B286">
            <v>1</v>
          </cell>
          <cell r="C286">
            <v>1</v>
          </cell>
          <cell r="D286">
            <v>1</v>
          </cell>
          <cell r="E286">
            <v>1</v>
          </cell>
          <cell r="H286" t="str">
            <v>Total Revenues</v>
          </cell>
          <cell r="I286">
            <v>0.99999999999999989</v>
          </cell>
          <cell r="J286">
            <v>1</v>
          </cell>
          <cell r="K286">
            <v>1</v>
          </cell>
          <cell r="L286">
            <v>1</v>
          </cell>
          <cell r="M286">
            <v>1</v>
          </cell>
          <cell r="O286" t="str">
            <v>Total Revenues</v>
          </cell>
          <cell r="P286">
            <v>1</v>
          </cell>
          <cell r="Q286">
            <v>1</v>
          </cell>
          <cell r="R286">
            <v>1</v>
          </cell>
          <cell r="S286">
            <v>0.99999999999999989</v>
          </cell>
          <cell r="T286">
            <v>1</v>
          </cell>
          <cell r="Z286" t="str">
            <v>Total Revenues</v>
          </cell>
          <cell r="AA286">
            <v>1</v>
          </cell>
          <cell r="AB286">
            <v>0.99999999999999989</v>
          </cell>
          <cell r="AC286">
            <v>1</v>
          </cell>
          <cell r="AD286">
            <v>1</v>
          </cell>
          <cell r="AE286">
            <v>1</v>
          </cell>
        </row>
        <row r="287">
          <cell r="A287" t="str">
            <v>Operating Expenses</v>
          </cell>
          <cell r="B287">
            <v>0.23523821995973609</v>
          </cell>
          <cell r="C287">
            <v>0.27297995699018712</v>
          </cell>
          <cell r="D287">
            <v>0.11687804393902701</v>
          </cell>
          <cell r="E287">
            <v>0.20326184092940136</v>
          </cell>
          <cell r="F287">
            <v>0.21191003299801039</v>
          </cell>
          <cell r="H287" t="str">
            <v>Operating Expenses</v>
          </cell>
          <cell r="I287">
            <v>0.29822822450749598</v>
          </cell>
          <cell r="J287">
            <v>0.32081651306268583</v>
          </cell>
          <cell r="K287">
            <v>0.36037626922946303</v>
          </cell>
          <cell r="L287">
            <v>0.26196659180235815</v>
          </cell>
          <cell r="M287">
            <v>0.42100741485484489</v>
          </cell>
          <cell r="O287" t="str">
            <v>Operating Expenses</v>
          </cell>
          <cell r="P287">
            <v>0.42100741485484489</v>
          </cell>
          <cell r="Q287">
            <v>0.50662168224430548</v>
          </cell>
          <cell r="R287">
            <v>0.56527928947154038</v>
          </cell>
          <cell r="S287">
            <v>0.56248658481817793</v>
          </cell>
          <cell r="T287">
            <v>0.52126577771216798</v>
          </cell>
          <cell r="Z287" t="str">
            <v>Operating Expenses</v>
          </cell>
          <cell r="AA287">
            <v>0.52146924681981588</v>
          </cell>
          <cell r="AB287">
            <v>0.53818180758155243</v>
          </cell>
          <cell r="AC287">
            <v>0.5412795682842374</v>
          </cell>
          <cell r="AD287">
            <v>0.55365031953003385</v>
          </cell>
          <cell r="AE287">
            <v>0.53950460508301379</v>
          </cell>
        </row>
        <row r="288">
          <cell r="A288" t="str">
            <v>Cost of hosting</v>
          </cell>
          <cell r="B288">
            <v>2.4675910668213334E-2</v>
          </cell>
          <cell r="C288">
            <v>1.3156576499620026E-2</v>
          </cell>
          <cell r="D288">
            <v>1.7913991665404045E-2</v>
          </cell>
          <cell r="E288">
            <v>1.7783735478105449E-2</v>
          </cell>
          <cell r="F288">
            <v>1.8288384632287196E-2</v>
          </cell>
          <cell r="H288" t="str">
            <v>Cost of hosting</v>
          </cell>
          <cell r="I288">
            <v>1.474414570685169E-2</v>
          </cell>
          <cell r="J288">
            <v>1.2986518394394089E-2</v>
          </cell>
          <cell r="K288">
            <v>1.2293272659354093E-2</v>
          </cell>
          <cell r="L288">
            <v>7.6852891633913539E-3</v>
          </cell>
          <cell r="M288">
            <v>1.1797369343442729E-2</v>
          </cell>
          <cell r="O288" t="str">
            <v>Cost of hosting</v>
          </cell>
          <cell r="P288">
            <v>8.8915420384567036E-3</v>
          </cell>
          <cell r="Q288">
            <v>9.063845244037241E-3</v>
          </cell>
          <cell r="R288">
            <v>8.0827845964172914E-3</v>
          </cell>
          <cell r="S288">
            <v>8.2734076641103309E-3</v>
          </cell>
          <cell r="T288">
            <v>8.5326692277206198E-3</v>
          </cell>
          <cell r="Z288" t="str">
            <v>Cost of hosting</v>
          </cell>
          <cell r="AA288">
            <v>7.9842235518245569E-3</v>
          </cell>
          <cell r="AB288">
            <v>7.2959313593590706E-3</v>
          </cell>
          <cell r="AC288">
            <v>6.580071168207368E-3</v>
          </cell>
          <cell r="AD288">
            <v>6.5614160387769058E-3</v>
          </cell>
          <cell r="AE288">
            <v>7.0585347110116384E-3</v>
          </cell>
        </row>
        <row r="289">
          <cell r="A289" t="str">
            <v>Compensation and benefits</v>
          </cell>
          <cell r="B289">
            <v>0.2915769358003038</v>
          </cell>
          <cell r="C289">
            <v>0.24427076084214078</v>
          </cell>
          <cell r="D289">
            <v>0.29951848897425704</v>
          </cell>
          <cell r="E289">
            <v>0.29084003574620193</v>
          </cell>
          <cell r="F289">
            <v>0.27986376156112019</v>
          </cell>
          <cell r="H289" t="str">
            <v>Compensation and benefits</v>
          </cell>
          <cell r="I289">
            <v>0.27026803783091724</v>
          </cell>
          <cell r="J289">
            <v>0.25417015766623502</v>
          </cell>
          <cell r="K289">
            <v>0.28712602302441675</v>
          </cell>
          <cell r="L289">
            <v>0.29481330713082537</v>
          </cell>
          <cell r="M289">
            <v>0.27739959783791762</v>
          </cell>
          <cell r="O289" t="str">
            <v>Compensation and benefits</v>
          </cell>
          <cell r="P289">
            <v>0.23520723890913661</v>
          </cell>
          <cell r="Q289">
            <v>0.21616589175494139</v>
          </cell>
          <cell r="R289">
            <v>0.19925624740553863</v>
          </cell>
          <cell r="S289">
            <v>0.20000000000000004</v>
          </cell>
          <cell r="T289">
            <v>0.21078480861294202</v>
          </cell>
          <cell r="Z289" t="str">
            <v>Compensation and benefits</v>
          </cell>
          <cell r="AA289">
            <v>0.18848692365186651</v>
          </cell>
          <cell r="AB289">
            <v>0.18937693639486536</v>
          </cell>
          <cell r="AC289">
            <v>0.18984590841881802</v>
          </cell>
          <cell r="AD289">
            <v>0.19049799394393813</v>
          </cell>
          <cell r="AE289">
            <v>0.18960749670900098</v>
          </cell>
        </row>
        <row r="290">
          <cell r="A290" t="str">
            <v>Professional services</v>
          </cell>
          <cell r="B290">
            <v>0.13319666560535054</v>
          </cell>
          <cell r="C290">
            <v>0.14752990226722007</v>
          </cell>
          <cell r="D290">
            <v>0.21262645549592504</v>
          </cell>
          <cell r="E290">
            <v>0.16085790884718498</v>
          </cell>
          <cell r="F290">
            <v>0.16148519538819997</v>
          </cell>
          <cell r="H290" t="str">
            <v>Professional services</v>
          </cell>
          <cell r="I290">
            <v>0.13401891545863792</v>
          </cell>
          <cell r="J290">
            <v>0.16436895422347472</v>
          </cell>
          <cell r="K290">
            <v>0.1216762318742147</v>
          </cell>
          <cell r="L290">
            <v>0.1185780460415497</v>
          </cell>
          <cell r="M290">
            <v>0.13395871381924843</v>
          </cell>
          <cell r="O290" t="str">
            <v>Professional services</v>
          </cell>
          <cell r="P290">
            <v>0.12203091617443761</v>
          </cell>
          <cell r="Q290">
            <v>8.6067134075769228E-2</v>
          </cell>
          <cell r="R290">
            <v>6.735629518495817E-2</v>
          </cell>
          <cell r="S290">
            <v>6.0326713138474576E-2</v>
          </cell>
          <cell r="T290">
            <v>8.1009654420392666E-2</v>
          </cell>
          <cell r="Z290" t="str">
            <v>Professional services</v>
          </cell>
          <cell r="AA290">
            <v>7.2348690140398839E-2</v>
          </cell>
          <cell r="AB290">
            <v>6.7433995961314108E-2</v>
          </cell>
          <cell r="AC290">
            <v>6.2033876162104602E-2</v>
          </cell>
          <cell r="AD290">
            <v>6.3095164289931324E-2</v>
          </cell>
          <cell r="AE290">
            <v>6.590513167674171E-2</v>
          </cell>
        </row>
        <row r="291">
          <cell r="A291" t="str">
            <v>Selling, general, and administrative</v>
          </cell>
          <cell r="B291">
            <v>0.12949223780681193</v>
          </cell>
          <cell r="C291">
            <v>0.14072263905705107</v>
          </cell>
          <cell r="D291">
            <v>0.13137424750854074</v>
          </cell>
          <cell r="E291">
            <v>0.12605004468275244</v>
          </cell>
          <cell r="F291">
            <v>0.1322467421823775</v>
          </cell>
          <cell r="H291" t="str">
            <v>Selling, general, and administrative</v>
          </cell>
          <cell r="I291">
            <v>0.12840209804650393</v>
          </cell>
          <cell r="J291">
            <v>0.11775458907761444</v>
          </cell>
          <cell r="K291">
            <v>0.11043569803375555</v>
          </cell>
          <cell r="L291">
            <v>0.12868472768107805</v>
          </cell>
          <cell r="M291">
            <v>0.121017580755253</v>
          </cell>
          <cell r="O291" t="str">
            <v>Selling, general, and administrative</v>
          </cell>
          <cell r="P291">
            <v>0.10710694985547316</v>
          </cell>
          <cell r="Q291">
            <v>0.1014720285164957</v>
          </cell>
          <cell r="R291">
            <v>8.5803354867593024E-2</v>
          </cell>
          <cell r="S291">
            <v>8.9495677427156611E-2</v>
          </cell>
          <cell r="T291">
            <v>9.4863411784199062E-2</v>
          </cell>
          <cell r="Z291" t="str">
            <v>Selling, general, and administrative</v>
          </cell>
          <cell r="AA291">
            <v>0.10644037660715884</v>
          </cell>
          <cell r="AB291">
            <v>0.10523349610797648</v>
          </cell>
          <cell r="AC291">
            <v>0.10367317126987752</v>
          </cell>
          <cell r="AD291">
            <v>9.8244621809700297E-2</v>
          </cell>
          <cell r="AE291">
            <v>0.10320219456707064</v>
          </cell>
        </row>
        <row r="292">
          <cell r="A292" t="str">
            <v>Depreciation and amortization</v>
          </cell>
          <cell r="B292">
            <v>0.20263454664732716</v>
          </cell>
          <cell r="C292">
            <v>0.18952218775332205</v>
          </cell>
          <cell r="D292">
            <v>0.23147756248079371</v>
          </cell>
          <cell r="E292">
            <v>0.20665773011617514</v>
          </cell>
          <cell r="F292">
            <v>0.20631863027146019</v>
          </cell>
          <cell r="H292" t="str">
            <v>Depreciation and amortization</v>
          </cell>
          <cell r="I292">
            <v>0.16850452236401933</v>
          </cell>
          <cell r="J292">
            <v>0.15576205346941882</v>
          </cell>
          <cell r="K292">
            <v>0.13848609365979558</v>
          </cell>
          <cell r="L292">
            <v>0.16760247052217855</v>
          </cell>
          <cell r="M292">
            <v>0.15702769015071855</v>
          </cell>
          <cell r="O292" t="str">
            <v>Depreciation and amortization</v>
          </cell>
          <cell r="P292">
            <v>0.12435591303254996</v>
          </cell>
          <cell r="Q292">
            <v>0.10119304750543015</v>
          </cell>
          <cell r="R292">
            <v>8.1178400767264361E-2</v>
          </cell>
          <cell r="S292">
            <v>9.1905637092464826E-2</v>
          </cell>
          <cell r="T292">
            <v>9.7611403266477784E-2</v>
          </cell>
          <cell r="Z292" t="str">
            <v>Depreciation and amortization</v>
          </cell>
          <cell r="AA292">
            <v>7.065429390841696E-2</v>
          </cell>
          <cell r="AB292">
            <v>6.2545825264302621E-2</v>
          </cell>
          <cell r="AC292">
            <v>5.4589326912843149E-2</v>
          </cell>
          <cell r="AD292">
            <v>4.8991104867425223E-2</v>
          </cell>
          <cell r="AE292">
            <v>5.8558737286429602E-2</v>
          </cell>
        </row>
        <row r="293">
          <cell r="A293" t="str">
            <v>Total Operating Expenses</v>
          </cell>
          <cell r="B293">
            <v>0.78157629652800675</v>
          </cell>
          <cell r="C293">
            <v>0.73520206641935393</v>
          </cell>
          <cell r="D293">
            <v>0.89291074612492061</v>
          </cell>
          <cell r="E293">
            <v>0.80218945487041993</v>
          </cell>
          <cell r="F293">
            <v>0.79820271403544507</v>
          </cell>
          <cell r="H293" t="str">
            <v>Total Operating Expenses</v>
          </cell>
          <cell r="I293">
            <v>0.71593771940693018</v>
          </cell>
          <cell r="J293">
            <v>0.70504227283113707</v>
          </cell>
          <cell r="K293">
            <v>0.67001731925153674</v>
          </cell>
          <cell r="L293">
            <v>0.71736384053902302</v>
          </cell>
          <cell r="M293">
            <v>0.70120095190658038</v>
          </cell>
          <cell r="O293" t="str">
            <v>Total Operating Expenses</v>
          </cell>
          <cell r="P293">
            <v>0.61016011059444508</v>
          </cell>
          <cell r="Q293">
            <v>0.52462024742391544</v>
          </cell>
          <cell r="R293">
            <v>0.45052217658617488</v>
          </cell>
          <cell r="S293">
            <v>0.45943236762077155</v>
          </cell>
          <cell r="T293">
            <v>0.50299313154225289</v>
          </cell>
          <cell r="Z293" t="str">
            <v>Total Operating Expenses</v>
          </cell>
          <cell r="AA293">
            <v>0.48235004404956244</v>
          </cell>
          <cell r="AB293">
            <v>0.46518074020109257</v>
          </cell>
          <cell r="AC293">
            <v>0.45948399334691115</v>
          </cell>
          <cell r="AD293">
            <v>0.45003070703808634</v>
          </cell>
          <cell r="AE293">
            <v>0.46337320509911711</v>
          </cell>
        </row>
        <row r="294">
          <cell r="A294" t="str">
            <v>Total Operating Expenses</v>
          </cell>
          <cell r="B294">
            <v>0.78157629652800675</v>
          </cell>
          <cell r="C294">
            <v>0.73520206641935393</v>
          </cell>
          <cell r="D294">
            <v>0.89291074612492061</v>
          </cell>
          <cell r="E294">
            <v>0.80218945487041993</v>
          </cell>
          <cell r="F294">
            <v>0.79820271403544507</v>
          </cell>
          <cell r="H294" t="str">
            <v>Total Operating Expenses</v>
          </cell>
          <cell r="I294">
            <v>0.71593771940693018</v>
          </cell>
          <cell r="J294">
            <v>0.70504227283113707</v>
          </cell>
          <cell r="K294">
            <v>0.67001731925153674</v>
          </cell>
          <cell r="L294">
            <v>0.71736384053902302</v>
          </cell>
          <cell r="M294">
            <v>0.70120095190658038</v>
          </cell>
          <cell r="O294" t="str">
            <v>Total Operating Expenses</v>
          </cell>
          <cell r="P294">
            <v>0.61016011059444508</v>
          </cell>
          <cell r="Q294">
            <v>0.52462024742391544</v>
          </cell>
          <cell r="R294">
            <v>0.45052217658617488</v>
          </cell>
          <cell r="S294">
            <v>0.45943236762077155</v>
          </cell>
          <cell r="T294">
            <v>0.50299313154225289</v>
          </cell>
          <cell r="Z294" t="str">
            <v>Total Operating Expenses</v>
          </cell>
          <cell r="AA294">
            <v>0.48235004404956244</v>
          </cell>
          <cell r="AB294">
            <v>0.46518074020109257</v>
          </cell>
          <cell r="AC294">
            <v>0.45948399334691115</v>
          </cell>
          <cell r="AD294">
            <v>0.45003070703808634</v>
          </cell>
          <cell r="AE294">
            <v>0.46337320509911711</v>
          </cell>
        </row>
        <row r="295">
          <cell r="A295" t="str">
            <v>Pretax Operating Income</v>
          </cell>
          <cell r="B295">
            <v>0.21842370347199327</v>
          </cell>
          <cell r="C295">
            <v>0.26479793358064602</v>
          </cell>
          <cell r="D295">
            <v>0.10708925387507941</v>
          </cell>
          <cell r="E295">
            <v>0.1978105451295801</v>
          </cell>
          <cell r="F295">
            <v>0.2017972859645549</v>
          </cell>
          <cell r="H295" t="str">
            <v>Pretax Operating Income</v>
          </cell>
          <cell r="I295">
            <v>0.28406228059306982</v>
          </cell>
          <cell r="J295">
            <v>0.29495772716886298</v>
          </cell>
          <cell r="K295">
            <v>0.32998268074846332</v>
          </cell>
          <cell r="L295">
            <v>0.28263615946097692</v>
          </cell>
          <cell r="M295">
            <v>0.38983988940555492</v>
          </cell>
          <cell r="O295" t="str">
            <v>Pretax Operating Income</v>
          </cell>
          <cell r="P295">
            <v>0.38983988940555492</v>
          </cell>
          <cell r="Q295">
            <v>0.4753797525760845</v>
          </cell>
          <cell r="R295">
            <v>0.54947782341382512</v>
          </cell>
          <cell r="S295">
            <v>0.54056763237922845</v>
          </cell>
          <cell r="T295">
            <v>0.49700686845774711</v>
          </cell>
          <cell r="Z295" t="str">
            <v>Pretax Operating Income</v>
          </cell>
          <cell r="AA295">
            <v>0.5176499559504375</v>
          </cell>
          <cell r="AB295">
            <v>0.53481925979890743</v>
          </cell>
          <cell r="AC295">
            <v>0.54051600665308885</v>
          </cell>
          <cell r="AD295">
            <v>0.54996929296191366</v>
          </cell>
          <cell r="AE295">
            <v>0.53662679490088283</v>
          </cell>
        </row>
        <row r="296">
          <cell r="A296" t="str">
            <v>Pretax Operating Income</v>
          </cell>
          <cell r="B296">
            <v>0.21842370347199327</v>
          </cell>
          <cell r="C296">
            <v>0.26479793358064602</v>
          </cell>
          <cell r="D296">
            <v>0.10708925387507941</v>
          </cell>
          <cell r="E296">
            <v>0.1978105451295801</v>
          </cell>
          <cell r="F296">
            <v>0.2017972859645549</v>
          </cell>
          <cell r="H296" t="str">
            <v>Pretax Operating Income</v>
          </cell>
          <cell r="I296">
            <v>0.28406228059306982</v>
          </cell>
          <cell r="J296">
            <v>0.29495772716886298</v>
          </cell>
          <cell r="K296">
            <v>0.32998268074846332</v>
          </cell>
          <cell r="L296">
            <v>0.28263615946097692</v>
          </cell>
          <cell r="M296">
            <v>0.38983988940555492</v>
          </cell>
          <cell r="O296" t="str">
            <v>Pretax Operating Income</v>
          </cell>
          <cell r="P296">
            <v>0.38983988940555492</v>
          </cell>
          <cell r="Q296">
            <v>0.4753797525760845</v>
          </cell>
          <cell r="R296">
            <v>0.54947782341382512</v>
          </cell>
          <cell r="S296">
            <v>0.54056763237922845</v>
          </cell>
          <cell r="T296">
            <v>0.49700686845774711</v>
          </cell>
          <cell r="Z296" t="str">
            <v>Pretax Operating Income</v>
          </cell>
          <cell r="AA296">
            <v>0.5176499559504375</v>
          </cell>
          <cell r="AB296">
            <v>0.53481925979890743</v>
          </cell>
          <cell r="AC296">
            <v>0.54051600665308885</v>
          </cell>
          <cell r="AD296">
            <v>0.54996929296191366</v>
          </cell>
          <cell r="AE296">
            <v>0.53662679490088283</v>
          </cell>
        </row>
        <row r="297">
          <cell r="A297" t="str">
            <v>Net interest income</v>
          </cell>
          <cell r="B297">
            <v>1.4855239995026507E-2</v>
          </cell>
          <cell r="C297">
            <v>1.4930297874952283E-2</v>
          </cell>
          <cell r="D297">
            <v>1.89073550210467E-2</v>
          </cell>
          <cell r="E297">
            <v>2.0866845397676494E-2</v>
          </cell>
          <cell r="F297">
            <v>1.7212149906231614E-2</v>
          </cell>
          <cell r="H297" t="str">
            <v>Net interest income</v>
          </cell>
          <cell r="I297">
            <v>2.2838970800809478E-2</v>
          </cell>
          <cell r="J297">
            <v>2.5477949577271689E-2</v>
          </cell>
          <cell r="K297">
            <v>2.6929738173667946E-2</v>
          </cell>
          <cell r="L297">
            <v>2.5758001122964627E-2</v>
          </cell>
          <cell r="M297">
            <v>1.5803694859871813E-2</v>
          </cell>
          <cell r="O297" t="str">
            <v>Net interest income</v>
          </cell>
          <cell r="P297">
            <v>1.5803694859871813E-2</v>
          </cell>
          <cell r="Q297">
            <v>1.5775190439845672E-2</v>
          </cell>
          <cell r="R297">
            <v>1.1277428244563617E-2</v>
          </cell>
          <cell r="S297">
            <v>2.19189524389495E-2</v>
          </cell>
          <cell r="T297">
            <v>1.6145251801710264E-2</v>
          </cell>
          <cell r="Z297" t="str">
            <v>Net interest income</v>
          </cell>
          <cell r="AA297">
            <v>3.3319072844752801E-2</v>
          </cell>
          <cell r="AB297">
            <v>3.0446751253257354E-2</v>
          </cell>
          <cell r="AC297">
            <v>2.7459385268221573E-2</v>
          </cell>
          <cell r="AD297">
            <v>2.7381535291653741E-2</v>
          </cell>
          <cell r="AE297">
            <v>2.9456068043043293E-2</v>
          </cell>
        </row>
        <row r="298">
          <cell r="A298" t="str">
            <v>Other income (expense), net</v>
          </cell>
          <cell r="B298">
            <v>1.9592764927163302E-3</v>
          </cell>
          <cell r="C298">
            <v>-6.7482744654111812E-3</v>
          </cell>
          <cell r="D298">
            <v>-9.1185649570991126E-3</v>
          </cell>
          <cell r="E298">
            <v>-1.5415549597855224E-2</v>
          </cell>
          <cell r="F298">
            <v>-7.0994028727761191E-3</v>
          </cell>
          <cell r="H298" t="str">
            <v>Other income (expense), net</v>
          </cell>
          <cell r="I298">
            <v>-8.6730268863833473E-3</v>
          </cell>
          <cell r="J298">
            <v>3.8083631655114631E-4</v>
          </cell>
          <cell r="K298">
            <v>3.4638503073318163E-3</v>
          </cell>
          <cell r="L298">
            <v>-4.6427568781583384E-2</v>
          </cell>
          <cell r="M298">
            <v>1.5363830589418122E-2</v>
          </cell>
          <cell r="O298" t="str">
            <v>Other income (expense), net</v>
          </cell>
          <cell r="P298">
            <v>1.5363830589418122E-2</v>
          </cell>
          <cell r="Q298">
            <v>1.5466739228375296E-2</v>
          </cell>
          <cell r="R298">
            <v>4.524037813151572E-3</v>
          </cell>
          <cell r="S298">
            <v>0</v>
          </cell>
          <cell r="T298">
            <v>8.1136574527105182E-3</v>
          </cell>
          <cell r="Z298" t="str">
            <v>Other income (expense), net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</row>
        <row r="299">
          <cell r="A299" t="str">
            <v>Other income (expense), net</v>
          </cell>
          <cell r="B299">
            <v>1.9592764927163302E-3</v>
          </cell>
          <cell r="C299">
            <v>-6.7482744654111812E-3</v>
          </cell>
          <cell r="D299">
            <v>-9.1185649570991126E-3</v>
          </cell>
          <cell r="E299">
            <v>-1.5415549597855224E-2</v>
          </cell>
          <cell r="F299">
            <v>-7.0994028727761191E-3</v>
          </cell>
          <cell r="H299" t="str">
            <v>Other income (expense), net</v>
          </cell>
          <cell r="I299">
            <v>-8.6730268863833473E-3</v>
          </cell>
          <cell r="J299">
            <v>3.8083631655114631E-4</v>
          </cell>
          <cell r="K299">
            <v>3.4638503073318163E-3</v>
          </cell>
          <cell r="L299">
            <v>-4.6427568781583384E-2</v>
          </cell>
          <cell r="M299">
            <v>1.5363830589418122E-2</v>
          </cell>
          <cell r="O299" t="str">
            <v>Other income (expense), net</v>
          </cell>
          <cell r="P299">
            <v>1.5363830589418122E-2</v>
          </cell>
          <cell r="Q299">
            <v>1.5466739228375296E-2</v>
          </cell>
          <cell r="R299">
            <v>4.524037813151572E-3</v>
          </cell>
          <cell r="S299">
            <v>0</v>
          </cell>
          <cell r="T299">
            <v>8.1136574527105182E-3</v>
          </cell>
          <cell r="Z299" t="str">
            <v>Other income (expense), net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</row>
        <row r="300">
          <cell r="A300" t="str">
            <v>Pretax income</v>
          </cell>
          <cell r="B300">
            <v>0.23523821995973609</v>
          </cell>
          <cell r="C300">
            <v>0.27297995699018712</v>
          </cell>
          <cell r="D300">
            <v>0.11687804393902701</v>
          </cell>
          <cell r="E300">
            <v>0.20326184092940136</v>
          </cell>
          <cell r="F300">
            <v>0.21191003299801039</v>
          </cell>
          <cell r="H300" t="str">
            <v>Pretax income</v>
          </cell>
          <cell r="I300">
            <v>0.29822822450749598</v>
          </cell>
          <cell r="J300">
            <v>0.32081651306268583</v>
          </cell>
          <cell r="K300">
            <v>0.36037626922946303</v>
          </cell>
          <cell r="L300">
            <v>0.26196659180235815</v>
          </cell>
          <cell r="M300">
            <v>0.42100741485484489</v>
          </cell>
          <cell r="O300" t="str">
            <v>Pretax income</v>
          </cell>
          <cell r="P300">
            <v>0.42100741485484489</v>
          </cell>
          <cell r="Q300">
            <v>0.50662168224430548</v>
          </cell>
          <cell r="R300">
            <v>0.56527928947154038</v>
          </cell>
          <cell r="S300">
            <v>0.56248658481817793</v>
          </cell>
          <cell r="T300">
            <v>0.52126577771216798</v>
          </cell>
          <cell r="Z300" t="str">
            <v>Pretax income</v>
          </cell>
          <cell r="AA300">
            <v>0.55096902879519027</v>
          </cell>
          <cell r="AB300">
            <v>0.56526601105216479</v>
          </cell>
          <cell r="AC300">
            <v>0.56797539192131041</v>
          </cell>
          <cell r="AD300">
            <v>0.57735082825356732</v>
          </cell>
          <cell r="AE300">
            <v>0.56608286294392618</v>
          </cell>
        </row>
        <row r="301">
          <cell r="A301" t="str">
            <v>Taxes on income</v>
          </cell>
          <cell r="B301">
            <v>8.1282169206067262E-2</v>
          </cell>
          <cell r="C301">
            <v>9.9829554772301363E-2</v>
          </cell>
          <cell r="D301">
            <v>4.1692081068394012E-2</v>
          </cell>
          <cell r="E301">
            <v>4.5755138516532616E-2</v>
          </cell>
          <cell r="F301">
            <v>6.9216735221712164E-2</v>
          </cell>
          <cell r="H301" t="str">
            <v>Taxes on income</v>
          </cell>
          <cell r="I301">
            <v>0.10733903275100153</v>
          </cell>
          <cell r="J301">
            <v>0.1137558077538274</v>
          </cell>
          <cell r="K301">
            <v>0.12092912690596665</v>
          </cell>
          <cell r="L301">
            <v>9.2153284671532845E-2</v>
          </cell>
          <cell r="M301">
            <v>0.14232751036822924</v>
          </cell>
          <cell r="O301" t="str">
            <v>Taxes on income</v>
          </cell>
          <cell r="P301">
            <v>0.14232751036822924</v>
          </cell>
          <cell r="Q301">
            <v>0.16388920637523438</v>
          </cell>
          <cell r="R301">
            <v>0.19349946608963003</v>
          </cell>
          <cell r="S301">
            <v>0.19687030468636227</v>
          </cell>
          <cell r="T301">
            <v>0.17696256693821508</v>
          </cell>
          <cell r="Z301" t="str">
            <v>Taxes on income</v>
          </cell>
          <cell r="AA301">
            <v>0.18732946979036472</v>
          </cell>
          <cell r="AB301">
            <v>0.19219044375773603</v>
          </cell>
          <cell r="AC301">
            <v>0.19311163325324554</v>
          </cell>
          <cell r="AD301">
            <v>0.19629928160621291</v>
          </cell>
          <cell r="AE301">
            <v>0.19246817340093489</v>
          </cell>
        </row>
        <row r="302">
          <cell r="A302" t="str">
            <v>Taxes on income</v>
          </cell>
          <cell r="B302">
            <v>8.1282169206067262E-2</v>
          </cell>
          <cell r="C302">
            <v>9.9829554772301363E-2</v>
          </cell>
          <cell r="D302">
            <v>4.1692081068394012E-2</v>
          </cell>
          <cell r="E302">
            <v>4.5755138516532616E-2</v>
          </cell>
          <cell r="F302">
            <v>6.9216735221712164E-2</v>
          </cell>
          <cell r="H302" t="str">
            <v>Taxes on income</v>
          </cell>
          <cell r="I302">
            <v>0.10733903275100153</v>
          </cell>
          <cell r="J302">
            <v>0.1137558077538274</v>
          </cell>
          <cell r="K302">
            <v>0.12092912690596665</v>
          </cell>
          <cell r="L302">
            <v>9.2153284671532845E-2</v>
          </cell>
          <cell r="M302">
            <v>0.14232751036822924</v>
          </cell>
          <cell r="O302" t="str">
            <v>Taxes on income</v>
          </cell>
          <cell r="P302">
            <v>0.14232751036822924</v>
          </cell>
          <cell r="Q302">
            <v>0.16388920637523438</v>
          </cell>
          <cell r="R302">
            <v>0.19349946608963003</v>
          </cell>
          <cell r="S302">
            <v>0.19687030468636227</v>
          </cell>
          <cell r="T302">
            <v>0.17696256693821508</v>
          </cell>
          <cell r="Z302" t="str">
            <v>Taxes on income</v>
          </cell>
          <cell r="AA302">
            <v>0.18732946979036472</v>
          </cell>
          <cell r="AB302">
            <v>0.19219044375773603</v>
          </cell>
          <cell r="AC302">
            <v>0.19311163325324554</v>
          </cell>
          <cell r="AD302">
            <v>0.19629928160621291</v>
          </cell>
          <cell r="AE302">
            <v>0.19246817340093489</v>
          </cell>
        </row>
        <row r="303">
          <cell r="A303" t="str">
            <v>Operating earnings</v>
          </cell>
          <cell r="B303">
            <v>0.15395605075366883</v>
          </cell>
          <cell r="C303">
            <v>0.17315040221788575</v>
          </cell>
          <cell r="D303">
            <v>7.5185962870632991E-2</v>
          </cell>
          <cell r="E303">
            <v>0.15750670241286874</v>
          </cell>
          <cell r="F303">
            <v>0.14269329777629822</v>
          </cell>
          <cell r="H303" t="str">
            <v>Operating earnings</v>
          </cell>
          <cell r="I303">
            <v>0.19088919175649444</v>
          </cell>
          <cell r="J303">
            <v>0.20706070530885842</v>
          </cell>
          <cell r="K303">
            <v>0.2394471423234964</v>
          </cell>
          <cell r="L303">
            <v>0.16981330713082535</v>
          </cell>
          <cell r="M303">
            <v>0.27867990448661561</v>
          </cell>
          <cell r="O303" t="str">
            <v>Operating earnings</v>
          </cell>
          <cell r="P303">
            <v>0.27867990448661561</v>
          </cell>
          <cell r="Q303">
            <v>0.34273247586907107</v>
          </cell>
          <cell r="R303">
            <v>0.37177982338191029</v>
          </cell>
          <cell r="S303">
            <v>0.36561628013181563</v>
          </cell>
          <cell r="T303">
            <v>0.34430321077395293</v>
          </cell>
          <cell r="Z303" t="str">
            <v>Operating earnings</v>
          </cell>
          <cell r="AA303">
            <v>0.36363955900482553</v>
          </cell>
          <cell r="AB303">
            <v>0.3730755672944287</v>
          </cell>
          <cell r="AC303">
            <v>0.37486375866806493</v>
          </cell>
          <cell r="AD303">
            <v>0.38105154664735441</v>
          </cell>
          <cell r="AE303">
            <v>0.37361468954299121</v>
          </cell>
        </row>
        <row r="304">
          <cell r="A304" t="str">
            <v>Operating earnings</v>
          </cell>
          <cell r="B304">
            <v>0.15395605075366883</v>
          </cell>
          <cell r="C304">
            <v>0.17315040221788575</v>
          </cell>
          <cell r="D304">
            <v>7.5185962870632991E-2</v>
          </cell>
          <cell r="E304">
            <v>0.15750670241286874</v>
          </cell>
          <cell r="F304">
            <v>0.14269329777629822</v>
          </cell>
          <cell r="H304" t="str">
            <v>Operating earnings</v>
          </cell>
          <cell r="I304">
            <v>0.19088919175649444</v>
          </cell>
          <cell r="J304">
            <v>0.20706070530885842</v>
          </cell>
          <cell r="K304">
            <v>0.2394471423234964</v>
          </cell>
          <cell r="L304">
            <v>0.16981330713082535</v>
          </cell>
          <cell r="M304">
            <v>0.27867990448661561</v>
          </cell>
          <cell r="O304" t="str">
            <v>Operating earnings</v>
          </cell>
          <cell r="P304">
            <v>0.27867990448661561</v>
          </cell>
          <cell r="Q304">
            <v>0.34273247586907107</v>
          </cell>
          <cell r="R304">
            <v>0.37177982338191029</v>
          </cell>
          <cell r="S304">
            <v>0.36561628013181563</v>
          </cell>
          <cell r="T304">
            <v>0.34430321077395293</v>
          </cell>
          <cell r="Z304" t="str">
            <v>Operating earnings</v>
          </cell>
          <cell r="AA304">
            <v>0.36363955900482553</v>
          </cell>
          <cell r="AB304">
            <v>0.3730755672944287</v>
          </cell>
          <cell r="AC304">
            <v>0.37486375866806493</v>
          </cell>
          <cell r="AD304">
            <v>0.38105154664735441</v>
          </cell>
          <cell r="AE304">
            <v>0.37361468954299121</v>
          </cell>
        </row>
        <row r="305">
          <cell r="A305" t="str">
            <v>% Change Year-over-Year</v>
          </cell>
          <cell r="H305" t="str">
            <v>% Change Year-over-Year</v>
          </cell>
          <cell r="O305" t="str">
            <v>% Change Year-over-Year</v>
          </cell>
          <cell r="Z305" t="str">
            <v>% Change Year-over-Year</v>
          </cell>
        </row>
        <row r="306">
          <cell r="A306" t="str">
            <v>% Change Year-over-Year</v>
          </cell>
          <cell r="H306" t="str">
            <v>% Change Year-over-Year</v>
          </cell>
          <cell r="I306">
            <v>-0.40137833895065145</v>
          </cell>
          <cell r="J306">
            <v>-1.6781039155758015E-2</v>
          </cell>
          <cell r="K306">
            <v>-3.0169238147033872E-2</v>
          </cell>
          <cell r="L306">
            <v>-0.44974874371859297</v>
          </cell>
          <cell r="M306">
            <v>-0.20728291316526615</v>
          </cell>
          <cell r="O306" t="str">
            <v>% Change Year-over-Year</v>
          </cell>
          <cell r="P306">
            <v>-0.20728291316526615</v>
          </cell>
          <cell r="Q306">
            <v>-2.4604105571848223E-3</v>
          </cell>
          <cell r="R306">
            <v>1.0245856353591209E-2</v>
          </cell>
          <cell r="S306">
            <v>0.6031079452054795</v>
          </cell>
          <cell r="T306">
            <v>4.7654917904612848E-2</v>
          </cell>
          <cell r="Z306" t="str">
            <v>% Change Year-over-Year</v>
          </cell>
          <cell r="AA306">
            <v>0.27778466148409908</v>
          </cell>
          <cell r="AB306">
            <v>6.3064428902784408E-2</v>
          </cell>
          <cell r="AC306">
            <v>-1.1199999999999877E-2</v>
          </cell>
          <cell r="AD306">
            <v>3.0000000000000027E-2</v>
          </cell>
          <cell r="AE306">
            <v>7.9481731356910501E-2</v>
          </cell>
        </row>
        <row r="307">
          <cell r="A307" t="str">
            <v>Revenues</v>
          </cell>
          <cell r="H307" t="str">
            <v>Revenues</v>
          </cell>
          <cell r="I307">
            <v>-7.1359705923005223E-2</v>
          </cell>
          <cell r="J307">
            <v>3.6462225502126744E-2</v>
          </cell>
          <cell r="K307">
            <v>0.35478296873567894</v>
          </cell>
          <cell r="L307">
            <v>0.29067445076048548</v>
          </cell>
          <cell r="M307">
            <v>0.1439755501222495</v>
          </cell>
          <cell r="O307" t="str">
            <v>Revenues</v>
          </cell>
          <cell r="P307">
            <v>0.1439755501222495</v>
          </cell>
          <cell r="Q307">
            <v>0.2155504944560982</v>
          </cell>
          <cell r="R307">
            <v>6.6284210526315723E-2</v>
          </cell>
          <cell r="S307">
            <v>1.0232807132484201E-2</v>
          </cell>
          <cell r="T307">
            <v>0.10065700647469566</v>
          </cell>
          <cell r="Z307" t="str">
            <v>Revenues</v>
          </cell>
          <cell r="AA307">
            <v>0.12292204323849831</v>
          </cell>
          <cell r="AB307">
            <v>0.13536057851328986</v>
          </cell>
          <cell r="AC307">
            <v>0.1307254159159259</v>
          </cell>
          <cell r="AD307">
            <v>0.21363735804053929</v>
          </cell>
          <cell r="AE307">
            <v>0.15135480073019303</v>
          </cell>
        </row>
        <row r="308">
          <cell r="A308" t="str">
            <v>Transaction fees, net</v>
          </cell>
          <cell r="H308" t="str">
            <v>Transaction fees, net</v>
          </cell>
          <cell r="I308">
            <v>8.0422824810950644E-3</v>
          </cell>
          <cell r="J308">
            <v>0.10978830196732847</v>
          </cell>
          <cell r="K308">
            <v>-0.19125937144849892</v>
          </cell>
          <cell r="L308">
            <v>-6.1388888888888937E-2</v>
          </cell>
          <cell r="M308">
            <v>0.19691833590138663</v>
          </cell>
          <cell r="O308" t="str">
            <v>Transaction fees, net</v>
          </cell>
          <cell r="P308">
            <v>0.19691833590138663</v>
          </cell>
          <cell r="Q308">
            <v>-0.25161005560704353</v>
          </cell>
          <cell r="R308">
            <v>-0.14943790120011158</v>
          </cell>
          <cell r="S308">
            <v>-0.24239308671204485</v>
          </cell>
          <cell r="T308">
            <v>-0.12403988432142099</v>
          </cell>
          <cell r="Z308" t="str">
            <v>Transaction fees, net</v>
          </cell>
          <cell r="AA308">
            <v>-0.15634891534500506</v>
          </cell>
          <cell r="AB308">
            <v>3.4743918611811475E-2</v>
          </cell>
          <cell r="AC308">
            <v>0.11863807999999998</v>
          </cell>
          <cell r="AD308">
            <v>0.35834623999999993</v>
          </cell>
          <cell r="AE308">
            <v>6.1617588424132563E-2</v>
          </cell>
        </row>
        <row r="309">
          <cell r="A309" t="str">
            <v>Futures</v>
          </cell>
          <cell r="H309" t="str">
            <v>Futures</v>
          </cell>
          <cell r="I309">
            <v>-6.5765971302238491E-3</v>
          </cell>
          <cell r="J309">
            <v>-0.16648335770264266</v>
          </cell>
          <cell r="K309">
            <v>0.18800986793436425</v>
          </cell>
          <cell r="L309">
            <v>-4.7688564476885631E-2</v>
          </cell>
          <cell r="M309">
            <v>1.6266329540665758E-2</v>
          </cell>
          <cell r="O309" t="str">
            <v>Futures</v>
          </cell>
          <cell r="P309">
            <v>1.6266329540665758E-2</v>
          </cell>
          <cell r="Q309">
            <v>0.18314424635332238</v>
          </cell>
          <cell r="R309">
            <v>0.32298350651492647</v>
          </cell>
          <cell r="S309">
            <v>0.63767843486203324</v>
          </cell>
          <cell r="T309">
            <v>0.27464738752774775</v>
          </cell>
          <cell r="Z309" t="str">
            <v>Futures</v>
          </cell>
          <cell r="AA309">
            <v>0.6937945232463314</v>
          </cell>
          <cell r="AB309">
            <v>0.53724757139954704</v>
          </cell>
          <cell r="AC309">
            <v>0.48433120539145458</v>
          </cell>
          <cell r="AD309">
            <v>0.5667960261160534</v>
          </cell>
          <cell r="AE309">
            <v>0.56332279084188785</v>
          </cell>
        </row>
        <row r="310">
          <cell r="A310" t="str">
            <v>OTC</v>
          </cell>
          <cell r="H310" t="str">
            <v>OTC</v>
          </cell>
          <cell r="I310">
            <v>-0.16688668617540348</v>
          </cell>
          <cell r="J310">
            <v>-0.18134294584833799</v>
          </cell>
          <cell r="K310">
            <v>-0.15449131394289017</v>
          </cell>
          <cell r="L310">
            <v>0.60572740454325769</v>
          </cell>
          <cell r="M310">
            <v>0.76892289582107143</v>
          </cell>
          <cell r="O310" t="str">
            <v>OTC</v>
          </cell>
          <cell r="P310">
            <v>0.76892289582107143</v>
          </cell>
          <cell r="Q310">
            <v>0.81861235528563259</v>
          </cell>
          <cell r="R310">
            <v>0.88130890332441747</v>
          </cell>
          <cell r="S310">
            <v>0.63465138223154471</v>
          </cell>
          <cell r="T310">
            <v>0.77354474460931111</v>
          </cell>
          <cell r="Z310" t="str">
            <v>OTC</v>
          </cell>
          <cell r="AA310">
            <v>0.33299918804785023</v>
          </cell>
          <cell r="AB310">
            <v>0.21356025639379039</v>
          </cell>
          <cell r="AC310">
            <v>5.2423275426937366E-2</v>
          </cell>
          <cell r="AD310">
            <v>0.13582886628648816</v>
          </cell>
          <cell r="AE310">
            <v>0.16562316748679429</v>
          </cell>
        </row>
        <row r="311">
          <cell r="A311" t="str">
            <v>Total transaction fees, net</v>
          </cell>
          <cell r="H311" t="str">
            <v>Total transaction fees, net</v>
          </cell>
          <cell r="I311">
            <v>-5.6142638543055123E-2</v>
          </cell>
          <cell r="J311">
            <v>-6.4989665575772126E-2</v>
          </cell>
          <cell r="K311">
            <v>0.44042065699545296</v>
          </cell>
          <cell r="L311">
            <v>0.24381434963074744</v>
          </cell>
          <cell r="M311">
            <v>0.3303045186640472</v>
          </cell>
          <cell r="O311" t="str">
            <v>Total transaction fees, net</v>
          </cell>
          <cell r="P311">
            <v>0.3303045186640472</v>
          </cell>
          <cell r="Q311">
            <v>0.48396464669152306</v>
          </cell>
          <cell r="R311">
            <v>0.61276526119550989</v>
          </cell>
          <cell r="S311">
            <v>0.63593506559764212</v>
          </cell>
          <cell r="T311">
            <v>0.52384361542252411</v>
          </cell>
          <cell r="Z311" t="str">
            <v>Total transaction fees, net</v>
          </cell>
          <cell r="AA311">
            <v>0.49362204763150497</v>
          </cell>
          <cell r="AB311">
            <v>0.3494647813801659</v>
          </cell>
          <cell r="AC311">
            <v>0.22283596824391405</v>
          </cell>
          <cell r="AD311">
            <v>0.31878403703789449</v>
          </cell>
          <cell r="AE311">
            <v>0.33212313117891168</v>
          </cell>
        </row>
        <row r="312">
          <cell r="A312" t="str">
            <v>Total transaction fees, net</v>
          </cell>
          <cell r="H312" t="str">
            <v>Total transaction fees, net</v>
          </cell>
          <cell r="I312">
            <v>-5.6142638543055123E-2</v>
          </cell>
          <cell r="J312">
            <v>-6.4989665575772126E-2</v>
          </cell>
          <cell r="K312">
            <v>0.44042065699545296</v>
          </cell>
          <cell r="L312">
            <v>0.24381434963074744</v>
          </cell>
          <cell r="M312">
            <v>0.3303045186640472</v>
          </cell>
          <cell r="O312" t="str">
            <v>Total transaction fees, net</v>
          </cell>
          <cell r="P312">
            <v>0.3303045186640472</v>
          </cell>
          <cell r="Q312">
            <v>0.48396464669152306</v>
          </cell>
          <cell r="R312">
            <v>0.61276526119550989</v>
          </cell>
          <cell r="S312">
            <v>0.63593506559764212</v>
          </cell>
          <cell r="T312">
            <v>0.52384361542252411</v>
          </cell>
          <cell r="Z312" t="str">
            <v>Total transaction fees, net</v>
          </cell>
          <cell r="AA312">
            <v>0.49362204763150497</v>
          </cell>
          <cell r="AB312">
            <v>0.3494647813801659</v>
          </cell>
          <cell r="AC312">
            <v>0.22283596824391405</v>
          </cell>
          <cell r="AD312">
            <v>0.31878403703789449</v>
          </cell>
          <cell r="AE312">
            <v>0.33212313117891168</v>
          </cell>
        </row>
        <row r="313">
          <cell r="A313" t="str">
            <v>Data services fees</v>
          </cell>
          <cell r="H313" t="str">
            <v>Data services fees</v>
          </cell>
          <cell r="I313">
            <v>0.22596137243210013</v>
          </cell>
          <cell r="J313">
            <v>0.2240669444370218</v>
          </cell>
          <cell r="K313">
            <v>0.27994710302576209</v>
          </cell>
          <cell r="L313">
            <v>0.27220902612826592</v>
          </cell>
          <cell r="M313">
            <v>0.26103286384976521</v>
          </cell>
          <cell r="O313" t="str">
            <v>Data services fees</v>
          </cell>
          <cell r="P313">
            <v>0.26103286384976521</v>
          </cell>
          <cell r="Q313">
            <v>0.17512930310663299</v>
          </cell>
          <cell r="R313">
            <v>0.19860535785685718</v>
          </cell>
          <cell r="S313">
            <v>0.15296615384615375</v>
          </cell>
          <cell r="T313">
            <v>0.19394421215560831</v>
          </cell>
          <cell r="Z313" t="str">
            <v>Data services fees</v>
          </cell>
          <cell r="AA313">
            <v>0.20700875949367092</v>
          </cell>
          <cell r="AB313">
            <v>0.21612527924468727</v>
          </cell>
          <cell r="AC313">
            <v>0.1923537500000001</v>
          </cell>
          <cell r="AD313">
            <v>0.21550625000000023</v>
          </cell>
          <cell r="AE313">
            <v>0.20768498718288519</v>
          </cell>
        </row>
        <row r="314">
          <cell r="A314" t="str">
            <v>Trading access fees</v>
          </cell>
          <cell r="H314" t="str">
            <v>Trading access fees</v>
          </cell>
          <cell r="I314">
            <v>0.85090694440275749</v>
          </cell>
          <cell r="J314">
            <v>0.46953411149641</v>
          </cell>
          <cell r="K314">
            <v>0.35541708050887699</v>
          </cell>
          <cell r="L314">
            <v>0.28344370860927137</v>
          </cell>
          <cell r="M314">
            <v>0.15567567567567564</v>
          </cell>
          <cell r="O314" t="str">
            <v>Trading access fees</v>
          </cell>
          <cell r="P314">
            <v>0.15567567567567564</v>
          </cell>
          <cell r="Q314">
            <v>6.6866123399301536E-2</v>
          </cell>
          <cell r="R314">
            <v>0.20083372921615195</v>
          </cell>
          <cell r="S314">
            <v>-2.0000000000000018E-2</v>
          </cell>
          <cell r="T314">
            <v>9.7680111265646685E-2</v>
          </cell>
          <cell r="Z314" t="str">
            <v>Trading access fees</v>
          </cell>
          <cell r="AA314">
            <v>-7.0000000000000062E-2</v>
          </cell>
          <cell r="AB314">
            <v>7.0000000000000062E-2</v>
          </cell>
          <cell r="AC314">
            <v>5.0000000000000044E-2</v>
          </cell>
          <cell r="AD314">
            <v>3.0000000000000027E-2</v>
          </cell>
          <cell r="AE314">
            <v>1.7324274737973155E-2</v>
          </cell>
        </row>
        <row r="315">
          <cell r="A315" t="str">
            <v>Other revenues</v>
          </cell>
          <cell r="H315" t="str">
            <v>Other revenues</v>
          </cell>
          <cell r="I315">
            <v>1.2173934789736638</v>
          </cell>
          <cell r="J315" t="str">
            <v>NM</v>
          </cell>
          <cell r="K315">
            <v>0.17723209400982665</v>
          </cell>
          <cell r="L315">
            <v>0.83178534571723417</v>
          </cell>
          <cell r="M315">
            <v>0.23809523809523792</v>
          </cell>
          <cell r="O315" t="str">
            <v>Other revenues</v>
          </cell>
          <cell r="P315">
            <v>0.23809523809523792</v>
          </cell>
          <cell r="Q315">
            <v>3.0824074074073948E-2</v>
          </cell>
          <cell r="R315">
            <v>-0.35365845464725643</v>
          </cell>
          <cell r="S315">
            <v>-0.63380281690140849</v>
          </cell>
          <cell r="T315">
            <v>-0.29074230222643294</v>
          </cell>
          <cell r="Z315" t="str">
            <v>Other revenues</v>
          </cell>
          <cell r="AA315">
            <v>-0.39271255060728749</v>
          </cell>
          <cell r="AB315">
            <v>-0.23008123926123725</v>
          </cell>
          <cell r="AC315">
            <v>3.9531656337764565E-2</v>
          </cell>
          <cell r="AD315">
            <v>-7.6923076923076983E-2</v>
          </cell>
          <cell r="AE315">
            <v>-0.19852689242828314</v>
          </cell>
        </row>
        <row r="316">
          <cell r="A316" t="str">
            <v>Total Revenues</v>
          </cell>
          <cell r="H316" t="str">
            <v>Total Revenues</v>
          </cell>
          <cell r="I316">
            <v>1.8576135778956004E-3</v>
          </cell>
          <cell r="J316">
            <v>-3.9058136006496769E-3</v>
          </cell>
          <cell r="K316">
            <v>0.41325590557586489</v>
          </cell>
          <cell r="L316">
            <v>0.27327971403038398</v>
          </cell>
          <cell r="M316">
            <v>0.31450047495147238</v>
          </cell>
          <cell r="O316" t="str">
            <v>Total Revenues</v>
          </cell>
          <cell r="P316">
            <v>0.31450047495147238</v>
          </cell>
          <cell r="Q316">
            <v>0.42925721684819829</v>
          </cell>
          <cell r="R316">
            <v>0.53650361666723256</v>
          </cell>
          <cell r="S316">
            <v>0.48915037421392449</v>
          </cell>
          <cell r="T316">
            <v>0.44850007437784756</v>
          </cell>
          <cell r="Z316" t="str">
            <v>Total Revenues</v>
          </cell>
          <cell r="AA316">
            <v>0.4229907216318749</v>
          </cell>
          <cell r="AB316">
            <v>0.32066092640187849</v>
          </cell>
          <cell r="AC316">
            <v>0.21461564846794468</v>
          </cell>
          <cell r="AD316">
            <v>0.29874555182483609</v>
          </cell>
          <cell r="AE316">
            <v>0.30492530364217374</v>
          </cell>
        </row>
        <row r="317">
          <cell r="A317" t="str">
            <v>Total Revenues</v>
          </cell>
          <cell r="H317" t="str">
            <v>Total Revenues</v>
          </cell>
          <cell r="I317">
            <v>1.8576135778956004E-3</v>
          </cell>
          <cell r="J317">
            <v>-3.9058136006496769E-3</v>
          </cell>
          <cell r="K317">
            <v>0.41325590557586489</v>
          </cell>
          <cell r="L317">
            <v>0.27327971403038398</v>
          </cell>
          <cell r="M317">
            <v>0.31450047495147238</v>
          </cell>
          <cell r="O317" t="str">
            <v>Total Revenues</v>
          </cell>
          <cell r="P317">
            <v>0.31450047495147238</v>
          </cell>
          <cell r="Q317">
            <v>0.42925721684819829</v>
          </cell>
          <cell r="R317">
            <v>0.53650361666723256</v>
          </cell>
          <cell r="S317">
            <v>0.48915037421392449</v>
          </cell>
          <cell r="T317">
            <v>0.44850007437784756</v>
          </cell>
          <cell r="Z317" t="str">
            <v>Total Revenues</v>
          </cell>
          <cell r="AA317">
            <v>0.4229907216318749</v>
          </cell>
          <cell r="AB317">
            <v>0.32066092640187849</v>
          </cell>
          <cell r="AC317">
            <v>0.21461564846794468</v>
          </cell>
          <cell r="AD317">
            <v>0.29874555182483609</v>
          </cell>
          <cell r="AE317">
            <v>0.30492530364217374</v>
          </cell>
        </row>
        <row r="318">
          <cell r="A318" t="str">
            <v>Operating Expenses</v>
          </cell>
          <cell r="H318" t="str">
            <v>Operating Expenses</v>
          </cell>
          <cell r="I318">
            <v>0.27012616129212752</v>
          </cell>
          <cell r="J318">
            <v>0.17064808378638574</v>
          </cell>
          <cell r="K318">
            <v>3.3575668581827944</v>
          </cell>
          <cell r="L318">
            <v>0.64102000439656925</v>
          </cell>
          <cell r="M318">
            <v>0.85567428334025797</v>
          </cell>
          <cell r="O318" t="str">
            <v>Operating Expenses</v>
          </cell>
          <cell r="P318">
            <v>0.85567428334025797</v>
          </cell>
          <cell r="Q318">
            <v>1.257030626780625</v>
          </cell>
          <cell r="R318">
            <v>1.4101300414624958</v>
          </cell>
          <cell r="S318">
            <v>2.1974577464604854</v>
          </cell>
          <cell r="T318">
            <v>1.4274471287980397</v>
          </cell>
          <cell r="Z318" t="str">
            <v>Operating Expenses</v>
          </cell>
          <cell r="AA318">
            <v>0.63572108513003478</v>
          </cell>
          <cell r="AB318">
            <v>0.30357560434730724</v>
          </cell>
          <cell r="AC318">
            <v>7.869251532632604E-2</v>
          </cell>
          <cell r="AD318">
            <v>0.19457197595197773</v>
          </cell>
          <cell r="AE318">
            <v>0.2558981795649824</v>
          </cell>
        </row>
        <row r="319">
          <cell r="A319" t="str">
            <v>Cost of hosting</v>
          </cell>
          <cell r="H319" t="str">
            <v>Cost of hosting</v>
          </cell>
          <cell r="I319">
            <v>-0.40137833895065145</v>
          </cell>
          <cell r="J319">
            <v>-1.6781039155758015E-2</v>
          </cell>
          <cell r="K319">
            <v>-3.0169238147033872E-2</v>
          </cell>
          <cell r="L319">
            <v>-0.44974874371859297</v>
          </cell>
          <cell r="M319">
            <v>-0.20728291316526615</v>
          </cell>
          <cell r="O319" t="str">
            <v>Cost of hosting</v>
          </cell>
          <cell r="P319">
            <v>-0.20728291316526615</v>
          </cell>
          <cell r="Q319">
            <v>-2.4604105571848223E-3</v>
          </cell>
          <cell r="R319">
            <v>1.0245856353591209E-2</v>
          </cell>
          <cell r="S319">
            <v>0.6031079452054795</v>
          </cell>
          <cell r="T319">
            <v>4.7654917904612848E-2</v>
          </cell>
          <cell r="Z319" t="str">
            <v>Cost of hosting</v>
          </cell>
          <cell r="AA319">
            <v>0.27778466148409908</v>
          </cell>
          <cell r="AB319">
            <v>6.3064428902784408E-2</v>
          </cell>
          <cell r="AC319">
            <v>-1.1199999999999877E-2</v>
          </cell>
          <cell r="AD319">
            <v>3.0000000000000027E-2</v>
          </cell>
          <cell r="AE319">
            <v>7.9481731356910501E-2</v>
          </cell>
        </row>
        <row r="320">
          <cell r="A320" t="str">
            <v>Compensation and benefits</v>
          </cell>
          <cell r="H320" t="str">
            <v>Compensation and benefits</v>
          </cell>
          <cell r="I320">
            <v>-7.1359705923005223E-2</v>
          </cell>
          <cell r="J320">
            <v>3.6462225502126744E-2</v>
          </cell>
          <cell r="K320">
            <v>0.35478296873567894</v>
          </cell>
          <cell r="L320">
            <v>0.29067445076048548</v>
          </cell>
          <cell r="M320">
            <v>0.1439755501222495</v>
          </cell>
          <cell r="O320" t="str">
            <v>Compensation and benefits</v>
          </cell>
          <cell r="P320">
            <v>0.1439755501222495</v>
          </cell>
          <cell r="Q320">
            <v>0.2155504944560982</v>
          </cell>
          <cell r="R320">
            <v>6.6284210526315723E-2</v>
          </cell>
          <cell r="S320">
            <v>1.0232807132484201E-2</v>
          </cell>
          <cell r="T320">
            <v>0.10065700647469566</v>
          </cell>
          <cell r="Z320" t="str">
            <v>Compensation and benefits</v>
          </cell>
          <cell r="AA320">
            <v>0.1403354112292281</v>
          </cell>
          <cell r="AB320">
            <v>0.15699437236806979</v>
          </cell>
          <cell r="AC320">
            <v>0.15725260394871365</v>
          </cell>
          <cell r="AD320">
            <v>0.23704211133122088</v>
          </cell>
          <cell r="AE320">
            <v>0.17382093066375726</v>
          </cell>
        </row>
        <row r="321">
          <cell r="A321" t="str">
            <v>Professional services</v>
          </cell>
          <cell r="H321" t="str">
            <v>Professional services</v>
          </cell>
          <cell r="I321">
            <v>8.0422824810950644E-3</v>
          </cell>
          <cell r="J321">
            <v>0.10978830196732847</v>
          </cell>
          <cell r="K321">
            <v>-0.19125937144849892</v>
          </cell>
          <cell r="L321">
            <v>-6.1388888888888937E-2</v>
          </cell>
          <cell r="M321">
            <v>0.19691833590138663</v>
          </cell>
          <cell r="O321" t="str">
            <v>Professional services</v>
          </cell>
          <cell r="P321">
            <v>0.19691833590138663</v>
          </cell>
          <cell r="Q321">
            <v>-0.25161005560704353</v>
          </cell>
          <cell r="R321">
            <v>-0.14943790120011158</v>
          </cell>
          <cell r="S321">
            <v>-0.24239308671204485</v>
          </cell>
          <cell r="T321">
            <v>-0.12403988432142099</v>
          </cell>
          <cell r="Z321" t="str">
            <v>Professional services</v>
          </cell>
          <cell r="AA321">
            <v>-0.15634891534500506</v>
          </cell>
          <cell r="AB321">
            <v>3.4743918611811475E-2</v>
          </cell>
          <cell r="AC321">
            <v>0.11863807999999998</v>
          </cell>
          <cell r="AD321">
            <v>0.35834623999999993</v>
          </cell>
          <cell r="AE321">
            <v>6.1617588424132563E-2</v>
          </cell>
        </row>
        <row r="322">
          <cell r="A322" t="str">
            <v>Selling, general, and administrative</v>
          </cell>
          <cell r="H322" t="str">
            <v>Selling, general, and administrative</v>
          </cell>
          <cell r="I322">
            <v>-6.5765971302238491E-3</v>
          </cell>
          <cell r="J322">
            <v>-0.16648335770264266</v>
          </cell>
          <cell r="K322">
            <v>0.18800986793436425</v>
          </cell>
          <cell r="L322">
            <v>0.29989365473236429</v>
          </cell>
          <cell r="M322">
            <v>9.6494049533611959E-2</v>
          </cell>
          <cell r="O322" t="str">
            <v>Selling, general, and administrative</v>
          </cell>
          <cell r="P322">
            <v>9.6494049533611959E-2</v>
          </cell>
          <cell r="Q322">
            <v>0.23162613195342807</v>
          </cell>
          <cell r="R322">
            <v>0.1937912054120543</v>
          </cell>
          <cell r="S322">
            <v>3.5651424475722671E-2</v>
          </cell>
          <cell r="T322">
            <v>0.13545204066710936</v>
          </cell>
          <cell r="Z322" t="str">
            <v>Selling, general, and administrative</v>
          </cell>
          <cell r="AA322">
            <v>0.41413482993745898</v>
          </cell>
          <cell r="AB322">
            <v>0.3696165188604259</v>
          </cell>
          <cell r="AC322">
            <v>0.46757730330018044</v>
          </cell>
          <cell r="AD322">
            <v>0.42570869604194006</v>
          </cell>
          <cell r="AE322">
            <v>0.41963221171436804</v>
          </cell>
        </row>
        <row r="323">
          <cell r="A323" t="str">
            <v>Depreciation and amortization</v>
          </cell>
          <cell r="H323" t="str">
            <v>Depreciation and amortization</v>
          </cell>
          <cell r="I323">
            <v>-0.16688668617540348</v>
          </cell>
          <cell r="J323">
            <v>-0.18134294584833799</v>
          </cell>
          <cell r="K323">
            <v>-0.15449131394289017</v>
          </cell>
          <cell r="L323">
            <v>3.2648648648648582E-2</v>
          </cell>
          <cell r="M323">
            <v>-2.990196078431373E-2</v>
          </cell>
          <cell r="O323" t="str">
            <v>Depreciation and amortization</v>
          </cell>
          <cell r="P323">
            <v>-2.990196078431373E-2</v>
          </cell>
          <cell r="Q323">
            <v>-7.1462591687041499E-2</v>
          </cell>
          <cell r="R323">
            <v>-9.9325404610103085E-2</v>
          </cell>
          <cell r="S323">
            <v>-0.18341708542713564</v>
          </cell>
          <cell r="T323">
            <v>-9.9584762687970008E-2</v>
          </cell>
          <cell r="Z323" t="str">
            <v>Depreciation and amortization</v>
          </cell>
          <cell r="AA323">
            <v>-0.19151086407276396</v>
          </cell>
          <cell r="AB323">
            <v>-0.18372032889224532</v>
          </cell>
          <cell r="AC323">
            <v>-0.18321807179023075</v>
          </cell>
          <cell r="AD323">
            <v>-0.3076923076923076</v>
          </cell>
          <cell r="AE323">
            <v>-0.21715316574452748</v>
          </cell>
        </row>
        <row r="324">
          <cell r="A324" t="str">
            <v>Total Operating Expenses</v>
          </cell>
          <cell r="H324" t="str">
            <v>Total Operating Expenses</v>
          </cell>
          <cell r="I324">
            <v>-8.2280695791641545E-2</v>
          </cell>
          <cell r="J324">
            <v>-4.4768042406045372E-2</v>
          </cell>
          <cell r="K324">
            <v>6.0470979187732921E-2</v>
          </cell>
          <cell r="L324">
            <v>0.13863978165209168</v>
          </cell>
          <cell r="M324">
            <v>0.12028704932218037</v>
          </cell>
          <cell r="O324" t="str">
            <v>Total Operating Expenses</v>
          </cell>
          <cell r="P324">
            <v>0.12028704932218037</v>
          </cell>
          <cell r="Q324">
            <v>6.3506833036244936E-2</v>
          </cell>
          <cell r="R324">
            <v>3.3150836289913777E-2</v>
          </cell>
          <cell r="S324">
            <v>-4.6280501600994395E-2</v>
          </cell>
          <cell r="T324">
            <v>3.9053906686036255E-2</v>
          </cell>
          <cell r="Z324" t="str">
            <v>Total Operating Expenses</v>
          </cell>
          <cell r="AA324">
            <v>0.12491725588641311</v>
          </cell>
          <cell r="AB324">
            <v>0.17102995988995584</v>
          </cell>
          <cell r="AC324">
            <v>0.23877686281431654</v>
          </cell>
          <cell r="AD324">
            <v>0.27216848472622868</v>
          </cell>
          <cell r="AE324">
            <v>0.20213852326295423</v>
          </cell>
        </row>
        <row r="325">
          <cell r="A325" t="str">
            <v>Total Operating Expenses</v>
          </cell>
          <cell r="H325" t="str">
            <v>Total Operating Expenses</v>
          </cell>
          <cell r="I325">
            <v>-8.2280695791641545E-2</v>
          </cell>
          <cell r="J325">
            <v>-4.4768042406045372E-2</v>
          </cell>
          <cell r="K325">
            <v>6.0470979187732921E-2</v>
          </cell>
          <cell r="L325">
            <v>0.13863978165209168</v>
          </cell>
          <cell r="M325">
            <v>0.12028704932218037</v>
          </cell>
          <cell r="O325" t="str">
            <v>Total Operating Expenses</v>
          </cell>
          <cell r="P325">
            <v>0.12028704932218037</v>
          </cell>
          <cell r="Q325">
            <v>6.3506833036244936E-2</v>
          </cell>
          <cell r="R325">
            <v>3.3150836289913777E-2</v>
          </cell>
          <cell r="S325">
            <v>-4.6280501600994395E-2</v>
          </cell>
          <cell r="T325">
            <v>3.9053906686036255E-2</v>
          </cell>
          <cell r="Z325" t="str">
            <v>Total Operating Expenses</v>
          </cell>
          <cell r="AA325">
            <v>0.12491725588641311</v>
          </cell>
          <cell r="AB325">
            <v>0.17102995988995584</v>
          </cell>
          <cell r="AC325">
            <v>0.23877686281431654</v>
          </cell>
          <cell r="AD325">
            <v>0.27216848472622868</v>
          </cell>
          <cell r="AE325">
            <v>0.20213852326295423</v>
          </cell>
        </row>
        <row r="326">
          <cell r="A326" t="str">
            <v>Pretax operating income</v>
          </cell>
          <cell r="H326" t="str">
            <v>Pretax operating income</v>
          </cell>
          <cell r="I326">
            <v>0.30292616606493072</v>
          </cell>
          <cell r="J326">
            <v>0.1095467147102549</v>
          </cell>
          <cell r="K326">
            <v>3.354778424822368</v>
          </cell>
          <cell r="L326">
            <v>0.81929071606053605</v>
          </cell>
          <cell r="M326">
            <v>0.80398720558301862</v>
          </cell>
          <cell r="O326" t="str">
            <v>Pretax operating income</v>
          </cell>
          <cell r="P326">
            <v>0.80398720558301862</v>
          </cell>
          <cell r="Q326">
            <v>1.303516333118139</v>
          </cell>
          <cell r="R326">
            <v>1.5585423484614593</v>
          </cell>
          <cell r="S326">
            <v>1.8481369601846938</v>
          </cell>
          <cell r="T326">
            <v>1.4093600381961942</v>
          </cell>
          <cell r="Z326" t="str">
            <v>Pretax operating income</v>
          </cell>
          <cell r="AA326">
            <v>0.88952209455486586</v>
          </cell>
          <cell r="AB326">
            <v>0.48579087619123285</v>
          </cell>
          <cell r="AC326">
            <v>0.19480563537466877</v>
          </cell>
          <cell r="AD326">
            <v>0.32133359470817924</v>
          </cell>
          <cell r="AE326">
            <v>0.4089501126041144</v>
          </cell>
        </row>
        <row r="327">
          <cell r="A327" t="str">
            <v>Pretax operating income</v>
          </cell>
          <cell r="H327" t="str">
            <v>Pretax operating income</v>
          </cell>
          <cell r="I327">
            <v>0.30292616606493072</v>
          </cell>
          <cell r="J327">
            <v>0.1095467147102549</v>
          </cell>
          <cell r="K327">
            <v>3.354778424822368</v>
          </cell>
          <cell r="L327">
            <v>0.81929071606053605</v>
          </cell>
          <cell r="M327">
            <v>0.80398720558301862</v>
          </cell>
          <cell r="O327" t="str">
            <v>Pretax operating income</v>
          </cell>
          <cell r="P327">
            <v>0.80398720558301862</v>
          </cell>
          <cell r="Q327">
            <v>1.303516333118139</v>
          </cell>
          <cell r="R327">
            <v>1.5585423484614593</v>
          </cell>
          <cell r="S327">
            <v>1.8481369601846938</v>
          </cell>
          <cell r="T327">
            <v>1.4093600381961942</v>
          </cell>
          <cell r="Z327" t="str">
            <v>Pretax operating income</v>
          </cell>
          <cell r="AA327">
            <v>0.88952209455486586</v>
          </cell>
          <cell r="AB327">
            <v>0.48579087619123285</v>
          </cell>
          <cell r="AC327">
            <v>0.19480563537466877</v>
          </cell>
          <cell r="AD327">
            <v>0.32133359470817924</v>
          </cell>
          <cell r="AE327">
            <v>0.4089501126041144</v>
          </cell>
        </row>
        <row r="328">
          <cell r="A328" t="str">
            <v>Net interest income</v>
          </cell>
          <cell r="H328" t="str">
            <v>Net interest income</v>
          </cell>
          <cell r="I328">
            <v>0.54029129053013292</v>
          </cell>
          <cell r="J328">
            <v>0.69979444937077129</v>
          </cell>
          <cell r="K328">
            <v>1.012899819524367</v>
          </cell>
          <cell r="L328">
            <v>0.57173447537473243</v>
          </cell>
          <cell r="M328">
            <v>-9.0415913200723175E-2</v>
          </cell>
          <cell r="O328" t="str">
            <v>Net interest income</v>
          </cell>
          <cell r="P328">
            <v>-9.0415913200723175E-2</v>
          </cell>
          <cell r="Q328">
            <v>-0.1150463378176384</v>
          </cell>
          <cell r="R328">
            <v>-0.35655485498108452</v>
          </cell>
          <cell r="S328">
            <v>0.26720299727520458</v>
          </cell>
          <cell r="T328">
            <v>-7.7696253182975572E-2</v>
          </cell>
          <cell r="Z328" t="str">
            <v>Net interest income</v>
          </cell>
          <cell r="AA328">
            <v>2.0001042118225492</v>
          </cell>
          <cell r="AB328">
            <v>1.5489286401570559</v>
          </cell>
          <cell r="AC328">
            <v>1.9574649752411397</v>
          </cell>
          <cell r="AD328">
            <v>0.62241545353133709</v>
          </cell>
          <cell r="AE328">
            <v>1.3807599291267216</v>
          </cell>
        </row>
        <row r="329">
          <cell r="A329" t="str">
            <v>Other income (expense), net</v>
          </cell>
          <cell r="H329" t="str">
            <v>Other income (expense), net</v>
          </cell>
          <cell r="I329">
            <v>-5.4348707551951341</v>
          </cell>
          <cell r="J329" t="str">
            <v>NM</v>
          </cell>
          <cell r="K329" t="str">
            <v>NM</v>
          </cell>
          <cell r="L329" t="str">
            <v>NM</v>
          </cell>
          <cell r="M329" t="str">
            <v>NM</v>
          </cell>
          <cell r="O329" t="str">
            <v>Other income (expense), net</v>
          </cell>
          <cell r="P329" t="str">
            <v>NM</v>
          </cell>
          <cell r="Q329">
            <v>57.0458</v>
          </cell>
          <cell r="R329">
            <v>1.0067843137254906</v>
          </cell>
          <cell r="S329" t="str">
            <v>NM</v>
          </cell>
          <cell r="T329" t="str">
            <v>NM</v>
          </cell>
          <cell r="Z329" t="str">
            <v>Other income (expense), net</v>
          </cell>
          <cell r="AA329" t="str">
            <v>NM</v>
          </cell>
          <cell r="AB329" t="str">
            <v>NM</v>
          </cell>
          <cell r="AC329" t="str">
            <v>NM</v>
          </cell>
          <cell r="AD329" t="str">
            <v>NM</v>
          </cell>
          <cell r="AE329" t="str">
            <v>NM</v>
          </cell>
        </row>
        <row r="330">
          <cell r="A330" t="str">
            <v>Other income (expense), net</v>
          </cell>
          <cell r="H330" t="str">
            <v>Other income (expense), net</v>
          </cell>
          <cell r="I330">
            <v>-5.4348707551951341</v>
          </cell>
          <cell r="J330" t="str">
            <v>NM</v>
          </cell>
          <cell r="K330" t="str">
            <v>NM</v>
          </cell>
          <cell r="L330" t="str">
            <v>NM</v>
          </cell>
          <cell r="M330" t="str">
            <v>NM</v>
          </cell>
          <cell r="O330" t="str">
            <v>Other income (expense), net</v>
          </cell>
          <cell r="P330" t="str">
            <v>NM</v>
          </cell>
          <cell r="Q330">
            <v>57.0458</v>
          </cell>
          <cell r="R330">
            <v>1.0067843137254906</v>
          </cell>
          <cell r="S330" t="str">
            <v>NM</v>
          </cell>
          <cell r="T330" t="str">
            <v>NM</v>
          </cell>
          <cell r="Z330" t="str">
            <v>Other income (expense), net</v>
          </cell>
          <cell r="AA330" t="str">
            <v>NM</v>
          </cell>
          <cell r="AB330" t="str">
            <v>NM</v>
          </cell>
          <cell r="AC330" t="str">
            <v>NM</v>
          </cell>
          <cell r="AD330" t="str">
            <v>NM</v>
          </cell>
          <cell r="AE330" t="str">
            <v>NM</v>
          </cell>
        </row>
        <row r="331">
          <cell r="A331" t="str">
            <v>Pretax income</v>
          </cell>
          <cell r="H331" t="str">
            <v>Pretax income</v>
          </cell>
          <cell r="I331">
            <v>0.27012616129212752</v>
          </cell>
          <cell r="J331">
            <v>0.17064808378638574</v>
          </cell>
          <cell r="K331">
            <v>3.3575668581827944</v>
          </cell>
          <cell r="L331">
            <v>0.64102000439656925</v>
          </cell>
          <cell r="M331">
            <v>0.85567428334025797</v>
          </cell>
          <cell r="O331" t="str">
            <v>Pretax income</v>
          </cell>
          <cell r="P331">
            <v>0.85567428334025797</v>
          </cell>
          <cell r="Q331">
            <v>1.257030626780625</v>
          </cell>
          <cell r="R331">
            <v>1.4101300414624958</v>
          </cell>
          <cell r="S331">
            <v>2.1974577464604854</v>
          </cell>
          <cell r="T331">
            <v>1.4274471287980397</v>
          </cell>
          <cell r="Z331" t="str">
            <v>Pretax income</v>
          </cell>
          <cell r="AA331">
            <v>0.86225654992892986</v>
          </cell>
          <cell r="AB331">
            <v>0.4735349077690163</v>
          </cell>
          <cell r="AC331">
            <v>0.22040876398863696</v>
          </cell>
          <cell r="AD331">
            <v>0.33306613930905815</v>
          </cell>
          <cell r="AE331">
            <v>0.41711941086150905</v>
          </cell>
        </row>
        <row r="332">
          <cell r="A332" t="str">
            <v>Taxes on income</v>
          </cell>
          <cell r="H332" t="str">
            <v>Taxes on income</v>
          </cell>
          <cell r="I332">
            <v>0.32302604920699896</v>
          </cell>
          <cell r="J332">
            <v>0.13504962564642153</v>
          </cell>
          <cell r="K332">
            <v>3.0991909824705193</v>
          </cell>
          <cell r="L332">
            <v>1.564453125</v>
          </cell>
          <cell r="M332">
            <v>0.74297806848787995</v>
          </cell>
          <cell r="O332" t="str">
            <v>Taxes on income</v>
          </cell>
          <cell r="P332">
            <v>0.74297806848787995</v>
          </cell>
          <cell r="Q332">
            <v>1.0591461271342983</v>
          </cell>
          <cell r="R332">
            <v>1.4585692221286157</v>
          </cell>
          <cell r="S332">
            <v>2.1813243438936145</v>
          </cell>
          <cell r="T332">
            <v>1.360468207662854</v>
          </cell>
          <cell r="Z332" t="str">
            <v>Taxes on income</v>
          </cell>
          <cell r="AA332">
            <v>0.87292039824376544</v>
          </cell>
          <cell r="AB332">
            <v>0.54871949844913548</v>
          </cell>
          <cell r="AC332">
            <v>0.21218118267027619</v>
          </cell>
          <cell r="AD332">
            <v>0.29497853532879925</v>
          </cell>
          <cell r="AE332">
            <v>0.41926393791721317</v>
          </cell>
        </row>
        <row r="333">
          <cell r="A333" t="str">
            <v>Tax rate</v>
          </cell>
          <cell r="H333" t="str">
            <v>Tax rate</v>
          </cell>
          <cell r="I333">
            <v>4.1649317624522508E-2</v>
          </cell>
          <cell r="J333">
            <v>-3.040918840854645E-2</v>
          </cell>
          <cell r="K333">
            <v>-5.9293611348059438E-2</v>
          </cell>
          <cell r="L333">
            <v>0.56271899070663234</v>
          </cell>
          <cell r="M333">
            <v>-6.0730601196629208E-2</v>
          </cell>
          <cell r="O333" t="str">
            <v>Tax rate</v>
          </cell>
          <cell r="P333">
            <v>-6.0730601196629208E-2</v>
          </cell>
          <cell r="Q333">
            <v>-8.7674707333761148E-2</v>
          </cell>
          <cell r="R333">
            <v>2.0098160610755533E-2</v>
          </cell>
          <cell r="S333">
            <v>-5.0456968773804345E-3</v>
          </cell>
          <cell r="T333">
            <v>-2.7592329546782146E-2</v>
          </cell>
          <cell r="Z333" t="str">
            <v>Tax rate</v>
          </cell>
          <cell r="AA333">
            <v>5.7263046357618475E-3</v>
          </cell>
          <cell r="AB333">
            <v>5.1023284405220748E-2</v>
          </cell>
          <cell r="AC333">
            <v>-6.7416603036105638E-3</v>
          </cell>
          <cell r="AD333">
            <v>-2.857142857142847E-2</v>
          </cell>
          <cell r="AE333">
            <v>1.5133001772942301E-3</v>
          </cell>
        </row>
        <row r="334">
          <cell r="A334" t="str">
            <v>Operating earnings</v>
          </cell>
          <cell r="H334" t="str">
            <v>Operating earnings</v>
          </cell>
          <cell r="I334">
            <v>0.2421972970517845</v>
          </cell>
          <cell r="J334">
            <v>0.1911723111700514</v>
          </cell>
          <cell r="K334">
            <v>3.5008413145443953</v>
          </cell>
          <cell r="L334">
            <v>0.37276595744680696</v>
          </cell>
          <cell r="M334">
            <v>0.91904456945045476</v>
          </cell>
          <cell r="O334" t="str">
            <v>Operating earnings</v>
          </cell>
          <cell r="P334">
            <v>0.91904456945045476</v>
          </cell>
          <cell r="Q334">
            <v>1.3657451753264365</v>
          </cell>
          <cell r="R334">
            <v>1.3856665721174304</v>
          </cell>
          <cell r="S334">
            <v>2.206212926278754</v>
          </cell>
          <cell r="T334">
            <v>1.463373268418275</v>
          </cell>
          <cell r="Z334" t="str">
            <v>Operating earnings</v>
          </cell>
          <cell r="AA334">
            <v>0.8568103051256275</v>
          </cell>
          <cell r="AB334">
            <v>0.43758283504241891</v>
          </cell>
          <cell r="AC334">
            <v>0.22469095600710065</v>
          </cell>
          <cell r="AD334">
            <v>0.35357484914458204</v>
          </cell>
          <cell r="AE334">
            <v>0.41601718177746205</v>
          </cell>
        </row>
        <row r="335">
          <cell r="A335" t="str">
            <v>Operating earnings</v>
          </cell>
          <cell r="H335" t="str">
            <v>Operating earnings</v>
          </cell>
          <cell r="I335">
            <v>0.2421972970517845</v>
          </cell>
          <cell r="J335">
            <v>0.1911723111700514</v>
          </cell>
          <cell r="K335">
            <v>3.5008413145443953</v>
          </cell>
          <cell r="L335">
            <v>0.37276595744680696</v>
          </cell>
          <cell r="M335">
            <v>0.91904456945045476</v>
          </cell>
          <cell r="O335" t="str">
            <v>Operating earnings</v>
          </cell>
          <cell r="P335">
            <v>0.91904456945045476</v>
          </cell>
          <cell r="Q335">
            <v>1.3657451753264365</v>
          </cell>
          <cell r="R335">
            <v>1.3856665721174304</v>
          </cell>
          <cell r="S335">
            <v>2.206212926278754</v>
          </cell>
          <cell r="T335">
            <v>1.463373268418275</v>
          </cell>
          <cell r="Z335" t="str">
            <v>Operating earnings</v>
          </cell>
          <cell r="AA335">
            <v>0.8568103051256275</v>
          </cell>
          <cell r="AB335">
            <v>0.43758283504241891</v>
          </cell>
          <cell r="AC335">
            <v>0.22469095600710065</v>
          </cell>
          <cell r="AD335">
            <v>0.35357484914458204</v>
          </cell>
          <cell r="AE335">
            <v>0.41601718177746205</v>
          </cell>
        </row>
        <row r="336">
          <cell r="A336" t="str">
            <v>Operating EPS</v>
          </cell>
          <cell r="H336" t="str">
            <v>Operating EPS</v>
          </cell>
          <cell r="I336">
            <v>0.28107607418577563</v>
          </cell>
          <cell r="J336">
            <v>0.22837156186857999</v>
          </cell>
          <cell r="K336">
            <v>3.6412318692749981</v>
          </cell>
          <cell r="L336">
            <v>0.41358074505896525</v>
          </cell>
          <cell r="M336">
            <v>0.91896873080696473</v>
          </cell>
          <cell r="O336" t="str">
            <v>Operating EPS</v>
          </cell>
          <cell r="P336">
            <v>0.91896873080696473</v>
          </cell>
          <cell r="Q336">
            <v>1.365723875096958</v>
          </cell>
          <cell r="R336">
            <v>1.3856688201231884</v>
          </cell>
          <cell r="S336">
            <v>2.0501487108850482</v>
          </cell>
          <cell r="T336">
            <v>1.4322321308997719</v>
          </cell>
          <cell r="Z336" t="str">
            <v>Operating EPS</v>
          </cell>
          <cell r="AA336">
            <v>0.67881527042930379</v>
          </cell>
          <cell r="AB336">
            <v>0.29974960078113844</v>
          </cell>
          <cell r="AC336">
            <v>0.10726425127288675</v>
          </cell>
          <cell r="AD336">
            <v>0.28641268576112289</v>
          </cell>
          <cell r="AE336">
            <v>0.29663270484350757</v>
          </cell>
        </row>
        <row r="337">
          <cell r="A337" t="str">
            <v>Operating EPS</v>
          </cell>
          <cell r="H337" t="str">
            <v>Operating EPS</v>
          </cell>
          <cell r="I337">
            <v>0.28107607418577563</v>
          </cell>
          <cell r="J337">
            <v>0.22837156186857999</v>
          </cell>
          <cell r="K337">
            <v>3.6412318692749981</v>
          </cell>
          <cell r="L337">
            <v>0.41358074505896525</v>
          </cell>
          <cell r="M337">
            <v>0.91896873080696473</v>
          </cell>
          <cell r="O337" t="str">
            <v>Operating EPS</v>
          </cell>
          <cell r="P337">
            <v>0.91896873080696473</v>
          </cell>
          <cell r="Q337">
            <v>1.365723875096958</v>
          </cell>
          <cell r="R337">
            <v>1.3856688201231884</v>
          </cell>
          <cell r="S337">
            <v>2.0501487108850482</v>
          </cell>
          <cell r="T337">
            <v>1.4322321308997719</v>
          </cell>
          <cell r="Z337" t="str">
            <v>Operating EPS</v>
          </cell>
          <cell r="AA337">
            <v>0.67881527042930379</v>
          </cell>
          <cell r="AB337">
            <v>0.29974960078113844</v>
          </cell>
          <cell r="AC337">
            <v>0.10726425127288675</v>
          </cell>
          <cell r="AD337">
            <v>0.28641268576112289</v>
          </cell>
          <cell r="AE337">
            <v>0.29663270484350757</v>
          </cell>
        </row>
        <row r="338">
          <cell r="A338" t="str">
            <v>A = Actual    E = Morgan Stanley Research Estimate</v>
          </cell>
          <cell r="H338" t="str">
            <v>A = Actual    E = Morgan Stanley Research Estimate</v>
          </cell>
          <cell r="O338" t="str">
            <v>A = Actual    E = Morgan Stanley Research Estimate</v>
          </cell>
          <cell r="P338">
            <v>5.0000000000238742E-4</v>
          </cell>
          <cell r="Q338">
            <v>0</v>
          </cell>
          <cell r="R338">
            <v>0</v>
          </cell>
          <cell r="S338">
            <v>2.5</v>
          </cell>
          <cell r="T338">
            <v>2.5005000000000024</v>
          </cell>
          <cell r="Z338" t="str">
            <v>A = Actual    E = Morgan Stanley Research Estimate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</row>
        <row r="339">
          <cell r="A339" t="str">
            <v>Source: Company data, Morgan Stanley Research</v>
          </cell>
          <cell r="H339" t="str">
            <v>Source: Company data, Morgan Stanley Research</v>
          </cell>
          <cell r="O339" t="str">
            <v>Source: Company data, Morgan Stanley Research</v>
          </cell>
          <cell r="Z339" t="str">
            <v>Source: Company data, Morgan Stanley Research</v>
          </cell>
        </row>
        <row r="340">
          <cell r="A340" t="str">
            <v>Source: Company data, Morgan Stanley Research</v>
          </cell>
          <cell r="H340" t="str">
            <v>Source: Company data, Morgan Stanley Research</v>
          </cell>
          <cell r="O340" t="str">
            <v>Source: Company data, Morgan Stanley Research</v>
          </cell>
          <cell r="S340">
            <v>24.31</v>
          </cell>
          <cell r="Z340" t="str">
            <v>Source: Company data, Morgan Stanley Research</v>
          </cell>
        </row>
        <row r="341">
          <cell r="A341" t="str">
            <v>% Discount to repurchase price</v>
          </cell>
          <cell r="H341" t="str">
            <v>% Discount to repurchase price</v>
          </cell>
          <cell r="O341" t="str">
            <v>% Discount to repurchase price</v>
          </cell>
          <cell r="Z341" t="str">
            <v>% Discount to repurchase price</v>
          </cell>
        </row>
        <row r="342">
          <cell r="A342" t="str">
            <v>Capital Management</v>
          </cell>
          <cell r="H342" t="str">
            <v>Capital Management</v>
          </cell>
          <cell r="O342" t="str">
            <v>Capital Management</v>
          </cell>
          <cell r="Z342" t="str">
            <v>Capital Management</v>
          </cell>
        </row>
        <row r="343">
          <cell r="A343" t="str">
            <v>Amounts</v>
          </cell>
          <cell r="H343" t="str">
            <v>Amounts</v>
          </cell>
          <cell r="O343" t="str">
            <v>Amounts</v>
          </cell>
          <cell r="Z343" t="str">
            <v>Amounts</v>
          </cell>
        </row>
        <row r="344">
          <cell r="A344" t="str">
            <v>Est. Common stock issuance</v>
          </cell>
          <cell r="H344" t="str">
            <v>Est. Common stock issuance</v>
          </cell>
          <cell r="O344" t="str">
            <v>Est. Common stock issuance</v>
          </cell>
          <cell r="P344">
            <v>5.700000000000216E-2</v>
          </cell>
          <cell r="Q344">
            <v>0</v>
          </cell>
          <cell r="R344">
            <v>0</v>
          </cell>
          <cell r="S344">
            <v>60.774999999999999</v>
          </cell>
          <cell r="T344">
            <v>60.832000000000001</v>
          </cell>
          <cell r="Z344" t="str">
            <v>Est. Common stock issuance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</row>
        <row r="345">
          <cell r="A345" t="str">
            <v>Est. Common stock repurchases</v>
          </cell>
          <cell r="H345" t="str">
            <v>Est. Common stock repurchases</v>
          </cell>
          <cell r="O345" t="str">
            <v>Est. Common stock repurchases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Z345" t="str">
            <v>Est. Common stock repurchases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</row>
        <row r="346">
          <cell r="A346" t="str">
            <v>Est. Net Share Issuance/(Repurchases)</v>
          </cell>
          <cell r="H346" t="str">
            <v>Est. Net Share Issuance/(Repurchases)</v>
          </cell>
          <cell r="O346" t="str">
            <v>Est. Net Share Issuance/(Repurchases)</v>
          </cell>
          <cell r="P346">
            <v>5.700000000000216E-2</v>
          </cell>
          <cell r="Q346">
            <v>0</v>
          </cell>
          <cell r="R346">
            <v>0</v>
          </cell>
          <cell r="S346">
            <v>60.774999999999999</v>
          </cell>
          <cell r="T346">
            <v>60.832000000000001</v>
          </cell>
          <cell r="Z346" t="str">
            <v>Est. Net Share Issuance/(Repurchases)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</row>
        <row r="347">
          <cell r="A347" t="str">
            <v>Est. Net Share Issuance/(Repurchases)</v>
          </cell>
          <cell r="H347" t="str">
            <v>Est. Net Share Issuance/(Repurchases)</v>
          </cell>
          <cell r="O347" t="str">
            <v>Est. Net Share Issuance/(Repurchases)</v>
          </cell>
          <cell r="P347">
            <v>5.700000000000216E-2</v>
          </cell>
          <cell r="Q347">
            <v>0</v>
          </cell>
          <cell r="R347">
            <v>0</v>
          </cell>
          <cell r="S347">
            <v>60.774999999999999</v>
          </cell>
          <cell r="T347">
            <v>60.832000000000001</v>
          </cell>
          <cell r="Z347" t="str">
            <v>Est. Net Share Issuance/(Repurchases)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</row>
        <row r="348">
          <cell r="A348" t="str">
            <v>Shares</v>
          </cell>
          <cell r="B348" t="str">
            <v>Options O/S</v>
          </cell>
          <cell r="H348" t="str">
            <v>Shares</v>
          </cell>
          <cell r="O348" t="str">
            <v>Shares</v>
          </cell>
          <cell r="Z348" t="str">
            <v>Shares</v>
          </cell>
        </row>
        <row r="349">
          <cell r="A349" t="str">
            <v>Est. No. of shares issued</v>
          </cell>
          <cell r="B349">
            <v>0.31831775000000001</v>
          </cell>
          <cell r="H349" t="str">
            <v>Est. No. of shares issued</v>
          </cell>
          <cell r="O349" t="str">
            <v>Est. No. of shares issued</v>
          </cell>
          <cell r="P349">
            <v>5.0000000000238742E-4</v>
          </cell>
          <cell r="Q349">
            <v>0</v>
          </cell>
          <cell r="R349">
            <v>0</v>
          </cell>
          <cell r="S349">
            <v>2.5</v>
          </cell>
          <cell r="T349">
            <v>2.5005000000000024</v>
          </cell>
          <cell r="Z349" t="str">
            <v>Est. No. of shares issued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</row>
        <row r="350">
          <cell r="A350" t="str">
            <v>Est. No. of shares repurchased</v>
          </cell>
          <cell r="B350">
            <v>0.16283375</v>
          </cell>
          <cell r="H350" t="str">
            <v>Est. No. of shares repurchased</v>
          </cell>
          <cell r="O350" t="str">
            <v>Est. No. of shares repurchased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Z350" t="str">
            <v>Est. No. of shares repurchased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</row>
        <row r="351">
          <cell r="A351" t="str">
            <v>Net shares issued/(repurchased)</v>
          </cell>
          <cell r="B351">
            <v>3.2907380000000002</v>
          </cell>
          <cell r="H351" t="str">
            <v>Net shares issued/(repurchased)</v>
          </cell>
          <cell r="O351" t="str">
            <v>Net shares issued/(repurchased)</v>
          </cell>
          <cell r="P351">
            <v>5.0000000000238742E-4</v>
          </cell>
          <cell r="Q351">
            <v>0</v>
          </cell>
          <cell r="R351">
            <v>0</v>
          </cell>
          <cell r="S351">
            <v>2.5</v>
          </cell>
          <cell r="T351">
            <v>2.5005000000000024</v>
          </cell>
          <cell r="Z351" t="str">
            <v>Net shares issued/(repurchased)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</row>
        <row r="352">
          <cell r="A352" t="str">
            <v>Net shares issued/(repurchased)</v>
          </cell>
          <cell r="B352">
            <v>0.85421999999999998</v>
          </cell>
          <cell r="H352" t="str">
            <v>Net shares issued/(repurchased)</v>
          </cell>
          <cell r="O352" t="str">
            <v>Net shares issued/(repurchased)</v>
          </cell>
          <cell r="P352">
            <v>5.0000000000238742E-4</v>
          </cell>
          <cell r="Q352">
            <v>0</v>
          </cell>
          <cell r="R352">
            <v>0</v>
          </cell>
          <cell r="S352">
            <v>2.5</v>
          </cell>
          <cell r="T352">
            <v>2.5005000000000024</v>
          </cell>
          <cell r="Z352" t="str">
            <v>Net shares issued/(repurchased)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</row>
        <row r="353">
          <cell r="A353" t="str">
            <v>Assumed price for stock issuance</v>
          </cell>
          <cell r="B353">
            <v>4.6261095000000001</v>
          </cell>
          <cell r="H353" t="str">
            <v>Assumed price for stock issuance</v>
          </cell>
          <cell r="O353" t="str">
            <v>Assumed price for stock issuance</v>
          </cell>
          <cell r="S353">
            <v>24.31</v>
          </cell>
          <cell r="Z353" t="str">
            <v>Assumed price for stock issuance</v>
          </cell>
        </row>
        <row r="354">
          <cell r="A354" t="str">
            <v>% Discount to repurchase price</v>
          </cell>
          <cell r="B354">
            <v>8.4433427591802577</v>
          </cell>
          <cell r="H354" t="str">
            <v>% Discount to repurchase price</v>
          </cell>
          <cell r="O354" t="str">
            <v>% Discount to repurchase price</v>
          </cell>
          <cell r="S354">
            <v>24.31</v>
          </cell>
          <cell r="Z354" t="str">
            <v>% Discount to repurchase price</v>
          </cell>
        </row>
        <row r="355">
          <cell r="A355" t="str">
            <v>% Discount to repurchase price</v>
          </cell>
          <cell r="H355" t="str">
            <v>% Discount to repurchase price</v>
          </cell>
          <cell r="O355" t="str">
            <v>% Discount to repurchase price</v>
          </cell>
          <cell r="Z355" t="str">
            <v>% Discount to repurchase price</v>
          </cell>
        </row>
        <row r="356">
          <cell r="A356" t="str">
            <v>Assumed repurchase price</v>
          </cell>
          <cell r="B356">
            <v>4</v>
          </cell>
          <cell r="H356" t="str">
            <v>Assumed repurchase price</v>
          </cell>
          <cell r="O356" t="str">
            <v>Assumed repurchase price</v>
          </cell>
          <cell r="Z356" t="str">
            <v>Assumed repurchase price</v>
          </cell>
        </row>
        <row r="357">
          <cell r="A357" t="str">
            <v>Assumed P/E for stock repurchases</v>
          </cell>
          <cell r="H357" t="str">
            <v>Assumed P/E for stock repurchases</v>
          </cell>
          <cell r="O357" t="str">
            <v>Assumed P/E for stock repurchases</v>
          </cell>
          <cell r="Z357" t="str">
            <v>Assumed P/E for stock repurchases</v>
          </cell>
        </row>
        <row r="358">
          <cell r="A358" t="str">
            <v>Assumed P/E for stock repurchases</v>
          </cell>
          <cell r="B358">
            <v>30</v>
          </cell>
          <cell r="H358" t="str">
            <v>Assumed P/E for stock repurchases</v>
          </cell>
          <cell r="O358" t="str">
            <v>Assumed P/E for stock repurchases</v>
          </cell>
          <cell r="Z358" t="str">
            <v>Assumed P/E for stock repurchases</v>
          </cell>
        </row>
        <row r="359">
          <cell r="A359" t="str">
            <v>Extra Shares due to Option dilution (treasury stock method)</v>
          </cell>
          <cell r="B359">
            <v>3.3241152283333335</v>
          </cell>
          <cell r="C359" t="str">
            <v>treasury stiock method asumes cash received from striking of options is used to buy back stock at current price</v>
          </cell>
        </row>
        <row r="360">
          <cell r="A360" t="str">
            <v>Options Outstanding</v>
          </cell>
          <cell r="C360" t="str">
            <v>diluted shares thus = (current price - option strike price)/current price * options outstanding</v>
          </cell>
        </row>
        <row r="361">
          <cell r="A361" t="str">
            <v>Strike Price</v>
          </cell>
          <cell r="B361" t="str">
            <v>Options O/S</v>
          </cell>
          <cell r="C361" t="str">
            <v>assume IPO comes around middle of the qtr</v>
          </cell>
        </row>
        <row r="362">
          <cell r="A362">
            <v>4.2</v>
          </cell>
          <cell r="B362">
            <v>0.31831775000000001</v>
          </cell>
        </row>
        <row r="363">
          <cell r="A363">
            <v>7.04</v>
          </cell>
          <cell r="B363">
            <v>0.16283375</v>
          </cell>
        </row>
        <row r="364">
          <cell r="A364">
            <v>8</v>
          </cell>
          <cell r="B364">
            <v>3.2907380000000002</v>
          </cell>
        </row>
        <row r="365">
          <cell r="A365">
            <v>12</v>
          </cell>
          <cell r="B365">
            <v>0.85421999999999998</v>
          </cell>
        </row>
        <row r="366">
          <cell r="A366" t="str">
            <v>Total O/S:</v>
          </cell>
          <cell r="B366">
            <v>4.6261095000000001</v>
          </cell>
        </row>
        <row r="367">
          <cell r="A367" t="str">
            <v>WAVG Ex Price:</v>
          </cell>
          <cell r="B367">
            <v>8.4433427591802577</v>
          </cell>
        </row>
        <row r="368">
          <cell r="A368" t="str">
            <v>WAVG Ex Price:</v>
          </cell>
          <cell r="B368">
            <v>8.4433427591802577</v>
          </cell>
        </row>
        <row r="369">
          <cell r="A369" t="str">
            <v>Share split factor</v>
          </cell>
          <cell r="B369">
            <v>4</v>
          </cell>
        </row>
        <row r="370">
          <cell r="A370" t="str">
            <v>Share split factor</v>
          </cell>
          <cell r="B370">
            <v>4</v>
          </cell>
        </row>
        <row r="371">
          <cell r="A371" t="str">
            <v>Current stock price</v>
          </cell>
          <cell r="B371">
            <v>30</v>
          </cell>
        </row>
        <row r="372">
          <cell r="A372" t="str">
            <v>Extra Shares due to Option dilution (treasury stock method)</v>
          </cell>
          <cell r="B372">
            <v>3.3241152283333335</v>
          </cell>
          <cell r="C372" t="str">
            <v>treasury stiock method asumes cash received from striking of options is used to buy back stock at current price</v>
          </cell>
        </row>
        <row r="373">
          <cell r="A373" t="str">
            <v>Extra Shares due to Option dilution (treasury stock method)</v>
          </cell>
          <cell r="B373">
            <v>3.3241152283333335</v>
          </cell>
          <cell r="C373" t="str">
            <v>diluted shares thus = (current price - option strike price)/current price * options outstanding</v>
          </cell>
        </row>
        <row r="374">
          <cell r="A374" t="str">
            <v>Time factor since IPO</v>
          </cell>
          <cell r="B374">
            <v>0.5</v>
          </cell>
          <cell r="C374" t="str">
            <v>assume IPO comes around middle of the qtr</v>
          </cell>
        </row>
        <row r="375">
          <cell r="A375" t="str">
            <v>Time factor since IPO</v>
          </cell>
          <cell r="B375">
            <v>0.5</v>
          </cell>
          <cell r="C375" t="str">
            <v>assume IPO comes around middle of the qtr</v>
          </cell>
        </row>
        <row r="381">
          <cell r="B381" t="str">
            <v>2003-Q1</v>
          </cell>
          <cell r="C381" t="str">
            <v>2003-Q2</v>
          </cell>
          <cell r="D381" t="str">
            <v>2003-Q3</v>
          </cell>
          <cell r="E381" t="str">
            <v>2003-Q4</v>
          </cell>
          <cell r="I381" t="str">
            <v>2004-Q1</v>
          </cell>
          <cell r="J381" t="str">
            <v>2004-Q2</v>
          </cell>
          <cell r="K381" t="str">
            <v>2004-Q3</v>
          </cell>
          <cell r="L381" t="str">
            <v>2004-Q4</v>
          </cell>
          <cell r="P381" t="str">
            <v>2005-Q1</v>
          </cell>
          <cell r="Q381" t="str">
            <v>2005-Q2</v>
          </cell>
          <cell r="R381" t="str">
            <v>2005-Q3</v>
          </cell>
          <cell r="S381" t="str">
            <v>2005-Q4</v>
          </cell>
          <cell r="AA381" t="str">
            <v>2006-Q1</v>
          </cell>
          <cell r="AB381" t="str">
            <v>2006-Q2</v>
          </cell>
          <cell r="AC381" t="str">
            <v>2006-Q3</v>
          </cell>
          <cell r="AD381" t="str">
            <v>2006-Q4</v>
          </cell>
        </row>
        <row r="394">
          <cell r="B394" t="str">
            <v>2003-Q1</v>
          </cell>
          <cell r="C394" t="str">
            <v>2003-Q2</v>
          </cell>
          <cell r="D394" t="str">
            <v>2003-Q3</v>
          </cell>
          <cell r="E394" t="str">
            <v>2003-Q4</v>
          </cell>
          <cell r="I394" t="str">
            <v>2004-Q1</v>
          </cell>
          <cell r="J394" t="str">
            <v>2004-Q2</v>
          </cell>
          <cell r="K394" t="str">
            <v>2004-Q3</v>
          </cell>
          <cell r="L394" t="str">
            <v>2004-Q4</v>
          </cell>
          <cell r="P394" t="str">
            <v>2005-Q1</v>
          </cell>
          <cell r="Q394" t="str">
            <v>2005-Q2</v>
          </cell>
          <cell r="R394" t="str">
            <v>2005-Q3</v>
          </cell>
          <cell r="S394" t="str">
            <v>2005-Q4</v>
          </cell>
          <cell r="AA394" t="str">
            <v>2006-Q1</v>
          </cell>
          <cell r="AB394" t="str">
            <v>2006-Q2</v>
          </cell>
          <cell r="AC394" t="str">
            <v>2006-Q3</v>
          </cell>
          <cell r="AD394" t="str">
            <v>2006-Q4</v>
          </cell>
        </row>
        <row r="395">
          <cell r="B395" t="str">
            <v>2003-Q1</v>
          </cell>
          <cell r="C395" t="str">
            <v>2003-Q2</v>
          </cell>
          <cell r="D395" t="str">
            <v>2003-Q3</v>
          </cell>
          <cell r="E395" t="str">
            <v>2003-Q4</v>
          </cell>
          <cell r="I395" t="str">
            <v>2004-Q1</v>
          </cell>
          <cell r="J395" t="str">
            <v>2004-Q2</v>
          </cell>
          <cell r="K395" t="str">
            <v>2004-Q3</v>
          </cell>
          <cell r="L395" t="str">
            <v>2004-Q4</v>
          </cell>
          <cell r="P395" t="str">
            <v>2005-Q1</v>
          </cell>
          <cell r="Q395" t="str">
            <v>2005-Q2</v>
          </cell>
          <cell r="R395" t="str">
            <v>2005-Q3</v>
          </cell>
          <cell r="S395" t="str">
            <v>2005-Q4</v>
          </cell>
          <cell r="AA395" t="str">
            <v>2006-Q1</v>
          </cell>
          <cell r="AB395" t="str">
            <v>2006-Q2</v>
          </cell>
          <cell r="AC395" t="str">
            <v>2006-Q3</v>
          </cell>
          <cell r="AD395" t="str">
            <v>2006-Q4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D5" t="str">
            <v>2006E EPS/Volume Sensitivity</v>
          </cell>
        </row>
        <row r="6">
          <cell r="D6" t="str">
            <v>Futures Average Daily Volume</v>
          </cell>
        </row>
        <row r="7">
          <cell r="B7" t="str">
            <v>OTC Daily Comm.</v>
          </cell>
          <cell r="D7">
            <v>-0.1</v>
          </cell>
          <cell r="E7">
            <v>-0.05</v>
          </cell>
          <cell r="F7" t="str">
            <v>Base case</v>
          </cell>
          <cell r="G7">
            <v>0.05</v>
          </cell>
          <cell r="H7">
            <v>0.1</v>
          </cell>
        </row>
        <row r="8">
          <cell r="C8">
            <v>-0.1</v>
          </cell>
          <cell r="D8">
            <v>-0.25031093953141503</v>
          </cell>
          <cell r="E8">
            <v>-0.19427441632590137</v>
          </cell>
          <cell r="F8">
            <v>-0.13823789312038726</v>
          </cell>
          <cell r="G8">
            <v>-8.2201369914873257E-2</v>
          </cell>
          <cell r="H8">
            <v>-2.6164846709359701E-2</v>
          </cell>
          <cell r="K8" t="str">
            <v xml:space="preserve">Price Change from Base Case </v>
          </cell>
        </row>
        <row r="9">
          <cell r="C9">
            <v>-0.05</v>
          </cell>
          <cell r="D9">
            <v>-0.18289253549368434</v>
          </cell>
          <cell r="E9">
            <v>-0.12685601228817112</v>
          </cell>
          <cell r="F9">
            <v>-7.0819489082657117E-2</v>
          </cell>
          <cell r="G9">
            <v>-1.4782965877143006E-2</v>
          </cell>
          <cell r="H9">
            <v>4.1253557328370993E-2</v>
          </cell>
          <cell r="K9">
            <v>0</v>
          </cell>
          <cell r="L9">
            <v>0.05</v>
          </cell>
          <cell r="M9">
            <v>0.1</v>
          </cell>
        </row>
        <row r="10">
          <cell r="C10" t="str">
            <v>Base case</v>
          </cell>
          <cell r="D10">
            <v>-0.11547413145595364</v>
          </cell>
          <cell r="E10">
            <v>-5.9437608250439977E-2</v>
          </cell>
          <cell r="F10">
            <v>0</v>
          </cell>
          <cell r="G10">
            <v>5.263543816058891E-2</v>
          </cell>
          <cell r="H10">
            <v>0.10867196136610313</v>
          </cell>
          <cell r="J10" t="str">
            <v xml:space="preserve">2006E EPS </v>
          </cell>
          <cell r="K10">
            <v>1.1577840773872168</v>
          </cell>
          <cell r="L10">
            <v>1.2210571082662822</v>
          </cell>
          <cell r="M10">
            <v>1.2860594751846786</v>
          </cell>
        </row>
        <row r="11">
          <cell r="C11">
            <v>0.05</v>
          </cell>
          <cell r="D11">
            <v>-4.8055727418222838E-2</v>
          </cell>
          <cell r="E11">
            <v>7.9807957872901625E-3</v>
          </cell>
          <cell r="F11">
            <v>6.4017318992804384E-2</v>
          </cell>
          <cell r="G11">
            <v>0.12005384219831838</v>
          </cell>
          <cell r="H11">
            <v>0.1760903654038326</v>
          </cell>
          <cell r="J11" t="str">
            <v>EPS change</v>
          </cell>
          <cell r="K11">
            <v>0</v>
          </cell>
          <cell r="L11">
            <v>5.4650113190237048E-2</v>
          </cell>
          <cell r="M11">
            <v>0.11079388661739253</v>
          </cell>
        </row>
        <row r="12">
          <cell r="C12">
            <v>0.1</v>
          </cell>
          <cell r="D12">
            <v>1.9362676619507635E-2</v>
          </cell>
          <cell r="E12">
            <v>7.5399199825021412E-2</v>
          </cell>
          <cell r="F12">
            <v>0.13143572303053541</v>
          </cell>
          <cell r="G12">
            <v>0.18747224623604963</v>
          </cell>
          <cell r="H12">
            <v>0.24350876944156319</v>
          </cell>
        </row>
        <row r="14">
          <cell r="D14" t="str">
            <v>Futures Average Daily Volume</v>
          </cell>
        </row>
        <row r="15">
          <cell r="B15" t="str">
            <v>OTC Daily Comm.</v>
          </cell>
          <cell r="D15">
            <v>-0.1</v>
          </cell>
          <cell r="E15">
            <v>-0.05</v>
          </cell>
          <cell r="F15" t="str">
            <v>Base case</v>
          </cell>
          <cell r="G15">
            <v>0.05</v>
          </cell>
          <cell r="H15">
            <v>0.1</v>
          </cell>
        </row>
        <row r="16">
          <cell r="C16">
            <v>-0.1</v>
          </cell>
          <cell r="D16">
            <v>0.86963931014355844</v>
          </cell>
          <cell r="E16">
            <v>0.93464167706195433</v>
          </cell>
          <cell r="F16">
            <v>0.99964404398035067</v>
          </cell>
          <cell r="G16">
            <v>1.064646410898747</v>
          </cell>
          <cell r="H16">
            <v>1.1296487778171427</v>
          </cell>
        </row>
        <row r="17">
          <cell r="C17">
            <v>-0.05</v>
          </cell>
          <cell r="D17">
            <v>0.94784465882732605</v>
          </cell>
          <cell r="E17">
            <v>1.0128470257457214</v>
          </cell>
          <cell r="F17">
            <v>1.0778493926641177</v>
          </cell>
          <cell r="G17">
            <v>1.1428517595825141</v>
          </cell>
          <cell r="H17">
            <v>1.2078541265009104</v>
          </cell>
        </row>
        <row r="18">
          <cell r="C18" t="str">
            <v>Base case</v>
          </cell>
          <cell r="D18">
            <v>1.0260500075110937</v>
          </cell>
          <cell r="E18">
            <v>1.0910523744294895</v>
          </cell>
          <cell r="F18">
            <v>1.1599999999999999</v>
          </cell>
          <cell r="G18">
            <v>1.2210571082662831</v>
          </cell>
          <cell r="H18">
            <v>1.2860594751846794</v>
          </cell>
        </row>
        <row r="19">
          <cell r="C19">
            <v>0.05</v>
          </cell>
          <cell r="D19">
            <v>1.1042553561948614</v>
          </cell>
          <cell r="E19">
            <v>1.1692577231132566</v>
          </cell>
          <cell r="F19">
            <v>1.2342600900316529</v>
          </cell>
          <cell r="G19">
            <v>1.2992624569500493</v>
          </cell>
          <cell r="H19">
            <v>1.3642648238684456</v>
          </cell>
        </row>
        <row r="20">
          <cell r="C20">
            <v>0.1</v>
          </cell>
          <cell r="D20">
            <v>1.1824607048786289</v>
          </cell>
          <cell r="E20">
            <v>1.2474630717970248</v>
          </cell>
          <cell r="F20">
            <v>1.3124654387154211</v>
          </cell>
          <cell r="G20">
            <v>1.3774678056338174</v>
          </cell>
          <cell r="H20">
            <v>1.4424701725522133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"/>
      <sheetName val="Ke"/>
      <sheetName val="Bovespa"/>
      <sheetName val="Football Field"/>
      <sheetName val="NASDAQ (rev)"/>
      <sheetName val="CME (original)"/>
      <sheetName val="CME (revisada)"/>
      <sheetName val="Projeção"/>
      <sheetName val="Relief from royalty"/>
      <sheetName val="Reposição"/>
      <sheetName val="Covenant brea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C2" t="str">
            <v>Parcela variável</v>
          </cell>
          <cell r="D2">
            <v>1</v>
          </cell>
          <cell r="E2" t="str">
            <v>(1-sim; 2-não)</v>
          </cell>
        </row>
        <row r="3">
          <cell r="C3" t="str">
            <v>Fallback</v>
          </cell>
          <cell r="D3">
            <v>1</v>
          </cell>
          <cell r="E3" t="str">
            <v>(1-não; 2-sim)</v>
          </cell>
        </row>
        <row r="4">
          <cell r="G4">
            <v>2009</v>
          </cell>
          <cell r="H4">
            <v>2010</v>
          </cell>
          <cell r="I4">
            <v>2011</v>
          </cell>
          <cell r="J4">
            <v>2012</v>
          </cell>
          <cell r="K4">
            <v>2013</v>
          </cell>
          <cell r="L4">
            <v>2014</v>
          </cell>
          <cell r="M4">
            <v>2015</v>
          </cell>
          <cell r="N4">
            <v>2016</v>
          </cell>
          <cell r="O4">
            <v>2017</v>
          </cell>
          <cell r="P4">
            <v>2018</v>
          </cell>
          <cell r="Q4">
            <v>2019</v>
          </cell>
          <cell r="R4" t="str">
            <v>Total</v>
          </cell>
        </row>
        <row r="5">
          <cell r="C5" t="str">
            <v>Parcela fixa (termos nominais)</v>
          </cell>
        </row>
        <row r="6">
          <cell r="C6" t="str">
            <v xml:space="preserve">Source Code </v>
          </cell>
          <cell r="H6">
            <v>25</v>
          </cell>
          <cell r="I6">
            <v>5</v>
          </cell>
          <cell r="J6">
            <v>5</v>
          </cell>
          <cell r="K6">
            <v>5</v>
          </cell>
          <cell r="L6">
            <v>5</v>
          </cell>
          <cell r="M6">
            <v>5</v>
          </cell>
          <cell r="N6">
            <v>5</v>
          </cell>
          <cell r="O6">
            <v>5</v>
          </cell>
          <cell r="P6">
            <v>5</v>
          </cell>
          <cell r="Q6">
            <v>5</v>
          </cell>
          <cell r="R6">
            <v>70</v>
          </cell>
          <cell r="S6">
            <v>70</v>
          </cell>
        </row>
        <row r="7">
          <cell r="C7" t="str">
            <v>Knowledge Transfer</v>
          </cell>
          <cell r="H7">
            <v>3</v>
          </cell>
          <cell r="I7">
            <v>2</v>
          </cell>
          <cell r="R7">
            <v>5</v>
          </cell>
          <cell r="S7">
            <v>5</v>
          </cell>
        </row>
        <row r="8">
          <cell r="C8" t="str">
            <v>Source Code Access1</v>
          </cell>
          <cell r="J8">
            <v>3.048</v>
          </cell>
          <cell r="K8">
            <v>3.0569999999999995</v>
          </cell>
          <cell r="L8">
            <v>3.0569999999999995</v>
          </cell>
          <cell r="M8">
            <v>3.0569999999999995</v>
          </cell>
          <cell r="N8">
            <v>3.0569999999999995</v>
          </cell>
          <cell r="O8">
            <v>3.0569999999999995</v>
          </cell>
          <cell r="P8">
            <v>3.0569999999999995</v>
          </cell>
          <cell r="Q8">
            <v>3.0569999999999995</v>
          </cell>
          <cell r="R8">
            <v>24.446999999999992</v>
          </cell>
          <cell r="S8">
            <v>24.446999999999992</v>
          </cell>
        </row>
        <row r="9">
          <cell r="C9" t="str">
            <v>Project Delivery2</v>
          </cell>
          <cell r="J9">
            <v>9</v>
          </cell>
          <cell r="R9">
            <v>9</v>
          </cell>
          <cell r="S9">
            <v>9</v>
          </cell>
        </row>
        <row r="10">
          <cell r="C10" t="str">
            <v>Support</v>
          </cell>
          <cell r="I10">
            <v>5</v>
          </cell>
          <cell r="J10">
            <v>5</v>
          </cell>
          <cell r="R10">
            <v>10</v>
          </cell>
          <cell r="S10">
            <v>10</v>
          </cell>
        </row>
        <row r="12">
          <cell r="C12" t="str">
            <v>Total (termos nominais)</v>
          </cell>
          <cell r="G12">
            <v>0</v>
          </cell>
          <cell r="H12">
            <v>28</v>
          </cell>
          <cell r="I12">
            <v>12</v>
          </cell>
          <cell r="J12">
            <v>22.048000000000002</v>
          </cell>
          <cell r="K12">
            <v>8.0569999999999986</v>
          </cell>
          <cell r="L12">
            <v>8.0569999999999986</v>
          </cell>
          <cell r="M12">
            <v>8.0569999999999986</v>
          </cell>
          <cell r="N12">
            <v>8.0569999999999986</v>
          </cell>
          <cell r="O12">
            <v>8.0569999999999986</v>
          </cell>
          <cell r="P12">
            <v>8.0569999999999986</v>
          </cell>
          <cell r="Q12">
            <v>8.0569999999999986</v>
          </cell>
          <cell r="R12">
            <v>118.44699999999999</v>
          </cell>
        </row>
        <row r="14">
          <cell r="C14" t="str">
            <v>Fator de inflação CPI</v>
          </cell>
          <cell r="G14">
            <v>1</v>
          </cell>
          <cell r="H14">
            <v>1.0089999999999999</v>
          </cell>
          <cell r="I14">
            <v>1.0221169999999997</v>
          </cell>
          <cell r="J14">
            <v>1.0384708719999998</v>
          </cell>
          <cell r="K14">
            <v>1.0582018185679998</v>
          </cell>
          <cell r="L14">
            <v>1.0783076531207916</v>
          </cell>
          <cell r="M14">
            <v>1.0987954985300865</v>
          </cell>
          <cell r="N14">
            <v>1.1196726130021581</v>
          </cell>
          <cell r="O14">
            <v>1.1409463926491989</v>
          </cell>
          <cell r="P14">
            <v>1.1626243741095337</v>
          </cell>
          <cell r="Q14">
            <v>1.1847142372176147</v>
          </cell>
        </row>
        <row r="17">
          <cell r="C17" t="str">
            <v>Total - Parcela Fixa (termos reais)</v>
          </cell>
          <cell r="G17">
            <v>0</v>
          </cell>
          <cell r="H17">
            <v>27.750247770069379</v>
          </cell>
          <cell r="I17">
            <v>11.740338924017507</v>
          </cell>
          <cell r="J17">
            <v>21.231216584378117</v>
          </cell>
          <cell r="K17">
            <v>7.6138595290859046</v>
          </cell>
          <cell r="L17">
            <v>7.4718935516054037</v>
          </cell>
          <cell r="M17">
            <v>7.332574633567619</v>
          </cell>
          <cell r="N17">
            <v>7.1958534186139538</v>
          </cell>
          <cell r="O17">
            <v>7.0616814706712026</v>
          </cell>
          <cell r="P17">
            <v>6.9300112567921524</v>
          </cell>
          <cell r="Q17">
            <v>6.8007961303161455</v>
          </cell>
          <cell r="R17">
            <v>111.12847326911738</v>
          </cell>
          <cell r="S17">
            <v>111.12847326911738</v>
          </cell>
        </row>
        <row r="19">
          <cell r="C19" t="str">
            <v>Parcela Variável</v>
          </cell>
        </row>
        <row r="20">
          <cell r="C20" t="str">
            <v>Receita Líquida BVMF3</v>
          </cell>
          <cell r="F20" t="str">
            <v>R$MM</v>
          </cell>
          <cell r="G20">
            <v>1507.14</v>
          </cell>
          <cell r="H20">
            <v>1871.34</v>
          </cell>
          <cell r="I20">
            <v>2278.69</v>
          </cell>
          <cell r="J20">
            <v>2794.94</v>
          </cell>
          <cell r="K20">
            <v>3361</v>
          </cell>
          <cell r="L20">
            <v>3976.7040515839867</v>
          </cell>
          <cell r="M20">
            <v>4628.2916946635096</v>
          </cell>
          <cell r="N20">
            <v>5297.133641202945</v>
          </cell>
          <cell r="O20">
            <v>5960.1868186221091</v>
          </cell>
          <cell r="P20">
            <v>6590.968376403036</v>
          </cell>
          <cell r="Q20">
            <v>7161.0407405445285</v>
          </cell>
          <cell r="T20" t="str">
            <v>PIB</v>
          </cell>
          <cell r="U20">
            <v>1</v>
          </cell>
        </row>
        <row r="21">
          <cell r="C21" t="str">
            <v>% cresc.</v>
          </cell>
          <cell r="F21" t="str">
            <v>% a.a.</v>
          </cell>
          <cell r="H21">
            <v>0.24164974720331212</v>
          </cell>
          <cell r="I21">
            <v>0.21767824126027358</v>
          </cell>
          <cell r="J21">
            <v>0.22655560870500158</v>
          </cell>
          <cell r="K21">
            <v>0.20253028687556807</v>
          </cell>
          <cell r="L21">
            <v>0.1831907323963067</v>
          </cell>
          <cell r="M21">
            <v>0.16385117791704534</v>
          </cell>
          <cell r="N21">
            <v>0.14451162343778398</v>
          </cell>
          <cell r="O21">
            <v>0.12517206895852262</v>
          </cell>
          <cell r="P21">
            <v>0.10583251447926127</v>
          </cell>
          <cell r="Q21">
            <v>8.6492959999999952E-2</v>
          </cell>
        </row>
        <row r="22">
          <cell r="C22" t="str">
            <v>Fator de crescimento</v>
          </cell>
          <cell r="F22" t="str">
            <v>% a.a.</v>
          </cell>
          <cell r="G22">
            <v>1</v>
          </cell>
          <cell r="H22">
            <v>1.2416497472033121</v>
          </cell>
          <cell r="I22">
            <v>1.5119298804357924</v>
          </cell>
          <cell r="J22">
            <v>1.8544660748172035</v>
          </cell>
          <cell r="K22">
            <v>2.2300516209509404</v>
          </cell>
          <cell r="L22">
            <v>2.638576410674514</v>
          </cell>
          <cell r="M22">
            <v>3.0709102635876624</v>
          </cell>
          <cell r="N22">
            <v>3.5146924912104685</v>
          </cell>
          <cell r="O22">
            <v>3.9546338220882666</v>
          </cell>
          <cell r="P22">
            <v>4.3731626633245995</v>
          </cell>
          <cell r="Q22">
            <v>4.7514104466370277</v>
          </cell>
        </row>
        <row r="24">
          <cell r="C24" t="str">
            <v>Equities (Bovespa)</v>
          </cell>
        </row>
        <row r="25">
          <cell r="C25" t="str">
            <v>Volume diário médio4</v>
          </cell>
          <cell r="F25" t="str">
            <v>R$ bi</v>
          </cell>
          <cell r="G25">
            <v>5</v>
          </cell>
          <cell r="H25">
            <v>6.2082487360165608</v>
          </cell>
          <cell r="I25">
            <v>7.5596494021789624</v>
          </cell>
          <cell r="J25">
            <v>9.2723303740860192</v>
          </cell>
          <cell r="K25">
            <v>11.150258104754704</v>
          </cell>
          <cell r="L25">
            <v>13.192882053372573</v>
          </cell>
          <cell r="M25">
            <v>15.354551317938316</v>
          </cell>
          <cell r="N25">
            <v>17.573462456052347</v>
          </cell>
          <cell r="O25">
            <v>19.773169110441337</v>
          </cell>
          <cell r="P25">
            <v>21.865813316623004</v>
          </cell>
          <cell r="Q25">
            <v>23.757052233185146</v>
          </cell>
        </row>
        <row r="26">
          <cell r="C26" t="str">
            <v>Volume anual</v>
          </cell>
          <cell r="F26" t="str">
            <v>R$ bi</v>
          </cell>
          <cell r="G26">
            <v>1260</v>
          </cell>
          <cell r="H26">
            <v>1564.4786814761733</v>
          </cell>
          <cell r="I26">
            <v>1905.0316493490986</v>
          </cell>
          <cell r="J26">
            <v>2336.627254269677</v>
          </cell>
          <cell r="K26">
            <v>2809.8650423981853</v>
          </cell>
          <cell r="L26">
            <v>3324.6062774498882</v>
          </cell>
          <cell r="M26">
            <v>3869.3469321204557</v>
          </cell>
          <cell r="N26">
            <v>4428.5125389251916</v>
          </cell>
          <cell r="O26">
            <v>4982.8386158312169</v>
          </cell>
          <cell r="P26">
            <v>5510.1849557889973</v>
          </cell>
          <cell r="Q26">
            <v>5986.7771627626571</v>
          </cell>
        </row>
        <row r="27">
          <cell r="C27" t="str">
            <v>Em R$, termos reais</v>
          </cell>
          <cell r="F27" t="str">
            <v>R$ bi de 2009</v>
          </cell>
          <cell r="G27">
            <v>1260</v>
          </cell>
          <cell r="H27">
            <v>1498.9735378712016</v>
          </cell>
          <cell r="I27">
            <v>1746.5002978573295</v>
          </cell>
          <cell r="J27">
            <v>2052.4860936493851</v>
          </cell>
          <cell r="K27">
            <v>2366.1937407768282</v>
          </cell>
          <cell r="L27">
            <v>2683.9790098181302</v>
          </cell>
          <cell r="M27">
            <v>2994.6813652396281</v>
          </cell>
          <cell r="N27">
            <v>3285.8284258549384</v>
          </cell>
          <cell r="O27">
            <v>3544.360433478982</v>
          </cell>
          <cell r="P27">
            <v>3757.5199025739321</v>
          </cell>
          <cell r="Q27">
            <v>3913.8327305210078</v>
          </cell>
        </row>
        <row r="29">
          <cell r="B29">
            <v>0.3</v>
          </cell>
          <cell r="C29" t="str">
            <v>Nível base para cobrança</v>
          </cell>
          <cell r="G29">
            <v>1638</v>
          </cell>
          <cell r="H29">
            <v>1638</v>
          </cell>
          <cell r="I29">
            <v>1638</v>
          </cell>
          <cell r="J29">
            <v>1638</v>
          </cell>
          <cell r="K29">
            <v>1638</v>
          </cell>
          <cell r="L29">
            <v>1638</v>
          </cell>
          <cell r="M29">
            <v>1638</v>
          </cell>
          <cell r="N29">
            <v>1638</v>
          </cell>
          <cell r="O29">
            <v>1638</v>
          </cell>
          <cell r="P29">
            <v>1638</v>
          </cell>
          <cell r="Q29">
            <v>1638</v>
          </cell>
        </row>
        <row r="30">
          <cell r="B30">
            <v>0.6</v>
          </cell>
          <cell r="C30" t="str">
            <v>Primeiro nível</v>
          </cell>
          <cell r="G30">
            <v>2016</v>
          </cell>
          <cell r="H30">
            <v>2016</v>
          </cell>
          <cell r="I30">
            <v>2016</v>
          </cell>
          <cell r="J30">
            <v>2016</v>
          </cell>
          <cell r="K30">
            <v>2016</v>
          </cell>
          <cell r="L30">
            <v>2016</v>
          </cell>
          <cell r="M30">
            <v>2016</v>
          </cell>
          <cell r="N30">
            <v>2016</v>
          </cell>
          <cell r="O30">
            <v>2016</v>
          </cell>
          <cell r="P30">
            <v>2016</v>
          </cell>
          <cell r="Q30">
            <v>2016</v>
          </cell>
        </row>
        <row r="31">
          <cell r="B31">
            <v>0.9</v>
          </cell>
          <cell r="C31" t="str">
            <v>Segundo nível</v>
          </cell>
          <cell r="G31">
            <v>2394</v>
          </cell>
          <cell r="H31">
            <v>2394</v>
          </cell>
          <cell r="I31">
            <v>2394</v>
          </cell>
          <cell r="J31">
            <v>2394</v>
          </cell>
          <cell r="K31">
            <v>2394</v>
          </cell>
          <cell r="L31">
            <v>2394</v>
          </cell>
          <cell r="M31">
            <v>2394</v>
          </cell>
          <cell r="N31">
            <v>2394</v>
          </cell>
          <cell r="O31">
            <v>2394</v>
          </cell>
          <cell r="P31">
            <v>2394</v>
          </cell>
          <cell r="Q31">
            <v>2394</v>
          </cell>
        </row>
        <row r="32">
          <cell r="B32">
            <v>1.2</v>
          </cell>
          <cell r="C32" t="str">
            <v>Terceiro nível</v>
          </cell>
          <cell r="G32">
            <v>2772</v>
          </cell>
          <cell r="H32">
            <v>2772</v>
          </cell>
          <cell r="I32">
            <v>2772</v>
          </cell>
          <cell r="J32">
            <v>2772</v>
          </cell>
          <cell r="K32">
            <v>2772</v>
          </cell>
          <cell r="L32">
            <v>2772</v>
          </cell>
          <cell r="M32">
            <v>2772</v>
          </cell>
          <cell r="N32">
            <v>2772</v>
          </cell>
          <cell r="O32">
            <v>2772</v>
          </cell>
          <cell r="P32">
            <v>2772</v>
          </cell>
          <cell r="Q32">
            <v>2772</v>
          </cell>
        </row>
        <row r="34">
          <cell r="C34" t="str">
            <v>Milestones fees</v>
          </cell>
        </row>
        <row r="35">
          <cell r="C35" t="str">
            <v>Nível base para cobrança</v>
          </cell>
          <cell r="G35">
            <v>4</v>
          </cell>
          <cell r="H35">
            <v>4</v>
          </cell>
          <cell r="I35">
            <v>4</v>
          </cell>
          <cell r="J35">
            <v>4</v>
          </cell>
          <cell r="K35">
            <v>4</v>
          </cell>
          <cell r="L35">
            <v>4</v>
          </cell>
          <cell r="M35">
            <v>4</v>
          </cell>
          <cell r="N35">
            <v>4</v>
          </cell>
          <cell r="O35">
            <v>4</v>
          </cell>
          <cell r="P35">
            <v>4</v>
          </cell>
          <cell r="Q35">
            <v>4</v>
          </cell>
        </row>
        <row r="36">
          <cell r="C36" t="str">
            <v>Primeiro nível</v>
          </cell>
          <cell r="G36">
            <v>4</v>
          </cell>
          <cell r="H36">
            <v>4</v>
          </cell>
          <cell r="I36">
            <v>4</v>
          </cell>
          <cell r="J36">
            <v>4</v>
          </cell>
          <cell r="K36">
            <v>4</v>
          </cell>
          <cell r="L36">
            <v>4</v>
          </cell>
          <cell r="M36">
            <v>4</v>
          </cell>
          <cell r="N36">
            <v>4</v>
          </cell>
          <cell r="O36">
            <v>4</v>
          </cell>
          <cell r="P36">
            <v>4</v>
          </cell>
          <cell r="Q36">
            <v>4</v>
          </cell>
        </row>
        <row r="37">
          <cell r="C37" t="str">
            <v>Segundo nível</v>
          </cell>
          <cell r="G37">
            <v>4</v>
          </cell>
          <cell r="H37">
            <v>4</v>
          </cell>
          <cell r="I37">
            <v>4</v>
          </cell>
          <cell r="J37">
            <v>4</v>
          </cell>
          <cell r="K37">
            <v>4</v>
          </cell>
          <cell r="L37">
            <v>4</v>
          </cell>
          <cell r="M37">
            <v>4</v>
          </cell>
          <cell r="N37">
            <v>4</v>
          </cell>
          <cell r="O37">
            <v>4</v>
          </cell>
          <cell r="P37">
            <v>4</v>
          </cell>
          <cell r="Q37">
            <v>4</v>
          </cell>
        </row>
        <row r="38">
          <cell r="C38" t="str">
            <v>Terceiro nível</v>
          </cell>
          <cell r="G38">
            <v>4</v>
          </cell>
          <cell r="H38">
            <v>4</v>
          </cell>
          <cell r="I38">
            <v>4</v>
          </cell>
          <cell r="J38">
            <v>4</v>
          </cell>
          <cell r="K38">
            <v>4</v>
          </cell>
          <cell r="L38">
            <v>4</v>
          </cell>
          <cell r="M38">
            <v>4</v>
          </cell>
          <cell r="N38">
            <v>4</v>
          </cell>
          <cell r="O38">
            <v>4</v>
          </cell>
          <cell r="P38">
            <v>4</v>
          </cell>
          <cell r="Q38">
            <v>4</v>
          </cell>
        </row>
        <row r="40">
          <cell r="C40" t="str">
            <v>Remuneração (termos nominais)5</v>
          </cell>
        </row>
        <row r="41">
          <cell r="C41" t="str">
            <v>Nível base para cobrança</v>
          </cell>
          <cell r="G41">
            <v>0</v>
          </cell>
          <cell r="H41">
            <v>0</v>
          </cell>
          <cell r="I41">
            <v>4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C42" t="str">
            <v>Primeiro nível</v>
          </cell>
          <cell r="G42">
            <v>0</v>
          </cell>
          <cell r="H42">
            <v>0</v>
          </cell>
          <cell r="I42">
            <v>0</v>
          </cell>
          <cell r="J42">
            <v>4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C43" t="str">
            <v>Segundo nível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4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C44" t="str">
            <v>Terceiro nível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4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C45" t="str">
            <v>Total (termos nominais)</v>
          </cell>
          <cell r="G45">
            <v>0</v>
          </cell>
          <cell r="H45">
            <v>0</v>
          </cell>
          <cell r="I45">
            <v>4</v>
          </cell>
          <cell r="J45">
            <v>4</v>
          </cell>
          <cell r="K45">
            <v>0</v>
          </cell>
          <cell r="L45">
            <v>4</v>
          </cell>
          <cell r="M45">
            <v>4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C46" t="str">
            <v>Derivativos (BM&amp;F)</v>
          </cell>
        </row>
        <row r="47">
          <cell r="C47" t="str">
            <v>Volume diário médio de contratos4</v>
          </cell>
          <cell r="F47" t="str">
            <v>milhões  / dia</v>
          </cell>
          <cell r="G47">
            <v>1.5</v>
          </cell>
          <cell r="H47">
            <v>1.7844923069895258</v>
          </cell>
          <cell r="I47">
            <v>2.0791670212587254</v>
          </cell>
          <cell r="J47">
            <v>2.4434358257730771</v>
          </cell>
          <cell r="K47">
            <v>2.8168973104486041</v>
          </cell>
          <cell r="L47">
            <v>3.1952131069263454</v>
          </cell>
          <cell r="M47">
            <v>3.5650968633805098</v>
          </cell>
          <cell r="N47">
            <v>3.9117005069701651</v>
          </cell>
          <cell r="O47">
            <v>4.2194767065225989</v>
          </cell>
          <cell r="P47">
            <v>4.473237979254681</v>
          </cell>
          <cell r="Q47">
            <v>4.659324679191676</v>
          </cell>
        </row>
        <row r="48">
          <cell r="C48" t="str">
            <v>Volume anual de contratos</v>
          </cell>
          <cell r="F48" t="str">
            <v>milhões  / ano</v>
          </cell>
          <cell r="G48">
            <v>378</v>
          </cell>
          <cell r="H48">
            <v>449.69206136136052</v>
          </cell>
          <cell r="I48">
            <v>523.95008935719886</v>
          </cell>
          <cell r="J48">
            <v>615.74582809481547</v>
          </cell>
          <cell r="K48">
            <v>709.85812223304822</v>
          </cell>
          <cell r="L48">
            <v>805.1937029454391</v>
          </cell>
          <cell r="M48">
            <v>898.40440957188844</v>
          </cell>
          <cell r="N48">
            <v>985.74852775648162</v>
          </cell>
          <cell r="O48">
            <v>1063.308130043695</v>
          </cell>
          <cell r="P48">
            <v>1127.2559707721796</v>
          </cell>
          <cell r="Q48">
            <v>1174.1498191563023</v>
          </cell>
        </row>
        <row r="49">
          <cell r="C49" t="str">
            <v>Em R$, termos reais</v>
          </cell>
          <cell r="F49" t="str">
            <v>R$ bi de 2009</v>
          </cell>
          <cell r="G49">
            <v>378</v>
          </cell>
          <cell r="H49">
            <v>430.86333367956354</v>
          </cell>
          <cell r="I49">
            <v>480.3484432593977</v>
          </cell>
          <cell r="J49">
            <v>540.86921526653293</v>
          </cell>
          <cell r="K49">
            <v>597.77313868208432</v>
          </cell>
          <cell r="L49">
            <v>650.03877668214147</v>
          </cell>
          <cell r="M49">
            <v>695.32016409798882</v>
          </cell>
          <cell r="N49">
            <v>731.39694305416026</v>
          </cell>
          <cell r="O49">
            <v>756.3454398762841</v>
          </cell>
          <cell r="P49">
            <v>768.70137381173618</v>
          </cell>
          <cell r="Q49">
            <v>767.59596487614272</v>
          </cell>
        </row>
        <row r="51">
          <cell r="B51">
            <v>0.3</v>
          </cell>
          <cell r="C51" t="str">
            <v>Nível base para cobrança</v>
          </cell>
          <cell r="G51">
            <v>491.40000000000003</v>
          </cell>
          <cell r="H51">
            <v>491.40000000000003</v>
          </cell>
          <cell r="I51">
            <v>491.40000000000003</v>
          </cell>
          <cell r="J51">
            <v>491.40000000000003</v>
          </cell>
          <cell r="K51">
            <v>491.40000000000003</v>
          </cell>
          <cell r="L51">
            <v>491.40000000000003</v>
          </cell>
          <cell r="M51">
            <v>491.40000000000003</v>
          </cell>
          <cell r="N51">
            <v>491.40000000000003</v>
          </cell>
          <cell r="O51">
            <v>491.40000000000003</v>
          </cell>
          <cell r="P51">
            <v>491.40000000000003</v>
          </cell>
          <cell r="Q51">
            <v>491.40000000000003</v>
          </cell>
        </row>
        <row r="52">
          <cell r="B52">
            <v>0.6</v>
          </cell>
          <cell r="C52" t="str">
            <v>Primeiro nível</v>
          </cell>
          <cell r="G52">
            <v>604.80000000000007</v>
          </cell>
          <cell r="H52">
            <v>604.80000000000007</v>
          </cell>
          <cell r="I52">
            <v>604.80000000000007</v>
          </cell>
          <cell r="J52">
            <v>604.80000000000007</v>
          </cell>
          <cell r="K52">
            <v>604.80000000000007</v>
          </cell>
          <cell r="L52">
            <v>604.80000000000007</v>
          </cell>
          <cell r="M52">
            <v>604.80000000000007</v>
          </cell>
          <cell r="N52">
            <v>604.80000000000007</v>
          </cell>
          <cell r="O52">
            <v>604.80000000000007</v>
          </cell>
          <cell r="P52">
            <v>604.80000000000007</v>
          </cell>
          <cell r="Q52">
            <v>604.80000000000007</v>
          </cell>
        </row>
        <row r="53">
          <cell r="B53">
            <v>0.9</v>
          </cell>
          <cell r="C53" t="str">
            <v>Segundo nível</v>
          </cell>
          <cell r="G53">
            <v>718.19999999999993</v>
          </cell>
          <cell r="H53">
            <v>718.19999999999993</v>
          </cell>
          <cell r="I53">
            <v>718.19999999999993</v>
          </cell>
          <cell r="J53">
            <v>718.19999999999993</v>
          </cell>
          <cell r="K53">
            <v>718.19999999999993</v>
          </cell>
          <cell r="L53">
            <v>718.19999999999993</v>
          </cell>
          <cell r="M53">
            <v>718.19999999999993</v>
          </cell>
          <cell r="N53">
            <v>718.19999999999993</v>
          </cell>
          <cell r="O53">
            <v>718.19999999999993</v>
          </cell>
          <cell r="P53">
            <v>718.19999999999993</v>
          </cell>
          <cell r="Q53">
            <v>718.19999999999993</v>
          </cell>
        </row>
        <row r="54">
          <cell r="B54">
            <v>1.2</v>
          </cell>
          <cell r="C54" t="str">
            <v>Terceiro nível</v>
          </cell>
          <cell r="G54">
            <v>831.6</v>
          </cell>
          <cell r="H54">
            <v>831.6</v>
          </cell>
          <cell r="I54">
            <v>831.6</v>
          </cell>
          <cell r="J54">
            <v>831.6</v>
          </cell>
          <cell r="K54">
            <v>831.6</v>
          </cell>
          <cell r="L54">
            <v>831.6</v>
          </cell>
          <cell r="M54">
            <v>831.6</v>
          </cell>
          <cell r="N54">
            <v>831.6</v>
          </cell>
          <cell r="O54">
            <v>831.6</v>
          </cell>
          <cell r="P54">
            <v>831.6</v>
          </cell>
          <cell r="Q54">
            <v>831.6</v>
          </cell>
        </row>
        <row r="56">
          <cell r="C56" t="str">
            <v>Milestones fees</v>
          </cell>
        </row>
        <row r="57">
          <cell r="C57" t="str">
            <v>Nível base para cobrança</v>
          </cell>
          <cell r="G57">
            <v>4</v>
          </cell>
          <cell r="H57">
            <v>4</v>
          </cell>
          <cell r="I57">
            <v>4</v>
          </cell>
          <cell r="J57">
            <v>4</v>
          </cell>
          <cell r="K57">
            <v>4</v>
          </cell>
          <cell r="L57">
            <v>4</v>
          </cell>
          <cell r="M57">
            <v>4</v>
          </cell>
          <cell r="N57">
            <v>4</v>
          </cell>
          <cell r="O57">
            <v>4</v>
          </cell>
          <cell r="P57">
            <v>4</v>
          </cell>
          <cell r="Q57">
            <v>4</v>
          </cell>
        </row>
        <row r="58">
          <cell r="C58" t="str">
            <v>Primeiro nível</v>
          </cell>
          <cell r="G58">
            <v>4</v>
          </cell>
          <cell r="H58">
            <v>4</v>
          </cell>
          <cell r="I58">
            <v>4</v>
          </cell>
          <cell r="J58">
            <v>4</v>
          </cell>
          <cell r="K58">
            <v>4</v>
          </cell>
          <cell r="L58">
            <v>4</v>
          </cell>
          <cell r="M58">
            <v>4</v>
          </cell>
          <cell r="N58">
            <v>4</v>
          </cell>
          <cell r="O58">
            <v>4</v>
          </cell>
          <cell r="P58">
            <v>4</v>
          </cell>
          <cell r="Q58">
            <v>4</v>
          </cell>
        </row>
        <row r="59">
          <cell r="C59" t="str">
            <v>Segundo nível</v>
          </cell>
          <cell r="G59">
            <v>4</v>
          </cell>
          <cell r="H59">
            <v>4</v>
          </cell>
          <cell r="I59">
            <v>4</v>
          </cell>
          <cell r="J59">
            <v>4</v>
          </cell>
          <cell r="K59">
            <v>4</v>
          </cell>
          <cell r="L59">
            <v>4</v>
          </cell>
          <cell r="M59">
            <v>4</v>
          </cell>
          <cell r="N59">
            <v>4</v>
          </cell>
          <cell r="O59">
            <v>4</v>
          </cell>
          <cell r="P59">
            <v>4</v>
          </cell>
          <cell r="Q59">
            <v>4</v>
          </cell>
        </row>
        <row r="60">
          <cell r="C60" t="str">
            <v>Terceiro nível</v>
          </cell>
          <cell r="G60">
            <v>4</v>
          </cell>
          <cell r="H60">
            <v>4</v>
          </cell>
          <cell r="I60">
            <v>4</v>
          </cell>
          <cell r="J60">
            <v>4</v>
          </cell>
          <cell r="K60">
            <v>4</v>
          </cell>
          <cell r="L60">
            <v>4</v>
          </cell>
          <cell r="M60">
            <v>4</v>
          </cell>
          <cell r="N60">
            <v>4</v>
          </cell>
          <cell r="O60">
            <v>4</v>
          </cell>
          <cell r="P60">
            <v>4</v>
          </cell>
          <cell r="Q60">
            <v>4</v>
          </cell>
        </row>
        <row r="62">
          <cell r="C62" t="str">
            <v>Remuneração (termos nominais)5</v>
          </cell>
        </row>
        <row r="63">
          <cell r="C63" t="str">
            <v>Nível base para cobrança</v>
          </cell>
          <cell r="G63">
            <v>0</v>
          </cell>
          <cell r="H63">
            <v>0</v>
          </cell>
          <cell r="I63">
            <v>4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C64" t="str">
            <v>Primeiro nível</v>
          </cell>
          <cell r="G64">
            <v>0</v>
          </cell>
          <cell r="H64">
            <v>0</v>
          </cell>
          <cell r="I64">
            <v>0</v>
          </cell>
          <cell r="J64">
            <v>4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C65" t="str">
            <v>Segundo nível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4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C66" t="str">
            <v>Terceiro nível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C67" t="str">
            <v>Total (termos nominais)</v>
          </cell>
          <cell r="G67">
            <v>0</v>
          </cell>
          <cell r="H67">
            <v>0</v>
          </cell>
          <cell r="I67">
            <v>4</v>
          </cell>
          <cell r="J67">
            <v>4</v>
          </cell>
          <cell r="K67">
            <v>0</v>
          </cell>
          <cell r="L67">
            <v>4</v>
          </cell>
          <cell r="M67">
            <v>4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9">
          <cell r="C69" t="str">
            <v>Remuneração (termos nominais)5</v>
          </cell>
          <cell r="G69">
            <v>0</v>
          </cell>
          <cell r="H69">
            <v>0</v>
          </cell>
          <cell r="I69">
            <v>8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C70" t="str">
            <v>30% sobre base 2009</v>
          </cell>
          <cell r="G70">
            <v>0</v>
          </cell>
          <cell r="H70">
            <v>0</v>
          </cell>
          <cell r="I70">
            <v>0</v>
          </cell>
          <cell r="J70">
            <v>8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C71" t="str">
            <v>60% sobre base 2009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8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C72" t="str">
            <v>90% sobre base 2009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8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C73" t="str">
            <v>120% sobre base 2009</v>
          </cell>
          <cell r="G73">
            <v>0</v>
          </cell>
          <cell r="H73">
            <v>0</v>
          </cell>
          <cell r="I73">
            <v>8</v>
          </cell>
          <cell r="J73">
            <v>8</v>
          </cell>
          <cell r="K73">
            <v>0</v>
          </cell>
          <cell r="L73">
            <v>8</v>
          </cell>
          <cell r="M73">
            <v>8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C74" t="str">
            <v>Total (termos nominais)</v>
          </cell>
          <cell r="G74">
            <v>0</v>
          </cell>
          <cell r="H74">
            <v>0</v>
          </cell>
          <cell r="I74">
            <v>8</v>
          </cell>
          <cell r="J74">
            <v>8</v>
          </cell>
          <cell r="K74">
            <v>0</v>
          </cell>
          <cell r="L74">
            <v>8</v>
          </cell>
          <cell r="M74">
            <v>8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6">
          <cell r="C76" t="str">
            <v>Total - Parcela Variável6</v>
          </cell>
          <cell r="G76">
            <v>0</v>
          </cell>
          <cell r="H76">
            <v>0</v>
          </cell>
          <cell r="I76">
            <v>5.1657491265677029</v>
          </cell>
          <cell r="J76">
            <v>5.0843987466217548</v>
          </cell>
          <cell r="K76">
            <v>0</v>
          </cell>
          <cell r="L76">
            <v>4.8965617416503076</v>
          </cell>
          <cell r="M76">
            <v>4.8052617680572212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19.951971382896986</v>
          </cell>
        </row>
        <row r="78">
          <cell r="C78" t="str">
            <v>Remuneração total para a Nasdaq OMX</v>
          </cell>
          <cell r="G78">
            <v>0</v>
          </cell>
          <cell r="H78">
            <v>27.750247770069379</v>
          </cell>
          <cell r="I78">
            <v>16.906088050585211</v>
          </cell>
          <cell r="J78">
            <v>26.315615330999872</v>
          </cell>
          <cell r="K78">
            <v>7.6138595290859046</v>
          </cell>
          <cell r="L78">
            <v>12.36845529325571</v>
          </cell>
          <cell r="M78">
            <v>12.13783640162484</v>
          </cell>
          <cell r="N78">
            <v>7.1958534186139538</v>
          </cell>
          <cell r="O78">
            <v>7.0616814706712026</v>
          </cell>
          <cell r="P78">
            <v>6.9300112567921524</v>
          </cell>
          <cell r="Q78">
            <v>6.8007961303161455</v>
          </cell>
          <cell r="R78">
            <v>131.08044465201436</v>
          </cell>
        </row>
        <row r="80">
          <cell r="C80" t="str">
            <v>Resumo da avaliação</v>
          </cell>
        </row>
        <row r="81">
          <cell r="C81" t="str">
            <v>Parcela fixa</v>
          </cell>
          <cell r="F81" t="str">
            <v>US$m</v>
          </cell>
          <cell r="G81">
            <v>83.44320147172958</v>
          </cell>
        </row>
        <row r="82">
          <cell r="C82" t="str">
            <v>Parcela variável</v>
          </cell>
          <cell r="F82" t="str">
            <v>US$m</v>
          </cell>
          <cell r="G82">
            <v>14.956884487341696</v>
          </cell>
        </row>
        <row r="83">
          <cell r="C83" t="str">
            <v>VP do projeto - 10 anos7</v>
          </cell>
          <cell r="F83" t="str">
            <v>US$m</v>
          </cell>
          <cell r="G83">
            <v>98.400085959071276</v>
          </cell>
        </row>
        <row r="84">
          <cell r="C84" t="str">
            <v>Perpetuidade7</v>
          </cell>
          <cell r="F84" t="str">
            <v>US$m</v>
          </cell>
          <cell r="G84">
            <v>0</v>
          </cell>
        </row>
        <row r="85">
          <cell r="C85" t="str">
            <v>Valor total</v>
          </cell>
          <cell r="F85" t="str">
            <v>US$m</v>
          </cell>
          <cell r="G85">
            <v>98.400085959071276</v>
          </cell>
        </row>
        <row r="87">
          <cell r="C87" t="str">
            <v>Custo de capital²</v>
          </cell>
          <cell r="G87">
            <v>8.9895503786789455E-2</v>
          </cell>
        </row>
        <row r="88">
          <cell r="C88" t="str">
            <v>Crescimento na perpetuidade</v>
          </cell>
          <cell r="G88">
            <v>0.03</v>
          </cell>
        </row>
        <row r="90">
          <cell r="C90" t="str">
            <v>Período de desconto</v>
          </cell>
          <cell r="G90">
            <v>0</v>
          </cell>
          <cell r="H90">
            <v>0.5</v>
          </cell>
          <cell r="I90">
            <v>1.5</v>
          </cell>
          <cell r="J90">
            <v>2.5</v>
          </cell>
          <cell r="K90">
            <v>3.5</v>
          </cell>
          <cell r="L90">
            <v>4.5</v>
          </cell>
          <cell r="M90">
            <v>5.5</v>
          </cell>
          <cell r="N90">
            <v>6.5</v>
          </cell>
          <cell r="O90">
            <v>7.5</v>
          </cell>
          <cell r="P90">
            <v>8.5</v>
          </cell>
          <cell r="Q90">
            <v>9.5</v>
          </cell>
          <cell r="R90">
            <v>10.5</v>
          </cell>
          <cell r="S90">
            <v>0.03</v>
          </cell>
        </row>
        <row r="91">
          <cell r="C91" t="str">
            <v>Fator de desconto</v>
          </cell>
          <cell r="G91">
            <v>1</v>
          </cell>
          <cell r="H91">
            <v>1.0439806050817177</v>
          </cell>
          <cell r="I91">
            <v>1.137829767519176</v>
          </cell>
          <cell r="J91">
            <v>1.2401155476939179</v>
          </cell>
          <cell r="K91">
            <v>1.351596359607693</v>
          </cell>
          <cell r="L91">
            <v>1.4730987952710173</v>
          </cell>
          <cell r="M91">
            <v>1.6055237535996179</v>
          </cell>
          <cell r="N91">
            <v>1.7498531202711127</v>
          </cell>
          <cell r="O91">
            <v>1.90715704807077</v>
          </cell>
          <cell r="P91">
            <v>2.0786018917076179</v>
          </cell>
          <cell r="Q91">
            <v>2.2654588559348481</v>
          </cell>
          <cell r="R91">
            <v>2.4691134210973549</v>
          </cell>
        </row>
        <row r="92">
          <cell r="C92" t="str">
            <v>Fluxo descontado</v>
          </cell>
          <cell r="G92">
            <v>0</v>
          </cell>
          <cell r="H92">
            <v>26.581190910052609</v>
          </cell>
          <cell r="I92">
            <v>14.858187519074809</v>
          </cell>
          <cell r="J92">
            <v>21.220293044414781</v>
          </cell>
          <cell r="K92">
            <v>5.6332347116530128</v>
          </cell>
          <cell r="L92">
            <v>8.3962157412396703</v>
          </cell>
          <cell r="M92">
            <v>7.5600478500623591</v>
          </cell>
          <cell r="N92">
            <v>4.112261386543727</v>
          </cell>
          <cell r="O92">
            <v>3.7027267774379746</v>
          </cell>
          <cell r="P92">
            <v>3.3339771720783884</v>
          </cell>
          <cell r="Q92">
            <v>3.0019508465139517</v>
          </cell>
          <cell r="R92">
            <v>0</v>
          </cell>
        </row>
        <row r="94">
          <cell r="C94" t="str">
            <v>Fluxo descontado sem variável</v>
          </cell>
          <cell r="G94">
            <v>0</v>
          </cell>
          <cell r="H94">
            <v>26.581190910052609</v>
          </cell>
          <cell r="I94">
            <v>10.318185777135284</v>
          </cell>
          <cell r="J94">
            <v>17.120353521781951</v>
          </cell>
          <cell r="K94">
            <v>5.6332347116530128</v>
          </cell>
          <cell r="L94">
            <v>5.0722284042264407</v>
          </cell>
          <cell r="M94">
            <v>4.5670919643062478</v>
          </cell>
          <cell r="N94">
            <v>4.112261386543727</v>
          </cell>
          <cell r="O94">
            <v>3.7027267774379746</v>
          </cell>
          <cell r="P94">
            <v>3.3339771720783884</v>
          </cell>
          <cell r="Q94">
            <v>3.0019508465139517</v>
          </cell>
        </row>
        <row r="96">
          <cell r="G96">
            <v>83.44320147172958</v>
          </cell>
        </row>
      </sheetData>
      <sheetData sheetId="5" refreshError="1">
        <row r="2">
          <cell r="C2" t="str">
            <v>Parcela variável</v>
          </cell>
          <cell r="D2">
            <v>1</v>
          </cell>
          <cell r="E2" t="str">
            <v>(1-sim; 2-não)</v>
          </cell>
        </row>
        <row r="3">
          <cell r="C3" t="str">
            <v>Fallback</v>
          </cell>
          <cell r="D3">
            <v>1</v>
          </cell>
          <cell r="E3" t="str">
            <v>(1-não; 2-sim)</v>
          </cell>
        </row>
        <row r="4">
          <cell r="G4">
            <v>2009</v>
          </cell>
          <cell r="H4">
            <v>2010</v>
          </cell>
          <cell r="I4">
            <v>2011</v>
          </cell>
          <cell r="J4">
            <v>2012</v>
          </cell>
          <cell r="K4">
            <v>2013</v>
          </cell>
          <cell r="L4">
            <v>2014</v>
          </cell>
          <cell r="M4">
            <v>2015</v>
          </cell>
          <cell r="N4">
            <v>2016</v>
          </cell>
          <cell r="O4">
            <v>2017</v>
          </cell>
          <cell r="P4">
            <v>2018</v>
          </cell>
          <cell r="Q4">
            <v>2019</v>
          </cell>
          <cell r="R4" t="str">
            <v>Total</v>
          </cell>
        </row>
        <row r="5">
          <cell r="C5" t="str">
            <v>Parcela fixa (termos nominais)</v>
          </cell>
        </row>
        <row r="6">
          <cell r="C6" t="str">
            <v xml:space="preserve">Source Code </v>
          </cell>
          <cell r="H6">
            <v>10</v>
          </cell>
          <cell r="I6">
            <v>5</v>
          </cell>
          <cell r="R6">
            <v>15</v>
          </cell>
          <cell r="S6">
            <v>15</v>
          </cell>
        </row>
        <row r="7">
          <cell r="C7" t="str">
            <v>Development</v>
          </cell>
          <cell r="I7">
            <v>5</v>
          </cell>
          <cell r="R7">
            <v>5</v>
          </cell>
          <cell r="S7">
            <v>5</v>
          </cell>
        </row>
        <row r="8">
          <cell r="C8" t="str">
            <v>Project Delivery</v>
          </cell>
          <cell r="I8">
            <v>10</v>
          </cell>
          <cell r="R8">
            <v>10</v>
          </cell>
          <cell r="S8">
            <v>10</v>
          </cell>
        </row>
        <row r="9">
          <cell r="C9" t="str">
            <v>Upgrade (optional)</v>
          </cell>
          <cell r="J9">
            <v>3</v>
          </cell>
          <cell r="K9">
            <v>3</v>
          </cell>
          <cell r="L9">
            <v>3</v>
          </cell>
          <cell r="R9">
            <v>9</v>
          </cell>
          <cell r="S9">
            <v>9</v>
          </cell>
        </row>
        <row r="11">
          <cell r="C11" t="str">
            <v>Total (termos nominais)</v>
          </cell>
          <cell r="H11">
            <v>10</v>
          </cell>
          <cell r="I11">
            <v>20</v>
          </cell>
          <cell r="J11">
            <v>3</v>
          </cell>
          <cell r="K11">
            <v>3</v>
          </cell>
          <cell r="L11">
            <v>3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39</v>
          </cell>
        </row>
        <row r="13">
          <cell r="C13" t="str">
            <v>Fator de inflação CPI</v>
          </cell>
          <cell r="G13">
            <v>1</v>
          </cell>
          <cell r="H13">
            <v>1.0089999999999999</v>
          </cell>
          <cell r="I13">
            <v>1.0221169999999997</v>
          </cell>
          <cell r="J13">
            <v>1.0384708719999998</v>
          </cell>
          <cell r="K13">
            <v>1.0582018185679998</v>
          </cell>
          <cell r="L13">
            <v>1.0783076531207916</v>
          </cell>
          <cell r="M13">
            <v>1.0987954985300865</v>
          </cell>
          <cell r="N13">
            <v>1.1196726130021581</v>
          </cell>
          <cell r="O13">
            <v>1.1409463926491989</v>
          </cell>
          <cell r="P13">
            <v>1.1626243741095337</v>
          </cell>
          <cell r="Q13">
            <v>1.1847142372176147</v>
          </cell>
        </row>
        <row r="16">
          <cell r="C16" t="str">
            <v>Total - Parcela Fixa (termos reais)</v>
          </cell>
          <cell r="H16">
            <v>9.9108027750247771</v>
          </cell>
          <cell r="I16">
            <v>19.56723154002918</v>
          </cell>
          <cell r="J16">
            <v>2.8888629242169062</v>
          </cell>
          <cell r="K16">
            <v>2.8349979629213999</v>
          </cell>
          <cell r="L16">
            <v>2.7821373532104028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37.984032555402663</v>
          </cell>
        </row>
        <row r="18">
          <cell r="C18" t="str">
            <v>Parcela Variável</v>
          </cell>
        </row>
        <row r="19">
          <cell r="C19" t="str">
            <v>Receita Líquida BVMF1</v>
          </cell>
          <cell r="F19" t="str">
            <v>R$MM</v>
          </cell>
          <cell r="G19">
            <v>1507.14</v>
          </cell>
          <cell r="H19">
            <v>1871.34</v>
          </cell>
          <cell r="I19">
            <v>2278.69</v>
          </cell>
          <cell r="J19">
            <v>2794.94</v>
          </cell>
          <cell r="K19">
            <v>3361</v>
          </cell>
          <cell r="L19">
            <v>3976.7040515839867</v>
          </cell>
          <cell r="M19">
            <v>4628.2916946635096</v>
          </cell>
          <cell r="N19">
            <v>5297.133641202945</v>
          </cell>
          <cell r="O19">
            <v>5960.1868186221091</v>
          </cell>
          <cell r="P19">
            <v>6590.968376403036</v>
          </cell>
          <cell r="Q19">
            <v>7161.0407405445285</v>
          </cell>
          <cell r="T19" t="str">
            <v>PIB LP</v>
          </cell>
          <cell r="U19">
            <v>1</v>
          </cell>
        </row>
        <row r="20">
          <cell r="C20" t="str">
            <v>% cresc.</v>
          </cell>
          <cell r="F20" t="str">
            <v>% a.a.</v>
          </cell>
          <cell r="H20">
            <v>0.24164974720331212</v>
          </cell>
          <cell r="I20">
            <v>0.21767824126027358</v>
          </cell>
          <cell r="J20">
            <v>0.22655560870500158</v>
          </cell>
          <cell r="K20">
            <v>0.20253028687556807</v>
          </cell>
          <cell r="L20">
            <v>0.1831907323963067</v>
          </cell>
          <cell r="M20">
            <v>0.16385117791704534</v>
          </cell>
          <cell r="N20">
            <v>0.14451162343778398</v>
          </cell>
          <cell r="O20">
            <v>0.12517206895852262</v>
          </cell>
          <cell r="P20">
            <v>0.10583251447926127</v>
          </cell>
          <cell r="Q20">
            <v>8.6492959999999952E-2</v>
          </cell>
        </row>
        <row r="21">
          <cell r="C21" t="str">
            <v>Fator de crescimento</v>
          </cell>
          <cell r="F21" t="str">
            <v>% a.a.</v>
          </cell>
          <cell r="G21">
            <v>1</v>
          </cell>
          <cell r="H21">
            <v>1.2416497472033121</v>
          </cell>
          <cell r="I21">
            <v>1.5119298804357924</v>
          </cell>
          <cell r="J21">
            <v>1.8544660748172035</v>
          </cell>
          <cell r="K21">
            <v>2.2300516209509404</v>
          </cell>
          <cell r="L21">
            <v>2.638576410674514</v>
          </cell>
          <cell r="M21">
            <v>3.0709102635876624</v>
          </cell>
          <cell r="N21">
            <v>3.5146924912104685</v>
          </cell>
          <cell r="O21">
            <v>3.9546338220882666</v>
          </cell>
          <cell r="P21">
            <v>4.3731626633245995</v>
          </cell>
          <cell r="Q21">
            <v>4.7514104466370277</v>
          </cell>
        </row>
        <row r="23">
          <cell r="C23" t="str">
            <v>Derivativos (BM&amp;F)</v>
          </cell>
        </row>
        <row r="24">
          <cell r="C24" t="str">
            <v>Volume diário médio de contratos2</v>
          </cell>
          <cell r="F24" t="str">
            <v>milhões  / dia</v>
          </cell>
          <cell r="G24">
            <v>1.5</v>
          </cell>
          <cell r="H24">
            <v>1.7844923069895258</v>
          </cell>
          <cell r="I24">
            <v>2.0791670212587254</v>
          </cell>
          <cell r="J24">
            <v>2.4434358257730771</v>
          </cell>
          <cell r="K24">
            <v>2.8168973104486041</v>
          </cell>
          <cell r="L24">
            <v>3.1952131069263454</v>
          </cell>
          <cell r="M24">
            <v>3.5650968633805098</v>
          </cell>
          <cell r="N24">
            <v>3.9117005069701651</v>
          </cell>
          <cell r="O24">
            <v>4.2194767065225989</v>
          </cell>
          <cell r="P24">
            <v>4.473237979254681</v>
          </cell>
          <cell r="Q24">
            <v>4.659324679191676</v>
          </cell>
        </row>
        <row r="26">
          <cell r="B26">
            <v>0.3</v>
          </cell>
          <cell r="C26" t="str">
            <v>Nível base para cobrança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  <cell r="K26">
            <v>2</v>
          </cell>
          <cell r="L26">
            <v>2</v>
          </cell>
          <cell r="M26">
            <v>2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</row>
        <row r="27">
          <cell r="B27">
            <v>0.6</v>
          </cell>
          <cell r="C27" t="str">
            <v>Primeiro nível</v>
          </cell>
          <cell r="G27">
            <v>3</v>
          </cell>
          <cell r="H27">
            <v>3</v>
          </cell>
          <cell r="I27">
            <v>3</v>
          </cell>
          <cell r="J27">
            <v>3</v>
          </cell>
          <cell r="K27">
            <v>3</v>
          </cell>
          <cell r="L27">
            <v>3</v>
          </cell>
          <cell r="M27">
            <v>3</v>
          </cell>
          <cell r="N27">
            <v>3</v>
          </cell>
          <cell r="O27">
            <v>3</v>
          </cell>
          <cell r="P27">
            <v>3</v>
          </cell>
          <cell r="Q27">
            <v>3</v>
          </cell>
        </row>
        <row r="28">
          <cell r="B28">
            <v>0.9</v>
          </cell>
          <cell r="C28" t="str">
            <v>Segundo nível</v>
          </cell>
          <cell r="G28">
            <v>4</v>
          </cell>
          <cell r="H28">
            <v>4</v>
          </cell>
          <cell r="I28">
            <v>4</v>
          </cell>
          <cell r="J28">
            <v>4</v>
          </cell>
          <cell r="K28">
            <v>4</v>
          </cell>
          <cell r="L28">
            <v>4</v>
          </cell>
          <cell r="M28">
            <v>4</v>
          </cell>
          <cell r="N28">
            <v>4</v>
          </cell>
          <cell r="O28">
            <v>4</v>
          </cell>
          <cell r="P28">
            <v>4</v>
          </cell>
          <cell r="Q28">
            <v>4</v>
          </cell>
        </row>
        <row r="30">
          <cell r="C30" t="str">
            <v>Milestones fees</v>
          </cell>
        </row>
        <row r="31">
          <cell r="C31" t="str">
            <v>Nível base para cobrança</v>
          </cell>
          <cell r="G31">
            <v>0.06</v>
          </cell>
          <cell r="H31">
            <v>0.06</v>
          </cell>
          <cell r="I31">
            <v>0.06</v>
          </cell>
          <cell r="J31">
            <v>0.06</v>
          </cell>
          <cell r="K31">
            <v>0.06</v>
          </cell>
          <cell r="L31">
            <v>0.06</v>
          </cell>
          <cell r="M31">
            <v>0.06</v>
          </cell>
          <cell r="N31">
            <v>0.06</v>
          </cell>
          <cell r="O31">
            <v>0.06</v>
          </cell>
          <cell r="P31">
            <v>0.06</v>
          </cell>
          <cell r="Q31">
            <v>0.06</v>
          </cell>
        </row>
        <row r="32">
          <cell r="C32" t="str">
            <v>Primeiro nível</v>
          </cell>
          <cell r="G32">
            <v>0.05</v>
          </cell>
          <cell r="H32">
            <v>0.05</v>
          </cell>
          <cell r="I32">
            <v>0.05</v>
          </cell>
          <cell r="J32">
            <v>0.05</v>
          </cell>
          <cell r="K32">
            <v>0.05</v>
          </cell>
          <cell r="L32">
            <v>0.05</v>
          </cell>
          <cell r="M32">
            <v>0.05</v>
          </cell>
          <cell r="N32">
            <v>0.05</v>
          </cell>
          <cell r="O32">
            <v>0.05</v>
          </cell>
          <cell r="P32">
            <v>0.05</v>
          </cell>
          <cell r="Q32">
            <v>0.05</v>
          </cell>
        </row>
        <row r="33">
          <cell r="C33" t="str">
            <v>Segundo nível</v>
          </cell>
          <cell r="G33">
            <v>0.04</v>
          </cell>
          <cell r="H33">
            <v>0.04</v>
          </cell>
          <cell r="I33">
            <v>0.04</v>
          </cell>
          <cell r="J33">
            <v>0.04</v>
          </cell>
          <cell r="K33">
            <v>0.04</v>
          </cell>
          <cell r="L33">
            <v>0.04</v>
          </cell>
          <cell r="M33">
            <v>0.04</v>
          </cell>
          <cell r="N33">
            <v>0.04</v>
          </cell>
          <cell r="O33">
            <v>0.04</v>
          </cell>
          <cell r="P33">
            <v>0.04</v>
          </cell>
          <cell r="Q33">
            <v>0.04</v>
          </cell>
        </row>
        <row r="35">
          <cell r="C35" t="str">
            <v>Remuneração (termos nominais)3</v>
          </cell>
        </row>
        <row r="36">
          <cell r="C36" t="str">
            <v>Nível base para cobrança</v>
          </cell>
          <cell r="H36">
            <v>0</v>
          </cell>
          <cell r="I36">
            <v>1.1970053614319285</v>
          </cell>
          <cell r="J36">
            <v>6.7047496856889248</v>
          </cell>
          <cell r="K36">
            <v>12.351487333982893</v>
          </cell>
          <cell r="L36">
            <v>15.12</v>
          </cell>
          <cell r="M36">
            <v>15.12</v>
          </cell>
          <cell r="N36">
            <v>15.12</v>
          </cell>
          <cell r="O36">
            <v>15.12</v>
          </cell>
          <cell r="P36">
            <v>15.12</v>
          </cell>
          <cell r="Q36">
            <v>15.12</v>
          </cell>
        </row>
        <row r="37">
          <cell r="C37" t="str">
            <v>Primeiro nível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2.4596851472719523</v>
          </cell>
          <cell r="M37">
            <v>7.1202204785944243</v>
          </cell>
          <cell r="N37">
            <v>11.487426387824081</v>
          </cell>
          <cell r="O37">
            <v>12.600000000000001</v>
          </cell>
          <cell r="P37">
            <v>12.600000000000001</v>
          </cell>
          <cell r="Q37">
            <v>12.600000000000001</v>
          </cell>
        </row>
        <row r="38">
          <cell r="C38" t="str">
            <v>Segundo nível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2.2123252017477966</v>
          </cell>
          <cell r="P38">
            <v>4.7702388308871848</v>
          </cell>
          <cell r="Q38">
            <v>6.6459927662520943</v>
          </cell>
        </row>
        <row r="39">
          <cell r="C39" t="str">
            <v>Total (termos nominais)</v>
          </cell>
          <cell r="H39">
            <v>0</v>
          </cell>
          <cell r="I39">
            <v>1.1970053614319285</v>
          </cell>
          <cell r="J39">
            <v>6.7047496856889248</v>
          </cell>
          <cell r="K39">
            <v>12.351487333982893</v>
          </cell>
          <cell r="L39">
            <v>17.579685147271952</v>
          </cell>
          <cell r="M39">
            <v>22.240220478594424</v>
          </cell>
          <cell r="N39">
            <v>26.607426387824081</v>
          </cell>
          <cell r="O39">
            <v>29.932325201747794</v>
          </cell>
          <cell r="P39">
            <v>32.490238830887186</v>
          </cell>
          <cell r="Q39">
            <v>34.365992766252091</v>
          </cell>
        </row>
        <row r="41">
          <cell r="C41" t="str">
            <v>Total - Parcela Variável (termos reais, post-tax)4</v>
          </cell>
          <cell r="H41">
            <v>3.2705649157581762</v>
          </cell>
          <cell r="I41">
            <v>3.2285932041048144</v>
          </cell>
          <cell r="J41">
            <v>4.2612026122911715</v>
          </cell>
          <cell r="K41">
            <v>7.7036171147960131</v>
          </cell>
          <cell r="L41">
            <v>10.760001715298751</v>
          </cell>
          <cell r="M41">
            <v>13.358760147369132</v>
          </cell>
          <cell r="N41">
            <v>15.683960840015692</v>
          </cell>
          <cell r="O41">
            <v>17.314866640914666</v>
          </cell>
          <cell r="P41">
            <v>18.444097772171162</v>
          </cell>
          <cell r="Q41">
            <v>19.145169791320832</v>
          </cell>
          <cell r="R41">
            <v>113.17083475404041</v>
          </cell>
        </row>
        <row r="43">
          <cell r="C43" t="str">
            <v>Remuneração total para a Nasdaq OMX</v>
          </cell>
          <cell r="H43">
            <v>13.181367690782952</v>
          </cell>
          <cell r="I43">
            <v>22.795824744133995</v>
          </cell>
          <cell r="J43">
            <v>7.1500655365080776</v>
          </cell>
          <cell r="K43">
            <v>10.538615077717413</v>
          </cell>
          <cell r="L43">
            <v>13.542139068509154</v>
          </cell>
          <cell r="M43">
            <v>13.358760147369132</v>
          </cell>
          <cell r="N43">
            <v>15.683960840015692</v>
          </cell>
          <cell r="O43">
            <v>17.314866640914666</v>
          </cell>
          <cell r="P43">
            <v>18.444097772171162</v>
          </cell>
          <cell r="Q43">
            <v>19.145169791320832</v>
          </cell>
          <cell r="R43">
            <v>151.15486730944309</v>
          </cell>
        </row>
        <row r="45">
          <cell r="C45" t="str">
            <v>Resumo da avaliação</v>
          </cell>
        </row>
        <row r="46">
          <cell r="C46" t="str">
            <v>Parcela fixa</v>
          </cell>
          <cell r="F46" t="str">
            <v>US$m</v>
          </cell>
          <cell r="G46">
            <v>33.005917223960978</v>
          </cell>
        </row>
        <row r="47">
          <cell r="C47" t="str">
            <v>Parcela variável</v>
          </cell>
          <cell r="F47" t="str">
            <v>US$m</v>
          </cell>
          <cell r="G47">
            <v>66.097017285794976</v>
          </cell>
        </row>
        <row r="48">
          <cell r="C48" t="str">
            <v>VP do projeto - 10 anos5</v>
          </cell>
          <cell r="F48" t="str">
            <v>US$m</v>
          </cell>
          <cell r="G48">
            <v>99.102934509755954</v>
          </cell>
        </row>
        <row r="49">
          <cell r="C49" t="str">
            <v>Perpetuidade7</v>
          </cell>
          <cell r="F49" t="str">
            <v>US$m</v>
          </cell>
          <cell r="G49">
            <v>133.34022533597681</v>
          </cell>
        </row>
        <row r="50">
          <cell r="C50" t="str">
            <v>Valor total</v>
          </cell>
          <cell r="F50" t="str">
            <v>US$m</v>
          </cell>
          <cell r="G50">
            <v>232.44315984573277</v>
          </cell>
        </row>
        <row r="52">
          <cell r="C52" t="str">
            <v>Custo de capital²</v>
          </cell>
          <cell r="G52">
            <v>8.9895503786789455E-2</v>
          </cell>
        </row>
        <row r="53">
          <cell r="C53" t="str">
            <v>Crescimento na perpetuidade</v>
          </cell>
          <cell r="G53">
            <v>0.03</v>
          </cell>
        </row>
        <row r="55">
          <cell r="C55" t="str">
            <v>Período de desconto</v>
          </cell>
          <cell r="G55">
            <v>0</v>
          </cell>
          <cell r="H55">
            <v>0.5</v>
          </cell>
          <cell r="I55">
            <v>1.5</v>
          </cell>
          <cell r="J55">
            <v>2.5</v>
          </cell>
          <cell r="K55">
            <v>3.5</v>
          </cell>
          <cell r="L55">
            <v>4.5</v>
          </cell>
          <cell r="M55">
            <v>5.5</v>
          </cell>
          <cell r="N55">
            <v>6.5</v>
          </cell>
          <cell r="O55">
            <v>7.5</v>
          </cell>
          <cell r="P55">
            <v>8.5</v>
          </cell>
          <cell r="Q55">
            <v>9.5</v>
          </cell>
          <cell r="R55">
            <v>10.5</v>
          </cell>
          <cell r="S55">
            <v>0.03</v>
          </cell>
        </row>
        <row r="56">
          <cell r="C56" t="str">
            <v>Fator de desconto</v>
          </cell>
          <cell r="G56">
            <v>1</v>
          </cell>
          <cell r="H56">
            <v>1.0439806050817177</v>
          </cell>
          <cell r="I56">
            <v>1.137829767519176</v>
          </cell>
          <cell r="J56">
            <v>1.2401155476939179</v>
          </cell>
          <cell r="K56">
            <v>1.351596359607693</v>
          </cell>
          <cell r="L56">
            <v>1.4730987952710173</v>
          </cell>
          <cell r="M56">
            <v>1.6055237535996179</v>
          </cell>
          <cell r="N56">
            <v>1.7498531202711127</v>
          </cell>
          <cell r="O56">
            <v>1.90715704807077</v>
          </cell>
          <cell r="P56">
            <v>2.0786018917076179</v>
          </cell>
          <cell r="Q56">
            <v>2.2654588559348481</v>
          </cell>
          <cell r="R56">
            <v>2.4691134210973549</v>
          </cell>
        </row>
        <row r="57">
          <cell r="C57" t="str">
            <v>Fluxo descontado</v>
          </cell>
          <cell r="G57">
            <v>0</v>
          </cell>
          <cell r="H57">
            <v>12.626065682274987</v>
          </cell>
          <cell r="I57">
            <v>20.034477383937677</v>
          </cell>
          <cell r="J57">
            <v>5.7656446206195282</v>
          </cell>
          <cell r="K57">
            <v>7.7971614844954855</v>
          </cell>
          <cell r="L57">
            <v>9.1929605210339638</v>
          </cell>
          <cell r="M57">
            <v>8.3204998477403471</v>
          </cell>
          <cell r="N57">
            <v>8.9630156144680893</v>
          </cell>
          <cell r="O57">
            <v>9.0788887356864141</v>
          </cell>
          <cell r="P57">
            <v>8.8733190543856004</v>
          </cell>
          <cell r="Q57">
            <v>8.4509015651138473</v>
          </cell>
          <cell r="R57">
            <v>133.34022533597681</v>
          </cell>
        </row>
        <row r="59">
          <cell r="C59" t="str">
            <v>Fluxo descontado sem variável</v>
          </cell>
          <cell r="G59">
            <v>0</v>
          </cell>
          <cell r="H59">
            <v>9.4932824678759307</v>
          </cell>
          <cell r="I59">
            <v>17.196976295225472</v>
          </cell>
          <cell r="J59">
            <v>2.3295110924050184</v>
          </cell>
          <cell r="K59">
            <v>2.0975181996970389</v>
          </cell>
          <cell r="L59">
            <v>1.8886291687575181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1">
          <cell r="G61">
            <v>33.005917223960978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Returns"/>
      <sheetName val="Sensitivity"/>
      <sheetName val="Model"/>
      <sheetName val="Company_Projections"/>
      <sheetName val="Comps"/>
      <sheetName val="IC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B1">
            <v>39619</v>
          </cell>
          <cell r="AR1" t="str">
            <v xml:space="preserve"> </v>
          </cell>
        </row>
        <row r="2">
          <cell r="C2" t="str">
            <v>Qualicorp Comparable Company Analysis - Valuation</v>
          </cell>
          <cell r="AB2" t="str">
            <v>Qualicorp Comparable Company Analysis - Operating Statistics</v>
          </cell>
        </row>
        <row r="3">
          <cell r="C3" t="str">
            <v>Valuations as of Close of U.S. Markets: Jun 20, 2008; figures in USD, millions (except per-share amounts)</v>
          </cell>
        </row>
        <row r="4">
          <cell r="AO4" t="str">
            <v>Inputs</v>
          </cell>
        </row>
        <row r="5">
          <cell r="G5" t="str">
            <v>Equity</v>
          </cell>
          <cell r="H5" t="str">
            <v>Enterprise</v>
          </cell>
          <cell r="J5" t="str">
            <v>EV/Revs.</v>
          </cell>
          <cell r="N5" t="str">
            <v>EV/EBITDA</v>
          </cell>
          <cell r="R5" t="str">
            <v>P/E</v>
          </cell>
          <cell r="V5" t="str">
            <v>P/E/G</v>
          </cell>
          <cell r="Z5" t="str">
            <v>EPS</v>
          </cell>
          <cell r="AE5" t="str">
            <v>Revenue Growth</v>
          </cell>
          <cell r="AI5" t="str">
            <v>EBITDA Margin</v>
          </cell>
          <cell r="AO5" t="str">
            <v>FX</v>
          </cell>
          <cell r="AP5" t="str">
            <v>52 Wk</v>
          </cell>
          <cell r="AQ5" t="str">
            <v>Shares</v>
          </cell>
          <cell r="AR5" t="str">
            <v>Local</v>
          </cell>
          <cell r="AV5" t="str">
            <v>USD</v>
          </cell>
          <cell r="AZ5" t="str">
            <v>Local</v>
          </cell>
          <cell r="BD5" t="str">
            <v>USD</v>
          </cell>
          <cell r="BH5" t="str">
            <v>Local</v>
          </cell>
          <cell r="BL5" t="str">
            <v>USD</v>
          </cell>
          <cell r="BP5" t="str">
            <v>Local</v>
          </cell>
          <cell r="BT5" t="str">
            <v>Local</v>
          </cell>
          <cell r="BU5" t="str">
            <v>USD</v>
          </cell>
        </row>
        <row r="6">
          <cell r="F6" t="str">
            <v>Price</v>
          </cell>
          <cell r="G6" t="str">
            <v>Value</v>
          </cell>
          <cell r="H6" t="str">
            <v>Value</v>
          </cell>
          <cell r="J6" t="str">
            <v>CY'07</v>
          </cell>
          <cell r="K6" t="str">
            <v>CY'08</v>
          </cell>
          <cell r="L6" t="str">
            <v>CY '09</v>
          </cell>
          <cell r="N6" t="str">
            <v>CY'07</v>
          </cell>
          <cell r="O6" t="str">
            <v>CY'08</v>
          </cell>
          <cell r="P6" t="str">
            <v>CY '09</v>
          </cell>
          <cell r="R6" t="str">
            <v>CY'07</v>
          </cell>
          <cell r="S6" t="str">
            <v>CY'08</v>
          </cell>
          <cell r="T6" t="str">
            <v>CY '09</v>
          </cell>
          <cell r="V6" t="str">
            <v>CY'07</v>
          </cell>
          <cell r="W6" t="str">
            <v>CY'08</v>
          </cell>
          <cell r="X6" t="str">
            <v>CY '09</v>
          </cell>
          <cell r="Z6" t="str">
            <v>LT Growth</v>
          </cell>
          <cell r="AE6" t="str">
            <v>'07-'08</v>
          </cell>
          <cell r="AF6" t="str">
            <v>'08-'09</v>
          </cell>
          <cell r="AG6" t="str">
            <v>'07-'09 CAGR</v>
          </cell>
          <cell r="AI6">
            <v>2007</v>
          </cell>
          <cell r="AJ6">
            <v>2008</v>
          </cell>
          <cell r="AK6">
            <v>2009</v>
          </cell>
          <cell r="AO6" t="str">
            <v>Rate</v>
          </cell>
          <cell r="AP6" t="str">
            <v>High</v>
          </cell>
          <cell r="AQ6" t="str">
            <v>Out</v>
          </cell>
          <cell r="AR6" t="str">
            <v>06 Rev</v>
          </cell>
          <cell r="AS6" t="str">
            <v>07 Rev</v>
          </cell>
          <cell r="AT6" t="str">
            <v>08 Rev</v>
          </cell>
          <cell r="AU6" t="str">
            <v>09 Rev</v>
          </cell>
          <cell r="AV6" t="str">
            <v>06 Rev</v>
          </cell>
          <cell r="AW6" t="str">
            <v>07 Rev</v>
          </cell>
          <cell r="AX6" t="str">
            <v>08 Rev</v>
          </cell>
          <cell r="AY6" t="str">
            <v>09 Rev</v>
          </cell>
          <cell r="AZ6" t="str">
            <v>06 EBITDA</v>
          </cell>
          <cell r="BA6" t="str">
            <v>07 EBITDA</v>
          </cell>
          <cell r="BB6" t="str">
            <v>08 EBITDA</v>
          </cell>
          <cell r="BC6" t="str">
            <v>09 EBITDA</v>
          </cell>
          <cell r="BD6" t="str">
            <v>06 EBITDA</v>
          </cell>
          <cell r="BE6" t="str">
            <v>07 EBITDA</v>
          </cell>
          <cell r="BF6" t="str">
            <v>08 EBITDA</v>
          </cell>
          <cell r="BG6" t="str">
            <v>09 EBITDA</v>
          </cell>
          <cell r="BH6" t="str">
            <v>06 NI</v>
          </cell>
          <cell r="BI6" t="str">
            <v>07 NI</v>
          </cell>
          <cell r="BJ6" t="str">
            <v>08 NI</v>
          </cell>
          <cell r="BK6" t="str">
            <v>09 NI</v>
          </cell>
          <cell r="BL6" t="str">
            <v>06 NI</v>
          </cell>
          <cell r="BM6" t="str">
            <v>07 NI</v>
          </cell>
          <cell r="BN6" t="str">
            <v>08 NI</v>
          </cell>
          <cell r="BO6" t="str">
            <v>09 NI</v>
          </cell>
          <cell r="BP6" t="str">
            <v>Cash</v>
          </cell>
          <cell r="BQ6" t="str">
            <v>Total Debt</v>
          </cell>
          <cell r="BR6" t="str">
            <v>Min Int</v>
          </cell>
          <cell r="BS6" t="str">
            <v>Pref Stock</v>
          </cell>
          <cell r="BT6" t="str">
            <v>Net Debt</v>
          </cell>
          <cell r="BU6" t="str">
            <v>Net Debt</v>
          </cell>
        </row>
        <row r="7">
          <cell r="D7" t="str">
            <v>Input Statistic</v>
          </cell>
          <cell r="K7">
            <v>568.7131796854278</v>
          </cell>
          <cell r="L7">
            <v>780.16660412967929</v>
          </cell>
          <cell r="O7">
            <v>28.150291251596251</v>
          </cell>
          <cell r="P7">
            <v>49.971308911874033</v>
          </cell>
          <cell r="S7">
            <v>-0.70876546054762335</v>
          </cell>
          <cell r="T7">
            <v>16.163523304479739</v>
          </cell>
        </row>
        <row r="8">
          <cell r="D8" t="str">
            <v>Droga Raia - GA Case - Post-Money</v>
          </cell>
          <cell r="G8">
            <v>244.90534158126843</v>
          </cell>
          <cell r="H8">
            <v>251.91267299999998</v>
          </cell>
          <cell r="J8">
            <v>0.61962797842164674</v>
          </cell>
          <cell r="K8">
            <v>0.4429520573786252</v>
          </cell>
          <cell r="L8">
            <v>0.32289599640197758</v>
          </cell>
          <cell r="N8">
            <v>16.102357236134083</v>
          </cell>
          <cell r="O8">
            <v>8.948847837789792</v>
          </cell>
          <cell r="P8">
            <v>5.0411461793857724</v>
          </cell>
          <cell r="R8" t="str">
            <v>NM</v>
          </cell>
          <cell r="S8" t="str">
            <v>NM</v>
          </cell>
          <cell r="T8">
            <v>15.151730038548751</v>
          </cell>
          <cell r="V8" t="str">
            <v>NM</v>
          </cell>
          <cell r="W8" t="str">
            <v>NM</v>
          </cell>
          <cell r="X8">
            <v>0.27310964243535896</v>
          </cell>
          <cell r="Z8">
            <v>0.5547856129662263</v>
          </cell>
          <cell r="AC8" t="str">
            <v>Droga Raia - GA Case - Post-Money</v>
          </cell>
          <cell r="AE8">
            <v>0.39886014321410657</v>
          </cell>
          <cell r="AF8">
            <v>0.37181031141429255</v>
          </cell>
          <cell r="AG8">
            <v>0.38526920441031454</v>
          </cell>
          <cell r="AI8">
            <v>3.8480575814774896E-2</v>
          </cell>
          <cell r="AJ8">
            <v>4.9498222051345839E-2</v>
          </cell>
          <cell r="AK8">
            <v>6.4052099445630464E-2</v>
          </cell>
          <cell r="AO8">
            <v>0.62200659999999997</v>
          </cell>
          <cell r="AR8">
            <v>570.57100000000014</v>
          </cell>
          <cell r="AS8">
            <v>653.61800000000017</v>
          </cell>
          <cell r="AT8">
            <v>914.32016908731816</v>
          </cell>
          <cell r="AU8">
            <v>1254.2738358880426</v>
          </cell>
          <cell r="AV8">
            <v>354.89892776860006</v>
          </cell>
          <cell r="AW8">
            <v>406.55470987880005</v>
          </cell>
          <cell r="AX8">
            <v>568.7131796854278</v>
          </cell>
          <cell r="AY8">
            <v>780.16660412967929</v>
          </cell>
          <cell r="AZ8">
            <v>30.470593000000139</v>
          </cell>
          <cell r="BA8">
            <v>25.151597002901543</v>
          </cell>
          <cell r="BB8">
            <v>45.257222755508145</v>
          </cell>
          <cell r="BC8">
            <v>80.338872468353287</v>
          </cell>
          <cell r="BD8">
            <v>18.952909951913885</v>
          </cell>
          <cell r="BE8">
            <v>15.644459336344978</v>
          </cell>
          <cell r="BF8">
            <v>28.150291251596251</v>
          </cell>
          <cell r="BG8">
            <v>49.971308911874033</v>
          </cell>
          <cell r="BH8">
            <v>9.9475930000001398</v>
          </cell>
          <cell r="BI8">
            <v>-4.6614243570984577</v>
          </cell>
          <cell r="BJ8">
            <v>-1.1394822185932165</v>
          </cell>
          <cell r="BK8">
            <v>25.986096135442519</v>
          </cell>
          <cell r="BL8">
            <v>6.1874685001138863</v>
          </cell>
          <cell r="BM8">
            <v>-2.8994367155159972</v>
          </cell>
          <cell r="BN8">
            <v>-0.70876546054762335</v>
          </cell>
          <cell r="BO8">
            <v>16.163523304479739</v>
          </cell>
          <cell r="BP8">
            <v>60.585537090000003</v>
          </cell>
          <cell r="BQ8">
            <v>71.851223689999998</v>
          </cell>
          <cell r="BR8">
            <v>0</v>
          </cell>
          <cell r="BS8">
            <v>0</v>
          </cell>
          <cell r="BT8">
            <v>11.265686599999995</v>
          </cell>
          <cell r="BU8">
            <v>7.0073314187315567</v>
          </cell>
        </row>
        <row r="9">
          <cell r="C9" t="str">
            <v>Brazilian Healthcare Comparables</v>
          </cell>
          <cell r="AB9" t="str">
            <v>Core Comparables</v>
          </cell>
        </row>
        <row r="10">
          <cell r="B10" t="str">
            <v>B28T2K6</v>
          </cell>
          <cell r="D10" t="str">
            <v>Amil Participacoes S.A.</v>
          </cell>
          <cell r="F10">
            <v>9.1683769999999996</v>
          </cell>
          <cell r="G10">
            <v>3304.4930266332999</v>
          </cell>
          <cell r="H10">
            <v>2603.1482407900999</v>
          </cell>
          <cell r="J10">
            <v>1.9982550255903755</v>
          </cell>
          <cell r="K10">
            <v>1.0256574511488152</v>
          </cell>
          <cell r="L10">
            <v>0.85862635614383198</v>
          </cell>
          <cell r="N10">
            <v>40.905487986977576</v>
          </cell>
          <cell r="O10">
            <v>10.423744707743966</v>
          </cell>
          <cell r="P10">
            <v>8.1761748386495263</v>
          </cell>
          <cell r="R10">
            <v>97.770131058111517</v>
          </cell>
          <cell r="S10">
            <v>15.388544494401357</v>
          </cell>
          <cell r="T10">
            <v>12.644821837887726</v>
          </cell>
          <cell r="V10">
            <v>2.3278602632883696</v>
          </cell>
          <cell r="W10">
            <v>0.36639391653336567</v>
          </cell>
          <cell r="X10">
            <v>0.30106718661637444</v>
          </cell>
          <cell r="Z10">
            <v>0.42</v>
          </cell>
          <cell r="AC10" t="str">
            <v>Amil Participacoes S.A.</v>
          </cell>
          <cell r="AE10">
            <v>0.94826744870051516</v>
          </cell>
          <cell r="AF10">
            <v>0.19453292320903692</v>
          </cell>
          <cell r="AG10">
            <v>0.52553912132374991</v>
          </cell>
          <cell r="AI10">
            <v>4.8850536295436148E-2</v>
          </cell>
          <cell r="AJ10">
            <v>9.839625584717536E-2</v>
          </cell>
          <cell r="AK10">
            <v>0.10501565500838198</v>
          </cell>
          <cell r="AO10">
            <v>0.62200659999999997</v>
          </cell>
          <cell r="AP10">
            <v>10.105093</v>
          </cell>
          <cell r="AQ10">
            <v>360.42290000000003</v>
          </cell>
          <cell r="AR10">
            <v>2527.2739999999999</v>
          </cell>
          <cell r="AS10">
            <v>2094.3679999999999</v>
          </cell>
          <cell r="AT10">
            <v>4080.3890000000001</v>
          </cell>
          <cell r="AU10">
            <v>4874.1589999999997</v>
          </cell>
          <cell r="AV10">
            <v>1571.9811080083998</v>
          </cell>
          <cell r="AW10">
            <v>1302.7107188287998</v>
          </cell>
          <cell r="AX10">
            <v>2538.0288885673999</v>
          </cell>
          <cell r="AY10">
            <v>3031.7590674493995</v>
          </cell>
          <cell r="AZ10" t="str">
            <v>NA</v>
          </cell>
          <cell r="BA10">
            <v>102.31100000000001</v>
          </cell>
          <cell r="BB10">
            <v>401.495</v>
          </cell>
          <cell r="BC10">
            <v>511.863</v>
          </cell>
          <cell r="BD10" t="str">
            <v>NA</v>
          </cell>
          <cell r="BE10">
            <v>63.638117252600004</v>
          </cell>
          <cell r="BF10">
            <v>249.73253986699999</v>
          </cell>
          <cell r="BG10">
            <v>318.38216429580001</v>
          </cell>
          <cell r="BH10" t="e">
            <v>#N/A</v>
          </cell>
          <cell r="BI10">
            <v>54.338000000000001</v>
          </cell>
          <cell r="BJ10">
            <v>345.233</v>
          </cell>
          <cell r="BK10">
            <v>420.14300000000003</v>
          </cell>
          <cell r="BL10" t="str">
            <v>NA</v>
          </cell>
          <cell r="BM10">
            <v>33.798594630799997</v>
          </cell>
          <cell r="BN10">
            <v>214.73720453779998</v>
          </cell>
          <cell r="BO10">
            <v>261.33171894380001</v>
          </cell>
          <cell r="BP10">
            <v>1184.9690000000001</v>
          </cell>
          <cell r="BQ10">
            <v>57.417000000000002</v>
          </cell>
          <cell r="BR10">
            <v>0</v>
          </cell>
          <cell r="BS10">
            <v>0</v>
          </cell>
          <cell r="BT10">
            <v>-1127.5520000000001</v>
          </cell>
          <cell r="BU10">
            <v>-701.34478584320004</v>
          </cell>
        </row>
        <row r="11">
          <cell r="B11" t="str">
            <v>B03WBK9</v>
          </cell>
          <cell r="D11" t="str">
            <v>Diagnosticos da America SA</v>
          </cell>
          <cell r="F11">
            <v>24.880260000000003</v>
          </cell>
          <cell r="G11">
            <v>1428.1999475631001</v>
          </cell>
          <cell r="H11">
            <v>1652.5005035759</v>
          </cell>
          <cell r="J11">
            <v>3.093459666581134</v>
          </cell>
          <cell r="K11">
            <v>2.4065301262750269</v>
          </cell>
          <cell r="L11">
            <v>2.0531898688923138</v>
          </cell>
          <cell r="N11">
            <v>13.546356743302399</v>
          </cell>
          <cell r="O11">
            <v>9.8476004168268307</v>
          </cell>
          <cell r="P11">
            <v>7.7806919026542891</v>
          </cell>
          <cell r="R11">
            <v>40.552392766874654</v>
          </cell>
          <cell r="S11">
            <v>41.529364445969541</v>
          </cell>
          <cell r="T11">
            <v>22.740586618334255</v>
          </cell>
          <cell r="V11" t="str">
            <v>NM</v>
          </cell>
          <cell r="W11" t="str">
            <v>NM</v>
          </cell>
          <cell r="X11" t="str">
            <v>NM</v>
          </cell>
          <cell r="Z11" t="str">
            <v>NA</v>
          </cell>
          <cell r="AC11" t="str">
            <v>Diagnosticos da America SA</v>
          </cell>
          <cell r="AE11">
            <v>0.28544398127663517</v>
          </cell>
          <cell r="AF11">
            <v>0.17209331817584816</v>
          </cell>
          <cell r="AG11">
            <v>0.22746091642206845</v>
          </cell>
          <cell r="AI11">
            <v>0.22836100696304232</v>
          </cell>
          <cell r="AJ11">
            <v>0.24437731268654353</v>
          </cell>
          <cell r="AK11">
            <v>0.26388268480234939</v>
          </cell>
          <cell r="AO11">
            <v>0.62200659999999997</v>
          </cell>
          <cell r="AP11">
            <v>26.675660000000001</v>
          </cell>
          <cell r="AQ11">
            <v>57.402934999999999</v>
          </cell>
          <cell r="AR11">
            <v>670.45</v>
          </cell>
          <cell r="AS11">
            <v>858.82</v>
          </cell>
          <cell r="AT11">
            <v>1103.9649999999999</v>
          </cell>
          <cell r="AU11">
            <v>1293.95</v>
          </cell>
          <cell r="AV11">
            <v>417.02432497000001</v>
          </cell>
          <cell r="AW11">
            <v>534.19170821199998</v>
          </cell>
          <cell r="AX11">
            <v>686.67351616899987</v>
          </cell>
          <cell r="AY11">
            <v>804.84544007</v>
          </cell>
          <cell r="AZ11">
            <v>160.27199999999999</v>
          </cell>
          <cell r="BA11">
            <v>196.12100000000001</v>
          </cell>
          <cell r="BB11">
            <v>269.78399999999999</v>
          </cell>
          <cell r="BC11">
            <v>341.45100000000002</v>
          </cell>
          <cell r="BD11">
            <v>99.690241795199995</v>
          </cell>
          <cell r="BE11">
            <v>121.9885563986</v>
          </cell>
          <cell r="BF11">
            <v>167.80742857439998</v>
          </cell>
          <cell r="BG11">
            <v>212.38477557659999</v>
          </cell>
          <cell r="BH11" t="e">
            <v>#N/A</v>
          </cell>
          <cell r="BI11">
            <v>56.621000000000002</v>
          </cell>
          <cell r="BJ11">
            <v>55.289000000000001</v>
          </cell>
          <cell r="BK11">
            <v>100.97</v>
          </cell>
          <cell r="BL11" t="str">
            <v>NA</v>
          </cell>
          <cell r="BM11">
            <v>35.218635698599996</v>
          </cell>
          <cell r="BN11">
            <v>34.390122907399999</v>
          </cell>
          <cell r="BO11">
            <v>62.804006401999999</v>
          </cell>
          <cell r="BP11">
            <v>46.369</v>
          </cell>
          <cell r="BQ11">
            <v>406.28899999999999</v>
          </cell>
          <cell r="BR11">
            <v>0.68800000000000006</v>
          </cell>
          <cell r="BS11">
            <v>0</v>
          </cell>
          <cell r="BT11">
            <v>360.60799999999995</v>
          </cell>
          <cell r="BU11">
            <v>224.30055601279994</v>
          </cell>
        </row>
        <row r="12">
          <cell r="B12" t="str">
            <v>B1FLB90</v>
          </cell>
          <cell r="D12" t="str">
            <v>Medial Saude SA</v>
          </cell>
          <cell r="F12">
            <v>11.743483999999999</v>
          </cell>
          <cell r="G12">
            <v>813.59056791227988</v>
          </cell>
          <cell r="H12">
            <v>667.69145580307986</v>
          </cell>
          <cell r="J12">
            <v>0.69516600733078771</v>
          </cell>
          <cell r="K12">
            <v>0.56342179437742601</v>
          </cell>
          <cell r="L12">
            <v>0.48727841225264773</v>
          </cell>
          <cell r="N12">
            <v>14.67661391687051</v>
          </cell>
          <cell r="O12">
            <v>7.422025457235077</v>
          </cell>
          <cell r="P12">
            <v>4.983970386665006</v>
          </cell>
          <cell r="R12">
            <v>87.398739935848539</v>
          </cell>
          <cell r="S12">
            <v>14.245056107249995</v>
          </cell>
          <cell r="T12">
            <v>10.077891531550268</v>
          </cell>
          <cell r="V12" t="str">
            <v>NM</v>
          </cell>
          <cell r="W12" t="str">
            <v>NM</v>
          </cell>
          <cell r="X12" t="str">
            <v>NM</v>
          </cell>
          <cell r="Z12" t="str">
            <v>NA</v>
          </cell>
          <cell r="AC12" t="str">
            <v>Medial Saude SA</v>
          </cell>
          <cell r="AE12">
            <v>0.23382874831623668</v>
          </cell>
          <cell r="AF12">
            <v>0.15626258050869479</v>
          </cell>
          <cell r="AG12">
            <v>0.19441618058110088</v>
          </cell>
          <cell r="AI12">
            <v>4.7365557973267018E-2</v>
          </cell>
          <cell r="AJ12">
            <v>7.5912134446830273E-2</v>
          </cell>
          <cell r="AK12">
            <v>9.7769122697116823E-2</v>
          </cell>
          <cell r="AO12">
            <v>0.62200659999999997</v>
          </cell>
          <cell r="AP12">
            <v>19.05733</v>
          </cell>
          <cell r="AQ12">
            <v>69.280169999999998</v>
          </cell>
          <cell r="AR12">
            <v>1099.4960000000001</v>
          </cell>
          <cell r="AS12">
            <v>1544.16</v>
          </cell>
          <cell r="AT12">
            <v>1905.229</v>
          </cell>
          <cell r="AU12">
            <v>2202.9450000000002</v>
          </cell>
          <cell r="AV12">
            <v>683.89376867359999</v>
          </cell>
          <cell r="AW12">
            <v>960.47771145599995</v>
          </cell>
          <cell r="AX12">
            <v>1185.0650125114</v>
          </cell>
          <cell r="AY12">
            <v>1370.246329437</v>
          </cell>
          <cell r="AZ12">
            <v>24.494</v>
          </cell>
          <cell r="BA12">
            <v>73.14</v>
          </cell>
          <cell r="BB12">
            <v>144.63</v>
          </cell>
          <cell r="BC12">
            <v>215.38</v>
          </cell>
          <cell r="BD12">
            <v>15.235429660399999</v>
          </cell>
          <cell r="BE12">
            <v>45.493562724</v>
          </cell>
          <cell r="BF12">
            <v>89.960814557999996</v>
          </cell>
          <cell r="BG12">
            <v>133.967781508</v>
          </cell>
          <cell r="BH12" t="e">
            <v>#N/A</v>
          </cell>
          <cell r="BI12">
            <v>14.966000000000001</v>
          </cell>
          <cell r="BJ12">
            <v>91.822000000000003</v>
          </cell>
          <cell r="BK12">
            <v>129.79</v>
          </cell>
          <cell r="BL12" t="str">
            <v>NA</v>
          </cell>
          <cell r="BM12">
            <v>9.3089507755999996</v>
          </cell>
          <cell r="BN12">
            <v>57.1138900252</v>
          </cell>
          <cell r="BO12">
            <v>80.730236613999992</v>
          </cell>
          <cell r="BP12">
            <v>244.161</v>
          </cell>
          <cell r="BQ12">
            <v>9.5990000000000002</v>
          </cell>
          <cell r="BR12">
            <v>0</v>
          </cell>
          <cell r="BS12">
            <v>0</v>
          </cell>
          <cell r="BT12">
            <v>-234.56200000000001</v>
          </cell>
          <cell r="BU12">
            <v>-145.89911210919999</v>
          </cell>
        </row>
        <row r="13">
          <cell r="B13" t="str">
            <v>B1FLYW4</v>
          </cell>
          <cell r="D13" t="str">
            <v>Tempo Participacoes SA</v>
          </cell>
          <cell r="F13">
            <v>4.2296449999999997</v>
          </cell>
          <cell r="G13">
            <v>722.19196212204997</v>
          </cell>
          <cell r="H13">
            <v>502.12602704205005</v>
          </cell>
          <cell r="J13">
            <v>1.4243635366495058</v>
          </cell>
          <cell r="K13">
            <v>1.0349589806934154</v>
          </cell>
          <cell r="L13">
            <v>0.88226011468946897</v>
          </cell>
          <cell r="N13" t="str">
            <v>NM</v>
          </cell>
          <cell r="O13">
            <v>8.3223505664006616</v>
          </cell>
          <cell r="P13">
            <v>6.3564409837863316</v>
          </cell>
          <cell r="R13" t="str">
            <v>NM</v>
          </cell>
          <cell r="S13">
            <v>12.417839625035979</v>
          </cell>
          <cell r="T13">
            <v>9.8395593639056269</v>
          </cell>
          <cell r="V13" t="str">
            <v>NM</v>
          </cell>
          <cell r="W13" t="str">
            <v>NM</v>
          </cell>
          <cell r="X13" t="str">
            <v>NM</v>
          </cell>
          <cell r="Z13" t="str">
            <v>NA</v>
          </cell>
          <cell r="AC13" t="str">
            <v>Tempo Participacoes SA</v>
          </cell>
          <cell r="AE13">
            <v>0.37625119760320547</v>
          </cell>
          <cell r="AF13">
            <v>0.17307692307692313</v>
          </cell>
          <cell r="AG13">
            <v>0.27060950738820577</v>
          </cell>
          <cell r="AI13">
            <v>-0.12527414747413793</v>
          </cell>
          <cell r="AJ13">
            <v>0.12435897435897435</v>
          </cell>
          <cell r="AK13">
            <v>0.13879781420765025</v>
          </cell>
          <cell r="AO13">
            <v>0.62200659999999997</v>
          </cell>
          <cell r="AP13">
            <v>4.9321830000000002</v>
          </cell>
          <cell r="AQ13">
            <v>170.74529000000001</v>
          </cell>
          <cell r="AR13">
            <v>0</v>
          </cell>
          <cell r="AS13">
            <v>566.75700000000006</v>
          </cell>
          <cell r="AT13">
            <v>780</v>
          </cell>
          <cell r="AU13">
            <v>915</v>
          </cell>
          <cell r="AV13">
            <v>0</v>
          </cell>
          <cell r="AW13">
            <v>352.52659459620003</v>
          </cell>
          <cell r="AX13">
            <v>485.16514799999999</v>
          </cell>
          <cell r="AY13">
            <v>569.13603899999998</v>
          </cell>
          <cell r="AZ13" t="str">
            <v>NA</v>
          </cell>
          <cell r="BA13">
            <v>-71</v>
          </cell>
          <cell r="BB13">
            <v>97</v>
          </cell>
          <cell r="BC13">
            <v>127</v>
          </cell>
          <cell r="BD13" t="str">
            <v>NA</v>
          </cell>
          <cell r="BE13">
            <v>-44.162468599999997</v>
          </cell>
          <cell r="BF13">
            <v>60.334640199999996</v>
          </cell>
          <cell r="BG13">
            <v>78.99483819999999</v>
          </cell>
          <cell r="BH13" t="e">
            <v>#N/A</v>
          </cell>
          <cell r="BI13">
            <v>-89.707999999999998</v>
          </cell>
          <cell r="BJ13">
            <v>93.5</v>
          </cell>
          <cell r="BK13">
            <v>118</v>
          </cell>
          <cell r="BL13" t="str">
            <v>NA</v>
          </cell>
          <cell r="BM13">
            <v>-55.798968072799994</v>
          </cell>
          <cell r="BN13">
            <v>58.157617099999996</v>
          </cell>
          <cell r="BO13">
            <v>73.396778799999993</v>
          </cell>
          <cell r="BP13">
            <v>354.4</v>
          </cell>
          <cell r="BQ13">
            <v>0.6</v>
          </cell>
          <cell r="BR13">
            <v>0</v>
          </cell>
          <cell r="BS13">
            <v>0</v>
          </cell>
          <cell r="BT13">
            <v>-353.79999999999995</v>
          </cell>
          <cell r="BU13">
            <v>-220.06593507999995</v>
          </cell>
        </row>
        <row r="14">
          <cell r="B14" t="str">
            <v>B1H6R62</v>
          </cell>
          <cell r="D14" t="str">
            <v>Odontoprev SA</v>
          </cell>
          <cell r="F14">
            <v>24.880260000000003</v>
          </cell>
          <cell r="G14">
            <v>634.45235245980007</v>
          </cell>
          <cell r="H14">
            <v>503.82039234760009</v>
          </cell>
          <cell r="J14">
            <v>3.1260788397622723</v>
          </cell>
          <cell r="K14">
            <v>2.5461599318915105</v>
          </cell>
          <cell r="L14">
            <v>2.0431230224723618</v>
          </cell>
          <cell r="N14">
            <v>12.806805635257369</v>
          </cell>
          <cell r="O14">
            <v>10.822838230557085</v>
          </cell>
          <cell r="P14">
            <v>8.5371955143776521</v>
          </cell>
          <cell r="R14">
            <v>21.438669889720515</v>
          </cell>
          <cell r="S14">
            <v>15.728743808991872</v>
          </cell>
          <cell r="T14">
            <v>12.964184039109837</v>
          </cell>
          <cell r="V14">
            <v>1.429244659314701</v>
          </cell>
          <cell r="W14">
            <v>1.0485829205994583</v>
          </cell>
          <cell r="X14">
            <v>0.86427893594065575</v>
          </cell>
          <cell r="Z14">
            <v>0.15</v>
          </cell>
          <cell r="AC14" t="str">
            <v>Odontoprev SA</v>
          </cell>
          <cell r="AE14">
            <v>0.22776216867097876</v>
          </cell>
          <cell r="AF14">
            <v>0.24620979935433795</v>
          </cell>
          <cell r="AG14">
            <v>0.2369515939899618</v>
          </cell>
          <cell r="AI14">
            <v>0.24409512635657718</v>
          </cell>
          <cell r="AJ14">
            <v>0.23525806056148096</v>
          </cell>
          <cell r="AK14">
            <v>0.23932016304786505</v>
          </cell>
          <cell r="AO14">
            <v>0.62200659999999997</v>
          </cell>
          <cell r="AP14">
            <v>33.098910000000004</v>
          </cell>
          <cell r="AQ14">
            <v>25.500229999999998</v>
          </cell>
          <cell r="AR14">
            <v>182.398</v>
          </cell>
          <cell r="AS14">
            <v>259.108</v>
          </cell>
          <cell r="AT14">
            <v>318.12299999999999</v>
          </cell>
          <cell r="AU14">
            <v>396.44800000000004</v>
          </cell>
          <cell r="AV14">
            <v>113.45275982679999</v>
          </cell>
          <cell r="AW14">
            <v>161.1668861128</v>
          </cell>
          <cell r="AX14">
            <v>197.87460561179998</v>
          </cell>
          <cell r="AY14">
            <v>246.5932725568</v>
          </cell>
          <cell r="AZ14">
            <v>28.798999999999999</v>
          </cell>
          <cell r="BA14">
            <v>63.247</v>
          </cell>
          <cell r="BB14">
            <v>74.841000000000008</v>
          </cell>
          <cell r="BC14">
            <v>94.878</v>
          </cell>
          <cell r="BD14">
            <v>17.913168073399998</v>
          </cell>
          <cell r="BE14">
            <v>39.340051430199999</v>
          </cell>
          <cell r="BF14">
            <v>46.551595950600003</v>
          </cell>
          <cell r="BG14">
            <v>59.0147421948</v>
          </cell>
          <cell r="BH14" t="e">
            <v>#N/A</v>
          </cell>
          <cell r="BI14">
            <v>47.578000000000003</v>
          </cell>
          <cell r="BJ14">
            <v>64.849999999999994</v>
          </cell>
          <cell r="BK14">
            <v>78.679000000000002</v>
          </cell>
          <cell r="BL14" t="str">
            <v>NA</v>
          </cell>
          <cell r="BM14">
            <v>29.593830014800002</v>
          </cell>
          <cell r="BN14">
            <v>40.337128009999994</v>
          </cell>
          <cell r="BO14">
            <v>48.938857281399997</v>
          </cell>
          <cell r="BP14">
            <v>210.017</v>
          </cell>
          <cell r="BQ14">
            <v>0</v>
          </cell>
          <cell r="BR14">
            <v>0</v>
          </cell>
          <cell r="BS14">
            <v>0</v>
          </cell>
          <cell r="BT14">
            <v>-210.017</v>
          </cell>
          <cell r="BU14">
            <v>-130.63196011219998</v>
          </cell>
        </row>
        <row r="15">
          <cell r="B15">
            <v>228154</v>
          </cell>
          <cell r="D15" t="str">
            <v>Drogasil SA</v>
          </cell>
          <cell r="F15">
            <v>9.1745999999999999</v>
          </cell>
          <cell r="G15">
            <v>575.92028516400001</v>
          </cell>
          <cell r="H15">
            <v>454.25577464399998</v>
          </cell>
          <cell r="J15" t="str">
            <v>NA</v>
          </cell>
          <cell r="K15">
            <v>0.63339712366157896</v>
          </cell>
          <cell r="L15">
            <v>0.49691997138249716</v>
          </cell>
          <cell r="N15" t="str">
            <v>NA</v>
          </cell>
          <cell r="O15">
            <v>10.635485510970344</v>
          </cell>
          <cell r="P15">
            <v>8.1446561564655955</v>
          </cell>
          <cell r="R15">
            <v>42.814523424664785</v>
          </cell>
          <cell r="S15">
            <v>17.041335534238872</v>
          </cell>
          <cell r="T15">
            <v>14.028892175481827</v>
          </cell>
          <cell r="V15" t="str">
            <v>NM</v>
          </cell>
          <cell r="W15" t="str">
            <v>NM</v>
          </cell>
          <cell r="X15" t="str">
            <v>NM</v>
          </cell>
          <cell r="Z15" t="str">
            <v>NA</v>
          </cell>
          <cell r="AC15" t="str">
            <v>Drogasil SA</v>
          </cell>
          <cell r="AE15" t="str">
            <v xml:space="preserve">NA </v>
          </cell>
          <cell r="AF15">
            <v>0.2746461405030356</v>
          </cell>
          <cell r="AG15" t="str">
            <v xml:space="preserve">NA </v>
          </cell>
          <cell r="AI15" t="str">
            <v xml:space="preserve">NA </v>
          </cell>
          <cell r="AJ15">
            <v>5.9555073720728532E-2</v>
          </cell>
          <cell r="AK15">
            <v>6.1011780219600756E-2</v>
          </cell>
          <cell r="AO15">
            <v>0.62200670000000002</v>
          </cell>
          <cell r="AP15">
            <v>10.010455</v>
          </cell>
          <cell r="AQ15">
            <v>62.773339999999997</v>
          </cell>
          <cell r="AR15">
            <v>674.42500000000007</v>
          </cell>
          <cell r="AS15" t="e">
            <v>#N/A</v>
          </cell>
          <cell r="AT15">
            <v>1153</v>
          </cell>
          <cell r="AU15">
            <v>1469.6670000000001</v>
          </cell>
          <cell r="AV15">
            <v>419.49686864750004</v>
          </cell>
          <cell r="AW15" t="str">
            <v>NA</v>
          </cell>
          <cell r="AX15">
            <v>717.17372510000007</v>
          </cell>
          <cell r="AY15">
            <v>914.14272076890018</v>
          </cell>
          <cell r="AZ15">
            <v>43.094000000000001</v>
          </cell>
          <cell r="BA15" t="str">
            <v>NA</v>
          </cell>
          <cell r="BB15">
            <v>68.667000000000002</v>
          </cell>
          <cell r="BC15">
            <v>89.667000000000002</v>
          </cell>
          <cell r="BD15">
            <v>26.804756729800001</v>
          </cell>
          <cell r="BE15" t="str">
            <v>NA</v>
          </cell>
          <cell r="BF15">
            <v>42.711334068900001</v>
          </cell>
          <cell r="BG15">
            <v>55.773474768900002</v>
          </cell>
          <cell r="BH15" t="e">
            <v>#N/A</v>
          </cell>
          <cell r="BI15">
            <v>21.626000000000001</v>
          </cell>
          <cell r="BJ15">
            <v>54.332999999999998</v>
          </cell>
          <cell r="BK15">
            <v>66</v>
          </cell>
          <cell r="BL15" t="str">
            <v>NA</v>
          </cell>
          <cell r="BM15">
            <v>13.451516894200001</v>
          </cell>
          <cell r="BN15">
            <v>33.795490031100002</v>
          </cell>
          <cell r="BO15">
            <v>41.052442200000002</v>
          </cell>
          <cell r="BP15">
            <v>234.7</v>
          </cell>
          <cell r="BQ15">
            <v>39.1</v>
          </cell>
          <cell r="BR15">
            <v>0</v>
          </cell>
          <cell r="BS15">
            <v>0</v>
          </cell>
          <cell r="BT15">
            <v>-195.6</v>
          </cell>
          <cell r="BU15">
            <v>-121.66451052000001</v>
          </cell>
        </row>
        <row r="16">
          <cell r="B16" t="str">
            <v>B1G92Q</v>
          </cell>
          <cell r="D16" t="str">
            <v>PROFARMA Distrib Prod Farmaceuticos SA</v>
          </cell>
          <cell r="F16">
            <v>15.991788999999999</v>
          </cell>
          <cell r="G16">
            <v>580.50194069999986</v>
          </cell>
          <cell r="H16">
            <v>657.6463092649999</v>
          </cell>
          <cell r="J16">
            <v>0.46761721742467999</v>
          </cell>
          <cell r="K16">
            <v>0.36345753178596646</v>
          </cell>
          <cell r="L16">
            <v>0.29078601759223777</v>
          </cell>
          <cell r="N16">
            <v>14.49683901615697</v>
          </cell>
          <cell r="O16">
            <v>9.2745435084682146</v>
          </cell>
          <cell r="P16">
            <v>7.2417668490779219</v>
          </cell>
          <cell r="R16">
            <v>27.303053067853735</v>
          </cell>
          <cell r="S16">
            <v>15.052789676860909</v>
          </cell>
          <cell r="T16">
            <v>11.110392380540196</v>
          </cell>
          <cell r="V16" t="str">
            <v>NM</v>
          </cell>
          <cell r="W16" t="str">
            <v>NM</v>
          </cell>
          <cell r="X16" t="str">
            <v>NM</v>
          </cell>
          <cell r="Z16" t="str">
            <v>NA</v>
          </cell>
          <cell r="AC16" t="str">
            <v>PROFARMA Distrib Prod Farmaceuticos SA</v>
          </cell>
          <cell r="AE16">
            <v>0.28658007202902391</v>
          </cell>
          <cell r="AF16">
            <v>0.2499140598143692</v>
          </cell>
          <cell r="AG16">
            <v>0.26811455362126524</v>
          </cell>
          <cell r="AI16">
            <v>3.2256495150667863E-2</v>
          </cell>
          <cell r="AJ16">
            <v>3.9188724647645244E-2</v>
          </cell>
          <cell r="AK16">
            <v>4.015401540154015E-2</v>
          </cell>
          <cell r="AO16">
            <v>0.62200659999999997</v>
          </cell>
          <cell r="AP16">
            <v>22.797810000000002</v>
          </cell>
          <cell r="AQ16">
            <v>36.299999999999997</v>
          </cell>
          <cell r="AR16">
            <v>1728.6079999999999</v>
          </cell>
          <cell r="AS16">
            <v>2261.0329999999999</v>
          </cell>
          <cell r="AT16">
            <v>2909</v>
          </cell>
          <cell r="AU16">
            <v>3636</v>
          </cell>
          <cell r="AV16">
            <v>1075.2055848128</v>
          </cell>
          <cell r="AW16">
            <v>1406.3774488177999</v>
          </cell>
          <cell r="AX16">
            <v>1809.4171993999998</v>
          </cell>
          <cell r="AY16">
            <v>2261.6159975999999</v>
          </cell>
          <cell r="AZ16">
            <v>33.460999999999999</v>
          </cell>
          <cell r="BA16">
            <v>72.933000000000007</v>
          </cell>
          <cell r="BB16">
            <v>114</v>
          </cell>
          <cell r="BC16">
            <v>146</v>
          </cell>
          <cell r="BD16">
            <v>20.812962842599998</v>
          </cell>
          <cell r="BE16">
            <v>45.364807357800004</v>
          </cell>
          <cell r="BF16">
            <v>70.908752399999997</v>
          </cell>
          <cell r="BG16">
            <v>90.812963599999989</v>
          </cell>
          <cell r="BH16" t="e">
            <v>#N/A</v>
          </cell>
          <cell r="BI16">
            <v>34.182000000000002</v>
          </cell>
          <cell r="BJ16">
            <v>62</v>
          </cell>
          <cell r="BK16">
            <v>84</v>
          </cell>
          <cell r="BL16" t="str">
            <v>NA</v>
          </cell>
          <cell r="BM16">
            <v>21.2614296012</v>
          </cell>
          <cell r="BN16">
            <v>38.5644092</v>
          </cell>
          <cell r="BO16">
            <v>52.248554399999996</v>
          </cell>
          <cell r="BP16">
            <v>63.954999999999998</v>
          </cell>
          <cell r="BQ16">
            <v>187.98</v>
          </cell>
          <cell r="BR16">
            <v>0</v>
          </cell>
          <cell r="BS16">
            <v>0</v>
          </cell>
          <cell r="BT16">
            <v>124.02499999999999</v>
          </cell>
          <cell r="BU16">
            <v>77.144368564999994</v>
          </cell>
        </row>
        <row r="17">
          <cell r="G17" t="str">
            <v>Median</v>
          </cell>
          <cell r="J17">
            <v>1.7113092811199406</v>
          </cell>
          <cell r="K17">
            <v>1.0256574511488152</v>
          </cell>
          <cell r="L17">
            <v>0.85862635614383198</v>
          </cell>
          <cell r="N17">
            <v>14.49683901615697</v>
          </cell>
          <cell r="O17">
            <v>9.8476004168268307</v>
          </cell>
          <cell r="P17">
            <v>7.7806919026542891</v>
          </cell>
          <cell r="R17">
            <v>41.683458095769723</v>
          </cell>
          <cell r="S17">
            <v>15.388544494401357</v>
          </cell>
          <cell r="T17">
            <v>12.644821837887726</v>
          </cell>
          <cell r="V17">
            <v>1.8785524613015352</v>
          </cell>
          <cell r="W17">
            <v>0.70748841856641209</v>
          </cell>
          <cell r="X17">
            <v>0.58267306127851515</v>
          </cell>
          <cell r="Z17">
            <v>0.28500000000000003</v>
          </cell>
          <cell r="AD17" t="str">
            <v>Median</v>
          </cell>
          <cell r="AE17">
            <v>0.28601202665282954</v>
          </cell>
          <cell r="AF17">
            <v>0.19453292320903692</v>
          </cell>
          <cell r="AG17">
            <v>0.25253307380561352</v>
          </cell>
          <cell r="AI17">
            <v>4.8108047134351586E-2</v>
          </cell>
          <cell r="AJ17">
            <v>9.839625584717536E-2</v>
          </cell>
          <cell r="AK17">
            <v>0.10501565500838198</v>
          </cell>
        </row>
        <row r="18">
          <cell r="G18" t="str">
            <v>Mean</v>
          </cell>
          <cell r="J18">
            <v>1.8008233822231257</v>
          </cell>
          <cell r="K18">
            <v>1.2247975628333914</v>
          </cell>
          <cell r="L18">
            <v>1.0160262519179084</v>
          </cell>
          <cell r="N18">
            <v>19.286420659712963</v>
          </cell>
          <cell r="O18">
            <v>9.5355126283145957</v>
          </cell>
          <cell r="P18">
            <v>7.3172709473823314</v>
          </cell>
          <cell r="R18">
            <v>52.879585023845628</v>
          </cell>
          <cell r="S18">
            <v>18.771953384678362</v>
          </cell>
          <cell r="T18">
            <v>13.343761135258532</v>
          </cell>
          <cell r="V18">
            <v>1.8785524613015352</v>
          </cell>
          <cell r="W18">
            <v>0.70748841856641198</v>
          </cell>
          <cell r="X18">
            <v>0.58267306127851515</v>
          </cell>
          <cell r="Z18">
            <v>0.28499999999999998</v>
          </cell>
          <cell r="AD18" t="str">
            <v>Mean</v>
          </cell>
          <cell r="AE18">
            <v>0.39302226943276586</v>
          </cell>
          <cell r="AF18">
            <v>0.2095336778060351</v>
          </cell>
          <cell r="AG18">
            <v>0.28718197888772534</v>
          </cell>
          <cell r="AI18">
            <v>7.9275762544142106E-2</v>
          </cell>
          <cell r="AJ18">
            <v>0.12529236232419688</v>
          </cell>
          <cell r="AK18">
            <v>0.13513589076921492</v>
          </cell>
        </row>
        <row r="19">
          <cell r="C19" t="str">
            <v>U.S. Drug Retailers</v>
          </cell>
          <cell r="AB19" t="str">
            <v>Other Comparables</v>
          </cell>
        </row>
        <row r="20">
          <cell r="B20" t="str">
            <v>CVS</v>
          </cell>
          <cell r="D20" t="str">
            <v>CVS Caremark Corporation</v>
          </cell>
          <cell r="F20">
            <v>41.36</v>
          </cell>
          <cell r="G20">
            <v>60704.072</v>
          </cell>
          <cell r="H20">
            <v>70568.372000000003</v>
          </cell>
          <cell r="J20">
            <v>0.9245229170897229</v>
          </cell>
          <cell r="K20">
            <v>0.80793426466783136</v>
          </cell>
          <cell r="L20">
            <v>0.75338721932422481</v>
          </cell>
          <cell r="N20">
            <v>11.912083185631573</v>
          </cell>
          <cell r="O20">
            <v>9.5255631003811256</v>
          </cell>
          <cell r="P20">
            <v>8.473695933913012</v>
          </cell>
          <cell r="R20">
            <v>23.144758273600729</v>
          </cell>
          <cell r="S20">
            <v>17.094711301803077</v>
          </cell>
          <cell r="T20">
            <v>14.871024441963655</v>
          </cell>
          <cell r="V20">
            <v>1.4648581185823246</v>
          </cell>
          <cell r="W20">
            <v>1.0819437532786758</v>
          </cell>
          <cell r="X20">
            <v>0.94120407860529465</v>
          </cell>
          <cell r="Z20">
            <v>0.158</v>
          </cell>
          <cell r="AC20" t="str">
            <v>CVS Caremark Corporation</v>
          </cell>
          <cell r="AE20">
            <v>0.14430462665155686</v>
          </cell>
          <cell r="AF20">
            <v>7.2402403365077417E-2</v>
          </cell>
          <cell r="AG20">
            <v>0.10777029740055188</v>
          </cell>
          <cell r="AI20">
            <v>7.7612194498850387E-2</v>
          </cell>
          <cell r="AJ20">
            <v>8.4817480725680697E-2</v>
          </cell>
          <cell r="AK20">
            <v>8.8908927721734171E-2</v>
          </cell>
          <cell r="AO20">
            <v>1</v>
          </cell>
          <cell r="AP20">
            <v>44.29</v>
          </cell>
          <cell r="AQ20">
            <v>1467.7</v>
          </cell>
          <cell r="AR20">
            <v>43821.4</v>
          </cell>
          <cell r="AS20">
            <v>76329.5</v>
          </cell>
          <cell r="AT20">
            <v>87344.200000000012</v>
          </cell>
          <cell r="AU20">
            <v>93668.13</v>
          </cell>
          <cell r="AV20">
            <v>43821.4</v>
          </cell>
          <cell r="AW20">
            <v>76329.5</v>
          </cell>
          <cell r="AX20">
            <v>87344.200000000012</v>
          </cell>
          <cell r="AY20">
            <v>93668.13</v>
          </cell>
          <cell r="AZ20">
            <v>3114.3</v>
          </cell>
          <cell r="BA20">
            <v>5924.1</v>
          </cell>
          <cell r="BB20">
            <v>7408.3150000000005</v>
          </cell>
          <cell r="BC20">
            <v>8327.9330000000009</v>
          </cell>
          <cell r="BD20">
            <v>3114.3</v>
          </cell>
          <cell r="BE20">
            <v>5924.1</v>
          </cell>
          <cell r="BF20">
            <v>7408.3150000000005</v>
          </cell>
          <cell r="BG20">
            <v>8327.9330000000009</v>
          </cell>
          <cell r="BH20" t="e">
            <v>#N/A</v>
          </cell>
          <cell r="BI20">
            <v>2622.8</v>
          </cell>
          <cell r="BJ20">
            <v>3551.0439999999999</v>
          </cell>
          <cell r="BK20">
            <v>4082.0370000000003</v>
          </cell>
          <cell r="BL20" t="str">
            <v>NA</v>
          </cell>
          <cell r="BM20">
            <v>2622.8</v>
          </cell>
          <cell r="BN20">
            <v>3551.0439999999999</v>
          </cell>
          <cell r="BO20">
            <v>4082.0370000000003</v>
          </cell>
          <cell r="BP20">
            <v>818.2</v>
          </cell>
          <cell r="BQ20">
            <v>10481.900000000001</v>
          </cell>
          <cell r="BR20">
            <v>0</v>
          </cell>
          <cell r="BS20">
            <v>200.6</v>
          </cell>
          <cell r="BT20">
            <v>9864.3000000000011</v>
          </cell>
          <cell r="BU20">
            <v>9864.3000000000011</v>
          </cell>
        </row>
        <row r="21">
          <cell r="B21" t="str">
            <v>WAG</v>
          </cell>
          <cell r="D21" t="str">
            <v>Walgreen Company</v>
          </cell>
          <cell r="F21">
            <v>35.07</v>
          </cell>
          <cell r="G21">
            <v>34894.65</v>
          </cell>
          <cell r="H21">
            <v>35517.85</v>
          </cell>
          <cell r="J21">
            <v>0.64482475027867847</v>
          </cell>
          <cell r="K21">
            <v>0.57855462052370832</v>
          </cell>
          <cell r="L21">
            <v>0.52617049281841943</v>
          </cell>
          <cell r="N21">
            <v>9.0005194871015135</v>
          </cell>
          <cell r="O21">
            <v>7.9380370987131874</v>
          </cell>
          <cell r="P21">
            <v>7.1438541937988305</v>
          </cell>
          <cell r="R21">
            <v>16.657413781087069</v>
          </cell>
          <cell r="S21">
            <v>15.194735806202145</v>
          </cell>
          <cell r="T21">
            <v>13.477411832046474</v>
          </cell>
          <cell r="V21">
            <v>1.1898152700776476</v>
          </cell>
          <cell r="W21">
            <v>1.0853382718715816</v>
          </cell>
          <cell r="X21">
            <v>0.96267227371760522</v>
          </cell>
          <cell r="Z21">
            <v>0.14000000000000001</v>
          </cell>
          <cell r="AC21" t="str">
            <v>Walgreen Company</v>
          </cell>
          <cell r="AE21">
            <v>0.11454429262872767</v>
          </cell>
          <cell r="AF21">
            <v>9.9557326798571655E-2</v>
          </cell>
          <cell r="AG21">
            <v>0.10702544821763182</v>
          </cell>
          <cell r="AI21">
            <v>7.1643059181502294E-2</v>
          </cell>
          <cell r="AJ21">
            <v>7.2883839333214517E-2</v>
          </cell>
          <cell r="AK21">
            <v>7.3653587901494094E-2</v>
          </cell>
          <cell r="AO21">
            <v>1</v>
          </cell>
          <cell r="AP21">
            <v>48.09</v>
          </cell>
          <cell r="AQ21">
            <v>995</v>
          </cell>
          <cell r="AR21">
            <v>49217.100000000006</v>
          </cell>
          <cell r="AS21">
            <v>55081.4</v>
          </cell>
          <cell r="AT21">
            <v>61390.66</v>
          </cell>
          <cell r="AU21">
            <v>67502.55</v>
          </cell>
          <cell r="AV21">
            <v>49217.100000000006</v>
          </cell>
          <cell r="AW21">
            <v>55081.4</v>
          </cell>
          <cell r="AX21">
            <v>61390.66</v>
          </cell>
          <cell r="AY21">
            <v>67502.55</v>
          </cell>
          <cell r="AZ21">
            <v>3487.4</v>
          </cell>
          <cell r="BA21">
            <v>3946.2000000000003</v>
          </cell>
          <cell r="BB21">
            <v>4474.3869999999997</v>
          </cell>
          <cell r="BC21">
            <v>4971.8050000000003</v>
          </cell>
          <cell r="BD21">
            <v>3487.4</v>
          </cell>
          <cell r="BE21">
            <v>3946.2000000000003</v>
          </cell>
          <cell r="BF21">
            <v>4474.3869999999997</v>
          </cell>
          <cell r="BG21">
            <v>4971.8050000000003</v>
          </cell>
          <cell r="BH21" t="e">
            <v>#N/A</v>
          </cell>
          <cell r="BI21">
            <v>2094.8420000000001</v>
          </cell>
          <cell r="BJ21">
            <v>2296.4960000000001</v>
          </cell>
          <cell r="BK21">
            <v>2589.1210000000001</v>
          </cell>
          <cell r="BL21" t="str">
            <v>NA</v>
          </cell>
          <cell r="BM21">
            <v>2094.8420000000001</v>
          </cell>
          <cell r="BN21">
            <v>2296.4960000000001</v>
          </cell>
          <cell r="BO21">
            <v>2589.1210000000001</v>
          </cell>
          <cell r="BP21">
            <v>255.3</v>
          </cell>
          <cell r="BQ21">
            <v>878.5</v>
          </cell>
          <cell r="BR21">
            <v>0</v>
          </cell>
          <cell r="BS21">
            <v>0</v>
          </cell>
          <cell r="BT21">
            <v>623.20000000000005</v>
          </cell>
          <cell r="BU21">
            <v>623.20000000000005</v>
          </cell>
        </row>
        <row r="22">
          <cell r="B22" t="str">
            <v>RAD</v>
          </cell>
          <cell r="D22" t="str">
            <v>Rite Aid Corporation</v>
          </cell>
          <cell r="F22">
            <v>1.96</v>
          </cell>
          <cell r="G22">
            <v>1562.7766000000001</v>
          </cell>
          <cell r="H22">
            <v>7783.4086000000007</v>
          </cell>
          <cell r="J22">
            <v>0.35322084832994716</v>
          </cell>
          <cell r="K22">
            <v>0.2939537977078624</v>
          </cell>
          <cell r="L22">
            <v>0.28079039266022215</v>
          </cell>
          <cell r="N22">
            <v>11.383745923098299</v>
          </cell>
          <cell r="O22" t="str">
            <v>NA</v>
          </cell>
          <cell r="P22">
            <v>7.3993807396140321</v>
          </cell>
          <cell r="R22" t="str">
            <v>NA</v>
          </cell>
          <cell r="S22" t="str">
            <v>NM</v>
          </cell>
          <cell r="T22" t="str">
            <v>NM</v>
          </cell>
          <cell r="V22" t="str">
            <v>NM</v>
          </cell>
          <cell r="W22" t="str">
            <v>NM</v>
          </cell>
          <cell r="X22" t="str">
            <v>NM</v>
          </cell>
          <cell r="Z22">
            <v>9.1999999999999998E-2</v>
          </cell>
          <cell r="AC22" t="str">
            <v>Rite Aid Corporation</v>
          </cell>
          <cell r="AE22">
            <v>0.20162029231881418</v>
          </cell>
          <cell r="AF22">
            <v>4.6879827058644796E-2</v>
          </cell>
          <cell r="AG22">
            <v>0.12158461286381717</v>
          </cell>
          <cell r="AI22">
            <v>3.1028525295284482E-2</v>
          </cell>
          <cell r="AJ22" t="str">
            <v xml:space="preserve">NA </v>
          </cell>
          <cell r="AK22">
            <v>3.7947823276204169E-2</v>
          </cell>
          <cell r="AO22">
            <v>1</v>
          </cell>
          <cell r="AP22">
            <v>6.51</v>
          </cell>
          <cell r="AQ22">
            <v>797.33500000000004</v>
          </cell>
          <cell r="AR22">
            <v>17637.21</v>
          </cell>
          <cell r="AS22">
            <v>22035.53</v>
          </cell>
          <cell r="AT22">
            <v>26478.34</v>
          </cell>
          <cell r="AU22">
            <v>27719.64</v>
          </cell>
          <cell r="AV22">
            <v>17637.21</v>
          </cell>
          <cell r="AW22">
            <v>22035.53</v>
          </cell>
          <cell r="AX22">
            <v>26478.34</v>
          </cell>
          <cell r="AY22">
            <v>27719.64</v>
          </cell>
          <cell r="AZ22">
            <v>633.18899999999996</v>
          </cell>
          <cell r="BA22">
            <v>683.73</v>
          </cell>
          <cell r="BB22" t="str">
            <v>NA</v>
          </cell>
          <cell r="BC22">
            <v>1051.9000000000001</v>
          </cell>
          <cell r="BD22">
            <v>633.18899999999996</v>
          </cell>
          <cell r="BE22">
            <v>683.73</v>
          </cell>
          <cell r="BF22" t="str">
            <v>NA</v>
          </cell>
          <cell r="BG22">
            <v>1051.9000000000001</v>
          </cell>
          <cell r="BH22" t="e">
            <v>#N/A</v>
          </cell>
          <cell r="BI22" t="e">
            <v>#N/A</v>
          </cell>
          <cell r="BJ22">
            <v>-447.95100000000002</v>
          </cell>
          <cell r="BK22">
            <v>-146.44750000000002</v>
          </cell>
          <cell r="BL22" t="str">
            <v>NA</v>
          </cell>
          <cell r="BM22" t="str">
            <v>NA</v>
          </cell>
          <cell r="BN22">
            <v>-447.95100000000002</v>
          </cell>
          <cell r="BO22">
            <v>-146.44750000000002</v>
          </cell>
          <cell r="BP22">
            <v>155.762</v>
          </cell>
          <cell r="BQ22">
            <v>5985.5240000000003</v>
          </cell>
          <cell r="BR22">
            <v>0</v>
          </cell>
          <cell r="BS22">
            <v>390.87</v>
          </cell>
          <cell r="BT22">
            <v>6220.6320000000005</v>
          </cell>
          <cell r="BU22">
            <v>6220.6320000000005</v>
          </cell>
        </row>
        <row r="23">
          <cell r="G23" t="str">
            <v>Median</v>
          </cell>
          <cell r="J23">
            <v>0.64482475027867847</v>
          </cell>
          <cell r="K23">
            <v>0.57855462052370832</v>
          </cell>
          <cell r="L23">
            <v>0.52617049281841943</v>
          </cell>
          <cell r="N23">
            <v>11.383745923098299</v>
          </cell>
          <cell r="O23">
            <v>8.7318000995471561</v>
          </cell>
          <cell r="P23">
            <v>7.3993807396140321</v>
          </cell>
          <cell r="R23">
            <v>19.901086027343901</v>
          </cell>
          <cell r="S23">
            <v>16.14472355400261</v>
          </cell>
          <cell r="T23">
            <v>14.174218137005065</v>
          </cell>
          <cell r="V23">
            <v>1.3273366943299862</v>
          </cell>
          <cell r="W23">
            <v>1.0836410125751286</v>
          </cell>
          <cell r="X23">
            <v>0.95193817616144993</v>
          </cell>
          <cell r="Z23">
            <v>0.14000000000000001</v>
          </cell>
          <cell r="AD23" t="str">
            <v>Median</v>
          </cell>
          <cell r="AE23">
            <v>0.14430462665155686</v>
          </cell>
          <cell r="AF23">
            <v>7.2402403365077417E-2</v>
          </cell>
          <cell r="AG23">
            <v>0.10777029740055188</v>
          </cell>
          <cell r="AI23">
            <v>7.1643059181502294E-2</v>
          </cell>
          <cell r="AJ23">
            <v>7.88506600294476E-2</v>
          </cell>
          <cell r="AK23">
            <v>7.3653587901494094E-2</v>
          </cell>
        </row>
        <row r="24">
          <cell r="G24" t="str">
            <v>Mean</v>
          </cell>
          <cell r="J24">
            <v>0.64085617189944954</v>
          </cell>
          <cell r="K24">
            <v>0.56014756096646734</v>
          </cell>
          <cell r="L24">
            <v>0.52011603493428882</v>
          </cell>
          <cell r="N24">
            <v>10.765449531943796</v>
          </cell>
          <cell r="O24">
            <v>8.7318000995471561</v>
          </cell>
          <cell r="P24">
            <v>7.6723102891086254</v>
          </cell>
          <cell r="R24">
            <v>19.901086027343901</v>
          </cell>
          <cell r="S24">
            <v>16.14472355400261</v>
          </cell>
          <cell r="T24">
            <v>14.174218137005065</v>
          </cell>
          <cell r="V24">
            <v>1.3273366943299862</v>
          </cell>
          <cell r="W24">
            <v>1.0836410125751286</v>
          </cell>
          <cell r="X24">
            <v>0.95193817616144993</v>
          </cell>
          <cell r="Z24">
            <v>0.13</v>
          </cell>
          <cell r="AD24" t="str">
            <v>Mean</v>
          </cell>
          <cell r="AE24">
            <v>0.15348973719969958</v>
          </cell>
          <cell r="AF24">
            <v>7.2946519074097951E-2</v>
          </cell>
          <cell r="AG24">
            <v>0.11212678616066696</v>
          </cell>
          <cell r="AI24">
            <v>6.009459299187906E-2</v>
          </cell>
          <cell r="AJ24">
            <v>7.88506600294476E-2</v>
          </cell>
          <cell r="AK24">
            <v>6.6836779633144147E-2</v>
          </cell>
        </row>
      </sheetData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Pont"/>
      <sheetName val="Annotations"/>
      <sheetName val="mwareTaxoPres"/>
      <sheetName val="mwareValPrintout"/>
      <sheetName val="Forecast"/>
      <sheetName val="Quarterly "/>
      <sheetName val="Comparison"/>
      <sheetName val="Output"/>
      <sheetName val="Monthly Metrics"/>
      <sheetName val="RIM"/>
      <sheetName val="__FDSCACHE__"/>
      <sheetName val="RESIDUAL INCOME"/>
      <sheetName val="fee schedule"/>
      <sheetName val="Retail Segment"/>
      <sheetName val="Institutional Segment"/>
      <sheetName val="Variance"/>
      <sheetName val="Changes"/>
      <sheetName val="mwareDates"/>
      <sheetName val="mwareSettings"/>
      <sheetName val="MainCode"/>
      <sheetName val="Quarterly_"/>
      <sheetName val="Monthly_Metrics"/>
      <sheetName val="RESIDUAL_INCOME"/>
      <sheetName val="fee_schedule"/>
      <sheetName val="Retail_Segment"/>
      <sheetName val="Institutional_Seg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>
        <row r="1">
          <cell r="A1" t="str">
            <v>Table XX</v>
          </cell>
        </row>
        <row r="2">
          <cell r="A2" t="str">
            <v>E*Trade Financial (ET)</v>
          </cell>
        </row>
        <row r="3">
          <cell r="A3" t="str">
            <v>2006A-2008E</v>
          </cell>
        </row>
        <row r="4">
          <cell r="A4" t="str">
            <v>($ Millions)</v>
          </cell>
        </row>
        <row r="6">
          <cell r="A6" t="str">
            <v>Income Statement</v>
          </cell>
          <cell r="B6" t="str">
            <v>2004A</v>
          </cell>
          <cell r="C6" t="str">
            <v>2005A</v>
          </cell>
          <cell r="D6" t="str">
            <v>1Q06A</v>
          </cell>
          <cell r="E6" t="str">
            <v>2Q06A</v>
          </cell>
          <cell r="F6" t="str">
            <v>3Q06A</v>
          </cell>
          <cell r="G6" t="str">
            <v>4Q06E</v>
          </cell>
          <cell r="H6" t="str">
            <v>2006E</v>
          </cell>
          <cell r="I6" t="str">
            <v>1Q07E</v>
          </cell>
          <cell r="J6" t="str">
            <v>2Q07E</v>
          </cell>
          <cell r="K6" t="str">
            <v>3Q07E</v>
          </cell>
          <cell r="L6" t="str">
            <v>4Q07E</v>
          </cell>
          <cell r="M6" t="str">
            <v>2007E</v>
          </cell>
          <cell r="N6" t="str">
            <v>2008E</v>
          </cell>
          <cell r="O6" t="str">
            <v>2009E</v>
          </cell>
          <cell r="P6" t="str">
            <v>2010E</v>
          </cell>
          <cell r="Q6" t="str">
            <v>2011E</v>
          </cell>
          <cell r="R6" t="str">
            <v>2012E</v>
          </cell>
          <cell r="S6" t="str">
            <v>2013E</v>
          </cell>
        </row>
        <row r="7">
          <cell r="A7" t="str">
            <v>REVENUE</v>
          </cell>
        </row>
        <row r="8">
          <cell r="A8" t="str">
            <v>Net Interest</v>
          </cell>
          <cell r="B8">
            <v>635.14200000000005</v>
          </cell>
          <cell r="C8">
            <v>871.10000000000014</v>
          </cell>
          <cell r="D8">
            <v>324.78899999999999</v>
          </cell>
          <cell r="E8">
            <v>344.60200000000003</v>
          </cell>
          <cell r="F8">
            <v>355.13599999999997</v>
          </cell>
          <cell r="G8">
            <v>378.50975976932682</v>
          </cell>
          <cell r="H8">
            <v>1403.0367597693269</v>
          </cell>
          <cell r="I8">
            <v>394.25274636508726</v>
          </cell>
          <cell r="J8">
            <v>415.12354437693267</v>
          </cell>
          <cell r="K8">
            <v>420.87555074973534</v>
          </cell>
          <cell r="L8">
            <v>434.60333913389957</v>
          </cell>
          <cell r="M8">
            <v>1664.8551806256551</v>
          </cell>
          <cell r="N8">
            <v>1871.843610869895</v>
          </cell>
          <cell r="O8">
            <v>2027.5026810360464</v>
          </cell>
          <cell r="P8">
            <v>2209.5583158256391</v>
          </cell>
          <cell r="Q8">
            <v>2377.7103754142195</v>
          </cell>
          <cell r="R8">
            <v>2553.2456868583845</v>
          </cell>
          <cell r="S8">
            <v>2756.2820695502101</v>
          </cell>
        </row>
        <row r="9">
          <cell r="A9" t="str">
            <v>Yr/Yr Change</v>
          </cell>
          <cell r="B9">
            <v>0.56168506256408257</v>
          </cell>
          <cell r="C9">
            <v>0.37150432501708286</v>
          </cell>
          <cell r="D9">
            <v>0.73008576146593485</v>
          </cell>
          <cell r="E9">
            <v>0.65587264366269582</v>
          </cell>
          <cell r="F9">
            <v>0.63647339099500955</v>
          </cell>
          <cell r="G9">
            <v>0.46568321833790316</v>
          </cell>
          <cell r="H9">
            <v>0.61064947740710207</v>
          </cell>
          <cell r="I9">
            <v>0.21387345742955355</v>
          </cell>
          <cell r="J9">
            <v>0.20464635834073119</v>
          </cell>
          <cell r="K9">
            <v>0.18511091736612273</v>
          </cell>
          <cell r="L9">
            <v>0.14819585999250728</v>
          </cell>
          <cell r="M9">
            <v>0.18660838287613624</v>
          </cell>
          <cell r="N9">
            <v>0.12432818941432089</v>
          </cell>
          <cell r="O9">
            <v>8.3158159828220057E-2</v>
          </cell>
          <cell r="P9">
            <v>8.9793042688635527E-2</v>
          </cell>
          <cell r="Q9">
            <v>7.6102114338515436E-2</v>
          </cell>
          <cell r="R9">
            <v>7.382535453401684E-2</v>
          </cell>
          <cell r="S9">
            <v>7.9520895202862318E-2</v>
          </cell>
        </row>
        <row r="10">
          <cell r="A10" t="str">
            <v>% Revenue</v>
          </cell>
          <cell r="B10">
            <v>0.42830438822810635</v>
          </cell>
          <cell r="C10">
            <v>0.51125542522940759</v>
          </cell>
          <cell r="D10">
            <v>0.54280862840917254</v>
          </cell>
          <cell r="E10">
            <v>0.56366646056811232</v>
          </cell>
          <cell r="F10">
            <v>0.61044474926344949</v>
          </cell>
          <cell r="G10">
            <v>0.59730157651841431</v>
          </cell>
          <cell r="H10">
            <v>0.57853068676177333</v>
          </cell>
          <cell r="I10">
            <v>0.58742415529735237</v>
          </cell>
          <cell r="J10">
            <v>0.61664647038044906</v>
          </cell>
          <cell r="K10">
            <v>0.64056183696632529</v>
          </cell>
          <cell r="L10">
            <v>0.62043141138520741</v>
          </cell>
          <cell r="M10">
            <v>0.61618455907520187</v>
          </cell>
          <cell r="N10">
            <v>0.63097501033977554</v>
          </cell>
          <cell r="O10">
            <v>0.63808458543864954</v>
          </cell>
          <cell r="P10">
            <v>0.64681314891942499</v>
          </cell>
          <cell r="Q10">
            <v>0.65757245976745571</v>
          </cell>
          <cell r="R10">
            <v>0.66809543670156468</v>
          </cell>
          <cell r="S10">
            <v>0.67956058339302272</v>
          </cell>
        </row>
        <row r="11">
          <cell r="A11" t="str">
            <v>Provision for Loan Losses</v>
          </cell>
          <cell r="B11">
            <v>38.523000000000003</v>
          </cell>
          <cell r="C11">
            <v>54.015999999999998</v>
          </cell>
          <cell r="D11">
            <v>10.196999999999999</v>
          </cell>
          <cell r="E11">
            <v>10.27</v>
          </cell>
          <cell r="F11">
            <v>12.547000000000001</v>
          </cell>
          <cell r="G11">
            <v>13.091512446254999</v>
          </cell>
          <cell r="H11">
            <v>46.105512446254991</v>
          </cell>
          <cell r="I11">
            <v>14.685756692152001</v>
          </cell>
          <cell r="J11">
            <v>15.288557316178842</v>
          </cell>
          <cell r="K11">
            <v>15.851134257379464</v>
          </cell>
          <cell r="L11">
            <v>16.367414706258891</v>
          </cell>
          <cell r="M11">
            <v>62.192862971969198</v>
          </cell>
          <cell r="N11">
            <v>75.957980597553416</v>
          </cell>
          <cell r="O11">
            <v>89.325134947327342</v>
          </cell>
          <cell r="P11">
            <v>103.46472019408023</v>
          </cell>
          <cell r="Q11">
            <v>113.86828967729856</v>
          </cell>
          <cell r="R11">
            <v>127.07925636849582</v>
          </cell>
          <cell r="S11">
            <v>140.71530407529679</v>
          </cell>
        </row>
        <row r="12">
          <cell r="A12" t="str">
            <v>Yr/Yr Change</v>
          </cell>
          <cell r="B12">
            <v>1.0545368694420576E-2</v>
          </cell>
          <cell r="C12">
            <v>0.40217532383251542</v>
          </cell>
          <cell r="D12">
            <v>-0.15307308970099665</v>
          </cell>
          <cell r="E12">
            <v>-0.20981765022697552</v>
          </cell>
          <cell r="F12">
            <v>-2.8042451003176039E-2</v>
          </cell>
          <cell r="G12">
            <v>-0.18534458952986943</v>
          </cell>
          <cell r="H12">
            <v>-0.14644711851571768</v>
          </cell>
          <cell r="I12">
            <v>0.44020365716897158</v>
          </cell>
          <cell r="J12">
            <v>0.48866186136113376</v>
          </cell>
          <cell r="K12">
            <v>0.26334058000952121</v>
          </cell>
          <cell r="L12">
            <v>0.25023100069243776</v>
          </cell>
          <cell r="M12">
            <v>0.34892466588387161</v>
          </cell>
          <cell r="N12">
            <v>0.22132953795338639</v>
          </cell>
          <cell r="O12">
            <v>0.17598090739927441</v>
          </cell>
          <cell r="P12">
            <v>0.15829346639208119</v>
          </cell>
          <cell r="Q12">
            <v>0.10055185442635128</v>
          </cell>
          <cell r="R12">
            <v>0.11601971653949472</v>
          </cell>
          <cell r="S12">
            <v>0.10730348993591909</v>
          </cell>
        </row>
        <row r="13">
          <cell r="A13" t="str">
            <v>% Revenue</v>
          </cell>
          <cell r="B13">
            <v>2.5977765519696921E-2</v>
          </cell>
          <cell r="C13">
            <v>3.1702414245427246E-2</v>
          </cell>
          <cell r="D13">
            <v>1.7041893610585123E-2</v>
          </cell>
          <cell r="E13">
            <v>1.6798667883629558E-2</v>
          </cell>
          <cell r="F13">
            <v>2.1567090548433566E-2</v>
          </cell>
          <cell r="G13">
            <v>2.065886234459053E-2</v>
          </cell>
          <cell r="H13">
            <v>1.9011229458749727E-2</v>
          </cell>
          <cell r="I13">
            <v>2.1881314205992215E-2</v>
          </cell>
          <cell r="J13">
            <v>2.2710431711072909E-2</v>
          </cell>
          <cell r="K13">
            <v>2.4125021422174459E-2</v>
          </cell>
          <cell r="L13">
            <v>2.336580806573723E-2</v>
          </cell>
          <cell r="M13">
            <v>2.3018387601500403E-2</v>
          </cell>
          <cell r="N13">
            <v>2.5604482828913533E-2</v>
          </cell>
          <cell r="O13">
            <v>2.8111919276472445E-2</v>
          </cell>
          <cell r="P13">
            <v>3.0287655678276851E-2</v>
          </cell>
          <cell r="Q13">
            <v>3.1491073137774481E-2</v>
          </cell>
          <cell r="R13">
            <v>3.3252213727886872E-2</v>
          </cell>
          <cell r="S13">
            <v>3.4693319376176902E-2</v>
          </cell>
        </row>
        <row r="14">
          <cell r="A14" t="str">
            <v>Net Interest Income After Provision</v>
          </cell>
          <cell r="B14">
            <v>596.61900000000003</v>
          </cell>
          <cell r="C14">
            <v>817.08400000000017</v>
          </cell>
          <cell r="D14">
            <v>314.59199999999998</v>
          </cell>
          <cell r="E14">
            <v>334.33200000000005</v>
          </cell>
          <cell r="F14">
            <v>342.58899999999994</v>
          </cell>
          <cell r="G14">
            <v>365.4182473230718</v>
          </cell>
          <cell r="H14">
            <v>1356.9312473230718</v>
          </cell>
          <cell r="I14">
            <v>379.56698967293528</v>
          </cell>
          <cell r="J14">
            <v>399.8349870607538</v>
          </cell>
          <cell r="K14">
            <v>405.0244164923559</v>
          </cell>
          <cell r="L14">
            <v>418.23592442764067</v>
          </cell>
          <cell r="M14">
            <v>1602.6623176536859</v>
          </cell>
          <cell r="N14">
            <v>1795.8856302723416</v>
          </cell>
          <cell r="O14">
            <v>1938.1775460887191</v>
          </cell>
          <cell r="P14">
            <v>2106.0935956315589</v>
          </cell>
          <cell r="Q14">
            <v>2263.842085736921</v>
          </cell>
          <cell r="R14">
            <v>2426.1664304898886</v>
          </cell>
          <cell r="S14">
            <v>2615.5667654749132</v>
          </cell>
        </row>
        <row r="15">
          <cell r="A15" t="str">
            <v>Yr/Yr Change</v>
          </cell>
          <cell r="B15">
            <v>0.62045466891194545</v>
          </cell>
          <cell r="C15">
            <v>0.36952393403495387</v>
          </cell>
          <cell r="D15">
            <v>0.79060845807957159</v>
          </cell>
          <cell r="E15">
            <v>0.71353889048341479</v>
          </cell>
          <cell r="F15">
            <v>0.67850213616587607</v>
          </cell>
          <cell r="G15">
            <v>0.50888291803166186</v>
          </cell>
          <cell r="H15">
            <v>0.66069981461278338</v>
          </cell>
          <cell r="I15">
            <v>0.2065373234949881</v>
          </cell>
          <cell r="J15">
            <v>0.19592197893337682</v>
          </cell>
          <cell r="K15">
            <v>0.18224582952854873</v>
          </cell>
          <cell r="L15">
            <v>0.14454033834241442</v>
          </cell>
          <cell r="M15">
            <v>0.18109323579613013</v>
          </cell>
          <cell r="N15">
            <v>0.12056395816527132</v>
          </cell>
          <cell r="O15">
            <v>7.9232170143707537E-2</v>
          </cell>
          <cell r="P15">
            <v>8.6636051419385129E-2</v>
          </cell>
          <cell r="Q15">
            <v>7.4900987511933304E-2</v>
          </cell>
          <cell r="R15">
            <v>7.1703033429616703E-2</v>
          </cell>
          <cell r="S15">
            <v>7.8065681152294619E-2</v>
          </cell>
        </row>
        <row r="16">
          <cell r="A16" t="str">
            <v>% Revenue</v>
          </cell>
          <cell r="B16">
            <v>0.40232662270840941</v>
          </cell>
          <cell r="C16">
            <v>0.4795530109839804</v>
          </cell>
          <cell r="D16">
            <v>0.52576673479858738</v>
          </cell>
          <cell r="E16">
            <v>0.54686779268448282</v>
          </cell>
          <cell r="F16">
            <v>0.58887765871501596</v>
          </cell>
          <cell r="G16">
            <v>0.57664271417382373</v>
          </cell>
          <cell r="H16">
            <v>0.55951945730302355</v>
          </cell>
          <cell r="I16">
            <v>0.56554284109136022</v>
          </cell>
          <cell r="J16">
            <v>0.59393603866937605</v>
          </cell>
          <cell r="K16">
            <v>0.61643681554415097</v>
          </cell>
          <cell r="L16">
            <v>0.59706560331947012</v>
          </cell>
          <cell r="M16">
            <v>0.59316617147370154</v>
          </cell>
          <cell r="N16">
            <v>0.60537052751086196</v>
          </cell>
          <cell r="O16">
            <v>0.60997266616217705</v>
          </cell>
          <cell r="P16">
            <v>0.61652549324114814</v>
          </cell>
          <cell r="Q16">
            <v>0.62608138662968127</v>
          </cell>
          <cell r="R16">
            <v>0.63484322297367779</v>
          </cell>
          <cell r="S16">
            <v>0.6448672640168458</v>
          </cell>
        </row>
        <row r="17">
          <cell r="A17" t="str">
            <v>Commissions</v>
          </cell>
          <cell r="B17">
            <v>431.63799999999998</v>
          </cell>
          <cell r="C17">
            <v>458.834</v>
          </cell>
          <cell r="D17">
            <v>175.869</v>
          </cell>
          <cell r="E17">
            <v>167.29599999999999</v>
          </cell>
          <cell r="F17">
            <v>133.60599999999999</v>
          </cell>
          <cell r="G17">
            <v>159.22122351252864</v>
          </cell>
          <cell r="H17">
            <v>635.99222351252865</v>
          </cell>
          <cell r="I17">
            <v>177.91067004681653</v>
          </cell>
          <cell r="J17">
            <v>162.3329271900937</v>
          </cell>
          <cell r="K17">
            <v>145.86944003449673</v>
          </cell>
          <cell r="L17">
            <v>170.17451168825281</v>
          </cell>
          <cell r="M17">
            <v>656.28754895965972</v>
          </cell>
          <cell r="N17">
            <v>707.37516040528874</v>
          </cell>
          <cell r="O17">
            <v>756.28161546089586</v>
          </cell>
          <cell r="P17">
            <v>808.257069483446</v>
          </cell>
          <cell r="Q17">
            <v>835.93987411325384</v>
          </cell>
          <cell r="R17">
            <v>864.57081480163265</v>
          </cell>
          <cell r="S17">
            <v>894.18236520858864</v>
          </cell>
        </row>
        <row r="18">
          <cell r="A18" t="str">
            <v>Yr/Yr Change</v>
          </cell>
          <cell r="B18">
            <v>2.1123278662152911E-2</v>
          </cell>
          <cell r="C18">
            <v>6.3006500817814892E-2</v>
          </cell>
          <cell r="D18">
            <v>0.60035124756583613</v>
          </cell>
          <cell r="E18">
            <v>0.690900453814977</v>
          </cell>
          <cell r="F18">
            <v>0.1691314163706048</v>
          </cell>
          <cell r="G18">
            <v>0.17313368782394001</v>
          </cell>
          <cell r="H18">
            <v>0.38610526576611282</v>
          </cell>
          <cell r="I18">
            <v>1.1609038811936978E-2</v>
          </cell>
          <cell r="J18">
            <v>-2.9666416470843893E-2</v>
          </cell>
          <cell r="K18">
            <v>9.178809360729856E-2</v>
          </cell>
          <cell r="L18">
            <v>6.8792890382872063E-2</v>
          </cell>
          <cell r="M18">
            <v>3.1911279252821334E-2</v>
          </cell>
          <cell r="N18">
            <v>7.7843334871448677E-2</v>
          </cell>
          <cell r="O18">
            <v>6.9137931034482847E-2</v>
          </cell>
          <cell r="P18">
            <v>6.8725000000000147E-2</v>
          </cell>
          <cell r="Q18">
            <v>3.424999999999967E-2</v>
          </cell>
          <cell r="R18">
            <v>3.4249999999999892E-2</v>
          </cell>
          <cell r="S18">
            <v>3.4250000000000114E-2</v>
          </cell>
        </row>
        <row r="19">
          <cell r="A19" t="str">
            <v>% Revenue</v>
          </cell>
          <cell r="B19">
            <v>0.29107262553256336</v>
          </cell>
          <cell r="C19">
            <v>0.26929327491643895</v>
          </cell>
          <cell r="D19">
            <v>0.29392378026870603</v>
          </cell>
          <cell r="E19">
            <v>0.27364653770785691</v>
          </cell>
          <cell r="F19">
            <v>0.229655909764407</v>
          </cell>
          <cell r="G19">
            <v>0.25125663305797541</v>
          </cell>
          <cell r="H19">
            <v>0.2622461708732019</v>
          </cell>
          <cell r="I19">
            <v>0.26508128613987986</v>
          </cell>
          <cell r="J19">
            <v>0.24113791649313185</v>
          </cell>
          <cell r="K19">
            <v>0.22200956149459872</v>
          </cell>
          <cell r="L19">
            <v>0.24293787682105655</v>
          </cell>
          <cell r="M19">
            <v>0.24290055897251131</v>
          </cell>
          <cell r="N19">
            <v>0.23844729685692242</v>
          </cell>
          <cell r="O19">
            <v>0.23801282513207112</v>
          </cell>
          <cell r="P19">
            <v>0.23660443650867133</v>
          </cell>
          <cell r="Q19">
            <v>0.23118502779910202</v>
          </cell>
          <cell r="R19">
            <v>0.22622805907293864</v>
          </cell>
          <cell r="S19">
            <v>0.22046041530867785</v>
          </cell>
        </row>
        <row r="20">
          <cell r="A20" t="str">
            <v>Service Charges and Fees</v>
          </cell>
          <cell r="B20">
            <v>97.575000000000003</v>
          </cell>
          <cell r="C20">
            <v>135.31400000000002</v>
          </cell>
          <cell r="D20">
            <v>31.99</v>
          </cell>
          <cell r="E20">
            <v>33.64</v>
          </cell>
          <cell r="F20">
            <v>33.909999999999997</v>
          </cell>
          <cell r="G20">
            <v>34.249099999999999</v>
          </cell>
          <cell r="H20">
            <v>133.78909999999999</v>
          </cell>
          <cell r="I20">
            <v>34.591591000000001</v>
          </cell>
          <cell r="J20">
            <v>34.937506910000003</v>
          </cell>
          <cell r="K20">
            <v>33.190631564500002</v>
          </cell>
          <cell r="L20">
            <v>34.850163142725002</v>
          </cell>
          <cell r="M20">
            <v>137.56989261722501</v>
          </cell>
          <cell r="N20">
            <v>142.38483885882786</v>
          </cell>
          <cell r="O20">
            <v>146.65638402459271</v>
          </cell>
          <cell r="P20">
            <v>150.32279362520751</v>
          </cell>
          <cell r="Q20">
            <v>153.32924949771166</v>
          </cell>
          <cell r="R20">
            <v>156.39583448766589</v>
          </cell>
          <cell r="S20">
            <v>159.52375117741923</v>
          </cell>
        </row>
        <row r="21">
          <cell r="A21" t="str">
            <v>Yr/Yr Change</v>
          </cell>
          <cell r="B21">
            <v>-0.11342201384724426</v>
          </cell>
          <cell r="C21">
            <v>0.38676915193440964</v>
          </cell>
          <cell r="D21">
            <v>-3.9137356201003226E-2</v>
          </cell>
          <cell r="E21">
            <v>-2.3597364525585696E-2</v>
          </cell>
          <cell r="F21">
            <v>3.0918432493235448E-2</v>
          </cell>
          <cell r="G21">
            <v>-1.2282624369141959E-2</v>
          </cell>
          <cell r="H21">
            <v>-1.1269343896418871E-2</v>
          </cell>
          <cell r="I21">
            <v>8.132513285401699E-2</v>
          </cell>
          <cell r="J21">
            <v>3.8570359988109537E-2</v>
          </cell>
          <cell r="K21">
            <v>-2.1214049999999873E-2</v>
          </cell>
          <cell r="L21">
            <v>1.7549750000000142E-2</v>
          </cell>
          <cell r="M21">
            <v>2.8259347115908717E-2</v>
          </cell>
          <cell r="N21">
            <v>3.499999999999992E-2</v>
          </cell>
          <cell r="O21">
            <v>3.0000000000000027E-2</v>
          </cell>
          <cell r="P21">
            <v>2.4999999999999911E-2</v>
          </cell>
          <cell r="Q21">
            <v>2.0000000000000018E-2</v>
          </cell>
          <cell r="R21">
            <v>2.0000000000000018E-2</v>
          </cell>
          <cell r="S21">
            <v>2.0000000000000018E-2</v>
          </cell>
        </row>
        <row r="22">
          <cell r="A22" t="str">
            <v>% Revenue</v>
          </cell>
          <cell r="B22">
            <v>6.5799145201163645E-2</v>
          </cell>
          <cell r="C22">
            <v>7.9416848363554199E-2</v>
          </cell>
          <cell r="D22">
            <v>5.3463781171189384E-2</v>
          </cell>
          <cell r="E22">
            <v>5.5025042610058257E-2</v>
          </cell>
          <cell r="F22">
            <v>5.8288040208606208E-2</v>
          </cell>
          <cell r="G22">
            <v>5.4046271982006087E-2</v>
          </cell>
          <cell r="H22">
            <v>5.5166836766960457E-2</v>
          </cell>
          <cell r="I22">
            <v>5.1540379390914277E-2</v>
          </cell>
          <cell r="J22">
            <v>5.1898020750135991E-2</v>
          </cell>
          <cell r="K22">
            <v>5.0515293385789507E-2</v>
          </cell>
          <cell r="L22">
            <v>4.9751426090594103E-2</v>
          </cell>
          <cell r="M22">
            <v>5.091640679071651E-2</v>
          </cell>
          <cell r="N22">
            <v>4.7996143828182618E-2</v>
          </cell>
          <cell r="O22">
            <v>4.6154897291896556E-2</v>
          </cell>
          <cell r="P22">
            <v>4.4004613411958493E-2</v>
          </cell>
          <cell r="Q22">
            <v>4.2404277993253699E-2</v>
          </cell>
          <cell r="R22">
            <v>4.0923340780772324E-2</v>
          </cell>
          <cell r="S22">
            <v>3.9330536817249941E-2</v>
          </cell>
        </row>
        <row r="23">
          <cell r="A23" t="str">
            <v>Principal Transactions</v>
          </cell>
          <cell r="B23">
            <v>126.893</v>
          </cell>
          <cell r="C23">
            <v>99.335999999999999</v>
          </cell>
          <cell r="D23">
            <v>30.692</v>
          </cell>
          <cell r="E23">
            <v>31.59</v>
          </cell>
          <cell r="F23">
            <v>22.696999999999999</v>
          </cell>
          <cell r="G23">
            <v>26.686411836868434</v>
          </cell>
          <cell r="H23">
            <v>111.66541183686843</v>
          </cell>
          <cell r="I23">
            <v>29.875398093489718</v>
          </cell>
          <cell r="J23">
            <v>26.921401687521879</v>
          </cell>
          <cell r="K23">
            <v>23.945012981275525</v>
          </cell>
          <cell r="L23">
            <v>27.873243035640694</v>
          </cell>
          <cell r="M23">
            <v>108.61505579792782</v>
          </cell>
          <cell r="N23">
            <v>118.58235223538581</v>
          </cell>
          <cell r="O23">
            <v>128.2259665490709</v>
          </cell>
          <cell r="P23">
            <v>137.30830311631905</v>
          </cell>
          <cell r="Q23">
            <v>142.57564574364179</v>
          </cell>
          <cell r="R23">
            <v>148.04792169782831</v>
          </cell>
          <cell r="S23">
            <v>153.73316331115143</v>
          </cell>
        </row>
        <row r="24">
          <cell r="A24" t="str">
            <v>Yr/Yr Change</v>
          </cell>
          <cell r="B24">
            <v>0.15296480037798244</v>
          </cell>
          <cell r="C24">
            <v>-0.21716721962598406</v>
          </cell>
          <cell r="D24">
            <v>2.3032565581147191E-2</v>
          </cell>
          <cell r="E24">
            <v>0.45221348779478698</v>
          </cell>
          <cell r="F24">
            <v>-4.6063968394065458E-2</v>
          </cell>
          <cell r="G24">
            <v>0.12179628554661526</v>
          </cell>
          <cell r="H24">
            <v>0.12411826363924883</v>
          </cell>
          <cell r="I24">
            <v>-2.6606343884734818E-2</v>
          </cell>
          <cell r="J24">
            <v>-0.14778722103444508</v>
          </cell>
          <cell r="K24">
            <v>5.4985812278077528E-2</v>
          </cell>
          <cell r="L24">
            <v>4.4473240015452387E-2</v>
          </cell>
          <cell r="M24">
            <v>-2.7316928212263836E-2</v>
          </cell>
          <cell r="N24">
            <v>9.1767171357915345E-2</v>
          </cell>
          <cell r="O24">
            <v>8.1324194805501238E-2</v>
          </cell>
          <cell r="P24">
            <v>7.0830712465500767E-2</v>
          </cell>
          <cell r="Q24">
            <v>3.8361428316979307E-2</v>
          </cell>
          <cell r="R24">
            <v>3.8381561771257511E-2</v>
          </cell>
          <cell r="S24">
            <v>3.8401360506275184E-2</v>
          </cell>
        </row>
        <row r="25">
          <cell r="A25" t="str">
            <v>% Revenue</v>
          </cell>
          <cell r="B25">
            <v>8.5569571427222726E-2</v>
          </cell>
          <cell r="C25">
            <v>5.8301077856260389E-2</v>
          </cell>
          <cell r="D25">
            <v>5.129447864039214E-2</v>
          </cell>
          <cell r="E25">
            <v>5.1671851844582055E-2</v>
          </cell>
          <cell r="F25">
            <v>3.9013967815238429E-2</v>
          </cell>
          <cell r="G25">
            <v>4.2112086809849548E-2</v>
          </cell>
          <cell r="H25">
            <v>4.6044315623021123E-2</v>
          </cell>
          <cell r="I25">
            <v>4.4513400733520961E-2</v>
          </cell>
          <cell r="J25">
            <v>3.9990474048445961E-2</v>
          </cell>
          <cell r="K25">
            <v>3.6443698081642495E-2</v>
          </cell>
          <cell r="L25">
            <v>3.9791308439895395E-2</v>
          </cell>
          <cell r="M25">
            <v>4.0199845034343089E-2</v>
          </cell>
          <cell r="N25">
            <v>3.997262404473282E-2</v>
          </cell>
          <cell r="O25">
            <v>4.0354576826564209E-2</v>
          </cell>
          <cell r="P25">
            <v>4.0194827751474302E-2</v>
          </cell>
          <cell r="Q25">
            <v>3.9430293547946145E-2</v>
          </cell>
          <cell r="R25">
            <v>3.8738982859566742E-2</v>
          </cell>
          <cell r="S25">
            <v>3.7902868977277508E-2</v>
          </cell>
        </row>
        <row r="26">
          <cell r="A26" t="str">
            <v>Gain on Sales of Loans and Securities</v>
          </cell>
          <cell r="B26">
            <v>140.71800000000002</v>
          </cell>
          <cell r="C26">
            <v>98.858000000000004</v>
          </cell>
          <cell r="D26">
            <v>11.628</v>
          </cell>
          <cell r="E26">
            <v>11.106999999999999</v>
          </cell>
          <cell r="F26">
            <v>16.003</v>
          </cell>
          <cell r="G26">
            <v>14.737</v>
          </cell>
          <cell r="H26">
            <v>53.475000000000001</v>
          </cell>
          <cell r="I26">
            <v>13.9536</v>
          </cell>
          <cell r="J26">
            <v>14.105889999999999</v>
          </cell>
          <cell r="K26">
            <v>14.402700000000001</v>
          </cell>
          <cell r="L26">
            <v>14.294890000000001</v>
          </cell>
          <cell r="M26">
            <v>56.757080000000002</v>
          </cell>
          <cell r="N26">
            <v>58.176006999999998</v>
          </cell>
          <cell r="O26">
            <v>59.630407174999995</v>
          </cell>
          <cell r="P26">
            <v>61.12116735437499</v>
          </cell>
          <cell r="Q26">
            <v>62.649196538234357</v>
          </cell>
          <cell r="R26">
            <v>64.215426451690206</v>
          </cell>
          <cell r="S26">
            <v>65.820812112982452</v>
          </cell>
        </row>
        <row r="27">
          <cell r="A27" t="str">
            <v>Yr/Yr Change</v>
          </cell>
          <cell r="B27">
            <v>-0.43179597341452181</v>
          </cell>
          <cell r="C27">
            <v>-0.29747438138688731</v>
          </cell>
          <cell r="D27">
            <v>-0.74168610463178941</v>
          </cell>
          <cell r="E27">
            <v>-0.35633982382939278</v>
          </cell>
          <cell r="F27">
            <v>-0.26759725400457668</v>
          </cell>
          <cell r="G27">
            <v>0</v>
          </cell>
          <cell r="H27">
            <v>-0.45907260919703008</v>
          </cell>
          <cell r="I27">
            <v>0.19999999999999996</v>
          </cell>
          <cell r="J27">
            <v>0.27</v>
          </cell>
          <cell r="K27">
            <v>-9.9999999999999978E-2</v>
          </cell>
          <cell r="L27">
            <v>-2.9999999999999916E-2</v>
          </cell>
          <cell r="M27">
            <v>6.1375970079476483E-2</v>
          </cell>
          <cell r="N27">
            <v>2.4999999999999911E-2</v>
          </cell>
          <cell r="O27">
            <v>2.4999999999999911E-2</v>
          </cell>
          <cell r="P27">
            <v>2.4999999999999911E-2</v>
          </cell>
          <cell r="Q27">
            <v>2.4999999999999911E-2</v>
          </cell>
          <cell r="R27">
            <v>2.4999999999999911E-2</v>
          </cell>
          <cell r="S27">
            <v>2.4999999999999911E-2</v>
          </cell>
        </row>
        <row r="28">
          <cell r="A28" t="str">
            <v>% Revenue</v>
          </cell>
          <cell r="B28">
            <v>9.4892381392952557E-2</v>
          </cell>
          <cell r="C28">
            <v>5.8020535905554782E-2</v>
          </cell>
          <cell r="D28">
            <v>1.9433474443844644E-2</v>
          </cell>
          <cell r="E28">
            <v>1.8167751137631302E-2</v>
          </cell>
          <cell r="F28">
            <v>2.7507623339968305E-2</v>
          </cell>
          <cell r="G28">
            <v>2.3255498982420669E-2</v>
          </cell>
          <cell r="H28">
            <v>2.2049977136502232E-2</v>
          </cell>
          <cell r="I28">
            <v>2.0790423830724103E-2</v>
          </cell>
          <cell r="J28">
            <v>2.0953635123563991E-2</v>
          </cell>
          <cell r="K28">
            <v>2.1920541482726402E-2</v>
          </cell>
          <cell r="L28">
            <v>2.0407111450111946E-2</v>
          </cell>
          <cell r="M28">
            <v>2.100653361396462E-2</v>
          </cell>
          <cell r="N28">
            <v>1.9610402495800844E-2</v>
          </cell>
          <cell r="O28">
            <v>1.876655651195229E-2</v>
          </cell>
          <cell r="P28">
            <v>1.7892252238358282E-2</v>
          </cell>
          <cell r="Q28">
            <v>1.7326074149348294E-2</v>
          </cell>
          <cell r="R28">
            <v>1.6802939724538439E-2</v>
          </cell>
          <cell r="S28">
            <v>1.6228103057028605E-2</v>
          </cell>
        </row>
        <row r="29">
          <cell r="A29" t="str">
            <v>Other Revenues</v>
          </cell>
          <cell r="B29">
            <v>89.076999999999998</v>
          </cell>
          <cell r="C29">
            <v>94.419000000000011</v>
          </cell>
          <cell r="D29">
            <v>33.578000000000003</v>
          </cell>
          <cell r="E29">
            <v>33.393000000000001</v>
          </cell>
          <cell r="F29">
            <v>32.960999999999999</v>
          </cell>
          <cell r="G29">
            <v>33.387599999999999</v>
          </cell>
          <cell r="H29">
            <v>133.31960000000001</v>
          </cell>
          <cell r="I29">
            <v>35.256900000000002</v>
          </cell>
          <cell r="J29">
            <v>35.062650000000005</v>
          </cell>
          <cell r="K29">
            <v>34.609050000000003</v>
          </cell>
          <cell r="L29">
            <v>35.056980000000003</v>
          </cell>
          <cell r="M29">
            <v>139.98558000000003</v>
          </cell>
          <cell r="N29">
            <v>144.18514740000003</v>
          </cell>
          <cell r="O29">
            <v>148.51070182200004</v>
          </cell>
          <cell r="P29">
            <v>152.96602287666005</v>
          </cell>
          <cell r="Q29">
            <v>157.55500356295985</v>
          </cell>
          <cell r="R29">
            <v>162.28165366984865</v>
          </cell>
          <cell r="S29">
            <v>167.15010327994412</v>
          </cell>
        </row>
        <row r="30">
          <cell r="A30" t="str">
            <v>Yr/Yr Change</v>
          </cell>
          <cell r="B30">
            <v>2.9625262963219878E-2</v>
          </cell>
          <cell r="C30">
            <v>5.9970587244743356E-2</v>
          </cell>
          <cell r="D30">
            <v>0.42860789652825049</v>
          </cell>
          <cell r="E30">
            <v>0.65524933082184988</v>
          </cell>
          <cell r="F30">
            <v>0.43821450388341043</v>
          </cell>
          <cell r="G30">
            <v>0.19999999999999996</v>
          </cell>
          <cell r="H30">
            <v>0.41199970344951753</v>
          </cell>
          <cell r="I30">
            <v>5.0000000000000044E-2</v>
          </cell>
          <cell r="J30">
            <v>5.0000000000000044E-2</v>
          </cell>
          <cell r="K30">
            <v>5.0000000000000044E-2</v>
          </cell>
          <cell r="L30">
            <v>5.0000000000000044E-2</v>
          </cell>
          <cell r="M30">
            <v>5.0000000000000044E-2</v>
          </cell>
          <cell r="N30">
            <v>3.0000000000000027E-2</v>
          </cell>
          <cell r="O30">
            <v>3.0000000000000027E-2</v>
          </cell>
          <cell r="P30">
            <v>3.0000000000000027E-2</v>
          </cell>
          <cell r="Q30">
            <v>3.0000000000000027E-2</v>
          </cell>
          <cell r="R30">
            <v>3.0000000000000027E-2</v>
          </cell>
          <cell r="S30">
            <v>3.0000000000000027E-2</v>
          </cell>
        </row>
        <row r="31">
          <cell r="A31" t="str">
            <v>% Revenue</v>
          </cell>
          <cell r="B31">
            <v>6.0068567328558066E-2</v>
          </cell>
          <cell r="C31">
            <v>5.5415251974211266E-2</v>
          </cell>
          <cell r="D31">
            <v>5.6117750677280316E-2</v>
          </cell>
          <cell r="E31">
            <v>5.4621024015388688E-2</v>
          </cell>
          <cell r="F31">
            <v>5.665680015676406E-2</v>
          </cell>
          <cell r="G31">
            <v>5.2686794993924702E-2</v>
          </cell>
          <cell r="H31">
            <v>5.4973242297290753E-2</v>
          </cell>
          <cell r="I31">
            <v>5.2531668813600559E-2</v>
          </cell>
          <cell r="J31">
            <v>5.2083914915346079E-2</v>
          </cell>
          <cell r="K31">
            <v>5.2674090011091822E-2</v>
          </cell>
          <cell r="L31">
            <v>5.0046673878871795E-2</v>
          </cell>
          <cell r="M31">
            <v>5.1810484114763015E-2</v>
          </cell>
          <cell r="N31">
            <v>4.8603005263499317E-2</v>
          </cell>
          <cell r="O31">
            <v>4.6738478075338749E-2</v>
          </cell>
          <cell r="P31">
            <v>4.4778376848389499E-2</v>
          </cell>
          <cell r="Q31">
            <v>4.3572939880668606E-2</v>
          </cell>
          <cell r="R31">
            <v>4.2463454588505922E-2</v>
          </cell>
          <cell r="S31">
            <v>4.1210811822920225E-2</v>
          </cell>
        </row>
        <row r="32">
          <cell r="A32" t="str">
            <v>Total Net Revenues</v>
          </cell>
          <cell r="B32">
            <v>1482.9220000000003</v>
          </cell>
          <cell r="C32">
            <v>1703.8450000000003</v>
          </cell>
          <cell r="D32">
            <v>598.34900000000005</v>
          </cell>
          <cell r="E32">
            <v>611.35800000000006</v>
          </cell>
          <cell r="F32">
            <v>581.76599999999996</v>
          </cell>
          <cell r="G32">
            <v>633.69958267246875</v>
          </cell>
          <cell r="H32">
            <v>2425.1725826724687</v>
          </cell>
          <cell r="I32">
            <v>671.15514881324157</v>
          </cell>
          <cell r="J32">
            <v>673.19536284836943</v>
          </cell>
          <cell r="K32">
            <v>657.04125107262826</v>
          </cell>
          <cell r="L32">
            <v>700.4857122942592</v>
          </cell>
          <cell r="M32">
            <v>2701.8774750284983</v>
          </cell>
          <cell r="N32">
            <v>2966.5891361718441</v>
          </cell>
          <cell r="O32">
            <v>3177.4826211202785</v>
          </cell>
          <cell r="P32">
            <v>3416.0689520875662</v>
          </cell>
          <cell r="Q32">
            <v>3615.8910551927224</v>
          </cell>
          <cell r="R32">
            <v>3821.6780815985549</v>
          </cell>
          <cell r="S32">
            <v>4055.9769605649994</v>
          </cell>
        </row>
        <row r="33">
          <cell r="A33" t="str">
            <v>Yr/Yr Change</v>
          </cell>
          <cell r="B33">
            <v>0.10441969858108546</v>
          </cell>
          <cell r="C33">
            <v>0.14897816608021186</v>
          </cell>
          <cell r="D33">
            <v>0.43352491752456279</v>
          </cell>
          <cell r="E33">
            <v>0.57693706520982135</v>
          </cell>
          <cell r="F33">
            <v>0.38569822502119866</v>
          </cell>
          <cell r="G33">
            <v>0.32317081520586477</v>
          </cell>
          <cell r="H33">
            <v>0.42335281828597582</v>
          </cell>
          <cell r="I33">
            <v>0.12167839975205363</v>
          </cell>
          <cell r="J33">
            <v>0.10114754832417239</v>
          </cell>
          <cell r="K33">
            <v>0.12939094253123806</v>
          </cell>
          <cell r="L33">
            <v>0.10539083731148557</v>
          </cell>
          <cell r="M33">
            <v>0.11409699018249198</v>
          </cell>
          <cell r="N33">
            <v>9.7973229204464163E-2</v>
          </cell>
          <cell r="O33">
            <v>7.1089549401025742E-2</v>
          </cell>
          <cell r="P33">
            <v>7.5086588792472986E-2</v>
          </cell>
          <cell r="Q33">
            <v>5.8494751103617126E-2</v>
          </cell>
          <cell r="R33">
            <v>5.6911843654776417E-2</v>
          </cell>
          <cell r="S33">
            <v>6.1307853242427157E-2</v>
          </cell>
        </row>
        <row r="35">
          <cell r="A35" t="str">
            <v>EXPENSE</v>
          </cell>
        </row>
        <row r="36">
          <cell r="A36" t="str">
            <v>Compensation and Benefits</v>
          </cell>
          <cell r="B36">
            <v>350.44</v>
          </cell>
          <cell r="C36">
            <v>380.803</v>
          </cell>
          <cell r="D36">
            <v>115.988</v>
          </cell>
          <cell r="E36">
            <v>125.64100000000001</v>
          </cell>
          <cell r="F36">
            <v>110.705</v>
          </cell>
          <cell r="G36">
            <v>116.16316416614789</v>
          </cell>
          <cell r="H36">
            <v>468.49716416614791</v>
          </cell>
          <cell r="I36">
            <v>118.41363433852324</v>
          </cell>
          <cell r="J36">
            <v>119.79581247556769</v>
          </cell>
          <cell r="K36">
            <v>120.85333959677232</v>
          </cell>
          <cell r="L36">
            <v>123.76382442725958</v>
          </cell>
          <cell r="M36">
            <v>482.82661083812286</v>
          </cell>
          <cell r="N36">
            <v>508.60534841481081</v>
          </cell>
          <cell r="O36">
            <v>529.5663378049411</v>
          </cell>
          <cell r="P36">
            <v>551.7856642446792</v>
          </cell>
          <cell r="Q36">
            <v>573.62230340091378</v>
          </cell>
          <cell r="R36">
            <v>596.21562137312549</v>
          </cell>
          <cell r="S36">
            <v>620.15118996309627</v>
          </cell>
        </row>
        <row r="37">
          <cell r="A37" t="str">
            <v>Yr/Yr Change</v>
          </cell>
          <cell r="B37">
            <v>-3.8831809280358121E-2</v>
          </cell>
          <cell r="C37">
            <v>8.6642506563177735E-2</v>
          </cell>
          <cell r="D37">
            <v>0.25446679645252002</v>
          </cell>
          <cell r="E37">
            <v>0.47938253579502654</v>
          </cell>
          <cell r="F37">
            <v>7.392999883590079E-2</v>
          </cell>
          <cell r="G37">
            <v>0.1577993258927739</v>
          </cell>
          <cell r="H37">
            <v>0.23028748241518038</v>
          </cell>
          <cell r="I37">
            <v>2.0912804242880556E-2</v>
          </cell>
          <cell r="J37">
            <v>-4.652293060730428E-2</v>
          </cell>
          <cell r="K37">
            <v>9.1670110625286183E-2</v>
          </cell>
          <cell r="L37">
            <v>6.5430898991701625E-2</v>
          </cell>
          <cell r="M37">
            <v>3.0585983796677096E-2</v>
          </cell>
          <cell r="N37">
            <v>5.3391294096113429E-2</v>
          </cell>
          <cell r="O37">
            <v>4.1212679841964306E-2</v>
          </cell>
          <cell r="P37">
            <v>4.1957588414394786E-2</v>
          </cell>
          <cell r="Q37">
            <v>3.9574495263710707E-2</v>
          </cell>
          <cell r="R37">
            <v>3.9387098162431133E-2</v>
          </cell>
          <cell r="S37">
            <v>4.0145825993028295E-2</v>
          </cell>
        </row>
        <row r="38">
          <cell r="A38" t="str">
            <v>% Revenue</v>
          </cell>
          <cell r="B38">
            <v>0.23631721695409463</v>
          </cell>
          <cell r="C38">
            <v>0.22349626873336478</v>
          </cell>
          <cell r="D38">
            <v>0.19384673493228866</v>
          </cell>
          <cell r="E38">
            <v>0.20551133705619293</v>
          </cell>
          <cell r="F38">
            <v>0.19029128549966826</v>
          </cell>
          <cell r="G38">
            <v>0.18330951659500697</v>
          </cell>
          <cell r="H38">
            <v>0.19318095854847486</v>
          </cell>
          <cell r="I38">
            <v>0.17643257978115207</v>
          </cell>
          <cell r="J38">
            <v>0.17795103633616458</v>
          </cell>
          <cell r="K38">
            <v>0.18393569566519255</v>
          </cell>
          <cell r="L38">
            <v>0.17668286769462191</v>
          </cell>
          <cell r="M38">
            <v>0.17870040936368892</v>
          </cell>
          <cell r="N38">
            <v>0.1714444855923416</v>
          </cell>
          <cell r="O38">
            <v>0.16666222949104062</v>
          </cell>
          <cell r="P38">
            <v>0.16152650077729899</v>
          </cell>
          <cell r="Q38">
            <v>0.15863926612975357</v>
          </cell>
          <cell r="R38">
            <v>0.15600885491740235</v>
          </cell>
          <cell r="S38">
            <v>0.15289810469650916</v>
          </cell>
        </row>
        <row r="39">
          <cell r="A39" t="str">
            <v>Clearing and Servicing</v>
          </cell>
          <cell r="B39">
            <v>162.35399999999998</v>
          </cell>
          <cell r="C39">
            <v>189.73599999999999</v>
          </cell>
          <cell r="D39">
            <v>63.287999999999997</v>
          </cell>
          <cell r="E39">
            <v>64.138000000000005</v>
          </cell>
          <cell r="F39">
            <v>62.5</v>
          </cell>
          <cell r="G39">
            <v>71.525604755821746</v>
          </cell>
          <cell r="H39">
            <v>261.45160475582173</v>
          </cell>
          <cell r="I39">
            <v>72.912980301292961</v>
          </cell>
          <cell r="J39">
            <v>69.134419175518303</v>
          </cell>
          <cell r="K39">
            <v>65.145305075720358</v>
          </cell>
          <cell r="L39">
            <v>73.446889006542534</v>
          </cell>
          <cell r="M39">
            <v>280.63959355907417</v>
          </cell>
          <cell r="N39">
            <v>307.94820423590431</v>
          </cell>
          <cell r="O39">
            <v>336.0085012854463</v>
          </cell>
          <cell r="P39">
            <v>364.24602207138662</v>
          </cell>
          <cell r="Q39">
            <v>384.61118982642472</v>
          </cell>
          <cell r="R39">
            <v>404.80976497609169</v>
          </cell>
          <cell r="S39">
            <v>425.68272286410013</v>
          </cell>
        </row>
        <row r="40">
          <cell r="A40" t="str">
            <v>Yr/Yr Change</v>
          </cell>
          <cell r="B40">
            <v>-5.4788448871290196E-4</v>
          </cell>
          <cell r="C40">
            <v>0.16865614644542171</v>
          </cell>
          <cell r="D40">
            <v>0.47253309755927297</v>
          </cell>
          <cell r="E40">
            <v>0.49816635911331208</v>
          </cell>
          <cell r="F40">
            <v>0.33177072235243976</v>
          </cell>
          <cell r="G40">
            <v>0.25448303556583673</v>
          </cell>
          <cell r="H40">
            <v>0.37797573868860801</v>
          </cell>
          <cell r="I40">
            <v>0.15208223203913795</v>
          </cell>
          <cell r="J40">
            <v>7.790107542359137E-2</v>
          </cell>
          <cell r="K40">
            <v>4.2324881211525778E-2</v>
          </cell>
          <cell r="L40">
            <v>2.6861489074853306E-2</v>
          </cell>
          <cell r="M40">
            <v>7.3390212391974963E-2</v>
          </cell>
          <cell r="N40">
            <v>9.7308474297949532E-2</v>
          </cell>
          <cell r="O40">
            <v>9.1120184055518472E-2</v>
          </cell>
          <cell r="P40">
            <v>8.4038114148641485E-2</v>
          </cell>
          <cell r="Q40">
            <v>5.5910474023095347E-2</v>
          </cell>
          <cell r="R40">
            <v>5.2516868161798902E-2</v>
          </cell>
          <cell r="S40">
            <v>5.1562387308619506E-2</v>
          </cell>
        </row>
        <row r="41">
          <cell r="A41" t="str">
            <v>% Revenue</v>
          </cell>
          <cell r="B41">
            <v>0.10948249469628205</v>
          </cell>
          <cell r="C41">
            <v>0.11135754719472719</v>
          </cell>
          <cell r="D41">
            <v>0.10577104666340212</v>
          </cell>
          <cell r="E41">
            <v>0.10491070698346959</v>
          </cell>
          <cell r="F41">
            <v>0.10743151026357677</v>
          </cell>
          <cell r="G41">
            <v>0.11286989405008045</v>
          </cell>
          <cell r="H41">
            <v>0.1078074222939259</v>
          </cell>
          <cell r="I41">
            <v>0.1086380405934754</v>
          </cell>
          <cell r="J41">
            <v>0.10269592304231327</v>
          </cell>
          <cell r="K41">
            <v>9.914949018706179E-2</v>
          </cell>
          <cell r="L41">
            <v>0.10485137343627796</v>
          </cell>
          <cell r="M41">
            <v>0.10386836418483932</v>
          </cell>
          <cell r="N41">
            <v>0.10380547831213589</v>
          </cell>
          <cell r="O41">
            <v>0.10574676287827516</v>
          </cell>
          <cell r="P41">
            <v>0.10662724528695335</v>
          </cell>
          <cell r="Q41">
            <v>0.10636691868082995</v>
          </cell>
          <cell r="R41">
            <v>0.10592461121339801</v>
          </cell>
          <cell r="S41">
            <v>0.10495195781506667</v>
          </cell>
        </row>
        <row r="42">
          <cell r="A42" t="str">
            <v>Advertising and Market Development</v>
          </cell>
          <cell r="B42">
            <v>62.155000000000001</v>
          </cell>
          <cell r="C42">
            <v>105.935</v>
          </cell>
          <cell r="D42">
            <v>34.780999999999999</v>
          </cell>
          <cell r="E42">
            <v>30.42</v>
          </cell>
          <cell r="F42">
            <v>23.914000000000001</v>
          </cell>
          <cell r="G42">
            <v>33.267150000000001</v>
          </cell>
          <cell r="H42">
            <v>122.38215</v>
          </cell>
          <cell r="I42">
            <v>37.563479999999998</v>
          </cell>
          <cell r="J42">
            <v>33.462000000000003</v>
          </cell>
          <cell r="K42">
            <v>26.783680000000004</v>
          </cell>
          <cell r="L42">
            <v>36.593865000000001</v>
          </cell>
          <cell r="M42">
            <v>134.40302500000001</v>
          </cell>
          <cell r="N42">
            <v>142.46720650000003</v>
          </cell>
          <cell r="O42">
            <v>148.16589476000004</v>
          </cell>
          <cell r="P42">
            <v>153.35170107660002</v>
          </cell>
          <cell r="Q42">
            <v>157.95225210889802</v>
          </cell>
          <cell r="R42">
            <v>162.69081967216496</v>
          </cell>
          <cell r="S42">
            <v>167.57154426232992</v>
          </cell>
        </row>
        <row r="43">
          <cell r="A43" t="str">
            <v>Yr/Yr Change</v>
          </cell>
          <cell r="B43">
            <v>7.3729852989445011E-2</v>
          </cell>
          <cell r="C43">
            <v>0.70436811197811933</v>
          </cell>
          <cell r="D43">
            <v>0.30844180272364752</v>
          </cell>
          <cell r="E43">
            <v>0.14870478060569448</v>
          </cell>
          <cell r="F43">
            <v>0.12865773079101395</v>
          </cell>
          <cell r="G43">
            <v>5.0000000000000044E-2</v>
          </cell>
          <cell r="H43">
            <v>0.15525699721527353</v>
          </cell>
          <cell r="I43">
            <v>8.0000000000000071E-2</v>
          </cell>
          <cell r="J43">
            <v>0.10000000000000009</v>
          </cell>
          <cell r="K43">
            <v>0.12000000000000011</v>
          </cell>
          <cell r="L43">
            <v>0.10000000000000009</v>
          </cell>
          <cell r="M43">
            <v>9.822408741797739E-2</v>
          </cell>
          <cell r="N43">
            <v>6.0000000000000053E-2</v>
          </cell>
          <cell r="O43">
            <v>4.0000000000000036E-2</v>
          </cell>
          <cell r="P43">
            <v>3.499999999999992E-2</v>
          </cell>
          <cell r="Q43">
            <v>3.0000000000000027E-2</v>
          </cell>
          <cell r="R43">
            <v>3.0000000000000027E-2</v>
          </cell>
          <cell r="S43">
            <v>3.0000000000000027E-2</v>
          </cell>
        </row>
        <row r="44">
          <cell r="A44" t="str">
            <v>% Revenue</v>
          </cell>
          <cell r="B44">
            <v>4.1913870048458375E-2</v>
          </cell>
          <cell r="C44">
            <v>6.2174082736399135E-2</v>
          </cell>
          <cell r="D44">
            <v>5.812828299203307E-2</v>
          </cell>
          <cell r="E44">
            <v>4.9758079554041983E-2</v>
          </cell>
          <cell r="F44">
            <v>4.11058741830908E-2</v>
          </cell>
          <cell r="G44">
            <v>5.2496720701162777E-2</v>
          </cell>
          <cell r="H44">
            <v>5.0463274603384504E-2</v>
          </cell>
          <cell r="I44">
            <v>5.5968400252044505E-2</v>
          </cell>
          <cell r="J44">
            <v>4.9706224740494812E-2</v>
          </cell>
          <cell r="K44">
            <v>4.0764076770332613E-2</v>
          </cell>
          <cell r="L44">
            <v>5.2240701498602007E-2</v>
          </cell>
          <cell r="M44">
            <v>4.9744307890416971E-2</v>
          </cell>
          <cell r="N44">
            <v>4.8023908927221061E-2</v>
          </cell>
          <cell r="O44">
            <v>4.6629962277421208E-2</v>
          </cell>
          <cell r="P44">
            <v>4.4891278023790039E-2</v>
          </cell>
          <cell r="Q44">
            <v>4.3682801748704612E-2</v>
          </cell>
          <cell r="R44">
            <v>4.2570519075252319E-2</v>
          </cell>
          <cell r="S44">
            <v>4.1314717980791275E-2</v>
          </cell>
        </row>
        <row r="45">
          <cell r="A45" t="str">
            <v>Communications</v>
          </cell>
          <cell r="B45">
            <v>69.674000000000007</v>
          </cell>
          <cell r="C45">
            <v>82.484999999999999</v>
          </cell>
          <cell r="D45">
            <v>31.408000000000001</v>
          </cell>
          <cell r="E45">
            <v>27.834</v>
          </cell>
          <cell r="F45">
            <v>25.576000000000001</v>
          </cell>
          <cell r="G45">
            <v>25.000000000000004</v>
          </cell>
          <cell r="H45">
            <v>109.81800000000001</v>
          </cell>
          <cell r="I45">
            <v>24.999999999999993</v>
          </cell>
          <cell r="J45">
            <v>25.000000000000004</v>
          </cell>
          <cell r="K45">
            <v>25</v>
          </cell>
          <cell r="L45">
            <v>25.000000000000004</v>
          </cell>
          <cell r="M45">
            <v>100</v>
          </cell>
          <cell r="N45">
            <v>103</v>
          </cell>
          <cell r="O45">
            <v>106.09</v>
          </cell>
          <cell r="P45">
            <v>109.2727</v>
          </cell>
          <cell r="Q45">
            <v>112.550881</v>
          </cell>
          <cell r="R45">
            <v>115.92740743</v>
          </cell>
          <cell r="S45">
            <v>119.4052296529</v>
          </cell>
        </row>
        <row r="46">
          <cell r="A46" t="str">
            <v>Yr/Yr Change</v>
          </cell>
          <cell r="B46">
            <v>-5.3985064494229462E-2</v>
          </cell>
          <cell r="C46">
            <v>0.18387059735338851</v>
          </cell>
          <cell r="D46">
            <v>0.84340885080408512</v>
          </cell>
          <cell r="E46">
            <v>0.43459437171425619</v>
          </cell>
          <cell r="F46">
            <v>0.40450302031850627</v>
          </cell>
          <cell r="G46">
            <v>-0.10185018861146033</v>
          </cell>
          <cell r="H46">
            <v>0.33136933987997841</v>
          </cell>
          <cell r="I46">
            <v>-0.20402445236882349</v>
          </cell>
          <cell r="J46">
            <v>-0.10181792052884941</v>
          </cell>
          <cell r="K46">
            <v>-2.252111354394748E-2</v>
          </cell>
          <cell r="L46">
            <v>0</v>
          </cell>
          <cell r="M46">
            <v>-8.9402465898122396E-2</v>
          </cell>
          <cell r="N46">
            <v>3.0000000000000027E-2</v>
          </cell>
          <cell r="O46">
            <v>3.0000000000000027E-2</v>
          </cell>
          <cell r="P46">
            <v>3.0000000000000027E-2</v>
          </cell>
          <cell r="Q46">
            <v>3.0000000000000027E-2</v>
          </cell>
          <cell r="R46">
            <v>3.0000000000000027E-2</v>
          </cell>
          <cell r="S46">
            <v>3.0000000000000027E-2</v>
          </cell>
        </row>
        <row r="47">
          <cell r="A47" t="str">
            <v>% Revenue</v>
          </cell>
          <cell r="B47">
            <v>4.6984264850073031E-2</v>
          </cell>
          <cell r="C47">
            <v>4.8411093732117647E-2</v>
          </cell>
          <cell r="D47">
            <v>5.249110468973793E-2</v>
          </cell>
          <cell r="E47">
            <v>4.5528152081104681E-2</v>
          </cell>
          <cell r="F47">
            <v>4.3962692904019836E-2</v>
          </cell>
          <cell r="G47">
            <v>3.9450870228711188E-2</v>
          </cell>
          <cell r="H47">
            <v>4.5282550522232859E-2</v>
          </cell>
          <cell r="I47">
            <v>3.7249211369689721E-2</v>
          </cell>
          <cell r="J47">
            <v>3.7136322351095881E-2</v>
          </cell>
          <cell r="K47">
            <v>3.8049361374475621E-2</v>
          </cell>
          <cell r="L47">
            <v>3.5689521657935021E-2</v>
          </cell>
          <cell r="M47">
            <v>3.7011300817386343E-2</v>
          </cell>
          <cell r="N47">
            <v>3.4720008491945606E-2</v>
          </cell>
          <cell r="O47">
            <v>3.3388066167485776E-2</v>
          </cell>
          <cell r="P47">
            <v>3.1987849640219716E-2</v>
          </cell>
          <cell r="Q47">
            <v>3.1126734539849453E-2</v>
          </cell>
          <cell r="R47">
            <v>3.0334163410621225E-2</v>
          </cell>
          <cell r="S47">
            <v>2.9439326409848934E-2</v>
          </cell>
        </row>
        <row r="48">
          <cell r="A48" t="str">
            <v>Professional Services</v>
          </cell>
          <cell r="B48">
            <v>69.013999999999996</v>
          </cell>
          <cell r="C48">
            <v>77.416000000000011</v>
          </cell>
          <cell r="D48">
            <v>27.754999999999999</v>
          </cell>
          <cell r="E48">
            <v>23.219000000000001</v>
          </cell>
          <cell r="F48">
            <v>20.741</v>
          </cell>
          <cell r="G48">
            <v>23.999999999999996</v>
          </cell>
          <cell r="H48">
            <v>95.715000000000003</v>
          </cell>
          <cell r="I48">
            <v>22</v>
          </cell>
          <cell r="J48">
            <v>22</v>
          </cell>
          <cell r="K48">
            <v>22</v>
          </cell>
          <cell r="L48">
            <v>22</v>
          </cell>
          <cell r="M48">
            <v>88</v>
          </cell>
          <cell r="N48">
            <v>90.64</v>
          </cell>
          <cell r="O48">
            <v>93.359200000000001</v>
          </cell>
          <cell r="P48">
            <v>96.159976</v>
          </cell>
          <cell r="Q48">
            <v>99.044775279999996</v>
          </cell>
          <cell r="R48">
            <v>102.01611853839999</v>
          </cell>
          <cell r="S48">
            <v>105.076602094552</v>
          </cell>
        </row>
        <row r="49">
          <cell r="A49" t="str">
            <v>Yr/Yr Change</v>
          </cell>
          <cell r="B49">
            <v>0.23867470744489894</v>
          </cell>
          <cell r="C49">
            <v>0.12174341437969138</v>
          </cell>
          <cell r="D49">
            <v>0.40874022941833288</v>
          </cell>
          <cell r="E49">
            <v>0.38513392590825024</v>
          </cell>
          <cell r="F49">
            <v>0.24175297850685507</v>
          </cell>
          <cell r="G49">
            <v>-1.0227647641042781E-2</v>
          </cell>
          <cell r="H49">
            <v>0.23637232613413239</v>
          </cell>
          <cell r="I49">
            <v>-0.2073500270221581</v>
          </cell>
          <cell r="J49">
            <v>-5.2500107670442331E-2</v>
          </cell>
          <cell r="K49">
            <v>6.0701026951448744E-2</v>
          </cell>
          <cell r="L49">
            <v>-8.3333333333333148E-2</v>
          </cell>
          <cell r="M49">
            <v>-8.0603876090476922E-2</v>
          </cell>
          <cell r="N49">
            <v>3.0000000000000027E-2</v>
          </cell>
          <cell r="O49">
            <v>3.0000000000000027E-2</v>
          </cell>
          <cell r="P49">
            <v>3.0000000000000027E-2</v>
          </cell>
          <cell r="Q49">
            <v>3.0000000000000027E-2</v>
          </cell>
          <cell r="R49">
            <v>3.0000000000000027E-2</v>
          </cell>
          <cell r="S49">
            <v>3.0000000000000027E-2</v>
          </cell>
        </row>
        <row r="50">
          <cell r="A50" t="str">
            <v>% Revenue</v>
          </cell>
          <cell r="B50">
            <v>4.6539197611202739E-2</v>
          </cell>
          <cell r="C50">
            <v>4.5436057857375527E-2</v>
          </cell>
          <cell r="D50">
            <v>4.6385972066469564E-2</v>
          </cell>
          <cell r="E50">
            <v>3.797938360175216E-2</v>
          </cell>
          <cell r="F50">
            <v>3.5651791270029536E-2</v>
          </cell>
          <cell r="G50">
            <v>3.7872835419562732E-2</v>
          </cell>
          <cell r="H50">
            <v>3.9467294279949716E-2</v>
          </cell>
          <cell r="I50">
            <v>3.2779306005326962E-2</v>
          </cell>
          <cell r="J50">
            <v>3.2679963668964369E-2</v>
          </cell>
          <cell r="K50">
            <v>3.3483438009538548E-2</v>
          </cell>
          <cell r="L50">
            <v>3.1406779058982814E-2</v>
          </cell>
          <cell r="M50">
            <v>3.2569944719299977E-2</v>
          </cell>
          <cell r="N50">
            <v>3.0553607472912133E-2</v>
          </cell>
          <cell r="O50">
            <v>2.9381498227387486E-2</v>
          </cell>
          <cell r="P50">
            <v>2.8149307683393351E-2</v>
          </cell>
          <cell r="Q50">
            <v>2.7391526395067516E-2</v>
          </cell>
          <cell r="R50">
            <v>2.6694063801346677E-2</v>
          </cell>
          <cell r="S50">
            <v>2.5906607240667064E-2</v>
          </cell>
        </row>
        <row r="51">
          <cell r="A51" t="str">
            <v>Depreciation and Amortization</v>
          </cell>
          <cell r="B51">
            <v>77.891999999999996</v>
          </cell>
          <cell r="C51">
            <v>74.980999999999995</v>
          </cell>
          <cell r="D51">
            <v>18.789000000000001</v>
          </cell>
          <cell r="E51">
            <v>18.827000000000002</v>
          </cell>
          <cell r="F51">
            <v>18.565000000000001</v>
          </cell>
          <cell r="G51">
            <v>18.853770000000001</v>
          </cell>
          <cell r="H51">
            <v>75.034769999999995</v>
          </cell>
          <cell r="I51">
            <v>18.22533</v>
          </cell>
          <cell r="J51">
            <v>18.26219</v>
          </cell>
          <cell r="K51">
            <v>18.008050000000001</v>
          </cell>
          <cell r="L51">
            <v>18.288156900000001</v>
          </cell>
          <cell r="M51">
            <v>72.783726900000005</v>
          </cell>
          <cell r="N51">
            <v>74.967238707000007</v>
          </cell>
          <cell r="O51">
            <v>77.216255868210013</v>
          </cell>
          <cell r="P51">
            <v>79.53274354425632</v>
          </cell>
          <cell r="Q51">
            <v>81.918725850584011</v>
          </cell>
          <cell r="R51">
            <v>84.376287626101529</v>
          </cell>
          <cell r="S51">
            <v>86.907576254884574</v>
          </cell>
        </row>
        <row r="52">
          <cell r="A52" t="str">
            <v>Yr/Yr Change</v>
          </cell>
          <cell r="B52">
            <v>-9.0206155463411819E-2</v>
          </cell>
          <cell r="C52">
            <v>-3.7372259025317156E-2</v>
          </cell>
          <cell r="D52">
            <v>0.1003162333099088</v>
          </cell>
          <cell r="E52">
            <v>5.8231690180428286E-2</v>
          </cell>
          <cell r="F52">
            <v>6.6149758716043117E-3</v>
          </cell>
          <cell r="G52">
            <v>-0.12999999999999989</v>
          </cell>
          <cell r="H52">
            <v>7.1711500246718352E-4</v>
          </cell>
          <cell r="I52">
            <v>-3.0000000000000138E-2</v>
          </cell>
          <cell r="J52">
            <v>-3.0000000000000027E-2</v>
          </cell>
          <cell r="K52">
            <v>-3.0000000000000027E-2</v>
          </cell>
          <cell r="L52">
            <v>-3.0000000000000027E-2</v>
          </cell>
          <cell r="M52">
            <v>-2.9999999999999916E-2</v>
          </cell>
          <cell r="N52">
            <v>3.0000000000000027E-2</v>
          </cell>
          <cell r="O52">
            <v>3.0000000000000027E-2</v>
          </cell>
          <cell r="P52">
            <v>3.0000000000000027E-2</v>
          </cell>
          <cell r="Q52">
            <v>3.0000000000000027E-2</v>
          </cell>
          <cell r="R52">
            <v>3.0000000000000027E-2</v>
          </cell>
          <cell r="S52">
            <v>3.0000000000000027E-2</v>
          </cell>
        </row>
        <row r="53">
          <cell r="A53" t="str">
            <v>% Revenue</v>
          </cell>
          <cell r="B53">
            <v>5.2526026318309382E-2</v>
          </cell>
          <cell r="C53">
            <v>4.4006937250747565E-2</v>
          </cell>
          <cell r="D53">
            <v>3.1401406202734523E-2</v>
          </cell>
          <cell r="E53">
            <v>3.0795376849570955E-2</v>
          </cell>
          <cell r="F53">
            <v>3.1911455808692847E-2</v>
          </cell>
          <cell r="G53">
            <v>2.9751905343678723E-2</v>
          </cell>
          <cell r="H53">
            <v>3.0939971256525541E-2</v>
          </cell>
          <cell r="I53">
            <v>2.7155166778093893E-2</v>
          </cell>
          <cell r="J53">
            <v>2.7127622987078385E-2</v>
          </cell>
          <cell r="K53">
            <v>2.7407792083985028E-2</v>
          </cell>
          <cell r="L53">
            <v>2.6107822870650547E-2</v>
          </cell>
          <cell r="M53">
            <v>2.6938204109063942E-2</v>
          </cell>
          <cell r="N53">
            <v>2.5270516160434499E-2</v>
          </cell>
          <cell r="O53">
            <v>2.4301078896534149E-2</v>
          </cell>
          <cell r="P53">
            <v>2.3281949123320156E-2</v>
          </cell>
          <cell r="Q53">
            <v>2.2655197460372003E-2</v>
          </cell>
          <cell r="R53">
            <v>2.2078334654186283E-2</v>
          </cell>
          <cell r="S53">
            <v>2.1427038935344027E-2</v>
          </cell>
        </row>
        <row r="54">
          <cell r="A54" t="str">
            <v>Occupancy and Equipment</v>
          </cell>
          <cell r="B54">
            <v>69.572000000000003</v>
          </cell>
          <cell r="C54">
            <v>69.088999999999999</v>
          </cell>
          <cell r="D54">
            <v>20.504000000000001</v>
          </cell>
          <cell r="E54">
            <v>20.428000000000001</v>
          </cell>
          <cell r="F54">
            <v>22.15</v>
          </cell>
          <cell r="G54">
            <v>20.441760000000002</v>
          </cell>
          <cell r="H54">
            <v>83.52376000000001</v>
          </cell>
          <cell r="I54">
            <v>22.144320000000004</v>
          </cell>
          <cell r="J54">
            <v>22.470800000000004</v>
          </cell>
          <cell r="K54">
            <v>24.808</v>
          </cell>
          <cell r="L54">
            <v>23.303606400000007</v>
          </cell>
          <cell r="M54">
            <v>92.726726400000018</v>
          </cell>
          <cell r="N54">
            <v>97.363062720000016</v>
          </cell>
          <cell r="O54">
            <v>100.28395460160002</v>
          </cell>
          <cell r="P54">
            <v>103.29247323964802</v>
          </cell>
          <cell r="Q54">
            <v>106.39124743683746</v>
          </cell>
          <cell r="R54">
            <v>109.58298485994258</v>
          </cell>
          <cell r="S54">
            <v>112.87047440574086</v>
          </cell>
        </row>
        <row r="55">
          <cell r="A55" t="str">
            <v>Yr/Yr Change</v>
          </cell>
          <cell r="B55">
            <v>-0.11238693050611748</v>
          </cell>
          <cell r="C55">
            <v>-6.9424481113091741E-3</v>
          </cell>
          <cell r="D55">
            <v>0.17487966995186799</v>
          </cell>
          <cell r="E55">
            <v>0.20362950742399244</v>
          </cell>
          <cell r="F55">
            <v>0.36316080989599353</v>
          </cell>
          <cell r="G55">
            <v>0.1100000000000001</v>
          </cell>
          <cell r="H55">
            <v>0.20892993095861878</v>
          </cell>
          <cell r="I55">
            <v>8.0000000000000071E-2</v>
          </cell>
          <cell r="J55">
            <v>0.10000000000000009</v>
          </cell>
          <cell r="K55">
            <v>0.12000000000000011</v>
          </cell>
          <cell r="L55">
            <v>0.14000000000000012</v>
          </cell>
          <cell r="M55">
            <v>0.1101838135639488</v>
          </cell>
          <cell r="N55">
            <v>5.0000000000000044E-2</v>
          </cell>
          <cell r="O55">
            <v>3.0000000000000027E-2</v>
          </cell>
          <cell r="P55">
            <v>3.0000000000000027E-2</v>
          </cell>
          <cell r="Q55">
            <v>3.0000000000000027E-2</v>
          </cell>
          <cell r="R55">
            <v>3.0000000000000027E-2</v>
          </cell>
          <cell r="S55">
            <v>3.0000000000000027E-2</v>
          </cell>
        </row>
        <row r="56">
          <cell r="A56" t="str">
            <v>% Revenue</v>
          </cell>
          <cell r="B56">
            <v>4.6915481731338526E-2</v>
          </cell>
          <cell r="C56">
            <v>4.0548876218200594E-2</v>
          </cell>
          <cell r="D56">
            <v>3.4267626418695442E-2</v>
          </cell>
          <cell r="E56">
            <v>3.3414137052267243E-2</v>
          </cell>
          <cell r="F56">
            <v>3.8073727237411606E-2</v>
          </cell>
          <cell r="G56">
            <v>3.2257808840258369E-2</v>
          </cell>
          <cell r="H56">
            <v>3.4440336575122951E-2</v>
          </cell>
          <cell r="I56">
            <v>3.2994338252721911E-2</v>
          </cell>
          <cell r="J56">
            <v>3.3379314891480216E-2</v>
          </cell>
          <cell r="K56">
            <v>3.7757142279119645E-2</v>
          </cell>
          <cell r="L56">
            <v>3.3267782612831732E-2</v>
          </cell>
          <cell r="M56">
            <v>3.4319367646018804E-2</v>
          </cell>
          <cell r="N56">
            <v>3.2819867615924592E-2</v>
          </cell>
          <cell r="O56">
            <v>3.1560819226839107E-2</v>
          </cell>
          <cell r="P56">
            <v>3.0237233114549924E-2</v>
          </cell>
          <cell r="Q56">
            <v>2.9423244730797604E-2</v>
          </cell>
          <cell r="R56">
            <v>2.867404907482567E-2</v>
          </cell>
          <cell r="S56">
            <v>2.7828184307540534E-2</v>
          </cell>
        </row>
        <row r="57">
          <cell r="A57" t="str">
            <v>Amortization of Intangibles</v>
          </cell>
          <cell r="B57">
            <v>19.442999999999998</v>
          </cell>
          <cell r="C57">
            <v>43.765000000000001</v>
          </cell>
          <cell r="D57">
            <v>11.332000000000001</v>
          </cell>
          <cell r="E57">
            <v>11.972</v>
          </cell>
          <cell r="F57">
            <v>12.087</v>
          </cell>
          <cell r="G57">
            <v>12</v>
          </cell>
          <cell r="H57">
            <v>47.391000000000005</v>
          </cell>
          <cell r="I57">
            <v>12</v>
          </cell>
          <cell r="J57">
            <v>12</v>
          </cell>
          <cell r="K57">
            <v>12</v>
          </cell>
          <cell r="L57">
            <v>12</v>
          </cell>
          <cell r="M57">
            <v>48</v>
          </cell>
          <cell r="N57">
            <v>48</v>
          </cell>
          <cell r="O57">
            <v>48</v>
          </cell>
          <cell r="P57">
            <v>48</v>
          </cell>
          <cell r="Q57">
            <v>48</v>
          </cell>
          <cell r="R57">
            <v>48</v>
          </cell>
          <cell r="S57">
            <v>48</v>
          </cell>
        </row>
        <row r="58">
          <cell r="A58" t="str">
            <v>Yr/Yr Change</v>
          </cell>
          <cell r="B58">
            <v>-0.21467808385168441</v>
          </cell>
          <cell r="C58">
            <v>1.2509386411562002</v>
          </cell>
          <cell r="D58">
            <v>1.2741320489664862</v>
          </cell>
          <cell r="E58">
            <v>1.729594163246694</v>
          </cell>
          <cell r="F58">
            <v>1.7583295298950254</v>
          </cell>
          <cell r="G58">
            <v>-0.60018657959618849</v>
          </cell>
          <cell r="H58">
            <v>8.285159373928952E-2</v>
          </cell>
          <cell r="I58">
            <v>5.8948111542534321E-2</v>
          </cell>
          <cell r="J58">
            <v>2.3387905111929008E-3</v>
          </cell>
          <cell r="K58">
            <v>-7.197815835194854E-3</v>
          </cell>
          <cell r="L58">
            <v>0</v>
          </cell>
          <cell r="M58">
            <v>1.2850541242007907E-2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A59" t="str">
            <v>% Revenue</v>
          </cell>
          <cell r="B59">
            <v>1.3111276250537787E-2</v>
          </cell>
          <cell r="C59">
            <v>2.5686021909269913E-2</v>
          </cell>
          <cell r="D59">
            <v>1.893877987595868E-2</v>
          </cell>
          <cell r="E59">
            <v>1.9582634070381019E-2</v>
          </cell>
          <cell r="F59">
            <v>2.0776394632893637E-2</v>
          </cell>
          <cell r="G59">
            <v>1.893641770978137E-2</v>
          </cell>
          <cell r="H59">
            <v>1.9541289695670452E-2</v>
          </cell>
          <cell r="I59">
            <v>1.7879621457451068E-2</v>
          </cell>
          <cell r="J59">
            <v>1.7825434728526022E-2</v>
          </cell>
          <cell r="K59">
            <v>1.8263693459748299E-2</v>
          </cell>
          <cell r="L59">
            <v>1.7130970395808808E-2</v>
          </cell>
          <cell r="M59">
            <v>1.7765424392345443E-2</v>
          </cell>
          <cell r="N59">
            <v>1.6180198132168824E-2</v>
          </cell>
          <cell r="O59">
            <v>1.5106298200012417E-2</v>
          </cell>
          <cell r="P59">
            <v>1.4051238623467219E-2</v>
          </cell>
          <cell r="Q59">
            <v>1.3274736231631752E-2</v>
          </cell>
          <cell r="R59">
            <v>1.255992759597435E-2</v>
          </cell>
          <cell r="S59">
            <v>1.1834386749897509E-2</v>
          </cell>
        </row>
        <row r="60">
          <cell r="A60" t="str">
            <v>Other</v>
          </cell>
          <cell r="B60">
            <v>90.890999999999991</v>
          </cell>
          <cell r="C60">
            <v>59.86</v>
          </cell>
          <cell r="D60">
            <v>31.004999999999999</v>
          </cell>
          <cell r="E60">
            <v>25.207999999999998</v>
          </cell>
          <cell r="F60">
            <v>27.674999999999997</v>
          </cell>
          <cell r="G60">
            <v>25</v>
          </cell>
          <cell r="H60">
            <v>108.88799999999999</v>
          </cell>
          <cell r="I60">
            <v>25</v>
          </cell>
          <cell r="J60">
            <v>25</v>
          </cell>
          <cell r="K60">
            <v>25</v>
          </cell>
          <cell r="L60">
            <v>25</v>
          </cell>
          <cell r="M60">
            <v>100</v>
          </cell>
          <cell r="N60">
            <v>107</v>
          </cell>
          <cell r="O60">
            <v>113.42</v>
          </cell>
          <cell r="P60">
            <v>120.2252</v>
          </cell>
          <cell r="Q60">
            <v>126.23646000000001</v>
          </cell>
          <cell r="R60">
            <v>131.28591840000001</v>
          </cell>
          <cell r="S60">
            <v>136.53735513600003</v>
          </cell>
        </row>
        <row r="61">
          <cell r="A61" t="str">
            <v>Yr/Yr Change</v>
          </cell>
          <cell r="B61">
            <v>-0.21901529472417947</v>
          </cell>
          <cell r="C61">
            <v>-0.34140894037913538</v>
          </cell>
          <cell r="D61">
            <v>0.17567875018959489</v>
          </cell>
          <cell r="E61">
            <v>0.53557504873294337</v>
          </cell>
          <cell r="F61">
            <v>0.19654978598296502</v>
          </cell>
          <cell r="G61">
            <v>-5.127455836222552</v>
          </cell>
          <cell r="H61">
            <v>0.81904443701971252</v>
          </cell>
          <cell r="I61">
            <v>-0.19367843896145776</v>
          </cell>
          <cell r="J61">
            <v>-8.2513487781655792E-3</v>
          </cell>
          <cell r="K61">
            <v>-9.665763324299903E-2</v>
          </cell>
          <cell r="L61">
            <v>0</v>
          </cell>
          <cell r="M61">
            <v>-8.1625156123723341E-2</v>
          </cell>
          <cell r="N61">
            <v>7.0000000000000062E-2</v>
          </cell>
          <cell r="O61">
            <v>6.0000000000000053E-2</v>
          </cell>
          <cell r="P61">
            <v>6.0000000000000053E-2</v>
          </cell>
          <cell r="Q61">
            <v>5.0000000000000044E-2</v>
          </cell>
          <cell r="R61">
            <v>4.0000000000000036E-2</v>
          </cell>
          <cell r="S61">
            <v>4.0000000000000036E-2</v>
          </cell>
        </row>
        <row r="62">
          <cell r="A62" t="str">
            <v>% Revenue</v>
          </cell>
          <cell r="B62">
            <v>6.1291827891150022E-2</v>
          </cell>
          <cell r="C62">
            <v>3.5132303701334328E-2</v>
          </cell>
          <cell r="D62">
            <v>5.1817584720622908E-2</v>
          </cell>
          <cell r="E62">
            <v>4.1232796495670285E-2</v>
          </cell>
          <cell r="F62">
            <v>4.7570672744711787E-2</v>
          </cell>
          <cell r="G62">
            <v>3.9450870228711188E-2</v>
          </cell>
          <cell r="H62">
            <v>4.4899072658989334E-2</v>
          </cell>
          <cell r="I62">
            <v>3.7249211369689728E-2</v>
          </cell>
          <cell r="J62">
            <v>3.7136322351095874E-2</v>
          </cell>
          <cell r="K62">
            <v>3.8049361374475621E-2</v>
          </cell>
          <cell r="L62">
            <v>3.5689521657935014E-2</v>
          </cell>
          <cell r="M62">
            <v>3.7011300817386343E-2</v>
          </cell>
          <cell r="N62">
            <v>3.6068358336293009E-2</v>
          </cell>
          <cell r="O62">
            <v>3.5694923788446006E-2</v>
          </cell>
          <cell r="P62">
            <v>3.519402028654315E-2</v>
          </cell>
          <cell r="Q62">
            <v>3.4911577277394426E-2</v>
          </cell>
          <cell r="R62">
            <v>3.4352950614062433E-2</v>
          </cell>
          <cell r="S62">
            <v>3.3663247218490192E-2</v>
          </cell>
        </row>
        <row r="63">
          <cell r="A63" t="str">
            <v>Total Operating Expenses</v>
          </cell>
          <cell r="B63">
            <v>971.43499999999995</v>
          </cell>
          <cell r="C63">
            <v>1084.07</v>
          </cell>
          <cell r="D63">
            <v>354.85</v>
          </cell>
          <cell r="E63">
            <v>347.68700000000001</v>
          </cell>
          <cell r="F63">
            <v>323.91299999999995</v>
          </cell>
          <cell r="G63">
            <v>346.25144892196965</v>
          </cell>
          <cell r="H63">
            <v>1372.7014489219696</v>
          </cell>
          <cell r="I63">
            <v>353.25974463981618</v>
          </cell>
          <cell r="J63">
            <v>347.12522165108595</v>
          </cell>
          <cell r="K63">
            <v>339.5983746724927</v>
          </cell>
          <cell r="L63">
            <v>359.39634173380216</v>
          </cell>
          <cell r="M63">
            <v>1399.379682697197</v>
          </cell>
          <cell r="N63">
            <v>1479.9910605777152</v>
          </cell>
          <cell r="O63">
            <v>1552.1101443201976</v>
          </cell>
          <cell r="P63">
            <v>1625.8664801765701</v>
          </cell>
          <cell r="Q63">
            <v>1690.327834903658</v>
          </cell>
          <cell r="R63">
            <v>1754.9049228758258</v>
          </cell>
          <cell r="S63">
            <v>1822.2026946336041</v>
          </cell>
        </row>
        <row r="64">
          <cell r="A64" t="str">
            <v>Yr/Yr Change</v>
          </cell>
          <cell r="B64">
            <v>-4.7078361591009754E-2</v>
          </cell>
          <cell r="C64">
            <v>0.11594702682114599</v>
          </cell>
          <cell r="D64">
            <v>0.3408579072263116</v>
          </cell>
          <cell r="E64">
            <v>0.41364336798793255</v>
          </cell>
          <cell r="F64">
            <v>0.20719817529945783</v>
          </cell>
          <cell r="G64">
            <v>0.13466657793191605</v>
          </cell>
          <cell r="H64">
            <v>0.26624798114694603</v>
          </cell>
          <cell r="I64">
            <v>-4.4814861495952041E-3</v>
          </cell>
          <cell r="J64">
            <v>-1.6157588547000001E-3</v>
          </cell>
          <cell r="K64">
            <v>4.8424653139863993E-2</v>
          </cell>
          <cell r="L64">
            <v>3.7963430486018801E-2</v>
          </cell>
          <cell r="M64">
            <v>1.9434840544663823E-2</v>
          </cell>
          <cell r="N64">
            <v>5.7605079505760548E-2</v>
          </cell>
          <cell r="O64">
            <v>4.8729404969737322E-2</v>
          </cell>
          <cell r="P64">
            <v>4.7520039815651671E-2</v>
          </cell>
          <cell r="Q64">
            <v>3.9647385263817725E-2</v>
          </cell>
          <cell r="R64">
            <v>3.8203883671979133E-2</v>
          </cell>
          <cell r="S64">
            <v>3.8348386217696095E-2</v>
          </cell>
        </row>
        <row r="65">
          <cell r="A65" t="str">
            <v>% Revenue</v>
          </cell>
          <cell r="B65">
            <v>0.65508165635144655</v>
          </cell>
          <cell r="C65">
            <v>0.63624918933353669</v>
          </cell>
          <cell r="D65">
            <v>0.59304853856194295</v>
          </cell>
          <cell r="E65">
            <v>0.56871260374445087</v>
          </cell>
          <cell r="F65">
            <v>0.55677540454409502</v>
          </cell>
          <cell r="G65">
            <v>0.5463968391169538</v>
          </cell>
          <cell r="H65">
            <v>0.56602217043427605</v>
          </cell>
          <cell r="I65">
            <v>0.52634587585964521</v>
          </cell>
          <cell r="J65">
            <v>0.51563816509721339</v>
          </cell>
          <cell r="K65">
            <v>0.51686005120392975</v>
          </cell>
          <cell r="L65">
            <v>0.51306734088364581</v>
          </cell>
          <cell r="M65">
            <v>0.51792862394044603</v>
          </cell>
          <cell r="N65">
            <v>0.4988864290413772</v>
          </cell>
          <cell r="O65">
            <v>0.48847163915344194</v>
          </cell>
          <cell r="P65">
            <v>0.47594662255953585</v>
          </cell>
          <cell r="Q65">
            <v>0.46747200319440091</v>
          </cell>
          <cell r="R65">
            <v>0.4591974743570692</v>
          </cell>
          <cell r="S65">
            <v>0.44926357135415546</v>
          </cell>
        </row>
        <row r="67">
          <cell r="A67" t="str">
            <v>A=Actual                   E=Morgan Stanley Research Estimates</v>
          </cell>
        </row>
        <row r="68">
          <cell r="A68" t="str">
            <v>Source: Company data, Morgan Stanley Research</v>
          </cell>
        </row>
        <row r="71">
          <cell r="A71" t="str">
            <v>Table XX</v>
          </cell>
        </row>
        <row r="72">
          <cell r="A72" t="str">
            <v>E*Trade Financial (ET)</v>
          </cell>
        </row>
        <row r="73">
          <cell r="A73" t="str">
            <v>2006A-2008E</v>
          </cell>
        </row>
        <row r="74">
          <cell r="A74" t="str">
            <v>($ Millions)</v>
          </cell>
        </row>
        <row r="76">
          <cell r="A76" t="str">
            <v>Income Statement</v>
          </cell>
          <cell r="B76" t="str">
            <v>2004A</v>
          </cell>
          <cell r="C76" t="str">
            <v>2005A</v>
          </cell>
          <cell r="D76" t="str">
            <v>1Q06A</v>
          </cell>
          <cell r="E76" t="str">
            <v>2Q06A</v>
          </cell>
          <cell r="F76" t="str">
            <v>3Q06A</v>
          </cell>
          <cell r="G76" t="str">
            <v>4Q06E</v>
          </cell>
          <cell r="H76" t="str">
            <v>2006E</v>
          </cell>
          <cell r="I76" t="str">
            <v>1Q07E</v>
          </cell>
          <cell r="J76" t="str">
            <v>2Q07E</v>
          </cell>
          <cell r="K76" t="str">
            <v>3Q07E</v>
          </cell>
          <cell r="L76" t="str">
            <v>4Q07E</v>
          </cell>
          <cell r="M76" t="str">
            <v>2007E</v>
          </cell>
          <cell r="N76" t="str">
            <v>2008E</v>
          </cell>
          <cell r="O76" t="str">
            <v>2009E</v>
          </cell>
          <cell r="P76" t="str">
            <v>2010E</v>
          </cell>
          <cell r="Q76" t="str">
            <v>2011E</v>
          </cell>
          <cell r="R76" t="str">
            <v>2012E</v>
          </cell>
          <cell r="S76" t="str">
            <v>2013E</v>
          </cell>
        </row>
        <row r="77">
          <cell r="A77" t="str">
            <v>Pretax Operating Income</v>
          </cell>
          <cell r="B77">
            <v>511.48700000000031</v>
          </cell>
          <cell r="C77">
            <v>619.77500000000032</v>
          </cell>
          <cell r="D77">
            <v>243.49900000000002</v>
          </cell>
          <cell r="E77">
            <v>263.67100000000005</v>
          </cell>
          <cell r="F77">
            <v>257.85300000000001</v>
          </cell>
          <cell r="G77">
            <v>287.4481337504991</v>
          </cell>
          <cell r="H77">
            <v>1052.4711337504991</v>
          </cell>
          <cell r="I77">
            <v>317.89540417342539</v>
          </cell>
          <cell r="J77">
            <v>326.07014119728348</v>
          </cell>
          <cell r="K77">
            <v>317.44287640013556</v>
          </cell>
          <cell r="L77">
            <v>341.08937056045704</v>
          </cell>
          <cell r="M77">
            <v>1302.4977923313013</v>
          </cell>
          <cell r="N77">
            <v>1486.5980755941289</v>
          </cell>
          <cell r="O77">
            <v>1625.3724768000809</v>
          </cell>
          <cell r="P77">
            <v>1790.2024719109961</v>
          </cell>
          <cell r="Q77">
            <v>1925.5632202890645</v>
          </cell>
          <cell r="R77">
            <v>2066.773158722729</v>
          </cell>
          <cell r="S77">
            <v>2233.7742659313953</v>
          </cell>
        </row>
        <row r="78">
          <cell r="A78" t="str">
            <v>Yr./Yr. Change</v>
          </cell>
          <cell r="B78">
            <v>0.5821403825691045</v>
          </cell>
          <cell r="C78">
            <v>0.21171212562587116</v>
          </cell>
          <cell r="D78">
            <v>0.59407016556139625</v>
          </cell>
          <cell r="E78">
            <v>0.86029660777784067</v>
          </cell>
          <cell r="F78">
            <v>0.70179780620124377</v>
          </cell>
          <cell r="G78">
            <v>0.65420637718394103</v>
          </cell>
          <cell r="H78">
            <v>0.69815035093461097</v>
          </cell>
          <cell r="I78">
            <v>0.30553063533495162</v>
          </cell>
          <cell r="J78">
            <v>0.236655306033972</v>
          </cell>
          <cell r="K78">
            <v>0.23110018654091879</v>
          </cell>
          <cell r="L78">
            <v>0.18661188058544775</v>
          </cell>
          <cell r="M78">
            <v>0.23756153547872416</v>
          </cell>
          <cell r="N78">
            <v>0.14134402710450056</v>
          </cell>
          <cell r="O78">
            <v>9.335031672934857E-2</v>
          </cell>
          <cell r="P78">
            <v>0.10141059816357956</v>
          </cell>
          <cell r="Q78">
            <v>7.5611977137744812E-2</v>
          </cell>
          <cell r="R78">
            <v>7.3334355863146516E-2</v>
          </cell>
          <cell r="S78">
            <v>8.0802823717661232E-2</v>
          </cell>
        </row>
        <row r="79">
          <cell r="A79" t="str">
            <v>Corporate Interest, Net</v>
          </cell>
          <cell r="B79">
            <v>-40.832999999999998</v>
          </cell>
          <cell r="C79">
            <v>-62.913000000000004</v>
          </cell>
          <cell r="D79">
            <v>-38.547000000000004</v>
          </cell>
          <cell r="E79">
            <v>-33.925999999999995</v>
          </cell>
          <cell r="F79">
            <v>-36.021999999999998</v>
          </cell>
          <cell r="G79">
            <v>-39.1928162584286</v>
          </cell>
          <cell r="H79">
            <v>-147.6878162584286</v>
          </cell>
          <cell r="I79">
            <v>-39.206955629805307</v>
          </cell>
          <cell r="J79">
            <v>-39.267568948524726</v>
          </cell>
          <cell r="K79">
            <v>-40.668828355488337</v>
          </cell>
          <cell r="L79">
            <v>-41.763309442526655</v>
          </cell>
          <cell r="M79">
            <v>-160.90666237634503</v>
          </cell>
          <cell r="N79">
            <v>-158.08579056265472</v>
          </cell>
          <cell r="O79">
            <v>-133.94580693445317</v>
          </cell>
          <cell r="P79">
            <v>-106.70437819129795</v>
          </cell>
          <cell r="Q79">
            <v>-81.350352243730143</v>
          </cell>
          <cell r="R79">
            <v>-59.51827485520279</v>
          </cell>
          <cell r="S79">
            <v>-55.91440065345386</v>
          </cell>
        </row>
        <row r="80">
          <cell r="A80" t="str">
            <v>Income Before Taxes</v>
          </cell>
          <cell r="B80">
            <v>603.14700000000028</v>
          </cell>
          <cell r="C80">
            <v>646.10900000000026</v>
          </cell>
          <cell r="D80">
            <v>221.56100000000004</v>
          </cell>
          <cell r="E80">
            <v>245.22400000000005</v>
          </cell>
          <cell r="F80">
            <v>251.34100000000001</v>
          </cell>
          <cell r="G80">
            <v>260.45531749207049</v>
          </cell>
          <cell r="H80">
            <v>978.58131749207053</v>
          </cell>
          <cell r="I80">
            <v>278.6884485436201</v>
          </cell>
          <cell r="J80">
            <v>286.80257224875874</v>
          </cell>
          <cell r="K80">
            <v>276.7740480446472</v>
          </cell>
          <cell r="L80">
            <v>299.32606111793041</v>
          </cell>
          <cell r="M80">
            <v>1141.5911299549562</v>
          </cell>
          <cell r="N80">
            <v>1328.5122850314742</v>
          </cell>
          <cell r="O80">
            <v>1491.4266698656277</v>
          </cell>
          <cell r="P80">
            <v>1683.4980937196981</v>
          </cell>
          <cell r="Q80">
            <v>1844.2128680453343</v>
          </cell>
          <cell r="R80">
            <v>2007.2548838675261</v>
          </cell>
          <cell r="S80">
            <v>2177.8598652779415</v>
          </cell>
        </row>
        <row r="81">
          <cell r="A81" t="str">
            <v>Yr./Yr. Change</v>
          </cell>
          <cell r="B81">
            <v>0.36706648715542811</v>
          </cell>
          <cell r="C81">
            <v>7.1229733381745985E-2</v>
          </cell>
          <cell r="D81">
            <v>0.37337440958060064</v>
          </cell>
          <cell r="E81">
            <v>0.4903519487544139</v>
          </cell>
          <cell r="F81">
            <v>0.51159825590136854</v>
          </cell>
          <cell r="G81">
            <v>0.69163078771470787</v>
          </cell>
          <cell r="H81">
            <v>0.51457620539579252</v>
          </cell>
          <cell r="I81">
            <v>0.25784072351912135</v>
          </cell>
          <cell r="J81">
            <v>0.16955343787214416</v>
          </cell>
          <cell r="K81">
            <v>0.10118941217169986</v>
          </cell>
          <cell r="L81">
            <v>0.14924150522303448</v>
          </cell>
          <cell r="M81">
            <v>0.16657768705481812</v>
          </cell>
          <cell r="N81">
            <v>0.16373739263714615</v>
          </cell>
          <cell r="O81">
            <v>0.12262918956018076</v>
          </cell>
          <cell r="P81">
            <v>0.1287836859397018</v>
          </cell>
          <cell r="Q81">
            <v>9.5464779511888809E-2</v>
          </cell>
          <cell r="R81">
            <v>8.8407373490999808E-2</v>
          </cell>
          <cell r="S81">
            <v>8.4994179255251323E-2</v>
          </cell>
        </row>
        <row r="82">
          <cell r="A82" t="str">
            <v>Taxes on Income</v>
          </cell>
          <cell r="B82">
            <v>195.29599999999999</v>
          </cell>
          <cell r="C82">
            <v>219.31504999999999</v>
          </cell>
          <cell r="D82">
            <v>78.606449999999995</v>
          </cell>
          <cell r="E82">
            <v>86.288200000000003</v>
          </cell>
          <cell r="F82">
            <v>78.568399999999997</v>
          </cell>
          <cell r="G82">
            <v>91.660271757208804</v>
          </cell>
          <cell r="H82">
            <v>335.12332175720877</v>
          </cell>
          <cell r="I82">
            <v>97.540956990267034</v>
          </cell>
          <cell r="J82">
            <v>100.38090028706556</v>
          </cell>
          <cell r="K82">
            <v>97.424464911715816</v>
          </cell>
          <cell r="L82">
            <v>104.76412139127564</v>
          </cell>
          <cell r="M82">
            <v>400.11044358032404</v>
          </cell>
          <cell r="N82">
            <v>464.97929976101597</v>
          </cell>
          <cell r="O82">
            <v>521.99933445296961</v>
          </cell>
          <cell r="P82">
            <v>589.22433280189432</v>
          </cell>
          <cell r="Q82">
            <v>645.47450381586691</v>
          </cell>
          <cell r="R82">
            <v>702.53920935363408</v>
          </cell>
          <cell r="S82">
            <v>762.25095284727945</v>
          </cell>
        </row>
        <row r="83">
          <cell r="A83" t="str">
            <v>Tax Rate</v>
          </cell>
          <cell r="B83">
            <v>-0.55735066795407029</v>
          </cell>
          <cell r="C83">
            <v>0.1229879260199902</v>
          </cell>
          <cell r="D83">
            <v>0.35478468683567949</v>
          </cell>
          <cell r="E83">
            <v>0.35187502038952134</v>
          </cell>
          <cell r="F83">
            <v>0.31259683060065807</v>
          </cell>
          <cell r="G83">
            <v>0.35192321139690069</v>
          </cell>
          <cell r="H83">
            <v>0.34245832795589243</v>
          </cell>
          <cell r="I83">
            <v>0.35</v>
          </cell>
          <cell r="J83">
            <v>0.35</v>
          </cell>
          <cell r="K83">
            <v>0.35199999999999998</v>
          </cell>
          <cell r="L83">
            <v>0.35</v>
          </cell>
          <cell r="M83">
            <v>0.35048489172836444</v>
          </cell>
          <cell r="N83">
            <v>0.35</v>
          </cell>
          <cell r="O83">
            <v>0.34999999999999992</v>
          </cell>
          <cell r="P83">
            <v>0.35</v>
          </cell>
          <cell r="Q83">
            <v>0.35</v>
          </cell>
          <cell r="R83">
            <v>0.35</v>
          </cell>
          <cell r="S83">
            <v>0.35</v>
          </cell>
        </row>
        <row r="84">
          <cell r="A84" t="str">
            <v>Operating Earnings</v>
          </cell>
          <cell r="B84">
            <v>406.95900000000029</v>
          </cell>
          <cell r="C84">
            <v>426.72695000000027</v>
          </cell>
          <cell r="D84">
            <v>142.95455000000004</v>
          </cell>
          <cell r="E84">
            <v>158.93580000000003</v>
          </cell>
          <cell r="F84">
            <v>172.77260000000001</v>
          </cell>
          <cell r="G84">
            <v>168.79504573486167</v>
          </cell>
          <cell r="H84">
            <v>643.4579957348617</v>
          </cell>
          <cell r="I84">
            <v>181.14749155335306</v>
          </cell>
          <cell r="J84">
            <v>186.42167196169316</v>
          </cell>
          <cell r="K84">
            <v>179.3495831329314</v>
          </cell>
          <cell r="L84">
            <v>194.56193972665477</v>
          </cell>
          <cell r="M84">
            <v>741.48068637463211</v>
          </cell>
          <cell r="N84">
            <v>863.53298527045831</v>
          </cell>
          <cell r="O84">
            <v>969.42733541265807</v>
          </cell>
          <cell r="P84">
            <v>1094.2737609178039</v>
          </cell>
          <cell r="Q84">
            <v>1198.7383642294674</v>
          </cell>
          <cell r="R84">
            <v>1304.7156745138921</v>
          </cell>
          <cell r="S84">
            <v>1415.608912430662</v>
          </cell>
        </row>
        <row r="85">
          <cell r="A85" t="str">
            <v>Diluted Operating EPS</v>
          </cell>
          <cell r="B85">
            <v>1.0151856642340509</v>
          </cell>
          <cell r="C85">
            <v>1.1099478679981567</v>
          </cell>
          <cell r="D85">
            <v>0.33068213887513831</v>
          </cell>
          <cell r="E85">
            <v>0.36166158467209764</v>
          </cell>
          <cell r="F85">
            <v>0.39366437068649279</v>
          </cell>
          <cell r="G85">
            <v>0.38194287586846332</v>
          </cell>
          <cell r="H85">
            <v>1.4685935438366879</v>
          </cell>
          <cell r="I85">
            <v>0.41051886697036272</v>
          </cell>
          <cell r="J85">
            <v>0.42409313802730003</v>
          </cell>
          <cell r="K85">
            <v>0.41343922020924123</v>
          </cell>
          <cell r="L85">
            <v>0.45394985708943236</v>
          </cell>
          <cell r="M85">
            <v>1.7013862507645803</v>
          </cell>
          <cell r="N85">
            <v>2.0498257111635132</v>
          </cell>
          <cell r="O85">
            <v>2.3883963538952155</v>
          </cell>
          <cell r="P85">
            <v>2.8200555334329915</v>
          </cell>
          <cell r="Q85">
            <v>3.2610280925257262</v>
          </cell>
          <cell r="R85">
            <v>3.7766305998100824</v>
          </cell>
          <cell r="S85">
            <v>4.3829208447833246</v>
          </cell>
        </row>
        <row r="86">
          <cell r="A86" t="str">
            <v>Yr./Yr. Change</v>
          </cell>
          <cell r="B86">
            <v>0.29616326642405055</v>
          </cell>
          <cell r="C86">
            <v>9.3344702454602801E-2</v>
          </cell>
          <cell r="D86">
            <v>0.22104855444494231</v>
          </cell>
          <cell r="E86">
            <v>0.24133671097457787</v>
          </cell>
          <cell r="F86">
            <v>0.38185831428872152</v>
          </cell>
          <cell r="G86">
            <v>0.44827413212358791</v>
          </cell>
          <cell r="H86">
            <v>0.32311938801717388</v>
          </cell>
          <cell r="I86">
            <v>0.24143042127040859</v>
          </cell>
          <cell r="J86">
            <v>0.17262423215837619</v>
          </cell>
          <cell r="K86">
            <v>5.0232764240929484E-2</v>
          </cell>
          <cell r="L86">
            <v>0.18852814326550615</v>
          </cell>
          <cell r="M86">
            <v>0.15851404761028931</v>
          </cell>
          <cell r="N86">
            <v>0.20479738815471737</v>
          </cell>
          <cell r="O86">
            <v>0.16517045370629302</v>
          </cell>
          <cell r="P86">
            <v>0.1807318030919729</v>
          </cell>
          <cell r="Q86">
            <v>0.15637016855335362</v>
          </cell>
          <cell r="R86">
            <v>0.1581104156894928</v>
          </cell>
          <cell r="S86">
            <v>0.16053734379097895</v>
          </cell>
        </row>
        <row r="88">
          <cell r="A88" t="str">
            <v>Average Diluted Shares (Millions)</v>
          </cell>
          <cell r="B88">
            <v>400.87149999999997</v>
          </cell>
          <cell r="C88">
            <v>384.45674999999994</v>
          </cell>
          <cell r="D88">
            <v>432.30200000000002</v>
          </cell>
          <cell r="E88">
            <v>439.46</v>
          </cell>
          <cell r="F88">
            <v>438.88299999999998</v>
          </cell>
          <cell r="G88">
            <v>441.93793470045694</v>
          </cell>
          <cell r="H88">
            <v>438.14573367511423</v>
          </cell>
          <cell r="I88">
            <v>441.26471674791736</v>
          </cell>
          <cell r="J88">
            <v>439.57719483235945</v>
          </cell>
          <cell r="K88">
            <v>433.79915200634019</v>
          </cell>
          <cell r="L88">
            <v>428.59786535481658</v>
          </cell>
          <cell r="M88">
            <v>435.80973223535841</v>
          </cell>
          <cell r="N88">
            <v>421.2714186223684</v>
          </cell>
          <cell r="O88">
            <v>405.89047702724349</v>
          </cell>
          <cell r="P88">
            <v>388.03269933684282</v>
          </cell>
          <cell r="Q88">
            <v>367.59522770655508</v>
          </cell>
          <cell r="R88">
            <v>345.47082115457704</v>
          </cell>
          <cell r="S88">
            <v>322.98299754045513</v>
          </cell>
        </row>
        <row r="90">
          <cell r="A90" t="str">
            <v>End-of-Period Shares Outstanding</v>
          </cell>
          <cell r="B90">
            <v>370.92640499999999</v>
          </cell>
          <cell r="C90">
            <v>416.58199999999999</v>
          </cell>
          <cell r="D90">
            <v>420.036</v>
          </cell>
          <cell r="E90">
            <v>425.92402299999998</v>
          </cell>
          <cell r="F90">
            <v>426.68550091535292</v>
          </cell>
          <cell r="G90">
            <v>426.68550091535292</v>
          </cell>
          <cell r="H90">
            <v>426.68550091535292</v>
          </cell>
          <cell r="I90">
            <v>425.38553403426005</v>
          </cell>
          <cell r="J90">
            <v>423.42693867251904</v>
          </cell>
          <cell r="K90">
            <v>414.22827911699926</v>
          </cell>
          <cell r="L90">
            <v>413.38338537667477</v>
          </cell>
          <cell r="M90">
            <v>413.38338537667477</v>
          </cell>
          <cell r="N90">
            <v>399.07758488224113</v>
          </cell>
          <cell r="O90">
            <v>382.62150218642495</v>
          </cell>
          <cell r="P90">
            <v>363.36202950143991</v>
          </cell>
          <cell r="Q90">
            <v>341.7465589258494</v>
          </cell>
          <cell r="R90">
            <v>319.11321639748382</v>
          </cell>
          <cell r="S90">
            <v>296.7709116976053</v>
          </cell>
        </row>
        <row r="91">
          <cell r="A91" t="str">
            <v>Average Basic Shares Outstanding</v>
          </cell>
          <cell r="B91">
            <v>366.70575000000002</v>
          </cell>
          <cell r="C91">
            <v>371.42675000000003</v>
          </cell>
          <cell r="D91">
            <v>414.67899999999997</v>
          </cell>
          <cell r="E91">
            <v>421.92899999999997</v>
          </cell>
          <cell r="F91">
            <v>423.73599999999999</v>
          </cell>
          <cell r="G91">
            <v>426.68550091535292</v>
          </cell>
          <cell r="H91">
            <v>421.75737522883821</v>
          </cell>
          <cell r="I91">
            <v>426.03551747480651</v>
          </cell>
          <cell r="J91">
            <v>424.40623635338955</v>
          </cell>
          <cell r="K91">
            <v>418.82760889475912</v>
          </cell>
          <cell r="L91">
            <v>413.80583224683699</v>
          </cell>
          <cell r="M91">
            <v>420.76879874244798</v>
          </cell>
          <cell r="N91">
            <v>406.23048512945797</v>
          </cell>
          <cell r="O91">
            <v>390.84954353433307</v>
          </cell>
          <cell r="P91">
            <v>372.9917658439324</v>
          </cell>
          <cell r="Q91">
            <v>352.55429421364465</v>
          </cell>
          <cell r="R91">
            <v>330.42988766166661</v>
          </cell>
          <cell r="S91">
            <v>307.94206404754459</v>
          </cell>
        </row>
        <row r="93">
          <cell r="A93" t="str">
            <v>GAAP Income Before Taxes</v>
          </cell>
          <cell r="B93">
            <v>564.48700000000031</v>
          </cell>
          <cell r="C93">
            <v>676.12600000000032</v>
          </cell>
          <cell r="D93">
            <v>221.81400000000002</v>
          </cell>
          <cell r="E93">
            <v>241.77200000000005</v>
          </cell>
          <cell r="F93">
            <v>216.65700000000001</v>
          </cell>
          <cell r="G93">
            <v>250.45531749207049</v>
          </cell>
          <cell r="H93">
            <v>930.69831749207049</v>
          </cell>
          <cell r="I93">
            <v>278.6884485436201</v>
          </cell>
          <cell r="J93">
            <v>286.80257224875874</v>
          </cell>
          <cell r="K93">
            <v>276.7740480446472</v>
          </cell>
          <cell r="L93">
            <v>299.32606111793041</v>
          </cell>
          <cell r="M93">
            <v>1141.5911299549562</v>
          </cell>
          <cell r="N93">
            <v>1328.5122850314742</v>
          </cell>
          <cell r="O93">
            <v>1491.4266698656277</v>
          </cell>
          <cell r="P93">
            <v>1683.4980937196981</v>
          </cell>
          <cell r="Q93">
            <v>1844.2128680453343</v>
          </cell>
          <cell r="R93">
            <v>2007.2548838675261</v>
          </cell>
          <cell r="S93">
            <v>2177.8598652779415</v>
          </cell>
        </row>
        <row r="94">
          <cell r="A94" t="str">
            <v>GAAP Income Tax Expense</v>
          </cell>
          <cell r="B94">
            <v>181.76499999999999</v>
          </cell>
          <cell r="C94">
            <v>229.821</v>
          </cell>
          <cell r="D94">
            <v>78.694999999999993</v>
          </cell>
          <cell r="E94">
            <v>85.08</v>
          </cell>
          <cell r="F94">
            <v>66.429000000000002</v>
          </cell>
          <cell r="G94">
            <v>88.160271757208804</v>
          </cell>
          <cell r="H94">
            <v>318.36427175720877</v>
          </cell>
          <cell r="I94">
            <v>97.540956990267034</v>
          </cell>
          <cell r="J94">
            <v>100.38090028706556</v>
          </cell>
          <cell r="K94">
            <v>97.424464911715816</v>
          </cell>
          <cell r="L94">
            <v>104.76412139127564</v>
          </cell>
          <cell r="M94">
            <v>400.11044358032404</v>
          </cell>
          <cell r="N94">
            <v>464.97929976101597</v>
          </cell>
          <cell r="O94">
            <v>521.99933445296961</v>
          </cell>
          <cell r="P94">
            <v>589.22433280189432</v>
          </cell>
          <cell r="Q94">
            <v>645.47450381586691</v>
          </cell>
          <cell r="R94">
            <v>702.53920935363408</v>
          </cell>
          <cell r="S94">
            <v>762.25095284727945</v>
          </cell>
        </row>
        <row r="95">
          <cell r="A95" t="str">
            <v>GAAP Net Income</v>
          </cell>
          <cell r="B95">
            <v>371.61800000000034</v>
          </cell>
          <cell r="C95">
            <v>430.41200000000026</v>
          </cell>
          <cell r="D95">
            <v>142.60600000000002</v>
          </cell>
          <cell r="E95">
            <v>156.48400000000007</v>
          </cell>
          <cell r="F95">
            <v>153.249</v>
          </cell>
          <cell r="G95">
            <v>162.29504573486167</v>
          </cell>
          <cell r="H95">
            <v>614.63404573486173</v>
          </cell>
          <cell r="I95">
            <v>181.14749155335306</v>
          </cell>
          <cell r="J95">
            <v>186.42167196169316</v>
          </cell>
          <cell r="K95">
            <v>179.3495831329314</v>
          </cell>
          <cell r="L95">
            <v>194.56193972665477</v>
          </cell>
          <cell r="M95">
            <v>741.48068637463211</v>
          </cell>
          <cell r="N95">
            <v>863.53298527045831</v>
          </cell>
          <cell r="O95">
            <v>969.42733541265807</v>
          </cell>
          <cell r="P95">
            <v>1094.2737609178039</v>
          </cell>
          <cell r="Q95">
            <v>1198.7383642294674</v>
          </cell>
          <cell r="R95">
            <v>1304.7156745138921</v>
          </cell>
          <cell r="S95">
            <v>1415.608912430662</v>
          </cell>
        </row>
        <row r="96">
          <cell r="A96" t="str">
            <v>GAAP EPS</v>
          </cell>
          <cell r="B96">
            <v>0.92702524375018025</v>
          </cell>
          <cell r="C96">
            <v>1.1195329513657917</v>
          </cell>
          <cell r="D96">
            <v>0.32987587381043809</v>
          </cell>
          <cell r="E96">
            <v>0.35608246484321682</v>
          </cell>
          <cell r="F96">
            <v>0.3491796219037876</v>
          </cell>
          <cell r="G96">
            <v>0.36723492823684473</v>
          </cell>
          <cell r="H96">
            <v>1.4028073275514623</v>
          </cell>
          <cell r="I96">
            <v>0.41051886697036272</v>
          </cell>
          <cell r="J96">
            <v>0.42409313802730003</v>
          </cell>
          <cell r="K96">
            <v>0.41343922020924123</v>
          </cell>
          <cell r="L96">
            <v>0.45394985708943236</v>
          </cell>
          <cell r="M96">
            <v>1.7013862507645803</v>
          </cell>
          <cell r="N96">
            <v>2.0498257111635132</v>
          </cell>
          <cell r="O96">
            <v>2.3883963538952155</v>
          </cell>
          <cell r="P96">
            <v>2.8200555334329915</v>
          </cell>
          <cell r="Q96">
            <v>3.2610280925257262</v>
          </cell>
          <cell r="R96">
            <v>3.7766305998100824</v>
          </cell>
          <cell r="S96">
            <v>4.3829208447833246</v>
          </cell>
        </row>
        <row r="97">
          <cell r="A97" t="str">
            <v>Yr./Yr. Change</v>
          </cell>
          <cell r="B97">
            <v>0.69850427684053273</v>
          </cell>
          <cell r="C97">
            <v>0.207661775030896</v>
          </cell>
          <cell r="D97">
            <v>0.35807997469098396</v>
          </cell>
          <cell r="E97">
            <v>0.31942319091260374</v>
          </cell>
          <cell r="F97">
            <v>0.24101031840364229</v>
          </cell>
          <cell r="G97">
            <v>0.13757945839736885</v>
          </cell>
          <cell r="H97">
            <v>0.25302906523661117</v>
          </cell>
          <cell r="I97">
            <v>0.24446465947450835</v>
          </cell>
          <cell r="J97">
            <v>0.19099697373199298</v>
          </cell>
          <cell r="K97">
            <v>0.18403020759086464</v>
          </cell>
          <cell r="L97">
            <v>0.2361293062969807</v>
          </cell>
          <cell r="M97">
            <v>0.21284385770515901</v>
          </cell>
          <cell r="N97">
            <v>0.20479738815471737</v>
          </cell>
          <cell r="O97">
            <v>0.16517045370629302</v>
          </cell>
          <cell r="P97">
            <v>0.1807318030919729</v>
          </cell>
          <cell r="Q97">
            <v>0.15637016855335362</v>
          </cell>
          <cell r="R97">
            <v>0.1581104156894928</v>
          </cell>
          <cell r="S97">
            <v>0.16053734379097895</v>
          </cell>
        </row>
        <row r="99">
          <cell r="A99" t="str">
            <v>Profitability</v>
          </cell>
        </row>
        <row r="100">
          <cell r="A100" t="str">
            <v>Pretax Operating Margin</v>
          </cell>
          <cell r="B100">
            <v>0.3449183436485535</v>
          </cell>
          <cell r="C100">
            <v>0.36375081066646336</v>
          </cell>
          <cell r="D100">
            <v>0.40695146143805705</v>
          </cell>
          <cell r="E100">
            <v>0.43128739625554918</v>
          </cell>
          <cell r="F100">
            <v>0.44322459545590498</v>
          </cell>
          <cell r="G100">
            <v>0.45360316088304625</v>
          </cell>
          <cell r="H100">
            <v>0.43397782956572389</v>
          </cell>
          <cell r="I100">
            <v>0.47365412414035474</v>
          </cell>
          <cell r="J100">
            <v>0.48436183490278667</v>
          </cell>
          <cell r="K100">
            <v>0.48313994879607025</v>
          </cell>
          <cell r="L100">
            <v>0.48693265911635414</v>
          </cell>
          <cell r="M100">
            <v>0.48207137605955397</v>
          </cell>
          <cell r="N100">
            <v>0.50111357095862274</v>
          </cell>
          <cell r="O100">
            <v>0.51152836084655806</v>
          </cell>
          <cell r="P100">
            <v>0.5240533774404641</v>
          </cell>
          <cell r="Q100">
            <v>0.53252799680559915</v>
          </cell>
          <cell r="R100">
            <v>0.54080252564293074</v>
          </cell>
          <cell r="S100">
            <v>0.5507364286458446</v>
          </cell>
        </row>
        <row r="101">
          <cell r="A101" t="str">
            <v>After-Tax Margin (Before MI)</v>
          </cell>
          <cell r="B101">
            <v>0.27503199763709774</v>
          </cell>
          <cell r="C101">
            <v>0.2504887181639176</v>
          </cell>
          <cell r="D101">
            <v>0.23891499776886069</v>
          </cell>
          <cell r="E101">
            <v>0.25997173505540128</v>
          </cell>
          <cell r="F101">
            <v>0.29697954160263751</v>
          </cell>
          <cell r="G101">
            <v>0.26636445778141588</v>
          </cell>
          <cell r="H101">
            <v>0.2653246207433988</v>
          </cell>
          <cell r="I101">
            <v>0.26990404807839735</v>
          </cell>
          <cell r="J101">
            <v>0.27692061212798758</v>
          </cell>
          <cell r="K101">
            <v>0.27296548403945858</v>
          </cell>
          <cell r="L101">
            <v>0.27775290246737172</v>
          </cell>
          <cell r="M101">
            <v>0.27443164733693604</v>
          </cell>
          <cell r="N101">
            <v>0.29108614156956747</v>
          </cell>
          <cell r="O101">
            <v>0.30509288358306397</v>
          </cell>
          <cell r="P101">
            <v>0.32033128612614542</v>
          </cell>
          <cell r="Q101">
            <v>0.33151949158091437</v>
          </cell>
          <cell r="R101">
            <v>0.34139863344223581</v>
          </cell>
          <cell r="S101">
            <v>0.34901798658971356</v>
          </cell>
        </row>
        <row r="102">
          <cell r="A102" t="str">
            <v>ROAE</v>
          </cell>
          <cell r="B102" t="str">
            <v>NA</v>
          </cell>
          <cell r="C102">
            <v>0.15165067392686485</v>
          </cell>
          <cell r="D102">
            <v>0.16296732449543516</v>
          </cell>
          <cell r="E102">
            <v>0.17032623952345119</v>
          </cell>
          <cell r="F102">
            <v>0.17546506759599365</v>
          </cell>
          <cell r="G102">
            <v>0.16435229676908897</v>
          </cell>
          <cell r="H102">
            <v>0.16965343962035928</v>
          </cell>
          <cell r="I102">
            <v>0.17004909880719685</v>
          </cell>
          <cell r="J102">
            <v>0.16926691284760331</v>
          </cell>
          <cell r="K102">
            <v>0.16124821460838959</v>
          </cell>
          <cell r="L102">
            <v>0.17256666414871352</v>
          </cell>
          <cell r="M102">
            <v>0.16885868863309123</v>
          </cell>
          <cell r="N102">
            <v>0.17893853039691229</v>
          </cell>
          <cell r="O102">
            <v>0.18345196448044659</v>
          </cell>
          <cell r="P102">
            <v>0.19093681308664229</v>
          </cell>
          <cell r="Q102">
            <v>0.19518086707643123</v>
          </cell>
          <cell r="R102">
            <v>0.2001546918829325</v>
          </cell>
          <cell r="S102">
            <v>0.20510407558371144</v>
          </cell>
        </row>
        <row r="103">
          <cell r="A103" t="str">
            <v>ROAA</v>
          </cell>
          <cell r="B103" t="str">
            <v>NA</v>
          </cell>
          <cell r="C103">
            <v>1.1289032582675078E-2</v>
          </cell>
          <cell r="D103">
            <v>1.2437241156661852E-2</v>
          </cell>
          <cell r="E103">
            <v>1.3206448696339751E-2</v>
          </cell>
          <cell r="F103">
            <v>1.3764551594731396E-2</v>
          </cell>
          <cell r="G103">
            <v>1.2667297182354105E-2</v>
          </cell>
          <cell r="H103">
            <v>1.2686488254078736E-2</v>
          </cell>
          <cell r="I103">
            <v>1.2854153849699509E-2</v>
          </cell>
          <cell r="J103">
            <v>1.2839682368990968E-2</v>
          </cell>
          <cell r="K103">
            <v>1.217303290549708E-2</v>
          </cell>
          <cell r="L103">
            <v>1.2767696908080323E-2</v>
          </cell>
          <cell r="M103">
            <v>1.2458598060154598E-2</v>
          </cell>
          <cell r="N103">
            <v>1.3104966714736977E-2</v>
          </cell>
          <cell r="O103">
            <v>1.3391993407072601E-2</v>
          </cell>
          <cell r="P103">
            <v>1.3938387355324888E-2</v>
          </cell>
          <cell r="Q103">
            <v>1.4248203296579479E-2</v>
          </cell>
          <cell r="R103">
            <v>1.4611292507454072E-2</v>
          </cell>
          <cell r="S103">
            <v>1.4972597517610934E-2</v>
          </cell>
        </row>
        <row r="104">
          <cell r="A104" t="str">
            <v>Book Value per Share</v>
          </cell>
          <cell r="B104">
            <v>6.0071269393722453</v>
          </cell>
          <cell r="C104">
            <v>9.1650525661552731</v>
          </cell>
          <cell r="D104">
            <v>8.613597405936634</v>
          </cell>
          <cell r="E104">
            <v>9.0320920921617063</v>
          </cell>
          <cell r="F104">
            <v>9.4454978933055731</v>
          </cell>
          <cell r="G104">
            <v>9.8104995472062626</v>
          </cell>
          <cell r="H104">
            <v>9.8104995472062626</v>
          </cell>
          <cell r="I104">
            <v>10.193408676341248</v>
          </cell>
          <cell r="J104">
            <v>10.567703856433669</v>
          </cell>
          <cell r="K104">
            <v>10.678681455885345</v>
          </cell>
          <cell r="L104">
            <v>11.118649196506746</v>
          </cell>
          <cell r="M104">
            <v>11.118649196506746</v>
          </cell>
          <cell r="N104">
            <v>12.667869723749696</v>
          </cell>
          <cell r="O104">
            <v>14.409198753502157</v>
          </cell>
          <cell r="P104">
            <v>16.371789458815503</v>
          </cell>
          <cell r="Q104">
            <v>18.53558591825097</v>
          </cell>
          <cell r="R104">
            <v>21.003832021253807</v>
          </cell>
          <cell r="S104">
            <v>23.928255724130711</v>
          </cell>
        </row>
        <row r="105">
          <cell r="A105" t="str">
            <v>Revenue Yield</v>
          </cell>
          <cell r="B105">
            <v>1.4814405594405597E-2</v>
          </cell>
          <cell r="C105">
            <v>1.2801239669421489E-2</v>
          </cell>
          <cell r="D105">
            <v>1.2426770508826583E-2</v>
          </cell>
          <cell r="E105">
            <v>1.3578189894503056E-2</v>
          </cell>
          <cell r="F105">
            <v>1.2592337662337661E-2</v>
          </cell>
          <cell r="G105">
            <v>1.3371857949844506E-2</v>
          </cell>
          <cell r="H105">
            <v>1.2793547670724492E-2</v>
          </cell>
          <cell r="I105">
            <v>1.3816519597151742E-2</v>
          </cell>
          <cell r="J105">
            <v>1.3516250532986147E-2</v>
          </cell>
          <cell r="K105">
            <v>1.2854406843108587E-2</v>
          </cell>
          <cell r="L105">
            <v>1.3335804892895743E-2</v>
          </cell>
          <cell r="M105">
            <v>1.2859545248066989E-2</v>
          </cell>
          <cell r="N105">
            <v>1.2144761295036867E-2</v>
          </cell>
          <cell r="O105">
            <v>1.1214787275477926E-2</v>
          </cell>
          <cell r="P105">
            <v>1.0398366057068672E-2</v>
          </cell>
          <cell r="Q105">
            <v>9.5104292120056222E-3</v>
          </cell>
          <cell r="R105">
            <v>8.7502408482748959E-3</v>
          </cell>
          <cell r="S105">
            <v>8.1521124832451535E-3</v>
          </cell>
        </row>
        <row r="107">
          <cell r="A107" t="str">
            <v>Balance Sheet Statistics</v>
          </cell>
        </row>
        <row r="108">
          <cell r="A108" t="str">
            <v>EOP Asset</v>
          </cell>
          <cell r="B108">
            <v>31032.582999999999</v>
          </cell>
          <cell r="C108">
            <v>44567.686000000002</v>
          </cell>
          <cell r="D108">
            <v>47384.892999999996</v>
          </cell>
          <cell r="E108">
            <v>48892.799000000006</v>
          </cell>
          <cell r="F108">
            <v>51523.171000000002</v>
          </cell>
          <cell r="G108">
            <v>55078.919914862454</v>
          </cell>
          <cell r="H108">
            <v>55078.919914862454</v>
          </cell>
          <cell r="I108">
            <v>57661.284486900018</v>
          </cell>
          <cell r="J108">
            <v>58492.163303627211</v>
          </cell>
          <cell r="K108">
            <v>59374.655606845619</v>
          </cell>
          <cell r="L108">
            <v>62534.21558731432</v>
          </cell>
          <cell r="M108">
            <v>62534.21558731432</v>
          </cell>
          <cell r="N108">
            <v>69252.915821327304</v>
          </cell>
          <cell r="O108">
            <v>75524.236607777493</v>
          </cell>
          <cell r="P108">
            <v>81491.597867472345</v>
          </cell>
          <cell r="Q108">
            <v>86773.598701872615</v>
          </cell>
          <cell r="R108">
            <v>91816.443739380367</v>
          </cell>
          <cell r="S108">
            <v>97276.852966900202</v>
          </cell>
        </row>
        <row r="109">
          <cell r="A109" t="str">
            <v>Yr./Yr. Change</v>
          </cell>
          <cell r="B109" t="str">
            <v>NA</v>
          </cell>
          <cell r="C109">
            <v>0.4361577958238283</v>
          </cell>
          <cell r="D109">
            <v>1.4311351810427091</v>
          </cell>
          <cell r="E109">
            <v>1.3992834727924208</v>
          </cell>
          <cell r="F109">
            <v>1.4231948697645529</v>
          </cell>
          <cell r="G109">
            <v>1.2358487697759863</v>
          </cell>
          <cell r="H109">
            <v>1.2358487697759863</v>
          </cell>
          <cell r="I109">
            <v>0.21687062766818999</v>
          </cell>
          <cell r="J109">
            <v>0.19633493070476904</v>
          </cell>
          <cell r="K109">
            <v>0.15238744926715819</v>
          </cell>
          <cell r="L109">
            <v>0.13535660619300072</v>
          </cell>
          <cell r="M109">
            <v>0.13535660619300072</v>
          </cell>
          <cell r="N109">
            <v>0.10744038556991087</v>
          </cell>
          <cell r="O109">
            <v>9.0556776015470852E-2</v>
          </cell>
          <cell r="P109">
            <v>7.901253329689828E-2</v>
          </cell>
          <cell r="Q109">
            <v>6.4816508359429204E-2</v>
          </cell>
          <cell r="R109">
            <v>5.8114969448638476E-2</v>
          </cell>
          <cell r="S109">
            <v>5.9470929227221303E-2</v>
          </cell>
        </row>
        <row r="110">
          <cell r="A110" t="str">
            <v>EOP Liability</v>
          </cell>
          <cell r="B110">
            <v>28804.381000000001</v>
          </cell>
          <cell r="C110">
            <v>41168.125999999997</v>
          </cell>
          <cell r="D110">
            <v>43766.871999999996</v>
          </cell>
          <cell r="E110">
            <v>45045.813999999991</v>
          </cell>
          <cell r="F110">
            <v>47492.914000000004</v>
          </cell>
          <cell r="G110">
            <v>50892.922001332903</v>
          </cell>
          <cell r="H110">
            <v>50892.922001332903</v>
          </cell>
          <cell r="I110">
            <v>53325.155893485135</v>
          </cell>
          <cell r="J110">
            <v>54017.512810899731</v>
          </cell>
          <cell r="K110">
            <v>54951.243764135623</v>
          </cell>
          <cell r="L110">
            <v>57937.950741646717</v>
          </cell>
          <cell r="M110">
            <v>57937.950741646717</v>
          </cell>
          <cell r="N110">
            <v>64197.452966370416</v>
          </cell>
          <cell r="O110">
            <v>70010.967335409732</v>
          </cell>
          <cell r="P110">
            <v>75542.711223146864</v>
          </cell>
          <cell r="Q110">
            <v>80439.125996635921</v>
          </cell>
          <cell r="R110">
            <v>85113.8433464056</v>
          </cell>
          <cell r="S110">
            <v>90175.642700316486</v>
          </cell>
        </row>
        <row r="111">
          <cell r="A111" t="str">
            <v>Yr./Yr. Change</v>
          </cell>
          <cell r="B111" t="str">
            <v>NA</v>
          </cell>
          <cell r="C111">
            <v>0.42923140754179001</v>
          </cell>
          <cell r="D111">
            <v>0.42025850032893475</v>
          </cell>
          <cell r="E111">
            <v>0.38043860226811921</v>
          </cell>
          <cell r="F111">
            <v>0.40977991803414948</v>
          </cell>
          <cell r="G111">
            <v>0.23622148847224445</v>
          </cell>
          <cell r="H111">
            <v>0.23622148847224445</v>
          </cell>
          <cell r="I111">
            <v>0.2183908389314444</v>
          </cell>
          <cell r="J111">
            <v>0.1991683136395257</v>
          </cell>
          <cell r="K111">
            <v>0.1570408959141909</v>
          </cell>
          <cell r="L111">
            <v>0.1384284584824842</v>
          </cell>
          <cell r="M111">
            <v>0.1384284584824842</v>
          </cell>
          <cell r="N111">
            <v>0.10803803283681335</v>
          </cell>
          <cell r="O111">
            <v>9.055677601547063E-2</v>
          </cell>
          <cell r="P111">
            <v>7.9012533296898502E-2</v>
          </cell>
          <cell r="Q111">
            <v>6.4816508359429426E-2</v>
          </cell>
          <cell r="R111">
            <v>5.8114969448638476E-2</v>
          </cell>
          <cell r="S111">
            <v>5.9470929227221303E-2</v>
          </cell>
        </row>
        <row r="112">
          <cell r="A112" t="str">
            <v>EOP Equity</v>
          </cell>
          <cell r="B112">
            <v>2228.2019999999998</v>
          </cell>
          <cell r="C112">
            <v>3399.56</v>
          </cell>
          <cell r="D112">
            <v>3618.0209999999997</v>
          </cell>
          <cell r="E112">
            <v>3846.9850000000001</v>
          </cell>
          <cell r="F112">
            <v>4030.2569999999992</v>
          </cell>
          <cell r="G112">
            <v>4185.9979135295471</v>
          </cell>
          <cell r="H112">
            <v>4185.9979135295471</v>
          </cell>
          <cell r="I112">
            <v>4336.1285934148818</v>
          </cell>
          <cell r="J112">
            <v>4474.6504927274818</v>
          </cell>
          <cell r="K112">
            <v>4423.4118427099984</v>
          </cell>
          <cell r="L112">
            <v>4596.2648456676034</v>
          </cell>
          <cell r="M112">
            <v>4596.2648456676034</v>
          </cell>
          <cell r="N112">
            <v>5055.4628549568915</v>
          </cell>
          <cell r="O112">
            <v>5513.2692723677574</v>
          </cell>
          <cell r="P112">
            <v>5948.886644325481</v>
          </cell>
          <cell r="Q112">
            <v>6334.4727052366998</v>
          </cell>
          <cell r="R112">
            <v>6702.6003929747658</v>
          </cell>
          <cell r="S112">
            <v>7101.2102665837101</v>
          </cell>
        </row>
        <row r="113">
          <cell r="A113" t="str">
            <v>Yr./Yr. Change</v>
          </cell>
          <cell r="B113" t="str">
            <v>NA</v>
          </cell>
          <cell r="C113">
            <v>0.52569650327932571</v>
          </cell>
          <cell r="D113">
            <v>0.57725358934274484</v>
          </cell>
          <cell r="E113">
            <v>0.6655143242583299</v>
          </cell>
          <cell r="F113">
            <v>0.60293720506145809</v>
          </cell>
          <cell r="G113">
            <v>0.23133520618243164</v>
          </cell>
          <cell r="H113">
            <v>0.23133520618243164</v>
          </cell>
          <cell r="I113">
            <v>0.1984807698503912</v>
          </cell>
          <cell r="J113">
            <v>0.16315776971510987</v>
          </cell>
          <cell r="K113">
            <v>9.7550811948220462E-2</v>
          </cell>
          <cell r="L113">
            <v>9.8009349410336455E-2</v>
          </cell>
          <cell r="M113">
            <v>9.8009349410336455E-2</v>
          </cell>
          <cell r="N113">
            <v>9.990677750480903E-2</v>
          </cell>
          <cell r="O113">
            <v>9.0556776015471296E-2</v>
          </cell>
          <cell r="P113">
            <v>7.901253329689828E-2</v>
          </cell>
          <cell r="Q113">
            <v>6.4816508359429204E-2</v>
          </cell>
          <cell r="R113">
            <v>5.8114969448638698E-2</v>
          </cell>
          <cell r="S113">
            <v>5.9470929227220859E-2</v>
          </cell>
        </row>
        <row r="115">
          <cell r="A115" t="str">
            <v>Leverage</v>
          </cell>
        </row>
        <row r="116">
          <cell r="A116" t="str">
            <v>Equity/Asset Ratio</v>
          </cell>
          <cell r="B116">
            <v>7.1802015320477836E-2</v>
          </cell>
          <cell r="C116">
            <v>7.6278584443446304E-2</v>
          </cell>
          <cell r="D116">
            <v>7.6353891946110336E-2</v>
          </cell>
          <cell r="E116">
            <v>7.8682036591932472E-2</v>
          </cell>
          <cell r="F116">
            <v>7.8222223550642858E-2</v>
          </cell>
          <cell r="G116">
            <v>7.6000000000000012E-2</v>
          </cell>
          <cell r="H116">
            <v>7.6000000000000012E-2</v>
          </cell>
          <cell r="I116">
            <v>7.5200000000000003E-2</v>
          </cell>
          <cell r="J116">
            <v>7.6499999999999999E-2</v>
          </cell>
          <cell r="K116">
            <v>7.4499999999999997E-2</v>
          </cell>
          <cell r="L116">
            <v>7.350000000000001E-2</v>
          </cell>
          <cell r="M116">
            <v>7.350000000000001E-2</v>
          </cell>
          <cell r="N116">
            <v>7.2999999999999982E-2</v>
          </cell>
          <cell r="O116">
            <v>7.3000000000000009E-2</v>
          </cell>
          <cell r="P116">
            <v>7.2999999999999995E-2</v>
          </cell>
          <cell r="Q116">
            <v>7.2999999999999982E-2</v>
          </cell>
          <cell r="R116">
            <v>7.2999999999999995E-2</v>
          </cell>
          <cell r="S116">
            <v>7.2999999999999954E-2</v>
          </cell>
        </row>
        <row r="117">
          <cell r="A117" t="str">
            <v>Tangible Equity/Assets</v>
          </cell>
          <cell r="B117">
            <v>4.0422370300504919E-2</v>
          </cell>
          <cell r="C117">
            <v>1.6448112967235456E-2</v>
          </cell>
          <cell r="D117">
            <v>2.4141612456240982E-2</v>
          </cell>
          <cell r="E117">
            <v>2.8549056782281798E-2</v>
          </cell>
          <cell r="F117">
            <v>2.9981436180718326E-2</v>
          </cell>
          <cell r="G117">
            <v>3.1138419262790182E-2</v>
          </cell>
          <cell r="H117">
            <v>3.1138419262790182E-2</v>
          </cell>
          <cell r="I117">
            <v>3.2614143579653483E-2</v>
          </cell>
          <cell r="J117">
            <v>3.481248755995156E-2</v>
          </cell>
          <cell r="K117">
            <v>3.3574749909670014E-2</v>
          </cell>
          <cell r="L117">
            <v>3.4880200894310945E-2</v>
          </cell>
          <cell r="M117">
            <v>3.4880200894310945E-2</v>
          </cell>
          <cell r="N117">
            <v>3.8939780705117846E-2</v>
          </cell>
          <cell r="O117">
            <v>4.249203627295417E-2</v>
          </cell>
          <cell r="P117">
            <v>4.5373409189245331E-2</v>
          </cell>
          <cell r="Q117">
            <v>4.7643576801649719E-2</v>
          </cell>
          <cell r="R117">
            <v>4.958186456176969E-2</v>
          </cell>
          <cell r="S117">
            <v>5.1406902315870508E-2</v>
          </cell>
        </row>
        <row r="118">
          <cell r="A118" t="str">
            <v>Debt/Equity</v>
          </cell>
          <cell r="B118">
            <v>0.96992283464425599</v>
          </cell>
          <cell r="C118">
            <v>1.649902634458577</v>
          </cell>
          <cell r="D118">
            <v>1.2123672029543224</v>
          </cell>
          <cell r="E118">
            <v>1.2687748977445974</v>
          </cell>
          <cell r="F118">
            <v>1.3913323641643698</v>
          </cell>
          <cell r="G118">
            <v>1.3563590976846516</v>
          </cell>
          <cell r="H118">
            <v>1.3563590976846516</v>
          </cell>
          <cell r="I118">
            <v>1.2954759943704401</v>
          </cell>
          <cell r="J118">
            <v>1.2741837177384094</v>
          </cell>
          <cell r="K118">
            <v>1.3651245610167366</v>
          </cell>
          <cell r="L118">
            <v>1.3123499130365526</v>
          </cell>
          <cell r="M118">
            <v>1.3123499130365526</v>
          </cell>
          <cell r="N118">
            <v>1.0597670964569936</v>
          </cell>
          <cell r="O118">
            <v>0.76830645722735658</v>
          </cell>
          <cell r="P118">
            <v>0.56006015772528517</v>
          </cell>
          <cell r="Q118">
            <v>0.37093742358232629</v>
          </cell>
          <cell r="R118">
            <v>0.25457498050452854</v>
          </cell>
          <cell r="S118">
            <v>0.29211795298521775</v>
          </cell>
        </row>
        <row r="119">
          <cell r="A119" t="str">
            <v>Debt/EBITDA (Annaulized)</v>
          </cell>
          <cell r="B119">
            <v>3.5497797385771195</v>
          </cell>
          <cell r="C119">
            <v>7.59483210362332</v>
          </cell>
          <cell r="D119">
            <v>4.0077205613624729</v>
          </cell>
          <cell r="E119">
            <v>4.1438499677386496</v>
          </cell>
          <cell r="F119">
            <v>4.8590379716122767</v>
          </cell>
          <cell r="G119">
            <v>4.4593798262005118</v>
          </cell>
          <cell r="H119">
            <v>4.832523036515286</v>
          </cell>
          <cell r="I119">
            <v>4.0340533828084286</v>
          </cell>
          <cell r="J119">
            <v>4.0001469844500708</v>
          </cell>
          <cell r="K119">
            <v>4.3448640449310396</v>
          </cell>
          <cell r="L119">
            <v>4.0604959404464092</v>
          </cell>
          <cell r="M119">
            <v>4.2380285902697663</v>
          </cell>
          <cell r="N119">
            <v>3.3286087513448424</v>
          </cell>
          <cell r="O119">
            <v>2.4196890470881089</v>
          </cell>
          <cell r="P119">
            <v>1.7373276380701224</v>
          </cell>
          <cell r="Q119">
            <v>1.1431348202527256</v>
          </cell>
          <cell r="R119">
            <v>0.77589741215820018</v>
          </cell>
          <cell r="S119">
            <v>0.87575754997868138</v>
          </cell>
        </row>
        <row r="121">
          <cell r="A121" t="str">
            <v>Per Account Statistics</v>
          </cell>
        </row>
        <row r="122">
          <cell r="A122" t="str">
            <v>Client Assets/Acct. (Thous.)</v>
          </cell>
          <cell r="B122">
            <v>27.939330622762377</v>
          </cell>
          <cell r="C122">
            <v>31.070704410919525</v>
          </cell>
          <cell r="D122">
            <v>44.434867389836839</v>
          </cell>
          <cell r="E122">
            <v>41.157125381606093</v>
          </cell>
          <cell r="F122">
            <v>41.745447645380565</v>
          </cell>
          <cell r="G122">
            <v>42.37162936006127</v>
          </cell>
          <cell r="H122">
            <v>42.37162936006127</v>
          </cell>
          <cell r="I122">
            <v>43.007203800462186</v>
          </cell>
          <cell r="J122">
            <v>43.652311857469115</v>
          </cell>
          <cell r="K122">
            <v>44.307096535331148</v>
          </cell>
          <cell r="L122">
            <v>44.971702983361112</v>
          </cell>
          <cell r="M122">
            <v>44.971702983361112</v>
          </cell>
          <cell r="N122">
            <v>49.468873281697228</v>
          </cell>
          <cell r="O122">
            <v>53.921071877049982</v>
          </cell>
          <cell r="P122">
            <v>58.504362986599226</v>
          </cell>
          <cell r="Q122">
            <v>63.184712025527169</v>
          </cell>
          <cell r="R122">
            <v>67.607641867314072</v>
          </cell>
          <cell r="S122">
            <v>71.664100379352917</v>
          </cell>
        </row>
        <row r="123">
          <cell r="A123" t="str">
            <v>Yr./Yr. Change</v>
          </cell>
          <cell r="H123">
            <v>0.36371640628688584</v>
          </cell>
          <cell r="I123">
            <v>-3.2129354113954012E-2</v>
          </cell>
          <cell r="J123">
            <v>6.0625868612732781E-2</v>
          </cell>
          <cell r="K123">
            <v>6.1363550624999652E-2</v>
          </cell>
          <cell r="L123">
            <v>6.1363550624999652E-2</v>
          </cell>
          <cell r="M123">
            <v>6.1363550624999652E-2</v>
          </cell>
          <cell r="N123">
            <v>0.10000000000000009</v>
          </cell>
          <cell r="O123">
            <v>9.000000000000008E-2</v>
          </cell>
          <cell r="P123">
            <v>8.4999999999999964E-2</v>
          </cell>
          <cell r="Q123">
            <v>8.0000000000000071E-2</v>
          </cell>
          <cell r="R123">
            <v>7.0000000000000062E-2</v>
          </cell>
          <cell r="S123">
            <v>6.0000000000000053E-2</v>
          </cell>
        </row>
        <row r="124">
          <cell r="A124" t="str">
            <v>Trades/Acct. (Annualized)</v>
          </cell>
          <cell r="B124">
            <v>5.8715393678007732</v>
          </cell>
          <cell r="C124">
            <v>5.7383354132730506</v>
          </cell>
          <cell r="D124">
            <v>10.198054924818329</v>
          </cell>
          <cell r="E124">
            <v>9.5366850300725847</v>
          </cell>
          <cell r="F124">
            <v>7.6313072785718017</v>
          </cell>
          <cell r="G124">
            <v>8.9989178459473393</v>
          </cell>
          <cell r="H124">
            <v>8.9396250648939457</v>
          </cell>
          <cell r="I124">
            <v>10.077208645102212</v>
          </cell>
          <cell r="J124">
            <v>9.0216203210452672</v>
          </cell>
          <cell r="K124">
            <v>8.0672275332311241</v>
          </cell>
          <cell r="L124">
            <v>9.4078765122640871</v>
          </cell>
          <cell r="M124">
            <v>8.9834688635408391</v>
          </cell>
          <cell r="N124">
            <v>9.4009398861114839</v>
          </cell>
          <cell r="O124">
            <v>9.6873093996121042</v>
          </cell>
          <cell r="P124">
            <v>9.8354280253025053</v>
          </cell>
          <cell r="Q124">
            <v>9.637238918757749</v>
          </cell>
          <cell r="R124">
            <v>9.4255527354719497</v>
          </cell>
          <cell r="S124">
            <v>9.2089639007546236</v>
          </cell>
        </row>
        <row r="125">
          <cell r="A125" t="str">
            <v>Revenue/Acct.</v>
          </cell>
          <cell r="B125">
            <v>413.90457588179862</v>
          </cell>
          <cell r="C125">
            <v>397.74353386193229</v>
          </cell>
          <cell r="D125">
            <v>552.18189964364456</v>
          </cell>
          <cell r="E125">
            <v>558.839263943319</v>
          </cell>
          <cell r="F125">
            <v>525.67277261607069</v>
          </cell>
          <cell r="G125">
            <v>566.58740890620015</v>
          </cell>
          <cell r="H125">
            <v>542.08346010421315</v>
          </cell>
          <cell r="I125">
            <v>594.2098741277847</v>
          </cell>
          <cell r="J125">
            <v>590.01558340959446</v>
          </cell>
          <cell r="K125">
            <v>569.5414449020335</v>
          </cell>
          <cell r="L125">
            <v>599.73385668736114</v>
          </cell>
          <cell r="M125">
            <v>578.31564939716156</v>
          </cell>
          <cell r="N125">
            <v>600.78765754063988</v>
          </cell>
          <cell r="O125">
            <v>604.7133507668708</v>
          </cell>
          <cell r="P125">
            <v>608.34978227027818</v>
          </cell>
          <cell r="Q125">
            <v>600.91373099973646</v>
          </cell>
          <cell r="R125">
            <v>591.58314952291164</v>
          </cell>
          <cell r="S125">
            <v>584.21380730305668</v>
          </cell>
        </row>
        <row r="126">
          <cell r="A126" t="str">
            <v>Expense/Acct.</v>
          </cell>
          <cell r="B126">
            <v>271.14129514009164</v>
          </cell>
          <cell r="C126">
            <v>253.06400098231052</v>
          </cell>
          <cell r="D126">
            <v>327.47066860402083</v>
          </cell>
          <cell r="E126">
            <v>317.81893287183738</v>
          </cell>
          <cell r="F126">
            <v>292.68167063112884</v>
          </cell>
          <cell r="G126">
            <v>309.58156930981272</v>
          </cell>
          <cell r="H126">
            <v>306.83125664470901</v>
          </cell>
          <cell r="I126">
            <v>312.75991664223841</v>
          </cell>
          <cell r="J126">
            <v>304.23455280808514</v>
          </cell>
          <cell r="K126">
            <v>294.37322037482517</v>
          </cell>
          <cell r="L126">
            <v>307.70385508847795</v>
          </cell>
          <cell r="M126">
            <v>299.52622849549732</v>
          </cell>
          <cell r="N126">
            <v>299.7248090825837</v>
          </cell>
          <cell r="O126">
            <v>295.38532166706369</v>
          </cell>
          <cell r="P126">
            <v>289.5420242063679</v>
          </cell>
          <cell r="Q126">
            <v>280.91034557746821</v>
          </cell>
          <cell r="R126">
            <v>271.65348813312147</v>
          </cell>
          <cell r="S126">
            <v>262.46598150337962</v>
          </cell>
        </row>
        <row r="127">
          <cell r="A127" t="str">
            <v>Opearing Income per Acct.</v>
          </cell>
          <cell r="B127">
            <v>142.76328074170698</v>
          </cell>
          <cell r="C127">
            <v>144.67953287962177</v>
          </cell>
          <cell r="D127">
            <v>224.71123103962373</v>
          </cell>
          <cell r="E127">
            <v>241.02033107148162</v>
          </cell>
          <cell r="F127">
            <v>232.99110198494185</v>
          </cell>
          <cell r="G127">
            <v>257.00583959638743</v>
          </cell>
          <cell r="H127">
            <v>235.25220345950413</v>
          </cell>
          <cell r="I127">
            <v>281.44995748554629</v>
          </cell>
          <cell r="J127">
            <v>285.78103060150931</v>
          </cell>
          <cell r="K127">
            <v>275.16822452720834</v>
          </cell>
          <cell r="L127">
            <v>292.03000159888319</v>
          </cell>
          <cell r="M127">
            <v>278.78942090166424</v>
          </cell>
          <cell r="N127">
            <v>301.06284845805618</v>
          </cell>
          <cell r="O127">
            <v>309.32802909980711</v>
          </cell>
          <cell r="P127">
            <v>318.80775806391028</v>
          </cell>
          <cell r="Q127">
            <v>320.00338542226825</v>
          </cell>
          <cell r="R127">
            <v>319.92966138979017</v>
          </cell>
          <cell r="S127">
            <v>321.74782579967706</v>
          </cell>
        </row>
        <row r="128">
          <cell r="A128" t="str">
            <v>Acquisition cost</v>
          </cell>
          <cell r="B128" t="str">
            <v>NA</v>
          </cell>
          <cell r="C128">
            <v>151.11659522264151</v>
          </cell>
          <cell r="D128">
            <v>686.61165508529405</v>
          </cell>
          <cell r="E128">
            <v>733.38315774248349</v>
          </cell>
          <cell r="F128">
            <v>469.66631969675802</v>
          </cell>
          <cell r="G128">
            <v>708.27494408044981</v>
          </cell>
          <cell r="H128">
            <v>644.04451375598251</v>
          </cell>
          <cell r="I128">
            <v>850.47344975498174</v>
          </cell>
          <cell r="J128">
            <v>728.24494561183519</v>
          </cell>
          <cell r="K128">
            <v>529.19319436361252</v>
          </cell>
          <cell r="L128">
            <v>636.97998337953629</v>
          </cell>
          <cell r="M128">
            <v>678.1939885614886</v>
          </cell>
          <cell r="N128">
            <v>535.88127051663832</v>
          </cell>
          <cell r="O128">
            <v>467.851971485494</v>
          </cell>
          <cell r="P128">
            <v>425.05953871998003</v>
          </cell>
          <cell r="Q128">
            <v>392.89901853890944</v>
          </cell>
          <cell r="R128">
            <v>367.44307014996048</v>
          </cell>
          <cell r="S128">
            <v>347.27106174725111</v>
          </cell>
        </row>
        <row r="130">
          <cell r="A130" t="str">
            <v>A=Actual                   E=Morgan Stanley Research Estimates</v>
          </cell>
        </row>
        <row r="131">
          <cell r="A131" t="str">
            <v>Source: Company data, Morgan Stanley Research</v>
          </cell>
        </row>
        <row r="134">
          <cell r="A134" t="str">
            <v>Table XX</v>
          </cell>
        </row>
        <row r="135">
          <cell r="A135" t="str">
            <v>E*Trade Financial (ET)</v>
          </cell>
        </row>
        <row r="136">
          <cell r="A136" t="str">
            <v>2006A-2008E</v>
          </cell>
        </row>
        <row r="137">
          <cell r="A137" t="str">
            <v>($Billion)</v>
          </cell>
        </row>
        <row r="139">
          <cell r="A139" t="str">
            <v>Key Metrics-Asset Based</v>
          </cell>
          <cell r="B139" t="str">
            <v>2004A</v>
          </cell>
          <cell r="C139" t="str">
            <v>2005A</v>
          </cell>
          <cell r="D139" t="str">
            <v>1Q06A</v>
          </cell>
          <cell r="E139" t="str">
            <v>2Q06A</v>
          </cell>
          <cell r="F139" t="str">
            <v>3Q06A</v>
          </cell>
          <cell r="G139" t="str">
            <v>4Q06E</v>
          </cell>
          <cell r="H139" t="str">
            <v>2006E</v>
          </cell>
          <cell r="I139" t="str">
            <v>1Q07E</v>
          </cell>
          <cell r="J139" t="str">
            <v>2Q07E</v>
          </cell>
          <cell r="K139" t="str">
            <v>3Q07E</v>
          </cell>
          <cell r="L139" t="str">
            <v>4Q07E</v>
          </cell>
          <cell r="M139" t="str">
            <v>2007E</v>
          </cell>
          <cell r="N139" t="str">
            <v>2008E</v>
          </cell>
          <cell r="O139" t="str">
            <v>2009E</v>
          </cell>
          <cell r="P139" t="str">
            <v>2010E</v>
          </cell>
          <cell r="Q139" t="str">
            <v>2011E</v>
          </cell>
          <cell r="R139" t="str">
            <v>2012E</v>
          </cell>
          <cell r="S139" t="str">
            <v>2013E</v>
          </cell>
        </row>
        <row r="140">
          <cell r="A140" t="str">
            <v>Loan Profolio</v>
          </cell>
        </row>
        <row r="141">
          <cell r="A141" t="str">
            <v>Real estate loans</v>
          </cell>
          <cell r="B141">
            <v>7288.3340000000007</v>
          </cell>
          <cell r="C141">
            <v>15198.484</v>
          </cell>
          <cell r="D141">
            <v>15464.772000000001</v>
          </cell>
          <cell r="E141">
            <v>16902.292000000001</v>
          </cell>
          <cell r="F141">
            <v>19359.238000000001</v>
          </cell>
          <cell r="G141">
            <v>21147.587860000003</v>
          </cell>
          <cell r="H141">
            <v>21147.587860000003</v>
          </cell>
          <cell r="I141">
            <v>22321.969094600005</v>
          </cell>
          <cell r="J141">
            <v>23562.089501426006</v>
          </cell>
          <cell r="K141">
            <v>24871.657245719067</v>
          </cell>
          <cell r="L141">
            <v>26254.591173380089</v>
          </cell>
          <cell r="M141">
            <v>26254.591173380089</v>
          </cell>
          <cell r="N141">
            <v>30931.340495874945</v>
          </cell>
          <cell r="O141">
            <v>35265.256431562026</v>
          </cell>
          <cell r="P141">
            <v>39421.979964998034</v>
          </cell>
          <cell r="Q141">
            <v>43373.998582367174</v>
          </cell>
          <cell r="R141">
            <v>47211.525056451443</v>
          </cell>
          <cell r="S141">
            <v>51397.81304105345</v>
          </cell>
        </row>
        <row r="142">
          <cell r="A142" t="str">
            <v>Yr./Yr. Change</v>
          </cell>
          <cell r="C142">
            <v>1.0853166169387953</v>
          </cell>
          <cell r="D142">
            <v>0.79901563951033916</v>
          </cell>
          <cell r="E142">
            <v>0.47895215836047211</v>
          </cell>
          <cell r="F142">
            <v>0.46058667497181704</v>
          </cell>
          <cell r="G142">
            <v>0.39142745158003933</v>
          </cell>
          <cell r="H142">
            <v>0.39142745158003933</v>
          </cell>
          <cell r="I142">
            <v>0.4434075778550115</v>
          </cell>
          <cell r="J142">
            <v>0.39401742091699776</v>
          </cell>
          <cell r="K142">
            <v>0.28474360642289054</v>
          </cell>
          <cell r="L142">
            <v>0.2414934198259</v>
          </cell>
          <cell r="M142">
            <v>0.2414934198259</v>
          </cell>
          <cell r="N142">
            <v>0.17813072356033022</v>
          </cell>
          <cell r="O142">
            <v>0.14011406768048285</v>
          </cell>
          <cell r="P142">
            <v>0.11787021998557723</v>
          </cell>
          <cell r="Q142">
            <v>0.10024911536351189</v>
          </cell>
          <cell r="R142">
            <v>8.8475275499371175E-2</v>
          </cell>
          <cell r="S142">
            <v>8.8670890838548511E-2</v>
          </cell>
        </row>
        <row r="143">
          <cell r="A143" t="str">
            <v>Consumer and other loans</v>
          </cell>
          <cell r="B143">
            <v>4069.174</v>
          </cell>
          <cell r="C143">
            <v>3966.1239999999998</v>
          </cell>
          <cell r="D143">
            <v>3849.0070000000005</v>
          </cell>
          <cell r="E143">
            <v>3742.0219999999999</v>
          </cell>
          <cell r="F143">
            <v>3570.89</v>
          </cell>
          <cell r="G143">
            <v>3484.7442999999998</v>
          </cell>
          <cell r="H143">
            <v>3484.7442999999998</v>
          </cell>
          <cell r="I143">
            <v>3446.9550143999995</v>
          </cell>
          <cell r="J143">
            <v>3411.0223211064995</v>
          </cell>
          <cell r="K143">
            <v>3382.3680054585971</v>
          </cell>
          <cell r="L143">
            <v>3360.8696329612076</v>
          </cell>
          <cell r="M143">
            <v>3360.8696329612076</v>
          </cell>
          <cell r="N143">
            <v>3352.2937586275461</v>
          </cell>
          <cell r="O143">
            <v>3391.704947028511</v>
          </cell>
          <cell r="P143">
            <v>3396.2019897997852</v>
          </cell>
          <cell r="Q143">
            <v>3408.2989872582712</v>
          </cell>
          <cell r="R143">
            <v>3418.0556949218444</v>
          </cell>
          <cell r="S143">
            <v>3451.7035936662514</v>
          </cell>
        </row>
        <row r="144">
          <cell r="A144" t="str">
            <v>Yr./Yr. Change</v>
          </cell>
          <cell r="C144">
            <v>-2.5324549896367232E-2</v>
          </cell>
          <cell r="D144">
            <v>-7.7240289404153173E-2</v>
          </cell>
          <cell r="E144">
            <v>-8.5610496797456359E-2</v>
          </cell>
          <cell r="F144">
            <v>-0.12300982671849703</v>
          </cell>
          <cell r="G144">
            <v>-0.12137283151005873</v>
          </cell>
          <cell r="H144">
            <v>-0.12137283151005873</v>
          </cell>
          <cell r="I144">
            <v>-0.10445602868480131</v>
          </cell>
          <cell r="J144">
            <v>-8.8454765603596219E-2</v>
          </cell>
          <cell r="K144">
            <v>-5.2794119824862373E-2</v>
          </cell>
          <cell r="L144">
            <v>-3.5547706337820006E-2</v>
          </cell>
          <cell r="M144">
            <v>-3.5547706337820006E-2</v>
          </cell>
          <cell r="N144">
            <v>-2.5516831267582418E-3</v>
          </cell>
          <cell r="O144">
            <v>1.1756484138520262E-2</v>
          </cell>
          <cell r="P144">
            <v>1.3258944517606785E-3</v>
          </cell>
          <cell r="Q144">
            <v>3.5619193130498328E-3</v>
          </cell>
          <cell r="R144">
            <v>2.8626325624740989E-3</v>
          </cell>
          <cell r="S144">
            <v>9.8441633921872995E-3</v>
          </cell>
        </row>
        <row r="145">
          <cell r="A145" t="str">
            <v>Total loans receiveable, net</v>
          </cell>
          <cell r="B145">
            <v>11357.508000000002</v>
          </cell>
          <cell r="C145">
            <v>19164.608</v>
          </cell>
          <cell r="D145">
            <v>19313.779000000002</v>
          </cell>
          <cell r="E145">
            <v>20644.314000000002</v>
          </cell>
          <cell r="F145">
            <v>22930.128000000001</v>
          </cell>
          <cell r="G145">
            <v>24632.332160000002</v>
          </cell>
          <cell r="H145">
            <v>24632.332160000002</v>
          </cell>
          <cell r="I145">
            <v>25768.924109000003</v>
          </cell>
          <cell r="J145">
            <v>26973.111822532504</v>
          </cell>
          <cell r="K145">
            <v>28254.025251177663</v>
          </cell>
          <cell r="L145">
            <v>29615.460806341296</v>
          </cell>
          <cell r="M145">
            <v>29615.460806341296</v>
          </cell>
          <cell r="N145">
            <v>34283.634254502489</v>
          </cell>
          <cell r="O145">
            <v>38656.961378590539</v>
          </cell>
          <cell r="P145">
            <v>42818.181954797823</v>
          </cell>
          <cell r="Q145">
            <v>46782.297569625443</v>
          </cell>
          <cell r="R145">
            <v>50629.580751373287</v>
          </cell>
          <cell r="S145">
            <v>54849.516634719701</v>
          </cell>
        </row>
        <row r="146">
          <cell r="A146" t="str">
            <v>Yr./Yr. Change</v>
          </cell>
          <cell r="C146">
            <v>0.68739550964877139</v>
          </cell>
          <cell r="D146">
            <v>0.49374128080228918</v>
          </cell>
          <cell r="E146">
            <v>0.31437585318688321</v>
          </cell>
          <cell r="F146">
            <v>0.30774621150660808</v>
          </cell>
          <cell r="G146">
            <v>0.26808058216016106</v>
          </cell>
          <cell r="H146">
            <v>0.26808058216016106</v>
          </cell>
          <cell r="I146">
            <v>0.33422486138005403</v>
          </cell>
          <cell r="J146">
            <v>0.30656372609583937</v>
          </cell>
          <cell r="K146">
            <v>0.23217913354769171</v>
          </cell>
          <cell r="L146">
            <v>0.20230031870199072</v>
          </cell>
          <cell r="M146">
            <v>0.20230031870199072</v>
          </cell>
          <cell r="N146">
            <v>0.15762623038982526</v>
          </cell>
          <cell r="O146">
            <v>0.12756311339757387</v>
          </cell>
          <cell r="P146">
            <v>0.10764479223946188</v>
          </cell>
          <cell r="Q146">
            <v>9.2580194530735627E-2</v>
          </cell>
          <cell r="R146">
            <v>8.2238012701748575E-2</v>
          </cell>
          <cell r="S146">
            <v>8.3349216420915084E-2</v>
          </cell>
        </row>
        <row r="148">
          <cell r="A148" t="str">
            <v>Average Interest Earning Assets</v>
          </cell>
        </row>
        <row r="149">
          <cell r="A149" t="str">
            <v>Loans, net</v>
          </cell>
          <cell r="B149">
            <v>10065.174000000001</v>
          </cell>
          <cell r="C149">
            <v>15488.527</v>
          </cell>
          <cell r="D149">
            <v>19571.063999999998</v>
          </cell>
          <cell r="E149">
            <v>20419.936000000002</v>
          </cell>
          <cell r="F149">
            <v>22955.022000000001</v>
          </cell>
          <cell r="G149">
            <v>24136.442080000001</v>
          </cell>
          <cell r="H149">
            <v>21770.616020000001</v>
          </cell>
          <cell r="I149">
            <v>25555.828134500003</v>
          </cell>
          <cell r="J149">
            <v>26726.217965766256</v>
          </cell>
          <cell r="K149">
            <v>27968.768536855085</v>
          </cell>
          <cell r="L149">
            <v>29289.943028759481</v>
          </cell>
          <cell r="M149">
            <v>27385.18941647021</v>
          </cell>
          <cell r="N149">
            <v>32208.222870359299</v>
          </cell>
          <cell r="O149">
            <v>36712.451675102231</v>
          </cell>
          <cell r="P149">
            <v>40966.553827070849</v>
          </cell>
          <cell r="Q149">
            <v>45023.993816040544</v>
          </cell>
          <cell r="R149">
            <v>48929.693214328276</v>
          </cell>
          <cell r="S149">
            <v>52963.302746875401</v>
          </cell>
        </row>
        <row r="150">
          <cell r="A150" t="str">
            <v>Yr./Yr. Change</v>
          </cell>
          <cell r="B150">
            <v>0.3140268934160495</v>
          </cell>
          <cell r="C150">
            <v>0.53882357125669156</v>
          </cell>
          <cell r="D150">
            <v>0.60612991251458426</v>
          </cell>
          <cell r="E150">
            <v>0.42904323226238272</v>
          </cell>
          <cell r="F150">
            <v>0.34834427827966596</v>
          </cell>
          <cell r="G150">
            <v>0.31389151796654957</v>
          </cell>
          <cell r="H150">
            <v>0.40752390884384426</v>
          </cell>
          <cell r="I150">
            <v>0.30579656448417958</v>
          </cell>
          <cell r="J150">
            <v>0.30882966360747921</v>
          </cell>
          <cell r="K150">
            <v>0.21841610680464973</v>
          </cell>
          <cell r="L150">
            <v>0.21351535291234103</v>
          </cell>
          <cell r="M150">
            <v>0.25789685470141355</v>
          </cell>
          <cell r="N150">
            <v>0.1761183163841249</v>
          </cell>
          <cell r="O150">
            <v>0.13984716955272014</v>
          </cell>
          <cell r="P150">
            <v>0.11587627515635734</v>
          </cell>
          <cell r="Q150">
            <v>9.9042746092265155E-2</v>
          </cell>
          <cell r="R150">
            <v>8.6747066780563209E-2</v>
          </cell>
          <cell r="S150">
            <v>8.2436844941548681E-2</v>
          </cell>
        </row>
        <row r="151">
          <cell r="A151" t="str">
            <v>Margin receivables</v>
          </cell>
          <cell r="B151" t="str">
            <v>NA</v>
          </cell>
          <cell r="C151" t="str">
            <v>NA</v>
          </cell>
          <cell r="D151">
            <v>6477.585</v>
          </cell>
          <cell r="E151">
            <v>6982.8370000000004</v>
          </cell>
          <cell r="F151">
            <v>6645.0169999999998</v>
          </cell>
          <cell r="G151">
            <v>6844.36751</v>
          </cell>
          <cell r="H151">
            <v>6737.4516274999996</v>
          </cell>
          <cell r="I151">
            <v>7255.0295606</v>
          </cell>
          <cell r="J151">
            <v>7327.5798562059999</v>
          </cell>
          <cell r="K151">
            <v>6917.2353842584635</v>
          </cell>
          <cell r="L151">
            <v>7332.2695073139712</v>
          </cell>
          <cell r="M151">
            <v>7208.0285770946084</v>
          </cell>
          <cell r="N151">
            <v>7712.5905774912317</v>
          </cell>
          <cell r="O151">
            <v>8175.3460121407061</v>
          </cell>
          <cell r="P151">
            <v>8584.1133127477424</v>
          </cell>
          <cell r="Q151">
            <v>9013.3189783851303</v>
          </cell>
          <cell r="R151">
            <v>9463.9849273043874</v>
          </cell>
          <cell r="S151">
            <v>9937.1841736696078</v>
          </cell>
        </row>
        <row r="152">
          <cell r="A152" t="str">
            <v>Yr./Yr. Change</v>
          </cell>
          <cell r="B152" t="str">
            <v>NA</v>
          </cell>
          <cell r="C152" t="str">
            <v>NA</v>
          </cell>
          <cell r="D152">
            <v>1.9291333134970339</v>
          </cell>
          <cell r="E152">
            <v>2.1797982695810565</v>
          </cell>
          <cell r="F152">
            <v>1.9300076105044361</v>
          </cell>
          <cell r="G152">
            <v>0.9550492806496218</v>
          </cell>
          <cell r="H152">
            <v>1.6483123555025689</v>
          </cell>
          <cell r="I152">
            <v>0.12002074239087568</v>
          </cell>
          <cell r="J152">
            <v>4.9370027713091291E-2</v>
          </cell>
          <cell r="K152">
            <v>4.0965791999999945E-2</v>
          </cell>
          <cell r="L152">
            <v>7.1285183999999946E-2</v>
          </cell>
          <cell r="M152">
            <v>6.9844946667056318E-2</v>
          </cell>
          <cell r="N152">
            <v>7.0000000000000062E-2</v>
          </cell>
          <cell r="O152">
            <v>6.0000000000000053E-2</v>
          </cell>
          <cell r="P152">
            <v>5.0000000000000044E-2</v>
          </cell>
          <cell r="Q152">
            <v>5.0000000000000044E-2</v>
          </cell>
          <cell r="R152">
            <v>5.0000000000000044E-2</v>
          </cell>
          <cell r="S152">
            <v>5.0000000000000044E-2</v>
          </cell>
        </row>
        <row r="153">
          <cell r="A153" t="str">
            <v>Mortgage-backed and related available for sale securities</v>
          </cell>
          <cell r="B153">
            <v>8300.5360000000001</v>
          </cell>
          <cell r="C153">
            <v>9421.9879999999994</v>
          </cell>
          <cell r="D153">
            <v>10555.616</v>
          </cell>
          <cell r="E153">
            <v>11715.51</v>
          </cell>
          <cell r="F153">
            <v>12068.052</v>
          </cell>
          <cell r="G153">
            <v>12430.093559999999</v>
          </cell>
          <cell r="H153">
            <v>11692.31789</v>
          </cell>
          <cell r="I153">
            <v>12802.9963668</v>
          </cell>
          <cell r="J153">
            <v>13187.086257804</v>
          </cell>
          <cell r="K153">
            <v>13582.69884553812</v>
          </cell>
          <cell r="L153">
            <v>13990.179810904263</v>
          </cell>
          <cell r="M153">
            <v>13390.740320261597</v>
          </cell>
          <cell r="N153">
            <v>14461.999545882525</v>
          </cell>
          <cell r="O153">
            <v>15329.719518635477</v>
          </cell>
          <cell r="P153">
            <v>16096.205494567252</v>
          </cell>
          <cell r="Q153">
            <v>16740.053714349942</v>
          </cell>
          <cell r="R153">
            <v>17242.255325780439</v>
          </cell>
          <cell r="S153">
            <v>17759.522985553853</v>
          </cell>
        </row>
        <row r="154">
          <cell r="A154" t="str">
            <v>Yr./Yr. Change</v>
          </cell>
          <cell r="B154">
            <v>0.23758004613042671</v>
          </cell>
          <cell r="C154">
            <v>0.13510597387927703</v>
          </cell>
          <cell r="D154">
            <v>0.18478530372788815</v>
          </cell>
          <cell r="E154">
            <v>0.23979541461811271</v>
          </cell>
          <cell r="F154">
            <v>0.33214249050405509</v>
          </cell>
          <cell r="G154">
            <v>0.21161413177876187</v>
          </cell>
          <cell r="H154">
            <v>0.24131801202252623</v>
          </cell>
          <cell r="I154">
            <v>0.21290849977869608</v>
          </cell>
          <cell r="J154">
            <v>0.12560923577411476</v>
          </cell>
          <cell r="K154">
            <v>0.12550880999999992</v>
          </cell>
          <cell r="L154">
            <v>0.12550880999999992</v>
          </cell>
          <cell r="M154">
            <v>0.14525968642318499</v>
          </cell>
          <cell r="N154">
            <v>8.0000000000000071E-2</v>
          </cell>
          <cell r="O154">
            <v>6.0000000000000053E-2</v>
          </cell>
          <cell r="P154">
            <v>5.0000000000000044E-2</v>
          </cell>
          <cell r="Q154">
            <v>4.0000000000000036E-2</v>
          </cell>
          <cell r="R154">
            <v>3.0000000000000027E-2</v>
          </cell>
          <cell r="S154">
            <v>3.0000000000000027E-2</v>
          </cell>
        </row>
        <row r="155">
          <cell r="A155" t="str">
            <v>Available-for sale investment securities</v>
          </cell>
          <cell r="B155">
            <v>3056.44</v>
          </cell>
          <cell r="C155">
            <v>2544.4810000000002</v>
          </cell>
          <cell r="D155">
            <v>2519.826</v>
          </cell>
          <cell r="E155">
            <v>3048.1660000000002</v>
          </cell>
          <cell r="F155">
            <v>3220.0540000000001</v>
          </cell>
          <cell r="G155">
            <v>3400.3770240000003</v>
          </cell>
          <cell r="H155">
            <v>3047.1057559999999</v>
          </cell>
          <cell r="I155">
            <v>3468.3845644800003</v>
          </cell>
          <cell r="J155">
            <v>3537.7522557696002</v>
          </cell>
          <cell r="K155">
            <v>3608.5073008849922</v>
          </cell>
          <cell r="L155">
            <v>3680.6774469026923</v>
          </cell>
          <cell r="M155">
            <v>3573.8303920093213</v>
          </cell>
          <cell r="N155">
            <v>3859.7368233700672</v>
          </cell>
          <cell r="O155">
            <v>4129.9184010059726</v>
          </cell>
          <cell r="P155">
            <v>4377.713505066331</v>
          </cell>
          <cell r="Q155">
            <v>4596.5991803196475</v>
          </cell>
          <cell r="R155">
            <v>4826.4291393356298</v>
          </cell>
          <cell r="S155">
            <v>5067.7505963024114</v>
          </cell>
        </row>
        <row r="156">
          <cell r="A156" t="str">
            <v>Yr./Yr. Change</v>
          </cell>
          <cell r="B156">
            <v>0.50812722103416186</v>
          </cell>
          <cell r="C156">
            <v>-0.16750173404352775</v>
          </cell>
          <cell r="D156">
            <v>-0.3049221803890112</v>
          </cell>
          <cell r="E156">
            <v>-3.7893201860981773E-2</v>
          </cell>
          <cell r="F156">
            <v>0.66215552146415901</v>
          </cell>
          <cell r="G156">
            <v>0.70056093484473125</v>
          </cell>
          <cell r="H156">
            <v>0.13588826855835645</v>
          </cell>
          <cell r="I156">
            <v>0.3764381209178731</v>
          </cell>
          <cell r="J156">
            <v>0.16061666450239254</v>
          </cell>
          <cell r="K156">
            <v>0.12063564799999993</v>
          </cell>
          <cell r="L156">
            <v>8.2432159999999977E-2</v>
          </cell>
          <cell r="M156">
            <v>0.17286063503774285</v>
          </cell>
          <cell r="N156">
            <v>8.0000000000000071E-2</v>
          </cell>
          <cell r="O156">
            <v>7.0000000000000062E-2</v>
          </cell>
          <cell r="P156">
            <v>6.0000000000000053E-2</v>
          </cell>
          <cell r="Q156">
            <v>5.0000000000000044E-2</v>
          </cell>
          <cell r="R156">
            <v>5.0000000000000044E-2</v>
          </cell>
          <cell r="S156">
            <v>5.0000000000000044E-2</v>
          </cell>
        </row>
        <row r="157">
          <cell r="A157" t="str">
            <v>Trading securities</v>
          </cell>
          <cell r="B157">
            <v>712.81899999999996</v>
          </cell>
          <cell r="C157">
            <v>268.09199999999998</v>
          </cell>
          <cell r="D157">
            <v>138.66</v>
          </cell>
          <cell r="E157">
            <v>142.452</v>
          </cell>
          <cell r="F157">
            <v>114.806</v>
          </cell>
          <cell r="G157">
            <v>103.3254</v>
          </cell>
          <cell r="H157">
            <v>124.81084999999999</v>
          </cell>
          <cell r="I157">
            <v>67.161510000000007</v>
          </cell>
          <cell r="J157">
            <v>47.013057000000003</v>
          </cell>
          <cell r="K157">
            <v>32.9091399</v>
          </cell>
          <cell r="L157">
            <v>0</v>
          </cell>
          <cell r="M157">
            <v>36.770926725000002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 t="str">
            <v>Yr./Yr. Change</v>
          </cell>
          <cell r="B158">
            <v>0.45958203992038849</v>
          </cell>
          <cell r="C158">
            <v>-0.62389891403006936</v>
          </cell>
          <cell r="D158">
            <v>-0.73671018752705808</v>
          </cell>
          <cell r="E158">
            <v>-0.33877960248424133</v>
          </cell>
          <cell r="F158">
            <v>-0.38401197572661872</v>
          </cell>
          <cell r="G158">
            <v>-0.30634075605711708</v>
          </cell>
          <cell r="H158">
            <v>-0.53662893441344861</v>
          </cell>
          <cell r="I158">
            <v>-0.51563890090869746</v>
          </cell>
          <cell r="J158">
            <v>-0.6699726434167298</v>
          </cell>
          <cell r="K158">
            <v>-0.71334999999999993</v>
          </cell>
          <cell r="L158">
            <v>-1</v>
          </cell>
          <cell r="M158">
            <v>-0.70538677747167</v>
          </cell>
          <cell r="N158">
            <v>-1</v>
          </cell>
          <cell r="O158" t="str">
            <v>NA</v>
          </cell>
          <cell r="P158" t="str">
            <v>NA</v>
          </cell>
          <cell r="Q158" t="str">
            <v>NA</v>
          </cell>
          <cell r="R158" t="str">
            <v>NA</v>
          </cell>
          <cell r="S158" t="str">
            <v>NA</v>
          </cell>
        </row>
        <row r="159">
          <cell r="A159" t="str">
            <v>Cash and cash equivalents</v>
          </cell>
          <cell r="B159">
            <v>1638.783625</v>
          </cell>
          <cell r="C159">
            <v>1638.783625</v>
          </cell>
          <cell r="D159">
            <v>1549.18</v>
          </cell>
          <cell r="E159">
            <v>1260.684</v>
          </cell>
          <cell r="F159">
            <v>974.73800000000006</v>
          </cell>
          <cell r="G159">
            <v>935.74847999999997</v>
          </cell>
          <cell r="H159">
            <v>1180.08762</v>
          </cell>
          <cell r="I159">
            <v>949.78470719999984</v>
          </cell>
          <cell r="J159">
            <v>964.03147780799975</v>
          </cell>
          <cell r="K159">
            <v>978.49194997511961</v>
          </cell>
          <cell r="L159">
            <v>993.16932922474632</v>
          </cell>
          <cell r="M159">
            <v>971.36936605196638</v>
          </cell>
          <cell r="N159">
            <v>976.22621288222615</v>
          </cell>
          <cell r="O159">
            <v>981.10734394663723</v>
          </cell>
          <cell r="P159">
            <v>986.01288066637028</v>
          </cell>
          <cell r="Q159">
            <v>990.94294506970198</v>
          </cell>
          <cell r="R159">
            <v>995.89765979505034</v>
          </cell>
          <cell r="S159">
            <v>1000.8771480940255</v>
          </cell>
        </row>
        <row r="160">
          <cell r="A160" t="str">
            <v>Yr./Yr. Change</v>
          </cell>
          <cell r="B160">
            <v>-0.16266835704979177</v>
          </cell>
          <cell r="C160">
            <v>0</v>
          </cell>
          <cell r="D160">
            <v>0.26306228888560956</v>
          </cell>
          <cell r="E160">
            <v>-0.52357523776663661</v>
          </cell>
          <cell r="F160">
            <v>-0.45637324124330458</v>
          </cell>
          <cell r="G160">
            <v>5.2058845684668453E-2</v>
          </cell>
          <cell r="H160">
            <v>-0.27990028579886495</v>
          </cell>
          <cell r="I160">
            <v>-0.38691132909022852</v>
          </cell>
          <cell r="J160">
            <v>-0.23531076954415242</v>
          </cell>
          <cell r="K160">
            <v>3.8512399999994784E-3</v>
          </cell>
          <cell r="L160">
            <v>6.136355062499943E-2</v>
          </cell>
          <cell r="M160">
            <v>-0.17686674312203499</v>
          </cell>
          <cell r="N160">
            <v>4.9999999999998934E-3</v>
          </cell>
          <cell r="O160">
            <v>4.9999999999998934E-3</v>
          </cell>
          <cell r="P160">
            <v>4.9999999999998934E-3</v>
          </cell>
          <cell r="Q160">
            <v>4.9999999999998934E-3</v>
          </cell>
          <cell r="R160">
            <v>4.9999999999998934E-3</v>
          </cell>
          <cell r="S160">
            <v>4.9999999999998934E-3</v>
          </cell>
        </row>
        <row r="161">
          <cell r="A161" t="str">
            <v>Stock borrow and other</v>
          </cell>
          <cell r="B161">
            <v>196.697</v>
          </cell>
          <cell r="C161">
            <v>371.83</v>
          </cell>
          <cell r="D161">
            <v>530.62900000000002</v>
          </cell>
          <cell r="E161">
            <v>493.98099999999999</v>
          </cell>
          <cell r="F161">
            <v>422.01</v>
          </cell>
          <cell r="G161">
            <v>464.21100000000001</v>
          </cell>
          <cell r="H161">
            <v>477.70775000000003</v>
          </cell>
          <cell r="I161">
            <v>487.42155000000002</v>
          </cell>
          <cell r="J161">
            <v>458.17625700000002</v>
          </cell>
          <cell r="K161">
            <v>430.68568157999999</v>
          </cell>
          <cell r="L161">
            <v>473.75424973800006</v>
          </cell>
          <cell r="M161">
            <v>462.50943457950001</v>
          </cell>
          <cell r="N161">
            <v>481.00981196268003</v>
          </cell>
          <cell r="O161">
            <v>500.25020444118724</v>
          </cell>
          <cell r="P161">
            <v>520.26021261883477</v>
          </cell>
          <cell r="Q161">
            <v>535.86801899739987</v>
          </cell>
          <cell r="R161">
            <v>551.94405956732191</v>
          </cell>
          <cell r="S161">
            <v>568.50238135434154</v>
          </cell>
        </row>
        <row r="162">
          <cell r="A162" t="str">
            <v>Yr./Yr. Change</v>
          </cell>
          <cell r="B162">
            <v>-0.30495268517798713</v>
          </cell>
          <cell r="C162">
            <v>0.89036945149138003</v>
          </cell>
          <cell r="D162">
            <v>0.33856605182434629</v>
          </cell>
          <cell r="E162">
            <v>1.2632478397522244</v>
          </cell>
          <cell r="F162">
            <v>-1.5636994285395112E-4</v>
          </cell>
          <cell r="G162">
            <v>3.0284131514583867E-2</v>
          </cell>
          <cell r="H162">
            <v>0.28474773417959831</v>
          </cell>
          <cell r="I162">
            <v>-8.1426853790501408E-2</v>
          </cell>
          <cell r="J162">
            <v>-7.2482024612282592E-2</v>
          </cell>
          <cell r="K162">
            <v>2.0558000000000076E-2</v>
          </cell>
          <cell r="L162">
            <v>2.0558000000000076E-2</v>
          </cell>
          <cell r="M162">
            <v>-3.1815090754755415E-2</v>
          </cell>
          <cell r="N162">
            <v>4.0000000000000036E-2</v>
          </cell>
          <cell r="O162">
            <v>4.0000000000000036E-2</v>
          </cell>
          <cell r="P162">
            <v>4.0000000000000036E-2</v>
          </cell>
          <cell r="Q162">
            <v>3.0000000000000027E-2</v>
          </cell>
          <cell r="R162">
            <v>3.0000000000000027E-2</v>
          </cell>
          <cell r="S162">
            <v>3.0000000000000027E-2</v>
          </cell>
        </row>
        <row r="163">
          <cell r="A163" t="str">
            <v>Total Average Interest Earning Assets</v>
          </cell>
          <cell r="B163">
            <v>23970.449624999997</v>
          </cell>
          <cell r="C163">
            <v>32277.756375000004</v>
          </cell>
          <cell r="D163">
            <v>41342.560000000005</v>
          </cell>
          <cell r="E163">
            <v>44063.565999999999</v>
          </cell>
          <cell r="F163">
            <v>46399.699000000001</v>
          </cell>
          <cell r="G163">
            <v>48314.565054000006</v>
          </cell>
          <cell r="H163">
            <v>45030.097513499997</v>
          </cell>
          <cell r="I163">
            <v>50586.606393579998</v>
          </cell>
          <cell r="J163">
            <v>52247.857127353847</v>
          </cell>
          <cell r="K163">
            <v>53519.296838991781</v>
          </cell>
          <cell r="L163">
            <v>55759.99337284315</v>
          </cell>
          <cell r="M163">
            <v>53028.438433192205</v>
          </cell>
          <cell r="N163">
            <v>59699.785841948025</v>
          </cell>
          <cell r="O163">
            <v>65828.7931552722</v>
          </cell>
          <cell r="P163">
            <v>71530.859232737377</v>
          </cell>
          <cell r="Q163">
            <v>76900.776653162364</v>
          </cell>
          <cell r="R163">
            <v>82010.204326111096</v>
          </cell>
          <cell r="S163">
            <v>87297.140031849631</v>
          </cell>
        </row>
        <row r="164">
          <cell r="A164" t="str">
            <v>Yr./Yr. Change</v>
          </cell>
          <cell r="B164">
            <v>0.25355157786864568</v>
          </cell>
          <cell r="C164">
            <v>0.34656449419855262</v>
          </cell>
          <cell r="D164">
            <v>0.42164442369918143</v>
          </cell>
          <cell r="E164">
            <v>0.36916331642126754</v>
          </cell>
          <cell r="F164">
            <v>0.41936751777776982</v>
          </cell>
          <cell r="G164">
            <v>0.3564378118690994</v>
          </cell>
          <cell r="H164">
            <v>0.3901100211121924</v>
          </cell>
          <cell r="I164">
            <v>0.22359637123535636</v>
          </cell>
          <cell r="J164">
            <v>0.18573828380920987</v>
          </cell>
          <cell r="K164">
            <v>0.15344060397874082</v>
          </cell>
          <cell r="L164">
            <v>0.15410318421622082</v>
          </cell>
          <cell r="M164">
            <v>0.17762210968551218</v>
          </cell>
          <cell r="N164">
            <v>0.12580697463231361</v>
          </cell>
          <cell r="O164">
            <v>0.10266380736357061</v>
          </cell>
          <cell r="P164">
            <v>8.6619635635967862E-2</v>
          </cell>
          <cell r="Q164">
            <v>7.5071339531279424E-2</v>
          </cell>
          <cell r="R164">
            <v>6.6441821465513362E-2</v>
          </cell>
          <cell r="S164">
            <v>6.4466803237255732E-2</v>
          </cell>
        </row>
        <row r="166">
          <cell r="A166" t="str">
            <v>Asset Mix</v>
          </cell>
        </row>
        <row r="167">
          <cell r="A167" t="str">
            <v>Loans, net</v>
          </cell>
          <cell r="B167">
            <v>0.41989925752174961</v>
          </cell>
          <cell r="C167">
            <v>0.47985141284467603</v>
          </cell>
          <cell r="D167">
            <v>0.47338781149498232</v>
          </cell>
          <cell r="E167">
            <v>0.46341996015483633</v>
          </cell>
          <cell r="F167">
            <v>0.49472351102967288</v>
          </cell>
          <cell r="G167">
            <v>0.49956865084107227</v>
          </cell>
          <cell r="H167">
            <v>0.48346810738025126</v>
          </cell>
          <cell r="I167">
            <v>0.50518961354449188</v>
          </cell>
          <cell r="J167">
            <v>0.51152754266306566</v>
          </cell>
          <cell r="K167">
            <v>0.52259222726704968</v>
          </cell>
          <cell r="L167">
            <v>0.52528598475452104</v>
          </cell>
          <cell r="M167">
            <v>0.51642458698781779</v>
          </cell>
          <cell r="N167">
            <v>0.53950315593474385</v>
          </cell>
          <cell r="O167">
            <v>0.55769595515001391</v>
          </cell>
          <cell r="P167">
            <v>0.57271161379146096</v>
          </cell>
          <cell r="Q167">
            <v>0.58548165279406239</v>
          </cell>
          <cell r="R167">
            <v>0.59662932944003932</v>
          </cell>
          <cell r="S167">
            <v>0.60670146499131794</v>
          </cell>
        </row>
        <row r="168">
          <cell r="A168" t="str">
            <v>Margin receivables</v>
          </cell>
          <cell r="B168" t="str">
            <v>NA</v>
          </cell>
          <cell r="C168" t="str">
            <v>NA</v>
          </cell>
          <cell r="D168">
            <v>0.15668079093312071</v>
          </cell>
          <cell r="E168">
            <v>0.15847189943728116</v>
          </cell>
          <cell r="F168">
            <v>0.14321250230524124</v>
          </cell>
          <cell r="G168">
            <v>0.1416626125548314</v>
          </cell>
          <cell r="H168">
            <v>0.1496210756701141</v>
          </cell>
          <cell r="I168">
            <v>0.14341799297927887</v>
          </cell>
          <cell r="J168">
            <v>0.14024651457657042</v>
          </cell>
          <cell r="K168">
            <v>0.12924750123433748</v>
          </cell>
          <cell r="L168">
            <v>0.13149695801228367</v>
          </cell>
          <cell r="M168">
            <v>0.13592760394360154</v>
          </cell>
          <cell r="N168">
            <v>0.12918958533469282</v>
          </cell>
          <cell r="O168">
            <v>0.12419103587175434</v>
          </cell>
          <cell r="P168">
            <v>0.12000573465527546</v>
          </cell>
          <cell r="Q168">
            <v>0.117207125475949</v>
          </cell>
          <cell r="R168">
            <v>0.11540008959947395</v>
          </cell>
          <cell r="S168">
            <v>0.1138317265610776</v>
          </cell>
        </row>
        <row r="169">
          <cell r="A169" t="str">
            <v>Total Loans</v>
          </cell>
          <cell r="B169" t="str">
            <v>NA</v>
          </cell>
          <cell r="C169" t="str">
            <v>NA</v>
          </cell>
          <cell r="D169">
            <v>0.63006860242810303</v>
          </cell>
          <cell r="E169">
            <v>0.62189185959211746</v>
          </cell>
          <cell r="F169">
            <v>0.63793601333491412</v>
          </cell>
          <cell r="G169">
            <v>0.64123126339590364</v>
          </cell>
          <cell r="H169">
            <v>0.63308918305036532</v>
          </cell>
          <cell r="I169">
            <v>0.6486076065237707</v>
          </cell>
          <cell r="J169">
            <v>0.65177405723963611</v>
          </cell>
          <cell r="K169">
            <v>0.65183972850138716</v>
          </cell>
          <cell r="L169">
            <v>0.65678294276680471</v>
          </cell>
          <cell r="M169">
            <v>0.65235219093141938</v>
          </cell>
          <cell r="N169">
            <v>0.66869274126943667</v>
          </cell>
          <cell r="O169">
            <v>0.6818869910217682</v>
          </cell>
          <cell r="P169">
            <v>0.69271734844673638</v>
          </cell>
          <cell r="Q169">
            <v>0.70268877827001142</v>
          </cell>
          <cell r="R169">
            <v>0.71202941903951333</v>
          </cell>
          <cell r="S169">
            <v>0.72053319155239559</v>
          </cell>
        </row>
        <row r="170">
          <cell r="A170" t="str">
            <v>Mortgage-backed and related available for sale securities</v>
          </cell>
          <cell r="B170">
            <v>0.3462820318290129</v>
          </cell>
          <cell r="C170">
            <v>0.29190343624061754</v>
          </cell>
          <cell r="D170">
            <v>0.25532081225739284</v>
          </cell>
          <cell r="E170">
            <v>0.26587748254419535</v>
          </cell>
          <cell r="F170">
            <v>0.26008901480158308</v>
          </cell>
          <cell r="G170">
            <v>0.25727425148311256</v>
          </cell>
          <cell r="H170">
            <v>0.25965562003268261</v>
          </cell>
          <cell r="I170">
            <v>0.2530906356356184</v>
          </cell>
          <cell r="J170">
            <v>0.25239477718024977</v>
          </cell>
          <cell r="K170">
            <v>0.25379068201139687</v>
          </cell>
          <cell r="L170">
            <v>0.25089995469256843</v>
          </cell>
          <cell r="M170">
            <v>0.2525199820306212</v>
          </cell>
          <cell r="N170">
            <v>0.24224541749898218</v>
          </cell>
          <cell r="O170">
            <v>0.2328725590104142</v>
          </cell>
          <cell r="P170">
            <v>0.22502463506268824</v>
          </cell>
          <cell r="Q170">
            <v>0.2176838055856169</v>
          </cell>
          <cell r="R170">
            <v>0.21024524286291413</v>
          </cell>
          <cell r="S170">
            <v>0.20343762669744322</v>
          </cell>
        </row>
        <row r="171">
          <cell r="A171" t="str">
            <v>Available-for sale investment securities</v>
          </cell>
          <cell r="B171">
            <v>0.12750866370117162</v>
          </cell>
          <cell r="C171">
            <v>7.8830788932119505E-2</v>
          </cell>
          <cell r="D171">
            <v>6.0949926661532323E-2</v>
          </cell>
          <cell r="E171">
            <v>6.9176561878809356E-2</v>
          </cell>
          <cell r="F171">
            <v>6.9398165707928408E-2</v>
          </cell>
          <cell r="G171">
            <v>7.0379957269603527E-2</v>
          </cell>
          <cell r="H171">
            <v>6.7668202474722147E-2</v>
          </cell>
          <cell r="I171">
            <v>6.8563297911207119E-2</v>
          </cell>
          <cell r="J171">
            <v>6.7710954099923171E-2</v>
          </cell>
          <cell r="K171">
            <v>6.7424415379388813E-2</v>
          </cell>
          <cell r="L171">
            <v>6.6009287739537223E-2</v>
          </cell>
          <cell r="M171">
            <v>6.7394599909099823E-2</v>
          </cell>
          <cell r="N171">
            <v>6.4652440020279353E-2</v>
          </cell>
          <cell r="O171">
            <v>6.2737264395302209E-2</v>
          </cell>
          <cell r="P171">
            <v>6.120034838142685E-2</v>
          </cell>
          <cell r="Q171">
            <v>5.9773117780737309E-2</v>
          </cell>
          <cell r="R171">
            <v>5.8851568277326564E-2</v>
          </cell>
          <cell r="S171">
            <v>5.8051736797488269E-2</v>
          </cell>
        </row>
        <row r="172">
          <cell r="A172" t="str">
            <v>Trading securities</v>
          </cell>
          <cell r="B172">
            <v>2.973740631283632E-2</v>
          </cell>
          <cell r="C172">
            <v>8.3057817552537362E-3</v>
          </cell>
          <cell r="D172">
            <v>3.3539287359079838E-3</v>
          </cell>
          <cell r="E172">
            <v>3.2328749788430649E-3</v>
          </cell>
          <cell r="F172">
            <v>2.4742832922256671E-3</v>
          </cell>
          <cell r="G172">
            <v>2.1385973336304639E-3</v>
          </cell>
          <cell r="H172">
            <v>2.7717206244685963E-3</v>
          </cell>
          <cell r="I172">
            <v>1.3276539935781016E-3</v>
          </cell>
          <cell r="J172">
            <v>8.9980832870151879E-4</v>
          </cell>
          <cell r="K172">
            <v>6.149023220354394E-4</v>
          </cell>
          <cell r="L172">
            <v>0</v>
          </cell>
          <cell r="M172">
            <v>6.9341899953033307E-4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</row>
        <row r="173">
          <cell r="A173" t="str">
            <v>Cash and cash equivalents</v>
          </cell>
          <cell r="B173">
            <v>6.8366828767818758E-2</v>
          </cell>
          <cell r="C173">
            <v>5.0771299156012042E-2</v>
          </cell>
          <cell r="D173">
            <v>3.7471796618303264E-2</v>
          </cell>
          <cell r="E173">
            <v>2.8610575912081198E-2</v>
          </cell>
          <cell r="F173">
            <v>2.1007420759345877E-2</v>
          </cell>
          <cell r="G173">
            <v>1.9367834088005072E-2</v>
          </cell>
          <cell r="H173">
            <v>2.6206641450114792E-2</v>
          </cell>
          <cell r="I173">
            <v>1.8775418532928866E-2</v>
          </cell>
          <cell r="J173">
            <v>1.8451119927429344E-2</v>
          </cell>
          <cell r="K173">
            <v>1.8282974698244425E-2</v>
          </cell>
          <cell r="L173">
            <v>1.7811503717079898E-2</v>
          </cell>
          <cell r="M173">
            <v>1.8317894977724916E-2</v>
          </cell>
          <cell r="N173">
            <v>1.6352256530144556E-2</v>
          </cell>
          <cell r="O173">
            <v>1.4903924208856027E-2</v>
          </cell>
          <cell r="P173">
            <v>1.378444060707024E-2</v>
          </cell>
          <cell r="Q173">
            <v>1.2885993980776679E-2</v>
          </cell>
          <cell r="R173">
            <v>1.214358222831507E-2</v>
          </cell>
          <cell r="S173">
            <v>1.1465176840030084E-2</v>
          </cell>
        </row>
        <row r="174">
          <cell r="A174" t="str">
            <v>Stock borrow and other</v>
          </cell>
          <cell r="B174">
            <v>8.2058118674108952E-3</v>
          </cell>
          <cell r="C174">
            <v>1.1519697827820287E-2</v>
          </cell>
          <cell r="D174">
            <v>1.2834933298760405E-2</v>
          </cell>
          <cell r="E174">
            <v>1.1210645093953584E-2</v>
          </cell>
          <cell r="F174">
            <v>9.095102104002873E-3</v>
          </cell>
          <cell r="G174">
            <v>9.6080964297445871E-3</v>
          </cell>
          <cell r="H174">
            <v>1.0608632367646628E-2</v>
          </cell>
          <cell r="I174">
            <v>9.6353874028968119E-3</v>
          </cell>
          <cell r="J174">
            <v>8.7692832240602332E-3</v>
          </cell>
          <cell r="K174">
            <v>8.0472970875473376E-3</v>
          </cell>
          <cell r="L174">
            <v>8.4963110840097968E-3</v>
          </cell>
          <cell r="M174">
            <v>8.721913151604338E-3</v>
          </cell>
          <cell r="N174">
            <v>8.0571446811572769E-3</v>
          </cell>
          <cell r="O174">
            <v>7.5992613636594129E-3</v>
          </cell>
          <cell r="P174">
            <v>7.2732275020782689E-3</v>
          </cell>
          <cell r="Q174">
            <v>6.9683043828577974E-3</v>
          </cell>
          <cell r="R174">
            <v>6.7301875919310366E-3</v>
          </cell>
          <cell r="S174">
            <v>6.5122681126429591E-3</v>
          </cell>
        </row>
        <row r="176">
          <cell r="A176" t="str">
            <v>Yield</v>
          </cell>
        </row>
        <row r="177">
          <cell r="A177" t="str">
            <v>Loans, net</v>
          </cell>
          <cell r="B177">
            <v>4.8737359135569834E-2</v>
          </cell>
          <cell r="C177">
            <v>5.3505281683661726E-2</v>
          </cell>
          <cell r="D177">
            <v>5.7500000000000002E-2</v>
          </cell>
          <cell r="E177">
            <v>5.9499999999999997E-2</v>
          </cell>
          <cell r="F177">
            <v>6.3600000000000004E-2</v>
          </cell>
          <cell r="G177">
            <v>6.3799999999999996E-2</v>
          </cell>
          <cell r="H177">
            <v>6.1443067955126711E-2</v>
          </cell>
          <cell r="I177">
            <v>6.4299999999999996E-2</v>
          </cell>
          <cell r="J177">
            <v>6.5500000000000003E-2</v>
          </cell>
          <cell r="K177">
            <v>6.5500000000000003E-2</v>
          </cell>
          <cell r="L177">
            <v>6.5000000000000002E-2</v>
          </cell>
          <cell r="M177">
            <v>6.5117375634958188E-2</v>
          </cell>
          <cell r="N177">
            <v>6.4500000000000002E-2</v>
          </cell>
          <cell r="O177">
            <v>6.4000000000000001E-2</v>
          </cell>
          <cell r="P177">
            <v>6.4000000000000001E-2</v>
          </cell>
          <cell r="Q177">
            <v>6.4000000000000001E-2</v>
          </cell>
          <cell r="R177">
            <v>6.4000000000000001E-2</v>
          </cell>
          <cell r="S177">
            <v>6.4000000000000001E-2</v>
          </cell>
        </row>
        <row r="178">
          <cell r="A178" t="str">
            <v>Margin receivables</v>
          </cell>
          <cell r="B178" t="str">
            <v>NA</v>
          </cell>
          <cell r="C178">
            <v>6.2672786424899055E-2</v>
          </cell>
          <cell r="D178">
            <v>6.5699999999999995E-2</v>
          </cell>
          <cell r="E178">
            <v>7.0900000000000005E-2</v>
          </cell>
          <cell r="F178">
            <v>7.3899999999999993E-2</v>
          </cell>
          <cell r="G178">
            <v>7.3999999999999996E-2</v>
          </cell>
          <cell r="H178">
            <v>7.1215430456217574E-2</v>
          </cell>
          <cell r="I178">
            <v>7.4300000000000005E-2</v>
          </cell>
          <cell r="J178">
            <v>7.5800000000000006E-2</v>
          </cell>
          <cell r="K178">
            <v>7.5999999999999998E-2</v>
          </cell>
          <cell r="L178">
            <v>7.5499999999999998E-2</v>
          </cell>
          <cell r="M178">
            <v>7.5393029970842559E-2</v>
          </cell>
          <cell r="N178">
            <v>7.4999999999999997E-2</v>
          </cell>
          <cell r="O178">
            <v>7.4499999999999997E-2</v>
          </cell>
          <cell r="P178">
            <v>7.4499999999999997E-2</v>
          </cell>
          <cell r="Q178">
            <v>7.4499999999999997E-2</v>
          </cell>
          <cell r="R178">
            <v>7.4499999999999997E-2</v>
          </cell>
          <cell r="S178">
            <v>7.4499999999999997E-2</v>
          </cell>
        </row>
        <row r="179">
          <cell r="A179" t="str">
            <v>Mortgage-backed and related available for sale securities</v>
          </cell>
          <cell r="B179">
            <v>3.9932360994518905E-2</v>
          </cell>
          <cell r="C179">
            <v>4.2643123722934058E-2</v>
          </cell>
          <cell r="D179">
            <v>4.7600000000000003E-2</v>
          </cell>
          <cell r="E179">
            <v>5.0299999999999997E-2</v>
          </cell>
          <cell r="F179">
            <v>5.28E-2</v>
          </cell>
          <cell r="G179">
            <v>5.28E-2</v>
          </cell>
          <cell r="H179">
            <v>5.1102169871437945E-2</v>
          </cell>
          <cell r="I179">
            <v>5.2999999999999999E-2</v>
          </cell>
          <cell r="J179">
            <v>5.45E-2</v>
          </cell>
          <cell r="K179">
            <v>5.5E-2</v>
          </cell>
          <cell r="L179">
            <v>5.45E-2</v>
          </cell>
          <cell r="M179">
            <v>5.4289583257361738E-2</v>
          </cell>
          <cell r="N179">
            <v>5.3999999999999999E-2</v>
          </cell>
          <cell r="O179">
            <v>5.3499999999999999E-2</v>
          </cell>
          <cell r="P179">
            <v>5.3499999999999999E-2</v>
          </cell>
          <cell r="Q179">
            <v>5.3499999999999999E-2</v>
          </cell>
          <cell r="R179">
            <v>5.3499999999999999E-2</v>
          </cell>
          <cell r="S179">
            <v>5.3499999999999999E-2</v>
          </cell>
        </row>
        <row r="180">
          <cell r="A180" t="str">
            <v>Available-for sale investment securities</v>
          </cell>
          <cell r="B180">
            <v>4.0582507754119167E-2</v>
          </cell>
          <cell r="C180">
            <v>5.5037156889754725E-2</v>
          </cell>
          <cell r="D180">
            <v>5.9400000000000001E-2</v>
          </cell>
          <cell r="E180">
            <v>6.2100000000000002E-2</v>
          </cell>
          <cell r="F180">
            <v>6.4399999999999999E-2</v>
          </cell>
          <cell r="G180">
            <v>6.4399999999999999E-2</v>
          </cell>
          <cell r="H180">
            <v>6.2930877081688097E-2</v>
          </cell>
          <cell r="I180">
            <v>6.4500000000000002E-2</v>
          </cell>
          <cell r="J180">
            <v>6.5000000000000002E-2</v>
          </cell>
          <cell r="K180">
            <v>6.5000000000000002E-2</v>
          </cell>
          <cell r="L180">
            <v>6.4500000000000002E-2</v>
          </cell>
          <cell r="M180">
            <v>6.4762861065024407E-2</v>
          </cell>
          <cell r="N180">
            <v>6.4000000000000001E-2</v>
          </cell>
          <cell r="O180">
            <v>6.3500000000000001E-2</v>
          </cell>
          <cell r="P180">
            <v>6.3500000000000001E-2</v>
          </cell>
          <cell r="Q180">
            <v>6.3500000000000001E-2</v>
          </cell>
          <cell r="R180">
            <v>6.3500000000000001E-2</v>
          </cell>
          <cell r="S180">
            <v>6.3500000000000001E-2</v>
          </cell>
        </row>
        <row r="181">
          <cell r="A181" t="str">
            <v>Trading securities</v>
          </cell>
          <cell r="B181">
            <v>3.183416828114851E-2</v>
          </cell>
          <cell r="C181">
            <v>4.6036435253569673E-2</v>
          </cell>
          <cell r="D181">
            <v>7.6399999999999996E-2</v>
          </cell>
          <cell r="E181">
            <v>8.2699999999999996E-2</v>
          </cell>
          <cell r="F181">
            <v>9.06E-2</v>
          </cell>
          <cell r="G181">
            <v>9.06E-2</v>
          </cell>
          <cell r="H181">
            <v>8.4556397295565744E-2</v>
          </cell>
          <cell r="I181">
            <v>9.0800000000000006E-2</v>
          </cell>
          <cell r="J181">
            <v>9.2299999999999993E-2</v>
          </cell>
          <cell r="K181">
            <v>9.2299999999999993E-2</v>
          </cell>
          <cell r="L181">
            <v>9.1499999999999998E-2</v>
          </cell>
          <cell r="M181">
            <v>9.1136018014636902E-2</v>
          </cell>
          <cell r="N181">
            <v>9.0999999999999998E-2</v>
          </cell>
          <cell r="O181">
            <v>9.0499999999999997E-2</v>
          </cell>
          <cell r="P181">
            <v>9.0499999999999997E-2</v>
          </cell>
          <cell r="Q181">
            <v>9.0499999999999997E-2</v>
          </cell>
          <cell r="R181">
            <v>9.0499999999999997E-2</v>
          </cell>
          <cell r="S181">
            <v>9.0499999999999997E-2</v>
          </cell>
        </row>
        <row r="182">
          <cell r="A182" t="str">
            <v>Cash and cash equivalents</v>
          </cell>
          <cell r="B182" t="str">
            <v>NA</v>
          </cell>
          <cell r="C182">
            <v>2.8271578561812883E-2</v>
          </cell>
          <cell r="D182">
            <v>4.1599999999999998E-2</v>
          </cell>
          <cell r="E182">
            <v>4.2700000000000002E-2</v>
          </cell>
          <cell r="F182">
            <v>4.5900000000000003E-2</v>
          </cell>
          <cell r="G182">
            <v>4.5999999999999999E-2</v>
          </cell>
          <cell r="H182">
            <v>4.3591301279025781E-2</v>
          </cell>
          <cell r="I182">
            <v>4.6600000000000003E-2</v>
          </cell>
          <cell r="J182">
            <v>4.8099999999999997E-2</v>
          </cell>
          <cell r="K182">
            <v>4.8500000000000001E-2</v>
          </cell>
          <cell r="L182">
            <v>4.8000000000000001E-2</v>
          </cell>
          <cell r="M182">
            <v>4.7820997761827126E-2</v>
          </cell>
          <cell r="N182">
            <v>4.7500000000000001E-2</v>
          </cell>
          <cell r="O182">
            <v>4.7E-2</v>
          </cell>
          <cell r="P182">
            <v>4.7E-2</v>
          </cell>
          <cell r="Q182">
            <v>4.7E-2</v>
          </cell>
          <cell r="R182">
            <v>4.7E-2</v>
          </cell>
          <cell r="S182">
            <v>4.7E-2</v>
          </cell>
        </row>
        <row r="183">
          <cell r="A183" t="str">
            <v>Stock borrow and other</v>
          </cell>
          <cell r="B183" t="str">
            <v>NA</v>
          </cell>
          <cell r="C183">
            <v>5.6318747814861639E-2</v>
          </cell>
          <cell r="D183">
            <v>5.91E-2</v>
          </cell>
          <cell r="E183">
            <v>7.1400000000000005E-2</v>
          </cell>
          <cell r="F183">
            <v>8.1699999999999995E-2</v>
          </cell>
          <cell r="G183">
            <v>8.1000000000000003E-2</v>
          </cell>
          <cell r="H183">
            <v>7.2622927439953439E-2</v>
          </cell>
          <cell r="I183">
            <v>8.2000000000000003E-2</v>
          </cell>
          <cell r="J183">
            <v>8.3500000000000005E-2</v>
          </cell>
          <cell r="K183">
            <v>8.3500000000000005E-2</v>
          </cell>
          <cell r="L183">
            <v>8.3000000000000004E-2</v>
          </cell>
          <cell r="M183">
            <v>8.2958622771494961E-2</v>
          </cell>
          <cell r="N183">
            <v>8.2500000000000004E-2</v>
          </cell>
          <cell r="O183">
            <v>8.2000000000000003E-2</v>
          </cell>
          <cell r="P183">
            <v>8.2000000000000003E-2</v>
          </cell>
          <cell r="Q183">
            <v>8.2000000000000003E-2</v>
          </cell>
          <cell r="R183">
            <v>8.2000000000000003E-2</v>
          </cell>
          <cell r="S183">
            <v>8.2000000000000003E-2</v>
          </cell>
        </row>
        <row r="184">
          <cell r="A184" t="str">
            <v>Total</v>
          </cell>
          <cell r="B184">
            <v>4.3379656493160883E-2</v>
          </cell>
          <cell r="C184">
            <v>4.9867127730311454E-2</v>
          </cell>
          <cell r="D184">
            <v>5.5599999999999997E-2</v>
          </cell>
          <cell r="E184">
            <v>5.8700000000000002E-2</v>
          </cell>
          <cell r="F184">
            <v>6.2181241595985356E-2</v>
          </cell>
          <cell r="G184">
            <v>6.2334996076473206E-2</v>
          </cell>
          <cell r="H184">
            <v>6.0035656272280954E-2</v>
          </cell>
          <cell r="I184">
            <v>6.2761372686520794E-2</v>
          </cell>
          <cell r="J184">
            <v>6.3995253548610992E-2</v>
          </cell>
          <cell r="K184">
            <v>6.4009104554087426E-2</v>
          </cell>
          <cell r="L184">
            <v>6.3563401927309068E-2</v>
          </cell>
          <cell r="M184">
            <v>6.3612812799197227E-2</v>
          </cell>
          <cell r="N184">
            <v>6.3147627785513208E-2</v>
          </cell>
          <cell r="O184">
            <v>6.2710895367841746E-2</v>
          </cell>
          <cell r="P184">
            <v>6.2763283976248654E-2</v>
          </cell>
          <cell r="Q184">
            <v>6.2821475881176356E-2</v>
          </cell>
          <cell r="R184">
            <v>6.2889402585368626E-2</v>
          </cell>
          <cell r="S184">
            <v>6.2952424999916476E-2</v>
          </cell>
        </row>
        <row r="186">
          <cell r="A186" t="str">
            <v>Average Interest Bearing Liabilities</v>
          </cell>
        </row>
        <row r="187">
          <cell r="A187" t="str">
            <v>Retail deposits</v>
          </cell>
          <cell r="B187">
            <v>11720.333000000001</v>
          </cell>
          <cell r="C187">
            <v>12951.635</v>
          </cell>
          <cell r="D187">
            <v>18120.089</v>
          </cell>
          <cell r="E187">
            <v>19848.322</v>
          </cell>
          <cell r="F187">
            <v>20992.962</v>
          </cell>
          <cell r="G187">
            <v>22210.553796</v>
          </cell>
          <cell r="H187">
            <v>20292.981699</v>
          </cell>
          <cell r="I187">
            <v>23210.028716819997</v>
          </cell>
          <cell r="J187">
            <v>24254.480009076895</v>
          </cell>
          <cell r="K187">
            <v>25345.931609485353</v>
          </cell>
          <cell r="L187">
            <v>26486.498531912192</v>
          </cell>
          <cell r="M187">
            <v>24824.234716823608</v>
          </cell>
          <cell r="N187">
            <v>29292.596965851855</v>
          </cell>
          <cell r="O187">
            <v>33979.41248038815</v>
          </cell>
          <cell r="P187">
            <v>38396.736102838608</v>
          </cell>
          <cell r="Q187">
            <v>42620.377074150856</v>
          </cell>
          <cell r="R187">
            <v>46456.211010824438</v>
          </cell>
          <cell r="S187">
            <v>49708.145781582149</v>
          </cell>
        </row>
        <row r="188">
          <cell r="A188" t="str">
            <v>Yr./Yr. Change</v>
          </cell>
          <cell r="B188">
            <v>0.26516445969027469</v>
          </cell>
          <cell r="C188">
            <v>0.10505691263208994</v>
          </cell>
          <cell r="D188">
            <v>0.5270994775693616</v>
          </cell>
          <cell r="E188">
            <v>0.62041153115384118</v>
          </cell>
          <cell r="F188">
            <v>0.60307040502781462</v>
          </cell>
          <cell r="G188">
            <v>0.5249915784937742</v>
          </cell>
          <cell r="H188">
            <v>0.5677980721698439</v>
          </cell>
          <cell r="I188">
            <v>0.28090037067809082</v>
          </cell>
          <cell r="J188">
            <v>0.22199146149870486</v>
          </cell>
          <cell r="K188">
            <v>0.20735376024999974</v>
          </cell>
          <cell r="L188">
            <v>0.19251860062499948</v>
          </cell>
          <cell r="M188">
            <v>0.22329163279376041</v>
          </cell>
          <cell r="N188">
            <v>0.17999999999999994</v>
          </cell>
          <cell r="O188">
            <v>0.15999999999999992</v>
          </cell>
          <cell r="P188">
            <v>0.12999999999999989</v>
          </cell>
          <cell r="Q188">
            <v>0.1100000000000001</v>
          </cell>
          <cell r="R188">
            <v>9.000000000000008E-2</v>
          </cell>
          <cell r="S188">
            <v>7.0000000000000062E-2</v>
          </cell>
        </row>
        <row r="189">
          <cell r="A189" t="str">
            <v>Brokered certificates of deposit</v>
          </cell>
          <cell r="B189">
            <v>358.66500000000002</v>
          </cell>
          <cell r="C189">
            <v>450.44099999999997</v>
          </cell>
          <cell r="D189">
            <v>420.6</v>
          </cell>
          <cell r="E189">
            <v>577.06799999999998</v>
          </cell>
          <cell r="F189">
            <v>618.68100000000004</v>
          </cell>
          <cell r="G189">
            <v>649.61505000000011</v>
          </cell>
          <cell r="H189">
            <v>566.49101250000012</v>
          </cell>
          <cell r="I189">
            <v>682.0958025000001</v>
          </cell>
          <cell r="J189">
            <v>716.20059262500013</v>
          </cell>
          <cell r="K189">
            <v>752.01062225625014</v>
          </cell>
          <cell r="L189">
            <v>789.61115336906266</v>
          </cell>
          <cell r="M189">
            <v>734.97954268757826</v>
          </cell>
          <cell r="N189">
            <v>896.67504207884542</v>
          </cell>
          <cell r="O189">
            <v>1076.0100504946145</v>
          </cell>
          <cell r="P189">
            <v>1258.9317590786989</v>
          </cell>
          <cell r="Q189">
            <v>1447.7715229405035</v>
          </cell>
          <cell r="R189">
            <v>1592.5486752345539</v>
          </cell>
          <cell r="S189">
            <v>1751.8035427580094</v>
          </cell>
        </row>
        <row r="190">
          <cell r="A190" t="str">
            <v>Yr./Yr. Change</v>
          </cell>
          <cell r="B190">
            <v>-1.779210323089464E-2</v>
          </cell>
          <cell r="C190">
            <v>0.25588222993601262</v>
          </cell>
          <cell r="D190">
            <v>0.45720373482079446</v>
          </cell>
          <cell r="E190">
            <v>0.26349392630998159</v>
          </cell>
          <cell r="F190">
            <v>0.14448688896082862</v>
          </cell>
          <cell r="G190">
            <v>0.26784089511865261</v>
          </cell>
          <cell r="H190">
            <v>0.26004986339975322</v>
          </cell>
          <cell r="I190">
            <v>0.62172088088445099</v>
          </cell>
          <cell r="J190">
            <v>0.24110259557799107</v>
          </cell>
          <cell r="K190">
            <v>0.21550625000000023</v>
          </cell>
          <cell r="L190">
            <v>0.21550625000000001</v>
          </cell>
          <cell r="M190">
            <v>0.29742489548777806</v>
          </cell>
          <cell r="N190">
            <v>0.21999999999999997</v>
          </cell>
          <cell r="O190">
            <v>0.19999999999999996</v>
          </cell>
          <cell r="P190">
            <v>0.16999999999999993</v>
          </cell>
          <cell r="Q190">
            <v>0.14999999999999991</v>
          </cell>
          <cell r="R190">
            <v>0.10000000000000009</v>
          </cell>
          <cell r="S190">
            <v>0.10000000000000009</v>
          </cell>
        </row>
        <row r="191">
          <cell r="A191" t="str">
            <v>Free credits</v>
          </cell>
          <cell r="B191" t="str">
            <v>NA</v>
          </cell>
          <cell r="C191">
            <v>3373.6150000000002</v>
          </cell>
          <cell r="D191">
            <v>6759.7330000000002</v>
          </cell>
          <cell r="E191">
            <v>6416.1360000000004</v>
          </cell>
          <cell r="F191">
            <v>5794.5860000000002</v>
          </cell>
          <cell r="G191">
            <v>5736.6401400000004</v>
          </cell>
          <cell r="H191">
            <v>6176.7737850000003</v>
          </cell>
          <cell r="I191">
            <v>5908.7393442000002</v>
          </cell>
          <cell r="J191">
            <v>6026.9141310840005</v>
          </cell>
          <cell r="K191">
            <v>6147.4524137056806</v>
          </cell>
          <cell r="L191">
            <v>6270.4014619797945</v>
          </cell>
          <cell r="M191">
            <v>6088.3768377423694</v>
          </cell>
          <cell r="N191">
            <v>6210.1443744972166</v>
          </cell>
          <cell r="O191">
            <v>6334.3472619871609</v>
          </cell>
          <cell r="P191">
            <v>6461.0342072269041</v>
          </cell>
          <cell r="Q191">
            <v>6590.2548913714427</v>
          </cell>
          <cell r="R191">
            <v>6722.0599891988713</v>
          </cell>
          <cell r="S191">
            <v>6856.5011889828493</v>
          </cell>
        </row>
        <row r="192">
          <cell r="A192" t="str">
            <v>Yr./Yr. Change</v>
          </cell>
          <cell r="B192" t="str">
            <v>NA</v>
          </cell>
          <cell r="C192" t="str">
            <v>NA</v>
          </cell>
          <cell r="D192">
            <v>1.3763286522028313</v>
          </cell>
          <cell r="E192">
            <v>0.7321512695379202</v>
          </cell>
          <cell r="F192">
            <v>0.7009456407034993</v>
          </cell>
          <cell r="G192">
            <v>0.62096855626698932</v>
          </cell>
          <cell r="H192">
            <v>0.83090654535268538</v>
          </cell>
          <cell r="I192">
            <v>-0.12589160781942121</v>
          </cell>
          <cell r="J192">
            <v>-6.0662970503742475E-2</v>
          </cell>
          <cell r="K192">
            <v>6.0895880000000124E-2</v>
          </cell>
          <cell r="L192">
            <v>9.304424E-2</v>
          </cell>
          <cell r="M192">
            <v>-1.4311184177134506E-2</v>
          </cell>
          <cell r="N192">
            <v>2.0000000000000018E-2</v>
          </cell>
          <cell r="O192">
            <v>2.0000000000000018E-2</v>
          </cell>
          <cell r="P192">
            <v>2.0000000000000018E-2</v>
          </cell>
          <cell r="Q192">
            <v>2.0000000000000018E-2</v>
          </cell>
          <cell r="R192">
            <v>2.0000000000000018E-2</v>
          </cell>
          <cell r="S192">
            <v>2.0000000000000018E-2</v>
          </cell>
        </row>
        <row r="193">
          <cell r="A193" t="str">
            <v>Repurchase agreements and other borrowings</v>
          </cell>
          <cell r="B193">
            <v>8139.7359999999999</v>
          </cell>
          <cell r="C193">
            <v>10115.763999999999</v>
          </cell>
          <cell r="D193">
            <v>9855.018</v>
          </cell>
          <cell r="E193">
            <v>10580.282999999999</v>
          </cell>
          <cell r="F193">
            <v>11586.26</v>
          </cell>
          <cell r="G193">
            <v>12165.573</v>
          </cell>
          <cell r="H193">
            <v>11046.783500000001</v>
          </cell>
          <cell r="I193">
            <v>12530.540190000002</v>
          </cell>
          <cell r="J193">
            <v>12906.456395700003</v>
          </cell>
          <cell r="K193">
            <v>13293.650087571003</v>
          </cell>
          <cell r="L193">
            <v>13692.459590198134</v>
          </cell>
          <cell r="M193">
            <v>13105.776565867287</v>
          </cell>
          <cell r="N193">
            <v>14154.23869113667</v>
          </cell>
          <cell r="O193">
            <v>15003.493012604871</v>
          </cell>
          <cell r="P193">
            <v>15603.632733109067</v>
          </cell>
          <cell r="Q193">
            <v>16227.778042433431</v>
          </cell>
          <cell r="R193">
            <v>16714.611383706433</v>
          </cell>
          <cell r="S193">
            <v>17216.049725217628</v>
          </cell>
        </row>
        <row r="194">
          <cell r="A194" t="str">
            <v>Yr./Yr. Change</v>
          </cell>
          <cell r="B194">
            <v>0.3619045866217816</v>
          </cell>
          <cell r="C194">
            <v>0.24276315595493503</v>
          </cell>
          <cell r="D194">
            <v>-2.1648870569891732E-2</v>
          </cell>
          <cell r="E194">
            <v>1.6442975135472437E-2</v>
          </cell>
          <cell r="F194">
            <v>0.21829645473803216</v>
          </cell>
          <cell r="G194">
            <v>0.16162542748475861</v>
          </cell>
          <cell r="H194">
            <v>9.1975481126219893E-2</v>
          </cell>
          <cell r="I194">
            <v>0.27148831082804725</v>
          </cell>
          <cell r="J194">
            <v>0.21985927935008953</v>
          </cell>
          <cell r="K194">
            <v>0.14736335000000023</v>
          </cell>
          <cell r="L194">
            <v>0.12550881000000036</v>
          </cell>
          <cell r="M194">
            <v>0.18638846917451457</v>
          </cell>
          <cell r="N194">
            <v>8.0000000000000071E-2</v>
          </cell>
          <cell r="O194">
            <v>6.0000000000000053E-2</v>
          </cell>
          <cell r="P194">
            <v>4.0000000000000036E-2</v>
          </cell>
          <cell r="Q194">
            <v>4.0000000000000036E-2</v>
          </cell>
          <cell r="R194">
            <v>3.0000000000000027E-2</v>
          </cell>
          <cell r="S194">
            <v>3.0000000000000027E-2</v>
          </cell>
        </row>
        <row r="195">
          <cell r="A195" t="str">
            <v>FHLB advances</v>
          </cell>
          <cell r="B195">
            <v>1168.519</v>
          </cell>
          <cell r="C195">
            <v>3260.556</v>
          </cell>
          <cell r="D195">
            <v>3054.1109999999999</v>
          </cell>
          <cell r="E195">
            <v>2842.1979999999999</v>
          </cell>
          <cell r="F195">
            <v>3583.663</v>
          </cell>
          <cell r="G195">
            <v>3476.1531099999997</v>
          </cell>
          <cell r="H195">
            <v>3239.0312774999998</v>
          </cell>
          <cell r="I195">
            <v>3580.4377032999996</v>
          </cell>
          <cell r="J195">
            <v>3687.8508343989997</v>
          </cell>
          <cell r="K195">
            <v>3798.48635943097</v>
          </cell>
          <cell r="L195">
            <v>3912.4409502138992</v>
          </cell>
          <cell r="M195">
            <v>3744.8039618359671</v>
          </cell>
          <cell r="N195">
            <v>4044.3882787828447</v>
          </cell>
          <cell r="O195">
            <v>4287.0515755098158</v>
          </cell>
          <cell r="P195">
            <v>4501.4041542853065</v>
          </cell>
          <cell r="Q195">
            <v>4681.4603204567193</v>
          </cell>
          <cell r="R195">
            <v>4821.9041300704212</v>
          </cell>
          <cell r="S195">
            <v>4966.5612539725344</v>
          </cell>
        </row>
        <row r="196">
          <cell r="A196" t="str">
            <v>Yr./Yr. Change</v>
          </cell>
          <cell r="B196">
            <v>0.24969546855064428</v>
          </cell>
          <cell r="C196">
            <v>1.7903320356793513</v>
          </cell>
          <cell r="D196">
            <v>0.55691399662731866</v>
          </cell>
          <cell r="E196">
            <v>-5.3010081974559697E-2</v>
          </cell>
          <cell r="F196">
            <v>-0.12450388366924048</v>
          </cell>
          <cell r="G196">
            <v>-0.12105913524726342</v>
          </cell>
          <cell r="H196">
            <v>-4.2305107250549812E-3</v>
          </cell>
          <cell r="I196">
            <v>0.17233384880248281</v>
          </cell>
          <cell r="J196">
            <v>0.29753480735648963</v>
          </cell>
          <cell r="K196">
            <v>5.9945190000000093E-2</v>
          </cell>
          <cell r="L196">
            <v>0.12550881000000014</v>
          </cell>
          <cell r="M196">
            <v>0.15614936720411698</v>
          </cell>
          <cell r="N196">
            <v>8.0000000000000071E-2</v>
          </cell>
          <cell r="O196">
            <v>6.0000000000000053E-2</v>
          </cell>
          <cell r="P196">
            <v>5.0000000000000044E-2</v>
          </cell>
          <cell r="Q196">
            <v>4.0000000000000036E-2</v>
          </cell>
          <cell r="R196">
            <v>3.0000000000000027E-2</v>
          </cell>
          <cell r="S196">
            <v>3.0000000000000027E-2</v>
          </cell>
        </row>
        <row r="197">
          <cell r="A197" t="str">
            <v>Stock loan and other</v>
          </cell>
          <cell r="B197" t="str">
            <v>NA</v>
          </cell>
          <cell r="C197" t="str">
            <v>NA</v>
          </cell>
          <cell r="D197">
            <v>669.75300000000004</v>
          </cell>
          <cell r="E197">
            <v>1133.694</v>
          </cell>
          <cell r="F197">
            <v>1283.0260000000001</v>
          </cell>
          <cell r="G197">
            <v>1347.1773000000001</v>
          </cell>
          <cell r="H197">
            <v>1108.4125750000001</v>
          </cell>
          <cell r="I197">
            <v>1401.064392</v>
          </cell>
          <cell r="J197">
            <v>1457.10696768</v>
          </cell>
          <cell r="K197">
            <v>1515.3912463872</v>
          </cell>
          <cell r="L197">
            <v>1576.0068962426881</v>
          </cell>
          <cell r="M197">
            <v>1487.3923755774722</v>
          </cell>
          <cell r="N197">
            <v>1546.8880706005712</v>
          </cell>
          <cell r="O197">
            <v>1608.7635934245941</v>
          </cell>
          <cell r="P197">
            <v>1673.1141371615779</v>
          </cell>
          <cell r="Q197">
            <v>1723.3075612764253</v>
          </cell>
          <cell r="R197">
            <v>1775.0067881147181</v>
          </cell>
          <cell r="S197">
            <v>1828.2569917581598</v>
          </cell>
        </row>
        <row r="198">
          <cell r="A198" t="str">
            <v>Yr./Yr. Change</v>
          </cell>
          <cell r="B198" t="str">
            <v>NA</v>
          </cell>
          <cell r="C198" t="str">
            <v>NA</v>
          </cell>
          <cell r="D198">
            <v>0.56539939417737139</v>
          </cell>
          <cell r="E198">
            <v>1.2446541428413029</v>
          </cell>
          <cell r="F198">
            <v>2.0066529342978803</v>
          </cell>
          <cell r="G198">
            <v>1.7094080712438311</v>
          </cell>
          <cell r="H198">
            <v>1.3877099710641012</v>
          </cell>
          <cell r="I198">
            <v>1.0919120810209137</v>
          </cell>
          <cell r="J198">
            <v>0.28527359911933914</v>
          </cell>
          <cell r="K198">
            <v>0.18110720000000002</v>
          </cell>
          <cell r="L198">
            <v>0.16985855999999999</v>
          </cell>
          <cell r="M198">
            <v>0.3419122167370503</v>
          </cell>
          <cell r="N198">
            <v>4.0000000000000036E-2</v>
          </cell>
          <cell r="O198">
            <v>4.0000000000000036E-2</v>
          </cell>
          <cell r="P198">
            <v>4.0000000000000036E-2</v>
          </cell>
          <cell r="Q198">
            <v>3.0000000000000027E-2</v>
          </cell>
          <cell r="R198">
            <v>3.0000000000000027E-2</v>
          </cell>
          <cell r="S198">
            <v>3.0000000000000027E-2</v>
          </cell>
        </row>
        <row r="199">
          <cell r="A199" t="str">
            <v>Total Average Interest Bearing Liabilities</v>
          </cell>
          <cell r="B199">
            <v>21387.253000000001</v>
          </cell>
          <cell r="C199">
            <v>30616.226750000002</v>
          </cell>
          <cell r="D199">
            <v>38879.303999999996</v>
          </cell>
          <cell r="E199">
            <v>41397.700999999994</v>
          </cell>
          <cell r="F199">
            <v>43859.178</v>
          </cell>
          <cell r="G199">
            <v>45585.712396000003</v>
          </cell>
          <cell r="H199">
            <v>42430.473849000002</v>
          </cell>
          <cell r="I199">
            <v>47312.906148819995</v>
          </cell>
          <cell r="J199">
            <v>49049.008930564894</v>
          </cell>
          <cell r="K199">
            <v>50852.922338836455</v>
          </cell>
          <cell r="L199">
            <v>52727.418583915773</v>
          </cell>
          <cell r="M199">
            <v>49985.564000534287</v>
          </cell>
          <cell r="N199">
            <v>56144.931422948008</v>
          </cell>
          <cell r="O199">
            <v>62289.077974409207</v>
          </cell>
          <cell r="P199">
            <v>67894.853093700163</v>
          </cell>
          <cell r="Q199">
            <v>73290.949412629372</v>
          </cell>
          <cell r="R199">
            <v>78082.341977149437</v>
          </cell>
          <cell r="S199">
            <v>82327.318484271338</v>
          </cell>
        </row>
        <row r="200">
          <cell r="A200" t="str">
            <v>Yr./Yr. Change</v>
          </cell>
          <cell r="B200">
            <v>0.29299866463661783</v>
          </cell>
          <cell r="C200">
            <v>0.43151749081567425</v>
          </cell>
          <cell r="D200">
            <v>0.41577402968036914</v>
          </cell>
          <cell r="E200">
            <v>0.3651212207578669</v>
          </cell>
          <cell r="F200">
            <v>0.41148981970438103</v>
          </cell>
          <cell r="G200">
            <v>0.35911140624733062</v>
          </cell>
          <cell r="H200">
            <v>0.3866099953431601</v>
          </cell>
          <cell r="I200">
            <v>0.21691751860630015</v>
          </cell>
          <cell r="J200">
            <v>0.18482446478283676</v>
          </cell>
          <cell r="K200">
            <v>0.15945908377116536</v>
          </cell>
          <cell r="L200">
            <v>0.15666545091752115</v>
          </cell>
          <cell r="M200">
            <v>0.17805811404371918</v>
          </cell>
          <cell r="N200">
            <v>0.12322292536997059</v>
          </cell>
          <cell r="O200">
            <v>0.10943368164752831</v>
          </cell>
          <cell r="P200">
            <v>8.9996116519721614E-2</v>
          </cell>
          <cell r="Q200">
            <v>7.9477251559586959E-2</v>
          </cell>
          <cell r="R200">
            <v>6.5374955610745911E-2</v>
          </cell>
          <cell r="S200">
            <v>5.4365384024523511E-2</v>
          </cell>
        </row>
        <row r="202">
          <cell r="A202" t="str">
            <v>Liability Mix</v>
          </cell>
        </row>
        <row r="203">
          <cell r="A203" t="str">
            <v>Retail deposits</v>
          </cell>
          <cell r="B203">
            <v>0.54800553395052654</v>
          </cell>
          <cell r="C203">
            <v>0.42303171797615458</v>
          </cell>
          <cell r="D203">
            <v>0.46606001486034837</v>
          </cell>
          <cell r="E203">
            <v>0.47945469242362043</v>
          </cell>
          <cell r="F203">
            <v>0.47864467500964109</v>
          </cell>
          <cell r="G203">
            <v>0.48722620813860318</v>
          </cell>
          <cell r="H203">
            <v>0.4782643194421517</v>
          </cell>
          <cell r="I203">
            <v>0.49056442746962536</v>
          </cell>
          <cell r="J203">
            <v>0.49449480301247661</v>
          </cell>
          <cell r="K203">
            <v>0.49841642217931348</v>
          </cell>
          <cell r="L203">
            <v>0.50232875500549845</v>
          </cell>
          <cell r="M203">
            <v>0.49662808079065118</v>
          </cell>
          <cell r="N203">
            <v>0.52173181484872466</v>
          </cell>
          <cell r="O203">
            <v>0.54551156615848806</v>
          </cell>
          <cell r="P203">
            <v>0.56553235412186742</v>
          </cell>
          <cell r="Q203">
            <v>0.58152305865486009</v>
          </cell>
          <cell r="R203">
            <v>0.59496436498305483</v>
          </cell>
          <cell r="S203">
            <v>0.60378677086487287</v>
          </cell>
        </row>
        <row r="204">
          <cell r="A204" t="str">
            <v>Free credits</v>
          </cell>
          <cell r="B204" t="str">
            <v>NA</v>
          </cell>
          <cell r="C204">
            <v>0.11019042377584952</v>
          </cell>
          <cell r="D204">
            <v>0.1738645578634844</v>
          </cell>
          <cell r="E204">
            <v>0.15498773712095754</v>
          </cell>
          <cell r="F204">
            <v>0.13211797995849353</v>
          </cell>
          <cell r="G204">
            <v>0.12584294153760711</v>
          </cell>
          <cell r="H204">
            <v>0.14557399964425743</v>
          </cell>
          <cell r="I204">
            <v>0.12488641736811525</v>
          </cell>
          <cell r="J204">
            <v>0.12287534982849221</v>
          </cell>
          <cell r="K204">
            <v>0.12088690543180174</v>
          </cell>
          <cell r="L204">
            <v>0.11892107807251061</v>
          </cell>
          <cell r="M204">
            <v>0.12180270363013793</v>
          </cell>
          <cell r="N204">
            <v>0.11060917196096096</v>
          </cell>
          <cell r="O204">
            <v>0.10169274402471584</v>
          </cell>
          <cell r="P204">
            <v>9.5162356391141692E-2</v>
          </cell>
          <cell r="Q204">
            <v>8.9919082017456048E-2</v>
          </cell>
          <cell r="R204">
            <v>8.6089374613866759E-2</v>
          </cell>
          <cell r="S204">
            <v>8.3283426634292557E-2</v>
          </cell>
        </row>
        <row r="205">
          <cell r="A205" t="str">
            <v>Total retail deposits + free credit</v>
          </cell>
          <cell r="B205" t="str">
            <v>NA</v>
          </cell>
          <cell r="C205">
            <v>0.53322214175200411</v>
          </cell>
          <cell r="D205">
            <v>0.63992457272383274</v>
          </cell>
          <cell r="E205">
            <v>0.63444242954457797</v>
          </cell>
          <cell r="F205">
            <v>0.61076265496813464</v>
          </cell>
          <cell r="G205">
            <v>0.61306914967621029</v>
          </cell>
          <cell r="H205">
            <v>0.62383831908640919</v>
          </cell>
          <cell r="I205">
            <v>0.6154508448377406</v>
          </cell>
          <cell r="J205">
            <v>0.61737015284096886</v>
          </cell>
          <cell r="K205">
            <v>0.61930332761111517</v>
          </cell>
          <cell r="L205">
            <v>0.62124983307800907</v>
          </cell>
          <cell r="M205">
            <v>0.61843078442078914</v>
          </cell>
          <cell r="N205">
            <v>0.63234098680968565</v>
          </cell>
          <cell r="O205">
            <v>0.6472043101832039</v>
          </cell>
          <cell r="P205">
            <v>0.6606947105130091</v>
          </cell>
          <cell r="Q205">
            <v>0.67144214067231611</v>
          </cell>
          <cell r="R205">
            <v>0.68105373959692161</v>
          </cell>
          <cell r="S205">
            <v>0.68707019749916542</v>
          </cell>
        </row>
        <row r="206">
          <cell r="A206" t="str">
            <v>Brokered certificates of deposit</v>
          </cell>
          <cell r="B206">
            <v>1.6770035871366933E-2</v>
          </cell>
          <cell r="C206">
            <v>1.4712492289729985E-2</v>
          </cell>
          <cell r="D206">
            <v>1.0818094891822139E-2</v>
          </cell>
          <cell r="E206">
            <v>1.393961466604148E-2</v>
          </cell>
          <cell r="F206">
            <v>1.4106078321850903E-2</v>
          </cell>
          <cell r="G206">
            <v>1.4250409083373274E-2</v>
          </cell>
          <cell r="H206">
            <v>1.335104138869642E-2</v>
          </cell>
          <cell r="I206">
            <v>1.4416696373596402E-2</v>
          </cell>
          <cell r="J206">
            <v>1.4601734229510591E-2</v>
          </cell>
          <cell r="K206">
            <v>1.4787952937012206E-2</v>
          </cell>
          <cell r="L206">
            <v>1.4975342517714863E-2</v>
          </cell>
          <cell r="M206">
            <v>1.4703836145166276E-2</v>
          </cell>
          <cell r="N206">
            <v>1.5970721120381476E-2</v>
          </cell>
          <cell r="O206">
            <v>1.7274457826084399E-2</v>
          </cell>
          <cell r="P206">
            <v>1.8542374005011474E-2</v>
          </cell>
          <cell r="Q206">
            <v>1.975375588040924E-2</v>
          </cell>
          <cell r="R206">
            <v>2.0395759590569256E-2</v>
          </cell>
          <cell r="S206">
            <v>2.1278520605437817E-2</v>
          </cell>
        </row>
        <row r="207">
          <cell r="A207" t="str">
            <v>Repurchase agreements and other borrowings</v>
          </cell>
          <cell r="B207">
            <v>0.38058819428563356</v>
          </cell>
          <cell r="C207">
            <v>0.33040531358097547</v>
          </cell>
          <cell r="D207">
            <v>0.25347722274040713</v>
          </cell>
          <cell r="E207">
            <v>0.25557658383010207</v>
          </cell>
          <cell r="F207">
            <v>0.26416956560380589</v>
          </cell>
          <cell r="G207">
            <v>0.26687249931115453</v>
          </cell>
          <cell r="H207">
            <v>0.26035022703995447</v>
          </cell>
          <cell r="I207">
            <v>0.2648440184711105</v>
          </cell>
          <cell r="J207">
            <v>0.26313388745470334</v>
          </cell>
          <cell r="K207">
            <v>0.26141369022992456</v>
          </cell>
          <cell r="L207">
            <v>0.2596838600851768</v>
          </cell>
          <cell r="M207">
            <v>0.26219123116680654</v>
          </cell>
          <cell r="N207">
            <v>0.25210180745454497</v>
          </cell>
          <cell r="O207">
            <v>0.24086876063198259</v>
          </cell>
          <cell r="P207">
            <v>0.22982055372555035</v>
          </cell>
          <cell r="Q207">
            <v>0.22141585246864173</v>
          </cell>
          <cell r="R207">
            <v>0.21406390946365203</v>
          </cell>
          <cell r="S207">
            <v>0.20911709554231092</v>
          </cell>
        </row>
        <row r="208">
          <cell r="A208" t="str">
            <v>FHLB advances</v>
          </cell>
          <cell r="B208">
            <v>5.4636235892472962E-2</v>
          </cell>
          <cell r="C208">
            <v>0.10649764344327636</v>
          </cell>
          <cell r="D208">
            <v>7.8553643861525926E-2</v>
          </cell>
          <cell r="E208">
            <v>6.8655938164295646E-2</v>
          </cell>
          <cell r="F208">
            <v>8.1708394078885832E-2</v>
          </cell>
          <cell r="G208">
            <v>7.625532052242362E-2</v>
          </cell>
          <cell r="H208">
            <v>7.6337381690031181E-2</v>
          </cell>
          <cell r="I208">
            <v>7.5675708696437735E-2</v>
          </cell>
          <cell r="J208">
            <v>7.5187061162023089E-2</v>
          </cell>
          <cell r="K208">
            <v>7.469553734043835E-2</v>
          </cell>
          <cell r="L208">
            <v>7.4201261038168279E-2</v>
          </cell>
          <cell r="M208">
            <v>7.4917709476998995E-2</v>
          </cell>
          <cell r="N208">
            <v>7.2034788827434387E-2</v>
          </cell>
          <cell r="O208">
            <v>6.8825092856103998E-2</v>
          </cell>
          <cell r="P208">
            <v>6.6299637589214894E-2</v>
          </cell>
          <cell r="Q208">
            <v>6.3875012644467363E-2</v>
          </cell>
          <cell r="R208">
            <v>6.17540920004876E-2</v>
          </cell>
          <cell r="S208">
            <v>6.032701350428895E-2</v>
          </cell>
        </row>
        <row r="209">
          <cell r="A209" t="str">
            <v>Stock loan and other</v>
          </cell>
          <cell r="B209" t="str">
            <v>NA</v>
          </cell>
          <cell r="C209" t="str">
            <v>NA</v>
          </cell>
          <cell r="D209">
            <v>1.7226465782412156E-2</v>
          </cell>
          <cell r="E209">
            <v>2.7385433794982966E-2</v>
          </cell>
          <cell r="F209">
            <v>2.9253307027322765E-2</v>
          </cell>
          <cell r="G209">
            <v>2.9552621406838221E-2</v>
          </cell>
          <cell r="H209">
            <v>2.6123030794908811E-2</v>
          </cell>
          <cell r="I209">
            <v>2.9612731621114826E-2</v>
          </cell>
          <cell r="J209">
            <v>2.970716431279417E-2</v>
          </cell>
          <cell r="K209">
            <v>2.9799491881509696E-2</v>
          </cell>
          <cell r="L209">
            <v>2.9889703280930973E-2</v>
          </cell>
          <cell r="M209">
            <v>2.9756438790238992E-2</v>
          </cell>
          <cell r="N209">
            <v>2.7551695787953436E-2</v>
          </cell>
          <cell r="O209">
            <v>2.5827378502625085E-2</v>
          </cell>
          <cell r="P209">
            <v>2.4642724167214129E-2</v>
          </cell>
          <cell r="Q209">
            <v>2.3513238334165555E-2</v>
          </cell>
          <cell r="R209">
            <v>2.2732499348369552E-2</v>
          </cell>
          <cell r="S209">
            <v>2.2207172848796829E-2</v>
          </cell>
        </row>
        <row r="211">
          <cell r="A211" t="str">
            <v>Cost</v>
          </cell>
        </row>
        <row r="212">
          <cell r="A212" t="str">
            <v>Retail deposits</v>
          </cell>
          <cell r="B212">
            <v>1.4804016234009733E-2</v>
          </cell>
          <cell r="C212">
            <v>1.6726228001329561E-2</v>
          </cell>
          <cell r="D212">
            <v>2.0299999999999999E-2</v>
          </cell>
          <cell r="E212">
            <v>2.3300000000000001E-2</v>
          </cell>
          <cell r="F212">
            <v>2.6700000000000002E-2</v>
          </cell>
          <cell r="G212">
            <v>2.7E-2</v>
          </cell>
          <cell r="H212">
            <v>2.4528453968002347E-2</v>
          </cell>
          <cell r="I212">
            <v>2.75E-2</v>
          </cell>
          <cell r="J212">
            <v>2.8500000000000001E-2</v>
          </cell>
          <cell r="K212">
            <v>2.9000000000000001E-2</v>
          </cell>
          <cell r="L212">
            <v>2.9000000000000001E-2</v>
          </cell>
          <cell r="M212">
            <v>2.8544547381976149E-2</v>
          </cell>
          <cell r="N212">
            <v>2.9000000000000001E-2</v>
          </cell>
          <cell r="O212">
            <v>2.9499999999999998E-2</v>
          </cell>
          <cell r="P212">
            <v>2.9499999999999998E-2</v>
          </cell>
          <cell r="Q212">
            <v>2.9499999999999998E-2</v>
          </cell>
          <cell r="R212">
            <v>2.9499999999999998E-2</v>
          </cell>
          <cell r="S212">
            <v>2.9499999999999998E-2</v>
          </cell>
        </row>
        <row r="213">
          <cell r="A213" t="str">
            <v>Brokered certificates of deposit</v>
          </cell>
          <cell r="B213">
            <v>2.5572609538148411E-2</v>
          </cell>
          <cell r="C213">
            <v>3.4810330320730137E-2</v>
          </cell>
          <cell r="D213">
            <v>3.9699999999999999E-2</v>
          </cell>
          <cell r="E213">
            <v>4.65E-2</v>
          </cell>
          <cell r="F213">
            <v>4.7800000000000002E-2</v>
          </cell>
          <cell r="G213">
            <v>4.8000000000000001E-2</v>
          </cell>
          <cell r="H213">
            <v>4.611097377536922E-2</v>
          </cell>
          <cell r="I213">
            <v>4.8000000000000001E-2</v>
          </cell>
          <cell r="J213">
            <v>4.8500000000000001E-2</v>
          </cell>
          <cell r="K213">
            <v>4.8500000000000001E-2</v>
          </cell>
          <cell r="L213">
            <v>4.8500000000000001E-2</v>
          </cell>
          <cell r="M213">
            <v>4.8408099914465492E-2</v>
          </cell>
          <cell r="N213">
            <v>4.8000000000000001E-2</v>
          </cell>
          <cell r="O213">
            <v>4.7500000000000001E-2</v>
          </cell>
          <cell r="P213">
            <v>4.7500000000000001E-2</v>
          </cell>
          <cell r="Q213">
            <v>4.7500000000000001E-2</v>
          </cell>
          <cell r="R213">
            <v>4.7500000000000001E-2</v>
          </cell>
          <cell r="S213">
            <v>4.7500000000000001E-2</v>
          </cell>
        </row>
        <row r="214">
          <cell r="A214" t="str">
            <v>Free credits</v>
          </cell>
          <cell r="B214" t="str">
            <v>NA</v>
          </cell>
          <cell r="C214">
            <v>5.6420190211390444E-3</v>
          </cell>
          <cell r="D214">
            <v>9.7999999999999997E-3</v>
          </cell>
          <cell r="E214">
            <v>1.06E-2</v>
          </cell>
          <cell r="F214">
            <v>1.2500000000000001E-2</v>
          </cell>
          <cell r="G214">
            <v>1.2500000000000001E-2</v>
          </cell>
          <cell r="H214">
            <v>1.1289120837792726E-2</v>
          </cell>
          <cell r="I214">
            <v>1.2500000000000001E-2</v>
          </cell>
          <cell r="J214">
            <v>1.2999999999999999E-2</v>
          </cell>
          <cell r="K214">
            <v>1.2999999999999999E-2</v>
          </cell>
          <cell r="L214">
            <v>1.2999999999999999E-2</v>
          </cell>
          <cell r="M214">
            <v>1.2882811206574436E-2</v>
          </cell>
          <cell r="N214">
            <v>1.2500000000000001E-2</v>
          </cell>
          <cell r="O214">
            <v>1.2E-2</v>
          </cell>
          <cell r="P214">
            <v>1.2E-2</v>
          </cell>
          <cell r="Q214">
            <v>1.2E-2</v>
          </cell>
          <cell r="R214">
            <v>1.2E-2</v>
          </cell>
          <cell r="S214">
            <v>1.2E-2</v>
          </cell>
        </row>
        <row r="215">
          <cell r="A215" t="str">
            <v>Repurchase agreements and other borrowings</v>
          </cell>
          <cell r="B215">
            <v>3.1843293197715505E-2</v>
          </cell>
          <cell r="C215">
            <v>3.7005311709525847E-2</v>
          </cell>
          <cell r="D215">
            <v>4.53E-2</v>
          </cell>
          <cell r="E215">
            <v>4.8300000000000003E-2</v>
          </cell>
          <cell r="F215">
            <v>5.0900000000000001E-2</v>
          </cell>
          <cell r="G215">
            <v>5.0999999999999997E-2</v>
          </cell>
          <cell r="H215">
            <v>4.9593254103307616E-2</v>
          </cell>
          <cell r="I215">
            <v>5.0999999999999997E-2</v>
          </cell>
          <cell r="J215">
            <v>5.1999999999999998E-2</v>
          </cell>
          <cell r="K215">
            <v>5.1999999999999998E-2</v>
          </cell>
          <cell r="L215">
            <v>5.1999999999999998E-2</v>
          </cell>
          <cell r="M215">
            <v>5.177892016100822E-2</v>
          </cell>
          <cell r="N215">
            <v>5.1499999999999997E-2</v>
          </cell>
          <cell r="O215">
            <v>5.0999999999999997E-2</v>
          </cell>
          <cell r="P215">
            <v>5.0999999999999997E-2</v>
          </cell>
          <cell r="Q215">
            <v>5.0999999999999997E-2</v>
          </cell>
          <cell r="R215">
            <v>5.0999999999999997E-2</v>
          </cell>
          <cell r="S215">
            <v>5.0999999999999997E-2</v>
          </cell>
        </row>
        <row r="216">
          <cell r="A216" t="str">
            <v>FHLB advances</v>
          </cell>
          <cell r="B216">
            <v>4.2836273950188228E-2</v>
          </cell>
          <cell r="C216">
            <v>3.8795530578220404E-2</v>
          </cell>
          <cell r="D216">
            <v>4.2599999999999999E-2</v>
          </cell>
          <cell r="E216">
            <v>4.48E-2</v>
          </cell>
          <cell r="F216">
            <v>4.8000000000000001E-2</v>
          </cell>
          <cell r="G216">
            <v>4.8500000000000001E-2</v>
          </cell>
          <cell r="H216">
            <v>4.6677777506072937E-2</v>
          </cell>
          <cell r="I216">
            <v>4.8500000000000001E-2</v>
          </cell>
          <cell r="J216">
            <v>4.9500000000000002E-2</v>
          </cell>
          <cell r="K216">
            <v>0.05</v>
          </cell>
          <cell r="L216">
            <v>0.05</v>
          </cell>
          <cell r="M216">
            <v>4.9537717798128315E-2</v>
          </cell>
          <cell r="N216">
            <v>4.4499999999999998E-2</v>
          </cell>
          <cell r="O216">
            <v>4.3999999999999997E-2</v>
          </cell>
          <cell r="P216">
            <v>4.3999999999999997E-2</v>
          </cell>
          <cell r="Q216">
            <v>4.3999999999999997E-2</v>
          </cell>
          <cell r="R216">
            <v>4.3999999999999997E-2</v>
          </cell>
          <cell r="S216">
            <v>4.3999999999999997E-2</v>
          </cell>
        </row>
        <row r="217">
          <cell r="A217" t="str">
            <v>Stock loan and other</v>
          </cell>
          <cell r="B217" t="str">
            <v>NA</v>
          </cell>
          <cell r="C217">
            <v>1.6757294426136986E-2</v>
          </cell>
          <cell r="D217">
            <v>2.5399999999999999E-2</v>
          </cell>
          <cell r="E217">
            <v>0.03</v>
          </cell>
          <cell r="F217">
            <v>3.5900000000000001E-2</v>
          </cell>
          <cell r="G217">
            <v>3.5499999999999997E-2</v>
          </cell>
          <cell r="H217">
            <v>3.2799581565975781E-2</v>
          </cell>
          <cell r="I217">
            <v>3.5499999999999997E-2</v>
          </cell>
          <cell r="J217">
            <v>3.6499999999999998E-2</v>
          </cell>
          <cell r="K217">
            <v>3.6999999999999998E-2</v>
          </cell>
          <cell r="L217">
            <v>3.6999999999999998E-2</v>
          </cell>
          <cell r="M217">
            <v>3.6543315447961161E-2</v>
          </cell>
          <cell r="N217">
            <v>3.5999999999999997E-2</v>
          </cell>
          <cell r="O217">
            <v>3.5499999999999997E-2</v>
          </cell>
          <cell r="P217">
            <v>3.5499999999999997E-2</v>
          </cell>
          <cell r="Q217">
            <v>3.5499999999999997E-2</v>
          </cell>
          <cell r="R217">
            <v>3.5499999999999997E-2</v>
          </cell>
          <cell r="S217">
            <v>3.5499999999999997E-2</v>
          </cell>
        </row>
        <row r="218">
          <cell r="A218" t="str">
            <v>Total</v>
          </cell>
          <cell r="B218">
            <v>2.3001130626733597E-2</v>
          </cell>
          <cell r="C218">
            <v>2.4822033302977154E-2</v>
          </cell>
          <cell r="D218">
            <v>2.7E-2</v>
          </cell>
          <cell r="E218">
            <v>2.9600000000000001E-2</v>
          </cell>
          <cell r="F218">
            <v>3.3599999999999998E-2</v>
          </cell>
          <cell r="G218">
            <v>3.3770162595113472E-2</v>
          </cell>
          <cell r="H218">
            <v>3.1321815098825492E-2</v>
          </cell>
          <cell r="I218">
            <v>3.397217218480221E-2</v>
          </cell>
          <cell r="J218">
            <v>3.4887698716338955E-2</v>
          </cell>
          <cell r="K218">
            <v>3.5173691689852453E-2</v>
          </cell>
          <cell r="L218">
            <v>3.5159354819943318E-2</v>
          </cell>
          <cell r="M218">
            <v>3.4831599892883078E-2</v>
          </cell>
          <cell r="N218">
            <v>3.4460084128999563E-2</v>
          </cell>
          <cell r="O218">
            <v>3.4362923691453877E-2</v>
          </cell>
          <cell r="P218">
            <v>3.4218764490391455E-2</v>
          </cell>
          <cell r="Q218">
            <v>3.4109691611967453E-2</v>
          </cell>
          <cell r="R218">
            <v>3.3994763000453392E-2</v>
          </cell>
          <cell r="S218">
            <v>3.3929555691862422E-2</v>
          </cell>
        </row>
        <row r="220">
          <cell r="A220" t="str">
            <v>Interest Spread</v>
          </cell>
          <cell r="B220">
            <v>2.07E-2</v>
          </cell>
          <cell r="C220">
            <v>2.50450944273343E-2</v>
          </cell>
          <cell r="D220">
            <v>2.8599999999999997E-2</v>
          </cell>
          <cell r="E220">
            <v>2.9100000000000001E-2</v>
          </cell>
          <cell r="F220">
            <v>2.8581241595985359E-2</v>
          </cell>
          <cell r="G220">
            <v>2.8564833481359735E-2</v>
          </cell>
          <cell r="H220">
            <v>2.8713841173455462E-2</v>
          </cell>
          <cell r="I220">
            <v>2.8789200501718584E-2</v>
          </cell>
          <cell r="J220">
            <v>2.9107554832272037E-2</v>
          </cell>
          <cell r="K220">
            <v>2.8835412864234973E-2</v>
          </cell>
          <cell r="L220">
            <v>2.840404710736575E-2</v>
          </cell>
          <cell r="M220">
            <v>2.8781212906314149E-2</v>
          </cell>
          <cell r="N220">
            <v>2.8687543656513645E-2</v>
          </cell>
          <cell r="O220">
            <v>2.8347971676387869E-2</v>
          </cell>
          <cell r="P220">
            <v>2.8544519485857199E-2</v>
          </cell>
          <cell r="Q220">
            <v>2.8711784269208902E-2</v>
          </cell>
          <cell r="R220">
            <v>2.8894639584915234E-2</v>
          </cell>
          <cell r="S220">
            <v>2.9022869308054054E-2</v>
          </cell>
        </row>
        <row r="222">
          <cell r="A222" t="str">
            <v>Provision (Bp)</v>
          </cell>
        </row>
        <row r="223">
          <cell r="A223" t="str">
            <v>Mortgage Charge-off Ratio</v>
          </cell>
          <cell r="B223">
            <v>1.9720270680935357</v>
          </cell>
          <cell r="C223">
            <v>3.3871236904548501</v>
          </cell>
          <cell r="D223">
            <v>6.5615993291775672</v>
          </cell>
          <cell r="E223">
            <v>7.3482105142437373</v>
          </cell>
          <cell r="F223">
            <v>7.2583809894397726</v>
          </cell>
          <cell r="G223">
            <v>7.3</v>
          </cell>
          <cell r="H223">
            <v>6.8470328034853694</v>
          </cell>
          <cell r="I223">
            <v>8</v>
          </cell>
          <cell r="J223">
            <v>8</v>
          </cell>
          <cell r="K223">
            <v>8</v>
          </cell>
          <cell r="L223">
            <v>8</v>
          </cell>
          <cell r="M223">
            <v>7.7732833182743715</v>
          </cell>
          <cell r="N223">
            <v>10</v>
          </cell>
          <cell r="O223">
            <v>11.999999999999998</v>
          </cell>
          <cell r="P223">
            <v>14</v>
          </cell>
          <cell r="Q223">
            <v>16</v>
          </cell>
          <cell r="R223">
            <v>16</v>
          </cell>
          <cell r="S223">
            <v>16</v>
          </cell>
        </row>
        <row r="224">
          <cell r="A224" t="str">
            <v>Provision/Charge-offs</v>
          </cell>
          <cell r="B224">
            <v>10.196868008948545</v>
          </cell>
          <cell r="C224">
            <v>4.1454323995127886</v>
          </cell>
          <cell r="D224">
            <v>1.1964214711729622</v>
          </cell>
          <cell r="E224">
            <v>2.029263370332997</v>
          </cell>
          <cell r="F224">
            <v>1.7908814589665654</v>
          </cell>
          <cell r="G224">
            <v>1.8</v>
          </cell>
          <cell r="H224">
            <v>1.7305449106236457</v>
          </cell>
          <cell r="I224">
            <v>1.8</v>
          </cell>
          <cell r="J224">
            <v>1.8</v>
          </cell>
          <cell r="K224">
            <v>1.8</v>
          </cell>
          <cell r="L224">
            <v>1.8</v>
          </cell>
          <cell r="M224">
            <v>1.7999999999999996</v>
          </cell>
          <cell r="N224">
            <v>1.6</v>
          </cell>
          <cell r="O224">
            <v>1.4</v>
          </cell>
          <cell r="P224">
            <v>1.2</v>
          </cell>
          <cell r="Q224">
            <v>1</v>
          </cell>
          <cell r="R224">
            <v>1</v>
          </cell>
          <cell r="S224">
            <v>1</v>
          </cell>
        </row>
        <row r="226">
          <cell r="A226" t="str">
            <v>Consumer Charge-off Ratio</v>
          </cell>
          <cell r="B226">
            <v>69.157130782435004</v>
          </cell>
          <cell r="C226">
            <v>84.317738713568289</v>
          </cell>
          <cell r="D226">
            <v>66.117893609205012</v>
          </cell>
          <cell r="E226">
            <v>49.368026109828932</v>
          </cell>
          <cell r="F226">
            <v>70.686086488337892</v>
          </cell>
          <cell r="G226">
            <v>73</v>
          </cell>
          <cell r="H226">
            <v>65.593351382804599</v>
          </cell>
          <cell r="I226">
            <v>80</v>
          </cell>
          <cell r="J226">
            <v>82</v>
          </cell>
          <cell r="K226">
            <v>84</v>
          </cell>
          <cell r="L226">
            <v>85</v>
          </cell>
          <cell r="M226">
            <v>83.018812559932854</v>
          </cell>
          <cell r="N226">
            <v>90</v>
          </cell>
          <cell r="O226">
            <v>100</v>
          </cell>
          <cell r="P226">
            <v>120</v>
          </cell>
          <cell r="Q226">
            <v>140</v>
          </cell>
          <cell r="R226">
            <v>160</v>
          </cell>
          <cell r="S226">
            <v>180</v>
          </cell>
        </row>
        <row r="227">
          <cell r="A227" t="str">
            <v>Provision/Charge-offs</v>
          </cell>
          <cell r="B227">
            <v>0.85797009896820398</v>
          </cell>
          <cell r="C227">
            <v>1.0784993878621816</v>
          </cell>
          <cell r="D227">
            <v>1.1128657686948444</v>
          </cell>
          <cell r="E227">
            <v>0.90437566702241201</v>
          </cell>
          <cell r="F227">
            <v>1.0285935085007729</v>
          </cell>
          <cell r="G227">
            <v>1</v>
          </cell>
          <cell r="H227">
            <v>1.01937447366547</v>
          </cell>
          <cell r="I227">
            <v>1</v>
          </cell>
          <cell r="J227">
            <v>1</v>
          </cell>
          <cell r="K227">
            <v>1</v>
          </cell>
          <cell r="L227">
            <v>1</v>
          </cell>
          <cell r="M227">
            <v>1</v>
          </cell>
          <cell r="N227">
            <v>1</v>
          </cell>
          <cell r="O227">
            <v>1</v>
          </cell>
          <cell r="P227">
            <v>1</v>
          </cell>
          <cell r="Q227">
            <v>1</v>
          </cell>
          <cell r="R227">
            <v>1</v>
          </cell>
          <cell r="S227">
            <v>1</v>
          </cell>
        </row>
        <row r="229">
          <cell r="A229" t="str">
            <v>EOP Retail Accounts (Thous.)</v>
          </cell>
          <cell r="B229">
            <v>3582.7629999999995</v>
          </cell>
          <cell r="C229">
            <v>4283.7779999999993</v>
          </cell>
          <cell r="D229">
            <v>4334.4339999999993</v>
          </cell>
          <cell r="E229">
            <v>4375.9129999999986</v>
          </cell>
          <cell r="F229">
            <v>4426.829999999999</v>
          </cell>
          <cell r="G229">
            <v>4473.7992599999989</v>
          </cell>
          <cell r="H229">
            <v>4473.7992600000007</v>
          </cell>
          <cell r="I229">
            <v>4517.9669879999992</v>
          </cell>
          <cell r="J229">
            <v>4563.9158135999996</v>
          </cell>
          <cell r="K229">
            <v>4614.5281046975997</v>
          </cell>
          <cell r="L229">
            <v>4671.9771077351033</v>
          </cell>
          <cell r="M229">
            <v>4671.9771077351024</v>
          </cell>
          <cell r="N229">
            <v>4937.8330245926718</v>
          </cell>
          <cell r="O229">
            <v>5254.5269871927503</v>
          </cell>
          <cell r="P229">
            <v>5615.3039774901608</v>
          </cell>
          <cell r="Q229">
            <v>6017.321403484967</v>
          </cell>
          <cell r="R229">
            <v>6460.0861006277592</v>
          </cell>
          <cell r="S229">
            <v>6942.6242753297183</v>
          </cell>
        </row>
        <row r="230">
          <cell r="A230" t="str">
            <v>Yr./Yr. Change</v>
          </cell>
          <cell r="B230" t="str">
            <v>NA</v>
          </cell>
          <cell r="C230">
            <v>0.19566323532982777</v>
          </cell>
          <cell r="D230">
            <v>0.19801669869165539</v>
          </cell>
          <cell r="E230">
            <v>0.20079233014323039</v>
          </cell>
          <cell r="F230">
            <v>0.1987356333044128</v>
          </cell>
          <cell r="G230">
            <v>4.4358335095795898E-2</v>
          </cell>
          <cell r="H230">
            <v>4.4358335095796564E-2</v>
          </cell>
          <cell r="I230">
            <v>4.2343011336658964E-2</v>
          </cell>
          <cell r="J230">
            <v>4.2963105893558895E-2</v>
          </cell>
          <cell r="K230">
            <v>4.2400115815967698E-2</v>
          </cell>
          <cell r="L230">
            <v>4.4297438534402378E-2</v>
          </cell>
          <cell r="M230">
            <v>4.4297438534401712E-2</v>
          </cell>
          <cell r="N230">
            <v>5.6904370618042766E-2</v>
          </cell>
          <cell r="O230">
            <v>6.4136223526149561E-2</v>
          </cell>
          <cell r="P230">
            <v>6.8660222162101103E-2</v>
          </cell>
          <cell r="Q230">
            <v>7.1593172445580278E-2</v>
          </cell>
          <cell r="R230">
            <v>7.3581693157749983E-2</v>
          </cell>
          <cell r="S230">
            <v>7.4695316313983628E-2</v>
          </cell>
        </row>
        <row r="231">
          <cell r="A231" t="str">
            <v>EOP Client Assets (Bn.)</v>
          </cell>
          <cell r="B231">
            <v>100.1</v>
          </cell>
          <cell r="C231">
            <v>133.1</v>
          </cell>
          <cell r="D231">
            <v>192.60000000000002</v>
          </cell>
          <cell r="E231">
            <v>180.1</v>
          </cell>
          <cell r="F231">
            <v>184.8</v>
          </cell>
          <cell r="G231">
            <v>189.56216407603634</v>
          </cell>
          <cell r="H231">
            <v>189.56216407603634</v>
          </cell>
          <cell r="I231">
            <v>194.30512701667627</v>
          </cell>
          <cell r="J231">
            <v>199.22547638650207</v>
          </cell>
          <cell r="K231">
            <v>204.45634219983523</v>
          </cell>
          <cell r="L231">
            <v>210.10676683412555</v>
          </cell>
          <cell r="M231">
            <v>210.10676683412555</v>
          </cell>
          <cell r="N231">
            <v>244.26903617975461</v>
          </cell>
          <cell r="O231">
            <v>283.32972735631921</v>
          </cell>
          <cell r="P231">
            <v>328.51978217917878</v>
          </cell>
          <cell r="Q231">
            <v>380.20272004423862</v>
          </cell>
          <cell r="R231">
            <v>436.751187523255</v>
          </cell>
          <cell r="S231">
            <v>497.53692296336123</v>
          </cell>
        </row>
        <row r="232">
          <cell r="A232" t="str">
            <v>Yr./Yr. Change</v>
          </cell>
          <cell r="B232" t="str">
            <v>NA</v>
          </cell>
          <cell r="C232">
            <v>0.32967032967032961</v>
          </cell>
          <cell r="D232">
            <v>1.0424178154825028</v>
          </cell>
          <cell r="E232">
            <v>0.86246122026887306</v>
          </cell>
          <cell r="F232">
            <v>0.73684210526315796</v>
          </cell>
          <cell r="G232">
            <v>6.1734984183019481E-2</v>
          </cell>
          <cell r="H232">
            <v>6.1734984183019481E-2</v>
          </cell>
          <cell r="I232">
            <v>8.8532036172181972E-3</v>
          </cell>
          <cell r="J232">
            <v>0.10619365011938964</v>
          </cell>
          <cell r="K232">
            <v>0.10636548809434654</v>
          </cell>
          <cell r="L232">
            <v>0.10837923727146559</v>
          </cell>
          <cell r="M232">
            <v>0.10837923727146559</v>
          </cell>
          <cell r="N232">
            <v>0.16259480767984669</v>
          </cell>
          <cell r="O232">
            <v>0.15990848364350319</v>
          </cell>
          <cell r="P232">
            <v>0.15949634104587962</v>
          </cell>
          <cell r="Q232">
            <v>0.15732062624122678</v>
          </cell>
          <cell r="R232">
            <v>0.14873241167879248</v>
          </cell>
          <cell r="S232">
            <v>0.13917703529282255</v>
          </cell>
        </row>
        <row r="233">
          <cell r="A233" t="str">
            <v>Cash % Client Assets</v>
          </cell>
          <cell r="C233">
            <v>0.12603824943651393</v>
          </cell>
          <cell r="D233">
            <v>0.13136252336448595</v>
          </cell>
          <cell r="E233">
            <v>0.14903679067184897</v>
          </cell>
          <cell r="F233">
            <v>0.14830210497835497</v>
          </cell>
          <cell r="G233">
            <v>0.15085715614920589</v>
          </cell>
          <cell r="H233">
            <v>0.14262469849022899</v>
          </cell>
          <cell r="I233">
            <v>0.15337147465471837</v>
          </cell>
          <cell r="J233">
            <v>0.15559051630851589</v>
          </cell>
          <cell r="K233">
            <v>0.15771286084112127</v>
          </cell>
          <cell r="L233">
            <v>0.15966411578616718</v>
          </cell>
          <cell r="M233">
            <v>0.15062623433846184</v>
          </cell>
          <cell r="N233">
            <v>0.14901363247547278</v>
          </cell>
          <cell r="O233">
            <v>0.14608339964559244</v>
          </cell>
          <cell r="P233">
            <v>0.14037724536171642</v>
          </cell>
          <cell r="Q233">
            <v>0.13324050780743604</v>
          </cell>
          <cell r="R233">
            <v>0.12540508472536568</v>
          </cell>
          <cell r="S233">
            <v>0.11721029700868543</v>
          </cell>
        </row>
        <row r="235">
          <cell r="A235" t="str">
            <v>A=Actual                   E=Morgan Stanley Research Estimates</v>
          </cell>
        </row>
        <row r="236">
          <cell r="A236" t="str">
            <v>Source: Company data, Morgan Stanley Research</v>
          </cell>
        </row>
        <row r="239">
          <cell r="A239" t="str">
            <v>Table XX</v>
          </cell>
        </row>
        <row r="240">
          <cell r="A240" t="str">
            <v>E*Trade Financial (ET)</v>
          </cell>
        </row>
        <row r="241">
          <cell r="A241" t="str">
            <v>2006A-2008E</v>
          </cell>
        </row>
        <row r="242">
          <cell r="A242" t="str">
            <v>($Million)</v>
          </cell>
        </row>
        <row r="244">
          <cell r="A244" t="str">
            <v>Key Metrics-Transaction Based</v>
          </cell>
          <cell r="B244" t="str">
            <v>2004A</v>
          </cell>
          <cell r="C244" t="str">
            <v>2005A</v>
          </cell>
          <cell r="D244" t="str">
            <v>1Q06A</v>
          </cell>
          <cell r="E244" t="str">
            <v>2Q06A</v>
          </cell>
          <cell r="F244" t="str">
            <v>3Q06A</v>
          </cell>
          <cell r="G244" t="str">
            <v>4Q06E</v>
          </cell>
          <cell r="H244" t="str">
            <v>2006E</v>
          </cell>
          <cell r="I244" t="str">
            <v>1Q07E</v>
          </cell>
          <cell r="J244" t="str">
            <v>2Q07E</v>
          </cell>
          <cell r="K244" t="str">
            <v>3Q07E</v>
          </cell>
          <cell r="L244" t="str">
            <v>4Q07E</v>
          </cell>
          <cell r="M244" t="str">
            <v>2007E</v>
          </cell>
          <cell r="N244" t="str">
            <v>2008E</v>
          </cell>
          <cell r="O244" t="str">
            <v>2009E</v>
          </cell>
          <cell r="P244" t="str">
            <v>2010E</v>
          </cell>
          <cell r="Q244" t="str">
            <v>2011E</v>
          </cell>
          <cell r="R244" t="str">
            <v>2012E</v>
          </cell>
          <cell r="S244" t="str">
            <v>2013E</v>
          </cell>
        </row>
        <row r="245">
          <cell r="A245" t="str">
            <v>Trading Days</v>
          </cell>
          <cell r="B245">
            <v>251.5</v>
          </cell>
          <cell r="C245">
            <v>251.5</v>
          </cell>
          <cell r="D245">
            <v>61</v>
          </cell>
          <cell r="E245">
            <v>63</v>
          </cell>
          <cell r="F245">
            <v>62.5</v>
          </cell>
          <cell r="G245">
            <v>62.5</v>
          </cell>
          <cell r="H245">
            <v>249</v>
          </cell>
          <cell r="I245">
            <v>62</v>
          </cell>
          <cell r="J245">
            <v>63</v>
          </cell>
          <cell r="K245">
            <v>64</v>
          </cell>
          <cell r="L245">
            <v>63.5</v>
          </cell>
          <cell r="M245">
            <v>252.5</v>
          </cell>
          <cell r="N245">
            <v>252</v>
          </cell>
          <cell r="O245">
            <v>252</v>
          </cell>
          <cell r="P245">
            <v>252</v>
          </cell>
          <cell r="Q245">
            <v>252</v>
          </cell>
          <cell r="R245">
            <v>252</v>
          </cell>
          <cell r="S245">
            <v>252</v>
          </cell>
        </row>
        <row r="246">
          <cell r="A246" t="str">
            <v>Daily Average Transactions (Thous.)</v>
          </cell>
          <cell r="B246">
            <v>83.64347514910537</v>
          </cell>
          <cell r="C246">
            <v>97.740576540755455</v>
          </cell>
          <cell r="D246">
            <v>181.15900000000002</v>
          </cell>
          <cell r="E246">
            <v>165.602</v>
          </cell>
          <cell r="F246">
            <v>135.13</v>
          </cell>
          <cell r="G246">
            <v>161.03740799999997</v>
          </cell>
          <cell r="H246">
            <v>160.61882730923693</v>
          </cell>
          <cell r="I246">
            <v>183.58264512</v>
          </cell>
          <cell r="J246">
            <v>163.38855415680001</v>
          </cell>
          <cell r="K246">
            <v>145.41581319955199</v>
          </cell>
          <cell r="L246">
            <v>173.04481770746688</v>
          </cell>
          <cell r="M246">
            <v>166.22004308322326</v>
          </cell>
          <cell r="N246">
            <v>184.20742631687204</v>
          </cell>
          <cell r="O246">
            <v>201.99297092677696</v>
          </cell>
          <cell r="P246">
            <v>219.16237345555299</v>
          </cell>
          <cell r="Q246">
            <v>230.12049212833065</v>
          </cell>
          <cell r="R246">
            <v>241.62651673474718</v>
          </cell>
          <cell r="S246">
            <v>253.70784257148455</v>
          </cell>
        </row>
        <row r="247">
          <cell r="A247" t="str">
            <v>Yr./Yr. Change</v>
          </cell>
          <cell r="B247">
            <v>-0.14422472734698821</v>
          </cell>
          <cell r="C247">
            <v>0.1685379686403532</v>
          </cell>
          <cell r="D247">
            <v>1.0568719841044567</v>
          </cell>
          <cell r="E247">
            <v>1.0477809791143704</v>
          </cell>
          <cell r="F247">
            <v>0.43945204312071229</v>
          </cell>
          <cell r="G247">
            <v>0.25410728303532482</v>
          </cell>
          <cell r="H247">
            <v>0.64331778053573041</v>
          </cell>
          <cell r="I247">
            <v>1.337855210064065E-2</v>
          </cell>
          <cell r="J247">
            <v>-1.3366057434088918E-2</v>
          </cell>
          <cell r="K247">
            <v>7.6117910157270652E-2</v>
          </cell>
          <cell r="L247">
            <v>7.456286000000012E-2</v>
          </cell>
          <cell r="M247">
            <v>3.4872722381432908E-2</v>
          </cell>
          <cell r="N247">
            <v>0.1082142857142856</v>
          </cell>
          <cell r="O247">
            <v>9.6551724137931227E-2</v>
          </cell>
          <cell r="P247">
            <v>8.4999999999999964E-2</v>
          </cell>
          <cell r="Q247">
            <v>5.0000000000000044E-2</v>
          </cell>
          <cell r="R247">
            <v>5.0000000000000044E-2</v>
          </cell>
          <cell r="S247">
            <v>5.0000000000000044E-2</v>
          </cell>
        </row>
        <row r="248">
          <cell r="A248" t="str">
            <v>Avg. Commissions &amp; Clearing Fees/Trade</v>
          </cell>
          <cell r="B248">
            <v>15.634186230357438</v>
          </cell>
          <cell r="C248">
            <v>13.819139526042791</v>
          </cell>
          <cell r="D248">
            <v>12.1</v>
          </cell>
          <cell r="E248">
            <v>12.23</v>
          </cell>
          <cell r="F248">
            <v>11.95</v>
          </cell>
          <cell r="G248">
            <v>11.95</v>
          </cell>
          <cell r="H248">
            <v>12.064487524506122</v>
          </cell>
          <cell r="I248">
            <v>11.830499999999999</v>
          </cell>
          <cell r="J248">
            <v>11.889652499999997</v>
          </cell>
          <cell r="K248">
            <v>11.770755974999997</v>
          </cell>
          <cell r="L248">
            <v>11.653048415249996</v>
          </cell>
          <cell r="M248">
            <v>11.785300965017012</v>
          </cell>
          <cell r="N248">
            <v>11.490668440891586</v>
          </cell>
          <cell r="O248">
            <v>11.203401729869295</v>
          </cell>
          <cell r="P248">
            <v>11.035350703921255</v>
          </cell>
          <cell r="Q248">
            <v>10.869820443362435</v>
          </cell>
          <cell r="R248">
            <v>10.706773136711998</v>
          </cell>
          <cell r="S248">
            <v>10.546171539661318</v>
          </cell>
        </row>
        <row r="249">
          <cell r="A249" t="str">
            <v>Yr./Yr. Change</v>
          </cell>
          <cell r="B249" t="str">
            <v>NA</v>
          </cell>
          <cell r="C249">
            <v>-0.11609473480559596</v>
          </cell>
          <cell r="D249">
            <v>-0.19440745672436754</v>
          </cell>
          <cell r="E249">
            <v>-0.11248185776487651</v>
          </cell>
          <cell r="F249">
            <v>-0.14275466284074612</v>
          </cell>
          <cell r="G249">
            <v>-7.7220077220077177E-2</v>
          </cell>
          <cell r="H249">
            <v>-0.1269725946561252</v>
          </cell>
          <cell r="I249">
            <v>-2.2272727272727333E-2</v>
          </cell>
          <cell r="J249">
            <v>-2.7828904333606186E-2</v>
          </cell>
          <cell r="K249">
            <v>-1.4999500000000277E-2</v>
          </cell>
          <cell r="L249">
            <v>-2.4849505000000272E-2</v>
          </cell>
          <cell r="M249">
            <v>-2.3141186803170011E-2</v>
          </cell>
          <cell r="N249">
            <v>-2.5000000000000022E-2</v>
          </cell>
          <cell r="O249">
            <v>-2.5000000000000133E-2</v>
          </cell>
          <cell r="P249">
            <v>-1.5000000000000124E-2</v>
          </cell>
          <cell r="Q249">
            <v>-1.5000000000000013E-2</v>
          </cell>
          <cell r="R249">
            <v>-1.5000000000000013E-2</v>
          </cell>
          <cell r="S249">
            <v>-1.5000000000000013E-2</v>
          </cell>
        </row>
        <row r="250">
          <cell r="A250" t="str">
            <v>Professional Average Daily Commission</v>
          </cell>
          <cell r="B250">
            <v>408.55680572564603</v>
          </cell>
          <cell r="C250">
            <v>473.69899745526857</v>
          </cell>
          <cell r="D250">
            <v>691.07446065573754</v>
          </cell>
          <cell r="E250">
            <v>630.17960349206339</v>
          </cell>
          <cell r="F250">
            <v>522.89249999999993</v>
          </cell>
          <cell r="G250">
            <v>623.14255060045866</v>
          </cell>
          <cell r="H250">
            <v>616.40179832340846</v>
          </cell>
          <cell r="I250">
            <v>697.65245314681636</v>
          </cell>
          <cell r="J250">
            <v>634.07999859970482</v>
          </cell>
          <cell r="K250">
            <v>567.55594846090139</v>
          </cell>
          <cell r="L250">
            <v>663.41393114052391</v>
          </cell>
          <cell r="M250">
            <v>640.20537558734634</v>
          </cell>
          <cell r="N250">
            <v>690.37782716543063</v>
          </cell>
          <cell r="O250">
            <v>738.10912176773036</v>
          </cell>
          <cell r="P250">
            <v>788.83567116121765</v>
          </cell>
          <cell r="Q250">
            <v>815.85329289848914</v>
          </cell>
          <cell r="R250">
            <v>843.79626818026225</v>
          </cell>
          <cell r="S250">
            <v>872.69629036543631</v>
          </cell>
        </row>
        <row r="251">
          <cell r="A251" t="str">
            <v>Yr./Yr. Change</v>
          </cell>
          <cell r="B251" t="str">
            <v>NA</v>
          </cell>
          <cell r="C251">
            <v>0.1594446373593561</v>
          </cell>
          <cell r="D251">
            <v>0.44378562057674897</v>
          </cell>
          <cell r="E251">
            <v>0.46028016224572244</v>
          </cell>
          <cell r="F251">
            <v>9.6297315400036387E-2</v>
          </cell>
          <cell r="G251">
            <v>0.225008179139085</v>
          </cell>
          <cell r="H251">
            <v>0.30125206435889762</v>
          </cell>
          <cell r="I251">
            <v>9.518500343417724E-3</v>
          </cell>
          <cell r="J251">
            <v>6.1893388583633691E-3</v>
          </cell>
          <cell r="K251">
            <v>8.5416119873399365E-2</v>
          </cell>
          <cell r="L251">
            <v>6.4626272915017324E-2</v>
          </cell>
          <cell r="M251">
            <v>3.8616982183833359E-2</v>
          </cell>
          <cell r="N251">
            <v>7.8369306930692995E-2</v>
          </cell>
          <cell r="O251">
            <v>6.9137931034482847E-2</v>
          </cell>
          <cell r="P251">
            <v>6.8724999999999925E-2</v>
          </cell>
          <cell r="Q251">
            <v>3.424999999999967E-2</v>
          </cell>
          <cell r="R251">
            <v>3.4249999999999892E-2</v>
          </cell>
          <cell r="S251">
            <v>3.4250000000000114E-2</v>
          </cell>
        </row>
        <row r="253">
          <cell r="A253" t="str">
            <v>Equity Shares Traded (MM)</v>
          </cell>
          <cell r="B253">
            <v>265242</v>
          </cell>
          <cell r="C253">
            <v>156358</v>
          </cell>
          <cell r="D253">
            <v>90871</v>
          </cell>
          <cell r="E253">
            <v>67537</v>
          </cell>
          <cell r="F253">
            <v>54472</v>
          </cell>
          <cell r="G253">
            <v>64915.486483948785</v>
          </cell>
          <cell r="H253">
            <v>277795.48648394877</v>
          </cell>
          <cell r="I253">
            <v>74003.654591701619</v>
          </cell>
          <cell r="J253">
            <v>65863.252586614442</v>
          </cell>
          <cell r="K253">
            <v>58618.29480208685</v>
          </cell>
          <cell r="L253">
            <v>69755.770814483345</v>
          </cell>
          <cell r="M253">
            <v>268240.97279488627</v>
          </cell>
          <cell r="N253">
            <v>297268.47806519002</v>
          </cell>
          <cell r="O253">
            <v>325970.2621542429</v>
          </cell>
          <cell r="P253">
            <v>353677.7344373535</v>
          </cell>
          <cell r="Q253">
            <v>371361.62115922122</v>
          </cell>
          <cell r="R253">
            <v>389929.70221718232</v>
          </cell>
          <cell r="S253">
            <v>409426.18732804141</v>
          </cell>
        </row>
        <row r="254">
          <cell r="A254" t="str">
            <v>Yr./Yr. Change</v>
          </cell>
          <cell r="B254" t="str">
            <v>NA</v>
          </cell>
          <cell r="C254">
            <v>-0.41050813973654243</v>
          </cell>
          <cell r="D254">
            <v>0.58353228195521467</v>
          </cell>
          <cell r="E254">
            <v>1.2082461417734764</v>
          </cell>
          <cell r="F254">
            <v>0.55080427046263347</v>
          </cell>
          <cell r="G254">
            <v>0.95152376394747429</v>
          </cell>
          <cell r="H254">
            <v>0.77666308397362949</v>
          </cell>
          <cell r="I254">
            <v>-0.18561857367365142</v>
          </cell>
          <cell r="J254">
            <v>-2.4782673399552202E-2</v>
          </cell>
          <cell r="K254">
            <v>7.6117910157270652E-2</v>
          </cell>
          <cell r="L254">
            <v>7.4562859999999898E-2</v>
          </cell>
          <cell r="M254">
            <v>-3.4394056613351709E-2</v>
          </cell>
          <cell r="N254">
            <v>0.1082142857142856</v>
          </cell>
          <cell r="O254">
            <v>9.6551724137931227E-2</v>
          </cell>
          <cell r="P254">
            <v>8.4999999999999964E-2</v>
          </cell>
          <cell r="Q254">
            <v>5.0000000000000044E-2</v>
          </cell>
          <cell r="R254">
            <v>5.0000000000000044E-2</v>
          </cell>
          <cell r="S254">
            <v>5.0000000000000044E-2</v>
          </cell>
        </row>
        <row r="255">
          <cell r="A255" t="str">
            <v>Average Revenue Capture/1,000 Shares</v>
          </cell>
          <cell r="B255">
            <v>0.34137203007065253</v>
          </cell>
          <cell r="C255">
            <v>0.45761125110323747</v>
          </cell>
          <cell r="D255">
            <v>0.27700000000000002</v>
          </cell>
          <cell r="E255">
            <v>0.38700000000000001</v>
          </cell>
          <cell r="F255">
            <v>0.38200000000000001</v>
          </cell>
          <cell r="G255">
            <v>0.38200000000000001</v>
          </cell>
          <cell r="H255">
            <v>0.34886854017503338</v>
          </cell>
          <cell r="I255">
            <v>0.37818000000000002</v>
          </cell>
          <cell r="J255">
            <v>0.38007089999999999</v>
          </cell>
          <cell r="K255">
            <v>0.37627019099999998</v>
          </cell>
          <cell r="L255">
            <v>0.37250748908999998</v>
          </cell>
          <cell r="M255">
            <v>0.37675180918466467</v>
          </cell>
          <cell r="N255">
            <v>0.372984291092818</v>
          </cell>
          <cell r="O255">
            <v>0.36925444818188979</v>
          </cell>
          <cell r="P255">
            <v>0.36556190370007091</v>
          </cell>
          <cell r="Q255">
            <v>0.36190628466307018</v>
          </cell>
          <cell r="R255">
            <v>0.35828722181643946</v>
          </cell>
          <cell r="S255">
            <v>0.35470434959827507</v>
          </cell>
        </row>
        <row r="256">
          <cell r="A256" t="str">
            <v>Yr./Yr. Change</v>
          </cell>
          <cell r="B256" t="str">
            <v>NA</v>
          </cell>
          <cell r="C256">
            <v>0.34050598992696424</v>
          </cell>
          <cell r="D256">
            <v>-0.15805471124620052</v>
          </cell>
          <cell r="E256">
            <v>-0.24854368932038839</v>
          </cell>
          <cell r="F256">
            <v>-0.28598130841121494</v>
          </cell>
          <cell r="G256">
            <v>-0.29908256880733952</v>
          </cell>
          <cell r="H256">
            <v>-0.23763120042621422</v>
          </cell>
          <cell r="I256">
            <v>0.36527075812274368</v>
          </cell>
          <cell r="J256">
            <v>-1.7904651162790719E-2</v>
          </cell>
          <cell r="K256">
            <v>-1.4999500000000054E-2</v>
          </cell>
          <cell r="L256">
            <v>-2.4849505000000049E-2</v>
          </cell>
          <cell r="M256">
            <v>7.9924859362904277E-2</v>
          </cell>
          <cell r="N256">
            <v>-1.0000000000000009E-2</v>
          </cell>
          <cell r="O256">
            <v>-1.000000000000012E-2</v>
          </cell>
          <cell r="P256">
            <v>-1.0000000000000009E-2</v>
          </cell>
          <cell r="Q256">
            <v>-1.000000000000012E-2</v>
          </cell>
          <cell r="R256">
            <v>-1.0000000000000009E-2</v>
          </cell>
          <cell r="S256">
            <v>-1.0000000000000009E-2</v>
          </cell>
        </row>
        <row r="257">
          <cell r="A257" t="str">
            <v>Other Principal Transactions Revenues</v>
          </cell>
          <cell r="B257">
            <v>36.346799999999988</v>
          </cell>
          <cell r="C257">
            <v>27.784820000000003</v>
          </cell>
          <cell r="D257">
            <v>5.5207329999999963</v>
          </cell>
          <cell r="E257">
            <v>5.4531810000000007</v>
          </cell>
          <cell r="F257">
            <v>1.8886959999999995</v>
          </cell>
          <cell r="G257">
            <v>1.8886959999999995</v>
          </cell>
          <cell r="H257">
            <v>14.751305999999996</v>
          </cell>
          <cell r="I257">
            <v>1.8886959999999995</v>
          </cell>
          <cell r="J257">
            <v>1.8886959999999995</v>
          </cell>
          <cell r="K257">
            <v>1.8886959999999995</v>
          </cell>
          <cell r="L257">
            <v>1.8886959999999995</v>
          </cell>
          <cell r="M257">
            <v>7.5547839999999979</v>
          </cell>
          <cell r="N257">
            <v>7.705879679999998</v>
          </cell>
          <cell r="O257">
            <v>7.8599972735999977</v>
          </cell>
          <cell r="P257">
            <v>8.0171972190719973</v>
          </cell>
          <cell r="Q257">
            <v>8.1775411634534372</v>
          </cell>
          <cell r="R257">
            <v>8.3410919867225068</v>
          </cell>
          <cell r="S257">
            <v>8.5079138264569565</v>
          </cell>
        </row>
        <row r="258">
          <cell r="A258" t="str">
            <v>Yr./Yr. Change</v>
          </cell>
          <cell r="B258" t="str">
            <v>NA</v>
          </cell>
          <cell r="C258">
            <v>-0.23556351590786495</v>
          </cell>
          <cell r="D258">
            <v>-0.50359080092452979</v>
          </cell>
          <cell r="E258">
            <v>-9.1475682411899517E-2</v>
          </cell>
          <cell r="F258">
            <v>-0.62234577220125464</v>
          </cell>
          <cell r="G258">
            <v>-0.66631520179784198</v>
          </cell>
          <cell r="H258">
            <v>-0.46908758091648628</v>
          </cell>
          <cell r="I258">
            <v>-0.65789035622624736</v>
          </cell>
          <cell r="J258">
            <v>-0.65365242782148636</v>
          </cell>
          <cell r="K258">
            <v>0</v>
          </cell>
          <cell r="L258">
            <v>0</v>
          </cell>
          <cell r="M258">
            <v>-0.48785660062912395</v>
          </cell>
          <cell r="N258">
            <v>2.0000000000000018E-2</v>
          </cell>
          <cell r="O258">
            <v>2.0000000000000018E-2</v>
          </cell>
          <cell r="P258">
            <v>2.0000000000000018E-2</v>
          </cell>
          <cell r="Q258">
            <v>2.0000000000000018E-2</v>
          </cell>
          <cell r="R258">
            <v>2.0000000000000018E-2</v>
          </cell>
          <cell r="S258">
            <v>2.0000000000000018E-2</v>
          </cell>
        </row>
        <row r="261">
          <cell r="A261" t="str">
            <v>A=Actual                   E=Morgan Stanley Research Estimates</v>
          </cell>
        </row>
        <row r="262">
          <cell r="A262" t="str">
            <v>Source: Company data, Morgan Stanley Research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Inputs"/>
      <sheetName val="Options"/>
      <sheetName val="Factset"/>
      <sheetName val="SI"/>
      <sheetName val="TM"/>
      <sheetName val="ER"/>
      <sheetName val="RC"/>
      <sheetName val="SV-T"/>
      <sheetName val="DEVR-T"/>
      <sheetName val="DEV-T"/>
      <sheetName val="PF"/>
      <sheetName val="PF2"/>
      <sheetName val="BU"/>
      <sheetName val="AdditionalPrintCode"/>
      <sheetName val="MainPrintCode"/>
      <sheetName val="PI2"/>
      <sheetName val="PIR2"/>
      <sheetName val="Co A"/>
      <sheetName val="Co B"/>
      <sheetName val="DCF"/>
      <sheetName val="DCF Inputs"/>
      <sheetName val="Template"/>
      <sheetName val="Template (2)"/>
      <sheetName val="IPO"/>
      <sheetName val="Co_A"/>
      <sheetName val="Co_B"/>
      <sheetName val="DCF_Inputs"/>
      <sheetName val="Template_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solidated"/>
      <sheetName val="IRR"/>
      <sheetName val="LTM 8-30"/>
      <sheetName val="LTM 6-30"/>
      <sheetName val="Covenants"/>
      <sheetName val="Capex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"/>
      <sheetName val="Sheet3"/>
      <sheetName val="Tran Summ"/>
      <sheetName val="Tran_Summ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2-Pager"/>
      <sheetName val="Indian Major_Trading_"/>
      <sheetName val="Indian Maj History"/>
      <sheetName val="US_UK_Trading"/>
      <sheetName val="Hist_US_UK"/>
      <sheetName val="Indian_second_Comps"/>
      <sheetName val="Indian_Second_hist"/>
      <sheetName val="Sh_out_backup"/>
      <sheetName val="Mascot"/>
      <sheetName val="Aztec"/>
      <sheetName val="Polaris_Orbitech"/>
      <sheetName val="US_visit_comps"/>
      <sheetName val="Sonata"/>
      <sheetName val="Zensar"/>
      <sheetName val="Hexaware"/>
      <sheetName val="Covansys"/>
      <sheetName val="Histori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 Racionais"/>
      <sheetName val="02- Distribuição dos Racionais"/>
      <sheetName val="03 - Distribuição Contratos"/>
      <sheetName val="Parametros e De-Paras"/>
      <sheetName val="OI&gt;&gt;CTI"/>
      <sheetName val="Modulo_Recurso_Item"/>
      <sheetName val="Modulo_Recurso_Aloc"/>
      <sheetName val="Cad_DirecRec"/>
      <sheetName val="Cad_ContaGer"/>
      <sheetName val="Val_DirecRec"/>
      <sheetName val="CTI&gt;&gt;ATV"/>
      <sheetName val="Modulo_Recurso_Item_2"/>
      <sheetName val="Modulo_Recurso_Aloc_2"/>
      <sheetName val="Modulo_Recurso_Aloc_3"/>
      <sheetName val="Cad_DirecAtiv"/>
      <sheetName val="Val_DirecAtiv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atter"/>
      <sheetName val="Add_Callout"/>
      <sheetName val="INPUT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cked_Column_w_labels"/>
      <sheetName val="Add_Callout"/>
      <sheetName val="Scatter"/>
    </sheetNames>
    <sheetDataSet>
      <sheetData sheetId="0" refreshError="1">
        <row r="5">
          <cell r="C5" t="str">
            <v>Initial Public Offerings</v>
          </cell>
          <cell r="D5" t="str">
            <v>Secondary Offerings</v>
          </cell>
        </row>
        <row r="6">
          <cell r="B6">
            <v>1991</v>
          </cell>
          <cell r="C6">
            <v>16.411000000000001</v>
          </cell>
          <cell r="D6">
            <v>30.402999999999999</v>
          </cell>
          <cell r="E6">
            <v>46.814</v>
          </cell>
        </row>
        <row r="7">
          <cell r="B7">
            <v>1992</v>
          </cell>
          <cell r="C7">
            <v>24.1387</v>
          </cell>
          <cell r="D7">
            <v>32.591999999999999</v>
          </cell>
          <cell r="E7">
            <v>56.730699999999999</v>
          </cell>
        </row>
        <row r="8">
          <cell r="B8">
            <v>1993</v>
          </cell>
          <cell r="C8">
            <v>41.72</v>
          </cell>
          <cell r="D8">
            <v>43.85</v>
          </cell>
          <cell r="E8">
            <v>85.57</v>
          </cell>
        </row>
        <row r="9">
          <cell r="B9">
            <v>1994</v>
          </cell>
          <cell r="C9">
            <v>28.445599999999999</v>
          </cell>
          <cell r="D9">
            <v>27.499700000000001</v>
          </cell>
          <cell r="E9">
            <v>55.945300000000003</v>
          </cell>
        </row>
        <row r="10">
          <cell r="B10">
            <v>1995</v>
          </cell>
          <cell r="C10">
            <v>29.665099999999999</v>
          </cell>
          <cell r="D10">
            <v>52.107799999999997</v>
          </cell>
          <cell r="E10">
            <v>81.772899999999993</v>
          </cell>
        </row>
        <row r="11">
          <cell r="B11">
            <v>1996</v>
          </cell>
          <cell r="C11">
            <v>49.906999999999996</v>
          </cell>
          <cell r="D11">
            <v>65.022999999999996</v>
          </cell>
          <cell r="E11">
            <v>114.92999999999999</v>
          </cell>
        </row>
        <row r="12">
          <cell r="B12">
            <v>1997</v>
          </cell>
          <cell r="C12">
            <v>43.3</v>
          </cell>
          <cell r="D12">
            <v>74.7</v>
          </cell>
          <cell r="E12">
            <v>118</v>
          </cell>
        </row>
      </sheetData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7 IPO"/>
      <sheetName val="Stacked_Column_w_labels"/>
      <sheetName val="1997_IP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 consolidado"/>
      <sheetName val="Control Português"/>
      <sheetName val="Outros resumos"/>
      <sheetName val="GVT"/>
      <sheetName val="Vivo Telemig"/>
      <sheetName val="Vivo Amazonia"/>
      <sheetName val="TmarPart"/>
      <sheetName val="Oi BrT"/>
      <sheetName val="Put Zain"/>
      <sheetName val="Venda Opportunity - TI"/>
      <sheetName val="Put Argolis"/>
      <sheetName val="Venda Inepar"/>
      <sheetName val="Venda TI"/>
      <sheetName val="BB Nossa Caixa"/>
      <sheetName val="ARACRUZ"/>
      <sheetName val="UNIBANCO"/>
      <sheetName val="SUZANO"/>
      <sheetName val="IPIRANGA"/>
      <sheetName val="TRAFO"/>
      <sheetName val="MAGNESITA"/>
      <sheetName val="Petroflex"/>
      <sheetName val="Ambev"/>
      <sheetName val="TCO"/>
      <sheetName val="Embratel"/>
      <sheetName val="Ripasa"/>
      <sheetName val="CAEMI"/>
      <sheetName val="CAEMI (2003)"/>
      <sheetName val="CBD (2005)"/>
      <sheetName val="Mercantil SP"/>
      <sheetName val="Bahia Sul"/>
      <sheetName val="Outras transações"/>
      <sheetName val="ÍNDICES PASS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dastros"/>
      <sheetName val="DePara DIREC"/>
      <sheetName val="Regra-Conta"/>
      <sheetName val="Regra-Deprec"/>
      <sheetName val="Regra-OI"/>
      <sheetName val="Regra-OI CO"/>
      <sheetName val="Regra-OI CC"/>
      <sheetName val="Regra-RacionalTi"/>
      <sheetName val="Regra-Timesheet"/>
      <sheetName val="Regra-Bloqueio"/>
      <sheetName val="Sequencia"/>
      <sheetName val="DeParas"/>
      <sheetName val="Val_Contabilidade"/>
      <sheetName val="RecItem"/>
      <sheetName val="Aloc1"/>
      <sheetName val="Aloc2"/>
      <sheetName val="Aloc3"/>
      <sheetName val="Aloc4"/>
      <sheetName val="Aloc5"/>
      <sheetName val="DRE_BA_PROJETO_ALPHA"/>
      <sheetName val="DAT_BA_ANALISE_PROJ"/>
      <sheetName val="DRE_BA_BÔNUS"/>
      <sheetName val="DRE_BA_ENGENHARIA"/>
      <sheetName val="DRE_BA_HEADCOUNT"/>
      <sheetName val="DRE_BA_ILP"/>
      <sheetName val="DRE_BA_JURÍDICO"/>
      <sheetName val="DRE_BA_LOC_EQ_MAQ"/>
      <sheetName val="DRE_BA_LOGISTICA"/>
      <sheetName val="DRE_BA_M2"/>
      <sheetName val="DRE_BA_RESTAURANTE"/>
      <sheetName val="DRE_BA_SEGU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B2">
            <v>2018</v>
          </cell>
          <cell r="D2" t="str">
            <v>Cred.Trib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NR Cetip"/>
      <sheetName val="PT Cetip"/>
      <sheetName val="ANR BMF"/>
      <sheetName val="PT BMF"/>
      <sheetName val="Share price"/>
      <sheetName val="Volume"/>
      <sheetName val="Estimates"/>
      <sheetName val="Output financials CTIP"/>
      <sheetName val="Output financials BVMF"/>
      <sheetName val="Contribution LL e EBITDA"/>
      <sheetName val="Contribution"/>
      <sheetName val="Capital structure"/>
      <sheetName val="Shareholding structure"/>
      <sheetName val="_CIQHiddenCacheSheet"/>
      <sheetName val="RelacaodeTroca"/>
      <sheetName val="Synergies"/>
      <sheetName val="output"/>
      <sheetName val="CTIP3-BR"/>
      <sheetName val="BVMF3-B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9">
          <cell r="D9">
            <v>7349175</v>
          </cell>
        </row>
        <row r="10">
          <cell r="D10">
            <v>10361270</v>
          </cell>
        </row>
        <row r="11">
          <cell r="D11">
            <v>0</v>
          </cell>
        </row>
        <row r="12">
          <cell r="D12">
            <v>9080120</v>
          </cell>
        </row>
        <row r="13">
          <cell r="D13">
            <v>4376862</v>
          </cell>
        </row>
        <row r="14">
          <cell r="D14">
            <v>2842836</v>
          </cell>
        </row>
        <row r="15">
          <cell r="D15">
            <v>1594674</v>
          </cell>
        </row>
        <row r="16">
          <cell r="D16">
            <v>14054520</v>
          </cell>
        </row>
        <row r="17">
          <cell r="D17">
            <v>3325740</v>
          </cell>
        </row>
        <row r="18">
          <cell r="D18">
            <v>1782384</v>
          </cell>
        </row>
        <row r="19">
          <cell r="D19">
            <v>203529</v>
          </cell>
        </row>
        <row r="20">
          <cell r="D20">
            <v>0</v>
          </cell>
        </row>
        <row r="21">
          <cell r="D21">
            <v>812094</v>
          </cell>
        </row>
        <row r="22">
          <cell r="D22">
            <v>1755634</v>
          </cell>
        </row>
        <row r="23">
          <cell r="D23">
            <v>6477073</v>
          </cell>
        </row>
        <row r="24">
          <cell r="D24">
            <v>25361020</v>
          </cell>
        </row>
        <row r="25">
          <cell r="D25">
            <v>3681659</v>
          </cell>
        </row>
        <row r="26">
          <cell r="D26">
            <v>10648900</v>
          </cell>
        </row>
        <row r="27">
          <cell r="D27">
            <v>7480174</v>
          </cell>
        </row>
        <row r="28">
          <cell r="D28">
            <v>3086738</v>
          </cell>
        </row>
        <row r="29">
          <cell r="D29">
            <v>298091</v>
          </cell>
        </row>
        <row r="30">
          <cell r="D30">
            <v>6962338</v>
          </cell>
        </row>
        <row r="31">
          <cell r="D31">
            <v>6955250</v>
          </cell>
        </row>
        <row r="32">
          <cell r="D32">
            <v>24003240</v>
          </cell>
        </row>
        <row r="33">
          <cell r="D33">
            <v>32592920</v>
          </cell>
        </row>
        <row r="34">
          <cell r="D34">
            <v>7662076</v>
          </cell>
        </row>
        <row r="35">
          <cell r="D35">
            <v>10390570</v>
          </cell>
        </row>
        <row r="36">
          <cell r="D36">
            <v>10993840</v>
          </cell>
        </row>
        <row r="37">
          <cell r="D37">
            <v>17288890</v>
          </cell>
        </row>
        <row r="38">
          <cell r="D38">
            <v>8721649</v>
          </cell>
        </row>
        <row r="39">
          <cell r="D39">
            <v>24810600</v>
          </cell>
        </row>
        <row r="40">
          <cell r="D40">
            <v>30653320</v>
          </cell>
        </row>
        <row r="41">
          <cell r="D41">
            <v>12320220</v>
          </cell>
        </row>
        <row r="42">
          <cell r="D42">
            <v>15634100</v>
          </cell>
        </row>
        <row r="43">
          <cell r="D43">
            <v>17203900</v>
          </cell>
        </row>
        <row r="44">
          <cell r="D44">
            <v>8299796</v>
          </cell>
        </row>
        <row r="45">
          <cell r="D45">
            <v>1879912</v>
          </cell>
        </row>
        <row r="46">
          <cell r="D46">
            <v>4522343</v>
          </cell>
        </row>
        <row r="47">
          <cell r="D47">
            <v>15337290</v>
          </cell>
        </row>
        <row r="48">
          <cell r="D48">
            <v>3407992</v>
          </cell>
        </row>
        <row r="49">
          <cell r="D49">
            <v>0</v>
          </cell>
        </row>
        <row r="50">
          <cell r="D50">
            <v>2026074</v>
          </cell>
        </row>
        <row r="51">
          <cell r="D51">
            <v>5502510</v>
          </cell>
        </row>
        <row r="52">
          <cell r="D52">
            <v>4166801</v>
          </cell>
        </row>
        <row r="53">
          <cell r="D53">
            <v>9047050</v>
          </cell>
        </row>
        <row r="54">
          <cell r="D54">
            <v>0</v>
          </cell>
        </row>
        <row r="55">
          <cell r="D55">
            <v>4254503</v>
          </cell>
        </row>
        <row r="56">
          <cell r="D56">
            <v>7895349</v>
          </cell>
        </row>
        <row r="57">
          <cell r="D57">
            <v>163569100</v>
          </cell>
        </row>
        <row r="58">
          <cell r="D58">
            <v>2837139</v>
          </cell>
        </row>
        <row r="59">
          <cell r="D59">
            <v>7018633</v>
          </cell>
        </row>
        <row r="60">
          <cell r="D60">
            <v>10372150</v>
          </cell>
        </row>
        <row r="61">
          <cell r="D61">
            <v>17471610</v>
          </cell>
        </row>
        <row r="62">
          <cell r="D62">
            <v>11557830</v>
          </cell>
        </row>
        <row r="63">
          <cell r="D63">
            <v>29632630</v>
          </cell>
        </row>
        <row r="64">
          <cell r="D64">
            <v>21675160</v>
          </cell>
        </row>
        <row r="65">
          <cell r="D65">
            <v>10463680</v>
          </cell>
        </row>
        <row r="66">
          <cell r="D66">
            <v>9945143</v>
          </cell>
        </row>
        <row r="67">
          <cell r="D67">
            <v>17798390</v>
          </cell>
        </row>
        <row r="68">
          <cell r="D68">
            <v>398980400</v>
          </cell>
        </row>
        <row r="69">
          <cell r="D69">
            <v>13218330</v>
          </cell>
        </row>
        <row r="70">
          <cell r="D70">
            <v>13093050</v>
          </cell>
        </row>
        <row r="71">
          <cell r="D71">
            <v>0</v>
          </cell>
        </row>
        <row r="72">
          <cell r="D72">
            <v>10462240</v>
          </cell>
        </row>
        <row r="73">
          <cell r="D73">
            <v>11426020</v>
          </cell>
        </row>
        <row r="74">
          <cell r="D74">
            <v>11264440</v>
          </cell>
        </row>
        <row r="75">
          <cell r="D75">
            <v>7326263</v>
          </cell>
        </row>
        <row r="76">
          <cell r="D76">
            <v>14284490</v>
          </cell>
        </row>
        <row r="77">
          <cell r="D77">
            <v>17455980</v>
          </cell>
        </row>
        <row r="78">
          <cell r="D78">
            <v>7094628</v>
          </cell>
        </row>
        <row r="79">
          <cell r="D79">
            <v>7776171</v>
          </cell>
        </row>
        <row r="80">
          <cell r="D80">
            <v>40076600</v>
          </cell>
        </row>
        <row r="81">
          <cell r="D81">
            <v>22054300</v>
          </cell>
        </row>
        <row r="82">
          <cell r="D82">
            <v>104220400</v>
          </cell>
        </row>
        <row r="83">
          <cell r="D83">
            <v>12609160</v>
          </cell>
        </row>
        <row r="84">
          <cell r="D84">
            <v>57807060</v>
          </cell>
        </row>
        <row r="85">
          <cell r="D85">
            <v>29503850</v>
          </cell>
        </row>
        <row r="86">
          <cell r="D86">
            <v>27416270</v>
          </cell>
        </row>
        <row r="87">
          <cell r="D87">
            <v>26232140</v>
          </cell>
        </row>
        <row r="88">
          <cell r="D88">
            <v>17654320</v>
          </cell>
        </row>
        <row r="89">
          <cell r="D89">
            <v>7181910</v>
          </cell>
        </row>
        <row r="90">
          <cell r="D90">
            <v>3310015</v>
          </cell>
        </row>
        <row r="91">
          <cell r="D91">
            <v>25689150</v>
          </cell>
        </row>
        <row r="92">
          <cell r="D92">
            <v>48760310</v>
          </cell>
        </row>
        <row r="93">
          <cell r="D93">
            <v>23690560</v>
          </cell>
        </row>
        <row r="94">
          <cell r="D94">
            <v>23641100</v>
          </cell>
        </row>
        <row r="95">
          <cell r="D95">
            <v>427132200</v>
          </cell>
        </row>
        <row r="96">
          <cell r="D96">
            <v>31747560</v>
          </cell>
        </row>
        <row r="97">
          <cell r="D97">
            <v>37115920</v>
          </cell>
        </row>
        <row r="98">
          <cell r="D98">
            <v>20944980</v>
          </cell>
        </row>
        <row r="99">
          <cell r="D99">
            <v>5401668</v>
          </cell>
        </row>
        <row r="100">
          <cell r="D100">
            <v>0</v>
          </cell>
        </row>
        <row r="101">
          <cell r="D101">
            <v>0</v>
          </cell>
        </row>
        <row r="102">
          <cell r="D102">
            <v>29307680</v>
          </cell>
        </row>
        <row r="103">
          <cell r="D103">
            <v>29487410</v>
          </cell>
        </row>
        <row r="104">
          <cell r="D104">
            <v>16230310</v>
          </cell>
        </row>
        <row r="105">
          <cell r="D105">
            <v>13382380</v>
          </cell>
        </row>
        <row r="106">
          <cell r="D106">
            <v>11278770</v>
          </cell>
        </row>
        <row r="107">
          <cell r="D107">
            <v>9691774</v>
          </cell>
        </row>
        <row r="108">
          <cell r="D108">
            <v>18827300</v>
          </cell>
        </row>
        <row r="109">
          <cell r="D109">
            <v>6348038</v>
          </cell>
        </row>
        <row r="110">
          <cell r="D110">
            <v>18853540</v>
          </cell>
        </row>
        <row r="111">
          <cell r="D111">
            <v>9325651</v>
          </cell>
        </row>
        <row r="112">
          <cell r="D112">
            <v>9188607</v>
          </cell>
        </row>
        <row r="113">
          <cell r="D113">
            <v>18697550</v>
          </cell>
        </row>
        <row r="114">
          <cell r="D114">
            <v>13298650</v>
          </cell>
        </row>
        <row r="115">
          <cell r="D115">
            <v>8480952</v>
          </cell>
        </row>
        <row r="116">
          <cell r="D116">
            <v>4228284</v>
          </cell>
        </row>
        <row r="117">
          <cell r="D117">
            <v>36416550</v>
          </cell>
        </row>
        <row r="118">
          <cell r="D118">
            <v>24575270</v>
          </cell>
        </row>
        <row r="119">
          <cell r="D119">
            <v>12373600</v>
          </cell>
        </row>
        <row r="120">
          <cell r="D120">
            <v>13699160</v>
          </cell>
        </row>
        <row r="121">
          <cell r="D121">
            <v>9293133</v>
          </cell>
        </row>
        <row r="122">
          <cell r="D122">
            <v>19495230</v>
          </cell>
        </row>
        <row r="123">
          <cell r="D123">
            <v>9244689</v>
          </cell>
        </row>
        <row r="124">
          <cell r="D124">
            <v>13239770</v>
          </cell>
        </row>
        <row r="125">
          <cell r="D125">
            <v>77232780</v>
          </cell>
        </row>
        <row r="126">
          <cell r="D126">
            <v>7408555</v>
          </cell>
        </row>
        <row r="127">
          <cell r="D127">
            <v>23832040</v>
          </cell>
        </row>
        <row r="128">
          <cell r="D128">
            <v>5962849</v>
          </cell>
        </row>
        <row r="129">
          <cell r="D129">
            <v>2532703</v>
          </cell>
        </row>
        <row r="130">
          <cell r="D130">
            <v>21201130</v>
          </cell>
        </row>
        <row r="131">
          <cell r="D131">
            <v>6514227</v>
          </cell>
        </row>
        <row r="132">
          <cell r="D132">
            <v>17005240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6261096</v>
          </cell>
        </row>
        <row r="136">
          <cell r="D136">
            <v>14652580</v>
          </cell>
        </row>
        <row r="137">
          <cell r="D137">
            <v>18692140</v>
          </cell>
        </row>
        <row r="138">
          <cell r="D138">
            <v>24241340</v>
          </cell>
        </row>
        <row r="139">
          <cell r="D139">
            <v>19511290</v>
          </cell>
        </row>
        <row r="140">
          <cell r="D140">
            <v>16628940</v>
          </cell>
        </row>
        <row r="141">
          <cell r="D141">
            <v>18911250</v>
          </cell>
        </row>
        <row r="142">
          <cell r="D142">
            <v>18415820</v>
          </cell>
        </row>
        <row r="143">
          <cell r="D143">
            <v>10603860</v>
          </cell>
        </row>
        <row r="144">
          <cell r="D144">
            <v>12148530</v>
          </cell>
        </row>
        <row r="145">
          <cell r="D145">
            <v>18284920</v>
          </cell>
        </row>
        <row r="146">
          <cell r="D146">
            <v>31192220</v>
          </cell>
        </row>
        <row r="147">
          <cell r="D147">
            <v>7675252</v>
          </cell>
        </row>
        <row r="148">
          <cell r="D148">
            <v>18282550</v>
          </cell>
        </row>
        <row r="149">
          <cell r="D149">
            <v>15779980</v>
          </cell>
        </row>
        <row r="150">
          <cell r="D150">
            <v>6768471</v>
          </cell>
        </row>
        <row r="151">
          <cell r="D151">
            <v>23836540</v>
          </cell>
        </row>
        <row r="152">
          <cell r="D152">
            <v>17665530</v>
          </cell>
        </row>
        <row r="153">
          <cell r="D153">
            <v>7758639</v>
          </cell>
        </row>
        <row r="154">
          <cell r="D154">
            <v>7747038</v>
          </cell>
        </row>
        <row r="155">
          <cell r="D155">
            <v>22049630</v>
          </cell>
        </row>
        <row r="156">
          <cell r="D156">
            <v>12257320</v>
          </cell>
        </row>
        <row r="157">
          <cell r="D157">
            <v>12190600</v>
          </cell>
        </row>
        <row r="158">
          <cell r="D158">
            <v>12693210</v>
          </cell>
        </row>
        <row r="159">
          <cell r="D159">
            <v>5224122</v>
          </cell>
        </row>
        <row r="160">
          <cell r="D160">
            <v>2262419</v>
          </cell>
        </row>
        <row r="161">
          <cell r="D161">
            <v>17936570</v>
          </cell>
        </row>
        <row r="162">
          <cell r="D162">
            <v>8803666</v>
          </cell>
        </row>
        <row r="163">
          <cell r="D163">
            <v>8913859</v>
          </cell>
        </row>
        <row r="164">
          <cell r="D164">
            <v>38678940</v>
          </cell>
        </row>
        <row r="165">
          <cell r="D165">
            <v>9440711</v>
          </cell>
        </row>
        <row r="166">
          <cell r="D166">
            <v>33702730</v>
          </cell>
        </row>
        <row r="167">
          <cell r="D167">
            <v>10423160</v>
          </cell>
        </row>
        <row r="168">
          <cell r="D168">
            <v>12423290</v>
          </cell>
        </row>
        <row r="169">
          <cell r="D169">
            <v>8314587</v>
          </cell>
        </row>
        <row r="170">
          <cell r="D170">
            <v>10482310</v>
          </cell>
        </row>
        <row r="171">
          <cell r="D171">
            <v>12614790</v>
          </cell>
        </row>
        <row r="172">
          <cell r="D172">
            <v>18171750</v>
          </cell>
        </row>
        <row r="173">
          <cell r="D173">
            <v>24390500</v>
          </cell>
        </row>
        <row r="174">
          <cell r="D174">
            <v>38015670</v>
          </cell>
        </row>
        <row r="175">
          <cell r="D175">
            <v>16079240</v>
          </cell>
        </row>
        <row r="176">
          <cell r="D176">
            <v>12150520</v>
          </cell>
        </row>
        <row r="177">
          <cell r="D177">
            <v>25228760</v>
          </cell>
        </row>
        <row r="178">
          <cell r="D178">
            <v>0</v>
          </cell>
        </row>
        <row r="179">
          <cell r="D179">
            <v>12682430</v>
          </cell>
        </row>
        <row r="180">
          <cell r="D180">
            <v>10421670</v>
          </cell>
        </row>
        <row r="181">
          <cell r="D181">
            <v>10247140</v>
          </cell>
        </row>
        <row r="182">
          <cell r="D182">
            <v>15851620</v>
          </cell>
        </row>
        <row r="183">
          <cell r="D183">
            <v>10609200</v>
          </cell>
        </row>
        <row r="184">
          <cell r="D184">
            <v>10732740</v>
          </cell>
        </row>
        <row r="185">
          <cell r="D185">
            <v>5351548</v>
          </cell>
        </row>
        <row r="186">
          <cell r="D186">
            <v>15943200</v>
          </cell>
        </row>
        <row r="187">
          <cell r="D187">
            <v>7165940</v>
          </cell>
        </row>
        <row r="188">
          <cell r="D188">
            <v>4526701</v>
          </cell>
        </row>
        <row r="189">
          <cell r="D189">
            <v>5333513</v>
          </cell>
        </row>
        <row r="190">
          <cell r="D190">
            <v>3682366</v>
          </cell>
        </row>
        <row r="191">
          <cell r="D191">
            <v>12149330</v>
          </cell>
        </row>
        <row r="192">
          <cell r="D192">
            <v>7860249</v>
          </cell>
        </row>
        <row r="193">
          <cell r="D193">
            <v>18931630</v>
          </cell>
        </row>
        <row r="194">
          <cell r="D194">
            <v>81309200</v>
          </cell>
        </row>
        <row r="195">
          <cell r="D195">
            <v>23558820</v>
          </cell>
        </row>
        <row r="196">
          <cell r="D196">
            <v>22426040</v>
          </cell>
        </row>
        <row r="197">
          <cell r="D197">
            <v>18327650</v>
          </cell>
        </row>
        <row r="198">
          <cell r="D198">
            <v>10732840</v>
          </cell>
        </row>
        <row r="199">
          <cell r="D199">
            <v>16464440</v>
          </cell>
        </row>
        <row r="200">
          <cell r="D200">
            <v>9226151</v>
          </cell>
        </row>
        <row r="201">
          <cell r="D201">
            <v>5867390</v>
          </cell>
        </row>
        <row r="202">
          <cell r="D202">
            <v>12094280</v>
          </cell>
        </row>
        <row r="203">
          <cell r="D203">
            <v>56479960</v>
          </cell>
        </row>
        <row r="204">
          <cell r="D204">
            <v>21577900</v>
          </cell>
        </row>
        <row r="205">
          <cell r="D205">
            <v>11846400</v>
          </cell>
        </row>
        <row r="206">
          <cell r="D206">
            <v>10129630</v>
          </cell>
        </row>
        <row r="207">
          <cell r="D207">
            <v>22284490</v>
          </cell>
        </row>
        <row r="208">
          <cell r="D208">
            <v>23034070</v>
          </cell>
        </row>
        <row r="209">
          <cell r="D209">
            <v>21776560</v>
          </cell>
        </row>
        <row r="210">
          <cell r="D210">
            <v>16675510</v>
          </cell>
        </row>
        <row r="211">
          <cell r="D211">
            <v>15361570</v>
          </cell>
        </row>
        <row r="212">
          <cell r="D212">
            <v>14748730</v>
          </cell>
        </row>
        <row r="213">
          <cell r="D213">
            <v>30010930</v>
          </cell>
        </row>
        <row r="214">
          <cell r="D214">
            <v>45981940</v>
          </cell>
        </row>
        <row r="215">
          <cell r="D215">
            <v>14136690</v>
          </cell>
        </row>
        <row r="216">
          <cell r="D216">
            <v>16606010</v>
          </cell>
        </row>
        <row r="217">
          <cell r="D217">
            <v>13859730</v>
          </cell>
        </row>
        <row r="218">
          <cell r="D218">
            <v>18656510</v>
          </cell>
        </row>
        <row r="219">
          <cell r="D219">
            <v>11686250</v>
          </cell>
        </row>
        <row r="220">
          <cell r="D220">
            <v>4687149</v>
          </cell>
        </row>
        <row r="221">
          <cell r="D221">
            <v>7706098</v>
          </cell>
        </row>
        <row r="222">
          <cell r="D222">
            <v>6764355</v>
          </cell>
        </row>
        <row r="223">
          <cell r="D223">
            <v>10414120</v>
          </cell>
        </row>
        <row r="224">
          <cell r="D224">
            <v>6771316</v>
          </cell>
        </row>
        <row r="225">
          <cell r="D225">
            <v>33570070</v>
          </cell>
        </row>
        <row r="226">
          <cell r="D226">
            <v>8095617</v>
          </cell>
        </row>
        <row r="227">
          <cell r="D227">
            <v>16054850</v>
          </cell>
        </row>
        <row r="228">
          <cell r="D228">
            <v>20470200</v>
          </cell>
        </row>
        <row r="229">
          <cell r="D229">
            <v>7921646</v>
          </cell>
        </row>
        <row r="230">
          <cell r="D230">
            <v>3296087</v>
          </cell>
        </row>
        <row r="231">
          <cell r="D231">
            <v>19297230</v>
          </cell>
        </row>
        <row r="232">
          <cell r="D232">
            <v>0</v>
          </cell>
        </row>
        <row r="233">
          <cell r="D233">
            <v>18292730</v>
          </cell>
        </row>
        <row r="234">
          <cell r="D234">
            <v>10595510</v>
          </cell>
        </row>
        <row r="235">
          <cell r="D235">
            <v>40384370</v>
          </cell>
        </row>
        <row r="236">
          <cell r="D236">
            <v>24192170</v>
          </cell>
        </row>
        <row r="237">
          <cell r="D237">
            <v>37410640</v>
          </cell>
        </row>
        <row r="238">
          <cell r="D238">
            <v>34053950</v>
          </cell>
        </row>
        <row r="239">
          <cell r="D239">
            <v>101518200</v>
          </cell>
        </row>
        <row r="240">
          <cell r="D240">
            <v>13983280</v>
          </cell>
        </row>
        <row r="241">
          <cell r="D241">
            <v>10524340</v>
          </cell>
        </row>
        <row r="242">
          <cell r="D242">
            <v>16450250</v>
          </cell>
        </row>
        <row r="243">
          <cell r="D243">
            <v>14771180</v>
          </cell>
        </row>
        <row r="244">
          <cell r="D244">
            <v>12987120</v>
          </cell>
        </row>
        <row r="245">
          <cell r="D245">
            <v>33347440</v>
          </cell>
        </row>
        <row r="246">
          <cell r="D246">
            <v>27560920</v>
          </cell>
        </row>
        <row r="247">
          <cell r="D247">
            <v>11206950</v>
          </cell>
        </row>
        <row r="248">
          <cell r="D248">
            <v>26851470</v>
          </cell>
        </row>
        <row r="249">
          <cell r="D249">
            <v>17339070</v>
          </cell>
        </row>
        <row r="250">
          <cell r="D250">
            <v>20189180</v>
          </cell>
        </row>
        <row r="251">
          <cell r="D251">
            <v>16062570</v>
          </cell>
        </row>
        <row r="252">
          <cell r="D252">
            <v>12720490</v>
          </cell>
        </row>
        <row r="253">
          <cell r="D253">
            <v>40438350</v>
          </cell>
        </row>
        <row r="254">
          <cell r="D254">
            <v>17133930</v>
          </cell>
        </row>
        <row r="255">
          <cell r="D255">
            <v>51438050</v>
          </cell>
        </row>
        <row r="256">
          <cell r="D256">
            <v>116108500</v>
          </cell>
        </row>
        <row r="257">
          <cell r="D257">
            <v>0</v>
          </cell>
        </row>
        <row r="258">
          <cell r="D258">
            <v>62981860</v>
          </cell>
        </row>
        <row r="259">
          <cell r="D259">
            <v>57714140</v>
          </cell>
        </row>
        <row r="260">
          <cell r="D260">
            <v>19694980</v>
          </cell>
        </row>
        <row r="261">
          <cell r="D261">
            <v>13752140</v>
          </cell>
        </row>
        <row r="262">
          <cell r="D262">
            <v>8513403</v>
          </cell>
        </row>
        <row r="263">
          <cell r="D263">
            <v>17073710</v>
          </cell>
        </row>
        <row r="264">
          <cell r="D264">
            <v>35602500</v>
          </cell>
        </row>
        <row r="265">
          <cell r="D265">
            <v>81348410</v>
          </cell>
        </row>
        <row r="266">
          <cell r="D266">
            <v>44658440</v>
          </cell>
        </row>
        <row r="267">
          <cell r="D267">
            <v>28724750</v>
          </cell>
        </row>
        <row r="268">
          <cell r="D268">
            <v>39393800</v>
          </cell>
        </row>
        <row r="269">
          <cell r="D269">
            <v>24445190</v>
          </cell>
        </row>
        <row r="270">
          <cell r="D270">
            <v>15685340</v>
          </cell>
        </row>
        <row r="271">
          <cell r="D271">
            <v>25546000</v>
          </cell>
        </row>
        <row r="272">
          <cell r="D272">
            <v>0</v>
          </cell>
        </row>
        <row r="273">
          <cell r="D273">
            <v>39051600</v>
          </cell>
        </row>
        <row r="274">
          <cell r="D274">
            <v>13680150</v>
          </cell>
        </row>
        <row r="275">
          <cell r="D275">
            <v>25315130</v>
          </cell>
        </row>
        <row r="276">
          <cell r="D276">
            <v>13721660</v>
          </cell>
        </row>
        <row r="277">
          <cell r="D277">
            <v>27304670</v>
          </cell>
        </row>
        <row r="278">
          <cell r="D278">
            <v>16286520</v>
          </cell>
        </row>
        <row r="279">
          <cell r="D279">
            <v>270720100</v>
          </cell>
        </row>
        <row r="280">
          <cell r="D280">
            <v>17432160</v>
          </cell>
        </row>
        <row r="281">
          <cell r="D281">
            <v>0</v>
          </cell>
        </row>
        <row r="282">
          <cell r="D282">
            <v>16063780</v>
          </cell>
        </row>
        <row r="283">
          <cell r="D283">
            <v>37554030</v>
          </cell>
        </row>
        <row r="284">
          <cell r="D284">
            <v>19986400</v>
          </cell>
        </row>
        <row r="285">
          <cell r="D285">
            <v>10090000</v>
          </cell>
        </row>
        <row r="286">
          <cell r="D286">
            <v>8358725</v>
          </cell>
        </row>
        <row r="287">
          <cell r="D287">
            <v>12452970</v>
          </cell>
        </row>
        <row r="288">
          <cell r="D288">
            <v>5913694</v>
          </cell>
        </row>
        <row r="289">
          <cell r="D289">
            <v>13047580</v>
          </cell>
        </row>
        <row r="290">
          <cell r="D290">
            <v>38014440</v>
          </cell>
        </row>
        <row r="291">
          <cell r="D291">
            <v>19042970</v>
          </cell>
        </row>
        <row r="292">
          <cell r="D292">
            <v>232499500</v>
          </cell>
        </row>
        <row r="293">
          <cell r="D293">
            <v>57510600</v>
          </cell>
        </row>
        <row r="294">
          <cell r="D294">
            <v>40762240</v>
          </cell>
        </row>
        <row r="295">
          <cell r="D295">
            <v>21490620</v>
          </cell>
        </row>
        <row r="296">
          <cell r="D296">
            <v>25315940</v>
          </cell>
        </row>
        <row r="297">
          <cell r="D297">
            <v>13794630</v>
          </cell>
        </row>
        <row r="298">
          <cell r="D298">
            <v>15250080</v>
          </cell>
        </row>
        <row r="299">
          <cell r="D299">
            <v>20880280</v>
          </cell>
        </row>
        <row r="300">
          <cell r="D300">
            <v>48762530</v>
          </cell>
        </row>
        <row r="301">
          <cell r="D301">
            <v>18911720</v>
          </cell>
        </row>
        <row r="302">
          <cell r="D302">
            <v>14896510</v>
          </cell>
        </row>
        <row r="303">
          <cell r="D303">
            <v>18843210</v>
          </cell>
        </row>
        <row r="304">
          <cell r="D304">
            <v>12908830</v>
          </cell>
        </row>
        <row r="305">
          <cell r="D305">
            <v>13792300</v>
          </cell>
        </row>
        <row r="306">
          <cell r="D306">
            <v>22150260</v>
          </cell>
        </row>
        <row r="307">
          <cell r="D307">
            <v>18297200</v>
          </cell>
        </row>
        <row r="308">
          <cell r="D308">
            <v>13200750</v>
          </cell>
        </row>
        <row r="309">
          <cell r="D309">
            <v>12597050</v>
          </cell>
        </row>
        <row r="310">
          <cell r="D310">
            <v>2458384</v>
          </cell>
        </row>
        <row r="311">
          <cell r="D311">
            <v>15833890</v>
          </cell>
        </row>
        <row r="312">
          <cell r="D312">
            <v>14166340</v>
          </cell>
        </row>
        <row r="313">
          <cell r="D313">
            <v>16689320</v>
          </cell>
        </row>
        <row r="314">
          <cell r="D314">
            <v>0</v>
          </cell>
        </row>
        <row r="315">
          <cell r="D315">
            <v>18113500</v>
          </cell>
        </row>
        <row r="316">
          <cell r="D316">
            <v>36966610</v>
          </cell>
        </row>
        <row r="317">
          <cell r="D317">
            <v>16665100</v>
          </cell>
        </row>
        <row r="318">
          <cell r="D318">
            <v>17398120</v>
          </cell>
        </row>
        <row r="319">
          <cell r="D319">
            <v>24691360</v>
          </cell>
        </row>
        <row r="320">
          <cell r="D320">
            <v>18727680</v>
          </cell>
        </row>
        <row r="321">
          <cell r="D321">
            <v>27972470</v>
          </cell>
        </row>
        <row r="322">
          <cell r="D322">
            <v>23253580</v>
          </cell>
        </row>
        <row r="323">
          <cell r="D323">
            <v>92643890</v>
          </cell>
        </row>
        <row r="324">
          <cell r="D324">
            <v>41119580</v>
          </cell>
        </row>
        <row r="325">
          <cell r="D325">
            <v>2536032</v>
          </cell>
        </row>
        <row r="326">
          <cell r="D326">
            <v>24860280</v>
          </cell>
        </row>
        <row r="327">
          <cell r="D327">
            <v>23732190</v>
          </cell>
        </row>
        <row r="328">
          <cell r="D328">
            <v>32535860</v>
          </cell>
        </row>
        <row r="329">
          <cell r="D329">
            <v>19916970</v>
          </cell>
        </row>
        <row r="330">
          <cell r="D330">
            <v>16772800</v>
          </cell>
        </row>
        <row r="331">
          <cell r="D331">
            <v>11589570</v>
          </cell>
        </row>
        <row r="332">
          <cell r="D332">
            <v>0</v>
          </cell>
        </row>
        <row r="333">
          <cell r="D333">
            <v>30153590</v>
          </cell>
        </row>
        <row r="334">
          <cell r="D334">
            <v>26388060</v>
          </cell>
        </row>
        <row r="335">
          <cell r="D335">
            <v>12319220</v>
          </cell>
        </row>
        <row r="336">
          <cell r="D336">
            <v>31640330</v>
          </cell>
        </row>
        <row r="337">
          <cell r="D337">
            <v>25901860</v>
          </cell>
        </row>
        <row r="338">
          <cell r="D338">
            <v>58911540</v>
          </cell>
        </row>
        <row r="339">
          <cell r="D339">
            <v>94359380</v>
          </cell>
        </row>
        <row r="340">
          <cell r="D340">
            <v>66578230</v>
          </cell>
        </row>
        <row r="341">
          <cell r="D341">
            <v>25852780</v>
          </cell>
        </row>
        <row r="342">
          <cell r="D342">
            <v>14346740</v>
          </cell>
        </row>
        <row r="343">
          <cell r="D343">
            <v>25780830</v>
          </cell>
        </row>
        <row r="344">
          <cell r="D344">
            <v>29063600</v>
          </cell>
        </row>
        <row r="345">
          <cell r="D345">
            <v>17887660</v>
          </cell>
        </row>
        <row r="346">
          <cell r="D346">
            <v>32478320</v>
          </cell>
        </row>
        <row r="347">
          <cell r="D347">
            <v>25596520</v>
          </cell>
        </row>
        <row r="348">
          <cell r="D348">
            <v>54945380</v>
          </cell>
        </row>
        <row r="349">
          <cell r="D349">
            <v>42516320</v>
          </cell>
        </row>
        <row r="350">
          <cell r="D350">
            <v>0</v>
          </cell>
        </row>
        <row r="351">
          <cell r="D351">
            <v>0</v>
          </cell>
        </row>
        <row r="352">
          <cell r="D352">
            <v>47995920</v>
          </cell>
        </row>
        <row r="353">
          <cell r="D353">
            <v>43646310</v>
          </cell>
        </row>
        <row r="354">
          <cell r="D354">
            <v>27814760</v>
          </cell>
        </row>
        <row r="355">
          <cell r="D355">
            <v>46171960</v>
          </cell>
        </row>
        <row r="356">
          <cell r="D356">
            <v>32805530</v>
          </cell>
        </row>
        <row r="357">
          <cell r="D357">
            <v>31071040</v>
          </cell>
        </row>
        <row r="358">
          <cell r="D358">
            <v>36171160</v>
          </cell>
        </row>
        <row r="359">
          <cell r="D359">
            <v>15563360</v>
          </cell>
        </row>
        <row r="360">
          <cell r="D360">
            <v>34317590</v>
          </cell>
        </row>
        <row r="361">
          <cell r="D361">
            <v>60407150</v>
          </cell>
        </row>
        <row r="362">
          <cell r="D362">
            <v>47814470</v>
          </cell>
        </row>
        <row r="363">
          <cell r="D363">
            <v>50997170</v>
          </cell>
        </row>
        <row r="364">
          <cell r="D364">
            <v>50650930</v>
          </cell>
        </row>
        <row r="365">
          <cell r="D365">
            <v>67217860</v>
          </cell>
        </row>
        <row r="366">
          <cell r="D366">
            <v>89284770</v>
          </cell>
        </row>
        <row r="367">
          <cell r="D367">
            <v>29323160</v>
          </cell>
        </row>
        <row r="368">
          <cell r="D368">
            <v>37785790</v>
          </cell>
        </row>
        <row r="369">
          <cell r="D369">
            <v>31695420</v>
          </cell>
        </row>
        <row r="370">
          <cell r="D370">
            <v>13686050</v>
          </cell>
        </row>
        <row r="371">
          <cell r="D371">
            <v>15563940</v>
          </cell>
        </row>
        <row r="372">
          <cell r="D372">
            <v>25429720</v>
          </cell>
        </row>
        <row r="373">
          <cell r="D373">
            <v>45878000</v>
          </cell>
        </row>
        <row r="374">
          <cell r="D374">
            <v>22208840</v>
          </cell>
        </row>
        <row r="375">
          <cell r="D375">
            <v>26235700</v>
          </cell>
        </row>
        <row r="376">
          <cell r="D376">
            <v>39434750</v>
          </cell>
        </row>
        <row r="377">
          <cell r="D377">
            <v>20297880</v>
          </cell>
        </row>
        <row r="378">
          <cell r="D378">
            <v>25251370</v>
          </cell>
        </row>
        <row r="379">
          <cell r="D379">
            <v>34381940</v>
          </cell>
        </row>
        <row r="380">
          <cell r="D380">
            <v>59584160</v>
          </cell>
        </row>
        <row r="381">
          <cell r="D381">
            <v>52105080</v>
          </cell>
        </row>
        <row r="382">
          <cell r="D382">
            <v>46125990</v>
          </cell>
        </row>
        <row r="383">
          <cell r="D383">
            <v>56703880</v>
          </cell>
        </row>
        <row r="384">
          <cell r="D384">
            <v>0</v>
          </cell>
        </row>
        <row r="385">
          <cell r="D385">
            <v>40013600</v>
          </cell>
        </row>
        <row r="386">
          <cell r="D386">
            <v>114765800</v>
          </cell>
        </row>
        <row r="387">
          <cell r="D387">
            <v>36211240</v>
          </cell>
        </row>
        <row r="388">
          <cell r="D388">
            <v>51760950</v>
          </cell>
        </row>
        <row r="389">
          <cell r="D389">
            <v>44779270</v>
          </cell>
        </row>
        <row r="390">
          <cell r="D390">
            <v>51188040</v>
          </cell>
        </row>
        <row r="391">
          <cell r="D391">
            <v>64879430</v>
          </cell>
        </row>
        <row r="392">
          <cell r="D392">
            <v>24166460</v>
          </cell>
        </row>
        <row r="393">
          <cell r="D393">
            <v>32710470</v>
          </cell>
        </row>
        <row r="394">
          <cell r="D394">
            <v>26927880</v>
          </cell>
        </row>
        <row r="395">
          <cell r="D395">
            <v>33462680</v>
          </cell>
        </row>
        <row r="396">
          <cell r="D396">
            <v>19933410</v>
          </cell>
        </row>
        <row r="397">
          <cell r="D397">
            <v>25087840</v>
          </cell>
        </row>
        <row r="398">
          <cell r="D398">
            <v>38778260</v>
          </cell>
        </row>
        <row r="399">
          <cell r="D399">
            <v>28913790</v>
          </cell>
        </row>
        <row r="400">
          <cell r="D400">
            <v>16035510</v>
          </cell>
        </row>
        <row r="401">
          <cell r="D401">
            <v>0</v>
          </cell>
        </row>
        <row r="402">
          <cell r="D402">
            <v>35938850</v>
          </cell>
        </row>
        <row r="403">
          <cell r="D403">
            <v>21218370</v>
          </cell>
        </row>
        <row r="404">
          <cell r="D404">
            <v>16745730</v>
          </cell>
        </row>
        <row r="405">
          <cell r="D405">
            <v>33315630</v>
          </cell>
        </row>
        <row r="406">
          <cell r="D406">
            <v>24095730</v>
          </cell>
        </row>
        <row r="407">
          <cell r="D407">
            <v>43538020</v>
          </cell>
        </row>
        <row r="408">
          <cell r="D408">
            <v>28609260</v>
          </cell>
        </row>
        <row r="409">
          <cell r="D409">
            <v>46638170</v>
          </cell>
        </row>
        <row r="410">
          <cell r="D410">
            <v>18817130</v>
          </cell>
        </row>
        <row r="411">
          <cell r="D411">
            <v>30439960</v>
          </cell>
        </row>
        <row r="412">
          <cell r="D412">
            <v>24851090</v>
          </cell>
        </row>
        <row r="413">
          <cell r="D413">
            <v>22426860</v>
          </cell>
        </row>
        <row r="414">
          <cell r="D414">
            <v>47318500</v>
          </cell>
        </row>
        <row r="415">
          <cell r="D415">
            <v>30340480</v>
          </cell>
        </row>
        <row r="416">
          <cell r="D416">
            <v>60540710</v>
          </cell>
        </row>
        <row r="417">
          <cell r="D417">
            <v>50276440</v>
          </cell>
        </row>
        <row r="418">
          <cell r="D418">
            <v>44719320</v>
          </cell>
        </row>
        <row r="419">
          <cell r="D419">
            <v>116281300</v>
          </cell>
        </row>
        <row r="420">
          <cell r="D420">
            <v>24791720</v>
          </cell>
        </row>
        <row r="421">
          <cell r="D421">
            <v>34125700</v>
          </cell>
        </row>
        <row r="422">
          <cell r="D422">
            <v>23012020</v>
          </cell>
        </row>
        <row r="423">
          <cell r="D423">
            <v>98861020</v>
          </cell>
        </row>
        <row r="424">
          <cell r="D424">
            <v>35511240</v>
          </cell>
        </row>
        <row r="425">
          <cell r="D425">
            <v>24076540</v>
          </cell>
        </row>
        <row r="426">
          <cell r="D426">
            <v>21308180</v>
          </cell>
        </row>
        <row r="427">
          <cell r="D427">
            <v>37675850</v>
          </cell>
        </row>
        <row r="428">
          <cell r="D428">
            <v>0</v>
          </cell>
        </row>
        <row r="429">
          <cell r="D429">
            <v>57275290</v>
          </cell>
        </row>
        <row r="430">
          <cell r="D430">
            <v>87822460</v>
          </cell>
        </row>
        <row r="431">
          <cell r="D431">
            <v>48162150</v>
          </cell>
        </row>
        <row r="432">
          <cell r="D432">
            <v>35087120</v>
          </cell>
        </row>
        <row r="433">
          <cell r="D433">
            <v>111891400</v>
          </cell>
        </row>
        <row r="434">
          <cell r="D434">
            <v>398983100</v>
          </cell>
        </row>
        <row r="435">
          <cell r="D435">
            <v>135885600</v>
          </cell>
        </row>
        <row r="436">
          <cell r="D436">
            <v>87524540</v>
          </cell>
        </row>
        <row r="437">
          <cell r="D437">
            <v>52678020</v>
          </cell>
        </row>
        <row r="438">
          <cell r="D438">
            <v>51595320</v>
          </cell>
        </row>
        <row r="439">
          <cell r="D439">
            <v>166459800</v>
          </cell>
        </row>
        <row r="440">
          <cell r="D440">
            <v>59002170</v>
          </cell>
        </row>
        <row r="441">
          <cell r="D441">
            <v>54212060</v>
          </cell>
        </row>
        <row r="442">
          <cell r="D442">
            <v>84013230</v>
          </cell>
        </row>
        <row r="443">
          <cell r="D443">
            <v>90046750</v>
          </cell>
        </row>
        <row r="444">
          <cell r="D444">
            <v>102505400</v>
          </cell>
        </row>
        <row r="445">
          <cell r="D445">
            <v>39999690</v>
          </cell>
        </row>
        <row r="446">
          <cell r="D446">
            <v>40573280</v>
          </cell>
        </row>
        <row r="447">
          <cell r="D447">
            <v>15041310</v>
          </cell>
        </row>
        <row r="448">
          <cell r="D448">
            <v>30334340</v>
          </cell>
        </row>
        <row r="449">
          <cell r="D449">
            <v>43713930</v>
          </cell>
        </row>
        <row r="450">
          <cell r="D450">
            <v>0</v>
          </cell>
        </row>
        <row r="451">
          <cell r="D451">
            <v>46952420</v>
          </cell>
        </row>
        <row r="452">
          <cell r="D452">
            <v>26789630</v>
          </cell>
        </row>
        <row r="453">
          <cell r="D453">
            <v>34990120</v>
          </cell>
        </row>
        <row r="454">
          <cell r="D454">
            <v>40588920</v>
          </cell>
        </row>
        <row r="455">
          <cell r="D455">
            <v>41178210</v>
          </cell>
        </row>
        <row r="456">
          <cell r="D456">
            <v>79016670</v>
          </cell>
        </row>
        <row r="457">
          <cell r="D457">
            <v>40654480</v>
          </cell>
        </row>
        <row r="458">
          <cell r="D458">
            <v>62027620</v>
          </cell>
        </row>
        <row r="459">
          <cell r="D459">
            <v>23197060</v>
          </cell>
        </row>
        <row r="460">
          <cell r="D460">
            <v>25157110</v>
          </cell>
        </row>
        <row r="461">
          <cell r="D461">
            <v>22482610</v>
          </cell>
        </row>
        <row r="462">
          <cell r="D462">
            <v>25830450</v>
          </cell>
        </row>
        <row r="463">
          <cell r="D463">
            <v>17845380</v>
          </cell>
        </row>
        <row r="464">
          <cell r="D464">
            <v>49184750</v>
          </cell>
        </row>
        <row r="465">
          <cell r="D465">
            <v>18680300</v>
          </cell>
        </row>
        <row r="466">
          <cell r="D466">
            <v>24220340</v>
          </cell>
        </row>
        <row r="467">
          <cell r="D467">
            <v>32351670</v>
          </cell>
        </row>
        <row r="468">
          <cell r="D468">
            <v>52477750</v>
          </cell>
        </row>
        <row r="469">
          <cell r="D469">
            <v>126491800</v>
          </cell>
        </row>
        <row r="470">
          <cell r="D470">
            <v>55129770</v>
          </cell>
        </row>
        <row r="471">
          <cell r="D471">
            <v>30477110</v>
          </cell>
        </row>
        <row r="472">
          <cell r="D472">
            <v>48050460</v>
          </cell>
        </row>
        <row r="473">
          <cell r="D473">
            <v>65188920</v>
          </cell>
        </row>
        <row r="474">
          <cell r="D474">
            <v>31146530</v>
          </cell>
        </row>
        <row r="475">
          <cell r="D475">
            <v>36696700</v>
          </cell>
        </row>
        <row r="476">
          <cell r="D476">
            <v>47505810</v>
          </cell>
        </row>
        <row r="477">
          <cell r="D477">
            <v>54725110</v>
          </cell>
        </row>
        <row r="478">
          <cell r="D478">
            <v>52355820</v>
          </cell>
        </row>
        <row r="479">
          <cell r="D479">
            <v>41438550</v>
          </cell>
        </row>
        <row r="480">
          <cell r="D480">
            <v>37465190</v>
          </cell>
        </row>
        <row r="481">
          <cell r="D481">
            <v>69336480</v>
          </cell>
        </row>
        <row r="482">
          <cell r="D482">
            <v>46883180</v>
          </cell>
        </row>
        <row r="483">
          <cell r="D483">
            <v>35946810</v>
          </cell>
        </row>
        <row r="484">
          <cell r="D484">
            <v>21110030</v>
          </cell>
        </row>
        <row r="485">
          <cell r="D485">
            <v>25975110</v>
          </cell>
        </row>
        <row r="486">
          <cell r="D486">
            <v>53828730</v>
          </cell>
        </row>
        <row r="487">
          <cell r="D487">
            <v>45934770</v>
          </cell>
        </row>
        <row r="488">
          <cell r="D488">
            <v>106371100</v>
          </cell>
        </row>
        <row r="489">
          <cell r="D489">
            <v>186991800</v>
          </cell>
        </row>
        <row r="490">
          <cell r="D490">
            <v>33166990</v>
          </cell>
        </row>
        <row r="491">
          <cell r="D491">
            <v>31793220</v>
          </cell>
        </row>
        <row r="492">
          <cell r="D492">
            <v>40716410</v>
          </cell>
        </row>
        <row r="493">
          <cell r="D493">
            <v>68461740</v>
          </cell>
        </row>
        <row r="494">
          <cell r="D494">
            <v>0</v>
          </cell>
        </row>
        <row r="495">
          <cell r="D495">
            <v>43456780</v>
          </cell>
        </row>
        <row r="496">
          <cell r="D496">
            <v>44029560</v>
          </cell>
        </row>
        <row r="497">
          <cell r="D497">
            <v>49122840</v>
          </cell>
        </row>
        <row r="498">
          <cell r="D498">
            <v>44660850</v>
          </cell>
        </row>
        <row r="499">
          <cell r="D499">
            <v>45636340</v>
          </cell>
        </row>
        <row r="500">
          <cell r="D500">
            <v>29967500</v>
          </cell>
        </row>
        <row r="501">
          <cell r="D501">
            <v>29216280</v>
          </cell>
        </row>
        <row r="502">
          <cell r="D502">
            <v>35298270</v>
          </cell>
        </row>
        <row r="503">
          <cell r="D503">
            <v>21294470</v>
          </cell>
        </row>
        <row r="504">
          <cell r="D504">
            <v>15321910</v>
          </cell>
        </row>
        <row r="505">
          <cell r="D505">
            <v>23029720</v>
          </cell>
        </row>
        <row r="506">
          <cell r="D506">
            <v>59025470</v>
          </cell>
        </row>
        <row r="507">
          <cell r="D507">
            <v>33908030</v>
          </cell>
        </row>
        <row r="508">
          <cell r="D508">
            <v>42673920</v>
          </cell>
        </row>
        <row r="509">
          <cell r="D509">
            <v>84057860</v>
          </cell>
        </row>
        <row r="510">
          <cell r="D510">
            <v>45502590</v>
          </cell>
        </row>
        <row r="511">
          <cell r="D511">
            <v>39604840</v>
          </cell>
        </row>
        <row r="512">
          <cell r="D512">
            <v>63232940</v>
          </cell>
        </row>
        <row r="513">
          <cell r="D513">
            <v>22925660</v>
          </cell>
        </row>
        <row r="514">
          <cell r="D514">
            <v>22675600</v>
          </cell>
        </row>
        <row r="515">
          <cell r="D515">
            <v>24377880</v>
          </cell>
        </row>
        <row r="516">
          <cell r="D516">
            <v>27299070</v>
          </cell>
        </row>
        <row r="517">
          <cell r="D517">
            <v>84815970</v>
          </cell>
        </row>
        <row r="518">
          <cell r="D518">
            <v>39627090</v>
          </cell>
        </row>
        <row r="519">
          <cell r="D519">
            <v>0</v>
          </cell>
        </row>
        <row r="520">
          <cell r="D520">
            <v>47499760</v>
          </cell>
        </row>
        <row r="521">
          <cell r="D521">
            <v>104448300</v>
          </cell>
        </row>
        <row r="522">
          <cell r="D522">
            <v>80419500</v>
          </cell>
        </row>
        <row r="523">
          <cell r="D523">
            <v>39250400</v>
          </cell>
        </row>
        <row r="524">
          <cell r="D524">
            <v>34720860</v>
          </cell>
        </row>
        <row r="525">
          <cell r="D525">
            <v>19275810</v>
          </cell>
        </row>
        <row r="526">
          <cell r="D526">
            <v>32872260</v>
          </cell>
        </row>
        <row r="527">
          <cell r="D527">
            <v>45315880</v>
          </cell>
        </row>
        <row r="528">
          <cell r="D528">
            <v>30443830</v>
          </cell>
        </row>
        <row r="529">
          <cell r="D529">
            <v>39106520</v>
          </cell>
        </row>
        <row r="530">
          <cell r="D530">
            <v>21333060</v>
          </cell>
        </row>
        <row r="531">
          <cell r="D531">
            <v>22444450</v>
          </cell>
        </row>
        <row r="532">
          <cell r="D532">
            <v>35779320</v>
          </cell>
        </row>
        <row r="533">
          <cell r="D533">
            <v>34084600</v>
          </cell>
        </row>
        <row r="534">
          <cell r="D534">
            <v>0</v>
          </cell>
        </row>
        <row r="535">
          <cell r="D535">
            <v>18062450</v>
          </cell>
        </row>
        <row r="536">
          <cell r="D536">
            <v>27923450</v>
          </cell>
        </row>
        <row r="537">
          <cell r="D537">
            <v>32862220</v>
          </cell>
        </row>
        <row r="538">
          <cell r="D538">
            <v>48365010</v>
          </cell>
        </row>
        <row r="539">
          <cell r="D539">
            <v>62425310</v>
          </cell>
        </row>
        <row r="540">
          <cell r="D540">
            <v>24691440</v>
          </cell>
        </row>
        <row r="541">
          <cell r="D541">
            <v>36849290</v>
          </cell>
        </row>
        <row r="542">
          <cell r="D542">
            <v>41192310</v>
          </cell>
        </row>
        <row r="543">
          <cell r="D543">
            <v>0</v>
          </cell>
        </row>
        <row r="544">
          <cell r="D544">
            <v>24967560</v>
          </cell>
        </row>
        <row r="545">
          <cell r="D545">
            <v>14028860</v>
          </cell>
        </row>
        <row r="546">
          <cell r="D546">
            <v>0</v>
          </cell>
        </row>
        <row r="547">
          <cell r="D547">
            <v>49603510</v>
          </cell>
        </row>
        <row r="548">
          <cell r="D548">
            <v>78275290</v>
          </cell>
        </row>
        <row r="549">
          <cell r="D549">
            <v>63528760</v>
          </cell>
        </row>
        <row r="550">
          <cell r="D550">
            <v>78196580</v>
          </cell>
        </row>
        <row r="551">
          <cell r="D551">
            <v>58531840</v>
          </cell>
        </row>
        <row r="552">
          <cell r="D552">
            <v>108525600</v>
          </cell>
        </row>
        <row r="553">
          <cell r="D553">
            <v>60038280</v>
          </cell>
        </row>
        <row r="554">
          <cell r="D554">
            <v>45410240</v>
          </cell>
        </row>
        <row r="555">
          <cell r="D555">
            <v>30918290</v>
          </cell>
        </row>
        <row r="556">
          <cell r="D556">
            <v>105202900</v>
          </cell>
        </row>
        <row r="557">
          <cell r="D557">
            <v>91099900</v>
          </cell>
        </row>
        <row r="558">
          <cell r="D558">
            <v>49219230</v>
          </cell>
        </row>
        <row r="559">
          <cell r="D559">
            <v>42479070</v>
          </cell>
        </row>
        <row r="560">
          <cell r="D560">
            <v>51352780</v>
          </cell>
        </row>
        <row r="561">
          <cell r="D561">
            <v>34021060</v>
          </cell>
        </row>
        <row r="562">
          <cell r="D562">
            <v>48383140</v>
          </cell>
        </row>
        <row r="563">
          <cell r="D563">
            <v>21511710</v>
          </cell>
        </row>
        <row r="564">
          <cell r="D564">
            <v>28990430</v>
          </cell>
        </row>
        <row r="565">
          <cell r="D565">
            <v>77046130</v>
          </cell>
        </row>
        <row r="566">
          <cell r="D566">
            <v>40405060</v>
          </cell>
        </row>
        <row r="567">
          <cell r="D567">
            <v>82288600</v>
          </cell>
        </row>
        <row r="568">
          <cell r="D568">
            <v>78885460</v>
          </cell>
        </row>
        <row r="569">
          <cell r="D569">
            <v>21706280</v>
          </cell>
        </row>
        <row r="570">
          <cell r="D570">
            <v>0</v>
          </cell>
        </row>
        <row r="571">
          <cell r="D571">
            <v>0</v>
          </cell>
        </row>
        <row r="572">
          <cell r="D572">
            <v>39612110</v>
          </cell>
        </row>
        <row r="573">
          <cell r="D573">
            <v>33741170</v>
          </cell>
        </row>
        <row r="574">
          <cell r="D574">
            <v>32503600</v>
          </cell>
        </row>
        <row r="575">
          <cell r="D575">
            <v>0</v>
          </cell>
        </row>
        <row r="576">
          <cell r="D576">
            <v>0</v>
          </cell>
        </row>
        <row r="577">
          <cell r="D577">
            <v>46551350</v>
          </cell>
        </row>
        <row r="578">
          <cell r="D578">
            <v>41821930</v>
          </cell>
        </row>
        <row r="579">
          <cell r="D579">
            <v>78027960</v>
          </cell>
        </row>
        <row r="580">
          <cell r="D580">
            <v>44839120</v>
          </cell>
        </row>
        <row r="581">
          <cell r="D581">
            <v>36859050</v>
          </cell>
        </row>
        <row r="582">
          <cell r="D582">
            <v>56268560</v>
          </cell>
        </row>
        <row r="583">
          <cell r="D583">
            <v>43727010</v>
          </cell>
        </row>
        <row r="584">
          <cell r="D584">
            <v>20357080</v>
          </cell>
        </row>
        <row r="585">
          <cell r="D585">
            <v>16751330</v>
          </cell>
        </row>
        <row r="586">
          <cell r="D586">
            <v>24676670</v>
          </cell>
        </row>
        <row r="587">
          <cell r="D587">
            <v>22799360</v>
          </cell>
        </row>
        <row r="588">
          <cell r="D588">
            <v>24077040</v>
          </cell>
        </row>
        <row r="589">
          <cell r="D589">
            <v>15439290</v>
          </cell>
        </row>
        <row r="590">
          <cell r="D590">
            <v>12721040</v>
          </cell>
        </row>
        <row r="591">
          <cell r="D591">
            <v>29158000</v>
          </cell>
        </row>
        <row r="592">
          <cell r="D592">
            <v>32202220</v>
          </cell>
        </row>
        <row r="593">
          <cell r="D593">
            <v>55307380</v>
          </cell>
        </row>
        <row r="594">
          <cell r="D594">
            <v>0</v>
          </cell>
        </row>
        <row r="595">
          <cell r="D595">
            <v>28580730</v>
          </cell>
        </row>
        <row r="596">
          <cell r="D596">
            <v>29776600</v>
          </cell>
        </row>
        <row r="597">
          <cell r="D597">
            <v>41526110</v>
          </cell>
        </row>
        <row r="598">
          <cell r="D598">
            <v>33440990</v>
          </cell>
        </row>
        <row r="599">
          <cell r="D599">
            <v>37443740</v>
          </cell>
        </row>
        <row r="600">
          <cell r="D600">
            <v>25053460</v>
          </cell>
        </row>
        <row r="601">
          <cell r="D601">
            <v>40821510</v>
          </cell>
        </row>
        <row r="602">
          <cell r="D602">
            <v>19899380</v>
          </cell>
        </row>
        <row r="603">
          <cell r="D603">
            <v>40576400</v>
          </cell>
        </row>
        <row r="604">
          <cell r="D604">
            <v>31696710</v>
          </cell>
        </row>
        <row r="605">
          <cell r="D605">
            <v>0</v>
          </cell>
        </row>
        <row r="606">
          <cell r="D606">
            <v>0</v>
          </cell>
        </row>
        <row r="607">
          <cell r="D607">
            <v>24146310</v>
          </cell>
        </row>
        <row r="608">
          <cell r="D608">
            <v>21827620</v>
          </cell>
        </row>
        <row r="609">
          <cell r="D609">
            <v>41210550</v>
          </cell>
        </row>
        <row r="610">
          <cell r="D610">
            <v>45584160</v>
          </cell>
        </row>
        <row r="611">
          <cell r="D611">
            <v>41414500</v>
          </cell>
        </row>
        <row r="612">
          <cell r="D612">
            <v>38355540</v>
          </cell>
        </row>
        <row r="613">
          <cell r="D613">
            <v>43898880</v>
          </cell>
        </row>
        <row r="614">
          <cell r="D614">
            <v>47440460</v>
          </cell>
        </row>
        <row r="615">
          <cell r="D615">
            <v>46660520</v>
          </cell>
        </row>
        <row r="616">
          <cell r="D616">
            <v>46091680</v>
          </cell>
        </row>
        <row r="617">
          <cell r="D617">
            <v>28895210</v>
          </cell>
        </row>
        <row r="618">
          <cell r="D618">
            <v>23112600</v>
          </cell>
        </row>
        <row r="619">
          <cell r="D619">
            <v>20602680</v>
          </cell>
        </row>
        <row r="620">
          <cell r="D620">
            <v>28288960</v>
          </cell>
        </row>
        <row r="621">
          <cell r="D621">
            <v>25261900</v>
          </cell>
        </row>
        <row r="622">
          <cell r="D622">
            <v>28776330</v>
          </cell>
        </row>
        <row r="623">
          <cell r="D623">
            <v>27169940</v>
          </cell>
        </row>
        <row r="624">
          <cell r="D624">
            <v>46171220</v>
          </cell>
        </row>
        <row r="625">
          <cell r="D625">
            <v>87738460</v>
          </cell>
        </row>
        <row r="626">
          <cell r="D626">
            <v>47239850</v>
          </cell>
        </row>
        <row r="627">
          <cell r="D627">
            <v>76221340</v>
          </cell>
        </row>
        <row r="628">
          <cell r="D628">
            <v>29033680</v>
          </cell>
        </row>
        <row r="629">
          <cell r="D629">
            <v>45158210</v>
          </cell>
        </row>
        <row r="630">
          <cell r="D630">
            <v>26089110</v>
          </cell>
        </row>
        <row r="631">
          <cell r="D631">
            <v>37954180</v>
          </cell>
        </row>
        <row r="632">
          <cell r="D632">
            <v>25482630</v>
          </cell>
        </row>
        <row r="633">
          <cell r="D633">
            <v>36354020</v>
          </cell>
        </row>
        <row r="634">
          <cell r="D634">
            <v>47302720</v>
          </cell>
        </row>
        <row r="635">
          <cell r="D635">
            <v>32121750</v>
          </cell>
        </row>
        <row r="636">
          <cell r="D636">
            <v>25257220</v>
          </cell>
        </row>
        <row r="637">
          <cell r="D637">
            <v>39715540</v>
          </cell>
        </row>
        <row r="638">
          <cell r="D638">
            <v>33324170</v>
          </cell>
        </row>
        <row r="639">
          <cell r="D639">
            <v>0</v>
          </cell>
        </row>
        <row r="640">
          <cell r="D640">
            <v>18345650</v>
          </cell>
        </row>
        <row r="641">
          <cell r="D641">
            <v>42065550</v>
          </cell>
        </row>
        <row r="642">
          <cell r="D642">
            <v>19438380</v>
          </cell>
        </row>
        <row r="643">
          <cell r="D643">
            <v>18667680</v>
          </cell>
        </row>
        <row r="644">
          <cell r="D644">
            <v>23226820</v>
          </cell>
        </row>
        <row r="645">
          <cell r="D645">
            <v>22041720</v>
          </cell>
        </row>
        <row r="646">
          <cell r="D646">
            <v>39748290</v>
          </cell>
        </row>
        <row r="647">
          <cell r="D647">
            <v>33796260</v>
          </cell>
        </row>
        <row r="648">
          <cell r="D648">
            <v>39521180</v>
          </cell>
        </row>
        <row r="649">
          <cell r="D649">
            <v>44784530</v>
          </cell>
        </row>
        <row r="650">
          <cell r="D650">
            <v>35193240</v>
          </cell>
        </row>
        <row r="651">
          <cell r="D651">
            <v>29648110</v>
          </cell>
        </row>
        <row r="652">
          <cell r="D652">
            <v>123156900</v>
          </cell>
        </row>
        <row r="653">
          <cell r="D653">
            <v>26543000</v>
          </cell>
        </row>
        <row r="654">
          <cell r="D654">
            <v>46073050</v>
          </cell>
        </row>
        <row r="655">
          <cell r="D655">
            <v>31009070</v>
          </cell>
        </row>
        <row r="656">
          <cell r="D656">
            <v>62632070</v>
          </cell>
        </row>
        <row r="657">
          <cell r="D657">
            <v>129029600</v>
          </cell>
        </row>
        <row r="658">
          <cell r="D658">
            <v>32887440</v>
          </cell>
        </row>
        <row r="659">
          <cell r="D659">
            <v>107823900</v>
          </cell>
        </row>
        <row r="660">
          <cell r="D660">
            <v>45430430</v>
          </cell>
        </row>
        <row r="661">
          <cell r="D661">
            <v>46192260</v>
          </cell>
        </row>
        <row r="662">
          <cell r="D662">
            <v>0</v>
          </cell>
        </row>
        <row r="663">
          <cell r="D663">
            <v>32433140</v>
          </cell>
        </row>
        <row r="664">
          <cell r="D664">
            <v>78542320</v>
          </cell>
        </row>
        <row r="665">
          <cell r="D665">
            <v>37577330</v>
          </cell>
        </row>
        <row r="666">
          <cell r="D666">
            <v>27347030</v>
          </cell>
        </row>
        <row r="667">
          <cell r="D667">
            <v>34389900</v>
          </cell>
        </row>
        <row r="668">
          <cell r="D668">
            <v>40612600</v>
          </cell>
        </row>
        <row r="669">
          <cell r="D669">
            <v>152827700</v>
          </cell>
        </row>
        <row r="670">
          <cell r="D670">
            <v>59580850</v>
          </cell>
        </row>
        <row r="671">
          <cell r="D671">
            <v>58507190</v>
          </cell>
        </row>
        <row r="672">
          <cell r="D672">
            <v>81861790</v>
          </cell>
        </row>
        <row r="673">
          <cell r="D673">
            <v>81883940</v>
          </cell>
        </row>
        <row r="674">
          <cell r="D674">
            <v>70332130</v>
          </cell>
        </row>
        <row r="675">
          <cell r="D675">
            <v>55450160</v>
          </cell>
        </row>
        <row r="676">
          <cell r="D676">
            <v>93471170</v>
          </cell>
        </row>
        <row r="677">
          <cell r="D677">
            <v>45909980</v>
          </cell>
        </row>
        <row r="678">
          <cell r="D678">
            <v>40718150</v>
          </cell>
        </row>
        <row r="679">
          <cell r="D679">
            <v>96443770</v>
          </cell>
        </row>
        <row r="680">
          <cell r="D680">
            <v>35658630</v>
          </cell>
        </row>
        <row r="681">
          <cell r="D681">
            <v>59476160</v>
          </cell>
        </row>
        <row r="682">
          <cell r="D682">
            <v>130094100</v>
          </cell>
        </row>
        <row r="683">
          <cell r="D683">
            <v>0</v>
          </cell>
        </row>
        <row r="684">
          <cell r="D684">
            <v>65150380</v>
          </cell>
        </row>
        <row r="685">
          <cell r="D685">
            <v>38564920</v>
          </cell>
        </row>
        <row r="686">
          <cell r="D686">
            <v>66048780</v>
          </cell>
        </row>
        <row r="687">
          <cell r="D687">
            <v>56431510</v>
          </cell>
        </row>
        <row r="688">
          <cell r="D688">
            <v>40202280</v>
          </cell>
        </row>
        <row r="689">
          <cell r="D689">
            <v>99439780</v>
          </cell>
        </row>
        <row r="690">
          <cell r="D690">
            <v>104978900</v>
          </cell>
        </row>
        <row r="691">
          <cell r="D691">
            <v>98096050</v>
          </cell>
        </row>
        <row r="692">
          <cell r="D692">
            <v>55686240</v>
          </cell>
        </row>
        <row r="693">
          <cell r="D693">
            <v>68217280</v>
          </cell>
        </row>
        <row r="694">
          <cell r="D694">
            <v>51724200</v>
          </cell>
        </row>
        <row r="695">
          <cell r="D695">
            <v>46350750</v>
          </cell>
        </row>
        <row r="696">
          <cell r="D696">
            <v>45677510</v>
          </cell>
        </row>
        <row r="697">
          <cell r="D697">
            <v>47553300</v>
          </cell>
        </row>
        <row r="698">
          <cell r="D698">
            <v>49748630</v>
          </cell>
        </row>
        <row r="699">
          <cell r="D699">
            <v>36635210</v>
          </cell>
        </row>
        <row r="700">
          <cell r="D700">
            <v>33390240</v>
          </cell>
        </row>
        <row r="701">
          <cell r="D701">
            <v>37475020</v>
          </cell>
        </row>
        <row r="702">
          <cell r="D702">
            <v>33398120</v>
          </cell>
        </row>
        <row r="703">
          <cell r="D703">
            <v>32760520</v>
          </cell>
        </row>
        <row r="704">
          <cell r="D704">
            <v>37223760</v>
          </cell>
        </row>
        <row r="705">
          <cell r="D705">
            <v>28419840</v>
          </cell>
        </row>
        <row r="706">
          <cell r="D706">
            <v>39903540</v>
          </cell>
        </row>
        <row r="707">
          <cell r="D707">
            <v>66053780</v>
          </cell>
        </row>
        <row r="708">
          <cell r="D708">
            <v>28358610</v>
          </cell>
        </row>
        <row r="709">
          <cell r="D709">
            <v>37280040</v>
          </cell>
        </row>
        <row r="710">
          <cell r="D710">
            <v>29349990</v>
          </cell>
        </row>
        <row r="711">
          <cell r="D711">
            <v>0</v>
          </cell>
        </row>
        <row r="712">
          <cell r="D712">
            <v>42487250</v>
          </cell>
        </row>
        <row r="713">
          <cell r="D713">
            <v>73248660</v>
          </cell>
        </row>
        <row r="714">
          <cell r="D714">
            <v>28946980</v>
          </cell>
        </row>
        <row r="715">
          <cell r="D715">
            <v>25748820</v>
          </cell>
        </row>
        <row r="716">
          <cell r="D716">
            <v>26975430</v>
          </cell>
        </row>
        <row r="717">
          <cell r="D717">
            <v>19093040</v>
          </cell>
        </row>
        <row r="718">
          <cell r="D718">
            <v>45814880</v>
          </cell>
        </row>
        <row r="719">
          <cell r="D719">
            <v>26128320</v>
          </cell>
        </row>
        <row r="720">
          <cell r="D720">
            <v>26142710</v>
          </cell>
        </row>
        <row r="721">
          <cell r="D721">
            <v>23953530</v>
          </cell>
        </row>
        <row r="722">
          <cell r="D722">
            <v>25322590</v>
          </cell>
        </row>
        <row r="723">
          <cell r="D723">
            <v>30486300</v>
          </cell>
        </row>
        <row r="724">
          <cell r="D724">
            <v>56213040</v>
          </cell>
        </row>
        <row r="725">
          <cell r="D725">
            <v>20918780</v>
          </cell>
        </row>
        <row r="726">
          <cell r="D726">
            <v>37090270</v>
          </cell>
        </row>
        <row r="727">
          <cell r="D727">
            <v>19072370</v>
          </cell>
        </row>
        <row r="728">
          <cell r="D728">
            <v>28607340</v>
          </cell>
        </row>
        <row r="729">
          <cell r="D729">
            <v>51327270</v>
          </cell>
        </row>
        <row r="730">
          <cell r="D730">
            <v>27466680</v>
          </cell>
        </row>
        <row r="731">
          <cell r="D731">
            <v>40975980</v>
          </cell>
        </row>
        <row r="732">
          <cell r="D732">
            <v>49802890</v>
          </cell>
        </row>
        <row r="733">
          <cell r="D733">
            <v>44431740</v>
          </cell>
        </row>
        <row r="734">
          <cell r="D734">
            <v>105421200</v>
          </cell>
        </row>
        <row r="735">
          <cell r="D735">
            <v>33954810</v>
          </cell>
        </row>
        <row r="736">
          <cell r="D736">
            <v>35525300</v>
          </cell>
        </row>
        <row r="737">
          <cell r="D737">
            <v>75292270</v>
          </cell>
        </row>
        <row r="738">
          <cell r="D738">
            <v>54160160</v>
          </cell>
        </row>
        <row r="739">
          <cell r="D739">
            <v>29215920</v>
          </cell>
        </row>
        <row r="740">
          <cell r="D740">
            <v>52745850</v>
          </cell>
        </row>
        <row r="741">
          <cell r="D741">
            <v>82116490</v>
          </cell>
        </row>
        <row r="742">
          <cell r="D742">
            <v>58865930</v>
          </cell>
        </row>
        <row r="743">
          <cell r="D743">
            <v>54382130</v>
          </cell>
        </row>
        <row r="744">
          <cell r="D744">
            <v>46617320</v>
          </cell>
        </row>
        <row r="745">
          <cell r="D745">
            <v>33450650</v>
          </cell>
        </row>
        <row r="746">
          <cell r="D746">
            <v>30849530</v>
          </cell>
        </row>
        <row r="747">
          <cell r="D747">
            <v>23401210</v>
          </cell>
        </row>
        <row r="748">
          <cell r="D748">
            <v>24558970</v>
          </cell>
        </row>
        <row r="749">
          <cell r="D749">
            <v>53575020</v>
          </cell>
        </row>
        <row r="750">
          <cell r="D750">
            <v>80787400</v>
          </cell>
        </row>
        <row r="751">
          <cell r="D751">
            <v>39475400</v>
          </cell>
        </row>
        <row r="752">
          <cell r="D752">
            <v>37916300</v>
          </cell>
        </row>
        <row r="753">
          <cell r="D753">
            <v>48571900</v>
          </cell>
        </row>
        <row r="754">
          <cell r="D754">
            <v>43286150</v>
          </cell>
        </row>
        <row r="755">
          <cell r="D755">
            <v>55093460</v>
          </cell>
        </row>
        <row r="756">
          <cell r="D756">
            <v>48857160</v>
          </cell>
        </row>
        <row r="757">
          <cell r="D757">
            <v>36950680</v>
          </cell>
        </row>
        <row r="758">
          <cell r="D758">
            <v>63930420</v>
          </cell>
        </row>
        <row r="759">
          <cell r="D759">
            <v>41411760</v>
          </cell>
        </row>
        <row r="760">
          <cell r="D760">
            <v>53662740</v>
          </cell>
        </row>
        <row r="761">
          <cell r="D761">
            <v>40263740</v>
          </cell>
        </row>
        <row r="762">
          <cell r="D762">
            <v>87487960</v>
          </cell>
        </row>
        <row r="763">
          <cell r="D763">
            <v>63878340</v>
          </cell>
        </row>
        <row r="764">
          <cell r="D764">
            <v>63576040</v>
          </cell>
        </row>
        <row r="765">
          <cell r="D765">
            <v>28840810</v>
          </cell>
        </row>
        <row r="766">
          <cell r="D766">
            <v>35717730</v>
          </cell>
        </row>
        <row r="767">
          <cell r="D767">
            <v>41992960</v>
          </cell>
        </row>
        <row r="768">
          <cell r="D768">
            <v>31455090</v>
          </cell>
        </row>
        <row r="769">
          <cell r="D769">
            <v>21915810</v>
          </cell>
        </row>
        <row r="770">
          <cell r="D770">
            <v>35203610</v>
          </cell>
        </row>
        <row r="771">
          <cell r="D771">
            <v>49531610</v>
          </cell>
        </row>
        <row r="772">
          <cell r="D772">
            <v>23875310</v>
          </cell>
        </row>
        <row r="773">
          <cell r="D773">
            <v>37245280</v>
          </cell>
        </row>
        <row r="774">
          <cell r="D774">
            <v>30654790</v>
          </cell>
        </row>
        <row r="775">
          <cell r="D775">
            <v>70497340</v>
          </cell>
        </row>
        <row r="776">
          <cell r="D776">
            <v>32123730</v>
          </cell>
        </row>
        <row r="777">
          <cell r="D777">
            <v>33005590</v>
          </cell>
        </row>
        <row r="778">
          <cell r="D778">
            <v>25746890</v>
          </cell>
        </row>
        <row r="779">
          <cell r="D779">
            <v>24922540</v>
          </cell>
        </row>
        <row r="780">
          <cell r="D780">
            <v>24129710</v>
          </cell>
        </row>
        <row r="781">
          <cell r="D781">
            <v>42837940</v>
          </cell>
        </row>
        <row r="782">
          <cell r="D782">
            <v>73605970</v>
          </cell>
        </row>
        <row r="783">
          <cell r="D783">
            <v>41529470</v>
          </cell>
        </row>
        <row r="784">
          <cell r="D784">
            <v>26118090</v>
          </cell>
        </row>
        <row r="785">
          <cell r="D785">
            <v>39674590</v>
          </cell>
        </row>
        <row r="786">
          <cell r="D786">
            <v>43329870</v>
          </cell>
        </row>
        <row r="787">
          <cell r="D787">
            <v>29693820</v>
          </cell>
        </row>
        <row r="788">
          <cell r="D788">
            <v>28840950</v>
          </cell>
        </row>
        <row r="789">
          <cell r="D789">
            <v>21689170</v>
          </cell>
        </row>
        <row r="790">
          <cell r="D790">
            <v>38470340</v>
          </cell>
        </row>
        <row r="791">
          <cell r="D791">
            <v>29758870</v>
          </cell>
        </row>
        <row r="792">
          <cell r="D792">
            <v>20560650</v>
          </cell>
        </row>
        <row r="793">
          <cell r="D793">
            <v>41926600</v>
          </cell>
        </row>
        <row r="794">
          <cell r="D794">
            <v>45416800</v>
          </cell>
        </row>
        <row r="795">
          <cell r="D795">
            <v>32247450</v>
          </cell>
        </row>
        <row r="796">
          <cell r="D796">
            <v>51124290</v>
          </cell>
        </row>
        <row r="797">
          <cell r="D797">
            <v>37200630</v>
          </cell>
        </row>
        <row r="798">
          <cell r="D798">
            <v>33927760</v>
          </cell>
        </row>
        <row r="799">
          <cell r="D799">
            <v>59297930</v>
          </cell>
        </row>
        <row r="800">
          <cell r="D800">
            <v>29296050</v>
          </cell>
        </row>
        <row r="801">
          <cell r="D801">
            <v>52286600</v>
          </cell>
        </row>
        <row r="802">
          <cell r="D802">
            <v>59779090</v>
          </cell>
        </row>
        <row r="803">
          <cell r="D803">
            <v>59878030</v>
          </cell>
        </row>
        <row r="804">
          <cell r="D804">
            <v>0</v>
          </cell>
        </row>
        <row r="805">
          <cell r="D805">
            <v>60394100</v>
          </cell>
        </row>
        <row r="806">
          <cell r="D806">
            <v>41864570</v>
          </cell>
        </row>
        <row r="807">
          <cell r="D807">
            <v>0</v>
          </cell>
        </row>
        <row r="808">
          <cell r="D808">
            <v>57569320</v>
          </cell>
        </row>
        <row r="809">
          <cell r="D809">
            <v>27713830</v>
          </cell>
        </row>
        <row r="810">
          <cell r="D810">
            <v>30869560</v>
          </cell>
        </row>
        <row r="811">
          <cell r="D811">
            <v>58253370</v>
          </cell>
        </row>
        <row r="812">
          <cell r="D812">
            <v>24100770</v>
          </cell>
        </row>
        <row r="813">
          <cell r="D813">
            <v>23198980</v>
          </cell>
        </row>
        <row r="814">
          <cell r="D814">
            <v>31571480</v>
          </cell>
        </row>
        <row r="815">
          <cell r="D815">
            <v>55675060</v>
          </cell>
        </row>
        <row r="816">
          <cell r="D816">
            <v>60189370</v>
          </cell>
        </row>
        <row r="817">
          <cell r="D817">
            <v>38132030</v>
          </cell>
        </row>
        <row r="818">
          <cell r="D818">
            <v>51535270</v>
          </cell>
        </row>
        <row r="819">
          <cell r="D819">
            <v>40000300</v>
          </cell>
        </row>
        <row r="820">
          <cell r="D820">
            <v>31680680</v>
          </cell>
        </row>
        <row r="821">
          <cell r="D821">
            <v>35704440</v>
          </cell>
        </row>
        <row r="822">
          <cell r="D822">
            <v>52687730</v>
          </cell>
        </row>
        <row r="823">
          <cell r="D823">
            <v>33261080</v>
          </cell>
        </row>
        <row r="824">
          <cell r="D824">
            <v>37992280</v>
          </cell>
        </row>
        <row r="825">
          <cell r="D825">
            <v>34969290</v>
          </cell>
        </row>
        <row r="826">
          <cell r="D826">
            <v>21443980</v>
          </cell>
        </row>
        <row r="827">
          <cell r="D827">
            <v>46721520</v>
          </cell>
        </row>
        <row r="828">
          <cell r="D828">
            <v>28439900</v>
          </cell>
        </row>
        <row r="829">
          <cell r="D829">
            <v>37167480</v>
          </cell>
        </row>
        <row r="830">
          <cell r="D830">
            <v>26089780</v>
          </cell>
        </row>
        <row r="831">
          <cell r="D831">
            <v>0</v>
          </cell>
        </row>
        <row r="832">
          <cell r="D832">
            <v>0</v>
          </cell>
        </row>
        <row r="833">
          <cell r="D833">
            <v>21534150</v>
          </cell>
        </row>
        <row r="834">
          <cell r="D834">
            <v>24229570</v>
          </cell>
        </row>
        <row r="835">
          <cell r="D835">
            <v>32455140</v>
          </cell>
        </row>
        <row r="836">
          <cell r="D836">
            <v>0</v>
          </cell>
        </row>
        <row r="837">
          <cell r="D837">
            <v>0</v>
          </cell>
        </row>
        <row r="838">
          <cell r="D838">
            <v>49167830</v>
          </cell>
        </row>
        <row r="839">
          <cell r="D839">
            <v>48821650</v>
          </cell>
        </row>
        <row r="840">
          <cell r="D840">
            <v>36569200</v>
          </cell>
        </row>
        <row r="841">
          <cell r="D841">
            <v>47383780</v>
          </cell>
        </row>
        <row r="842">
          <cell r="D842">
            <v>33574140</v>
          </cell>
        </row>
        <row r="843">
          <cell r="D843">
            <v>46040390</v>
          </cell>
        </row>
        <row r="844">
          <cell r="D844">
            <v>42105710</v>
          </cell>
        </row>
        <row r="845">
          <cell r="D845">
            <v>26140130</v>
          </cell>
        </row>
        <row r="846">
          <cell r="D846">
            <v>42264100</v>
          </cell>
        </row>
        <row r="847">
          <cell r="D847">
            <v>32673590</v>
          </cell>
        </row>
        <row r="848">
          <cell r="D848">
            <v>33782490</v>
          </cell>
        </row>
        <row r="849">
          <cell r="D849">
            <v>37080240</v>
          </cell>
        </row>
        <row r="850">
          <cell r="D850">
            <v>17421350</v>
          </cell>
        </row>
        <row r="851">
          <cell r="D851">
            <v>29791620</v>
          </cell>
        </row>
        <row r="852">
          <cell r="D852">
            <v>29015190</v>
          </cell>
        </row>
        <row r="853">
          <cell r="D853">
            <v>45633890</v>
          </cell>
        </row>
        <row r="854">
          <cell r="D854">
            <v>31592970</v>
          </cell>
        </row>
        <row r="855">
          <cell r="D855">
            <v>36389120</v>
          </cell>
        </row>
        <row r="856">
          <cell r="D856">
            <v>26189790</v>
          </cell>
        </row>
        <row r="857">
          <cell r="D857">
            <v>27047240</v>
          </cell>
        </row>
        <row r="858">
          <cell r="D858">
            <v>40032240</v>
          </cell>
        </row>
        <row r="859">
          <cell r="D859">
            <v>60216150</v>
          </cell>
        </row>
        <row r="860">
          <cell r="D860">
            <v>51917790</v>
          </cell>
        </row>
        <row r="861">
          <cell r="D861">
            <v>35728970</v>
          </cell>
        </row>
        <row r="862">
          <cell r="D862">
            <v>38539670</v>
          </cell>
        </row>
        <row r="863">
          <cell r="D863">
            <v>49637700</v>
          </cell>
        </row>
        <row r="864">
          <cell r="D864">
            <v>37036790</v>
          </cell>
        </row>
        <row r="865">
          <cell r="D865">
            <v>84296160</v>
          </cell>
        </row>
        <row r="866">
          <cell r="D866">
            <v>77895920</v>
          </cell>
        </row>
        <row r="867">
          <cell r="D867">
            <v>114314600</v>
          </cell>
        </row>
        <row r="868">
          <cell r="D868">
            <v>44616950</v>
          </cell>
        </row>
        <row r="869">
          <cell r="D869">
            <v>29618570</v>
          </cell>
        </row>
        <row r="870">
          <cell r="D870">
            <v>24965500</v>
          </cell>
        </row>
        <row r="871">
          <cell r="D871">
            <v>39394860</v>
          </cell>
        </row>
        <row r="872">
          <cell r="D872">
            <v>49414920</v>
          </cell>
        </row>
        <row r="873">
          <cell r="D873">
            <v>63460520</v>
          </cell>
        </row>
        <row r="874">
          <cell r="D874">
            <v>37603330</v>
          </cell>
        </row>
        <row r="875">
          <cell r="D875">
            <v>44620680</v>
          </cell>
        </row>
        <row r="876">
          <cell r="D876">
            <v>40292620</v>
          </cell>
        </row>
        <row r="877">
          <cell r="D877">
            <v>35655940</v>
          </cell>
        </row>
        <row r="878">
          <cell r="D878">
            <v>42836720</v>
          </cell>
        </row>
        <row r="879">
          <cell r="D879">
            <v>61166890</v>
          </cell>
        </row>
        <row r="880">
          <cell r="D880">
            <v>0</v>
          </cell>
        </row>
        <row r="881">
          <cell r="D881">
            <v>0</v>
          </cell>
        </row>
        <row r="882">
          <cell r="D882">
            <v>32129160</v>
          </cell>
        </row>
        <row r="883">
          <cell r="D883">
            <v>50034540</v>
          </cell>
        </row>
        <row r="884">
          <cell r="D884">
            <v>32926950</v>
          </cell>
        </row>
        <row r="885">
          <cell r="D885">
            <v>36223070</v>
          </cell>
        </row>
        <row r="886">
          <cell r="D886">
            <v>42401040</v>
          </cell>
        </row>
        <row r="887">
          <cell r="D887">
            <v>46619400</v>
          </cell>
        </row>
        <row r="888">
          <cell r="D888">
            <v>32622300</v>
          </cell>
        </row>
        <row r="889">
          <cell r="D889">
            <v>52382110</v>
          </cell>
        </row>
        <row r="890">
          <cell r="D890">
            <v>87663520</v>
          </cell>
        </row>
        <row r="891">
          <cell r="D891">
            <v>70387660</v>
          </cell>
        </row>
        <row r="892">
          <cell r="D892">
            <v>65170580</v>
          </cell>
        </row>
        <row r="893">
          <cell r="D893">
            <v>49112100</v>
          </cell>
        </row>
        <row r="894">
          <cell r="D894">
            <v>76877840</v>
          </cell>
        </row>
        <row r="895">
          <cell r="D895">
            <v>56207110</v>
          </cell>
        </row>
        <row r="896">
          <cell r="D896">
            <v>82675570</v>
          </cell>
        </row>
        <row r="897">
          <cell r="D897">
            <v>77828210</v>
          </cell>
        </row>
        <row r="898">
          <cell r="D898">
            <v>86423650</v>
          </cell>
        </row>
        <row r="899">
          <cell r="D899">
            <v>80433500</v>
          </cell>
        </row>
        <row r="900">
          <cell r="D900">
            <v>70567220</v>
          </cell>
        </row>
        <row r="901">
          <cell r="D901">
            <v>59583100</v>
          </cell>
        </row>
        <row r="902">
          <cell r="D902">
            <v>63104550</v>
          </cell>
        </row>
        <row r="903">
          <cell r="D903">
            <v>36715890</v>
          </cell>
        </row>
        <row r="904">
          <cell r="D904">
            <v>72081060</v>
          </cell>
        </row>
        <row r="905">
          <cell r="D905">
            <v>78882130</v>
          </cell>
        </row>
        <row r="906">
          <cell r="D906">
            <v>62946020</v>
          </cell>
        </row>
        <row r="907">
          <cell r="D907">
            <v>72667690</v>
          </cell>
        </row>
        <row r="908">
          <cell r="D908">
            <v>67245800</v>
          </cell>
        </row>
        <row r="909">
          <cell r="D909">
            <v>68184980</v>
          </cell>
        </row>
        <row r="910">
          <cell r="D910">
            <v>26618770</v>
          </cell>
        </row>
        <row r="911">
          <cell r="D911">
            <v>63076400</v>
          </cell>
        </row>
        <row r="912">
          <cell r="D912">
            <v>48511010</v>
          </cell>
        </row>
        <row r="913">
          <cell r="D913">
            <v>34976960</v>
          </cell>
        </row>
        <row r="914">
          <cell r="D914">
            <v>0</v>
          </cell>
        </row>
        <row r="915">
          <cell r="D915">
            <v>0</v>
          </cell>
        </row>
        <row r="916">
          <cell r="D916">
            <v>38945050</v>
          </cell>
        </row>
        <row r="917">
          <cell r="D917">
            <v>62627680</v>
          </cell>
        </row>
        <row r="918">
          <cell r="D918">
            <v>24688900</v>
          </cell>
        </row>
        <row r="919">
          <cell r="D919">
            <v>34833170</v>
          </cell>
        </row>
        <row r="920">
          <cell r="D920">
            <v>34609610</v>
          </cell>
        </row>
        <row r="921">
          <cell r="D921">
            <v>52840000</v>
          </cell>
        </row>
        <row r="922">
          <cell r="D922">
            <v>74805540</v>
          </cell>
        </row>
        <row r="923">
          <cell r="D923">
            <v>0</v>
          </cell>
        </row>
        <row r="924">
          <cell r="D924">
            <v>51925500</v>
          </cell>
        </row>
        <row r="925">
          <cell r="D925">
            <v>24461150</v>
          </cell>
        </row>
        <row r="926">
          <cell r="D926">
            <v>31835370</v>
          </cell>
        </row>
        <row r="927">
          <cell r="D927">
            <v>37646120</v>
          </cell>
        </row>
        <row r="928">
          <cell r="D928">
            <v>20269090</v>
          </cell>
        </row>
        <row r="929">
          <cell r="D929">
            <v>30775640</v>
          </cell>
        </row>
        <row r="930">
          <cell r="D930">
            <v>46040540</v>
          </cell>
        </row>
        <row r="931">
          <cell r="D931">
            <v>29097390</v>
          </cell>
        </row>
        <row r="932">
          <cell r="D932">
            <v>19996970</v>
          </cell>
        </row>
        <row r="933">
          <cell r="D933">
            <v>23062470</v>
          </cell>
        </row>
        <row r="934">
          <cell r="D934">
            <v>30570540</v>
          </cell>
        </row>
        <row r="935">
          <cell r="D935">
            <v>35685720</v>
          </cell>
        </row>
        <row r="936">
          <cell r="D936">
            <v>39709790</v>
          </cell>
        </row>
        <row r="937">
          <cell r="D937">
            <v>18398770</v>
          </cell>
        </row>
        <row r="938">
          <cell r="D938">
            <v>21474400</v>
          </cell>
        </row>
        <row r="939">
          <cell r="D939">
            <v>26111870</v>
          </cell>
        </row>
        <row r="940">
          <cell r="D940">
            <v>25222530</v>
          </cell>
        </row>
        <row r="941">
          <cell r="D941">
            <v>22916900</v>
          </cell>
        </row>
        <row r="942">
          <cell r="D942">
            <v>62402780</v>
          </cell>
        </row>
        <row r="943">
          <cell r="D943">
            <v>46994220</v>
          </cell>
        </row>
        <row r="944">
          <cell r="D944">
            <v>47136990</v>
          </cell>
        </row>
        <row r="945">
          <cell r="D945">
            <v>25733170</v>
          </cell>
        </row>
        <row r="946">
          <cell r="D946">
            <v>54582470</v>
          </cell>
        </row>
        <row r="947">
          <cell r="D947">
            <v>39423720</v>
          </cell>
        </row>
        <row r="948">
          <cell r="D948">
            <v>41200740</v>
          </cell>
        </row>
        <row r="949">
          <cell r="D949">
            <v>53023420</v>
          </cell>
        </row>
        <row r="950">
          <cell r="D950">
            <v>62898130</v>
          </cell>
        </row>
        <row r="951">
          <cell r="D951">
            <v>53996310</v>
          </cell>
        </row>
        <row r="952">
          <cell r="D952">
            <v>62660170</v>
          </cell>
        </row>
        <row r="953">
          <cell r="D953">
            <v>0</v>
          </cell>
        </row>
        <row r="954">
          <cell r="D954">
            <v>78571940</v>
          </cell>
        </row>
        <row r="955">
          <cell r="D955">
            <v>75883390</v>
          </cell>
        </row>
        <row r="956">
          <cell r="D956">
            <v>127397500</v>
          </cell>
        </row>
        <row r="957">
          <cell r="D957">
            <v>100746700</v>
          </cell>
        </row>
        <row r="958">
          <cell r="D958">
            <v>0</v>
          </cell>
        </row>
        <row r="959">
          <cell r="D959">
            <v>40632890</v>
          </cell>
        </row>
        <row r="960">
          <cell r="D960">
            <v>30456610</v>
          </cell>
        </row>
        <row r="961">
          <cell r="D961">
            <v>50258630</v>
          </cell>
        </row>
        <row r="962">
          <cell r="D962">
            <v>67015510</v>
          </cell>
        </row>
        <row r="963">
          <cell r="D963">
            <v>39103830</v>
          </cell>
        </row>
        <row r="964">
          <cell r="D964">
            <v>50390010</v>
          </cell>
        </row>
        <row r="965">
          <cell r="D965">
            <v>45598350</v>
          </cell>
        </row>
        <row r="966">
          <cell r="D966">
            <v>56272610</v>
          </cell>
        </row>
        <row r="967">
          <cell r="D967">
            <v>58503160</v>
          </cell>
        </row>
        <row r="968">
          <cell r="D968">
            <v>22494570</v>
          </cell>
        </row>
        <row r="969">
          <cell r="D969">
            <v>7856374</v>
          </cell>
        </row>
        <row r="970">
          <cell r="D970">
            <v>23891460</v>
          </cell>
        </row>
        <row r="971">
          <cell r="D971">
            <v>18660180</v>
          </cell>
        </row>
        <row r="972">
          <cell r="D972">
            <v>0</v>
          </cell>
        </row>
        <row r="973">
          <cell r="D973">
            <v>61847750</v>
          </cell>
        </row>
        <row r="974">
          <cell r="D974">
            <v>54503930</v>
          </cell>
        </row>
        <row r="975">
          <cell r="D975">
            <v>59089470</v>
          </cell>
        </row>
        <row r="976">
          <cell r="D976">
            <v>87619430</v>
          </cell>
        </row>
        <row r="977">
          <cell r="D977">
            <v>49491320</v>
          </cell>
        </row>
        <row r="978">
          <cell r="D978">
            <v>56241390</v>
          </cell>
        </row>
        <row r="979">
          <cell r="D979">
            <v>51203490</v>
          </cell>
        </row>
        <row r="980">
          <cell r="D980">
            <v>67227100</v>
          </cell>
        </row>
        <row r="981">
          <cell r="D981">
            <v>76462020</v>
          </cell>
        </row>
        <row r="982">
          <cell r="D982">
            <v>91028380</v>
          </cell>
        </row>
        <row r="983">
          <cell r="D983">
            <v>30362010</v>
          </cell>
        </row>
        <row r="984">
          <cell r="D984">
            <v>13177020</v>
          </cell>
        </row>
        <row r="985">
          <cell r="D985">
            <v>23188150</v>
          </cell>
        </row>
        <row r="986">
          <cell r="D986">
            <v>70004070</v>
          </cell>
        </row>
        <row r="987">
          <cell r="D987">
            <v>41822510</v>
          </cell>
        </row>
        <row r="988">
          <cell r="D988">
            <v>46733130</v>
          </cell>
        </row>
        <row r="989">
          <cell r="D989">
            <v>38942510</v>
          </cell>
        </row>
        <row r="990">
          <cell r="D990">
            <v>29837160</v>
          </cell>
        </row>
        <row r="991">
          <cell r="D991">
            <v>38074260</v>
          </cell>
        </row>
        <row r="992">
          <cell r="D992">
            <v>36035990</v>
          </cell>
        </row>
        <row r="993">
          <cell r="D993">
            <v>38534790</v>
          </cell>
        </row>
        <row r="994">
          <cell r="D994">
            <v>60842100</v>
          </cell>
        </row>
        <row r="995">
          <cell r="D995">
            <v>35581410</v>
          </cell>
        </row>
        <row r="996">
          <cell r="D996">
            <v>50492500</v>
          </cell>
        </row>
        <row r="997">
          <cell r="D997">
            <v>72563140</v>
          </cell>
        </row>
        <row r="998">
          <cell r="D998">
            <v>44550080</v>
          </cell>
        </row>
        <row r="999">
          <cell r="D999">
            <v>70233350</v>
          </cell>
        </row>
        <row r="1000">
          <cell r="D1000">
            <v>47351840</v>
          </cell>
        </row>
        <row r="1001">
          <cell r="D1001">
            <v>35768240</v>
          </cell>
        </row>
        <row r="1002">
          <cell r="D1002">
            <v>48858850</v>
          </cell>
        </row>
        <row r="1003">
          <cell r="D1003">
            <v>62982990</v>
          </cell>
        </row>
        <row r="1004">
          <cell r="D1004">
            <v>21845170</v>
          </cell>
        </row>
        <row r="1005">
          <cell r="D1005">
            <v>32077300</v>
          </cell>
        </row>
        <row r="1006">
          <cell r="D1006">
            <v>51395680</v>
          </cell>
        </row>
        <row r="1007">
          <cell r="D1007">
            <v>33566400</v>
          </cell>
        </row>
        <row r="1008">
          <cell r="D1008">
            <v>37495160</v>
          </cell>
        </row>
        <row r="1009">
          <cell r="D1009">
            <v>31800790</v>
          </cell>
        </row>
        <row r="1010">
          <cell r="D1010">
            <v>90441920</v>
          </cell>
        </row>
        <row r="1011">
          <cell r="D1011">
            <v>52983390</v>
          </cell>
        </row>
        <row r="1012">
          <cell r="D1012">
            <v>38720060</v>
          </cell>
        </row>
        <row r="1013">
          <cell r="D1013">
            <v>29722000</v>
          </cell>
        </row>
        <row r="1014">
          <cell r="D1014">
            <v>82303270</v>
          </cell>
        </row>
        <row r="1015">
          <cell r="D1015">
            <v>38274260</v>
          </cell>
        </row>
        <row r="1016">
          <cell r="D1016">
            <v>67532540</v>
          </cell>
        </row>
        <row r="1017">
          <cell r="D1017">
            <v>30460720</v>
          </cell>
        </row>
        <row r="1018">
          <cell r="D1018">
            <v>34326860</v>
          </cell>
        </row>
        <row r="1019">
          <cell r="D1019">
            <v>51916220</v>
          </cell>
        </row>
        <row r="1020">
          <cell r="D1020">
            <v>28399040</v>
          </cell>
        </row>
        <row r="1021">
          <cell r="D1021">
            <v>41576070</v>
          </cell>
        </row>
        <row r="1022">
          <cell r="D1022">
            <v>20333730</v>
          </cell>
        </row>
        <row r="1023">
          <cell r="D1023">
            <v>45625340</v>
          </cell>
        </row>
        <row r="1024">
          <cell r="D1024">
            <v>28845340</v>
          </cell>
        </row>
        <row r="1025">
          <cell r="D1025">
            <v>35065710</v>
          </cell>
        </row>
        <row r="1026">
          <cell r="D1026">
            <v>39534630</v>
          </cell>
        </row>
        <row r="1027">
          <cell r="D1027">
            <v>31434440</v>
          </cell>
        </row>
        <row r="1028">
          <cell r="D1028">
            <v>52730090</v>
          </cell>
        </row>
        <row r="1029">
          <cell r="D1029">
            <v>24732060</v>
          </cell>
        </row>
        <row r="1030">
          <cell r="D1030">
            <v>55126030</v>
          </cell>
        </row>
        <row r="1031">
          <cell r="D1031">
            <v>42643460</v>
          </cell>
        </row>
        <row r="1032">
          <cell r="D1032">
            <v>81393660</v>
          </cell>
        </row>
        <row r="1033">
          <cell r="D1033">
            <v>39494940</v>
          </cell>
        </row>
        <row r="1034">
          <cell r="D1034">
            <v>47849960</v>
          </cell>
        </row>
        <row r="1035">
          <cell r="D1035">
            <v>83752160</v>
          </cell>
        </row>
        <row r="1036">
          <cell r="D1036">
            <v>42755480</v>
          </cell>
        </row>
        <row r="1037">
          <cell r="D1037">
            <v>44502930</v>
          </cell>
        </row>
        <row r="1038">
          <cell r="D1038">
            <v>44907460</v>
          </cell>
        </row>
        <row r="1039">
          <cell r="D1039">
            <v>32106190</v>
          </cell>
        </row>
        <row r="1040">
          <cell r="D1040">
            <v>41769080</v>
          </cell>
        </row>
        <row r="1041">
          <cell r="D1041">
            <v>33618720</v>
          </cell>
        </row>
        <row r="1042">
          <cell r="D1042">
            <v>57558380</v>
          </cell>
        </row>
        <row r="1043">
          <cell r="D1043">
            <v>80835070</v>
          </cell>
        </row>
        <row r="1044">
          <cell r="D1044">
            <v>46983900</v>
          </cell>
        </row>
        <row r="1045">
          <cell r="D1045">
            <v>29735310</v>
          </cell>
        </row>
        <row r="1046">
          <cell r="D1046">
            <v>68021680</v>
          </cell>
        </row>
        <row r="1047">
          <cell r="D1047">
            <v>39038220</v>
          </cell>
        </row>
        <row r="1048">
          <cell r="D1048">
            <v>69840900</v>
          </cell>
        </row>
        <row r="1049">
          <cell r="D1049">
            <v>45544330</v>
          </cell>
        </row>
        <row r="1050">
          <cell r="D1050">
            <v>70057700</v>
          </cell>
        </row>
        <row r="1051">
          <cell r="D1051">
            <v>53830150</v>
          </cell>
        </row>
        <row r="1052">
          <cell r="D1052">
            <v>28999930</v>
          </cell>
        </row>
        <row r="1053">
          <cell r="D1053">
            <v>34127550</v>
          </cell>
        </row>
        <row r="1054">
          <cell r="D1054">
            <v>40233320</v>
          </cell>
        </row>
        <row r="1055">
          <cell r="D1055">
            <v>47444660</v>
          </cell>
        </row>
        <row r="1056">
          <cell r="D1056">
            <v>32168100</v>
          </cell>
        </row>
        <row r="1057">
          <cell r="D1057">
            <v>27092470</v>
          </cell>
        </row>
        <row r="1058">
          <cell r="D1058">
            <v>40094370</v>
          </cell>
        </row>
        <row r="1059">
          <cell r="D1059">
            <v>98278540</v>
          </cell>
        </row>
        <row r="1060">
          <cell r="D1060">
            <v>89961740</v>
          </cell>
        </row>
        <row r="1061">
          <cell r="D1061">
            <v>29995880</v>
          </cell>
        </row>
        <row r="1062">
          <cell r="D1062">
            <v>40589520</v>
          </cell>
        </row>
        <row r="1063">
          <cell r="D1063">
            <v>37934710</v>
          </cell>
        </row>
        <row r="1064">
          <cell r="D1064">
            <v>36561440</v>
          </cell>
        </row>
        <row r="1065">
          <cell r="D1065">
            <v>21034070</v>
          </cell>
        </row>
        <row r="1066">
          <cell r="D1066">
            <v>66169440</v>
          </cell>
        </row>
        <row r="1067">
          <cell r="D1067">
            <v>46997370</v>
          </cell>
        </row>
        <row r="1068">
          <cell r="D1068">
            <v>0</v>
          </cell>
        </row>
        <row r="1069">
          <cell r="D1069">
            <v>71658370</v>
          </cell>
        </row>
        <row r="1070">
          <cell r="D1070">
            <v>54398600</v>
          </cell>
        </row>
        <row r="1071">
          <cell r="D1071">
            <v>54356880</v>
          </cell>
        </row>
        <row r="1072">
          <cell r="D1072">
            <v>26052310</v>
          </cell>
        </row>
        <row r="1073">
          <cell r="D1073">
            <v>20745770</v>
          </cell>
        </row>
        <row r="1074">
          <cell r="D1074">
            <v>35856410</v>
          </cell>
        </row>
        <row r="1075">
          <cell r="D1075">
            <v>75189380</v>
          </cell>
        </row>
        <row r="1076">
          <cell r="D1076">
            <v>39185170</v>
          </cell>
        </row>
        <row r="1077">
          <cell r="D1077">
            <v>29160590</v>
          </cell>
        </row>
        <row r="1078">
          <cell r="D1078">
            <v>34098100</v>
          </cell>
        </row>
        <row r="1079">
          <cell r="D1079">
            <v>31823580</v>
          </cell>
        </row>
        <row r="1080">
          <cell r="D1080">
            <v>52558790</v>
          </cell>
        </row>
        <row r="1081">
          <cell r="D1081">
            <v>50987570</v>
          </cell>
        </row>
        <row r="1082">
          <cell r="D1082">
            <v>35398970</v>
          </cell>
        </row>
        <row r="1083">
          <cell r="D1083">
            <v>50914460</v>
          </cell>
        </row>
        <row r="1084">
          <cell r="D1084">
            <v>85476930</v>
          </cell>
        </row>
        <row r="1085">
          <cell r="D1085">
            <v>44335750</v>
          </cell>
        </row>
        <row r="1086">
          <cell r="D1086">
            <v>50626470</v>
          </cell>
        </row>
        <row r="1087">
          <cell r="D1087">
            <v>81110830</v>
          </cell>
        </row>
        <row r="1088">
          <cell r="D1088">
            <v>29614410</v>
          </cell>
        </row>
        <row r="1089">
          <cell r="D1089">
            <v>38073830</v>
          </cell>
        </row>
        <row r="1090">
          <cell r="D1090">
            <v>26140340</v>
          </cell>
        </row>
        <row r="1091">
          <cell r="D1091">
            <v>39916820</v>
          </cell>
        </row>
        <row r="1092">
          <cell r="D1092">
            <v>0</v>
          </cell>
        </row>
        <row r="1093">
          <cell r="D1093">
            <v>0</v>
          </cell>
        </row>
        <row r="1094">
          <cell r="D1094">
            <v>31822020</v>
          </cell>
        </row>
        <row r="1095">
          <cell r="D1095">
            <v>31959280</v>
          </cell>
        </row>
        <row r="1096">
          <cell r="D1096">
            <v>49920550</v>
          </cell>
        </row>
        <row r="1097">
          <cell r="D1097">
            <v>0</v>
          </cell>
        </row>
        <row r="1098">
          <cell r="D1098">
            <v>0</v>
          </cell>
        </row>
        <row r="1099">
          <cell r="D1099">
            <v>45328100</v>
          </cell>
        </row>
        <row r="1100">
          <cell r="D1100">
            <v>70460080</v>
          </cell>
        </row>
        <row r="1101">
          <cell r="D1101">
            <v>77898580</v>
          </cell>
        </row>
        <row r="1102">
          <cell r="D1102">
            <v>53830950</v>
          </cell>
        </row>
        <row r="1103">
          <cell r="D1103">
            <v>53672590</v>
          </cell>
        </row>
        <row r="1104">
          <cell r="D1104">
            <v>28844000</v>
          </cell>
        </row>
        <row r="1105">
          <cell r="D1105">
            <v>43723140</v>
          </cell>
        </row>
        <row r="1106">
          <cell r="D1106">
            <v>53515120</v>
          </cell>
        </row>
        <row r="1107">
          <cell r="D1107">
            <v>72406020</v>
          </cell>
        </row>
        <row r="1108">
          <cell r="D1108">
            <v>44727020</v>
          </cell>
        </row>
        <row r="1109">
          <cell r="D1109">
            <v>108988000</v>
          </cell>
        </row>
        <row r="1110">
          <cell r="D1110">
            <v>54024160</v>
          </cell>
        </row>
        <row r="1111">
          <cell r="D1111">
            <v>41877550</v>
          </cell>
        </row>
        <row r="1112">
          <cell r="D1112">
            <v>75263180</v>
          </cell>
        </row>
        <row r="1113">
          <cell r="D1113">
            <v>59745850</v>
          </cell>
        </row>
        <row r="1114">
          <cell r="D1114">
            <v>61646840</v>
          </cell>
        </row>
        <row r="1115">
          <cell r="D1115">
            <v>56063180</v>
          </cell>
        </row>
        <row r="1116">
          <cell r="D1116">
            <v>51478170</v>
          </cell>
        </row>
        <row r="1117">
          <cell r="D1117">
            <v>113958600</v>
          </cell>
        </row>
        <row r="1118">
          <cell r="D1118">
            <v>55837120</v>
          </cell>
        </row>
        <row r="1119">
          <cell r="D1119">
            <v>58951210</v>
          </cell>
        </row>
        <row r="1120">
          <cell r="D1120">
            <v>51257920</v>
          </cell>
        </row>
        <row r="1121">
          <cell r="D1121">
            <v>45528020</v>
          </cell>
        </row>
        <row r="1122">
          <cell r="D1122">
            <v>78196460</v>
          </cell>
        </row>
        <row r="1123">
          <cell r="D1123">
            <v>99293090</v>
          </cell>
        </row>
        <row r="1124">
          <cell r="D1124">
            <v>40672020</v>
          </cell>
        </row>
        <row r="1125">
          <cell r="D1125">
            <v>64914970</v>
          </cell>
        </row>
        <row r="1126">
          <cell r="D1126">
            <v>41951320</v>
          </cell>
        </row>
        <row r="1127">
          <cell r="D1127">
            <v>93705480</v>
          </cell>
        </row>
        <row r="1128">
          <cell r="D1128">
            <v>96141590</v>
          </cell>
        </row>
        <row r="1129">
          <cell r="D1129">
            <v>78891040</v>
          </cell>
        </row>
        <row r="1130">
          <cell r="D1130">
            <v>0</v>
          </cell>
        </row>
        <row r="1131">
          <cell r="D1131">
            <v>0</v>
          </cell>
        </row>
        <row r="1132">
          <cell r="D1132">
            <v>56855350</v>
          </cell>
        </row>
        <row r="1133">
          <cell r="D1133">
            <v>60031130</v>
          </cell>
        </row>
        <row r="1134">
          <cell r="D1134">
            <v>29856700</v>
          </cell>
        </row>
        <row r="1135">
          <cell r="D1135">
            <v>48521570</v>
          </cell>
        </row>
        <row r="1136">
          <cell r="D1136">
            <v>58296980</v>
          </cell>
        </row>
        <row r="1137">
          <cell r="D1137">
            <v>79051260</v>
          </cell>
        </row>
        <row r="1138">
          <cell r="D1138">
            <v>51384480</v>
          </cell>
        </row>
        <row r="1139">
          <cell r="D1139">
            <v>62527450</v>
          </cell>
        </row>
        <row r="1140">
          <cell r="D1140">
            <v>54517700</v>
          </cell>
        </row>
        <row r="1141">
          <cell r="D1141">
            <v>76162340</v>
          </cell>
        </row>
        <row r="1142">
          <cell r="D1142">
            <v>72283770</v>
          </cell>
        </row>
        <row r="1143">
          <cell r="D1143">
            <v>31506380</v>
          </cell>
        </row>
        <row r="1144">
          <cell r="D1144">
            <v>90223830</v>
          </cell>
        </row>
        <row r="1145">
          <cell r="D1145">
            <v>248093400</v>
          </cell>
        </row>
        <row r="1146">
          <cell r="D1146">
            <v>170397100</v>
          </cell>
        </row>
        <row r="1147">
          <cell r="D1147">
            <v>128976000</v>
          </cell>
        </row>
        <row r="1148">
          <cell r="D1148">
            <v>132154200</v>
          </cell>
        </row>
        <row r="1149">
          <cell r="D1149">
            <v>136119200</v>
          </cell>
        </row>
        <row r="1150">
          <cell r="D1150">
            <v>145757500</v>
          </cell>
        </row>
        <row r="1151">
          <cell r="D1151">
            <v>84787670</v>
          </cell>
        </row>
        <row r="1152">
          <cell r="D1152">
            <v>79084380</v>
          </cell>
        </row>
        <row r="1153">
          <cell r="D1153">
            <v>76292940</v>
          </cell>
        </row>
        <row r="1154">
          <cell r="D1154">
            <v>172704100</v>
          </cell>
        </row>
        <row r="1155">
          <cell r="D1155">
            <v>43296180</v>
          </cell>
        </row>
        <row r="1156">
          <cell r="D1156">
            <v>82711660</v>
          </cell>
        </row>
        <row r="1157">
          <cell r="D1157">
            <v>59496080</v>
          </cell>
        </row>
        <row r="1158">
          <cell r="D1158">
            <v>46040020</v>
          </cell>
        </row>
        <row r="1159">
          <cell r="D1159">
            <v>46276190</v>
          </cell>
        </row>
        <row r="1160">
          <cell r="D1160">
            <v>52600350</v>
          </cell>
        </row>
        <row r="1161">
          <cell r="D1161">
            <v>50015010</v>
          </cell>
        </row>
        <row r="1162">
          <cell r="D1162">
            <v>87010630</v>
          </cell>
        </row>
        <row r="1163">
          <cell r="D1163">
            <v>51666710</v>
          </cell>
        </row>
        <row r="1164">
          <cell r="D1164">
            <v>0</v>
          </cell>
        </row>
        <row r="1165">
          <cell r="D1165">
            <v>43619320</v>
          </cell>
        </row>
        <row r="1166">
          <cell r="D1166">
            <v>29515340</v>
          </cell>
        </row>
        <row r="1167">
          <cell r="D1167">
            <v>74986150</v>
          </cell>
        </row>
        <row r="1168">
          <cell r="D1168">
            <v>72538010</v>
          </cell>
        </row>
        <row r="1169">
          <cell r="D1169">
            <v>77003130</v>
          </cell>
        </row>
        <row r="1170">
          <cell r="D1170">
            <v>103578200</v>
          </cell>
        </row>
        <row r="1171">
          <cell r="D1171">
            <v>22971280</v>
          </cell>
        </row>
        <row r="1172">
          <cell r="D1172">
            <v>40427980</v>
          </cell>
        </row>
        <row r="1173">
          <cell r="D1173">
            <v>49748260</v>
          </cell>
        </row>
        <row r="1174">
          <cell r="D1174">
            <v>58462450</v>
          </cell>
        </row>
        <row r="1175">
          <cell r="D1175">
            <v>35571870</v>
          </cell>
        </row>
        <row r="1176">
          <cell r="D1176">
            <v>0</v>
          </cell>
        </row>
        <row r="1177">
          <cell r="D1177">
            <v>34582930</v>
          </cell>
        </row>
        <row r="1178">
          <cell r="D1178">
            <v>42461980</v>
          </cell>
        </row>
        <row r="1179">
          <cell r="D1179">
            <v>41907640</v>
          </cell>
        </row>
        <row r="1180">
          <cell r="D1180">
            <v>39172760</v>
          </cell>
        </row>
        <row r="1181">
          <cell r="D1181">
            <v>35782580</v>
          </cell>
        </row>
        <row r="1182">
          <cell r="D1182">
            <v>23026590</v>
          </cell>
        </row>
        <row r="1183">
          <cell r="D1183">
            <v>45457560</v>
          </cell>
        </row>
        <row r="1184">
          <cell r="D1184">
            <v>0</v>
          </cell>
        </row>
        <row r="1185">
          <cell r="D1185">
            <v>94968550</v>
          </cell>
        </row>
        <row r="1186">
          <cell r="D1186">
            <v>52080330</v>
          </cell>
        </row>
        <row r="1187">
          <cell r="D1187">
            <v>48720110</v>
          </cell>
        </row>
        <row r="1188">
          <cell r="D1188">
            <v>31358270</v>
          </cell>
        </row>
        <row r="1189">
          <cell r="D1189">
            <v>60325650</v>
          </cell>
        </row>
        <row r="1190">
          <cell r="D1190">
            <v>45841020</v>
          </cell>
        </row>
        <row r="1191">
          <cell r="D1191">
            <v>48274460</v>
          </cell>
        </row>
        <row r="1192">
          <cell r="D1192">
            <v>56099140</v>
          </cell>
        </row>
        <row r="1193">
          <cell r="D1193">
            <v>64493620</v>
          </cell>
        </row>
        <row r="1194">
          <cell r="D1194">
            <v>60138340</v>
          </cell>
        </row>
        <row r="1195">
          <cell r="D1195">
            <v>51578360</v>
          </cell>
        </row>
        <row r="1196">
          <cell r="D1196">
            <v>89801060</v>
          </cell>
        </row>
        <row r="1197">
          <cell r="D1197">
            <v>44431910</v>
          </cell>
        </row>
        <row r="1198">
          <cell r="D1198">
            <v>44602220</v>
          </cell>
        </row>
        <row r="1199">
          <cell r="D1199">
            <v>46241810</v>
          </cell>
        </row>
        <row r="1200">
          <cell r="D1200">
            <v>21908390</v>
          </cell>
        </row>
        <row r="1201">
          <cell r="D1201">
            <v>58152500</v>
          </cell>
        </row>
        <row r="1202">
          <cell r="D1202">
            <v>44248330</v>
          </cell>
        </row>
        <row r="1203">
          <cell r="D1203">
            <v>36590460</v>
          </cell>
        </row>
        <row r="1204">
          <cell r="D1204">
            <v>110753600</v>
          </cell>
        </row>
        <row r="1205">
          <cell r="D1205">
            <v>22605190</v>
          </cell>
        </row>
        <row r="1206">
          <cell r="D1206">
            <v>49134260</v>
          </cell>
        </row>
        <row r="1207">
          <cell r="D1207">
            <v>34076370</v>
          </cell>
        </row>
        <row r="1208">
          <cell r="D1208">
            <v>0</v>
          </cell>
        </row>
        <row r="1209">
          <cell r="D1209">
            <v>24927140</v>
          </cell>
        </row>
        <row r="1210">
          <cell r="D1210">
            <v>22423080</v>
          </cell>
        </row>
        <row r="1211">
          <cell r="D1211">
            <v>40842130</v>
          </cell>
        </row>
        <row r="1212">
          <cell r="D1212">
            <v>36469560</v>
          </cell>
        </row>
        <row r="1213">
          <cell r="D1213">
            <v>55610040</v>
          </cell>
        </row>
        <row r="1214">
          <cell r="D1214">
            <v>47328220</v>
          </cell>
        </row>
        <row r="1215">
          <cell r="D1215">
            <v>29499910</v>
          </cell>
        </row>
        <row r="1216">
          <cell r="D1216">
            <v>31804140</v>
          </cell>
        </row>
        <row r="1217">
          <cell r="D1217">
            <v>35539990</v>
          </cell>
        </row>
        <row r="1218">
          <cell r="D1218">
            <v>29531760</v>
          </cell>
        </row>
        <row r="1219">
          <cell r="D1219">
            <v>34811080</v>
          </cell>
        </row>
        <row r="1220">
          <cell r="D1220">
            <v>31704730</v>
          </cell>
        </row>
        <row r="1221">
          <cell r="D1221">
            <v>60802220</v>
          </cell>
        </row>
        <row r="1222">
          <cell r="D1222">
            <v>50464830</v>
          </cell>
        </row>
        <row r="1223">
          <cell r="D1223">
            <v>36516260</v>
          </cell>
        </row>
        <row r="1224">
          <cell r="D1224">
            <v>37409440</v>
          </cell>
        </row>
        <row r="1225">
          <cell r="D1225">
            <v>26525940</v>
          </cell>
        </row>
        <row r="1226">
          <cell r="D1226">
            <v>58511290</v>
          </cell>
        </row>
        <row r="1227">
          <cell r="D1227">
            <v>86207700</v>
          </cell>
        </row>
        <row r="1228">
          <cell r="D1228">
            <v>51808290</v>
          </cell>
        </row>
        <row r="1229">
          <cell r="D1229">
            <v>19027550</v>
          </cell>
        </row>
        <row r="1230">
          <cell r="D1230">
            <v>73973540</v>
          </cell>
        </row>
        <row r="1231">
          <cell r="D1231">
            <v>52283660</v>
          </cell>
        </row>
        <row r="1232">
          <cell r="D1232">
            <v>35798260</v>
          </cell>
        </row>
        <row r="1233">
          <cell r="D1233">
            <v>0</v>
          </cell>
        </row>
        <row r="1234">
          <cell r="D1234">
            <v>34990520</v>
          </cell>
        </row>
        <row r="1235">
          <cell r="D1235">
            <v>29154410</v>
          </cell>
        </row>
        <row r="1236">
          <cell r="D1236">
            <v>30922100</v>
          </cell>
        </row>
        <row r="1237">
          <cell r="D1237">
            <v>25586080</v>
          </cell>
        </row>
        <row r="1238">
          <cell r="D1238">
            <v>25236220</v>
          </cell>
        </row>
        <row r="1239">
          <cell r="D1239">
            <v>25753800</v>
          </cell>
        </row>
        <row r="1240">
          <cell r="D1240">
            <v>27003470</v>
          </cell>
        </row>
        <row r="1241">
          <cell r="D1241">
            <v>94997100</v>
          </cell>
        </row>
        <row r="1242">
          <cell r="D1242">
            <v>79764300</v>
          </cell>
        </row>
        <row r="1243">
          <cell r="D1243">
            <v>122816800</v>
          </cell>
        </row>
        <row r="1244">
          <cell r="D1244">
            <v>64194020</v>
          </cell>
        </row>
        <row r="1245">
          <cell r="D1245">
            <v>61893310</v>
          </cell>
        </row>
        <row r="1246">
          <cell r="D1246">
            <v>70667910</v>
          </cell>
        </row>
        <row r="1247">
          <cell r="D1247">
            <v>48577300</v>
          </cell>
        </row>
        <row r="1248">
          <cell r="D1248">
            <v>41005760</v>
          </cell>
        </row>
        <row r="1249">
          <cell r="D1249">
            <v>41238220</v>
          </cell>
        </row>
        <row r="1250">
          <cell r="D1250">
            <v>47197130</v>
          </cell>
        </row>
        <row r="1251">
          <cell r="D1251">
            <v>99114460</v>
          </cell>
        </row>
        <row r="1252">
          <cell r="D1252">
            <v>43026490</v>
          </cell>
        </row>
        <row r="1253">
          <cell r="D1253">
            <v>49630760</v>
          </cell>
        </row>
        <row r="1254">
          <cell r="D1254">
            <v>48376650</v>
          </cell>
        </row>
        <row r="1255">
          <cell r="D1255">
            <v>31370800</v>
          </cell>
        </row>
        <row r="1256">
          <cell r="D1256">
            <v>46966250</v>
          </cell>
        </row>
        <row r="1257">
          <cell r="D1257">
            <v>66626460</v>
          </cell>
        </row>
        <row r="1258">
          <cell r="D1258">
            <v>38355320</v>
          </cell>
        </row>
        <row r="1259">
          <cell r="D1259">
            <v>38763580</v>
          </cell>
        </row>
        <row r="1260">
          <cell r="D1260">
            <v>38717330</v>
          </cell>
        </row>
        <row r="1261">
          <cell r="D1261">
            <v>56785750</v>
          </cell>
        </row>
        <row r="1262">
          <cell r="D1262">
            <v>61455400</v>
          </cell>
        </row>
        <row r="1263">
          <cell r="D1263">
            <v>35851480</v>
          </cell>
        </row>
        <row r="1264">
          <cell r="D1264">
            <v>57645530</v>
          </cell>
        </row>
        <row r="1265">
          <cell r="D1265">
            <v>49949690</v>
          </cell>
        </row>
        <row r="1266">
          <cell r="D1266">
            <v>45180100</v>
          </cell>
        </row>
        <row r="1267">
          <cell r="D1267">
            <v>108315900</v>
          </cell>
        </row>
        <row r="1268">
          <cell r="D1268">
            <v>98135730</v>
          </cell>
        </row>
        <row r="1269">
          <cell r="D1269">
            <v>51452480</v>
          </cell>
        </row>
        <row r="1270">
          <cell r="D1270">
            <v>65777050</v>
          </cell>
        </row>
        <row r="1271">
          <cell r="D1271">
            <v>77666790</v>
          </cell>
        </row>
        <row r="1272">
          <cell r="D1272">
            <v>62793400</v>
          </cell>
        </row>
        <row r="1273">
          <cell r="D1273">
            <v>46437530</v>
          </cell>
        </row>
        <row r="1274">
          <cell r="D1274">
            <v>45445210</v>
          </cell>
        </row>
        <row r="1275">
          <cell r="D1275">
            <v>0</v>
          </cell>
        </row>
        <row r="1276">
          <cell r="D1276">
            <v>53751050</v>
          </cell>
        </row>
        <row r="1277">
          <cell r="D1277">
            <v>56043350</v>
          </cell>
        </row>
        <row r="1278">
          <cell r="D1278">
            <v>44014660</v>
          </cell>
        </row>
        <row r="1279">
          <cell r="D1279">
            <v>39913580</v>
          </cell>
        </row>
        <row r="1280">
          <cell r="D1280">
            <v>42722980</v>
          </cell>
        </row>
        <row r="1281">
          <cell r="D1281">
            <v>41804320</v>
          </cell>
        </row>
        <row r="1282">
          <cell r="D1282">
            <v>49444560</v>
          </cell>
        </row>
        <row r="1283">
          <cell r="D1283">
            <v>39451340</v>
          </cell>
        </row>
        <row r="1284">
          <cell r="D1284">
            <v>36776740</v>
          </cell>
        </row>
        <row r="1285">
          <cell r="D1285">
            <v>45572200</v>
          </cell>
        </row>
        <row r="1286">
          <cell r="D1286">
            <v>33603070</v>
          </cell>
        </row>
        <row r="1287">
          <cell r="D1287">
            <v>37810060</v>
          </cell>
        </row>
        <row r="1288">
          <cell r="D1288">
            <v>57224030</v>
          </cell>
        </row>
        <row r="1289">
          <cell r="D1289">
            <v>34138820</v>
          </cell>
        </row>
        <row r="1290">
          <cell r="D1290">
            <v>27771030</v>
          </cell>
        </row>
        <row r="1291">
          <cell r="D1291">
            <v>29539120</v>
          </cell>
        </row>
        <row r="1292">
          <cell r="D1292">
            <v>58577690</v>
          </cell>
        </row>
        <row r="1293">
          <cell r="D1293">
            <v>45293740</v>
          </cell>
        </row>
        <row r="1294">
          <cell r="D1294">
            <v>40069300</v>
          </cell>
        </row>
        <row r="1295">
          <cell r="D1295">
            <v>44597890</v>
          </cell>
        </row>
        <row r="1296">
          <cell r="D1296">
            <v>40375670</v>
          </cell>
        </row>
        <row r="1297">
          <cell r="D1297">
            <v>45319060</v>
          </cell>
        </row>
        <row r="1298">
          <cell r="D1298">
            <v>35614860</v>
          </cell>
        </row>
        <row r="1299">
          <cell r="D1299">
            <v>30445830</v>
          </cell>
        </row>
        <row r="1300">
          <cell r="D1300">
            <v>0</v>
          </cell>
        </row>
        <row r="1301">
          <cell r="D1301">
            <v>50418360</v>
          </cell>
        </row>
        <row r="1302">
          <cell r="D1302">
            <v>114240200</v>
          </cell>
        </row>
        <row r="1303">
          <cell r="D1303">
            <v>42906460</v>
          </cell>
        </row>
        <row r="1304">
          <cell r="D1304">
            <v>36084210</v>
          </cell>
        </row>
        <row r="1305">
          <cell r="D1305">
            <v>37998610</v>
          </cell>
        </row>
        <row r="1306">
          <cell r="D1306">
            <v>79995460</v>
          </cell>
        </row>
        <row r="1307">
          <cell r="D1307">
            <v>71094950</v>
          </cell>
        </row>
        <row r="1308">
          <cell r="D1308">
            <v>69543420</v>
          </cell>
        </row>
        <row r="1309">
          <cell r="D1309">
            <v>51652490</v>
          </cell>
        </row>
        <row r="1310">
          <cell r="D1310">
            <v>37595910</v>
          </cell>
        </row>
        <row r="1311">
          <cell r="D1311">
            <v>41249970</v>
          </cell>
        </row>
        <row r="1312">
          <cell r="D1312">
            <v>56834040</v>
          </cell>
        </row>
        <row r="1313">
          <cell r="D1313">
            <v>74194800</v>
          </cell>
        </row>
        <row r="1314">
          <cell r="D1314">
            <v>39137970</v>
          </cell>
        </row>
      </sheetData>
      <sheetData sheetId="7" refreshError="1"/>
      <sheetData sheetId="8">
        <row r="3">
          <cell r="A3" t="str">
            <v>R$MM</v>
          </cell>
          <cell r="B3">
            <v>2011</v>
          </cell>
          <cell r="C3">
            <v>2012</v>
          </cell>
          <cell r="D3">
            <v>2013</v>
          </cell>
          <cell r="E3">
            <v>2014</v>
          </cell>
          <cell r="F3">
            <v>2015</v>
          </cell>
          <cell r="G3">
            <v>2016</v>
          </cell>
          <cell r="H3">
            <v>2017</v>
          </cell>
        </row>
        <row r="4">
          <cell r="B4" t="str">
            <v>Histórico</v>
          </cell>
          <cell r="C4" t="str">
            <v>Histórico</v>
          </cell>
          <cell r="D4" t="str">
            <v>Histórico</v>
          </cell>
          <cell r="E4" t="str">
            <v>Histórico</v>
          </cell>
          <cell r="F4" t="str">
            <v>Consenso</v>
          </cell>
          <cell r="G4" t="str">
            <v>Consenso</v>
          </cell>
          <cell r="H4" t="str">
            <v>Consenso</v>
          </cell>
        </row>
        <row r="5">
          <cell r="A5" t="str">
            <v>Receita Líquida</v>
          </cell>
          <cell r="B5">
            <v>741.8</v>
          </cell>
          <cell r="C5">
            <v>790.9</v>
          </cell>
          <cell r="D5">
            <v>908.2</v>
          </cell>
          <cell r="E5">
            <v>1015.9</v>
          </cell>
          <cell r="F5">
            <v>1138.444</v>
          </cell>
          <cell r="G5">
            <v>1284.778</v>
          </cell>
          <cell r="H5">
            <v>1436.625</v>
          </cell>
        </row>
        <row r="6">
          <cell r="A6" t="str">
            <v>% crescimento</v>
          </cell>
          <cell r="C6">
            <v>6.6190347802642213E-2</v>
          </cell>
          <cell r="D6">
            <v>0.14831204956378818</v>
          </cell>
          <cell r="E6">
            <v>0.11858621449020035</v>
          </cell>
          <cell r="F6">
            <v>0.12062604587065651</v>
          </cell>
          <cell r="G6">
            <v>0.12853860181089272</v>
          </cell>
          <cell r="H6">
            <v>0.11818929028984004</v>
          </cell>
        </row>
        <row r="8">
          <cell r="A8" t="str">
            <v>EBITDA ajustado</v>
          </cell>
          <cell r="B8">
            <v>546.79999999999995</v>
          </cell>
          <cell r="C8">
            <v>575.70000000000005</v>
          </cell>
          <cell r="D8">
            <v>649.20000000000005</v>
          </cell>
          <cell r="E8">
            <v>715.2</v>
          </cell>
          <cell r="F8">
            <v>763.63599999999997</v>
          </cell>
          <cell r="G8">
            <v>860.45500000000004</v>
          </cell>
          <cell r="H8">
            <v>972.9</v>
          </cell>
        </row>
        <row r="9">
          <cell r="A9" t="str">
            <v>% crescimento</v>
          </cell>
          <cell r="C9">
            <v>5.2852962692026439E-2</v>
          </cell>
          <cell r="D9">
            <v>0.12767066180302233</v>
          </cell>
          <cell r="E9">
            <v>0.1016635859519408</v>
          </cell>
          <cell r="F9">
            <v>6.7723713646532291E-2</v>
          </cell>
          <cell r="G9">
            <v>0.1267868460889745</v>
          </cell>
          <cell r="H9">
            <v>0.13068086070741636</v>
          </cell>
        </row>
        <row r="10">
          <cell r="A10" t="str">
            <v>% margem</v>
          </cell>
          <cell r="B10">
            <v>0.73712590994877325</v>
          </cell>
          <cell r="C10">
            <v>0.72790491844733851</v>
          </cell>
          <cell r="D10">
            <v>0.71482052411363139</v>
          </cell>
          <cell r="E10">
            <v>0.70400629983266072</v>
          </cell>
          <cell r="F10">
            <v>0.67077168486109107</v>
          </cell>
          <cell r="G10">
            <v>0.66973049040378962</v>
          </cell>
          <cell r="H10">
            <v>0.67721221613155835</v>
          </cell>
        </row>
        <row r="12">
          <cell r="A12" t="str">
            <v>Lucro líquido ajustado</v>
          </cell>
          <cell r="B12">
            <v>370.7</v>
          </cell>
          <cell r="C12">
            <v>421.8</v>
          </cell>
          <cell r="D12">
            <v>503.3</v>
          </cell>
          <cell r="E12">
            <v>563.29999999999995</v>
          </cell>
          <cell r="F12">
            <v>539.54499999999996</v>
          </cell>
          <cell r="G12">
            <v>591.18200000000002</v>
          </cell>
          <cell r="H12">
            <v>665.7</v>
          </cell>
        </row>
        <row r="13">
          <cell r="A13" t="str">
            <v>% crescimento</v>
          </cell>
          <cell r="C13">
            <v>0.1378473158888589</v>
          </cell>
          <cell r="D13">
            <v>0.19321953532479852</v>
          </cell>
          <cell r="E13">
            <v>0.33546704599336175</v>
          </cell>
          <cell r="F13">
            <v>-4.21711343866501E-2</v>
          </cell>
          <cell r="G13">
            <v>9.5704714157299309E-2</v>
          </cell>
          <cell r="H13">
            <v>0.1260491692913519</v>
          </cell>
        </row>
        <row r="14">
          <cell r="A14" t="str">
            <v>% margem</v>
          </cell>
          <cell r="B14">
            <v>0.49973038554866545</v>
          </cell>
          <cell r="C14">
            <v>0.5333164749020104</v>
          </cell>
          <cell r="D14">
            <v>0.55417308962783529</v>
          </cell>
          <cell r="E14">
            <v>0.55448370902647892</v>
          </cell>
          <cell r="F14">
            <v>0.47393196327619097</v>
          </cell>
          <cell r="G14">
            <v>0.46014330880510096</v>
          </cell>
          <cell r="H14">
            <v>0.46337770817019058</v>
          </cell>
        </row>
      </sheetData>
      <sheetData sheetId="9">
        <row r="3">
          <cell r="A3" t="str">
            <v>R$MM</v>
          </cell>
          <cell r="B3">
            <v>2011</v>
          </cell>
          <cell r="C3">
            <v>2012</v>
          </cell>
          <cell r="D3">
            <v>2013</v>
          </cell>
          <cell r="E3">
            <v>2014</v>
          </cell>
          <cell r="F3">
            <v>2015</v>
          </cell>
          <cell r="G3">
            <v>2016</v>
          </cell>
          <cell r="H3">
            <v>2017</v>
          </cell>
        </row>
        <row r="4">
          <cell r="B4" t="str">
            <v>Histórico</v>
          </cell>
          <cell r="C4" t="str">
            <v>Histórico</v>
          </cell>
          <cell r="D4" t="str">
            <v>Histórico</v>
          </cell>
          <cell r="E4" t="str">
            <v>Histórico</v>
          </cell>
          <cell r="F4" t="str">
            <v>Consenso</v>
          </cell>
          <cell r="G4" t="str">
            <v>Consenso</v>
          </cell>
          <cell r="H4" t="str">
            <v>Consenso</v>
          </cell>
        </row>
        <row r="5">
          <cell r="A5" t="str">
            <v>Receita Líquida</v>
          </cell>
          <cell r="B5">
            <v>1904.684</v>
          </cell>
          <cell r="C5">
            <v>2064.75</v>
          </cell>
          <cell r="D5">
            <v>2126.6</v>
          </cell>
          <cell r="E5">
            <v>2030.4</v>
          </cell>
          <cell r="F5">
            <v>2187.9090000000001</v>
          </cell>
          <cell r="G5">
            <v>2338.4549999999999</v>
          </cell>
          <cell r="H5">
            <v>2590.7780000000002</v>
          </cell>
        </row>
        <row r="6">
          <cell r="A6" t="str">
            <v>% crescimento</v>
          </cell>
          <cell r="C6">
            <v>8.403808715776484E-2</v>
          </cell>
          <cell r="D6">
            <v>2.9955200387456138E-2</v>
          </cell>
          <cell r="E6">
            <v>-4.5236527790839753E-2</v>
          </cell>
          <cell r="F6">
            <v>7.7575354609929148E-2</v>
          </cell>
          <cell r="G6">
            <v>6.8808163410818191E-2</v>
          </cell>
          <cell r="H6">
            <v>0.1079015845932465</v>
          </cell>
        </row>
        <row r="8">
          <cell r="A8" t="str">
            <v>EBITDA ajustado</v>
          </cell>
          <cell r="B8">
            <v>1163.2280000000001</v>
          </cell>
          <cell r="C8">
            <v>1395.412</v>
          </cell>
          <cell r="D8">
            <v>1454.296</v>
          </cell>
          <cell r="E8">
            <v>1345.4960000000001</v>
          </cell>
          <cell r="F8">
            <v>1472.1670000000001</v>
          </cell>
          <cell r="G8">
            <v>1580.5</v>
          </cell>
          <cell r="H8">
            <v>1747.3330000000001</v>
          </cell>
        </row>
        <row r="9">
          <cell r="A9" t="str">
            <v>% crescimento</v>
          </cell>
          <cell r="C9">
            <v>0.19960317323860832</v>
          </cell>
          <cell r="D9">
            <v>4.2198289824080693E-2</v>
          </cell>
          <cell r="E9">
            <v>-7.4812830400413644E-2</v>
          </cell>
          <cell r="F9">
            <v>9.4144464197589706E-2</v>
          </cell>
          <cell r="G9">
            <v>7.3587439468484117E-2</v>
          </cell>
          <cell r="H9">
            <v>0.10555710218285363</v>
          </cell>
        </row>
        <row r="10">
          <cell r="A10" t="str">
            <v>% margem</v>
          </cell>
          <cell r="B10">
            <v>0.61071967843484798</v>
          </cell>
          <cell r="C10">
            <v>0.67582612907131612</v>
          </cell>
          <cell r="D10">
            <v>0.68385968212169668</v>
          </cell>
          <cell r="E10">
            <v>0.66267533490937747</v>
          </cell>
          <cell r="F10">
            <v>0.6728648220744099</v>
          </cell>
          <cell r="G10">
            <v>0.67587360030447452</v>
          </cell>
          <cell r="H10">
            <v>0.67444335253734589</v>
          </cell>
        </row>
        <row r="12">
          <cell r="A12" t="str">
            <v>Lucro líquido ajustado</v>
          </cell>
          <cell r="B12">
            <v>1545.6</v>
          </cell>
          <cell r="C12">
            <v>1612.1</v>
          </cell>
          <cell r="D12">
            <v>1609.8</v>
          </cell>
          <cell r="E12">
            <v>1478.7</v>
          </cell>
          <cell r="F12">
            <v>1698.857</v>
          </cell>
          <cell r="G12">
            <v>1809.4290000000001</v>
          </cell>
          <cell r="H12">
            <v>1929</v>
          </cell>
        </row>
        <row r="13">
          <cell r="A13" t="str">
            <v>% crescimento</v>
          </cell>
          <cell r="C13">
            <v>4.3025362318840576E-2</v>
          </cell>
          <cell r="D13">
            <v>-1.4267105018298532E-3</v>
          </cell>
          <cell r="E13">
            <v>-8.2749209106134813E-2</v>
          </cell>
          <cell r="F13">
            <v>0.14888550754040697</v>
          </cell>
          <cell r="G13">
            <v>6.50861137812071E-2</v>
          </cell>
          <cell r="H13">
            <v>6.6082172884373902E-2</v>
          </cell>
        </row>
        <row r="14">
          <cell r="A14" t="str">
            <v>% margem</v>
          </cell>
          <cell r="B14">
            <v>0.81147318925344047</v>
          </cell>
          <cell r="C14">
            <v>0.78077249061629728</v>
          </cell>
          <cell r="D14">
            <v>0.75698297752280641</v>
          </cell>
          <cell r="E14">
            <v>0.72828014184397161</v>
          </cell>
          <cell r="F14">
            <v>0.77647516418644458</v>
          </cell>
          <cell r="G14">
            <v>0.77377114376800071</v>
          </cell>
          <cell r="H14">
            <v>0.74456398811476698</v>
          </cell>
        </row>
      </sheetData>
      <sheetData sheetId="10" refreshError="1"/>
      <sheetData sheetId="11" refreshError="1"/>
      <sheetData sheetId="12">
        <row r="9">
          <cell r="C9" t="str">
            <v>Preço por ação1</v>
          </cell>
          <cell r="E9" t="str">
            <v>R$</v>
          </cell>
          <cell r="F9">
            <v>11.4</v>
          </cell>
          <cell r="H9" t="str">
            <v>Preço por ação1</v>
          </cell>
          <cell r="J9" t="str">
            <v>R$</v>
          </cell>
          <cell r="K9">
            <v>34.1</v>
          </cell>
        </row>
        <row r="10">
          <cell r="C10" t="str">
            <v># de ações</v>
          </cell>
          <cell r="E10" t="str">
            <v>MM</v>
          </cell>
          <cell r="F10">
            <v>1782.1485</v>
          </cell>
          <cell r="H10" t="str">
            <v># de ações</v>
          </cell>
          <cell r="J10" t="str">
            <v>MM</v>
          </cell>
          <cell r="K10">
            <v>262.96767799999998</v>
          </cell>
        </row>
        <row r="11">
          <cell r="C11" t="str">
            <v>Valor de mercado</v>
          </cell>
          <cell r="E11" t="str">
            <v>R$MM</v>
          </cell>
          <cell r="F11">
            <v>20316.492900000001</v>
          </cell>
          <cell r="H11" t="str">
            <v>Valor de mercado</v>
          </cell>
          <cell r="J11" t="str">
            <v>R$MM</v>
          </cell>
          <cell r="K11">
            <v>8967.1978197999997</v>
          </cell>
        </row>
        <row r="13">
          <cell r="C13" t="str">
            <v>Obrigações com operações compromissadas</v>
          </cell>
          <cell r="E13" t="str">
            <v>R$MM</v>
          </cell>
          <cell r="F13">
            <v>142.84800000000001</v>
          </cell>
          <cell r="H13" t="str">
            <v>Caixa e equivalentes de caixa</v>
          </cell>
          <cell r="J13" t="str">
            <v>R$MM</v>
          </cell>
          <cell r="K13">
            <v>-4.9379999999999997</v>
          </cell>
        </row>
        <row r="14">
          <cell r="C14" t="str">
            <v>Recursos disponíveis (Release)</v>
          </cell>
          <cell r="E14" t="str">
            <v>R$MM</v>
          </cell>
          <cell r="F14">
            <v>-1307.5999999999999</v>
          </cell>
          <cell r="H14" t="str">
            <v>Aplicações financeiras - CP e LP</v>
          </cell>
          <cell r="J14" t="str">
            <v>R$MM</v>
          </cell>
          <cell r="K14">
            <v>-975.995</v>
          </cell>
        </row>
        <row r="15">
          <cell r="C15" t="str">
            <v>Juros a pagar sobre emissão de dívida - CP</v>
          </cell>
          <cell r="E15" t="str">
            <v>R$MM</v>
          </cell>
          <cell r="F15">
            <v>6.0179999999999998</v>
          </cell>
          <cell r="H15" t="str">
            <v>Empréstimos e obrig de arrend. finan. - CP</v>
          </cell>
          <cell r="J15" t="str">
            <v>R$MM</v>
          </cell>
          <cell r="K15">
            <v>5.1929999999999996</v>
          </cell>
        </row>
        <row r="16">
          <cell r="C16" t="str">
            <v>Emissão de dívida no exterior - LP</v>
          </cell>
          <cell r="E16" t="str">
            <v>R$MM</v>
          </cell>
          <cell r="F16">
            <v>1892.694</v>
          </cell>
          <cell r="H16" t="str">
            <v>Debêntures - CP</v>
          </cell>
          <cell r="J16" t="str">
            <v>R$MM</v>
          </cell>
          <cell r="K16">
            <v>3.367</v>
          </cell>
        </row>
        <row r="17">
          <cell r="H17" t="str">
            <v>Empréstimos e obrig de arrend. finan. - LP</v>
          </cell>
          <cell r="J17" t="str">
            <v>R$MM</v>
          </cell>
          <cell r="K17">
            <v>789.447</v>
          </cell>
        </row>
        <row r="18">
          <cell r="H18" t="str">
            <v>Debêntures - LP</v>
          </cell>
          <cell r="J18" t="str">
            <v>R$MM</v>
          </cell>
          <cell r="K18">
            <v>498.68</v>
          </cell>
        </row>
        <row r="19">
          <cell r="H19" t="str">
            <v>Ajuste de opções na dívida líquida</v>
          </cell>
          <cell r="J19" t="str">
            <v>R$MM</v>
          </cell>
          <cell r="K19">
            <v>-18.960635300000003</v>
          </cell>
        </row>
        <row r="20">
          <cell r="H20" t="str">
            <v>Instrumentos derivativos</v>
          </cell>
          <cell r="J20" t="str">
            <v>R$MM</v>
          </cell>
          <cell r="K20">
            <v>-120.70099999999999</v>
          </cell>
        </row>
        <row r="21">
          <cell r="C21" t="str">
            <v>Dívida financeira líquida2</v>
          </cell>
          <cell r="E21" t="str">
            <v>R$MM</v>
          </cell>
          <cell r="F21">
            <v>733.96</v>
          </cell>
          <cell r="H21" t="str">
            <v>Dívida financeira líquida2</v>
          </cell>
          <cell r="J21" t="str">
            <v>R$MM</v>
          </cell>
          <cell r="K21">
            <v>176.09236469999999</v>
          </cell>
        </row>
        <row r="22">
          <cell r="C22" t="str">
            <v>Minoritários</v>
          </cell>
          <cell r="E22" t="str">
            <v>R$MM</v>
          </cell>
          <cell r="F22">
            <v>9.4440000000000008</v>
          </cell>
          <cell r="H22" t="str">
            <v>Minoritários</v>
          </cell>
          <cell r="J22" t="str">
            <v>R$MM</v>
          </cell>
          <cell r="K22">
            <v>0</v>
          </cell>
        </row>
        <row r="23">
          <cell r="C23" t="str">
            <v>Depósitos judiciais</v>
          </cell>
          <cell r="E23" t="str">
            <v>R$MM</v>
          </cell>
          <cell r="F23">
            <v>-128.60400000000001</v>
          </cell>
          <cell r="H23" t="str">
            <v>Depósitos judiciais</v>
          </cell>
          <cell r="J23" t="str">
            <v>R$MM</v>
          </cell>
          <cell r="K23">
            <v>-0.18099999999999999</v>
          </cell>
        </row>
        <row r="24">
          <cell r="C24" t="str">
            <v>Dividendos e juros sobre capital próprio a pagar</v>
          </cell>
          <cell r="E24" t="str">
            <v>R$MM</v>
          </cell>
          <cell r="F24">
            <v>1.6539999999999999</v>
          </cell>
          <cell r="H24" t="str">
            <v>Dividendos e JSCP a pagar</v>
          </cell>
          <cell r="J24" t="str">
            <v>R$MM</v>
          </cell>
          <cell r="K24">
            <v>100.04</v>
          </cell>
        </row>
        <row r="25">
          <cell r="C25" t="str">
            <v>Provisão para contingências e obrigações legais e benefícios pós-emprego</v>
          </cell>
          <cell r="E25" t="str">
            <v>R$MM</v>
          </cell>
          <cell r="F25">
            <v>144.32999999999998</v>
          </cell>
          <cell r="H25" t="str">
            <v>Provisão para contingências e obrigações legais</v>
          </cell>
          <cell r="J25" t="str">
            <v>R$MM</v>
          </cell>
          <cell r="K25">
            <v>4.883</v>
          </cell>
        </row>
        <row r="26">
          <cell r="C26" t="str">
            <v>Participação em coligada</v>
          </cell>
          <cell r="E26" t="str">
            <v>R$MM</v>
          </cell>
          <cell r="F26">
            <v>-4407.2079999999996</v>
          </cell>
          <cell r="H26" t="str">
            <v>Investimentos em coligada</v>
          </cell>
          <cell r="J26" t="str">
            <v>R$MM</v>
          </cell>
          <cell r="K26">
            <v>6.274</v>
          </cell>
        </row>
        <row r="27">
          <cell r="C27" t="str">
            <v>Outros ajustes de EV3</v>
          </cell>
          <cell r="E27" t="str">
            <v>R$MM</v>
          </cell>
          <cell r="F27">
            <v>-4380.384</v>
          </cell>
          <cell r="H27" t="str">
            <v>Outros ajustes de EV3</v>
          </cell>
          <cell r="J27" t="str">
            <v>R$MM</v>
          </cell>
          <cell r="K27">
            <v>111.01600000000001</v>
          </cell>
        </row>
        <row r="28">
          <cell r="C28" t="str">
            <v>EV</v>
          </cell>
          <cell r="E28" t="str">
            <v>R$MM</v>
          </cell>
          <cell r="F28">
            <v>16670.068900000002</v>
          </cell>
          <cell r="H28" t="str">
            <v>EV</v>
          </cell>
          <cell r="J28" t="str">
            <v>R$MM</v>
          </cell>
          <cell r="K28">
            <v>9254.3061844999993</v>
          </cell>
        </row>
        <row r="30">
          <cell r="C30" t="str">
            <v>EV/EBITDA LTM</v>
          </cell>
          <cell r="F30">
            <v>11.384699423323308</v>
          </cell>
          <cell r="H30" t="str">
            <v>EV/EBITDA LTM</v>
          </cell>
          <cell r="K30">
            <v>12.25318823195283</v>
          </cell>
        </row>
        <row r="31">
          <cell r="C31" t="str">
            <v>EV/EBITDA 15E4</v>
          </cell>
          <cell r="F31">
            <v>11.323490405640122</v>
          </cell>
          <cell r="H31" t="str">
            <v>EV/EBITDA 15E4</v>
          </cell>
          <cell r="K31">
            <v>12.11874006005479</v>
          </cell>
        </row>
        <row r="32">
          <cell r="C32" t="str">
            <v>EV/EBITDA 16E4</v>
          </cell>
          <cell r="F32">
            <v>10.547338753559002</v>
          </cell>
          <cell r="H32" t="str">
            <v>EV/EBITDA 16E4</v>
          </cell>
          <cell r="K32">
            <v>10.75513093014742</v>
          </cell>
        </row>
        <row r="34">
          <cell r="C34" t="str">
            <v>P/E LTM</v>
          </cell>
          <cell r="F34">
            <v>12.134045156951583</v>
          </cell>
          <cell r="H34" t="str">
            <v>P/E LTM</v>
          </cell>
          <cell r="K34">
            <v>16.086997070067575</v>
          </cell>
        </row>
        <row r="35">
          <cell r="C35" t="str">
            <v>P/E 15E4</v>
          </cell>
          <cell r="F35">
            <v>11.958918790692803</v>
          </cell>
          <cell r="H35" t="str">
            <v>P/E 15E4</v>
          </cell>
          <cell r="K35">
            <v>16.619925714815263</v>
          </cell>
        </row>
        <row r="36">
          <cell r="C36" t="str">
            <v>P/E 16E4</v>
          </cell>
          <cell r="F36">
            <v>11.228123844594068</v>
          </cell>
          <cell r="H36" t="str">
            <v>P/E 16E4</v>
          </cell>
          <cell r="K36">
            <v>15.168252449837782</v>
          </cell>
        </row>
      </sheetData>
      <sheetData sheetId="13" refreshError="1"/>
      <sheetData sheetId="14" refreshError="1"/>
      <sheetData sheetId="15">
        <row r="7">
          <cell r="C7" t="str">
            <v># de dias</v>
          </cell>
          <cell r="D7" t="str">
            <v>Preço médio
de fechamento</v>
          </cell>
          <cell r="F7" t="str">
            <v>Relação de troca</v>
          </cell>
          <cell r="G7" t="str">
            <v>Prêmio / (Desconto)
de 1 dia</v>
          </cell>
        </row>
        <row r="8">
          <cell r="D8" t="str">
            <v>Centro</v>
          </cell>
          <cell r="E8" t="str">
            <v>Faria Lima</v>
          </cell>
        </row>
        <row r="9">
          <cell r="C9">
            <v>1</v>
          </cell>
          <cell r="D9">
            <v>11.4</v>
          </cell>
          <cell r="E9">
            <v>34.1</v>
          </cell>
          <cell r="F9">
            <v>2.9912280701754388</v>
          </cell>
          <cell r="G9">
            <v>0</v>
          </cell>
        </row>
        <row r="10">
          <cell r="C10">
            <v>5</v>
          </cell>
          <cell r="D10">
            <v>11.749999999999998</v>
          </cell>
          <cell r="E10">
            <v>34.369999999999997</v>
          </cell>
          <cell r="F10">
            <v>2.9251063829787238</v>
          </cell>
          <cell r="G10">
            <v>2.2604882879295962E-2</v>
          </cell>
        </row>
        <row r="11">
          <cell r="C11">
            <v>15</v>
          </cell>
          <cell r="D11">
            <v>11.654666666666666</v>
          </cell>
          <cell r="E11">
            <v>34.253333333333337</v>
          </cell>
          <cell r="F11">
            <v>2.9390229950806548</v>
          </cell>
          <cell r="G11">
            <v>1.7762731078377003E-2</v>
          </cell>
        </row>
        <row r="12">
          <cell r="C12">
            <v>30</v>
          </cell>
          <cell r="D12">
            <v>11.464333333333332</v>
          </cell>
          <cell r="E12">
            <v>33.691000000000003</v>
          </cell>
          <cell r="F12">
            <v>2.9387666094844884</v>
          </cell>
          <cell r="G12">
            <v>1.7851523330106422E-2</v>
          </cell>
        </row>
        <row r="13">
          <cell r="C13">
            <v>45</v>
          </cell>
          <cell r="D13">
            <v>11.235555555555555</v>
          </cell>
          <cell r="E13">
            <v>33.196444444444431</v>
          </cell>
          <cell r="F13">
            <v>2.9545886075949355</v>
          </cell>
          <cell r="G13">
            <v>1.240086775069793E-2</v>
          </cell>
        </row>
        <row r="14">
          <cell r="C14">
            <v>60</v>
          </cell>
          <cell r="D14">
            <v>11.083499999999999</v>
          </cell>
          <cell r="E14">
            <v>33.319333333333326</v>
          </cell>
          <cell r="F14">
            <v>3.0062104329258204</v>
          </cell>
          <cell r="G14">
            <v>-4.9838037238796318E-3</v>
          </cell>
        </row>
        <row r="15">
          <cell r="C15">
            <v>120</v>
          </cell>
          <cell r="D15">
            <v>11.246333333333332</v>
          </cell>
          <cell r="E15">
            <v>33.955916666666667</v>
          </cell>
          <cell r="F15">
            <v>3.019287767865082</v>
          </cell>
          <cell r="G15">
            <v>-9.2934823862397264E-3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entro CF output"/>
      <sheetName val="shareholder"/>
      <sheetName val="Output trading comps"/>
      <sheetName val="Suporte"/>
      <sheetName val="CME"/>
      <sheetName val="FL CF output"/>
      <sheetName val="CME2"/>
      <sheetName val="Faria Lima outputs"/>
      <sheetName val="NewCo outputs"/>
      <sheetName val="Sinergias despesas"/>
      <sheetName val="DRE outputs"/>
      <sheetName val="GRV IMOB"/>
      <sheetName val="Outputs"/>
      <sheetName val="_CIQHiddenCacheSheet"/>
      <sheetName val="NewCo model"/>
      <sheetName val="Centro model"/>
      <sheetName val="Faria Lima model (USD)"/>
      <sheetName val="Macro"/>
      <sheetName val="Taxa ref"/>
      <sheetName val="FL---&gt; "/>
      <sheetName val="DL e EV CTIP"/>
      <sheetName val="Output Caixa Faria Lima"/>
      <sheetName val="SOP 4T15"/>
      <sheetName val="DR Série Histórica - nova"/>
      <sheetName val="DFC Série Histórica - nova"/>
      <sheetName val="BP Histórico - nova"/>
      <sheetName val="Breakdown EBITDA"/>
      <sheetName val="DR Série Histórica - antiga"/>
      <sheetName val="DFC Série Histórica - antiga"/>
      <sheetName val="BP Histórico - antiga"/>
      <sheetName val="Centro---&gt;"/>
      <sheetName val="ADTV e RPC"/>
      <sheetName val="BM&amp;F_Diários-Daily"/>
      <sheetName val="BOVESPA_Diários-Daily"/>
      <sheetName val="Planilha Centro"/>
      <sheetName val="Projeções Macroeconômicas"/>
      <sheetName val="CAPEX"/>
      <sheetName val="Receitas aberto"/>
      <sheetName val="Opex Ajustado aberto"/>
      <sheetName val="DRE aberto"/>
      <sheetName val="prejuizo acumulado"/>
      <sheetName val="DL e EV BVMF"/>
    </sheetNames>
    <sheetDataSet>
      <sheetData sheetId="0"/>
      <sheetData sheetId="1"/>
      <sheetData sheetId="2">
        <row r="23">
          <cell r="J23" t="str">
            <v>Acionista</v>
          </cell>
          <cell r="K23" t="str">
            <v>%</v>
          </cell>
        </row>
        <row r="24">
          <cell r="J24" t="str">
            <v>Capital</v>
          </cell>
          <cell r="K24" t="e">
            <v>#REF!</v>
          </cell>
        </row>
        <row r="25">
          <cell r="J25" t="str">
            <v>Oppenheimer</v>
          </cell>
          <cell r="K25" t="e">
            <v>#REF!</v>
          </cell>
        </row>
        <row r="26">
          <cell r="J26" t="str">
            <v>Vontobel</v>
          </cell>
          <cell r="K26" t="e">
            <v>#REF!</v>
          </cell>
        </row>
        <row r="27">
          <cell r="J27" t="str">
            <v>Invesco Advisers</v>
          </cell>
          <cell r="K27" t="e">
            <v>#REF!</v>
          </cell>
        </row>
        <row r="28">
          <cell r="J28" t="str">
            <v>CME</v>
          </cell>
          <cell r="K28" t="e">
            <v>#REF!</v>
          </cell>
        </row>
        <row r="29">
          <cell r="J29" t="str">
            <v>Vanguard</v>
          </cell>
          <cell r="K29" t="e">
            <v>#REF!</v>
          </cell>
        </row>
        <row r="30">
          <cell r="J30" t="str">
            <v>Dimensional</v>
          </cell>
          <cell r="K30" t="e">
            <v>#REF!</v>
          </cell>
        </row>
        <row r="31">
          <cell r="J31" t="str">
            <v>BlackRock</v>
          </cell>
          <cell r="K31" t="e">
            <v>#REF!</v>
          </cell>
        </row>
        <row r="32">
          <cell r="J32" t="str">
            <v>Norges Bank</v>
          </cell>
          <cell r="K32" t="e">
            <v>#REF!</v>
          </cell>
        </row>
        <row r="33">
          <cell r="J33" t="str">
            <v>Templeton Global Adv.</v>
          </cell>
          <cell r="K33" t="e">
            <v>#REF!</v>
          </cell>
        </row>
        <row r="34">
          <cell r="J34" t="str">
            <v>Templeton Asset Manag.</v>
          </cell>
          <cell r="K34" t="e">
            <v>#REF!</v>
          </cell>
        </row>
        <row r="35">
          <cell r="J35" t="str">
            <v>Dynamo</v>
          </cell>
          <cell r="K35" t="e">
            <v>#REF!</v>
          </cell>
        </row>
        <row r="36">
          <cell r="J36" t="str">
            <v>Baillie Gifford</v>
          </cell>
          <cell r="K36" t="e">
            <v>#REF!</v>
          </cell>
        </row>
        <row r="37">
          <cell r="J37" t="str">
            <v>Schroder</v>
          </cell>
          <cell r="K37" t="e">
            <v>#REF!</v>
          </cell>
        </row>
        <row r="38">
          <cell r="J38" t="str">
            <v>Harding Loevner</v>
          </cell>
          <cell r="K38" t="e">
            <v>#REF!</v>
          </cell>
        </row>
        <row r="39">
          <cell r="J39" t="str">
            <v>Outros</v>
          </cell>
          <cell r="K39" t="e">
            <v>#REF!</v>
          </cell>
        </row>
        <row r="114">
          <cell r="J114" t="str">
            <v>Acionista</v>
          </cell>
          <cell r="K114" t="str">
            <v>%</v>
          </cell>
        </row>
        <row r="115">
          <cell r="J115" t="str">
            <v>Capital</v>
          </cell>
          <cell r="K115" t="e">
            <v>#N/A</v>
          </cell>
        </row>
        <row r="116">
          <cell r="J116" t="str">
            <v>Vontobel</v>
          </cell>
          <cell r="K116" t="e">
            <v>#N/A</v>
          </cell>
        </row>
        <row r="117">
          <cell r="J117" t="str">
            <v>Oppenheimer</v>
          </cell>
          <cell r="K117" t="e">
            <v>#N/A</v>
          </cell>
        </row>
        <row r="118">
          <cell r="J118" t="str">
            <v>Invesco Advisers</v>
          </cell>
          <cell r="K118" t="e">
            <v>#N/A</v>
          </cell>
        </row>
        <row r="119">
          <cell r="J119" t="str">
            <v>CME</v>
          </cell>
          <cell r="K119" t="e">
            <v>#N/A</v>
          </cell>
        </row>
        <row r="120">
          <cell r="J120" t="str">
            <v>Vanguard</v>
          </cell>
          <cell r="K120" t="e">
            <v>#N/A</v>
          </cell>
        </row>
        <row r="121">
          <cell r="J121" t="str">
            <v>Dimensional</v>
          </cell>
          <cell r="K121" t="e">
            <v>#N/A</v>
          </cell>
        </row>
        <row r="122">
          <cell r="J122" t="str">
            <v>BlackRock</v>
          </cell>
          <cell r="K122" t="e">
            <v>#N/A</v>
          </cell>
        </row>
        <row r="123">
          <cell r="J123" t="str">
            <v>ICE</v>
          </cell>
          <cell r="K123" t="e">
            <v>#N/A</v>
          </cell>
        </row>
        <row r="124">
          <cell r="J124" t="str">
            <v>Norges Bank</v>
          </cell>
          <cell r="K124" t="e">
            <v>#N/A</v>
          </cell>
        </row>
        <row r="125">
          <cell r="J125" t="str">
            <v>Templeton Global Adv.</v>
          </cell>
          <cell r="K125" t="e">
            <v>#N/A</v>
          </cell>
        </row>
        <row r="126">
          <cell r="J126" t="str">
            <v>Templeton Asset Manag.</v>
          </cell>
          <cell r="K126" t="e">
            <v>#N/A</v>
          </cell>
        </row>
        <row r="127">
          <cell r="J127" t="str">
            <v>Dynamo</v>
          </cell>
          <cell r="K127" t="e">
            <v>#N/A</v>
          </cell>
        </row>
        <row r="128">
          <cell r="J128" t="str">
            <v>Baillie Gifford</v>
          </cell>
          <cell r="K128" t="e">
            <v>#N/A</v>
          </cell>
        </row>
        <row r="129">
          <cell r="J129" t="str">
            <v>Schroder</v>
          </cell>
          <cell r="K129" t="e">
            <v>#N/A</v>
          </cell>
        </row>
        <row r="130">
          <cell r="J130" t="str">
            <v>Outros</v>
          </cell>
          <cell r="K130" t="e">
            <v>#N/A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Dados Macro"/>
      <sheetName val="Diferenças Curto e Longo Prazo"/>
      <sheetName val="Ativos no Exterior"/>
      <sheetName val="Balanço 2016"/>
      <sheetName val="Balanco Set2016"/>
      <sheetName val="Histórico BP + CETIP"/>
      <sheetName val="BOOK"/>
      <sheetName val="CAPEX"/>
      <sheetName val="Balanço, DRE, FC"/>
      <sheetName val="Cenário"/>
      <sheetName val="Histórico (BP, DRE, FC)"/>
      <sheetName val="IR_JCP"/>
      <sheetName val="Estrutura Acionária"/>
      <sheetName val="IR Contábil"/>
      <sheetName val="Comparativo DRE - PE"/>
      <sheetName val="Goodwill"/>
      <sheetName val="CAPEX 2010 a 2019 - PE"/>
      <sheetName val="OPEX 2010-2026 PE"/>
      <sheetName val="Análise CETIP 2S16"/>
      <sheetName val="Análise CETIP 3T16"/>
      <sheetName val="Premissas Cetip"/>
      <sheetName val="DRE CETIP Série Histórica"/>
      <sheetName val="DFC CETIP Série Histórica"/>
      <sheetName val="CETIP DRE"/>
      <sheetName val="Consenso Cetip"/>
      <sheetName val="Capital de Giro"/>
      <sheetName val="Gráficos"/>
      <sheetName val="Dívida e Receita Financeira"/>
      <sheetName val="FC Descontado"/>
      <sheetName val="Balanço 2014_previa"/>
      <sheetName val="DRE Comparativo (CHECK)"/>
      <sheetName val="Forecast e Orçamento"/>
      <sheetName val="WACC Variável"/>
      <sheetName val="WACC"/>
      <sheetName val="Projeção ADTV"/>
      <sheetName val="Resumo Cenários"/>
      <sheetName val="&lt;&gt;"/>
      <sheetName val="Prazo Médio Depreciação"/>
      <sheetName val="Fiscal Debt"/>
      <sheetName val="Market"/>
      <sheetName val="Indemnification"/>
      <sheetName val="Comps"/>
      <sheetName val="CAPEX 2010 a 2017"/>
      <sheetName val="OPEX 2015 a 2025"/>
      <sheetName val="Balanço 2015 e 2014"/>
      <sheetName val="Melhorias"/>
      <sheetName val="BPCetip 13-1S16"/>
      <sheetName val="Ranges Para Macro"/>
      <sheetName val="simu_CME"/>
      <sheetName val="Simu_Cetip"/>
      <sheetName val="Cetip B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Dados Macro"/>
      <sheetName val="Dados Macro Mensal"/>
      <sheetName val="Painel de Controle"/>
      <sheetName val="COMPARATIVO"/>
      <sheetName val="Premissas Cetip"/>
      <sheetName val="INPUT BVMF"/>
      <sheetName val="DFs Mensais"/>
      <sheetName val="Endividamento"/>
      <sheetName val="Dívida e Receita Financeira"/>
      <sheetName val="IR_JCP"/>
      <sheetName val="Cálculo Imposto"/>
      <sheetName val="Goodwill"/>
      <sheetName val="Capital de Giro"/>
      <sheetName val="CAPEX"/>
      <sheetName val="Estrutura Acionária"/>
      <sheetName val="Check DN"/>
      <sheetName val="Histórico BP + CETIP"/>
      <sheetName val="DRE Histórico"/>
      <sheetName val="VALUATION"/>
      <sheetName val="CETIP DRE"/>
    </sheetNames>
    <sheetDataSet>
      <sheetData sheetId="0"/>
      <sheetData sheetId="1"/>
      <sheetData sheetId="2"/>
      <sheetData sheetId="3">
        <row r="15">
          <cell r="I15">
            <v>1</v>
          </cell>
        </row>
      </sheetData>
      <sheetData sheetId="4"/>
      <sheetData sheetId="5"/>
      <sheetData sheetId="6"/>
      <sheetData sheetId="7">
        <row r="154">
          <cell r="AD154">
            <v>-36001.274539999999</v>
          </cell>
        </row>
      </sheetData>
      <sheetData sheetId="8"/>
      <sheetData sheetId="9"/>
      <sheetData sheetId="10">
        <row r="54">
          <cell r="AP54">
            <v>1264489.311829386</v>
          </cell>
        </row>
      </sheetData>
      <sheetData sheetId="11">
        <row r="29">
          <cell r="AD29">
            <v>-36001.274539999999</v>
          </cell>
        </row>
      </sheetData>
      <sheetData sheetId="12"/>
      <sheetData sheetId="13"/>
      <sheetData sheetId="14"/>
      <sheetData sheetId="15"/>
      <sheetData sheetId="16">
        <row r="21">
          <cell r="R21">
            <v>8043385.8670760235</v>
          </cell>
        </row>
      </sheetData>
      <sheetData sheetId="17"/>
      <sheetData sheetId="18"/>
      <sheetData sheetId="19"/>
      <sheetData sheetId="20">
        <row r="145">
          <cell r="W145">
            <v>1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 Resumo"/>
      <sheetName val="Calculos"/>
      <sheetName val="Output FR"/>
      <sheetName val="Oferta e Proventos"/>
      <sheetName val="CDI"/>
    </sheetNames>
    <sheetDataSet>
      <sheetData sheetId="0"/>
      <sheetData sheetId="1">
        <row r="71">
          <cell r="Q71">
            <v>6</v>
          </cell>
        </row>
      </sheetData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IMP"/>
      <sheetName val="TABELAS AUXILIARES"/>
    </sheet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s Uso"/>
      <sheetName val="#REF"/>
      <sheetName val="Eco-Fin"/>
      <sheetName val="CONSSID12-96"/>
      <sheetName val="fluxo de caixa"/>
      <sheetName val="Dif criterios amort s-nl"/>
      <sheetName val="Plan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gamagic.com.br/?view=cards/card&amp;card=Nirkana+Revenant" TargetMode="External"/><Relationship Id="rId21" Type="http://schemas.openxmlformats.org/officeDocument/2006/relationships/hyperlink" Target="https://www.ligamagic.com.br/?view=cards/card&amp;card=Vampire+Nocturnus" TargetMode="External"/><Relationship Id="rId42" Type="http://schemas.openxmlformats.org/officeDocument/2006/relationships/hyperlink" Target="https://www.ligamagic.com.br/?view=cards/card&amp;card=Grim+Tutor" TargetMode="External"/><Relationship Id="rId47" Type="http://schemas.openxmlformats.org/officeDocument/2006/relationships/hyperlink" Target="https://www.ligamagic.com.br/?view=cards/card&amp;card=Hagra+Mauling" TargetMode="External"/><Relationship Id="rId63" Type="http://schemas.openxmlformats.org/officeDocument/2006/relationships/hyperlink" Target="https://www.ligamagic.com.br/?view=cards/card&amp;card=The+Meathook+Massacre" TargetMode="External"/><Relationship Id="rId68" Type="http://schemas.openxmlformats.org/officeDocument/2006/relationships/hyperlink" Target="https://www.ligamagic.com.br/?view=cards/card&amp;card=Exquisite+Blood" TargetMode="External"/><Relationship Id="rId84" Type="http://schemas.openxmlformats.org/officeDocument/2006/relationships/vmlDrawing" Target="../drawings/vmlDrawing1.vml"/><Relationship Id="rId16" Type="http://schemas.openxmlformats.org/officeDocument/2006/relationships/hyperlink" Target="https://www.ligamagic.com.br/?view=cards/card&amp;card=Bloodline+Keeper" TargetMode="External"/><Relationship Id="rId11" Type="http://schemas.openxmlformats.org/officeDocument/2006/relationships/hyperlink" Target="https://www.ligamagic.com.br/?view=cards/card&amp;card=Nighthawk+Scavenger" TargetMode="External"/><Relationship Id="rId32" Type="http://schemas.openxmlformats.org/officeDocument/2006/relationships/hyperlink" Target="https://www.ligamagic.com.br/?view=cards/card&amp;card=Slaughter+Pact" TargetMode="External"/><Relationship Id="rId37" Type="http://schemas.openxmlformats.org/officeDocument/2006/relationships/hyperlink" Target="https://www.ligamagic.com.br/?view=cards/card&amp;card=Exsanguinate" TargetMode="External"/><Relationship Id="rId53" Type="http://schemas.openxmlformats.org/officeDocument/2006/relationships/hyperlink" Target="https://www.ligamagic.com.br/?view=cards/card&amp;card=Shadowspear" TargetMode="External"/><Relationship Id="rId58" Type="http://schemas.openxmlformats.org/officeDocument/2006/relationships/hyperlink" Target="https://www.ligamagic.com.br/?view=cards/card&amp;card=Herald%27s+Horn" TargetMode="External"/><Relationship Id="rId74" Type="http://schemas.openxmlformats.org/officeDocument/2006/relationships/hyperlink" Target="https://www.ligamagic.com.br/?view=cards/card&amp;card=Mikokoro%2C+Center+of+the+Sea" TargetMode="External"/><Relationship Id="rId79" Type="http://schemas.openxmlformats.org/officeDocument/2006/relationships/hyperlink" Target="https://www.ligamagic.com.br/?view=cards/card&amp;card=Tyrite+Sanctum" TargetMode="External"/><Relationship Id="rId5" Type="http://schemas.openxmlformats.org/officeDocument/2006/relationships/hyperlink" Target="https://www.ligamagic.com.br/?view=cards/card&amp;card=Gifted+Aetherborn" TargetMode="External"/><Relationship Id="rId19" Type="http://schemas.openxmlformats.org/officeDocument/2006/relationships/hyperlink" Target="https://www.ligamagic.com.br/?view=cards/card&amp;card=Dread+Presence" TargetMode="External"/><Relationship Id="rId14" Type="http://schemas.openxmlformats.org/officeDocument/2006/relationships/hyperlink" Target="https://www.ligamagic.com.br/?view=cards/card&amp;card=Vampire+Nighthawk" TargetMode="External"/><Relationship Id="rId22" Type="http://schemas.openxmlformats.org/officeDocument/2006/relationships/hyperlink" Target="https://www.ligamagic.com.br/?view=cards/card&amp;card=Malakir+Bloodwitch" TargetMode="External"/><Relationship Id="rId27" Type="http://schemas.openxmlformats.org/officeDocument/2006/relationships/hyperlink" Target="https://www.ligamagic.com.br/?view=cards/card&amp;card=Defiant+Bloodlord" TargetMode="External"/><Relationship Id="rId30" Type="http://schemas.openxmlformats.org/officeDocument/2006/relationships/hyperlink" Target="https://www.ligamagic.com.br/?view=cards/card&amp;card=Sorin+Markov" TargetMode="External"/><Relationship Id="rId35" Type="http://schemas.openxmlformats.org/officeDocument/2006/relationships/hyperlink" Target="https://www.ligamagic.com.br/?view=cards/card&amp;card=Vampiric+Tutor" TargetMode="External"/><Relationship Id="rId43" Type="http://schemas.openxmlformats.org/officeDocument/2006/relationships/hyperlink" Target="https://www.ligamagic.com.br/?view=cards/card&amp;card=Deadly+Rollick" TargetMode="External"/><Relationship Id="rId48" Type="http://schemas.openxmlformats.org/officeDocument/2006/relationships/hyperlink" Target="https://www.ligamagic.com.br/?view=cards/card&amp;card=Hatred" TargetMode="External"/><Relationship Id="rId56" Type="http://schemas.openxmlformats.org/officeDocument/2006/relationships/hyperlink" Target="https://www.ligamagic.com.br/?view=cards/card&amp;card=Mindcrank" TargetMode="External"/><Relationship Id="rId64" Type="http://schemas.openxmlformats.org/officeDocument/2006/relationships/hyperlink" Target="https://www.ligamagic.com.br/?view=cards/card&amp;card=Phyrexian+Arena" TargetMode="External"/><Relationship Id="rId69" Type="http://schemas.openxmlformats.org/officeDocument/2006/relationships/hyperlink" Target="https://www.ligamagic.com.br/?view=cards/card&amp;card=Path+of+Ancestry" TargetMode="External"/><Relationship Id="rId77" Type="http://schemas.openxmlformats.org/officeDocument/2006/relationships/hyperlink" Target="https://www.ligamagic.com.br/?view=cards/card&amp;card=Leechridden+Swamp" TargetMode="External"/><Relationship Id="rId8" Type="http://schemas.openxmlformats.org/officeDocument/2006/relationships/hyperlink" Target="https://www.ligamagic.com.br/?view=cards/card&amp;card=Markov+Baron" TargetMode="External"/><Relationship Id="rId51" Type="http://schemas.openxmlformats.org/officeDocument/2006/relationships/hyperlink" Target="https://www.ligamagic.com.br/?view=cards/card&amp;card=Blood+Tribute" TargetMode="External"/><Relationship Id="rId72" Type="http://schemas.openxmlformats.org/officeDocument/2006/relationships/hyperlink" Target="https://www.ligamagic.com.br/?view=cards/card&amp;card=Cabal+Coffers" TargetMode="External"/><Relationship Id="rId80" Type="http://schemas.openxmlformats.org/officeDocument/2006/relationships/hyperlink" Target="https://www.ligamagic.com.br/?view=cards/card&amp;card=Shizo%2C+Death%27s+Storehouse" TargetMode="External"/><Relationship Id="rId85" Type="http://schemas.openxmlformats.org/officeDocument/2006/relationships/comments" Target="../comments1.xml"/><Relationship Id="rId3" Type="http://schemas.openxmlformats.org/officeDocument/2006/relationships/hyperlink" Target="https://www.ligamagic.com.br/?view=cards/card&amp;card=Blood+Artist" TargetMode="External"/><Relationship Id="rId12" Type="http://schemas.openxmlformats.org/officeDocument/2006/relationships/hyperlink" Target="https://www.ligamagic.com.br/?view=cards/card&amp;card=Marauding+Blight-Priest" TargetMode="External"/><Relationship Id="rId17" Type="http://schemas.openxmlformats.org/officeDocument/2006/relationships/hyperlink" Target="https://www.ligamagic.com.br/?view=cards/card&amp;card=Henrika+Domnathi" TargetMode="External"/><Relationship Id="rId25" Type="http://schemas.openxmlformats.org/officeDocument/2006/relationships/hyperlink" Target="https://www.ligamagic.com.br/?view=cards/card&amp;card=The+Haunt+of+Hightower" TargetMode="External"/><Relationship Id="rId33" Type="http://schemas.openxmlformats.org/officeDocument/2006/relationships/hyperlink" Target="https://www.ligamagic.com.br/?view=cards/card&amp;card=Erebos%27s+Intervention" TargetMode="External"/><Relationship Id="rId38" Type="http://schemas.openxmlformats.org/officeDocument/2006/relationships/hyperlink" Target="https://www.ligamagic.com.br/?view=cards/card&amp;card=Torment+of+Hailfire" TargetMode="External"/><Relationship Id="rId46" Type="http://schemas.openxmlformats.org/officeDocument/2006/relationships/hyperlink" Target="https://www.ligamagic.com.br/?view=cards/card&amp;card=New+Blood" TargetMode="External"/><Relationship Id="rId59" Type="http://schemas.openxmlformats.org/officeDocument/2006/relationships/hyperlink" Target="https://www.ligamagic.com.br/?view=cards/card&amp;card=Bontu%27s+Monument" TargetMode="External"/><Relationship Id="rId67" Type="http://schemas.openxmlformats.org/officeDocument/2006/relationships/hyperlink" Target="https://www.ligamagic.com.br/?view=cards/card&amp;card=Sanguine+Bond" TargetMode="External"/><Relationship Id="rId20" Type="http://schemas.openxmlformats.org/officeDocument/2006/relationships/hyperlink" Target="https://www.ligamagic.com.br/?view=cards/card&amp;card=Twilight+Prophet" TargetMode="External"/><Relationship Id="rId41" Type="http://schemas.openxmlformats.org/officeDocument/2006/relationships/hyperlink" Target="https://www.ligamagic.com.br/?view=cards/card&amp;card=Toxic+Deluge" TargetMode="External"/><Relationship Id="rId54" Type="http://schemas.openxmlformats.org/officeDocument/2006/relationships/hyperlink" Target="https://www.ligamagic.com.br/?view=cards/card&amp;card=Sensei%27s+Divining+Top" TargetMode="External"/><Relationship Id="rId62" Type="http://schemas.openxmlformats.org/officeDocument/2006/relationships/hyperlink" Target="https://www.ligamagic.com.br/?view=cards/card&amp;card=Call+of+the+Ring" TargetMode="External"/><Relationship Id="rId70" Type="http://schemas.openxmlformats.org/officeDocument/2006/relationships/hyperlink" Target="https://www.ligamagic.com.br/?view=cards/card&amp;card=Witch%27s+Cottage" TargetMode="External"/><Relationship Id="rId75" Type="http://schemas.openxmlformats.org/officeDocument/2006/relationships/hyperlink" Target="https://www.ligamagic.com.br/?view=cards/card&amp;card=Nykthos%2C+Shrine+to+Nyx" TargetMode="External"/><Relationship Id="rId83" Type="http://schemas.openxmlformats.org/officeDocument/2006/relationships/drawing" Target="../drawings/drawing1.xml"/><Relationship Id="rId1" Type="http://schemas.openxmlformats.org/officeDocument/2006/relationships/hyperlink" Target="https://www.ligamagic.com.br/?view=cards/card&amp;card=Indulgent+Aristocrat" TargetMode="External"/><Relationship Id="rId6" Type="http://schemas.openxmlformats.org/officeDocument/2006/relationships/hyperlink" Target="https://www.ligamagic.com.br/?view=cards/card&amp;card=Nullpriest+of+Oblivion" TargetMode="External"/><Relationship Id="rId15" Type="http://schemas.openxmlformats.org/officeDocument/2006/relationships/hyperlink" Target="https://www.ligamagic.com.br/?view=cards/card&amp;card=Sanctum+Seeker" TargetMode="External"/><Relationship Id="rId23" Type="http://schemas.openxmlformats.org/officeDocument/2006/relationships/hyperlink" Target="https://www.ligamagic.com.br/?view=cards/card&amp;card=Champion+of+Dusk" TargetMode="External"/><Relationship Id="rId28" Type="http://schemas.openxmlformats.org/officeDocument/2006/relationships/hyperlink" Target="https://www.ligamagic.com.br/?view=cards/card&amp;card=Sorin%2C+Imperious+Bloodlord" TargetMode="External"/><Relationship Id="rId36" Type="http://schemas.openxmlformats.org/officeDocument/2006/relationships/hyperlink" Target="https://www.ligamagic.com.br/?view=cards/card&amp;card=Feed+the+Swarm" TargetMode="External"/><Relationship Id="rId49" Type="http://schemas.openxmlformats.org/officeDocument/2006/relationships/hyperlink" Target="https://www.ligamagic.com.br/?view=cards/card&amp;card=Command+the+Dreadhorde" TargetMode="External"/><Relationship Id="rId57" Type="http://schemas.openxmlformats.org/officeDocument/2006/relationships/hyperlink" Target="https://www.ligamagic.com.br/?view=cards/card&amp;card=Jet+Medallion" TargetMode="External"/><Relationship Id="rId10" Type="http://schemas.openxmlformats.org/officeDocument/2006/relationships/hyperlink" Target="https://www.ligamagic.com.br/?view=cards/card&amp;card=Sanguine+Spy" TargetMode="External"/><Relationship Id="rId31" Type="http://schemas.openxmlformats.org/officeDocument/2006/relationships/hyperlink" Target="https://www.ligamagic.com.br/?view=cards/card&amp;card=Vito%2C+Thorn+of+the+Dusk+Rose" TargetMode="External"/><Relationship Id="rId44" Type="http://schemas.openxmlformats.org/officeDocument/2006/relationships/hyperlink" Target="https://www.ligamagic.com.br/?view=cards/card&amp;card=Damnation" TargetMode="External"/><Relationship Id="rId52" Type="http://schemas.openxmlformats.org/officeDocument/2006/relationships/hyperlink" Target="https://www.ligamagic.com.br/?view=cards/card&amp;card=Sol+Ring" TargetMode="External"/><Relationship Id="rId60" Type="http://schemas.openxmlformats.org/officeDocument/2006/relationships/hyperlink" Target="https://www.ligamagic.com.br/?view=cards/card&amp;card=Bolas%27s+Citadel" TargetMode="External"/><Relationship Id="rId65" Type="http://schemas.openxmlformats.org/officeDocument/2006/relationships/hyperlink" Target="https://www.ligamagic.com.br/?view=cards/card&amp;card=Black+Market+Connections" TargetMode="External"/><Relationship Id="rId73" Type="http://schemas.openxmlformats.org/officeDocument/2006/relationships/hyperlink" Target="https://www.ligamagic.com.br/?view=cards/card&amp;card=Cabal+Stronghold" TargetMode="External"/><Relationship Id="rId78" Type="http://schemas.openxmlformats.org/officeDocument/2006/relationships/hyperlink" Target="https://www.ligamagic.com.br/?view=cards/card&amp;card=War+Room" TargetMode="External"/><Relationship Id="rId81" Type="http://schemas.openxmlformats.org/officeDocument/2006/relationships/hyperlink" Target="https://www.ligamagic.com.br/?view=cards/card&amp;card=Urborg%2C+Tomb+of+Yawgmoth" TargetMode="External"/><Relationship Id="rId4" Type="http://schemas.openxmlformats.org/officeDocument/2006/relationships/hyperlink" Target="https://www.ligamagic.com.br/?view=cards/card&amp;card=Creeping+Bloodsucker" TargetMode="External"/><Relationship Id="rId9" Type="http://schemas.openxmlformats.org/officeDocument/2006/relationships/hyperlink" Target="https://www.ligamagic.com.br/?view=cards/card&amp;card=Drana%2C+Liberator+of+Malakir" TargetMode="External"/><Relationship Id="rId13" Type="http://schemas.openxmlformats.org/officeDocument/2006/relationships/hyperlink" Target="https://www.ligamagic.com.br/?view=cards/card&amp;card=Captivating+Vampire" TargetMode="External"/><Relationship Id="rId18" Type="http://schemas.openxmlformats.org/officeDocument/2006/relationships/hyperlink" Target="https://www.ligamagic.com.br/?view=cards/card&amp;card=Kalitas%2C+Traitor+of+Ghet" TargetMode="External"/><Relationship Id="rId39" Type="http://schemas.openxmlformats.org/officeDocument/2006/relationships/hyperlink" Target="https://www.ligamagic.com.br/?view=cards/card&amp;card=Demonic+Tutor" TargetMode="External"/><Relationship Id="rId34" Type="http://schemas.openxmlformats.org/officeDocument/2006/relationships/hyperlink" Target="https://www.ligamagic.com.br/?view=cards/card&amp;card=Malakir+Rebirth" TargetMode="External"/><Relationship Id="rId50" Type="http://schemas.openxmlformats.org/officeDocument/2006/relationships/hyperlink" Target="https://www.ligamagic.com.br/?view=cards/card&amp;card=Blood+on+the+Snow" TargetMode="External"/><Relationship Id="rId55" Type="http://schemas.openxmlformats.org/officeDocument/2006/relationships/hyperlink" Target="https://www.ligamagic.com.br/?view=cards/card&amp;card=Umezawa%27s+Jitte" TargetMode="External"/><Relationship Id="rId76" Type="http://schemas.openxmlformats.org/officeDocument/2006/relationships/hyperlink" Target="https://www.ligamagic.com.br/?view=cards/card&amp;card=Snow-Covered+Swamp" TargetMode="External"/><Relationship Id="rId7" Type="http://schemas.openxmlformats.org/officeDocument/2006/relationships/hyperlink" Target="https://www.ligamagic.com.br/?view=cards/card&amp;card=Cordial+Vampire" TargetMode="External"/><Relationship Id="rId71" Type="http://schemas.openxmlformats.org/officeDocument/2006/relationships/hyperlink" Target="https://www.ligamagic.com.br/?view=cards/card&amp;card=Castle+Locthwain" TargetMode="External"/><Relationship Id="rId2" Type="http://schemas.openxmlformats.org/officeDocument/2006/relationships/hyperlink" Target="https://www.ligamagic.com.br/?view=cards/card&amp;card=Vampire+of+the+Dire+Moon" TargetMode="External"/><Relationship Id="rId29" Type="http://schemas.openxmlformats.org/officeDocument/2006/relationships/hyperlink" Target="https://www.ligamagic.com.br/?view=cards/card&amp;card=Liliana+of+the+Dark+Realms" TargetMode="External"/><Relationship Id="rId24" Type="http://schemas.openxmlformats.org/officeDocument/2006/relationships/hyperlink" Target="https://www.ligamagic.com.br/?view=cards/card&amp;card=Gray+Merchant+of+Asphodel" TargetMode="External"/><Relationship Id="rId40" Type="http://schemas.openxmlformats.org/officeDocument/2006/relationships/hyperlink" Target="https://www.ligamagic.com.br/?view=cards/card&amp;card=Agadeem%27s+Awakening" TargetMode="External"/><Relationship Id="rId45" Type="http://schemas.openxmlformats.org/officeDocument/2006/relationships/hyperlink" Target="https://www.ligamagic.com.br/?view=cards/card&amp;card=Beseech+the+Mirror" TargetMode="External"/><Relationship Id="rId66" Type="http://schemas.openxmlformats.org/officeDocument/2006/relationships/hyperlink" Target="https://www.ligamagic.com.br/?view=cards/card&amp;card=Necropotence" TargetMode="External"/><Relationship Id="rId61" Type="http://schemas.openxmlformats.org/officeDocument/2006/relationships/hyperlink" Target="https://www.ligamagic.com.br/?view=cards/card&amp;card=Bloodchief+Ascension" TargetMode="External"/><Relationship Id="rId8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9017-B04E-4EE9-A780-DA9D553D17EB}">
  <sheetPr>
    <tabColor theme="1"/>
  </sheetPr>
  <dimension ref="A1:R132"/>
  <sheetViews>
    <sheetView showGridLines="0" tabSelected="1" zoomScale="70" zoomScaleNormal="70" workbookViewId="0">
      <pane ySplit="9" topLeftCell="A10" activePane="bottomLeft" state="frozen"/>
      <selection pane="bottomLeft" activeCell="G8" sqref="G8"/>
    </sheetView>
  </sheetViews>
  <sheetFormatPr defaultColWidth="9.140625" defaultRowHeight="14.25" customHeight="1" outlineLevelRow="1" x14ac:dyDescent="0.25"/>
  <cols>
    <col min="1" max="1" width="3" style="1" bestFit="1" customWidth="1"/>
    <col min="2" max="2" width="3" style="2" bestFit="1" customWidth="1"/>
    <col min="3" max="3" width="2.5703125" style="3" customWidth="1"/>
    <col min="4" max="4" width="37.140625" bestFit="1" customWidth="1"/>
    <col min="5" max="14" width="11" style="3" customWidth="1"/>
    <col min="15" max="15" width="11.42578125" style="3" bestFit="1" customWidth="1"/>
    <col min="16" max="16" width="11" style="3" customWidth="1"/>
  </cols>
  <sheetData>
    <row r="1" spans="1:18" ht="14.25" customHeight="1" thickBot="1" x14ac:dyDescent="0.3">
      <c r="E1" s="3" t="str">
        <f>IFERROR(IF((E2-E3)=(E8-F8),"Ok","Verificar"),"")</f>
        <v>Ok</v>
      </c>
    </row>
    <row r="2" spans="1:18" ht="15" x14ac:dyDescent="0.25">
      <c r="D2" s="4" t="s">
        <v>0</v>
      </c>
      <c r="E2" s="5">
        <f>IFERROR(F5+F6+E8+G8+H8+I8+J8+K8+L8+M8+N8,0)</f>
        <v>269</v>
      </c>
      <c r="F2" s="6"/>
      <c r="O2" s="7" t="s">
        <v>1</v>
      </c>
      <c r="P2" s="8">
        <f>COUNTIF($P$10:$P$97,O2)</f>
        <v>17</v>
      </c>
      <c r="Q2" s="9">
        <f>SUMIFS(O:O,P:P,O2)</f>
        <v>1450.45</v>
      </c>
      <c r="R2" s="9">
        <f>Q2/P2</f>
        <v>85.320588235294125</v>
      </c>
    </row>
    <row r="3" spans="1:18" ht="15" x14ac:dyDescent="0.25">
      <c r="D3" s="4" t="s">
        <v>2</v>
      </c>
      <c r="E3" s="5">
        <f>IFERROR(F5+F6+F8+G8+H8+I8+J8+K8+L8+M8+N8,0)</f>
        <v>207</v>
      </c>
      <c r="F3" s="10" t="s">
        <v>3</v>
      </c>
      <c r="G3" s="11">
        <v>1</v>
      </c>
      <c r="H3" s="11">
        <v>9</v>
      </c>
      <c r="I3" s="11">
        <v>14</v>
      </c>
      <c r="J3" s="11">
        <v>17</v>
      </c>
      <c r="K3" s="11">
        <v>13</v>
      </c>
      <c r="L3" s="11">
        <v>6</v>
      </c>
      <c r="M3" s="11">
        <v>7</v>
      </c>
      <c r="N3" s="11">
        <v>1</v>
      </c>
      <c r="O3" s="12" t="s">
        <v>4</v>
      </c>
      <c r="P3" s="13">
        <f>COUNTIF($P$10:$P$97,O3)</f>
        <v>28</v>
      </c>
      <c r="Q3" s="9">
        <f>SUMIFS(O:O,P:P,O3)</f>
        <v>811.59</v>
      </c>
      <c r="R3" s="9">
        <f>Q3/P3</f>
        <v>28.985357142857143</v>
      </c>
    </row>
    <row r="4" spans="1:18" ht="15" x14ac:dyDescent="0.25">
      <c r="D4" s="6"/>
      <c r="F4" s="10" t="s">
        <v>5</v>
      </c>
      <c r="G4" s="14">
        <v>0</v>
      </c>
      <c r="H4" s="14">
        <f t="shared" ref="H4:M4" si="0">G4+1</f>
        <v>1</v>
      </c>
      <c r="I4" s="14">
        <f t="shared" si="0"/>
        <v>2</v>
      </c>
      <c r="J4" s="14">
        <f t="shared" si="0"/>
        <v>3</v>
      </c>
      <c r="K4" s="14">
        <f t="shared" si="0"/>
        <v>4</v>
      </c>
      <c r="L4" s="14">
        <f t="shared" si="0"/>
        <v>5</v>
      </c>
      <c r="M4" s="14">
        <f t="shared" si="0"/>
        <v>6</v>
      </c>
      <c r="N4" s="15" t="s">
        <v>6</v>
      </c>
      <c r="O4" s="12" t="s">
        <v>7</v>
      </c>
      <c r="P4" s="13">
        <f>COUNTIF($P$10:$P$97,O4)</f>
        <v>29</v>
      </c>
      <c r="Q4" s="9">
        <f>SUMIFS(O:O,P:P,O4)</f>
        <v>636.31999999999994</v>
      </c>
      <c r="R4" s="9">
        <f>Q4/P4</f>
        <v>21.94206896551724</v>
      </c>
    </row>
    <row r="5" spans="1:18" ht="15.75" thickBot="1" x14ac:dyDescent="0.3">
      <c r="D5" s="4" t="s">
        <v>8</v>
      </c>
      <c r="E5" s="16">
        <v>3.22</v>
      </c>
      <c r="F5" s="17">
        <f>IF(E5=0,0,IF(E5&lt;2,5,IF(E5&lt;3,4,IF(E5&lt;4,3,IF(E5&lt;5,2,1)))))</f>
        <v>3</v>
      </c>
      <c r="G5" s="18" t="s">
        <v>9</v>
      </c>
      <c r="O5" s="19" t="s">
        <v>10</v>
      </c>
      <c r="P5" s="20">
        <f>COUNTIF($P$10:$P$97,O5)</f>
        <v>7</v>
      </c>
      <c r="Q5" s="9">
        <f>SUMIFS(O:O,P:P,O5)</f>
        <v>48.129999999999995</v>
      </c>
      <c r="R5" s="9">
        <f>Q5/P5</f>
        <v>6.8757142857142854</v>
      </c>
    </row>
    <row r="6" spans="1:18" ht="15" x14ac:dyDescent="0.25">
      <c r="D6" s="4" t="s">
        <v>11</v>
      </c>
      <c r="E6" s="16">
        <f>IFERROR(N8/E5,-0.001)</f>
        <v>3.4161490683229814</v>
      </c>
      <c r="F6" s="17">
        <f>IF(E6&gt;=8.5,90,IF(E6&gt;=8,85,IF(E6&gt;=7.5,80,IF(E6&gt;=7,75,IF(E6&gt;=6.5,70,IF(E6&gt;=6,65,IF(E6&gt;=5.5,60,IF(E6&gt;=5,55,IF(E6&gt;=4.5,50,IF(E6&gt;=4,45,IF(E6&gt;=3.5,40,IF(E6&gt;=3,35,IF(E6&gt;=2.5,30,IF(E6&gt;=2,25,IF(E6&gt;=1.5,20,IF(E6&gt;=1,15,IF(E6&gt;=0.5,10,IF(E6&gt;=0,5,0))))))))))))))))))</f>
        <v>35</v>
      </c>
      <c r="G6" s="18" t="s">
        <v>9</v>
      </c>
    </row>
    <row r="7" spans="1:18" ht="15" x14ac:dyDescent="0.25">
      <c r="G7"/>
    </row>
    <row r="8" spans="1:18" ht="15" x14ac:dyDescent="0.25">
      <c r="B8" s="21" t="s">
        <v>12</v>
      </c>
      <c r="C8" s="21"/>
      <c r="D8" s="21"/>
      <c r="E8" s="22">
        <f>SUM(E11:E97)</f>
        <v>62</v>
      </c>
      <c r="F8" s="22">
        <f t="shared" ref="F8:N8" si="1">SUM(F11:F97)</f>
        <v>0</v>
      </c>
      <c r="G8" s="22">
        <f t="shared" si="1"/>
        <v>37</v>
      </c>
      <c r="H8" s="22">
        <f t="shared" si="1"/>
        <v>34</v>
      </c>
      <c r="I8" s="22">
        <f t="shared" si="1"/>
        <v>13</v>
      </c>
      <c r="J8" s="22">
        <f t="shared" si="1"/>
        <v>17</v>
      </c>
      <c r="K8" s="22">
        <f t="shared" si="1"/>
        <v>14</v>
      </c>
      <c r="L8" s="22">
        <f t="shared" si="1"/>
        <v>23</v>
      </c>
      <c r="M8" s="22">
        <f t="shared" si="1"/>
        <v>20</v>
      </c>
      <c r="N8" s="22">
        <f t="shared" si="1"/>
        <v>11</v>
      </c>
      <c r="O8" s="23">
        <f>SUMIFS(O11:O97,B11:B97,1)</f>
        <v>2946.49</v>
      </c>
      <c r="P8" s="22"/>
    </row>
    <row r="9" spans="1:18" ht="27" customHeight="1" x14ac:dyDescent="0.25">
      <c r="A9" s="1" t="s">
        <v>13</v>
      </c>
      <c r="B9" s="21"/>
      <c r="C9" s="21"/>
      <c r="D9" s="21"/>
      <c r="E9" s="24" t="s">
        <v>14</v>
      </c>
      <c r="F9" s="24" t="s">
        <v>15</v>
      </c>
      <c r="G9" s="25" t="s">
        <v>16</v>
      </c>
      <c r="H9" s="25" t="s">
        <v>17</v>
      </c>
      <c r="I9" s="25" t="s">
        <v>18</v>
      </c>
      <c r="J9" s="25" t="s">
        <v>19</v>
      </c>
      <c r="K9" s="25" t="s">
        <v>20</v>
      </c>
      <c r="L9" s="25" t="s">
        <v>21</v>
      </c>
      <c r="M9" s="25" t="s">
        <v>22</v>
      </c>
      <c r="N9" s="25" t="s">
        <v>23</v>
      </c>
      <c r="O9" s="25" t="s">
        <v>24</v>
      </c>
      <c r="P9" s="25" t="s">
        <v>25</v>
      </c>
    </row>
    <row r="10" spans="1:18" ht="15" customHeight="1" x14ac:dyDescent="0.25">
      <c r="A10" s="1">
        <v>1</v>
      </c>
      <c r="B10" s="26" t="s">
        <v>26</v>
      </c>
      <c r="C10" s="26"/>
      <c r="D10" s="26"/>
      <c r="E10" s="26"/>
      <c r="F10" s="26"/>
      <c r="G10" s="26"/>
      <c r="H10" s="27"/>
      <c r="I10" s="27"/>
      <c r="J10" s="27"/>
      <c r="K10" s="27"/>
      <c r="L10" s="27"/>
      <c r="M10" s="27"/>
      <c r="N10" s="27"/>
      <c r="O10" s="28">
        <f>O11</f>
        <v>0</v>
      </c>
      <c r="P10" s="27"/>
    </row>
    <row r="11" spans="1:18" ht="15" customHeight="1" outlineLevel="1" x14ac:dyDescent="0.25">
      <c r="A11" s="1">
        <v>1</v>
      </c>
      <c r="B11" s="29">
        <v>1</v>
      </c>
      <c r="C11" s="27">
        <f t="shared" ref="C11:C74" si="2">IF(AND(E11="",F11=""),"-",SUM(E11:N11))</f>
        <v>3</v>
      </c>
      <c r="D11" s="30" t="s">
        <v>27</v>
      </c>
      <c r="E11" s="27">
        <v>1</v>
      </c>
      <c r="F11" s="27"/>
      <c r="G11" s="27">
        <v>1</v>
      </c>
      <c r="H11" s="27"/>
      <c r="I11" s="27"/>
      <c r="J11" s="27"/>
      <c r="K11" s="27"/>
      <c r="L11" s="27"/>
      <c r="M11" s="27">
        <v>1</v>
      </c>
      <c r="N11" s="27"/>
      <c r="O11" s="31">
        <v>0</v>
      </c>
      <c r="P11" s="27" t="s">
        <v>1</v>
      </c>
      <c r="R11" s="32"/>
    </row>
    <row r="12" spans="1:18" ht="15" customHeight="1" x14ac:dyDescent="0.25">
      <c r="A12" s="1">
        <v>3</v>
      </c>
      <c r="B12" s="26" t="s">
        <v>28</v>
      </c>
      <c r="C12" s="26"/>
      <c r="D12" s="26"/>
      <c r="E12" s="26"/>
      <c r="F12" s="26"/>
      <c r="G12" s="26"/>
      <c r="H12" s="27"/>
      <c r="I12" s="27"/>
      <c r="J12" s="27"/>
      <c r="K12" s="27"/>
      <c r="L12" s="27"/>
      <c r="M12" s="27"/>
      <c r="N12" s="27"/>
      <c r="O12" s="28">
        <f>SUM(O13:O39)</f>
        <v>291.77999999999997</v>
      </c>
      <c r="P12" s="27"/>
    </row>
    <row r="13" spans="1:18" ht="15" customHeight="1" outlineLevel="1" x14ac:dyDescent="0.25">
      <c r="A13" s="1">
        <v>1</v>
      </c>
      <c r="B13" s="22">
        <v>1</v>
      </c>
      <c r="C13" s="27">
        <f t="shared" si="2"/>
        <v>4</v>
      </c>
      <c r="D13" s="30" t="s">
        <v>29</v>
      </c>
      <c r="E13" s="27">
        <v>2</v>
      </c>
      <c r="F13" s="27"/>
      <c r="G13" s="27">
        <v>1</v>
      </c>
      <c r="H13" s="27"/>
      <c r="I13" s="27"/>
      <c r="J13" s="27">
        <v>1</v>
      </c>
      <c r="K13" s="27"/>
      <c r="L13" s="27"/>
      <c r="M13" s="27"/>
      <c r="N13" s="27"/>
      <c r="O13" s="33">
        <v>0.8</v>
      </c>
      <c r="P13" s="27" t="s">
        <v>10</v>
      </c>
      <c r="R13" s="32"/>
    </row>
    <row r="14" spans="1:18" ht="15" customHeight="1" outlineLevel="1" x14ac:dyDescent="0.25">
      <c r="A14" s="1">
        <v>1</v>
      </c>
      <c r="B14" s="22">
        <v>1</v>
      </c>
      <c r="C14" s="27">
        <f t="shared" si="2"/>
        <v>4</v>
      </c>
      <c r="D14" s="30" t="s">
        <v>30</v>
      </c>
      <c r="E14" s="27">
        <v>2</v>
      </c>
      <c r="F14" s="27"/>
      <c r="G14" s="27">
        <v>1</v>
      </c>
      <c r="H14" s="27"/>
      <c r="I14" s="27"/>
      <c r="J14" s="27"/>
      <c r="K14" s="27"/>
      <c r="L14" s="27">
        <v>1</v>
      </c>
      <c r="M14" s="27"/>
      <c r="N14" s="27"/>
      <c r="O14" s="33">
        <v>4.68</v>
      </c>
      <c r="P14" s="27" t="s">
        <v>10</v>
      </c>
      <c r="R14" s="32"/>
    </row>
    <row r="15" spans="1:18" ht="15" customHeight="1" outlineLevel="1" x14ac:dyDescent="0.25">
      <c r="A15" s="1">
        <v>1</v>
      </c>
      <c r="B15" s="22">
        <v>1</v>
      </c>
      <c r="C15" s="27">
        <f t="shared" si="2"/>
        <v>4</v>
      </c>
      <c r="D15" s="30" t="s">
        <v>31</v>
      </c>
      <c r="E15" s="27">
        <v>2</v>
      </c>
      <c r="F15" s="27"/>
      <c r="G15" s="27">
        <v>1</v>
      </c>
      <c r="H15" s="27"/>
      <c r="I15" s="27"/>
      <c r="J15" s="27"/>
      <c r="K15" s="27"/>
      <c r="L15" s="27"/>
      <c r="M15" s="27">
        <v>1</v>
      </c>
      <c r="N15" s="27"/>
      <c r="O15" s="33">
        <v>6.45</v>
      </c>
      <c r="P15" s="27" t="s">
        <v>4</v>
      </c>
      <c r="R15" s="32"/>
    </row>
    <row r="16" spans="1:18" ht="15" customHeight="1" outlineLevel="1" x14ac:dyDescent="0.25">
      <c r="A16" s="1">
        <v>1</v>
      </c>
      <c r="B16" s="22">
        <v>1</v>
      </c>
      <c r="C16" s="27">
        <f t="shared" si="2"/>
        <v>4</v>
      </c>
      <c r="D16" s="30" t="s">
        <v>32</v>
      </c>
      <c r="E16" s="27">
        <v>2</v>
      </c>
      <c r="F16" s="27"/>
      <c r="G16" s="27">
        <v>1</v>
      </c>
      <c r="H16" s="27"/>
      <c r="I16" s="27"/>
      <c r="J16" s="27"/>
      <c r="K16" s="27"/>
      <c r="L16" s="27"/>
      <c r="M16" s="27">
        <v>1</v>
      </c>
      <c r="N16" s="27"/>
      <c r="O16" s="34">
        <v>11.95</v>
      </c>
      <c r="P16" s="27" t="s">
        <v>4</v>
      </c>
      <c r="R16" s="32"/>
    </row>
    <row r="17" spans="1:16" ht="15" customHeight="1" outlineLevel="1" x14ac:dyDescent="0.25">
      <c r="A17" s="1">
        <v>1</v>
      </c>
      <c r="B17" s="22">
        <v>1</v>
      </c>
      <c r="C17" s="27">
        <f t="shared" si="2"/>
        <v>4</v>
      </c>
      <c r="D17" s="30" t="s">
        <v>33</v>
      </c>
      <c r="E17" s="27">
        <v>2</v>
      </c>
      <c r="F17" s="27"/>
      <c r="G17" s="27">
        <v>1</v>
      </c>
      <c r="H17" s="27"/>
      <c r="I17" s="27"/>
      <c r="J17" s="27"/>
      <c r="K17" s="27"/>
      <c r="L17" s="27">
        <v>1</v>
      </c>
      <c r="M17" s="27"/>
      <c r="N17" s="27"/>
      <c r="O17" s="33">
        <v>2.25</v>
      </c>
      <c r="P17" s="27" t="s">
        <v>7</v>
      </c>
    </row>
    <row r="18" spans="1:16" ht="15" customHeight="1" outlineLevel="1" x14ac:dyDescent="0.25">
      <c r="A18" s="1">
        <v>1</v>
      </c>
      <c r="B18" s="22">
        <v>1</v>
      </c>
      <c r="C18" s="27">
        <f t="shared" si="2"/>
        <v>5</v>
      </c>
      <c r="D18" s="30" t="s">
        <v>34</v>
      </c>
      <c r="E18" s="27">
        <v>2</v>
      </c>
      <c r="F18" s="27"/>
      <c r="G18" s="27">
        <v>1</v>
      </c>
      <c r="H18" s="27">
        <v>1</v>
      </c>
      <c r="I18" s="27"/>
      <c r="J18" s="27"/>
      <c r="K18" s="27"/>
      <c r="L18" s="27">
        <v>1</v>
      </c>
      <c r="M18" s="27"/>
      <c r="N18" s="27"/>
      <c r="O18" s="33">
        <v>3.1</v>
      </c>
      <c r="P18" s="27" t="s">
        <v>4</v>
      </c>
    </row>
    <row r="19" spans="1:16" ht="15" customHeight="1" outlineLevel="1" x14ac:dyDescent="0.25">
      <c r="A19" s="1">
        <v>1</v>
      </c>
      <c r="B19" s="35">
        <v>1</v>
      </c>
      <c r="C19" s="27">
        <f t="shared" si="2"/>
        <v>2</v>
      </c>
      <c r="D19" s="30" t="s">
        <v>35</v>
      </c>
      <c r="E19" s="27">
        <v>1</v>
      </c>
      <c r="F19" s="27"/>
      <c r="G19" s="27"/>
      <c r="H19" s="27"/>
      <c r="I19" s="27"/>
      <c r="J19" s="27">
        <v>1</v>
      </c>
      <c r="K19" s="27"/>
      <c r="L19" s="27"/>
      <c r="M19" s="27"/>
      <c r="N19" s="27"/>
      <c r="O19" s="33">
        <v>8</v>
      </c>
      <c r="P19" s="27" t="s">
        <v>7</v>
      </c>
    </row>
    <row r="20" spans="1:16" ht="15" customHeight="1" outlineLevel="1" x14ac:dyDescent="0.25">
      <c r="A20" s="1">
        <v>1</v>
      </c>
      <c r="B20" s="22">
        <v>1</v>
      </c>
      <c r="C20" s="27">
        <f t="shared" si="2"/>
        <v>5</v>
      </c>
      <c r="D20" s="30" t="s">
        <v>36</v>
      </c>
      <c r="E20" s="27">
        <v>2</v>
      </c>
      <c r="F20" s="27"/>
      <c r="G20" s="27">
        <v>1</v>
      </c>
      <c r="H20" s="27"/>
      <c r="I20" s="27"/>
      <c r="J20" s="27">
        <v>1</v>
      </c>
      <c r="K20" s="27"/>
      <c r="L20" s="27"/>
      <c r="M20" s="27"/>
      <c r="N20" s="27">
        <v>1</v>
      </c>
      <c r="O20" s="33">
        <v>2.81</v>
      </c>
      <c r="P20" s="27" t="s">
        <v>4</v>
      </c>
    </row>
    <row r="21" spans="1:16" ht="15" customHeight="1" outlineLevel="1" x14ac:dyDescent="0.25">
      <c r="A21" s="1">
        <v>1</v>
      </c>
      <c r="B21" s="22">
        <v>1</v>
      </c>
      <c r="C21" s="27">
        <f t="shared" si="2"/>
        <v>4</v>
      </c>
      <c r="D21" s="30" t="s">
        <v>37</v>
      </c>
      <c r="E21" s="27">
        <v>1</v>
      </c>
      <c r="F21" s="27"/>
      <c r="G21" s="27"/>
      <c r="H21" s="27"/>
      <c r="I21" s="27"/>
      <c r="J21" s="27">
        <v>1</v>
      </c>
      <c r="K21" s="27"/>
      <c r="L21" s="27">
        <v>2</v>
      </c>
      <c r="M21" s="27"/>
      <c r="N21" s="27"/>
      <c r="O21" s="33">
        <v>3</v>
      </c>
      <c r="P21" s="27" t="s">
        <v>4</v>
      </c>
    </row>
    <row r="22" spans="1:16" ht="15" customHeight="1" outlineLevel="1" x14ac:dyDescent="0.25">
      <c r="A22" s="1">
        <v>1</v>
      </c>
      <c r="B22" s="22">
        <v>1</v>
      </c>
      <c r="C22" s="27">
        <f t="shared" si="2"/>
        <v>6</v>
      </c>
      <c r="D22" s="30" t="s">
        <v>38</v>
      </c>
      <c r="E22" s="27">
        <v>2</v>
      </c>
      <c r="F22" s="27"/>
      <c r="G22" s="27">
        <v>1</v>
      </c>
      <c r="H22" s="27">
        <v>1</v>
      </c>
      <c r="I22" s="27">
        <v>1</v>
      </c>
      <c r="J22" s="27"/>
      <c r="K22" s="27"/>
      <c r="L22" s="27">
        <v>1</v>
      </c>
      <c r="M22" s="27"/>
      <c r="N22" s="27"/>
      <c r="O22" s="33">
        <v>0.39</v>
      </c>
      <c r="P22" s="27" t="s">
        <v>4</v>
      </c>
    </row>
    <row r="23" spans="1:16" ht="15" customHeight="1" outlineLevel="1" x14ac:dyDescent="0.25">
      <c r="A23" s="1">
        <v>1</v>
      </c>
      <c r="B23" s="22">
        <v>1</v>
      </c>
      <c r="C23" s="27">
        <f t="shared" si="2"/>
        <v>5</v>
      </c>
      <c r="D23" s="30" t="s">
        <v>39</v>
      </c>
      <c r="E23" s="27">
        <v>2</v>
      </c>
      <c r="F23" s="27"/>
      <c r="G23" s="27">
        <v>1</v>
      </c>
      <c r="H23" s="27"/>
      <c r="I23" s="27"/>
      <c r="J23" s="27"/>
      <c r="K23" s="27"/>
      <c r="L23" s="27">
        <v>2</v>
      </c>
      <c r="M23" s="27"/>
      <c r="N23" s="27"/>
      <c r="O23" s="33">
        <v>3.33</v>
      </c>
      <c r="P23" s="27" t="s">
        <v>7</v>
      </c>
    </row>
    <row r="24" spans="1:16" ht="15" customHeight="1" outlineLevel="1" x14ac:dyDescent="0.25">
      <c r="A24" s="1">
        <v>1</v>
      </c>
      <c r="B24" s="36">
        <v>1</v>
      </c>
      <c r="C24" s="27">
        <f t="shared" si="2"/>
        <v>4</v>
      </c>
      <c r="D24" s="30" t="s">
        <v>40</v>
      </c>
      <c r="E24" s="27">
        <v>2</v>
      </c>
      <c r="F24" s="27"/>
      <c r="G24" s="27">
        <v>1</v>
      </c>
      <c r="H24" s="27"/>
      <c r="I24" s="27"/>
      <c r="J24" s="27"/>
      <c r="K24" s="27"/>
      <c r="L24" s="27"/>
      <c r="M24" s="27">
        <v>1</v>
      </c>
      <c r="N24" s="27"/>
      <c r="O24" s="33">
        <v>0.3</v>
      </c>
      <c r="P24" s="27" t="s">
        <v>10</v>
      </c>
    </row>
    <row r="25" spans="1:16" ht="15" customHeight="1" outlineLevel="1" x14ac:dyDescent="0.25">
      <c r="A25" s="1">
        <v>1</v>
      </c>
      <c r="B25" s="22">
        <v>1</v>
      </c>
      <c r="C25" s="27">
        <f t="shared" si="2"/>
        <v>3</v>
      </c>
      <c r="D25" s="30" t="s">
        <v>41</v>
      </c>
      <c r="E25" s="27">
        <v>1</v>
      </c>
      <c r="F25" s="27"/>
      <c r="G25" s="27"/>
      <c r="H25" s="27">
        <v>1</v>
      </c>
      <c r="I25" s="27"/>
      <c r="J25" s="27">
        <v>1</v>
      </c>
      <c r="K25" s="27"/>
      <c r="L25" s="27"/>
      <c r="M25" s="27"/>
      <c r="N25" s="27"/>
      <c r="O25" s="37">
        <v>29.75</v>
      </c>
      <c r="P25" s="27" t="s">
        <v>7</v>
      </c>
    </row>
    <row r="26" spans="1:16" ht="15" customHeight="1" outlineLevel="1" x14ac:dyDescent="0.25">
      <c r="A26" s="1">
        <v>1</v>
      </c>
      <c r="B26" s="36">
        <v>1</v>
      </c>
      <c r="C26" s="27">
        <f t="shared" si="2"/>
        <v>5</v>
      </c>
      <c r="D26" s="30" t="s">
        <v>42</v>
      </c>
      <c r="E26" s="27">
        <v>2</v>
      </c>
      <c r="F26" s="27"/>
      <c r="G26" s="27">
        <v>1</v>
      </c>
      <c r="H26" s="27"/>
      <c r="I26" s="27"/>
      <c r="J26" s="27"/>
      <c r="K26" s="27"/>
      <c r="L26" s="27">
        <v>2</v>
      </c>
      <c r="M26" s="27"/>
      <c r="N26" s="27"/>
      <c r="O26" s="33">
        <v>4.24</v>
      </c>
      <c r="P26" s="27" t="s">
        <v>10</v>
      </c>
    </row>
    <row r="27" spans="1:16" ht="15" customHeight="1" outlineLevel="1" x14ac:dyDescent="0.25">
      <c r="A27" s="1">
        <v>1</v>
      </c>
      <c r="B27" s="22">
        <v>1</v>
      </c>
      <c r="C27" s="27">
        <f t="shared" si="2"/>
        <v>4</v>
      </c>
      <c r="D27" s="30" t="s">
        <v>43</v>
      </c>
      <c r="E27" s="27">
        <v>2</v>
      </c>
      <c r="F27" s="27"/>
      <c r="G27" s="27">
        <v>1</v>
      </c>
      <c r="H27" s="27"/>
      <c r="I27" s="27"/>
      <c r="J27" s="27"/>
      <c r="K27" s="27"/>
      <c r="L27" s="27"/>
      <c r="M27" s="27">
        <v>1</v>
      </c>
      <c r="N27" s="27"/>
      <c r="O27" s="33">
        <v>4.05</v>
      </c>
      <c r="P27" s="27" t="s">
        <v>7</v>
      </c>
    </row>
    <row r="28" spans="1:16" ht="15" customHeight="1" outlineLevel="1" x14ac:dyDescent="0.25">
      <c r="A28" s="1">
        <v>1</v>
      </c>
      <c r="B28" s="22">
        <v>1</v>
      </c>
      <c r="C28" s="27">
        <f t="shared" si="2"/>
        <v>7</v>
      </c>
      <c r="D28" s="30" t="s">
        <v>44</v>
      </c>
      <c r="E28" s="27">
        <v>1</v>
      </c>
      <c r="F28" s="27"/>
      <c r="G28" s="27"/>
      <c r="H28" s="27">
        <v>3</v>
      </c>
      <c r="I28" s="27"/>
      <c r="J28" s="27">
        <v>1</v>
      </c>
      <c r="K28" s="27"/>
      <c r="L28" s="27">
        <v>2</v>
      </c>
      <c r="M28" s="27"/>
      <c r="N28" s="27"/>
      <c r="O28" s="37">
        <v>49.5</v>
      </c>
      <c r="P28" s="27" t="s">
        <v>1</v>
      </c>
    </row>
    <row r="29" spans="1:16" ht="15" customHeight="1" outlineLevel="1" x14ac:dyDescent="0.25">
      <c r="A29" s="1">
        <v>1</v>
      </c>
      <c r="B29" s="22">
        <v>1</v>
      </c>
      <c r="C29" s="27">
        <f t="shared" si="2"/>
        <v>8</v>
      </c>
      <c r="D29" s="30" t="s">
        <v>45</v>
      </c>
      <c r="E29" s="27">
        <v>2</v>
      </c>
      <c r="F29" s="27"/>
      <c r="G29" s="27">
        <v>1</v>
      </c>
      <c r="H29" s="27"/>
      <c r="I29" s="27">
        <v>1</v>
      </c>
      <c r="J29" s="27">
        <v>1</v>
      </c>
      <c r="K29" s="27">
        <v>1</v>
      </c>
      <c r="L29" s="27">
        <v>2</v>
      </c>
      <c r="M29" s="27"/>
      <c r="N29" s="27"/>
      <c r="O29" s="33">
        <v>5.5</v>
      </c>
      <c r="P29" s="27" t="s">
        <v>1</v>
      </c>
    </row>
    <row r="30" spans="1:16" ht="15" customHeight="1" outlineLevel="1" x14ac:dyDescent="0.25">
      <c r="A30" s="1">
        <v>1</v>
      </c>
      <c r="B30" s="22">
        <v>1</v>
      </c>
      <c r="C30" s="27">
        <f t="shared" si="2"/>
        <v>5</v>
      </c>
      <c r="D30" s="30" t="s">
        <v>46</v>
      </c>
      <c r="E30" s="27">
        <v>2</v>
      </c>
      <c r="F30" s="27"/>
      <c r="G30" s="27">
        <v>1</v>
      </c>
      <c r="H30" s="27">
        <v>1</v>
      </c>
      <c r="I30" s="27"/>
      <c r="J30" s="27">
        <v>1</v>
      </c>
      <c r="K30" s="27"/>
      <c r="L30" s="27"/>
      <c r="M30" s="27"/>
      <c r="N30" s="27"/>
      <c r="O30" s="37">
        <v>66.34</v>
      </c>
      <c r="P30" s="27" t="s">
        <v>1</v>
      </c>
    </row>
    <row r="31" spans="1:16" ht="15" customHeight="1" outlineLevel="1" x14ac:dyDescent="0.25">
      <c r="A31" s="1">
        <v>1</v>
      </c>
      <c r="B31" s="22">
        <v>1</v>
      </c>
      <c r="C31" s="27">
        <f t="shared" si="2"/>
        <v>4</v>
      </c>
      <c r="D31" s="30" t="s">
        <v>47</v>
      </c>
      <c r="E31" s="27">
        <v>1</v>
      </c>
      <c r="F31" s="27"/>
      <c r="G31" s="27">
        <v>1</v>
      </c>
      <c r="H31" s="27"/>
      <c r="I31" s="27">
        <v>1</v>
      </c>
      <c r="J31" s="27"/>
      <c r="K31" s="27"/>
      <c r="L31" s="27"/>
      <c r="M31" s="27">
        <v>1</v>
      </c>
      <c r="N31" s="27"/>
      <c r="O31" s="33">
        <v>3.2</v>
      </c>
      <c r="P31" s="27" t="s">
        <v>7</v>
      </c>
    </row>
    <row r="32" spans="1:16" ht="15" customHeight="1" outlineLevel="1" x14ac:dyDescent="0.25">
      <c r="A32" s="1">
        <v>1</v>
      </c>
      <c r="B32" s="22">
        <v>1</v>
      </c>
      <c r="C32" s="27">
        <f t="shared" si="2"/>
        <v>7</v>
      </c>
      <c r="D32" s="30" t="s">
        <v>48</v>
      </c>
      <c r="E32" s="27">
        <v>2</v>
      </c>
      <c r="F32" s="27"/>
      <c r="G32" s="27">
        <v>1</v>
      </c>
      <c r="H32" s="27">
        <v>1</v>
      </c>
      <c r="I32" s="27">
        <v>1</v>
      </c>
      <c r="J32" s="27"/>
      <c r="K32" s="27"/>
      <c r="L32" s="27">
        <v>1</v>
      </c>
      <c r="M32" s="27">
        <v>1</v>
      </c>
      <c r="N32" s="27"/>
      <c r="O32" s="37">
        <v>29.75</v>
      </c>
      <c r="P32" s="27" t="s">
        <v>1</v>
      </c>
    </row>
    <row r="33" spans="1:16" ht="15" customHeight="1" outlineLevel="1" x14ac:dyDescent="0.25">
      <c r="A33" s="1">
        <v>1</v>
      </c>
      <c r="B33" s="36">
        <v>1</v>
      </c>
      <c r="C33" s="27">
        <f t="shared" si="2"/>
        <v>4</v>
      </c>
      <c r="D33" s="30" t="s">
        <v>49</v>
      </c>
      <c r="E33" s="27">
        <v>1</v>
      </c>
      <c r="F33" s="27"/>
      <c r="G33" s="27"/>
      <c r="H33" s="27">
        <v>1</v>
      </c>
      <c r="I33" s="27"/>
      <c r="J33" s="27">
        <v>1</v>
      </c>
      <c r="K33" s="27"/>
      <c r="L33" s="27">
        <v>1</v>
      </c>
      <c r="M33" s="27"/>
      <c r="N33" s="27"/>
      <c r="O33" s="34">
        <v>19.8</v>
      </c>
      <c r="P33" s="27" t="s">
        <v>10</v>
      </c>
    </row>
    <row r="34" spans="1:16" ht="15" customHeight="1" outlineLevel="1" x14ac:dyDescent="0.25">
      <c r="A34" s="1">
        <v>1</v>
      </c>
      <c r="B34" s="22">
        <v>1</v>
      </c>
      <c r="C34" s="27">
        <f t="shared" si="2"/>
        <v>5</v>
      </c>
      <c r="D34" s="30" t="s">
        <v>50</v>
      </c>
      <c r="E34" s="27">
        <v>2</v>
      </c>
      <c r="F34" s="27"/>
      <c r="G34" s="27">
        <v>2</v>
      </c>
      <c r="H34" s="27"/>
      <c r="I34" s="27"/>
      <c r="J34" s="27"/>
      <c r="K34" s="27"/>
      <c r="L34" s="27">
        <v>1</v>
      </c>
      <c r="M34" s="27"/>
      <c r="N34" s="27"/>
      <c r="O34" s="33">
        <v>1.5</v>
      </c>
      <c r="P34" s="27" t="s">
        <v>7</v>
      </c>
    </row>
    <row r="35" spans="1:16" ht="15" customHeight="1" outlineLevel="1" x14ac:dyDescent="0.25">
      <c r="A35" s="1">
        <v>1</v>
      </c>
      <c r="B35" s="22">
        <v>1</v>
      </c>
      <c r="C35" s="27">
        <f t="shared" si="2"/>
        <v>2</v>
      </c>
      <c r="D35" s="30" t="s">
        <v>51</v>
      </c>
      <c r="E35" s="27">
        <v>1</v>
      </c>
      <c r="F35" s="27"/>
      <c r="G35" s="27"/>
      <c r="H35" s="27"/>
      <c r="I35" s="27">
        <v>1</v>
      </c>
      <c r="J35" s="27"/>
      <c r="K35" s="27"/>
      <c r="L35" s="27"/>
      <c r="M35" s="27"/>
      <c r="N35" s="27"/>
      <c r="O35" s="33">
        <v>1.76</v>
      </c>
      <c r="P35" s="27" t="s">
        <v>7</v>
      </c>
    </row>
    <row r="36" spans="1:16" ht="15" customHeight="1" outlineLevel="1" x14ac:dyDescent="0.25">
      <c r="A36" s="1">
        <v>1</v>
      </c>
      <c r="B36" s="22">
        <v>1</v>
      </c>
      <c r="C36" s="27">
        <f t="shared" si="2"/>
        <v>2</v>
      </c>
      <c r="D36" s="30" t="s">
        <v>52</v>
      </c>
      <c r="E36" s="27">
        <v>1</v>
      </c>
      <c r="F36" s="27"/>
      <c r="G36" s="27">
        <v>1</v>
      </c>
      <c r="H36" s="27"/>
      <c r="I36" s="27"/>
      <c r="J36" s="27"/>
      <c r="K36" s="27"/>
      <c r="L36" s="27"/>
      <c r="M36" s="27"/>
      <c r="N36" s="27"/>
      <c r="O36" s="33">
        <v>8.75</v>
      </c>
      <c r="P36" s="27" t="s">
        <v>7</v>
      </c>
    </row>
    <row r="37" spans="1:16" ht="15" customHeight="1" outlineLevel="1" x14ac:dyDescent="0.25">
      <c r="A37" s="1">
        <v>1</v>
      </c>
      <c r="B37" s="22">
        <v>1</v>
      </c>
      <c r="C37" s="27">
        <f t="shared" si="2"/>
        <v>6</v>
      </c>
      <c r="D37" s="30" t="s">
        <v>53</v>
      </c>
      <c r="E37" s="27">
        <v>2</v>
      </c>
      <c r="F37" s="27"/>
      <c r="G37" s="27">
        <v>1</v>
      </c>
      <c r="H37" s="27">
        <v>1</v>
      </c>
      <c r="I37" s="27"/>
      <c r="J37" s="27">
        <v>1</v>
      </c>
      <c r="K37" s="27"/>
      <c r="L37" s="27">
        <v>1</v>
      </c>
      <c r="M37" s="27"/>
      <c r="N37" s="27"/>
      <c r="O37" s="33">
        <v>2.5</v>
      </c>
      <c r="P37" s="27" t="s">
        <v>4</v>
      </c>
    </row>
    <row r="38" spans="1:16" ht="15" customHeight="1" outlineLevel="1" x14ac:dyDescent="0.25">
      <c r="A38" s="1">
        <v>1</v>
      </c>
      <c r="B38" s="36">
        <v>1</v>
      </c>
      <c r="C38" s="27">
        <f t="shared" si="2"/>
        <v>3</v>
      </c>
      <c r="D38" s="30" t="s">
        <v>54</v>
      </c>
      <c r="E38" s="27">
        <v>1</v>
      </c>
      <c r="F38" s="27"/>
      <c r="G38" s="27"/>
      <c r="H38" s="27"/>
      <c r="I38" s="27"/>
      <c r="J38" s="27">
        <v>1</v>
      </c>
      <c r="K38" s="27"/>
      <c r="L38" s="27"/>
      <c r="M38" s="27"/>
      <c r="N38" s="27">
        <v>1</v>
      </c>
      <c r="O38" s="34">
        <v>17.899999999999999</v>
      </c>
      <c r="P38" s="27" t="s">
        <v>10</v>
      </c>
    </row>
    <row r="39" spans="1:16" ht="15" customHeight="1" outlineLevel="1" x14ac:dyDescent="0.25">
      <c r="A39" s="1">
        <v>1</v>
      </c>
      <c r="B39" s="22">
        <v>1</v>
      </c>
      <c r="C39" s="27">
        <f t="shared" si="2"/>
        <v>4</v>
      </c>
      <c r="D39" s="30" t="s">
        <v>55</v>
      </c>
      <c r="E39" s="27">
        <v>2</v>
      </c>
      <c r="F39" s="27"/>
      <c r="G39" s="27">
        <v>1</v>
      </c>
      <c r="H39" s="27"/>
      <c r="I39" s="27"/>
      <c r="J39" s="27"/>
      <c r="K39" s="27"/>
      <c r="L39" s="27">
        <v>1</v>
      </c>
      <c r="M39" s="27"/>
      <c r="N39" s="27"/>
      <c r="O39" s="33">
        <v>0.18</v>
      </c>
      <c r="P39" s="27" t="s">
        <v>4</v>
      </c>
    </row>
    <row r="40" spans="1:16" ht="15" customHeight="1" x14ac:dyDescent="0.25">
      <c r="A40" s="1">
        <v>20</v>
      </c>
      <c r="B40" s="26" t="s">
        <v>56</v>
      </c>
      <c r="C40" s="26"/>
      <c r="D40" s="26"/>
      <c r="E40" s="26"/>
      <c r="F40" s="26"/>
      <c r="G40" s="26"/>
      <c r="H40" s="27"/>
      <c r="I40" s="27"/>
      <c r="J40" s="27"/>
      <c r="K40" s="27"/>
      <c r="L40" s="27"/>
      <c r="M40" s="27"/>
      <c r="N40" s="27"/>
      <c r="O40" s="28">
        <f>SUM(O41:O43)</f>
        <v>126.66</v>
      </c>
      <c r="P40" s="27"/>
    </row>
    <row r="41" spans="1:16" ht="15" customHeight="1" outlineLevel="1" x14ac:dyDescent="0.25">
      <c r="A41" s="1">
        <v>21</v>
      </c>
      <c r="B41" s="27">
        <v>1</v>
      </c>
      <c r="C41" s="27">
        <f t="shared" si="2"/>
        <v>7</v>
      </c>
      <c r="D41" s="30" t="s">
        <v>57</v>
      </c>
      <c r="E41" s="38">
        <v>1</v>
      </c>
      <c r="F41" s="38"/>
      <c r="G41" s="38">
        <v>2</v>
      </c>
      <c r="H41" s="27">
        <v>1</v>
      </c>
      <c r="I41" s="27"/>
      <c r="J41" s="27">
        <v>1</v>
      </c>
      <c r="K41" s="27"/>
      <c r="L41" s="27">
        <v>1</v>
      </c>
      <c r="M41" s="27">
        <v>1</v>
      </c>
      <c r="N41" s="27"/>
      <c r="O41" s="37">
        <v>71.91</v>
      </c>
      <c r="P41" s="27" t="s">
        <v>1</v>
      </c>
    </row>
    <row r="42" spans="1:16" ht="15" customHeight="1" outlineLevel="1" x14ac:dyDescent="0.25">
      <c r="B42" s="27">
        <v>1</v>
      </c>
      <c r="C42" s="27">
        <f t="shared" si="2"/>
        <v>4</v>
      </c>
      <c r="D42" s="30" t="s">
        <v>58</v>
      </c>
      <c r="E42" s="38" t="s">
        <v>59</v>
      </c>
      <c r="F42" s="38" t="s">
        <v>59</v>
      </c>
      <c r="G42" s="38"/>
      <c r="H42" s="27"/>
      <c r="I42" s="27"/>
      <c r="J42" s="27">
        <v>1</v>
      </c>
      <c r="K42" s="27">
        <v>1</v>
      </c>
      <c r="L42" s="27"/>
      <c r="M42" s="27"/>
      <c r="N42" s="27">
        <v>2</v>
      </c>
      <c r="O42" s="37">
        <v>34.75</v>
      </c>
      <c r="P42" s="27" t="s">
        <v>7</v>
      </c>
    </row>
    <row r="43" spans="1:16" ht="15" customHeight="1" outlineLevel="1" x14ac:dyDescent="0.25">
      <c r="B43" s="27">
        <v>1</v>
      </c>
      <c r="C43" s="27">
        <f t="shared" si="2"/>
        <v>5</v>
      </c>
      <c r="D43" s="30" t="s">
        <v>60</v>
      </c>
      <c r="E43" s="38">
        <v>1</v>
      </c>
      <c r="F43" s="38"/>
      <c r="G43" s="38">
        <v>1</v>
      </c>
      <c r="H43" s="27">
        <v>1</v>
      </c>
      <c r="I43" s="27"/>
      <c r="J43" s="27"/>
      <c r="K43" s="27"/>
      <c r="L43" s="27"/>
      <c r="M43" s="27">
        <v>2</v>
      </c>
      <c r="N43" s="27"/>
      <c r="O43" s="34">
        <v>20</v>
      </c>
      <c r="P43" s="27" t="s">
        <v>4</v>
      </c>
    </row>
    <row r="44" spans="1:16" ht="15" customHeight="1" x14ac:dyDescent="0.25">
      <c r="A44" s="1">
        <v>23</v>
      </c>
      <c r="B44" s="26" t="s">
        <v>61</v>
      </c>
      <c r="C44" s="26"/>
      <c r="D44" s="26"/>
      <c r="E44" s="26"/>
      <c r="F44" s="26"/>
      <c r="G44" s="26"/>
      <c r="H44" s="27"/>
      <c r="I44" s="27"/>
      <c r="J44" s="27"/>
      <c r="K44" s="27"/>
      <c r="L44" s="27"/>
      <c r="M44" s="27"/>
      <c r="N44" s="27"/>
      <c r="O44" s="28">
        <f>SUM(O45:O64)</f>
        <v>1110.4100000000001</v>
      </c>
      <c r="P44" s="27"/>
    </row>
    <row r="45" spans="1:16" ht="15" customHeight="1" outlineLevel="1" x14ac:dyDescent="0.25">
      <c r="A45" s="1">
        <v>21</v>
      </c>
      <c r="B45" s="27">
        <v>1</v>
      </c>
      <c r="C45" s="27">
        <f t="shared" si="2"/>
        <v>1</v>
      </c>
      <c r="D45" s="30" t="s">
        <v>62</v>
      </c>
      <c r="E45" s="38" t="s">
        <v>59</v>
      </c>
      <c r="F45" s="38"/>
      <c r="G45" s="38"/>
      <c r="H45" s="27"/>
      <c r="I45" s="27"/>
      <c r="J45" s="27"/>
      <c r="K45" s="27">
        <v>1</v>
      </c>
      <c r="L45" s="27"/>
      <c r="M45" s="27"/>
      <c r="N45" s="27"/>
      <c r="O45" s="33">
        <v>5.54</v>
      </c>
      <c r="P45" s="27" t="s">
        <v>4</v>
      </c>
    </row>
    <row r="46" spans="1:16" ht="15" customHeight="1" outlineLevel="1" x14ac:dyDescent="0.25">
      <c r="B46" s="27">
        <v>1</v>
      </c>
      <c r="C46" s="27">
        <f t="shared" si="2"/>
        <v>4</v>
      </c>
      <c r="D46" s="30" t="s">
        <v>63</v>
      </c>
      <c r="E46" s="38">
        <v>1</v>
      </c>
      <c r="F46" s="38"/>
      <c r="G46" s="38">
        <v>1</v>
      </c>
      <c r="H46" s="27">
        <v>1</v>
      </c>
      <c r="I46" s="27"/>
      <c r="J46" s="27"/>
      <c r="K46" s="27">
        <v>1</v>
      </c>
      <c r="L46" s="27"/>
      <c r="M46" s="27"/>
      <c r="N46" s="27"/>
      <c r="O46" s="33">
        <v>0.41</v>
      </c>
      <c r="P46" s="27" t="s">
        <v>10</v>
      </c>
    </row>
    <row r="47" spans="1:16" ht="15" customHeight="1" outlineLevel="1" x14ac:dyDescent="0.25">
      <c r="B47" s="27">
        <v>1</v>
      </c>
      <c r="C47" s="27">
        <f t="shared" si="2"/>
        <v>2</v>
      </c>
      <c r="D47" s="30" t="s">
        <v>64</v>
      </c>
      <c r="E47" s="38"/>
      <c r="F47" s="38" t="s">
        <v>59</v>
      </c>
      <c r="G47" s="38"/>
      <c r="H47" s="27">
        <v>1</v>
      </c>
      <c r="I47" s="27"/>
      <c r="J47" s="27"/>
      <c r="K47" s="27"/>
      <c r="L47" s="27"/>
      <c r="M47" s="27"/>
      <c r="N47" s="27">
        <v>1</v>
      </c>
      <c r="O47" s="37">
        <v>20.399999999999999</v>
      </c>
      <c r="P47" s="27" t="s">
        <v>7</v>
      </c>
    </row>
    <row r="48" spans="1:16" ht="15" customHeight="1" outlineLevel="1" x14ac:dyDescent="0.25">
      <c r="B48" s="27">
        <v>1</v>
      </c>
      <c r="C48" s="27">
        <f t="shared" si="2"/>
        <v>1</v>
      </c>
      <c r="D48" s="30" t="s">
        <v>65</v>
      </c>
      <c r="E48" s="38"/>
      <c r="F48" s="38" t="s">
        <v>59</v>
      </c>
      <c r="G48" s="38"/>
      <c r="H48" s="27">
        <v>1</v>
      </c>
      <c r="I48" s="27"/>
      <c r="J48" s="27"/>
      <c r="K48" s="27"/>
      <c r="L48" s="27"/>
      <c r="M48" s="27"/>
      <c r="N48" s="27"/>
      <c r="O48" s="39">
        <v>191.25</v>
      </c>
      <c r="P48" s="27" t="s">
        <v>1</v>
      </c>
    </row>
    <row r="49" spans="1:16" ht="15" customHeight="1" outlineLevel="1" x14ac:dyDescent="0.25">
      <c r="B49" s="27">
        <v>1</v>
      </c>
      <c r="C49" s="27">
        <f t="shared" si="2"/>
        <v>1</v>
      </c>
      <c r="D49" s="30" t="s">
        <v>66</v>
      </c>
      <c r="E49" s="38"/>
      <c r="F49" s="38" t="s">
        <v>59</v>
      </c>
      <c r="G49" s="38"/>
      <c r="H49" s="27"/>
      <c r="I49" s="27"/>
      <c r="J49" s="27"/>
      <c r="K49" s="27">
        <v>1</v>
      </c>
      <c r="L49" s="27"/>
      <c r="M49" s="27"/>
      <c r="N49" s="27"/>
      <c r="O49" s="33">
        <v>2.89</v>
      </c>
      <c r="P49" s="27" t="s">
        <v>7</v>
      </c>
    </row>
    <row r="50" spans="1:16" ht="15" customHeight="1" outlineLevel="1" x14ac:dyDescent="0.25">
      <c r="B50" s="27">
        <v>1</v>
      </c>
      <c r="C50" s="27">
        <f t="shared" si="2"/>
        <v>3</v>
      </c>
      <c r="D50" s="30" t="s">
        <v>67</v>
      </c>
      <c r="E50" s="38">
        <v>1</v>
      </c>
      <c r="F50" s="38"/>
      <c r="G50" s="38">
        <v>1</v>
      </c>
      <c r="H50" s="27"/>
      <c r="I50" s="27"/>
      <c r="J50" s="27"/>
      <c r="K50" s="27"/>
      <c r="L50" s="27"/>
      <c r="M50" s="27">
        <v>1</v>
      </c>
      <c r="N50" s="27"/>
      <c r="O50" s="33">
        <v>9.75</v>
      </c>
      <c r="P50" s="27" t="s">
        <v>4</v>
      </c>
    </row>
    <row r="51" spans="1:16" ht="15" customHeight="1" outlineLevel="1" x14ac:dyDescent="0.25">
      <c r="A51" s="1">
        <v>21</v>
      </c>
      <c r="B51" s="27">
        <v>1</v>
      </c>
      <c r="C51" s="27">
        <f t="shared" si="2"/>
        <v>2</v>
      </c>
      <c r="D51" s="30" t="s">
        <v>68</v>
      </c>
      <c r="E51" s="38"/>
      <c r="F51" s="38" t="s">
        <v>59</v>
      </c>
      <c r="G51" s="38"/>
      <c r="H51" s="27"/>
      <c r="I51" s="27"/>
      <c r="J51" s="27"/>
      <c r="K51" s="27">
        <v>1</v>
      </c>
      <c r="L51" s="27"/>
      <c r="M51" s="27">
        <v>1</v>
      </c>
      <c r="N51" s="27"/>
      <c r="O51" s="37">
        <v>44.9</v>
      </c>
      <c r="P51" s="27" t="s">
        <v>7</v>
      </c>
    </row>
    <row r="52" spans="1:16" ht="15" customHeight="1" outlineLevel="1" x14ac:dyDescent="0.25">
      <c r="B52" s="27">
        <v>1</v>
      </c>
      <c r="C52" s="27">
        <f t="shared" si="2"/>
        <v>1</v>
      </c>
      <c r="D52" s="30" t="s">
        <v>69</v>
      </c>
      <c r="E52" s="38"/>
      <c r="F52" s="38" t="s">
        <v>59</v>
      </c>
      <c r="G52" s="38"/>
      <c r="H52" s="27">
        <v>1</v>
      </c>
      <c r="I52" s="27"/>
      <c r="J52" s="27"/>
      <c r="K52" s="27"/>
      <c r="L52" s="27"/>
      <c r="M52" s="27"/>
      <c r="N52" s="27"/>
      <c r="O52" s="39">
        <v>159.59</v>
      </c>
      <c r="P52" s="27" t="s">
        <v>1</v>
      </c>
    </row>
    <row r="53" spans="1:16" ht="15" customHeight="1" outlineLevel="1" x14ac:dyDescent="0.25">
      <c r="B53" s="27">
        <v>1</v>
      </c>
      <c r="C53" s="27">
        <f t="shared" si="2"/>
        <v>2</v>
      </c>
      <c r="D53" s="30" t="s">
        <v>70</v>
      </c>
      <c r="E53" s="38"/>
      <c r="F53" s="38" t="s">
        <v>59</v>
      </c>
      <c r="G53" s="38"/>
      <c r="H53" s="27">
        <v>1</v>
      </c>
      <c r="I53" s="27"/>
      <c r="J53" s="27"/>
      <c r="K53" s="27"/>
      <c r="L53" s="27"/>
      <c r="M53" s="27"/>
      <c r="N53" s="27">
        <v>1</v>
      </c>
      <c r="O53" s="37">
        <v>99.99</v>
      </c>
      <c r="P53" s="27" t="s">
        <v>1</v>
      </c>
    </row>
    <row r="54" spans="1:16" ht="15" customHeight="1" outlineLevel="1" x14ac:dyDescent="0.25">
      <c r="B54" s="27">
        <v>1</v>
      </c>
      <c r="C54" s="27">
        <f t="shared" si="2"/>
        <v>1</v>
      </c>
      <c r="D54" s="30" t="s">
        <v>71</v>
      </c>
      <c r="E54" s="38"/>
      <c r="F54" s="38" t="s">
        <v>59</v>
      </c>
      <c r="G54" s="38"/>
      <c r="H54" s="27"/>
      <c r="I54" s="27"/>
      <c r="J54" s="27"/>
      <c r="K54" s="27">
        <v>1</v>
      </c>
      <c r="L54" s="27"/>
      <c r="M54" s="27"/>
      <c r="N54" s="27"/>
      <c r="O54" s="37">
        <v>42.75</v>
      </c>
      <c r="P54" s="27" t="s">
        <v>4</v>
      </c>
    </row>
    <row r="55" spans="1:16" ht="15" customHeight="1" outlineLevel="1" x14ac:dyDescent="0.25">
      <c r="B55" s="27">
        <v>1</v>
      </c>
      <c r="C55" s="27">
        <f t="shared" si="2"/>
        <v>1</v>
      </c>
      <c r="D55" s="30" t="s">
        <v>72</v>
      </c>
      <c r="E55" s="38"/>
      <c r="F55" s="38" t="s">
        <v>59</v>
      </c>
      <c r="G55" s="38"/>
      <c r="H55" s="27">
        <v>1</v>
      </c>
      <c r="I55" s="27"/>
      <c r="J55" s="27"/>
      <c r="K55" s="27"/>
      <c r="L55" s="27"/>
      <c r="M55" s="27"/>
      <c r="N55" s="27"/>
      <c r="O55" s="39">
        <v>103</v>
      </c>
      <c r="P55" s="27" t="s">
        <v>4</v>
      </c>
    </row>
    <row r="56" spans="1:16" ht="15" customHeight="1" outlineLevel="1" x14ac:dyDescent="0.25">
      <c r="B56" s="27">
        <v>1</v>
      </c>
      <c r="C56" s="27">
        <f t="shared" si="2"/>
        <v>1</v>
      </c>
      <c r="D56" s="30" t="s">
        <v>73</v>
      </c>
      <c r="E56" s="38"/>
      <c r="F56" s="38" t="s">
        <v>59</v>
      </c>
      <c r="G56" s="38"/>
      <c r="H56" s="27"/>
      <c r="I56" s="27"/>
      <c r="J56" s="27"/>
      <c r="K56" s="27">
        <v>1</v>
      </c>
      <c r="L56" s="27"/>
      <c r="M56" s="27"/>
      <c r="N56" s="27"/>
      <c r="O56" s="37">
        <v>99.99</v>
      </c>
      <c r="P56" s="27" t="s">
        <v>1</v>
      </c>
    </row>
    <row r="57" spans="1:16" ht="15" customHeight="1" outlineLevel="1" x14ac:dyDescent="0.25">
      <c r="B57" s="27">
        <v>1</v>
      </c>
      <c r="C57" s="27">
        <f t="shared" si="2"/>
        <v>1</v>
      </c>
      <c r="D57" s="30" t="s">
        <v>74</v>
      </c>
      <c r="E57" s="38"/>
      <c r="F57" s="38" t="s">
        <v>59</v>
      </c>
      <c r="G57" s="38"/>
      <c r="H57" s="27"/>
      <c r="I57" s="27"/>
      <c r="J57" s="27"/>
      <c r="K57" s="27">
        <v>1</v>
      </c>
      <c r="L57" s="27"/>
      <c r="M57" s="27"/>
      <c r="N57" s="27"/>
      <c r="O57" s="37">
        <v>70</v>
      </c>
      <c r="P57" s="27" t="s">
        <v>4</v>
      </c>
    </row>
    <row r="58" spans="1:16" ht="15" customHeight="1" outlineLevel="1" x14ac:dyDescent="0.25">
      <c r="B58" s="27">
        <v>1</v>
      </c>
      <c r="C58" s="27">
        <f t="shared" si="2"/>
        <v>2</v>
      </c>
      <c r="D58" s="30" t="s">
        <v>75</v>
      </c>
      <c r="E58" s="38"/>
      <c r="F58" s="38" t="s">
        <v>59</v>
      </c>
      <c r="G58" s="38"/>
      <c r="H58" s="27">
        <v>2</v>
      </c>
      <c r="I58" s="27"/>
      <c r="J58" s="27"/>
      <c r="K58" s="27"/>
      <c r="L58" s="27"/>
      <c r="M58" s="27"/>
      <c r="N58" s="27"/>
      <c r="O58" s="39">
        <v>148.94</v>
      </c>
      <c r="P58" s="27" t="s">
        <v>4</v>
      </c>
    </row>
    <row r="59" spans="1:16" ht="15" customHeight="1" outlineLevel="1" x14ac:dyDescent="0.25">
      <c r="B59" s="27">
        <v>1</v>
      </c>
      <c r="C59" s="27">
        <f t="shared" si="2"/>
        <v>2</v>
      </c>
      <c r="D59" s="30" t="s">
        <v>76</v>
      </c>
      <c r="E59" s="38">
        <v>1</v>
      </c>
      <c r="F59" s="38"/>
      <c r="G59" s="38"/>
      <c r="H59" s="27">
        <v>1</v>
      </c>
      <c r="I59" s="27"/>
      <c r="J59" s="27"/>
      <c r="K59" s="27"/>
      <c r="L59" s="27"/>
      <c r="M59" s="27"/>
      <c r="N59" s="27"/>
      <c r="O59" s="37">
        <v>29.9</v>
      </c>
      <c r="P59" s="27" t="s">
        <v>7</v>
      </c>
    </row>
    <row r="60" spans="1:16" ht="15" customHeight="1" outlineLevel="1" x14ac:dyDescent="0.25">
      <c r="A60" s="1">
        <v>21</v>
      </c>
      <c r="B60" s="27">
        <v>1</v>
      </c>
      <c r="C60" s="27">
        <f t="shared" si="2"/>
        <v>3</v>
      </c>
      <c r="D60" s="30" t="s">
        <v>77</v>
      </c>
      <c r="E60" s="38"/>
      <c r="F60" s="38" t="s">
        <v>59</v>
      </c>
      <c r="G60" s="38"/>
      <c r="H60" s="27"/>
      <c r="I60" s="27"/>
      <c r="J60" s="27"/>
      <c r="K60" s="27">
        <v>1</v>
      </c>
      <c r="L60" s="27"/>
      <c r="M60" s="27"/>
      <c r="N60" s="27">
        <v>2</v>
      </c>
      <c r="O60" s="33">
        <v>4.79</v>
      </c>
      <c r="P60" s="27" t="s">
        <v>7</v>
      </c>
    </row>
    <row r="61" spans="1:16" ht="15" customHeight="1" outlineLevel="1" x14ac:dyDescent="0.25">
      <c r="B61" s="27">
        <v>1</v>
      </c>
      <c r="C61" s="27">
        <f t="shared" si="2"/>
        <v>1</v>
      </c>
      <c r="D61" s="30" t="s">
        <v>78</v>
      </c>
      <c r="E61" s="38"/>
      <c r="F61" s="38" t="s">
        <v>59</v>
      </c>
      <c r="G61" s="38"/>
      <c r="H61" s="27"/>
      <c r="I61" s="27"/>
      <c r="J61" s="27">
        <v>1</v>
      </c>
      <c r="K61" s="27"/>
      <c r="L61" s="27"/>
      <c r="M61" s="27"/>
      <c r="N61" s="27"/>
      <c r="O61" s="37">
        <v>64.75</v>
      </c>
      <c r="P61" s="27" t="s">
        <v>7</v>
      </c>
    </row>
    <row r="62" spans="1:16" ht="15" customHeight="1" outlineLevel="1" x14ac:dyDescent="0.25">
      <c r="B62" s="27">
        <v>1</v>
      </c>
      <c r="C62" s="27">
        <f t="shared" si="2"/>
        <v>1</v>
      </c>
      <c r="D62" s="30" t="s">
        <v>79</v>
      </c>
      <c r="E62" s="38"/>
      <c r="F62" s="38" t="s">
        <v>59</v>
      </c>
      <c r="G62" s="38"/>
      <c r="H62" s="27">
        <v>1</v>
      </c>
      <c r="I62" s="27"/>
      <c r="J62" s="27"/>
      <c r="K62" s="27"/>
      <c r="L62" s="27"/>
      <c r="M62" s="27"/>
      <c r="N62" s="27"/>
      <c r="O62" s="33">
        <v>3</v>
      </c>
      <c r="P62" s="27" t="s">
        <v>7</v>
      </c>
    </row>
    <row r="63" spans="1:16" ht="15" customHeight="1" outlineLevel="1" x14ac:dyDescent="0.25">
      <c r="B63" s="27">
        <v>1</v>
      </c>
      <c r="C63" s="27">
        <f t="shared" si="2"/>
        <v>2</v>
      </c>
      <c r="D63" s="30" t="s">
        <v>80</v>
      </c>
      <c r="E63" s="38"/>
      <c r="F63" s="38" t="s">
        <v>59</v>
      </c>
      <c r="G63" s="38"/>
      <c r="H63" s="27">
        <v>1</v>
      </c>
      <c r="I63" s="27"/>
      <c r="J63" s="27"/>
      <c r="K63" s="27">
        <v>1</v>
      </c>
      <c r="L63" s="27"/>
      <c r="M63" s="27"/>
      <c r="N63" s="27"/>
      <c r="O63" s="33">
        <v>0.56999999999999995</v>
      </c>
      <c r="P63" s="27" t="s">
        <v>4</v>
      </c>
    </row>
    <row r="64" spans="1:16" ht="15" customHeight="1" outlineLevel="1" x14ac:dyDescent="0.25">
      <c r="B64" s="27">
        <v>1</v>
      </c>
      <c r="C64" s="27">
        <f t="shared" si="2"/>
        <v>3</v>
      </c>
      <c r="D64" s="30" t="s">
        <v>81</v>
      </c>
      <c r="E64" s="38">
        <v>1</v>
      </c>
      <c r="F64" s="38"/>
      <c r="G64" s="38">
        <v>1</v>
      </c>
      <c r="H64" s="27"/>
      <c r="I64" s="27"/>
      <c r="J64" s="27"/>
      <c r="K64" s="27"/>
      <c r="L64" s="27"/>
      <c r="M64" s="27">
        <v>1</v>
      </c>
      <c r="N64" s="27"/>
      <c r="O64" s="33">
        <v>8</v>
      </c>
      <c r="P64" s="27" t="s">
        <v>4</v>
      </c>
    </row>
    <row r="65" spans="1:16" ht="15" customHeight="1" x14ac:dyDescent="0.25">
      <c r="A65" s="1">
        <v>45</v>
      </c>
      <c r="B65" s="26" t="s">
        <v>82</v>
      </c>
      <c r="C65" s="26"/>
      <c r="D65" s="26"/>
      <c r="E65" s="26"/>
      <c r="F65" s="26"/>
      <c r="G65" s="26"/>
      <c r="H65" s="27"/>
      <c r="I65" s="27"/>
      <c r="J65" s="27"/>
      <c r="K65" s="27"/>
      <c r="L65" s="27"/>
      <c r="M65" s="27"/>
      <c r="N65" s="27"/>
      <c r="O65" s="28">
        <f>SUM(O66:O74)</f>
        <v>423.42000000000007</v>
      </c>
      <c r="P65" s="27"/>
    </row>
    <row r="66" spans="1:16" ht="15" customHeight="1" outlineLevel="1" x14ac:dyDescent="0.25">
      <c r="A66" s="1">
        <v>21</v>
      </c>
      <c r="B66" s="27">
        <v>1</v>
      </c>
      <c r="C66" s="27">
        <f t="shared" si="2"/>
        <v>1</v>
      </c>
      <c r="D66" s="30" t="s">
        <v>83</v>
      </c>
      <c r="E66" s="38"/>
      <c r="F66" s="38" t="s">
        <v>59</v>
      </c>
      <c r="G66" s="38"/>
      <c r="H66" s="27"/>
      <c r="I66" s="27"/>
      <c r="J66" s="27"/>
      <c r="K66" s="27"/>
      <c r="L66" s="27"/>
      <c r="M66" s="27"/>
      <c r="N66" s="27">
        <v>1</v>
      </c>
      <c r="O66" s="33">
        <v>9.75</v>
      </c>
      <c r="P66" s="27" t="s">
        <v>7</v>
      </c>
    </row>
    <row r="67" spans="1:16" ht="15" customHeight="1" outlineLevel="1" x14ac:dyDescent="0.25">
      <c r="A67" s="1">
        <v>21</v>
      </c>
      <c r="B67" s="27">
        <v>1</v>
      </c>
      <c r="C67" s="27">
        <f t="shared" si="2"/>
        <v>6</v>
      </c>
      <c r="D67" s="30" t="s">
        <v>84</v>
      </c>
      <c r="E67" s="38">
        <v>1</v>
      </c>
      <c r="F67" s="38"/>
      <c r="G67" s="38">
        <v>2</v>
      </c>
      <c r="H67" s="27">
        <v>1</v>
      </c>
      <c r="I67" s="27"/>
      <c r="J67" s="27">
        <v>1</v>
      </c>
      <c r="K67" s="27"/>
      <c r="L67" s="27">
        <v>1</v>
      </c>
      <c r="M67" s="27"/>
      <c r="N67" s="27"/>
      <c r="O67" s="37">
        <v>57.75</v>
      </c>
      <c r="P67" s="27" t="s">
        <v>7</v>
      </c>
    </row>
    <row r="68" spans="1:16" ht="15" customHeight="1" outlineLevel="1" x14ac:dyDescent="0.25">
      <c r="A68" s="1">
        <v>21</v>
      </c>
      <c r="B68" s="27">
        <v>1</v>
      </c>
      <c r="C68" s="27">
        <f t="shared" si="2"/>
        <v>2</v>
      </c>
      <c r="D68" s="30" t="s">
        <v>85</v>
      </c>
      <c r="E68" s="38"/>
      <c r="F68" s="38" t="s">
        <v>59</v>
      </c>
      <c r="G68" s="38"/>
      <c r="H68" s="27">
        <v>1</v>
      </c>
      <c r="I68" s="27">
        <v>1</v>
      </c>
      <c r="J68" s="27"/>
      <c r="K68" s="27"/>
      <c r="L68" s="27"/>
      <c r="M68" s="27"/>
      <c r="N68" s="27"/>
      <c r="O68" s="37">
        <v>79.989999999999995</v>
      </c>
      <c r="P68" s="27" t="s">
        <v>4</v>
      </c>
    </row>
    <row r="69" spans="1:16" ht="15" customHeight="1" outlineLevel="1" x14ac:dyDescent="0.25">
      <c r="A69" s="1">
        <v>21</v>
      </c>
      <c r="B69" s="27">
        <v>1</v>
      </c>
      <c r="C69" s="27">
        <f t="shared" si="2"/>
        <v>5</v>
      </c>
      <c r="D69" s="30" t="s">
        <v>86</v>
      </c>
      <c r="E69" s="38">
        <v>1</v>
      </c>
      <c r="F69" s="38"/>
      <c r="G69" s="38">
        <v>1</v>
      </c>
      <c r="H69" s="27">
        <v>1</v>
      </c>
      <c r="I69" s="27"/>
      <c r="J69" s="27">
        <v>1</v>
      </c>
      <c r="K69" s="27">
        <v>1</v>
      </c>
      <c r="L69" s="27"/>
      <c r="M69" s="27"/>
      <c r="N69" s="27"/>
      <c r="O69" s="37">
        <v>34.950000000000003</v>
      </c>
      <c r="P69" s="27" t="s">
        <v>4</v>
      </c>
    </row>
    <row r="70" spans="1:16" ht="15" customHeight="1" outlineLevel="1" x14ac:dyDescent="0.25">
      <c r="A70" s="1">
        <v>21</v>
      </c>
      <c r="B70" s="27">
        <v>1</v>
      </c>
      <c r="C70" s="27">
        <f t="shared" si="2"/>
        <v>2</v>
      </c>
      <c r="D70" s="30" t="s">
        <v>87</v>
      </c>
      <c r="E70" s="38"/>
      <c r="F70" s="38" t="s">
        <v>59</v>
      </c>
      <c r="G70" s="38">
        <v>1</v>
      </c>
      <c r="H70" s="27">
        <v>1</v>
      </c>
      <c r="I70" s="27"/>
      <c r="J70" s="27"/>
      <c r="K70" s="27"/>
      <c r="L70" s="27"/>
      <c r="M70" s="27"/>
      <c r="N70" s="27"/>
      <c r="O70" s="34">
        <v>17.989999999999998</v>
      </c>
      <c r="P70" s="27" t="s">
        <v>7</v>
      </c>
    </row>
    <row r="71" spans="1:16" ht="15" customHeight="1" outlineLevel="1" x14ac:dyDescent="0.25">
      <c r="A71" s="1">
        <v>21</v>
      </c>
      <c r="B71" s="27">
        <v>1</v>
      </c>
      <c r="C71" s="27">
        <f t="shared" si="2"/>
        <v>1</v>
      </c>
      <c r="D71" s="30" t="s">
        <v>88</v>
      </c>
      <c r="E71" s="38"/>
      <c r="F71" s="38" t="s">
        <v>59</v>
      </c>
      <c r="G71" s="38"/>
      <c r="H71" s="27"/>
      <c r="I71" s="27"/>
      <c r="J71" s="27"/>
      <c r="K71" s="27"/>
      <c r="L71" s="27"/>
      <c r="M71" s="27"/>
      <c r="N71" s="27">
        <v>1</v>
      </c>
      <c r="O71" s="39">
        <v>153.99</v>
      </c>
      <c r="P71" s="27" t="s">
        <v>7</v>
      </c>
    </row>
    <row r="72" spans="1:16" ht="15" customHeight="1" outlineLevel="1" x14ac:dyDescent="0.25">
      <c r="A72" s="1">
        <v>21</v>
      </c>
      <c r="B72" s="27">
        <v>1</v>
      </c>
      <c r="C72" s="27">
        <f t="shared" si="2"/>
        <v>3</v>
      </c>
      <c r="D72" s="30" t="s">
        <v>89</v>
      </c>
      <c r="E72" s="38">
        <v>1</v>
      </c>
      <c r="F72" s="38"/>
      <c r="G72" s="38"/>
      <c r="H72" s="27">
        <v>1</v>
      </c>
      <c r="I72" s="27"/>
      <c r="J72" s="27"/>
      <c r="K72" s="27"/>
      <c r="L72" s="27"/>
      <c r="M72" s="27"/>
      <c r="N72" s="27">
        <v>1</v>
      </c>
      <c r="O72" s="34">
        <v>18.8</v>
      </c>
      <c r="P72" s="27" t="s">
        <v>7</v>
      </c>
    </row>
    <row r="73" spans="1:16" ht="15" customHeight="1" outlineLevel="1" x14ac:dyDescent="0.25">
      <c r="A73" s="1">
        <v>21</v>
      </c>
      <c r="B73" s="27">
        <v>1</v>
      </c>
      <c r="C73" s="27">
        <f t="shared" si="2"/>
        <v>4</v>
      </c>
      <c r="D73" s="30" t="s">
        <v>90</v>
      </c>
      <c r="E73" s="38">
        <v>2</v>
      </c>
      <c r="F73" s="38"/>
      <c r="G73" s="38">
        <v>1</v>
      </c>
      <c r="H73" s="27"/>
      <c r="I73" s="27"/>
      <c r="J73" s="27"/>
      <c r="K73" s="27"/>
      <c r="L73" s="27"/>
      <c r="M73" s="27">
        <v>1</v>
      </c>
      <c r="N73" s="27"/>
      <c r="O73" s="34">
        <v>13.41</v>
      </c>
      <c r="P73" s="27" t="s">
        <v>7</v>
      </c>
    </row>
    <row r="74" spans="1:16" ht="15" customHeight="1" outlineLevel="1" x14ac:dyDescent="0.25">
      <c r="A74" s="1">
        <v>21</v>
      </c>
      <c r="B74" s="27">
        <v>1</v>
      </c>
      <c r="C74" s="27">
        <f t="shared" si="2"/>
        <v>3</v>
      </c>
      <c r="D74" s="30" t="s">
        <v>91</v>
      </c>
      <c r="E74" s="38"/>
      <c r="F74" s="38" t="s">
        <v>59</v>
      </c>
      <c r="G74" s="38"/>
      <c r="H74" s="27">
        <v>2</v>
      </c>
      <c r="I74" s="27"/>
      <c r="J74" s="27"/>
      <c r="K74" s="27"/>
      <c r="L74" s="27"/>
      <c r="M74" s="27">
        <v>1</v>
      </c>
      <c r="N74" s="27"/>
      <c r="O74" s="37">
        <v>36.79</v>
      </c>
      <c r="P74" s="27" t="s">
        <v>7</v>
      </c>
    </row>
    <row r="75" spans="1:16" ht="15" customHeight="1" x14ac:dyDescent="0.25">
      <c r="A75" s="1">
        <v>62</v>
      </c>
      <c r="B75" s="26" t="s">
        <v>92</v>
      </c>
      <c r="C75" s="26"/>
      <c r="D75" s="26"/>
      <c r="E75" s="26"/>
      <c r="F75" s="26"/>
      <c r="G75" s="26"/>
      <c r="H75" s="27"/>
      <c r="I75" s="27"/>
      <c r="J75" s="27"/>
      <c r="K75" s="27"/>
      <c r="L75" s="27"/>
      <c r="M75" s="27"/>
      <c r="N75" s="27"/>
      <c r="O75" s="28">
        <f>SUM(O76:O83)</f>
        <v>561.05000000000007</v>
      </c>
      <c r="P75" s="27"/>
    </row>
    <row r="76" spans="1:16" ht="15" customHeight="1" outlineLevel="1" x14ac:dyDescent="0.25">
      <c r="A76" s="1">
        <v>21</v>
      </c>
      <c r="B76" s="27">
        <v>1</v>
      </c>
      <c r="C76" s="27">
        <f t="shared" ref="C76:C83" si="3">IF(AND(E76="",F76=""),"-",SUM(E76:N76))</f>
        <v>4</v>
      </c>
      <c r="D76" s="30" t="s">
        <v>93</v>
      </c>
      <c r="E76" s="38">
        <v>1</v>
      </c>
      <c r="F76" s="38"/>
      <c r="G76" s="38">
        <v>1</v>
      </c>
      <c r="H76" s="27">
        <v>1</v>
      </c>
      <c r="I76" s="27"/>
      <c r="J76" s="27"/>
      <c r="K76" s="27"/>
      <c r="L76" s="27"/>
      <c r="M76" s="27">
        <v>1</v>
      </c>
      <c r="N76" s="27"/>
      <c r="O76" s="37">
        <v>24.75</v>
      </c>
      <c r="P76" s="27" t="s">
        <v>4</v>
      </c>
    </row>
    <row r="77" spans="1:16" ht="15" customHeight="1" outlineLevel="1" x14ac:dyDescent="0.25">
      <c r="A77" s="1">
        <v>21</v>
      </c>
      <c r="B77" s="27">
        <v>1</v>
      </c>
      <c r="C77" s="27">
        <f t="shared" si="3"/>
        <v>4</v>
      </c>
      <c r="D77" s="30" t="s">
        <v>94</v>
      </c>
      <c r="E77" s="38"/>
      <c r="F77" s="38" t="s">
        <v>59</v>
      </c>
      <c r="G77" s="38"/>
      <c r="H77" s="27"/>
      <c r="I77" s="27">
        <v>1</v>
      </c>
      <c r="J77" s="27"/>
      <c r="K77" s="27">
        <v>1</v>
      </c>
      <c r="L77" s="27">
        <v>1</v>
      </c>
      <c r="M77" s="27">
        <v>1</v>
      </c>
      <c r="N77" s="27"/>
      <c r="O77" s="37">
        <v>25.5</v>
      </c>
      <c r="P77" s="27" t="s">
        <v>7</v>
      </c>
    </row>
    <row r="78" spans="1:16" ht="15" customHeight="1" outlineLevel="1" x14ac:dyDescent="0.25">
      <c r="A78" s="1">
        <v>21</v>
      </c>
      <c r="B78" s="27">
        <v>1</v>
      </c>
      <c r="C78" s="27">
        <f t="shared" si="3"/>
        <v>4</v>
      </c>
      <c r="D78" s="30" t="s">
        <v>95</v>
      </c>
      <c r="E78" s="38">
        <v>1</v>
      </c>
      <c r="F78" s="38"/>
      <c r="G78" s="38">
        <v>1</v>
      </c>
      <c r="H78" s="27"/>
      <c r="I78" s="27"/>
      <c r="J78" s="27"/>
      <c r="K78" s="27">
        <v>1</v>
      </c>
      <c r="L78" s="27"/>
      <c r="M78" s="27">
        <v>1</v>
      </c>
      <c r="N78" s="27"/>
      <c r="O78" s="39">
        <v>116.99</v>
      </c>
      <c r="P78" s="27" t="s">
        <v>1</v>
      </c>
    </row>
    <row r="79" spans="1:16" ht="15" customHeight="1" outlineLevel="1" x14ac:dyDescent="0.25">
      <c r="A79" s="1">
        <v>21</v>
      </c>
      <c r="B79" s="27">
        <v>1</v>
      </c>
      <c r="C79" s="27">
        <f t="shared" si="3"/>
        <v>1</v>
      </c>
      <c r="D79" s="30" t="s">
        <v>96</v>
      </c>
      <c r="E79" s="38"/>
      <c r="F79" s="38" t="s">
        <v>59</v>
      </c>
      <c r="G79" s="38"/>
      <c r="H79" s="27"/>
      <c r="I79" s="27">
        <v>1</v>
      </c>
      <c r="J79" s="27"/>
      <c r="K79" s="27"/>
      <c r="L79" s="27"/>
      <c r="M79" s="27"/>
      <c r="N79" s="27"/>
      <c r="O79" s="37">
        <v>23.95</v>
      </c>
      <c r="P79" s="27" t="s">
        <v>4</v>
      </c>
    </row>
    <row r="80" spans="1:16" ht="15" customHeight="1" outlineLevel="1" x14ac:dyDescent="0.25">
      <c r="A80" s="1">
        <v>21</v>
      </c>
      <c r="B80" s="27">
        <v>1</v>
      </c>
      <c r="C80" s="27">
        <f t="shared" si="3"/>
        <v>4</v>
      </c>
      <c r="D80" s="30" t="s">
        <v>97</v>
      </c>
      <c r="E80" s="38">
        <v>1</v>
      </c>
      <c r="F80" s="38" t="s">
        <v>59</v>
      </c>
      <c r="G80" s="38"/>
      <c r="H80" s="27">
        <v>1</v>
      </c>
      <c r="I80" s="27">
        <v>1</v>
      </c>
      <c r="J80" s="27"/>
      <c r="K80" s="27"/>
      <c r="L80" s="27"/>
      <c r="M80" s="27"/>
      <c r="N80" s="27">
        <v>1</v>
      </c>
      <c r="O80" s="39">
        <v>149.88</v>
      </c>
      <c r="P80" s="27" t="s">
        <v>1</v>
      </c>
    </row>
    <row r="81" spans="1:16" ht="15" customHeight="1" outlineLevel="1" x14ac:dyDescent="0.25">
      <c r="A81" s="1">
        <v>21</v>
      </c>
      <c r="B81" s="27">
        <v>1</v>
      </c>
      <c r="C81" s="27">
        <f t="shared" si="3"/>
        <v>1</v>
      </c>
      <c r="D81" s="30" t="s">
        <v>98</v>
      </c>
      <c r="E81" s="38"/>
      <c r="F81" s="38" t="s">
        <v>59</v>
      </c>
      <c r="G81" s="38"/>
      <c r="H81" s="27"/>
      <c r="I81" s="27">
        <v>1</v>
      </c>
      <c r="J81" s="27"/>
      <c r="K81" s="27"/>
      <c r="L81" s="27"/>
      <c r="M81" s="27"/>
      <c r="N81" s="27"/>
      <c r="O81" s="37">
        <v>90</v>
      </c>
      <c r="P81" s="27" t="s">
        <v>1</v>
      </c>
    </row>
    <row r="82" spans="1:16" ht="15" customHeight="1" outlineLevel="1" x14ac:dyDescent="0.25">
      <c r="A82" s="1">
        <v>21</v>
      </c>
      <c r="B82" s="27">
        <v>1</v>
      </c>
      <c r="C82" s="27">
        <f t="shared" si="3"/>
        <v>2</v>
      </c>
      <c r="D82" s="30" t="s">
        <v>99</v>
      </c>
      <c r="E82" s="38">
        <v>1</v>
      </c>
      <c r="F82" s="38"/>
      <c r="G82" s="38"/>
      <c r="H82" s="27"/>
      <c r="I82" s="27"/>
      <c r="J82" s="27"/>
      <c r="K82" s="27"/>
      <c r="L82" s="27"/>
      <c r="M82" s="27">
        <v>1</v>
      </c>
      <c r="N82" s="27"/>
      <c r="O82" s="33">
        <v>4.97</v>
      </c>
      <c r="P82" s="27" t="s">
        <v>4</v>
      </c>
    </row>
    <row r="83" spans="1:16" ht="15" customHeight="1" outlineLevel="1" x14ac:dyDescent="0.25">
      <c r="A83" s="1">
        <v>21</v>
      </c>
      <c r="B83" s="27">
        <v>1</v>
      </c>
      <c r="C83" s="27">
        <f t="shared" si="3"/>
        <v>2</v>
      </c>
      <c r="D83" s="30" t="s">
        <v>100</v>
      </c>
      <c r="E83" s="38">
        <v>1</v>
      </c>
      <c r="F83" s="38"/>
      <c r="G83" s="38">
        <v>1</v>
      </c>
      <c r="H83" s="27"/>
      <c r="I83" s="27"/>
      <c r="J83" s="27"/>
      <c r="K83" s="27"/>
      <c r="L83" s="27"/>
      <c r="M83" s="27"/>
      <c r="N83" s="27"/>
      <c r="O83" s="39">
        <v>125.01</v>
      </c>
      <c r="P83" s="27" t="s">
        <v>1</v>
      </c>
    </row>
    <row r="84" spans="1:16" ht="15" customHeight="1" x14ac:dyDescent="0.25">
      <c r="A84" s="1">
        <v>21</v>
      </c>
      <c r="B84" s="26" t="s">
        <v>101</v>
      </c>
      <c r="C84" s="26"/>
      <c r="D84" s="26"/>
      <c r="E84" s="26"/>
      <c r="F84" s="26"/>
      <c r="G84" s="26"/>
      <c r="H84" s="27"/>
      <c r="I84" s="27"/>
      <c r="J84" s="27"/>
      <c r="K84" s="27"/>
      <c r="L84" s="27"/>
      <c r="M84" s="27"/>
      <c r="N84" s="27"/>
      <c r="O84" s="40">
        <f>SUM(O85:O97)</f>
        <v>433.16999999999996</v>
      </c>
      <c r="P84" s="27"/>
    </row>
    <row r="85" spans="1:16" ht="15" customHeight="1" outlineLevel="1" x14ac:dyDescent="0.25">
      <c r="A85" s="1">
        <v>21</v>
      </c>
      <c r="B85" s="27">
        <v>1</v>
      </c>
      <c r="C85" s="27">
        <f t="shared" ref="C85:C97" si="4">IF(AND(E85="",F85=""),"-",SUM(E85:N85))</f>
        <v>0</v>
      </c>
      <c r="D85" s="30" t="s">
        <v>102</v>
      </c>
      <c r="E85" s="38"/>
      <c r="F85" s="38" t="s">
        <v>59</v>
      </c>
      <c r="G85" s="38"/>
      <c r="H85" s="27">
        <v>1</v>
      </c>
      <c r="I85" s="27"/>
      <c r="J85" s="27"/>
      <c r="K85" s="27"/>
      <c r="L85" s="27"/>
      <c r="M85" s="27"/>
      <c r="N85" s="27">
        <v>-1</v>
      </c>
      <c r="O85" s="33">
        <v>0.52</v>
      </c>
      <c r="P85" s="27" t="s">
        <v>7</v>
      </c>
    </row>
    <row r="86" spans="1:16" ht="15" customHeight="1" outlineLevel="1" x14ac:dyDescent="0.25">
      <c r="A86" s="1">
        <v>70</v>
      </c>
      <c r="B86" s="27">
        <v>1</v>
      </c>
      <c r="C86" s="27">
        <f t="shared" si="4"/>
        <v>0</v>
      </c>
      <c r="D86" s="30" t="s">
        <v>103</v>
      </c>
      <c r="E86" s="38"/>
      <c r="F86" s="38" t="s">
        <v>59</v>
      </c>
      <c r="G86" s="38"/>
      <c r="H86" s="27">
        <v>1</v>
      </c>
      <c r="I86" s="27"/>
      <c r="J86" s="27"/>
      <c r="K86" s="27"/>
      <c r="L86" s="27"/>
      <c r="M86" s="27"/>
      <c r="N86" s="27">
        <v>-1</v>
      </c>
      <c r="O86" s="33">
        <v>0.4</v>
      </c>
      <c r="P86" s="27" t="s">
        <v>7</v>
      </c>
    </row>
    <row r="87" spans="1:16" ht="15" customHeight="1" outlineLevel="1" x14ac:dyDescent="0.25">
      <c r="A87" s="1">
        <v>21</v>
      </c>
      <c r="B87" s="27">
        <v>1</v>
      </c>
      <c r="C87" s="27">
        <f t="shared" si="4"/>
        <v>0</v>
      </c>
      <c r="D87" s="30" t="s">
        <v>104</v>
      </c>
      <c r="E87" s="38"/>
      <c r="F87" s="38" t="s">
        <v>59</v>
      </c>
      <c r="G87" s="38"/>
      <c r="H87" s="27"/>
      <c r="I87" s="27">
        <v>1</v>
      </c>
      <c r="J87" s="27"/>
      <c r="K87" s="27"/>
      <c r="L87" s="27"/>
      <c r="M87" s="27"/>
      <c r="N87" s="27">
        <v>-1</v>
      </c>
      <c r="O87" s="34">
        <v>10.93</v>
      </c>
      <c r="P87" s="27" t="s">
        <v>4</v>
      </c>
    </row>
    <row r="88" spans="1:16" ht="15" customHeight="1" outlineLevel="1" x14ac:dyDescent="0.25">
      <c r="A88" s="1">
        <v>21</v>
      </c>
      <c r="B88" s="27">
        <v>1</v>
      </c>
      <c r="C88" s="27">
        <f t="shared" si="4"/>
        <v>1</v>
      </c>
      <c r="D88" s="30" t="s">
        <v>105</v>
      </c>
      <c r="E88" s="38"/>
      <c r="F88" s="38" t="s">
        <v>59</v>
      </c>
      <c r="G88" s="38"/>
      <c r="H88" s="27"/>
      <c r="I88" s="27"/>
      <c r="J88" s="27"/>
      <c r="K88" s="27"/>
      <c r="L88" s="27"/>
      <c r="M88" s="27"/>
      <c r="N88" s="27">
        <v>1</v>
      </c>
      <c r="O88" s="39">
        <v>104.75</v>
      </c>
      <c r="P88" s="27" t="s">
        <v>1</v>
      </c>
    </row>
    <row r="89" spans="1:16" ht="15" customHeight="1" outlineLevel="1" x14ac:dyDescent="0.25">
      <c r="A89" s="1">
        <v>21</v>
      </c>
      <c r="B89" s="27">
        <v>1</v>
      </c>
      <c r="C89" s="27">
        <f t="shared" si="4"/>
        <v>1</v>
      </c>
      <c r="D89" s="30" t="s">
        <v>106</v>
      </c>
      <c r="E89" s="38"/>
      <c r="F89" s="38" t="s">
        <v>59</v>
      </c>
      <c r="G89" s="38"/>
      <c r="H89" s="27"/>
      <c r="I89" s="27"/>
      <c r="J89" s="27"/>
      <c r="K89" s="27"/>
      <c r="L89" s="27"/>
      <c r="M89" s="27"/>
      <c r="N89" s="27">
        <v>1</v>
      </c>
      <c r="O89" s="37">
        <v>20.9</v>
      </c>
      <c r="P89" s="27" t="s">
        <v>4</v>
      </c>
    </row>
    <row r="90" spans="1:16" ht="15" customHeight="1" outlineLevel="1" x14ac:dyDescent="0.25">
      <c r="A90" s="1">
        <v>21</v>
      </c>
      <c r="B90" s="27">
        <v>1</v>
      </c>
      <c r="C90" s="27">
        <f t="shared" si="4"/>
        <v>1</v>
      </c>
      <c r="D90" s="30" t="s">
        <v>107</v>
      </c>
      <c r="E90" s="38"/>
      <c r="F90" s="38" t="s">
        <v>59</v>
      </c>
      <c r="G90" s="38"/>
      <c r="H90" s="27"/>
      <c r="I90" s="27">
        <v>1</v>
      </c>
      <c r="J90" s="27"/>
      <c r="K90" s="27"/>
      <c r="L90" s="27"/>
      <c r="M90" s="27"/>
      <c r="N90" s="27"/>
      <c r="O90" s="33">
        <v>5.87</v>
      </c>
      <c r="P90" s="27" t="s">
        <v>4</v>
      </c>
    </row>
    <row r="91" spans="1:16" ht="15" customHeight="1" outlineLevel="1" x14ac:dyDescent="0.25">
      <c r="A91" s="1">
        <v>21</v>
      </c>
      <c r="B91" s="27">
        <v>1</v>
      </c>
      <c r="C91" s="27">
        <f t="shared" si="4"/>
        <v>1</v>
      </c>
      <c r="D91" s="30" t="s">
        <v>108</v>
      </c>
      <c r="E91" s="38"/>
      <c r="F91" s="38" t="s">
        <v>59</v>
      </c>
      <c r="G91" s="38"/>
      <c r="H91" s="27"/>
      <c r="I91" s="27"/>
      <c r="J91" s="27"/>
      <c r="K91" s="27"/>
      <c r="L91" s="27"/>
      <c r="M91" s="27"/>
      <c r="N91" s="27">
        <v>1</v>
      </c>
      <c r="O91" s="37">
        <v>90</v>
      </c>
      <c r="P91" s="27" t="s">
        <v>1</v>
      </c>
    </row>
    <row r="92" spans="1:16" ht="15" customHeight="1" outlineLevel="1" x14ac:dyDescent="0.25">
      <c r="A92" s="1">
        <v>21</v>
      </c>
      <c r="B92" s="27">
        <v>20</v>
      </c>
      <c r="C92" s="27">
        <f t="shared" si="4"/>
        <v>0</v>
      </c>
      <c r="D92" s="30" t="s">
        <v>109</v>
      </c>
      <c r="E92" s="38"/>
      <c r="F92" s="38" t="s">
        <v>59</v>
      </c>
      <c r="G92" s="38"/>
      <c r="H92" s="27"/>
      <c r="I92" s="27"/>
      <c r="J92" s="27"/>
      <c r="K92" s="27"/>
      <c r="L92" s="27"/>
      <c r="M92" s="27"/>
      <c r="N92" s="27"/>
      <c r="O92" s="33">
        <v>0</v>
      </c>
      <c r="P92" s="27" t="s">
        <v>1</v>
      </c>
    </row>
    <row r="93" spans="1:16" ht="15" customHeight="1" outlineLevel="1" x14ac:dyDescent="0.25">
      <c r="A93" s="1">
        <v>21</v>
      </c>
      <c r="B93" s="27">
        <v>1</v>
      </c>
      <c r="C93" s="27">
        <f t="shared" si="4"/>
        <v>0</v>
      </c>
      <c r="D93" s="30" t="s">
        <v>110</v>
      </c>
      <c r="E93" s="38"/>
      <c r="F93" s="38" t="s">
        <v>59</v>
      </c>
      <c r="G93" s="38"/>
      <c r="H93" s="27"/>
      <c r="I93" s="27"/>
      <c r="J93" s="27"/>
      <c r="K93" s="27"/>
      <c r="L93" s="27"/>
      <c r="M93" s="27">
        <v>1</v>
      </c>
      <c r="N93" s="27">
        <v>-1</v>
      </c>
      <c r="O93" s="33">
        <v>4.01</v>
      </c>
      <c r="P93" s="27" t="s">
        <v>4</v>
      </c>
    </row>
    <row r="94" spans="1:16" ht="15" customHeight="1" outlineLevel="1" x14ac:dyDescent="0.25">
      <c r="A94" s="1">
        <v>21</v>
      </c>
      <c r="B94" s="27">
        <v>1</v>
      </c>
      <c r="C94" s="27">
        <f t="shared" si="4"/>
        <v>1</v>
      </c>
      <c r="D94" s="30" t="s">
        <v>111</v>
      </c>
      <c r="E94" s="38"/>
      <c r="F94" s="38" t="s">
        <v>59</v>
      </c>
      <c r="G94" s="38"/>
      <c r="H94" s="27"/>
      <c r="I94" s="27">
        <v>1</v>
      </c>
      <c r="J94" s="27"/>
      <c r="K94" s="27"/>
      <c r="L94" s="27"/>
      <c r="M94" s="27"/>
      <c r="N94" s="27"/>
      <c r="O94" s="37">
        <v>22.36</v>
      </c>
      <c r="P94" s="27" t="s">
        <v>4</v>
      </c>
    </row>
    <row r="95" spans="1:16" ht="15" customHeight="1" outlineLevel="1" x14ac:dyDescent="0.25">
      <c r="A95" s="1">
        <v>21</v>
      </c>
      <c r="B95" s="27">
        <v>1</v>
      </c>
      <c r="C95" s="27">
        <f t="shared" si="4"/>
        <v>2</v>
      </c>
      <c r="D95" s="30" t="s">
        <v>112</v>
      </c>
      <c r="E95" s="38"/>
      <c r="F95" s="38" t="s">
        <v>59</v>
      </c>
      <c r="G95" s="38">
        <v>1</v>
      </c>
      <c r="H95" s="27"/>
      <c r="I95" s="27"/>
      <c r="J95" s="27">
        <v>1</v>
      </c>
      <c r="K95" s="27"/>
      <c r="L95" s="27"/>
      <c r="M95" s="27"/>
      <c r="N95" s="27"/>
      <c r="O95" s="33">
        <v>3.46</v>
      </c>
      <c r="P95" s="27" t="s">
        <v>7</v>
      </c>
    </row>
    <row r="96" spans="1:16" ht="15" customHeight="1" outlineLevel="1" x14ac:dyDescent="0.25">
      <c r="A96" s="1">
        <v>21</v>
      </c>
      <c r="B96" s="27">
        <v>1</v>
      </c>
      <c r="C96" s="27">
        <f t="shared" si="4"/>
        <v>1</v>
      </c>
      <c r="D96" s="30" t="s">
        <v>113</v>
      </c>
      <c r="E96" s="38"/>
      <c r="F96" s="38" t="s">
        <v>59</v>
      </c>
      <c r="G96" s="38"/>
      <c r="H96" s="27"/>
      <c r="I96" s="27"/>
      <c r="J96" s="27"/>
      <c r="K96" s="27"/>
      <c r="L96" s="27">
        <v>1</v>
      </c>
      <c r="M96" s="27"/>
      <c r="N96" s="27"/>
      <c r="O96" s="37">
        <v>29.99</v>
      </c>
      <c r="P96" s="27" t="s">
        <v>7</v>
      </c>
    </row>
    <row r="97" spans="1:16" ht="15" customHeight="1" outlineLevel="1" x14ac:dyDescent="0.25">
      <c r="A97" s="1">
        <v>21</v>
      </c>
      <c r="B97" s="27">
        <v>1</v>
      </c>
      <c r="C97" s="27">
        <f t="shared" si="4"/>
        <v>0</v>
      </c>
      <c r="D97" s="30" t="s">
        <v>114</v>
      </c>
      <c r="E97" s="38"/>
      <c r="F97" s="38" t="s">
        <v>59</v>
      </c>
      <c r="G97" s="38"/>
      <c r="H97" s="27"/>
      <c r="I97" s="27"/>
      <c r="J97" s="27"/>
      <c r="K97" s="27"/>
      <c r="L97" s="27"/>
      <c r="M97" s="27"/>
      <c r="N97" s="27"/>
      <c r="O97" s="39">
        <v>139.97999999999999</v>
      </c>
      <c r="P97" s="27" t="s">
        <v>4</v>
      </c>
    </row>
    <row r="98" spans="1:16" ht="15" customHeight="1" x14ac:dyDescent="0.25">
      <c r="A98" s="1">
        <v>21</v>
      </c>
      <c r="C98"/>
    </row>
    <row r="99" spans="1:16" ht="15" customHeight="1" x14ac:dyDescent="0.25">
      <c r="A99" s="1">
        <v>21</v>
      </c>
      <c r="C99"/>
    </row>
    <row r="100" spans="1:16" ht="15" customHeight="1" x14ac:dyDescent="0.25">
      <c r="A100" s="1">
        <v>55</v>
      </c>
      <c r="C100"/>
    </row>
    <row r="101" spans="1:16" ht="15" customHeight="1" x14ac:dyDescent="0.25">
      <c r="A101" s="1">
        <v>56</v>
      </c>
      <c r="C101"/>
    </row>
    <row r="102" spans="1:16" ht="15" customHeight="1" x14ac:dyDescent="0.25">
      <c r="A102" s="1">
        <v>57</v>
      </c>
      <c r="C102"/>
    </row>
    <row r="103" spans="1:16" ht="15" customHeight="1" x14ac:dyDescent="0.25">
      <c r="A103" s="1">
        <v>58</v>
      </c>
      <c r="C103"/>
    </row>
    <row r="104" spans="1:16" ht="15" customHeight="1" x14ac:dyDescent="0.25">
      <c r="A104" s="1">
        <v>59</v>
      </c>
      <c r="C104"/>
    </row>
    <row r="105" spans="1:16" ht="15" customHeight="1" x14ac:dyDescent="0.25">
      <c r="A105" s="1">
        <v>60</v>
      </c>
      <c r="C105"/>
    </row>
    <row r="106" spans="1:16" ht="15" customHeight="1" x14ac:dyDescent="0.25">
      <c r="A106" s="1">
        <v>61</v>
      </c>
      <c r="C106"/>
    </row>
    <row r="107" spans="1:16" ht="15" customHeight="1" x14ac:dyDescent="0.25">
      <c r="A107" s="1">
        <v>62</v>
      </c>
      <c r="C107"/>
    </row>
    <row r="108" spans="1:16" ht="15" customHeight="1" x14ac:dyDescent="0.25">
      <c r="A108" s="1">
        <v>63</v>
      </c>
      <c r="C108"/>
    </row>
    <row r="109" spans="1:16" ht="15" customHeight="1" x14ac:dyDescent="0.25">
      <c r="A109" s="1">
        <v>64</v>
      </c>
      <c r="C109"/>
    </row>
    <row r="110" spans="1:16" ht="15" customHeight="1" x14ac:dyDescent="0.25">
      <c r="A110" s="1">
        <v>65</v>
      </c>
      <c r="C110"/>
    </row>
    <row r="111" spans="1:16" ht="15" customHeight="1" x14ac:dyDescent="0.25">
      <c r="A111" s="1">
        <v>66</v>
      </c>
      <c r="C111"/>
    </row>
    <row r="112" spans="1:16" ht="15" customHeight="1" x14ac:dyDescent="0.25">
      <c r="A112" s="1">
        <v>67</v>
      </c>
      <c r="C112"/>
    </row>
    <row r="113" spans="1:4" ht="15" customHeight="1" x14ac:dyDescent="0.25">
      <c r="A113" s="1">
        <v>68</v>
      </c>
      <c r="C113"/>
    </row>
    <row r="114" spans="1:4" s="3" customFormat="1" ht="15" customHeight="1" x14ac:dyDescent="0.25">
      <c r="A114" s="1">
        <v>69</v>
      </c>
      <c r="B114" s="2"/>
      <c r="C114"/>
      <c r="D114"/>
    </row>
    <row r="115" spans="1:4" s="3" customFormat="1" ht="15" customHeight="1" x14ac:dyDescent="0.25">
      <c r="A115" s="1">
        <v>70</v>
      </c>
      <c r="B115" s="2"/>
      <c r="C115"/>
      <c r="D115"/>
    </row>
    <row r="116" spans="1:4" s="3" customFormat="1" ht="15" customHeight="1" x14ac:dyDescent="0.25">
      <c r="A116" s="1">
        <v>71</v>
      </c>
      <c r="B116" s="2"/>
      <c r="C116"/>
      <c r="D116"/>
    </row>
    <row r="117" spans="1:4" s="3" customFormat="1" ht="15" customHeight="1" x14ac:dyDescent="0.25">
      <c r="A117" s="1">
        <v>72</v>
      </c>
      <c r="B117" s="2"/>
      <c r="C117"/>
      <c r="D117"/>
    </row>
    <row r="118" spans="1:4" s="3" customFormat="1" ht="15" customHeight="1" x14ac:dyDescent="0.25">
      <c r="A118" s="1">
        <v>73</v>
      </c>
      <c r="B118" s="2"/>
      <c r="C118"/>
      <c r="D118"/>
    </row>
    <row r="119" spans="1:4" s="3" customFormat="1" ht="15" customHeight="1" x14ac:dyDescent="0.25">
      <c r="A119" s="1">
        <v>74</v>
      </c>
      <c r="B119" s="2"/>
      <c r="C119"/>
      <c r="D119"/>
    </row>
    <row r="120" spans="1:4" s="3" customFormat="1" ht="15" customHeight="1" x14ac:dyDescent="0.25">
      <c r="A120" s="1">
        <v>75</v>
      </c>
      <c r="B120" s="2"/>
      <c r="C120"/>
      <c r="D120"/>
    </row>
    <row r="121" spans="1:4" s="3" customFormat="1" ht="15" customHeight="1" x14ac:dyDescent="0.25">
      <c r="A121" s="1">
        <v>76</v>
      </c>
      <c r="B121" s="2"/>
      <c r="C121"/>
      <c r="D121"/>
    </row>
    <row r="122" spans="1:4" s="3" customFormat="1" ht="15" customHeight="1" x14ac:dyDescent="0.25">
      <c r="A122" s="1">
        <v>77</v>
      </c>
      <c r="B122" s="2"/>
      <c r="C122"/>
      <c r="D122"/>
    </row>
    <row r="123" spans="1:4" s="3" customFormat="1" ht="15" customHeight="1" x14ac:dyDescent="0.25">
      <c r="A123" s="1">
        <v>78</v>
      </c>
      <c r="B123" s="2"/>
      <c r="C123"/>
      <c r="D123"/>
    </row>
    <row r="124" spans="1:4" s="3" customFormat="1" ht="15" customHeight="1" x14ac:dyDescent="0.25">
      <c r="A124" s="1">
        <v>79</v>
      </c>
      <c r="B124" s="2"/>
      <c r="C124"/>
      <c r="D124"/>
    </row>
    <row r="125" spans="1:4" s="3" customFormat="1" ht="15" customHeight="1" x14ac:dyDescent="0.25">
      <c r="A125" s="1">
        <v>80</v>
      </c>
      <c r="B125" s="2"/>
      <c r="C125"/>
      <c r="D125"/>
    </row>
    <row r="126" spans="1:4" s="3" customFormat="1" ht="15" customHeight="1" x14ac:dyDescent="0.25">
      <c r="A126" s="1">
        <v>81</v>
      </c>
      <c r="B126" s="2"/>
      <c r="C126"/>
      <c r="D126"/>
    </row>
    <row r="127" spans="1:4" s="3" customFormat="1" ht="15" customHeight="1" x14ac:dyDescent="0.25">
      <c r="A127" s="1">
        <v>82</v>
      </c>
      <c r="B127" s="2"/>
      <c r="C127"/>
      <c r="D127"/>
    </row>
    <row r="128" spans="1:4" s="3" customFormat="1" ht="15" customHeight="1" x14ac:dyDescent="0.25">
      <c r="A128" s="1">
        <v>83</v>
      </c>
      <c r="B128" s="2"/>
      <c r="C128"/>
      <c r="D128"/>
    </row>
    <row r="129" spans="1:4" s="3" customFormat="1" ht="15" customHeight="1" x14ac:dyDescent="0.25">
      <c r="A129" s="1">
        <v>84</v>
      </c>
      <c r="B129" s="2"/>
      <c r="C129"/>
      <c r="D129"/>
    </row>
    <row r="130" spans="1:4" s="3" customFormat="1" ht="15" customHeight="1" x14ac:dyDescent="0.25">
      <c r="A130" s="1">
        <v>85</v>
      </c>
      <c r="B130" s="2"/>
      <c r="C130"/>
      <c r="D130"/>
    </row>
    <row r="131" spans="1:4" s="3" customFormat="1" ht="15" customHeight="1" x14ac:dyDescent="0.25">
      <c r="A131" s="1">
        <v>86</v>
      </c>
      <c r="B131" s="2"/>
      <c r="D131"/>
    </row>
    <row r="132" spans="1:4" s="3" customFormat="1" ht="15" customHeight="1" x14ac:dyDescent="0.25">
      <c r="A132" s="1">
        <v>87</v>
      </c>
      <c r="B132" s="2"/>
      <c r="D132"/>
    </row>
  </sheetData>
  <autoFilter ref="A9:P132" xr:uid="{0E73755B-F2A9-469D-BE23-AEF8E1A4C8FE}">
    <filterColumn colId="1" showButton="0"/>
    <filterColumn colId="2" showButton="0"/>
  </autoFilter>
  <mergeCells count="8">
    <mergeCell ref="B75:G75"/>
    <mergeCell ref="B84:G84"/>
    <mergeCell ref="B8:D9"/>
    <mergeCell ref="B10:G10"/>
    <mergeCell ref="B12:G12"/>
    <mergeCell ref="B40:G40"/>
    <mergeCell ref="B44:G44"/>
    <mergeCell ref="B65:G65"/>
  </mergeCells>
  <conditionalFormatting sqref="P1 O2:O5 P6:P1048576">
    <cfRule type="cellIs" dxfId="3" priority="1" operator="equal">
      <formula>"INS"</formula>
    </cfRule>
    <cfRule type="cellIs" dxfId="2" priority="2" operator="equal">
      <formula>"ALT"</formula>
    </cfRule>
    <cfRule type="cellIs" dxfId="1" priority="3" operator="equal">
      <formula>"MÉD"</formula>
    </cfRule>
    <cfRule type="cellIs" dxfId="0" priority="4" operator="equal">
      <formula>"BAX"</formula>
    </cfRule>
  </conditionalFormatting>
  <hyperlinks>
    <hyperlink ref="D13" r:id="rId1" display="https://www.ligamagic.com.br/?view=cards/card&amp;card=Indulgent+Aristocrat" xr:uid="{8CD80E26-050B-4096-8C34-E7D0955B70C9}"/>
    <hyperlink ref="D14" r:id="rId2" display="https://www.ligamagic.com.br/?view=cards/card&amp;card=Vampire+of+the+Dire+Moon" xr:uid="{15EE39CD-614D-4651-9533-01EFE5922DE6}"/>
    <hyperlink ref="D15" r:id="rId3" display="https://www.ligamagic.com.br/?view=cards/card&amp;card=Blood+Artist" xr:uid="{71311FCA-68DA-4A59-8947-8A4791C2C3EE}"/>
    <hyperlink ref="D16" r:id="rId4" display="https://www.ligamagic.com.br/?view=cards/card&amp;card=Creeping+Bloodsucker" xr:uid="{5CB5DD72-A70C-41F3-B361-CB57206D674B}"/>
    <hyperlink ref="D17" r:id="rId5" display="https://www.ligamagic.com.br/?view=cards/card&amp;card=Gifted+Aetherborn" xr:uid="{47406B93-CDCD-44B1-8A40-EB4041D131E2}"/>
    <hyperlink ref="D18" r:id="rId6" display="https://www.ligamagic.com.br/?view=cards/card&amp;card=Nullpriest+of+Oblivion" xr:uid="{AD5C6736-5A8B-45BE-9DD8-9D3883900EC2}"/>
    <hyperlink ref="D19" r:id="rId7" display="https://www.ligamagic.com.br/?view=cards/card&amp;card=Cordial+Vampire" xr:uid="{6BEB102C-CABD-4671-8B31-D0469ACA368F}"/>
    <hyperlink ref="D20" r:id="rId8" display="https://www.ligamagic.com.br/?view=cards/card&amp;card=Markov+Baron" xr:uid="{261BBE32-FD7B-46A8-8F6E-B141FCA83C59}"/>
    <hyperlink ref="D21" r:id="rId9" display="https://www.ligamagic.com.br/?view=cards/card&amp;card=Drana%2C+Liberator+of+Malakir" xr:uid="{6CF5E038-832B-44F0-9E5D-B9A4170FF7E3}"/>
    <hyperlink ref="D22" r:id="rId10" display="https://www.ligamagic.com.br/?view=cards/card&amp;card=Sanguine+Spy" xr:uid="{64569683-A88C-4D15-B7BF-5A73C3D55199}"/>
    <hyperlink ref="D23" r:id="rId11" display="https://www.ligamagic.com.br/?view=cards/card&amp;card=Nighthawk+Scavenger" xr:uid="{659D6B63-9CC4-4262-8767-663272DE0AC6}"/>
    <hyperlink ref="D24" r:id="rId12" display="https://www.ligamagic.com.br/?view=cards/card&amp;card=Marauding+Blight-Priest" xr:uid="{BE9AD6DF-0F85-4F67-9B01-6C875A28DA0E}"/>
    <hyperlink ref="D25" r:id="rId13" display="https://www.ligamagic.com.br/?view=cards/card&amp;card=Captivating+Vampire" xr:uid="{9347901C-6DFD-4702-8F3F-D09E498E76A2}"/>
    <hyperlink ref="D26" r:id="rId14" display="https://www.ligamagic.com.br/?view=cards/card&amp;card=Vampire+Nighthawk" xr:uid="{9FA5A0A6-ED12-4EA1-BC40-9EC627BE932C}"/>
    <hyperlink ref="D27" r:id="rId15" display="https://www.ligamagic.com.br/?view=cards/card&amp;card=Sanctum+Seeker" xr:uid="{0DEA8BC8-6053-4BCD-A156-87F7A3FCED51}"/>
    <hyperlink ref="D28" r:id="rId16" display="https://www.ligamagic.com.br/?view=cards/card&amp;card=Bloodline+Keeper" xr:uid="{50D43172-F35A-4D6C-BFE5-065F3646E774}"/>
    <hyperlink ref="D29" r:id="rId17" display="https://www.ligamagic.com.br/?view=cards/card&amp;card=Henrika+Domnathi" xr:uid="{D6CEB0A6-E132-4536-8C3D-C74431D4863B}"/>
    <hyperlink ref="D30" r:id="rId18" display="https://www.ligamagic.com.br/?view=cards/card&amp;card=Kalitas%2C+Traitor+of+Ghet" xr:uid="{3E15F193-FB44-40A8-B4B2-73F15AFF948A}"/>
    <hyperlink ref="D31" r:id="rId19" display="https://www.ligamagic.com.br/?view=cards/card&amp;card=Dread+Presence" xr:uid="{CA3425D2-454C-416F-A75C-D678A877445A}"/>
    <hyperlink ref="D32" r:id="rId20" display="https://www.ligamagic.com.br/?view=cards/card&amp;card=Twilight+Prophet" xr:uid="{3D85F52F-335F-4967-B85F-AEC5C7354ECB}"/>
    <hyperlink ref="D33" r:id="rId21" display="https://www.ligamagic.com.br/?view=cards/card&amp;card=Vampire+Nocturnus" xr:uid="{D324335D-CD25-4B3B-B61A-3B5A78D1A432}"/>
    <hyperlink ref="D34" r:id="rId22" display="https://www.ligamagic.com.br/?view=cards/card&amp;card=Malakir+Bloodwitch" xr:uid="{F0380A98-7314-4EB9-9DE1-C9DCAE87F22A}"/>
    <hyperlink ref="D35" r:id="rId23" display="https://www.ligamagic.com.br/?view=cards/card&amp;card=Champion+of+Dusk" xr:uid="{BD3CA85E-728E-44FA-841A-39DD9AC6FF4B}"/>
    <hyperlink ref="D36" r:id="rId24" display="https://www.ligamagic.com.br/?view=cards/card&amp;card=Gray+Merchant+of+Asphodel" xr:uid="{083D6DEE-56CE-4473-974B-509D15A3165B}"/>
    <hyperlink ref="D37" r:id="rId25" display="https://www.ligamagic.com.br/?view=cards/card&amp;card=The+Haunt+of+Hightower" xr:uid="{650241FC-45A6-4DBB-AA85-0020B97BEC3A}"/>
    <hyperlink ref="D38" r:id="rId26" display="https://www.ligamagic.com.br/?view=cards/card&amp;card=Nirkana+Revenant" xr:uid="{725F0ED2-F0BB-4B42-BF50-32D351621977}"/>
    <hyperlink ref="D39" r:id="rId27" display="https://www.ligamagic.com.br/?view=cards/card&amp;card=Defiant+Bloodlord" xr:uid="{F76DF8D1-BED0-4929-AEB4-DCC7CCEB2CD3}"/>
    <hyperlink ref="D41" r:id="rId28" display="https://www.ligamagic.com.br/?view=cards/card&amp;card=Sorin%2C+Imperious+Bloodlord" xr:uid="{701C6518-8198-41A3-97F0-0E0D69F89702}"/>
    <hyperlink ref="D42" r:id="rId29" display="https://www.ligamagic.com.br/?view=cards/card&amp;card=Liliana+of+the+Dark+Realms" xr:uid="{DADBC47F-CFA0-44B8-955E-2585B8FFBE04}"/>
    <hyperlink ref="D43" r:id="rId30" display="https://www.ligamagic.com.br/?view=cards/card&amp;card=Sorin+Markov" xr:uid="{EE41B158-3540-4B65-92CD-B44C486AB388}"/>
    <hyperlink ref="D11" r:id="rId31" display="https://www.ligamagic.com.br/?view=cards/card&amp;card=Vito%2C+Thorn+of+the+Dusk+Rose" xr:uid="{A29F01C3-0097-423F-A54E-8F20508F546E}"/>
    <hyperlink ref="D45" r:id="rId32" display="https://www.ligamagic.com.br/?view=cards/card&amp;card=Slaughter+Pact" xr:uid="{707DA672-1F58-4B42-9D37-2334F32287AC}"/>
    <hyperlink ref="D46" r:id="rId33" display="https://www.ligamagic.com.br/?view=cards/card&amp;card=Erebos%27s+Intervention" xr:uid="{A943B966-608E-454D-B501-EC9DEFA3C396}"/>
    <hyperlink ref="D47" r:id="rId34" display="https://www.ligamagic.com.br/?view=cards/card&amp;card=Malakir+Rebirth" xr:uid="{2B9FBAB1-543E-4A4D-90AF-836CB786B794}"/>
    <hyperlink ref="D48" r:id="rId35" display="https://www.ligamagic.com.br/?view=cards/card&amp;card=Vampiric+Tutor" xr:uid="{0099A7C5-E0B4-439D-92B3-7893FB5ADF15}"/>
    <hyperlink ref="D49" r:id="rId36" display="https://www.ligamagic.com.br/?view=cards/card&amp;card=Feed+the+Swarm" xr:uid="{7AB6BDEF-B6D8-4BB2-8D34-BE346B7CF517}"/>
    <hyperlink ref="D50" r:id="rId37" display="https://www.ligamagic.com.br/?view=cards/card&amp;card=Exsanguinate" xr:uid="{C0F5CC20-3609-4B6E-A4BB-FAFBFEEB3C27}"/>
    <hyperlink ref="D51" r:id="rId38" display="https://www.ligamagic.com.br/?view=cards/card&amp;card=Torment+of+Hailfire" xr:uid="{E96EF379-A47B-45E8-82D1-E9D9B8FED0D6}"/>
    <hyperlink ref="D52" r:id="rId39" display="https://www.ligamagic.com.br/?view=cards/card&amp;card=Demonic+Tutor" xr:uid="{DC14E8A3-ADF4-4DAE-8CC4-1BBF4111444D}"/>
    <hyperlink ref="D53" r:id="rId40" display="https://www.ligamagic.com.br/?view=cards/card&amp;card=Agadeem%27s+Awakening" xr:uid="{15FDFEFD-4182-4B5F-B312-8CCB2BC32A01}"/>
    <hyperlink ref="D54" r:id="rId41" display="https://www.ligamagic.com.br/?view=cards/card&amp;card=Toxic+Deluge" xr:uid="{3E0251D8-FD0B-4C5E-912A-5EDFCF0344FA}"/>
    <hyperlink ref="D55" r:id="rId42" display="https://www.ligamagic.com.br/?view=cards/card&amp;card=Grim+Tutor" xr:uid="{639031A3-4A12-4A3F-828D-98E13B0118BA}"/>
    <hyperlink ref="D56" r:id="rId43" display="https://www.ligamagic.com.br/?view=cards/card&amp;card=Deadly+Rollick" xr:uid="{13A5F794-63A3-497D-823B-30F7684FBC8E}"/>
    <hyperlink ref="D57" r:id="rId44" display="https://www.ligamagic.com.br/?view=cards/card&amp;card=Damnation" xr:uid="{10DD168F-CEAF-455C-AE29-79057874D74A}"/>
    <hyperlink ref="D58" r:id="rId45" display="https://www.ligamagic.com.br/?view=cards/card&amp;card=Beseech+the+Mirror" xr:uid="{32DD2106-0FD0-4684-9BB0-C851EFC166F0}"/>
    <hyperlink ref="D59" r:id="rId46" display="https://www.ligamagic.com.br/?view=cards/card&amp;card=New+Blood" xr:uid="{35ECF30B-DA8C-489A-991E-3CBB2FBF9C71}"/>
    <hyperlink ref="D60" r:id="rId47" display="https://www.ligamagic.com.br/?view=cards/card&amp;card=Hagra+Mauling" xr:uid="{1C7843E1-3997-4A0B-B384-159A65DCA2E8}"/>
    <hyperlink ref="D61" r:id="rId48" display="https://www.ligamagic.com.br/?view=cards/card&amp;card=Hatred" xr:uid="{DB9D403B-555E-4500-808F-5E2BD2367617}"/>
    <hyperlink ref="D62" r:id="rId49" display="https://www.ligamagic.com.br/?view=cards/card&amp;card=Command+the+Dreadhorde" xr:uid="{D556BD29-8BA4-44CB-815E-AF4B5795B913}"/>
    <hyperlink ref="D63" r:id="rId50" display="https://www.ligamagic.com.br/?view=cards/card&amp;card=Blood+on+the+Snow" xr:uid="{746D5F49-9E06-4D47-B651-6B76A243C0E8}"/>
    <hyperlink ref="D64" r:id="rId51" display="https://www.ligamagic.com.br/?view=cards/card&amp;card=Blood+Tribute" xr:uid="{368BC7DB-292F-4FE2-9825-A8E69FF85EEE}"/>
    <hyperlink ref="D66" r:id="rId52" display="https://www.ligamagic.com.br/?view=cards/card&amp;card=Sol+Ring" xr:uid="{59F40DFB-28F6-4EBA-943C-315BCF6B53EE}"/>
    <hyperlink ref="D67" r:id="rId53" display="https://www.ligamagic.com.br/?view=cards/card&amp;card=Shadowspear" xr:uid="{D404D2D1-C2EB-4011-BDA2-11766CA893EE}"/>
    <hyperlink ref="D68" r:id="rId54" display="https://www.ligamagic.com.br/?view=cards/card&amp;card=Sensei%27s+Divining+Top" xr:uid="{1E92F668-9990-4114-8FC0-01BB20E44970}"/>
    <hyperlink ref="D69" r:id="rId55" display="https://www.ligamagic.com.br/?view=cards/card&amp;card=Umezawa%27s+Jitte" xr:uid="{14B71F39-DB10-47F5-AF7F-DCCC7E1813DF}"/>
    <hyperlink ref="D70" r:id="rId56" display="https://www.ligamagic.com.br/?view=cards/card&amp;card=Mindcrank" xr:uid="{E08D5557-CA6F-4A67-A606-6A4D31CF3311}"/>
    <hyperlink ref="D71" r:id="rId57" display="https://www.ligamagic.com.br/?view=cards/card&amp;card=Jet+Medallion" xr:uid="{CEEA72F9-AC0F-46BB-BF1B-0B45B7DACB5D}"/>
    <hyperlink ref="D72" r:id="rId58" display="https://www.ligamagic.com.br/?view=cards/card&amp;card=Herald%27s+Horn" xr:uid="{343AD581-AB9D-4D0F-BD2C-6C1F5F514D28}"/>
    <hyperlink ref="D73" r:id="rId59" display="https://www.ligamagic.com.br/?view=cards/card&amp;card=Bontu%27s+Monument" xr:uid="{541FB9B3-93E2-4CB5-AC61-61F5ADECB05D}"/>
    <hyperlink ref="D74" r:id="rId60" display="https://www.ligamagic.com.br/?view=cards/card&amp;card=Bolas%27s+Citadel" xr:uid="{47BE0FCC-0B70-45B9-90D4-558A1A339386}"/>
    <hyperlink ref="D76" r:id="rId61" display="https://www.ligamagic.com.br/?view=cards/card&amp;card=Bloodchief+Ascension" xr:uid="{5FAC74B1-D850-4174-8844-1097204098DC}"/>
    <hyperlink ref="D77" r:id="rId62" display="https://www.ligamagic.com.br/?view=cards/card&amp;card=Call+of+the+Ring" xr:uid="{B781D0B2-9C67-4F03-91D9-0C04750FF870}"/>
    <hyperlink ref="D78" r:id="rId63" display="https://www.ligamagic.com.br/?view=cards/card&amp;card=The+Meathook+Massacre" xr:uid="{C838089D-149B-4CE6-938A-8FABE0EE58C1}"/>
    <hyperlink ref="D79" r:id="rId64" display="https://www.ligamagic.com.br/?view=cards/card&amp;card=Phyrexian+Arena" xr:uid="{B49BFD4C-A7DE-4EBC-B5FB-11918E73EA02}"/>
    <hyperlink ref="D80" r:id="rId65" display="https://www.ligamagic.com.br/?view=cards/card&amp;card=Black+Market+Connections" xr:uid="{37C3EB8F-0DE6-4826-94DF-502B07BDD53F}"/>
    <hyperlink ref="D81" r:id="rId66" display="https://www.ligamagic.com.br/?view=cards/card&amp;card=Necropotence" xr:uid="{E2708C2F-4351-4431-AD29-1FE85CA3D55F}"/>
    <hyperlink ref="D82" r:id="rId67" display="https://www.ligamagic.com.br/?view=cards/card&amp;card=Sanguine+Bond" xr:uid="{878182C8-5F2B-4F78-AD4D-962C4B90C8E5}"/>
    <hyperlink ref="D83" r:id="rId68" display="https://www.ligamagic.com.br/?view=cards/card&amp;card=Exquisite+Blood" xr:uid="{B8C9450C-DE5F-4004-9920-E6B0189A9F1A}"/>
    <hyperlink ref="D85" r:id="rId69" display="https://www.ligamagic.com.br/?view=cards/card&amp;card=Path+of+Ancestry" xr:uid="{7F609534-62FC-4C26-8276-556CA79DF17D}"/>
    <hyperlink ref="D86" r:id="rId70" display="https://www.ligamagic.com.br/?view=cards/card&amp;card=Witch%27s+Cottage" xr:uid="{E6E66E1D-B7D2-4047-AB1B-D9D6F141BFCE}"/>
    <hyperlink ref="D87" r:id="rId71" display="https://www.ligamagic.com.br/?view=cards/card&amp;card=Castle+Locthwain" xr:uid="{4A5611FC-1AD8-4DAD-B5B7-2A13D1C6A690}"/>
    <hyperlink ref="D88" r:id="rId72" display="https://www.ligamagic.com.br/?view=cards/card&amp;card=Cabal+Coffers" xr:uid="{2577969B-0E67-4A1D-B5B3-9C0EAB0A91B8}"/>
    <hyperlink ref="D89" r:id="rId73" display="https://www.ligamagic.com.br/?view=cards/card&amp;card=Cabal+Stronghold" xr:uid="{B8CB5707-5673-410B-B755-90B9D66701C4}"/>
    <hyperlink ref="D90" r:id="rId74" display="https://www.ligamagic.com.br/?view=cards/card&amp;card=Mikokoro%2C+Center+of+the+Sea" xr:uid="{1DC11B4A-A811-4C61-AC1C-956E3A135B95}"/>
    <hyperlink ref="D91" r:id="rId75" display="https://www.ligamagic.com.br/?view=cards/card&amp;card=Nykthos%2C+Shrine+to+Nyx" xr:uid="{8821D316-95D0-41E9-999A-5B44E0013CCE}"/>
    <hyperlink ref="D92" r:id="rId76" display="https://www.ligamagic.com.br/?view=cards/card&amp;card=Snow-Covered+Swamp" xr:uid="{ED757489-A049-41C3-93E6-ADD2596E2E4B}"/>
    <hyperlink ref="D93" r:id="rId77" display="https://www.ligamagic.com.br/?view=cards/card&amp;card=Leechridden+Swamp" xr:uid="{003A674B-DA8C-4083-9C7C-7D3A0060EDE2}"/>
    <hyperlink ref="D94" r:id="rId78" display="https://www.ligamagic.com.br/?view=cards/card&amp;card=War+Room" xr:uid="{EFCCF68B-DC77-40BA-B03A-A6DA2E8A2ADF}"/>
    <hyperlink ref="D95" r:id="rId79" display="https://www.ligamagic.com.br/?view=cards/card&amp;card=Tyrite+Sanctum" xr:uid="{67DDE217-7E73-473D-830B-DA450286269B}"/>
    <hyperlink ref="D96" r:id="rId80" display="https://www.ligamagic.com.br/?view=cards/card&amp;card=Shizo%2C+Death%27s+Storehouse" xr:uid="{BE492149-FC72-4212-9369-BB6D7F502BDA}"/>
    <hyperlink ref="D97" r:id="rId81" display="https://www.ligamagic.com.br/?view=cards/card&amp;card=Urborg%2C+Tomb+of+Yawgmoth" xr:uid="{4804331C-FEF2-4FE3-B0F0-45E7C10977DD}"/>
  </hyperlinks>
  <pageMargins left="0.511811024" right="0.511811024" top="0.78740157499999996" bottom="0.78740157499999996" header="0.31496062000000002" footer="0.31496062000000002"/>
  <pageSetup paperSize="9" orientation="portrait" r:id="rId82"/>
  <drawing r:id="rId83"/>
  <legacyDrawing r:id="rId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Danylo Augusto Pontes Goulart</dc:creator>
  <cp:lastModifiedBy>Danylo Augusto Pontes Goulart</cp:lastModifiedBy>
  <dcterms:created xsi:type="dcterms:W3CDTF">2026-10-06T21:55:24Z</dcterms:created>
  <dcterms:modified xsi:type="dcterms:W3CDTF">2026-10-06T21:55:38Z</dcterms:modified>
</cp:coreProperties>
</file>