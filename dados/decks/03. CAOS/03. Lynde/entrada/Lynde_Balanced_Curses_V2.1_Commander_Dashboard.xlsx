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3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f7fe3fd82d48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ecklist" sheetId="1" r:id="R4e25a71a0cf5409b"/>
    <x:sheet xmlns:r="http://schemas.openxmlformats.org/officeDocument/2006/relationships" name="01_Dashboard" sheetId="2" r:id="Re0d1995b9a964cea"/>
    <x:sheet xmlns:r="http://schemas.openxmlformats.org/officeDocument/2006/relationships" name="02_Card Matrix" sheetId="3" r:id="R40120f77afbe41d7"/>
    <x:sheet xmlns:r="http://schemas.openxmlformats.org/officeDocument/2006/relationships" name="03_Tier List" sheetId="4" r:id="R7171510206514802"/>
    <x:sheet xmlns:r="http://schemas.openxmlformats.org/officeDocument/2006/relationships" name="04_Analysis" sheetId="5" r:id="R24c24051cfcc4578"/>
    <x:sheet xmlns:r="http://schemas.openxmlformats.org/officeDocument/2006/relationships" name="05_Control Panel" sheetId="6" r:id="R34a2f3b8a97c4d3d"/>
    <x:sheet xmlns:r="http://schemas.openxmlformats.org/officeDocument/2006/relationships" name="06_Watchlist" sheetId="7" r:id="R6ae14f502feb458c"/>
    <x:sheet xmlns:r="http://schemas.openxmlformats.org/officeDocument/2006/relationships" name="07_Upgrade Matrix" sheetId="8" r:id="Re00963521eee4649"/>
    <x:sheet xmlns:r="http://schemas.openxmlformats.org/officeDocument/2006/relationships" name="08_V2.1" sheetId="9" r:id="R5f61922386804964"/>
    <x:sheet xmlns:r="http://schemas.openxmlformats.org/officeDocument/2006/relationships" name="09_Sources" sheetId="10" r:id="Rf1e27c9aab9048eb"/>
    <x:sheet xmlns:r="http://schemas.openxmlformats.org/officeDocument/2006/relationships" name="10_Read Me" sheetId="11" r:id="R60ec3e929e494ab2"/>
    <x:sheet xmlns:r="http://schemas.openxmlformats.org/officeDocument/2006/relationships" name="11_Handover Compliance" sheetId="12" r:id="Ra4ee6bc684fe42d7"/>
    <x:sheet xmlns:r="http://schemas.openxmlformats.org/officeDocument/2006/relationships" name="12_Rules Interactions" sheetId="13" r:id="R03e7843b783542f2"/>
    <x:sheet xmlns:r="http://schemas.openxmlformats.org/officeDocument/2006/relationships" name="13_Playtest Log" sheetId="14" r:id="R571c3d511c4d44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"/>
    <x:numFmt numFmtId="202" formatCode="0.00"/>
  </x:numFmts>
  <x:fonts count="12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4"/>
      <x:color rgb="FF151515"/>
      <x:name val="Carlito"/>
    </x:font>
    <x:font>
      <x:b/>
      <x:sz val="11"/>
      <x:color rgb="FF5B0F18"/>
      <x:name val="Carlito"/>
    </x:font>
    <x:font>
      <x:b/>
      <x:sz val="11"/>
      <x:color rgb="FFB91C1C"/>
      <x:name val="Carlito"/>
    </x:font>
    <x:font>
      <x:b/>
      <x:sz val="10"/>
      <x:color rgb="FF151515"/>
      <x:name val="Aptos"/>
    </x:font>
    <x:font>
      <x:b/>
      <x:sz val="10"/>
      <x:color rgb="FF5B0F18"/>
      <x:name val="Aptos"/>
    </x:font>
    <x:font>
      <x:b/>
      <x:sz val="10"/>
      <x:color rgb="FFB91C1C"/>
      <x:name val="Aptos"/>
    </x:font>
    <x:font>
      <x:b/>
      <x:sz val="10"/>
      <x:color rgb="FF374151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51515"/>
      </x:patternFill>
    </x:fill>
    <x:fill>
      <x:patternFill patternType="solid">
        <x:fgColor rgb="FFF8F5F2"/>
      </x:patternFill>
    </x:fill>
    <x:fill>
      <x:patternFill patternType="solid">
        <x:fgColor rgb="FF5B0F18"/>
      </x:patternFill>
    </x:fill>
    <x:fill>
      <x:patternFill patternType="solid">
        <x:fgColor rgb="FFB91C1C"/>
      </x:patternFill>
    </x:fill>
    <x:fill>
      <x:patternFill patternType="solid">
        <x:fgColor rgb="FFFEF3C7"/>
      </x:patternFill>
    </x:fill>
  </x:fills>
  <x:borders count="2">
    <x:border/>
    <x:border/>
  </x:borders>
  <x:cellStyleXfs count="1">
    <x:xf numFmtId="0" fontId="0" fillId="0" borderId="0"/>
  </x:cellStyleXfs>
  <x:cellXfs count="1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4" fillId="0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/>
    <x:xf numFmtId="0" fontId="4" fillId="0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wrapText="1"/>
    </x:xf>
    <x:xf numFmtId="0" fontId="4" fillId="0" borderId="1" xfId="0" applyNumberFormat="1" applyFont="1" applyFill="1" applyBorder="1" applyAlignment="1">
      <x:alignment wrapText="1"/>
    </x:xf>
    <x:xf numFmtId="200" fontId="4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 applyAlignment="1">
      <x:alignment horizontal="center" vertical="center"/>
    </x:xf>
    <x:xf numFmtId="200" fontId="5" fillId="3" borderId="0" xfId="0" applyNumberFormat="1" applyFont="1" applyFill="1" applyBorder="1" applyAlignment="1">
      <x:alignment horizontal="center" vertical="center"/>
    </x:xf>
    <x:xf numFmtId="200" fontId="5" fillId="3" borderId="1" xfId="0" applyNumberFormat="1" applyFont="1" applyFill="1" applyBorder="1" applyAlignment="1">
      <x:alignment horizontal="center" vertical="center"/>
    </x:xf>
    <x:xf numFmtId="201" fontId="5" fillId="3" borderId="0" xfId="0" applyNumberFormat="1" applyFont="1" applyFill="1" applyBorder="1" applyAlignment="1">
      <x:alignment horizontal="center" vertical="center"/>
    </x:xf>
    <x:xf numFmtId="201" fontId="5" fillId="3" borderId="1" xfId="0" applyNumberFormat="1" applyFont="1" applyFill="1" applyBorder="1" applyAlignment="1">
      <x:alignment horizontal="center" vertical="center"/>
    </x:xf>
    <x:xf numFmtId="202" fontId="5" fillId="3" borderId="0" xfId="0" applyNumberFormat="1" applyFont="1" applyFill="1" applyBorder="1" applyAlignment="1">
      <x:alignment horizontal="center" vertical="center"/>
    </x:xf>
    <x:xf numFmtId="202" fontId="5" fillId="3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200" fontId="8" fillId="3" borderId="0" xfId="0" applyNumberFormat="1" applyFont="1" applyFill="1" applyBorder="1" applyAlignment="1">
      <x:alignment horizontal="center" vertical="center"/>
    </x:xf>
    <x:xf numFmtId="201" fontId="8" fillId="3" borderId="0" xfId="0" applyNumberFormat="1" applyFont="1" applyFill="1" applyBorder="1" applyAlignment="1">
      <x:alignment horizontal="center" vertical="center"/>
    </x:xf>
    <x:xf numFmtId="202" fontId="8" fillId="3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200" fontId="8" fillId="3" borderId="1" xfId="0" applyNumberFormat="1" applyFont="1" applyFill="1" applyBorder="1" applyAlignment="1">
      <x:alignment horizontal="center" vertical="center"/>
    </x:xf>
    <x:xf numFmtId="201" fontId="8" fillId="3" borderId="1" xfId="0" applyNumberFormat="1" applyFont="1" applyFill="1" applyBorder="1" applyAlignment="1">
      <x:alignment horizontal="center" vertical="center"/>
    </x:xf>
    <x:xf numFmtId="202" fontId="8" fillId="3" borderId="1" xfId="0" applyNumberFormat="1" applyFont="1" applyFill="1" applyBorder="1" applyAlignment="1">
      <x:alignment horizontal="center" vertical="center"/>
    </x:xf>
    <x:xf numFmtId="0" fontId="3" fillId="5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top" wrapText="1"/>
    </x:xf>
    <x:xf numFmtId="0" fontId="9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10" fillId="0" borderId="1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/>
    <x:xf numFmtId="0" fontId="11" fillId="6" borderId="0" xfId="0" applyNumberFormat="1" applyFont="1" applyFill="1" applyBorder="1"/>
    <x:xf numFmtId="0" fontId="11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c45ae4fd494caf" /><Relationship Type="http://schemas.openxmlformats.org/officeDocument/2006/relationships/theme" Target="/xl/theme/theme1.xml" Id="R5f0c5053a3bf4e36" /><Relationship Type="http://schemas.openxmlformats.org/officeDocument/2006/relationships/sharedStrings" Target="/xl/sharedStrings.xml" Id="R1d17d8947aa04f43" /><Relationship Type="http://schemas.openxmlformats.org/officeDocument/2006/relationships/worksheet" Target="/xl/worksheets/sheet1.xml" Id="R4e25a71a0cf5409b" /><Relationship Type="http://schemas.openxmlformats.org/officeDocument/2006/relationships/worksheet" Target="/xl/worksheets/sheet2.xml" Id="Re0d1995b9a964cea" /><Relationship Type="http://schemas.openxmlformats.org/officeDocument/2006/relationships/worksheet" Target="/xl/worksheets/sheet3.xml" Id="R40120f77afbe41d7" /><Relationship Type="http://schemas.openxmlformats.org/officeDocument/2006/relationships/worksheet" Target="/xl/worksheets/sheet4.xml" Id="R7171510206514802" /><Relationship Type="http://schemas.openxmlformats.org/officeDocument/2006/relationships/worksheet" Target="/xl/worksheets/sheet5.xml" Id="R24c24051cfcc4578" /><Relationship Type="http://schemas.openxmlformats.org/officeDocument/2006/relationships/worksheet" Target="/xl/worksheets/sheet6.xml" Id="R34a2f3b8a97c4d3d" /><Relationship Type="http://schemas.openxmlformats.org/officeDocument/2006/relationships/worksheet" Target="/xl/worksheets/sheet7.xml" Id="R6ae14f502feb458c" /><Relationship Type="http://schemas.openxmlformats.org/officeDocument/2006/relationships/worksheet" Target="/xl/worksheets/sheet8.xml" Id="Re00963521eee4649" /><Relationship Type="http://schemas.openxmlformats.org/officeDocument/2006/relationships/worksheet" Target="/xl/worksheets/sheet9.xml" Id="R5f61922386804964" /><Relationship Type="http://schemas.openxmlformats.org/officeDocument/2006/relationships/worksheet" Target="/xl/worksheets/sheet10.xml" Id="Rf1e27c9aab9048eb" /><Relationship Type="http://schemas.openxmlformats.org/officeDocument/2006/relationships/worksheet" Target="/xl/worksheets/sheet11.xml" Id="R60ec3e929e494ab2" /><Relationship Type="http://schemas.openxmlformats.org/officeDocument/2006/relationships/worksheet" Target="/xl/worksheets/sheet12.xml" Id="Ra4ee6bc684fe42d7" /><Relationship Type="http://schemas.openxmlformats.org/officeDocument/2006/relationships/worksheet" Target="/xl/worksheets/sheet13.xml" Id="R03e7843b783542f2" /><Relationship Type="http://schemas.openxmlformats.org/officeDocument/2006/relationships/worksheet" Target="/xl/worksheets/sheet14.xml" Id="R571c3d511c4d447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c4fd871bcbd46bf" /><Relationship Type="http://schemas.openxmlformats.org/officeDocument/2006/relationships/chart" Target="/xl/drawings/charts/chart2.xml" Id="Rfe9e848d2da84fd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Tier Distribution (slots)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Slots</c:v>
          </c:tx>
          <c:cat>
            <c:strRef>
              <c:f>'01_Dashboard'!$A$20:$A$24</c:f>
              <c:strCache>
                <c:ptCount val="0"/>
              </c:strCache>
            </c:strRef>
          </c:cat>
          <c:val>
            <c:numRef>
              <c:f>'01_Dashboard'!$B$20:$B$24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Role Coverage (slots)</a:t>
            </a:r>
          </a:p>
        </c:rich>
      </c:tx>
      <c:overlay val="0"/>
    </c:title>
    <c:plotArea>
      <c:barChart>
        <c:barDir val="bar"/>
        <c:grouping val="clustered"/>
        <c:varyColors val="0"/>
        <c:ser>
          <c:idx val="0"/>
          <c:order val="0"/>
          <c:tx>
            <c:v>Slots</c:v>
          </c:tx>
          <c:cat>
            <c:strRef>
              <c:f>'01_Dashboard'!$D$20:$D$27</c:f>
              <c:strCache>
                <c:ptCount val="0"/>
              </c:strCache>
            </c:strRef>
          </c:cat>
          <c:val>
            <c:numRef>
              <c:f>'01_Dashboard'!$E$20:$E$27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18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c4fd871bcbd46bf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6</xdr:col>
      <xdr:colOff>0</xdr:colOff>
      <xdr:row>43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e9e848d2da84fd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LyndeCardMatrix" displayName="LyndeCardMatrix" ref="A2:N97" headerRowCount="1" totalsRowCount="0" totalsRowShown="0">
  <x:tableColumns count="14">
    <x:tableColumn id="1" name="Card"/>
    <x:tableColumn id="2" name="Qty"/>
    <x:tableColumn id="3" name="Type"/>
    <x:tableColumn id="4" name="MV"/>
    <x:tableColumn id="5" name="Primary Role"/>
    <x:tableColumn id="6" name="Secondary Role"/>
    <x:tableColumn id="7" name="Theme"/>
    <x:tableColumn id="8" name="Score"/>
    <x:tableColumn id="9" name="Tier"/>
    <x:tableColumn id="10" name="Status"/>
    <x:tableColumn id="11" name="Change"/>
    <x:tableColumn id="12" name="Notes"/>
    <x:tableColumn id="13" name="Nonland?"/>
    <x:tableColumn id="14" name="Score Weigh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yndeTierList" displayName="LyndeTierList" ref="A3:F98" headerRowCount="1" totalsRowCount="0" totalsRowShown="0">
  <x:tableColumns count="6">
    <x:tableColumn id="1" name="Tier"/>
    <x:tableColumn id="2" name="Card"/>
    <x:tableColumn id="3" name="Score"/>
    <x:tableColumn id="4" name="MV"/>
    <x:tableColumn id="5" name="Role"/>
    <x:tableColumn id="6" name="Wh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yndeV21Deck" displayName="LyndeV21Deck" ref="A3:G98" headerRowCount="1" totalsRowCount="0" totalsRowShown="0">
  <x:tableColumns count="7">
    <x:tableColumn id="1" name="Qty"/>
    <x:tableColumn id="2" name="Card"/>
    <x:tableColumn id="3" name="Type"/>
    <x:tableColumn id="4" name="MV"/>
    <x:tableColumn id="5" name="Role"/>
    <x:tableColumn id="6" name="Score"/>
    <x:tableColumn id="7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0ad973595d547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fa747d5c905f4b1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49aec297e4b34a4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3.xml" Id="Rf9c3767f143a4859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34" hidden="0" customWidth="1"/>
    <x:col min="3" max="3" width="32" hidden="0" customWidth="1"/>
    <x:col min="4" max="4" width="8" hidden="0" customWidth="1"/>
    <x:col min="5" max="5" width="12" hidden="0" customWidth="1"/>
  </x:cols>
  <x:sheetData>
    <x:row r="1">
      <x:c r="A1" s="22" t="str">
        <x:v>LYNDE — V2.1 BALANCED CURSES | DECKLIST</x:v>
      </x:c>
      <x:c r="B1" s="22"/>
      <x:c r="C1" s="22"/>
      <x:c r="D1" s="22"/>
      <x:c r="E1" s="22"/>
      <x:c r="F1" s="22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>
      <x:c r="A2" s="23" t="str">
        <x:v>Status</x:v>
      </x:c>
      <x:c r="B2" s="23" t="str">
        <x:v>Projected — not playtested</x:v>
      </x:c>
      <x:c r="C2" s="23" t="str">
        <x:v>Commander</x:v>
      </x:c>
      <x:c r="D2" s="23" t="str">
        <x:v>Lynde, Cheerful Tormentor</x:v>
      </x:c>
      <x:c r="E2" s="23" t="str">
        <x:v>Total Cards</x:v>
      </x:c>
      <x:c r="F2" s="23" t="n">
        <x:v>100</x:v>
      </x:c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  <x:c r="R2" s="24"/>
      <x:c r="S2" s="24"/>
      <x:c r="T2" s="24"/>
      <x:c r="U2" s="24"/>
      <x:c r="V2" s="24"/>
      <x:c r="W2" s="24"/>
      <x:c r="X2" s="24"/>
      <x:c r="Y2" s="24"/>
      <x:c r="Z2" s="24"/>
    </x:row>
    <x:row r="3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  <x:c r="Q3" s="24"/>
      <x:c r="R3" s="24"/>
      <x:c r="S3" s="24"/>
      <x:c r="T3" s="24"/>
      <x:c r="U3" s="24"/>
      <x:c r="V3" s="24"/>
      <x:c r="W3" s="24"/>
      <x:c r="X3" s="24"/>
      <x:c r="Y3" s="24"/>
      <x:c r="Z3" s="24"/>
    </x:row>
    <x:row r="4">
      <x:c r="A4" s="25" t="str">
        <x:v>Qty</x:v>
      </x:c>
      <x:c r="B4" s="25" t="str">
        <x:v>Card</x:v>
      </x:c>
      <x:c r="C4" s="25" t="str">
        <x:v>Role Group</x:v>
      </x:c>
      <x:c r="D4" s="25" t="str">
        <x:v>Score</x:v>
      </x:c>
      <x:c r="E4" s="25" t="str">
        <x:v>Change</x:v>
      </x:c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4"/>
      <x:c r="Z4" s="24"/>
    </x:row>
    <x:row r="5">
      <x:c r="A5" s="26" t="n">
        <x:v>1</x:v>
      </x:c>
      <x:c r="B5" s="27" t="str">
        <x:v>Lynde, Cheerful Tormentor</x:v>
      </x:c>
      <x:c r="C5" s="27" t="str">
        <x:v>4. Curse Engines / Enchantment Support</x:v>
      </x:c>
      <x:c r="D5" s="28" t="n">
        <x:v>10</x:v>
      </x:c>
      <x:c r="E5" s="27" t="str">
        <x:v>COMMANDER</x:v>
      </x:c>
      <x:c r="F5" s="24"/>
      <x:c r="G5" s="24"/>
      <x:c r="H5" s="24"/>
      <x:c r="I5" s="24"/>
      <x:c r="J5" s="24"/>
      <x:c r="K5" s="24"/>
      <x:c r="L5" s="24"/>
      <x:c r="M5" s="24"/>
      <x:c r="N5" s="24"/>
      <x:c r="O5" s="24"/>
      <x:c r="P5" s="24"/>
      <x:c r="Q5" s="24"/>
      <x:c r="R5" s="24"/>
      <x:c r="S5" s="24"/>
      <x:c r="T5" s="24"/>
      <x:c r="U5" s="24"/>
      <x:c r="V5" s="24"/>
      <x:c r="W5" s="24"/>
      <x:c r="X5" s="24"/>
      <x:c r="Y5" s="24"/>
      <x:c r="Z5" s="24"/>
    </x:row>
    <x:row r="6">
      <x:c r="A6" s="26" t="n">
        <x:v>1</x:v>
      </x:c>
      <x:c r="B6" s="27" t="str">
        <x:v>Accursed Witch</x:v>
      </x:c>
      <x:c r="C6" s="27" t="str">
        <x:v>4. Curses — Core</x:v>
      </x:c>
      <x:c r="D6" s="28" t="n">
        <x:v>8.4</x:v>
      </x:c>
      <x:c r="E6" s="27" t="str">
        <x:v>IN — V2.0</x:v>
      </x:c>
      <x:c r="F6" s="24"/>
      <x:c r="G6" s="24"/>
      <x:c r="H6" s="24"/>
      <x:c r="I6" s="24"/>
      <x:c r="J6" s="24"/>
      <x:c r="K6" s="24"/>
      <x:c r="L6" s="24"/>
      <x:c r="M6" s="24"/>
      <x:c r="N6" s="24"/>
      <x:c r="O6" s="24"/>
      <x:c r="P6" s="24"/>
      <x:c r="Q6" s="24"/>
      <x:c r="R6" s="24"/>
      <x:c r="S6" s="24"/>
      <x:c r="T6" s="24"/>
      <x:c r="U6" s="24"/>
      <x:c r="V6" s="24"/>
      <x:c r="W6" s="24"/>
      <x:c r="X6" s="24"/>
      <x:c r="Y6" s="24"/>
      <x:c r="Z6" s="24"/>
    </x:row>
    <x:row r="7">
      <x:c r="A7" s="26" t="n">
        <x:v>1</x:v>
      </x:c>
      <x:c r="B7" s="27" t="str">
        <x:v>Alexios, Deimos of Kosmos</x:v>
      </x:c>
      <x:c r="C7" s="27" t="str">
        <x:v>6. Politics / Punisher / Pillow Fort</x:v>
      </x:c>
      <x:c r="D7" s="28" t="n">
        <x:v>7.9</x:v>
      </x:c>
      <x:c r="E7" s="27" t="str">
        <x:v>ORIGINAL</x:v>
      </x:c>
      <x:c r="F7" s="24"/>
      <x:c r="G7" s="24"/>
      <x:c r="H7" s="24"/>
      <x:c r="I7" s="24"/>
      <x:c r="J7" s="24"/>
      <x:c r="K7" s="24"/>
      <x:c r="L7" s="24"/>
      <x:c r="M7" s="24"/>
      <x:c r="N7" s="24"/>
      <x:c r="O7" s="24"/>
      <x:c r="P7" s="24"/>
      <x:c r="Q7" s="24"/>
      <x:c r="R7" s="24"/>
      <x:c r="S7" s="24"/>
      <x:c r="T7" s="24"/>
      <x:c r="U7" s="24"/>
      <x:c r="V7" s="24"/>
      <x:c r="W7" s="24"/>
      <x:c r="X7" s="24"/>
      <x:c r="Y7" s="24"/>
      <x:c r="Z7" s="24"/>
    </x:row>
    <x:row r="8">
      <x:c r="A8" s="26" t="n">
        <x:v>1</x:v>
      </x:c>
      <x:c r="B8" s="27" t="str">
        <x:v>Arcane Signet</x:v>
      </x:c>
      <x:c r="C8" s="27" t="str">
        <x:v>1. Ramp / Mana</x:v>
      </x:c>
      <x:c r="D8" s="28" t="n">
        <x:v>9</x:v>
      </x:c>
      <x:c r="E8" s="27" t="str">
        <x:v>ORIGINAL</x:v>
      </x:c>
      <x:c r="F8" s="24"/>
      <x:c r="G8" s="24"/>
      <x:c r="H8" s="24"/>
      <x:c r="I8" s="24"/>
      <x:c r="J8" s="24"/>
      <x:c r="K8" s="24"/>
      <x:c r="L8" s="24"/>
      <x:c r="M8" s="24"/>
      <x:c r="N8" s="24"/>
      <x:c r="O8" s="24"/>
      <x:c r="P8" s="24"/>
      <x:c r="Q8" s="24"/>
      <x:c r="R8" s="24"/>
      <x:c r="S8" s="24"/>
      <x:c r="T8" s="24"/>
      <x:c r="U8" s="24"/>
      <x:c r="V8" s="24"/>
      <x:c r="W8" s="24"/>
      <x:c r="X8" s="24"/>
      <x:c r="Y8" s="24"/>
      <x:c r="Z8" s="24"/>
    </x:row>
    <x:row r="9">
      <x:c r="A9" s="26" t="n">
        <x:v>1</x:v>
      </x:c>
      <x:c r="B9" s="27" t="str">
        <x:v>Baleful Strix</x:v>
      </x:c>
      <x:c r="C9" s="27" t="str">
        <x:v>2. Draw / Card Advantage</x:v>
      </x:c>
      <x:c r="D9" s="28" t="n">
        <x:v>8.1</x:v>
      </x:c>
      <x:c r="E9" s="27" t="str">
        <x:v>ORIGINAL</x:v>
      </x:c>
      <x:c r="F9" s="24"/>
      <x:c r="G9" s="24"/>
      <x:c r="H9" s="24"/>
      <x:c r="I9" s="24"/>
      <x:c r="J9" s="24"/>
      <x:c r="K9" s="24"/>
      <x:c r="L9" s="24"/>
      <x:c r="M9" s="24"/>
      <x:c r="N9" s="24"/>
      <x:c r="O9" s="24"/>
      <x:c r="P9" s="24"/>
      <x:c r="Q9" s="24"/>
      <x:c r="R9" s="24"/>
      <x:c r="S9" s="24"/>
      <x:c r="T9" s="24"/>
      <x:c r="U9" s="24"/>
      <x:c r="V9" s="24"/>
      <x:c r="W9" s="24"/>
      <x:c r="X9" s="24"/>
      <x:c r="Y9" s="24"/>
      <x:c r="Z9" s="24"/>
    </x:row>
    <x:row r="10">
      <x:c r="A10" s="26" t="n">
        <x:v>1</x:v>
      </x:c>
      <x:c r="B10" s="27" t="str">
        <x:v>Bitterheart Witch</x:v>
      </x:c>
      <x:c r="C10" s="27" t="str">
        <x:v>5. Curse Engines / Enchantment Support</x:v>
      </x:c>
      <x:c r="D10" s="28" t="n">
        <x:v>9.7</x:v>
      </x:c>
      <x:c r="E10" s="27" t="str">
        <x:v>IN — V2.0</x:v>
      </x:c>
      <x:c r="F10" s="24"/>
      <x:c r="G10" s="24"/>
      <x:c r="H10" s="24"/>
      <x:c r="I10" s="24"/>
      <x:c r="J10" s="24"/>
      <x:c r="K10" s="24"/>
      <x:c r="L10" s="24"/>
      <x:c r="M10" s="24"/>
      <x:c r="N10" s="24"/>
      <x:c r="O10" s="24"/>
      <x:c r="P10" s="24"/>
      <x:c r="Q10" s="24"/>
      <x:c r="R10" s="24"/>
      <x:c r="S10" s="24"/>
      <x:c r="T10" s="24"/>
      <x:c r="U10" s="24"/>
      <x:c r="V10" s="24"/>
      <x:c r="W10" s="24"/>
      <x:c r="X10" s="24"/>
      <x:c r="Y10" s="24"/>
      <x:c r="Z10" s="24"/>
    </x:row>
    <x:row r="11">
      <x:c r="A11" s="26" t="n">
        <x:v>1</x:v>
      </x:c>
      <x:c r="B11" s="27" t="str">
        <x:v>Blasphemous Act</x:v>
      </x:c>
      <x:c r="C11" s="27" t="str">
        <x:v>3. Removal / Board Control</x:v>
      </x:c>
      <x:c r="D11" s="28" t="n">
        <x:v>9</x:v>
      </x:c>
      <x:c r="E11" s="27" t="str">
        <x:v>ORIGINAL</x:v>
      </x:c>
      <x:c r="F11" s="24"/>
      <x:c r="G11" s="24"/>
      <x:c r="H11" s="24"/>
      <x:c r="I11" s="24"/>
      <x:c r="J11" s="24"/>
      <x:c r="K11" s="24"/>
      <x:c r="L11" s="24"/>
      <x:c r="M11" s="24"/>
      <x:c r="N11" s="24"/>
      <x:c r="O11" s="24"/>
      <x:c r="P11" s="24"/>
      <x:c r="Q11" s="24"/>
      <x:c r="R11" s="24"/>
      <x:c r="S11" s="24"/>
      <x:c r="T11" s="24"/>
      <x:c r="U11" s="24"/>
      <x:c r="V11" s="24"/>
      <x:c r="W11" s="24"/>
      <x:c r="X11" s="24"/>
      <x:c r="Y11" s="24"/>
      <x:c r="Z11" s="24"/>
    </x:row>
    <x:row r="12">
      <x:c r="A12" s="26" t="n">
        <x:v>1</x:v>
      </x:c>
      <x:c r="B12" s="27" t="str">
        <x:v>Blightstep Pathway</x:v>
      </x:c>
      <x:c r="C12" s="27" t="str">
        <x:v>1. Ramp / Mana</x:v>
      </x:c>
      <x:c r="D12" s="28" t="n">
        <x:v>8.2</x:v>
      </x:c>
      <x:c r="E12" s="27" t="str">
        <x:v>ORIGINAL</x:v>
      </x:c>
      <x:c r="F12" s="24"/>
      <x:c r="G12" s="24"/>
      <x:c r="H12" s="24"/>
      <x:c r="I12" s="24"/>
      <x:c r="J12" s="24"/>
      <x:c r="K12" s="24"/>
      <x:c r="L12" s="24"/>
      <x:c r="M12" s="24"/>
      <x:c r="N12" s="24"/>
      <x:c r="O12" s="24"/>
      <x:c r="P12" s="24"/>
      <x:c r="Q12" s="24"/>
      <x:c r="R12" s="24"/>
      <x:c r="S12" s="24"/>
      <x:c r="T12" s="24"/>
      <x:c r="U12" s="24"/>
      <x:c r="V12" s="24"/>
      <x:c r="W12" s="24"/>
      <x:c r="X12" s="24"/>
      <x:c r="Y12" s="24"/>
      <x:c r="Z12" s="24"/>
    </x:row>
    <x:row r="13">
      <x:c r="A13" s="26" t="n">
        <x:v>1</x:v>
      </x:c>
      <x:c r="B13" s="27" t="str">
        <x:v>Blood Crypt</x:v>
      </x:c>
      <x:c r="C13" s="27" t="str">
        <x:v>1. Ramp / Mana</x:v>
      </x:c>
      <x:c r="D13" s="28" t="n">
        <x:v>8.9</x:v>
      </x:c>
      <x:c r="E13" s="27" t="str">
        <x:v>IN — V2.0</x:v>
      </x:c>
      <x:c r="F13" s="24"/>
      <x:c r="G13" s="24"/>
      <x:c r="H13" s="24"/>
      <x:c r="I13" s="24"/>
      <x:c r="J13" s="24"/>
      <x:c r="K13" s="24"/>
      <x:c r="L13" s="24"/>
      <x:c r="M13" s="24"/>
      <x:c r="N13" s="24"/>
      <x:c r="O13" s="24"/>
      <x:c r="P13" s="24"/>
      <x:c r="Q13" s="24"/>
      <x:c r="R13" s="24"/>
      <x:c r="S13" s="24"/>
      <x:c r="T13" s="24"/>
      <x:c r="U13" s="24"/>
      <x:c r="V13" s="24"/>
      <x:c r="W13" s="24"/>
      <x:c r="X13" s="24"/>
      <x:c r="Y13" s="24"/>
      <x:c r="Z13" s="24"/>
    </x:row>
    <x:row r="14">
      <x:c r="A14" s="26" t="n">
        <x:v>1</x:v>
      </x:c>
      <x:c r="B14" s="27" t="str">
        <x:v>Bojuka Bog</x:v>
      </x:c>
      <x:c r="C14" s="27" t="str">
        <x:v>7. Protection / Resilience</x:v>
      </x:c>
      <x:c r="D14" s="28" t="n">
        <x:v>8</x:v>
      </x:c>
      <x:c r="E14" s="27" t="str">
        <x:v>ORIGINAL</x:v>
      </x:c>
      <x:c r="F14" s="24"/>
      <x:c r="G14" s="24"/>
      <x:c r="H14" s="24"/>
      <x:c r="I14" s="24"/>
      <x:c r="J14" s="24"/>
      <x:c r="K14" s="24"/>
      <x:c r="L14" s="24"/>
      <x:c r="M14" s="24"/>
      <x:c r="N14" s="24"/>
      <x:c r="O14" s="24"/>
      <x:c r="P14" s="24"/>
      <x:c r="Q14" s="24"/>
      <x:c r="R14" s="24"/>
      <x:c r="S14" s="24"/>
      <x:c r="T14" s="24"/>
      <x:c r="U14" s="24"/>
      <x:c r="V14" s="24"/>
      <x:c r="W14" s="24"/>
      <x:c r="X14" s="24"/>
      <x:c r="Y14" s="24"/>
      <x:c r="Z14" s="24"/>
    </x:row>
    <x:row r="15">
      <x:c r="A15" s="26" t="n">
        <x:v>1</x:v>
      </x:c>
      <x:c r="B15" s="27" t="str">
        <x:v>Captive Audience</x:v>
      </x:c>
      <x:c r="C15" s="27" t="str">
        <x:v>6. Politics / Punisher / Pillow Fort</x:v>
      </x:c>
      <x:c r="D15" s="28" t="n">
        <x:v>8.5</x:v>
      </x:c>
      <x:c r="E15" s="27" t="str">
        <x:v>ORIGINAL</x:v>
      </x:c>
      <x:c r="F15" s="24"/>
      <x:c r="G15" s="24"/>
      <x:c r="H15" s="24"/>
      <x:c r="I15" s="24"/>
      <x:c r="J15" s="24"/>
      <x:c r="K15" s="24"/>
      <x:c r="L15" s="24"/>
      <x:c r="M15" s="24"/>
      <x:c r="N15" s="24"/>
      <x:c r="O15" s="24"/>
      <x:c r="P15" s="24"/>
      <x:c r="Q15" s="24"/>
      <x:c r="R15" s="24"/>
      <x:c r="S15" s="24"/>
      <x:c r="T15" s="24"/>
      <x:c r="U15" s="24"/>
      <x:c r="V15" s="24"/>
      <x:c r="W15" s="24"/>
      <x:c r="X15" s="24"/>
      <x:c r="Y15" s="24"/>
      <x:c r="Z15" s="24"/>
    </x:row>
    <x:row r="16">
      <x:c r="A16" s="26" t="n">
        <x:v>1</x:v>
      </x:c>
      <x:c r="B16" s="27" t="str">
        <x:v>Chain Reaction</x:v>
      </x:c>
      <x:c r="C16" s="27" t="str">
        <x:v>3. Removal / Board Control</x:v>
      </x:c>
      <x:c r="D16" s="28" t="n">
        <x:v>8.5</x:v>
      </x:c>
      <x:c r="E16" s="27" t="str">
        <x:v>ORIGINAL</x:v>
      </x:c>
      <x:c r="F16" s="24"/>
      <x:c r="G16" s="24"/>
      <x:c r="H16" s="24"/>
      <x:c r="I16" s="24"/>
      <x:c r="J16" s="24"/>
      <x:c r="K16" s="24"/>
      <x:c r="L16" s="24"/>
      <x:c r="M16" s="24"/>
      <x:c r="N16" s="24"/>
      <x:c r="O16" s="24"/>
      <x:c r="P16" s="24"/>
      <x:c r="Q16" s="24"/>
      <x:c r="R16" s="24"/>
      <x:c r="S16" s="24"/>
      <x:c r="T16" s="24"/>
      <x:c r="U16" s="24"/>
      <x:c r="V16" s="24"/>
      <x:c r="W16" s="24"/>
      <x:c r="X16" s="24"/>
      <x:c r="Y16" s="24"/>
      <x:c r="Z16" s="24"/>
    </x:row>
    <x:row r="17">
      <x:c r="A17" s="26" t="n">
        <x:v>1</x:v>
      </x:c>
      <x:c r="B17" s="27" t="str">
        <x:v>Chaos Warp</x:v>
      </x:c>
      <x:c r="C17" s="27" t="str">
        <x:v>3. Removal / Board Control</x:v>
      </x:c>
      <x:c r="D17" s="28" t="n">
        <x:v>8.9</x:v>
      </x:c>
      <x:c r="E17" s="27" t="str">
        <x:v>ORIGINAL</x:v>
      </x:c>
      <x:c r="F17" s="24"/>
      <x:c r="G17" s="24"/>
      <x:c r="H17" s="24"/>
      <x:c r="I17" s="24"/>
      <x:c r="J17" s="24"/>
      <x:c r="K17" s="24"/>
      <x:c r="L17" s="24"/>
      <x:c r="M17" s="24"/>
      <x:c r="N17" s="24"/>
      <x:c r="O17" s="24"/>
      <x:c r="P17" s="24"/>
      <x:c r="Q17" s="24"/>
      <x:c r="R17" s="24"/>
      <x:c r="S17" s="24"/>
      <x:c r="T17" s="24"/>
      <x:c r="U17" s="24"/>
      <x:c r="V17" s="24"/>
      <x:c r="W17" s="24"/>
      <x:c r="X17" s="24"/>
      <x:c r="Y17" s="24"/>
      <x:c r="Z17" s="24"/>
    </x:row>
    <x:row r="18">
      <x:c r="A18" s="26" t="n">
        <x:v>1</x:v>
      </x:c>
      <x:c r="B18" s="27" t="str">
        <x:v>Claws of Gix</x:v>
      </x:c>
      <x:c r="C18" s="27" t="str">
        <x:v>7. Protection / Resilience</x:v>
      </x:c>
      <x:c r="D18" s="28" t="n">
        <x:v>9.4</x:v>
      </x:c>
      <x:c r="E18" s="27" t="str">
        <x:v>ORIGINAL</x:v>
      </x:c>
      <x:c r="F18" s="24"/>
      <x:c r="G18" s="24"/>
      <x:c r="H18" s="24"/>
      <x:c r="I18" s="24"/>
      <x:c r="J18" s="24"/>
      <x:c r="K18" s="24"/>
      <x:c r="L18" s="24"/>
      <x:c r="M18" s="24"/>
      <x:c r="N18" s="24"/>
      <x:c r="O18" s="24"/>
      <x:c r="P18" s="24"/>
      <x:c r="Q18" s="24"/>
      <x:c r="R18" s="24"/>
      <x:c r="S18" s="24"/>
      <x:c r="T18" s="24"/>
      <x:c r="U18" s="24"/>
      <x:c r="V18" s="24"/>
      <x:c r="W18" s="24"/>
      <x:c r="X18" s="24"/>
      <x:c r="Y18" s="24"/>
      <x:c r="Z18" s="24"/>
    </x:row>
    <x:row r="19">
      <x:c r="A19" s="26" t="n">
        <x:v>1</x:v>
      </x:c>
      <x:c r="B19" s="27" t="str">
        <x:v>Clearwater Pathway</x:v>
      </x:c>
      <x:c r="C19" s="27" t="str">
        <x:v>1. Ramp / Mana</x:v>
      </x:c>
      <x:c r="D19" s="28" t="n">
        <x:v>8.2</x:v>
      </x:c>
      <x:c r="E19" s="27" t="str">
        <x:v>ORIGINAL</x:v>
      </x:c>
      <x:c r="F19" s="24"/>
      <x:c r="G19" s="24"/>
      <x:c r="H19" s="24"/>
      <x:c r="I19" s="24"/>
      <x:c r="J19" s="24"/>
      <x:c r="K19" s="24"/>
      <x:c r="L19" s="24"/>
      <x:c r="M19" s="24"/>
      <x:c r="N19" s="24"/>
      <x:c r="O19" s="24"/>
      <x:c r="P19" s="24"/>
      <x:c r="Q19" s="24"/>
      <x:c r="R19" s="24"/>
      <x:c r="S19" s="24"/>
      <x:c r="T19" s="24"/>
      <x:c r="U19" s="24"/>
      <x:c r="V19" s="24"/>
      <x:c r="W19" s="24"/>
      <x:c r="X19" s="24"/>
      <x:c r="Y19" s="24"/>
      <x:c r="Z19" s="24"/>
    </x:row>
    <x:row r="20">
      <x:c r="A20" s="26" t="n">
        <x:v>1</x:v>
      </x:c>
      <x:c r="B20" s="27" t="str">
        <x:v>Clever Impersonator</x:v>
      </x:c>
      <x:c r="C20" s="27" t="str">
        <x:v>5. Curse Engines / Enchantment Support</x:v>
      </x:c>
      <x:c r="D20" s="28" t="n">
        <x:v>8.9</x:v>
      </x:c>
      <x:c r="E20" s="27" t="str">
        <x:v>ORIGINAL</x:v>
      </x:c>
      <x:c r="F20" s="24"/>
      <x:c r="G20" s="24"/>
      <x:c r="H20" s="24"/>
      <x:c r="I20" s="24"/>
      <x:c r="J20" s="24"/>
      <x:c r="K20" s="24"/>
      <x:c r="L20" s="24"/>
      <x:c r="M20" s="24"/>
      <x:c r="N20" s="24"/>
      <x:c r="O20" s="24"/>
      <x:c r="P20" s="24"/>
      <x:c r="Q20" s="24"/>
      <x:c r="R20" s="24"/>
      <x:c r="S20" s="24"/>
      <x:c r="T20" s="24"/>
      <x:c r="U20" s="24"/>
      <x:c r="V20" s="24"/>
      <x:c r="W20" s="24"/>
      <x:c r="X20" s="24"/>
      <x:c r="Y20" s="24"/>
      <x:c r="Z20" s="24"/>
    </x:row>
    <x:row r="21">
      <x:c r="A21" s="26" t="n">
        <x:v>1</x:v>
      </x:c>
      <x:c r="B21" s="27" t="str">
        <x:v>Command Tower</x:v>
      </x:c>
      <x:c r="C21" s="27" t="str">
        <x:v>1. Ramp / Mana</x:v>
      </x:c>
      <x:c r="D21" s="28" t="n">
        <x:v>9.1</x:v>
      </x:c>
      <x:c r="E21" s="27" t="str">
        <x:v>ORIGINAL</x:v>
      </x:c>
      <x:c r="F21" s="24"/>
      <x:c r="G21" s="24"/>
      <x:c r="H21" s="24"/>
      <x:c r="I21" s="24"/>
      <x:c r="J21" s="24"/>
      <x:c r="K21" s="24"/>
      <x:c r="L21" s="24"/>
      <x:c r="M21" s="24"/>
      <x:c r="N21" s="24"/>
      <x:c r="O21" s="24"/>
      <x:c r="P21" s="24"/>
      <x:c r="Q21" s="24"/>
      <x:c r="R21" s="24"/>
      <x:c r="S21" s="24"/>
      <x:c r="T21" s="24"/>
      <x:c r="U21" s="24"/>
      <x:c r="V21" s="24"/>
      <x:c r="W21" s="24"/>
      <x:c r="X21" s="24"/>
      <x:c r="Y21" s="24"/>
      <x:c r="Z21" s="24"/>
    </x:row>
    <x:row r="22">
      <x:c r="A22" s="26" t="n">
        <x:v>1</x:v>
      </x:c>
      <x:c r="B22" s="27" t="str">
        <x:v>Copy Enchantment</x:v>
      </x:c>
      <x:c r="C22" s="27" t="str">
        <x:v>5. Curse Engines / Enchantment Support</x:v>
      </x:c>
      <x:c r="D22" s="28" t="n">
        <x:v>9.4</x:v>
      </x:c>
      <x:c r="E22" s="27" t="str">
        <x:v>ORIGINAL</x:v>
      </x:c>
      <x:c r="F22" s="24"/>
      <x:c r="G22" s="24"/>
      <x:c r="H22" s="24"/>
      <x:c r="I22" s="24"/>
      <x:c r="J22" s="24"/>
      <x:c r="K22" s="24"/>
      <x:c r="L22" s="24"/>
      <x:c r="M22" s="24"/>
      <x:c r="N22" s="24"/>
      <x:c r="O22" s="24"/>
      <x:c r="P22" s="24"/>
      <x:c r="Q22" s="24"/>
      <x:c r="R22" s="24"/>
      <x:c r="S22" s="24"/>
      <x:c r="T22" s="24"/>
      <x:c r="U22" s="24"/>
      <x:c r="V22" s="24"/>
      <x:c r="W22" s="24"/>
      <x:c r="X22" s="24"/>
      <x:c r="Y22" s="24"/>
      <x:c r="Z22" s="24"/>
    </x:row>
    <x:row r="23">
      <x:c r="A23" s="26" t="n">
        <x:v>1</x:v>
      </x:c>
      <x:c r="B23" s="27" t="str">
        <x:v>Cruel Reality</x:v>
      </x:c>
      <x:c r="C23" s="27" t="str">
        <x:v>4. Curses — Core</x:v>
      </x:c>
      <x:c r="D23" s="28" t="n">
        <x:v>8.5</x:v>
      </x:c>
      <x:c r="E23" s="27" t="str">
        <x:v>ORIGINAL</x:v>
      </x:c>
      <x:c r="F23" s="24"/>
      <x:c r="G23" s="24"/>
      <x:c r="H23" s="24"/>
      <x:c r="I23" s="24"/>
      <x:c r="J23" s="24"/>
      <x:c r="K23" s="24"/>
      <x:c r="L23" s="24"/>
      <x:c r="M23" s="24"/>
      <x:c r="N23" s="24"/>
      <x:c r="O23" s="24"/>
      <x:c r="P23" s="24"/>
      <x:c r="Q23" s="24"/>
      <x:c r="R23" s="24"/>
      <x:c r="S23" s="24"/>
      <x:c r="T23" s="24"/>
      <x:c r="U23" s="24"/>
      <x:c r="V23" s="24"/>
      <x:c r="W23" s="24"/>
      <x:c r="X23" s="24"/>
      <x:c r="Y23" s="24"/>
      <x:c r="Z23" s="24"/>
    </x:row>
    <x:row r="24">
      <x:c r="A24" s="26" t="n">
        <x:v>1</x:v>
      </x:c>
      <x:c r="B24" s="27" t="str">
        <x:v>Crumbling Necropolis</x:v>
      </x:c>
      <x:c r="C24" s="27" t="str">
        <x:v>1. Ramp / Mana</x:v>
      </x:c>
      <x:c r="D24" s="28" t="n">
        <x:v>8</x:v>
      </x:c>
      <x:c r="E24" s="27" t="str">
        <x:v>ORIGINAL</x:v>
      </x:c>
      <x:c r="F24" s="24"/>
      <x:c r="G24" s="24"/>
      <x:c r="H24" s="24"/>
      <x:c r="I24" s="24"/>
      <x:c r="J24" s="24"/>
      <x:c r="K24" s="24"/>
      <x:c r="L24" s="24"/>
      <x:c r="M24" s="24"/>
      <x:c r="N24" s="24"/>
      <x:c r="O24" s="24"/>
      <x:c r="P24" s="24"/>
      <x:c r="Q24" s="24"/>
      <x:c r="R24" s="24"/>
      <x:c r="S24" s="24"/>
      <x:c r="T24" s="24"/>
      <x:c r="U24" s="24"/>
      <x:c r="V24" s="24"/>
      <x:c r="W24" s="24"/>
      <x:c r="X24" s="24"/>
      <x:c r="Y24" s="24"/>
      <x:c r="Z24" s="24"/>
    </x:row>
    <x:row r="25">
      <x:c r="A25" s="26" t="n">
        <x:v>1</x:v>
      </x:c>
      <x:c r="B25" s="27" t="str">
        <x:v>Crypt of the Eternals</x:v>
      </x:c>
      <x:c r="C25" s="27" t="str">
        <x:v>1. Ramp / Mana</x:v>
      </x:c>
      <x:c r="D25" s="28" t="n">
        <x:v>7.2</x:v>
      </x:c>
      <x:c r="E25" s="27" t="str">
        <x:v>ORIGINAL</x:v>
      </x:c>
      <x:c r="F25" s="24"/>
      <x:c r="G25" s="24"/>
      <x:c r="H25" s="24"/>
      <x:c r="I25" s="24"/>
      <x:c r="J25" s="24"/>
      <x:c r="K25" s="24"/>
      <x:c r="L25" s="24"/>
      <x:c r="M25" s="24"/>
      <x:c r="N25" s="24"/>
      <x:c r="O25" s="24"/>
      <x:c r="P25" s="24"/>
      <x:c r="Q25" s="24"/>
      <x:c r="R25" s="24"/>
      <x:c r="S25" s="24"/>
      <x:c r="T25" s="24"/>
      <x:c r="U25" s="24"/>
      <x:c r="V25" s="24"/>
      <x:c r="W25" s="24"/>
      <x:c r="X25" s="24"/>
      <x:c r="Y25" s="24"/>
      <x:c r="Z25" s="24"/>
    </x:row>
    <x:row r="26">
      <x:c r="A26" s="26" t="n">
        <x:v>1</x:v>
      </x:c>
      <x:c r="B26" s="27" t="str">
        <x:v>Crystal Chimes</x:v>
      </x:c>
      <x:c r="C26" s="27" t="str">
        <x:v>7. Protection / Resilience</x:v>
      </x:c>
      <x:c r="D26" s="28" t="n">
        <x:v>8.2</x:v>
      </x:c>
      <x:c r="E26" s="27" t="str">
        <x:v>ORIGINAL</x:v>
      </x:c>
      <x:c r="F26" s="24"/>
      <x:c r="G26" s="24"/>
      <x:c r="H26" s="24"/>
      <x:c r="I26" s="24"/>
      <x:c r="J26" s="24"/>
      <x:c r="K26" s="24"/>
      <x:c r="L26" s="24"/>
      <x:c r="M26" s="24"/>
      <x:c r="N26" s="24"/>
      <x:c r="O26" s="24"/>
      <x:c r="P26" s="24"/>
      <x:c r="Q26" s="24"/>
      <x:c r="R26" s="24"/>
      <x:c r="S26" s="24"/>
      <x:c r="T26" s="24"/>
      <x:c r="U26" s="24"/>
      <x:c r="V26" s="24"/>
      <x:c r="W26" s="24"/>
      <x:c r="X26" s="24"/>
      <x:c r="Y26" s="24"/>
      <x:c r="Z26" s="24"/>
    </x:row>
    <x:row r="27">
      <x:c r="A27" s="26" t="n">
        <x:v>1</x:v>
      </x:c>
      <x:c r="B27" s="27" t="str">
        <x:v>Curse of Bloodletting</x:v>
      </x:c>
      <x:c r="C27" s="27" t="str">
        <x:v>4. Curses — Core</x:v>
      </x:c>
      <x:c r="D27" s="28" t="n">
        <x:v>9.3</x:v>
      </x:c>
      <x:c r="E27" s="27" t="str">
        <x:v>ORIGINAL</x:v>
      </x:c>
      <x:c r="F27" s="24"/>
      <x:c r="G27" s="24"/>
      <x:c r="H27" s="24"/>
      <x:c r="I27" s="24"/>
      <x:c r="J27" s="24"/>
      <x:c r="K27" s="24"/>
      <x:c r="L27" s="24"/>
      <x:c r="M27" s="24"/>
      <x:c r="N27" s="24"/>
      <x:c r="O27" s="24"/>
      <x:c r="P27" s="24"/>
      <x:c r="Q27" s="24"/>
      <x:c r="R27" s="24"/>
      <x:c r="S27" s="24"/>
      <x:c r="T27" s="24"/>
      <x:c r="U27" s="24"/>
      <x:c r="V27" s="24"/>
      <x:c r="W27" s="24"/>
      <x:c r="X27" s="24"/>
      <x:c r="Y27" s="24"/>
      <x:c r="Z27" s="24"/>
    </x:row>
    <x:row r="28">
      <x:c r="A28" s="26" t="n">
        <x:v>1</x:v>
      </x:c>
      <x:c r="B28" s="27" t="str">
        <x:v>Curse of Death's Hold</x:v>
      </x:c>
      <x:c r="C28" s="27" t="str">
        <x:v>4. Curses — Core</x:v>
      </x:c>
      <x:c r="D28" s="28" t="n">
        <x:v>9</x:v>
      </x:c>
      <x:c r="E28" s="27" t="str">
        <x:v>IN — V2.0</x:v>
      </x:c>
      <x:c r="F28" s="24"/>
      <x:c r="G28" s="24"/>
      <x:c r="H28" s="24"/>
      <x:c r="I28" s="24"/>
      <x:c r="J28" s="24"/>
      <x:c r="K28" s="24"/>
      <x:c r="L28" s="24"/>
      <x:c r="M28" s="24"/>
      <x:c r="N28" s="24"/>
      <x:c r="O28" s="24"/>
      <x:c r="P28" s="24"/>
      <x:c r="Q28" s="24"/>
      <x:c r="R28" s="24"/>
      <x:c r="S28" s="24"/>
      <x:c r="T28" s="24"/>
      <x:c r="U28" s="24"/>
      <x:c r="V28" s="24"/>
      <x:c r="W28" s="24"/>
      <x:c r="X28" s="24"/>
      <x:c r="Y28" s="24"/>
      <x:c r="Z28" s="24"/>
    </x:row>
    <x:row r="29">
      <x:c r="A29" s="26" t="n">
        <x:v>1</x:v>
      </x:c>
      <x:c r="B29" s="27" t="str">
        <x:v>Curse of Disturbance</x:v>
      </x:c>
      <x:c r="C29" s="27" t="str">
        <x:v>4. Curses — Core</x:v>
      </x:c>
      <x:c r="D29" s="28" t="n">
        <x:v>8.8</x:v>
      </x:c>
      <x:c r="E29" s="27" t="str">
        <x:v>ORIGINAL</x:v>
      </x:c>
      <x:c r="F29" s="24"/>
      <x:c r="G29" s="24"/>
      <x:c r="H29" s="24"/>
      <x:c r="I29" s="24"/>
      <x:c r="J29" s="24"/>
      <x:c r="K29" s="24"/>
      <x:c r="L29" s="24"/>
      <x:c r="M29" s="24"/>
      <x:c r="N29" s="24"/>
      <x:c r="O29" s="24"/>
      <x:c r="P29" s="24"/>
      <x:c r="Q29" s="24"/>
      <x:c r="R29" s="24"/>
      <x:c r="S29" s="24"/>
      <x:c r="T29" s="24"/>
      <x:c r="U29" s="24"/>
      <x:c r="V29" s="24"/>
      <x:c r="W29" s="24"/>
      <x:c r="X29" s="24"/>
      <x:c r="Y29" s="24"/>
      <x:c r="Z29" s="24"/>
    </x:row>
    <x:row r="30">
      <x:c r="A30" s="26" t="n">
        <x:v>1</x:v>
      </x:c>
      <x:c r="B30" s="27" t="str">
        <x:v>Curse of Echoes</x:v>
      </x:c>
      <x:c r="C30" s="27" t="str">
        <x:v>4. Curses — Core</x:v>
      </x:c>
      <x:c r="D30" s="28" t="n">
        <x:v>9</x:v>
      </x:c>
      <x:c r="E30" s="27" t="str">
        <x:v>IN — V2.1</x:v>
      </x:c>
      <x:c r="F30" s="24"/>
      <x:c r="G30" s="24"/>
      <x:c r="H30" s="24"/>
      <x:c r="I30" s="24"/>
      <x:c r="J30" s="24"/>
      <x:c r="K30" s="24"/>
      <x:c r="L30" s="24"/>
      <x:c r="M30" s="24"/>
      <x:c r="N30" s="24"/>
      <x:c r="O30" s="24"/>
      <x:c r="P30" s="24"/>
      <x:c r="Q30" s="24"/>
      <x:c r="R30" s="24"/>
      <x:c r="S30" s="24"/>
      <x:c r="T30" s="24"/>
      <x:c r="U30" s="24"/>
      <x:c r="V30" s="24"/>
      <x:c r="W30" s="24"/>
      <x:c r="X30" s="24"/>
      <x:c r="Y30" s="24"/>
      <x:c r="Z30" s="24"/>
    </x:row>
    <x:row r="31">
      <x:c r="A31" s="26" t="n">
        <x:v>1</x:v>
      </x:c>
      <x:c r="B31" s="27" t="str">
        <x:v>Curse of Fool's Wisdom</x:v>
      </x:c>
      <x:c r="C31" s="27" t="str">
        <x:v>4. Curses — Core</x:v>
      </x:c>
      <x:c r="D31" s="28" t="n">
        <x:v>9.4</x:v>
      </x:c>
      <x:c r="E31" s="27" t="str">
        <x:v>IN — V2.0</x:v>
      </x:c>
      <x:c r="F31" s="24"/>
      <x:c r="G31" s="24"/>
      <x:c r="H31" s="24"/>
      <x:c r="I31" s="24"/>
      <x:c r="J31" s="24"/>
      <x:c r="K31" s="24"/>
      <x:c r="L31" s="24"/>
      <x:c r="M31" s="24"/>
      <x:c r="N31" s="24"/>
      <x:c r="O31" s="24"/>
      <x:c r="P31" s="24"/>
      <x:c r="Q31" s="24"/>
      <x:c r="R31" s="24"/>
      <x:c r="S31" s="24"/>
      <x:c r="T31" s="24"/>
      <x:c r="U31" s="24"/>
      <x:c r="V31" s="24"/>
      <x:c r="W31" s="24"/>
      <x:c r="X31" s="24"/>
      <x:c r="Y31" s="24"/>
      <x:c r="Z31" s="24"/>
    </x:row>
    <x:row r="32">
      <x:c r="A32" s="26" t="n">
        <x:v>1</x:v>
      </x:c>
      <x:c r="B32" s="27" t="str">
        <x:v>Curse of Hospitality</x:v>
      </x:c>
      <x:c r="C32" s="27" t="str">
        <x:v>4. Curses — Core</x:v>
      </x:c>
      <x:c r="D32" s="28" t="n">
        <x:v>8.7</x:v>
      </x:c>
      <x:c r="E32" s="27" t="str">
        <x:v>ORIGINAL</x:v>
      </x:c>
      <x:c r="F32" s="24"/>
      <x:c r="G32" s="24"/>
      <x:c r="H32" s="24"/>
      <x:c r="I32" s="24"/>
      <x:c r="J32" s="24"/>
      <x:c r="K32" s="24"/>
      <x:c r="L32" s="24"/>
      <x:c r="M32" s="24"/>
      <x:c r="N32" s="24"/>
      <x:c r="O32" s="24"/>
      <x:c r="P32" s="24"/>
      <x:c r="Q32" s="24"/>
      <x:c r="R32" s="24"/>
      <x:c r="S32" s="24"/>
      <x:c r="T32" s="24"/>
      <x:c r="U32" s="24"/>
      <x:c r="V32" s="24"/>
      <x:c r="W32" s="24"/>
      <x:c r="X32" s="24"/>
      <x:c r="Y32" s="24"/>
      <x:c r="Z32" s="24"/>
    </x:row>
    <x:row r="33">
      <x:c r="A33" s="26" t="n">
        <x:v>1</x:v>
      </x:c>
      <x:c r="B33" s="27" t="str">
        <x:v>Curse of Leeches</x:v>
      </x:c>
      <x:c r="C33" s="27" t="str">
        <x:v>4. Curses — Core</x:v>
      </x:c>
      <x:c r="D33" s="28" t="n">
        <x:v>7.5</x:v>
      </x:c>
      <x:c r="E33" s="27" t="str">
        <x:v>ORIGINAL</x:v>
      </x:c>
      <x:c r="F33" s="24"/>
      <x:c r="G33" s="24"/>
      <x:c r="H33" s="24"/>
      <x:c r="I33" s="24"/>
      <x:c r="J33" s="24"/>
      <x:c r="K33" s="24"/>
      <x:c r="L33" s="24"/>
      <x:c r="M33" s="24"/>
      <x:c r="N33" s="24"/>
      <x:c r="O33" s="24"/>
      <x:c r="P33" s="24"/>
      <x:c r="Q33" s="24"/>
      <x:c r="R33" s="24"/>
      <x:c r="S33" s="24"/>
      <x:c r="T33" s="24"/>
      <x:c r="U33" s="24"/>
      <x:c r="V33" s="24"/>
      <x:c r="W33" s="24"/>
      <x:c r="X33" s="24"/>
      <x:c r="Y33" s="24"/>
      <x:c r="Z33" s="24"/>
    </x:row>
    <x:row r="34">
      <x:c r="A34" s="26" t="n">
        <x:v>1</x:v>
      </x:c>
      <x:c r="B34" s="27" t="str">
        <x:v>Curse of Misfortunes</x:v>
      </x:c>
      <x:c r="C34" s="27" t="str">
        <x:v>4. Curses — Core</x:v>
      </x:c>
      <x:c r="D34" s="28" t="n">
        <x:v>9.9</x:v>
      </x:c>
      <x:c r="E34" s="27" t="str">
        <x:v>ORIGINAL</x:v>
      </x:c>
      <x:c r="F34" s="24"/>
      <x:c r="G34" s="24"/>
      <x:c r="H34" s="24"/>
      <x:c r="I34" s="24"/>
      <x:c r="J34" s="24"/>
      <x:c r="K34" s="24"/>
      <x:c r="L34" s="24"/>
      <x:c r="M34" s="24"/>
      <x:c r="N34" s="24"/>
      <x:c r="O34" s="24"/>
      <x:c r="P34" s="24"/>
      <x:c r="Q34" s="24"/>
      <x:c r="R34" s="24"/>
      <x:c r="S34" s="24"/>
      <x:c r="T34" s="24"/>
      <x:c r="U34" s="24"/>
      <x:c r="V34" s="24"/>
      <x:c r="W34" s="24"/>
      <x:c r="X34" s="24"/>
      <x:c r="Y34" s="24"/>
      <x:c r="Z34" s="24"/>
    </x:row>
    <x:row r="35">
      <x:c r="A35" s="26" t="n">
        <x:v>1</x:v>
      </x:c>
      <x:c r="B35" s="27" t="str">
        <x:v>Curse of Obsession</x:v>
      </x:c>
      <x:c r="C35" s="27" t="str">
        <x:v>4. Curses — Core</x:v>
      </x:c>
      <x:c r="D35" s="28" t="n">
        <x:v>9.3</x:v>
      </x:c>
      <x:c r="E35" s="27" t="str">
        <x:v>IN — V2.0</x:v>
      </x:c>
      <x:c r="F35" s="24"/>
      <x:c r="G35" s="24"/>
      <x:c r="H35" s="24"/>
      <x:c r="I35" s="24"/>
      <x:c r="J35" s="24"/>
      <x:c r="K35" s="24"/>
      <x:c r="L35" s="24"/>
      <x:c r="M35" s="24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4"/>
      <x:c r="Z35" s="24"/>
    </x:row>
    <x:row r="36">
      <x:c r="A36" s="26" t="n">
        <x:v>1</x:v>
      </x:c>
      <x:c r="B36" s="27" t="str">
        <x:v>Curse of Opulence</x:v>
      </x:c>
      <x:c r="C36" s="27" t="str">
        <x:v>4. Curses — Core</x:v>
      </x:c>
      <x:c r="D36" s="28" t="n">
        <x:v>8.9</x:v>
      </x:c>
      <x:c r="E36" s="27" t="str">
        <x:v>ORIGINAL</x:v>
      </x:c>
      <x:c r="F36" s="24"/>
      <x:c r="G36" s="24"/>
      <x:c r="H36" s="24"/>
      <x:c r="I36" s="24"/>
      <x:c r="J36" s="24"/>
      <x:c r="K36" s="24"/>
      <x:c r="L36" s="24"/>
      <x:c r="M36" s="24"/>
      <x:c r="N36" s="24"/>
      <x:c r="O36" s="24"/>
      <x:c r="P36" s="24"/>
      <x:c r="Q36" s="24"/>
      <x:c r="R36" s="24"/>
      <x:c r="S36" s="24"/>
      <x:c r="T36" s="24"/>
      <x:c r="U36" s="24"/>
      <x:c r="V36" s="24"/>
      <x:c r="W36" s="24"/>
      <x:c r="X36" s="24"/>
      <x:c r="Y36" s="24"/>
      <x:c r="Z36" s="24"/>
    </x:row>
    <x:row r="37">
      <x:c r="A37" s="26" t="n">
        <x:v>1</x:v>
      </x:c>
      <x:c r="B37" s="27" t="str">
        <x:v>Curse of Shaken Faith</x:v>
      </x:c>
      <x:c r="C37" s="27" t="str">
        <x:v>4. Curses — Core</x:v>
      </x:c>
      <x:c r="D37" s="28" t="n">
        <x:v>8.6</x:v>
      </x:c>
      <x:c r="E37" s="27" t="str">
        <x:v>ORIGINAL</x:v>
      </x:c>
      <x:c r="F37" s="24"/>
      <x:c r="G37" s="24"/>
      <x:c r="H37" s="24"/>
      <x:c r="I37" s="24"/>
      <x:c r="J37" s="24"/>
      <x:c r="K37" s="24"/>
      <x:c r="L37" s="24"/>
      <x:c r="M37" s="24"/>
      <x:c r="N37" s="24"/>
      <x:c r="O37" s="24"/>
      <x:c r="P37" s="24"/>
      <x:c r="Q37" s="24"/>
      <x:c r="R37" s="24"/>
      <x:c r="S37" s="24"/>
      <x:c r="T37" s="24"/>
      <x:c r="U37" s="24"/>
      <x:c r="V37" s="24"/>
      <x:c r="W37" s="24"/>
      <x:c r="X37" s="24"/>
      <x:c r="Y37" s="24"/>
      <x:c r="Z37" s="24"/>
    </x:row>
    <x:row r="38">
      <x:c r="A38" s="26" t="n">
        <x:v>1</x:v>
      </x:c>
      <x:c r="B38" s="27" t="str">
        <x:v>Curse of Shallow Graves</x:v>
      </x:c>
      <x:c r="C38" s="27" t="str">
        <x:v>4. Curses — Core</x:v>
      </x:c>
      <x:c r="D38" s="28" t="n">
        <x:v>8.8</x:v>
      </x:c>
      <x:c r="E38" s="27" t="str">
        <x:v>IN — V2.1</x:v>
      </x:c>
      <x:c r="F38" s="24"/>
      <x:c r="G38" s="24"/>
      <x:c r="H38" s="24"/>
      <x:c r="I38" s="24"/>
      <x:c r="J38" s="24"/>
      <x:c r="K38" s="24"/>
      <x:c r="L38" s="24"/>
      <x:c r="M38" s="24"/>
      <x:c r="N38" s="24"/>
      <x:c r="O38" s="24"/>
      <x:c r="P38" s="24"/>
      <x:c r="Q38" s="24"/>
      <x:c r="R38" s="24"/>
      <x:c r="S38" s="24"/>
      <x:c r="T38" s="24"/>
      <x:c r="U38" s="24"/>
      <x:c r="V38" s="24"/>
      <x:c r="W38" s="24"/>
      <x:c r="X38" s="24"/>
      <x:c r="Y38" s="24"/>
      <x:c r="Z38" s="24"/>
    </x:row>
    <x:row r="39">
      <x:c r="A39" s="26" t="n">
        <x:v>1</x:v>
      </x:c>
      <x:c r="B39" s="27" t="str">
        <x:v>Curse of Surveillance</x:v>
      </x:c>
      <x:c r="C39" s="27" t="str">
        <x:v>4. Curses — Core</x:v>
      </x:c>
      <x:c r="D39" s="28" t="n">
        <x:v>9.7</x:v>
      </x:c>
      <x:c r="E39" s="27" t="str">
        <x:v>ORIGINAL</x:v>
      </x:c>
      <x:c r="F39" s="24"/>
      <x:c r="G39" s="24"/>
      <x:c r="H39" s="24"/>
      <x:c r="I39" s="24"/>
      <x:c r="J39" s="24"/>
      <x:c r="K39" s="24"/>
      <x:c r="L39" s="24"/>
      <x:c r="M39" s="24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4"/>
      <x:c r="Z39" s="24"/>
    </x:row>
    <x:row r="40">
      <x:c r="A40" s="26" t="n">
        <x:v>1</x:v>
      </x:c>
      <x:c r="B40" s="27" t="str">
        <x:v>Curse of the Nightly Hunt</x:v>
      </x:c>
      <x:c r="C40" s="27" t="str">
        <x:v>6. Politics / Punisher / Pillow Fort</x:v>
      </x:c>
      <x:c r="D40" s="28" t="n">
        <x:v>8.8</x:v>
      </x:c>
      <x:c r="E40" s="27" t="str">
        <x:v>IN — V2.0</x:v>
      </x:c>
      <x:c r="F40" s="24"/>
      <x:c r="G40" s="24"/>
      <x:c r="H40" s="24"/>
      <x:c r="I40" s="24"/>
      <x:c r="J40" s="24"/>
      <x:c r="K40" s="24"/>
      <x:c r="L40" s="24"/>
      <x:c r="M40" s="24"/>
      <x:c r="N40" s="24"/>
      <x:c r="O40" s="24"/>
      <x:c r="P40" s="24"/>
      <x:c r="Q40" s="24"/>
      <x:c r="R40" s="24"/>
      <x:c r="S40" s="24"/>
      <x:c r="T40" s="24"/>
      <x:c r="U40" s="24"/>
      <x:c r="V40" s="24"/>
      <x:c r="W40" s="24"/>
      <x:c r="X40" s="24"/>
      <x:c r="Y40" s="24"/>
      <x:c r="Z40" s="24"/>
    </x:row>
    <x:row r="41">
      <x:c r="A41" s="26" t="n">
        <x:v>1</x:v>
      </x:c>
      <x:c r="B41" s="27" t="str">
        <x:v>Curse of the Restless Dead</x:v>
      </x:c>
      <x:c r="C41" s="27" t="str">
        <x:v>4. Curses — Core</x:v>
      </x:c>
      <x:c r="D41" s="28" t="n">
        <x:v>8.5</x:v>
      </x:c>
      <x:c r="E41" s="27" t="str">
        <x:v>ORIGINAL</x:v>
      </x:c>
      <x:c r="F41" s="24"/>
      <x:c r="G41" s="24"/>
      <x:c r="H41" s="24"/>
      <x:c r="I41" s="24"/>
      <x:c r="J41" s="24"/>
      <x:c r="K41" s="24"/>
      <x:c r="L41" s="24"/>
      <x:c r="M41" s="24"/>
      <x:c r="N41" s="24"/>
      <x:c r="O41" s="24"/>
      <x:c r="P41" s="24"/>
      <x:c r="Q41" s="24"/>
      <x:c r="R41" s="24"/>
      <x:c r="S41" s="24"/>
      <x:c r="T41" s="24"/>
      <x:c r="U41" s="24"/>
      <x:c r="V41" s="24"/>
      <x:c r="W41" s="24"/>
      <x:c r="X41" s="24"/>
      <x:c r="Y41" s="24"/>
      <x:c r="Z41" s="24"/>
    </x:row>
    <x:row r="42">
      <x:c r="A42" s="26" t="n">
        <x:v>1</x:v>
      </x:c>
      <x:c r="B42" s="27" t="str">
        <x:v>Curse of Thirst</x:v>
      </x:c>
      <x:c r="C42" s="27" t="str">
        <x:v>8. Finishers / Thematic Bombs</x:v>
      </x:c>
      <x:c r="D42" s="28" t="n">
        <x:v>9.7</x:v>
      </x:c>
      <x:c r="E42" s="27" t="str">
        <x:v>IN — V2.0</x:v>
      </x:c>
      <x:c r="F42" s="24"/>
      <x:c r="G42" s="24"/>
      <x:c r="H42" s="24"/>
      <x:c r="I42" s="24"/>
      <x:c r="J42" s="24"/>
      <x:c r="K42" s="24"/>
      <x:c r="L42" s="24"/>
      <x:c r="M42" s="24"/>
      <x:c r="N42" s="24"/>
      <x:c r="O42" s="24"/>
      <x:c r="P42" s="24"/>
      <x:c r="Q42" s="24"/>
      <x:c r="R42" s="24"/>
      <x:c r="S42" s="24"/>
      <x:c r="T42" s="24"/>
      <x:c r="U42" s="24"/>
      <x:c r="V42" s="24"/>
      <x:c r="W42" s="24"/>
      <x:c r="X42" s="24"/>
      <x:c r="Y42" s="24"/>
      <x:c r="Z42" s="24"/>
    </x:row>
    <x:row r="43">
      <x:c r="A43" s="26" t="n">
        <x:v>1</x:v>
      </x:c>
      <x:c r="B43" s="27" t="str">
        <x:v>Curse of Unbinding</x:v>
      </x:c>
      <x:c r="C43" s="27" t="str">
        <x:v>4. Curses — Core</x:v>
      </x:c>
      <x:c r="D43" s="28" t="n">
        <x:v>9</x:v>
      </x:c>
      <x:c r="E43" s="27" t="str">
        <x:v>ORIGINAL</x:v>
      </x:c>
      <x:c r="F43" s="24"/>
      <x:c r="G43" s="24"/>
      <x:c r="H43" s="24"/>
      <x:c r="I43" s="24"/>
      <x:c r="J43" s="24"/>
      <x:c r="K43" s="24"/>
      <x:c r="L43" s="24"/>
      <x:c r="M43" s="24"/>
      <x:c r="N43" s="24"/>
      <x:c r="O43" s="24"/>
      <x:c r="P43" s="24"/>
      <x:c r="Q43" s="24"/>
      <x:c r="R43" s="24"/>
      <x:c r="S43" s="24"/>
      <x:c r="T43" s="24"/>
      <x:c r="U43" s="24"/>
      <x:c r="V43" s="24"/>
      <x:c r="W43" s="24"/>
      <x:c r="X43" s="24"/>
      <x:c r="Y43" s="24"/>
      <x:c r="Z43" s="24"/>
    </x:row>
    <x:row r="44">
      <x:c r="A44" s="26" t="n">
        <x:v>1</x:v>
      </x:c>
      <x:c r="B44" s="27" t="str">
        <x:v>Curse of Vengeance</x:v>
      </x:c>
      <x:c r="C44" s="27" t="str">
        <x:v>4. Curses — Core</x:v>
      </x:c>
      <x:c r="D44" s="28" t="n">
        <x:v>8.5</x:v>
      </x:c>
      <x:c r="E44" s="27" t="str">
        <x:v>ORIGINAL</x:v>
      </x:c>
      <x:c r="F44" s="24"/>
      <x:c r="G44" s="24"/>
      <x:c r="H44" s="24"/>
      <x:c r="I44" s="24"/>
      <x:c r="J44" s="24"/>
      <x:c r="K44" s="24"/>
      <x:c r="L44" s="24"/>
      <x:c r="M44" s="24"/>
      <x:c r="N44" s="24"/>
      <x:c r="O44" s="24"/>
      <x:c r="P44" s="24"/>
      <x:c r="Q44" s="24"/>
      <x:c r="R44" s="24"/>
      <x:c r="S44" s="24"/>
      <x:c r="T44" s="24"/>
      <x:c r="U44" s="24"/>
      <x:c r="V44" s="24"/>
      <x:c r="W44" s="24"/>
      <x:c r="X44" s="24"/>
      <x:c r="Y44" s="24"/>
      <x:c r="Z44" s="24"/>
    </x:row>
    <x:row r="45">
      <x:c r="A45" s="26" t="n">
        <x:v>1</x:v>
      </x:c>
      <x:c r="B45" s="27" t="str">
        <x:v>Curse of Verbosity</x:v>
      </x:c>
      <x:c r="C45" s="27" t="str">
        <x:v>4. Curses — Core</x:v>
      </x:c>
      <x:c r="D45" s="28" t="n">
        <x:v>8.9</x:v>
      </x:c>
      <x:c r="E45" s="27" t="str">
        <x:v>ORIGINAL</x:v>
      </x:c>
      <x:c r="F45" s="24"/>
      <x:c r="G45" s="24"/>
      <x:c r="H45" s="24"/>
      <x:c r="I45" s="24"/>
      <x:c r="J45" s="24"/>
      <x:c r="K45" s="24"/>
      <x:c r="L45" s="24"/>
      <x:c r="M45" s="24"/>
      <x:c r="N45" s="24"/>
      <x:c r="O45" s="24"/>
      <x:c r="P45" s="24"/>
      <x:c r="Q45" s="24"/>
      <x:c r="R45" s="24"/>
      <x:c r="S45" s="24"/>
      <x:c r="T45" s="24"/>
      <x:c r="U45" s="24"/>
      <x:c r="V45" s="24"/>
      <x:c r="W45" s="24"/>
      <x:c r="X45" s="24"/>
      <x:c r="Y45" s="24"/>
      <x:c r="Z45" s="24"/>
    </x:row>
    <x:row r="46">
      <x:c r="A46" s="26" t="n">
        <x:v>1</x:v>
      </x:c>
      <x:c r="B46" s="27" t="str">
        <x:v>Cursed Mirror</x:v>
      </x:c>
      <x:c r="C46" s="27" t="str">
        <x:v>1. Ramp / Mana</x:v>
      </x:c>
      <x:c r="D46" s="28" t="n">
        <x:v>9.2</x:v>
      </x:c>
      <x:c r="E46" s="27" t="str">
        <x:v>ORIGINAL</x:v>
      </x:c>
      <x:c r="F46" s="24"/>
      <x:c r="G46" s="24"/>
      <x:c r="H46" s="24"/>
      <x:c r="I46" s="24"/>
      <x:c r="J46" s="24"/>
      <x:c r="K46" s="24"/>
      <x:c r="L46" s="24"/>
      <x:c r="M46" s="24"/>
      <x:c r="N46" s="24"/>
      <x:c r="O46" s="24"/>
      <x:c r="P46" s="24"/>
      <x:c r="Q46" s="24"/>
      <x:c r="R46" s="24"/>
      <x:c r="S46" s="24"/>
      <x:c r="T46" s="24"/>
      <x:c r="U46" s="24"/>
      <x:c r="V46" s="24"/>
      <x:c r="W46" s="24"/>
      <x:c r="X46" s="24"/>
      <x:c r="Y46" s="24"/>
      <x:c r="Z46" s="24"/>
    </x:row>
    <x:row r="47">
      <x:c r="A47" s="26" t="n">
        <x:v>1</x:v>
      </x:c>
      <x:c r="B47" s="27" t="str">
        <x:v>Cyclonic Rift</x:v>
      </x:c>
      <x:c r="C47" s="27" t="str">
        <x:v>3. Removal / Board Control</x:v>
      </x:c>
      <x:c r="D47" s="28" t="n">
        <x:v>9.2</x:v>
      </x:c>
      <x:c r="E47" s="27" t="str">
        <x:v>ORIGINAL</x:v>
      </x:c>
      <x:c r="F47" s="24"/>
      <x:c r="G47" s="24"/>
      <x:c r="H47" s="24"/>
      <x:c r="I47" s="24"/>
      <x:c r="J47" s="24"/>
      <x:c r="K47" s="24"/>
      <x:c r="L47" s="24"/>
      <x:c r="M47" s="24"/>
      <x:c r="N47" s="24"/>
      <x:c r="O47" s="24"/>
      <x:c r="P47" s="24"/>
      <x:c r="Q47" s="24"/>
      <x:c r="R47" s="24"/>
      <x:c r="S47" s="24"/>
      <x:c r="T47" s="24"/>
      <x:c r="U47" s="24"/>
      <x:c r="V47" s="24"/>
      <x:c r="W47" s="24"/>
      <x:c r="X47" s="24"/>
      <x:c r="Y47" s="24"/>
      <x:c r="Z47" s="24"/>
    </x:row>
    <x:row r="48">
      <x:c r="A48" s="26" t="n">
        <x:v>1</x:v>
      </x:c>
      <x:c r="B48" s="27" t="str">
        <x:v>Despotic Scepter</x:v>
      </x:c>
      <x:c r="C48" s="27" t="str">
        <x:v>7. Protection / Resilience</x:v>
      </x:c>
      <x:c r="D48" s="28" t="n">
        <x:v>9</x:v>
      </x:c>
      <x:c r="E48" s="27" t="str">
        <x:v>ORIGINAL</x:v>
      </x:c>
      <x:c r="F48" s="24"/>
      <x:c r="G48" s="24"/>
      <x:c r="H48" s="24"/>
      <x:c r="I48" s="24"/>
      <x:c r="J48" s="24"/>
      <x:c r="K48" s="24"/>
      <x:c r="L48" s="24"/>
      <x:c r="M48" s="24"/>
      <x:c r="N48" s="24"/>
      <x:c r="O48" s="24"/>
      <x:c r="P48" s="24"/>
      <x:c r="Q48" s="24"/>
      <x:c r="R48" s="24"/>
      <x:c r="S48" s="24"/>
      <x:c r="T48" s="24"/>
      <x:c r="U48" s="24"/>
      <x:c r="V48" s="24"/>
      <x:c r="W48" s="24"/>
      <x:c r="X48" s="24"/>
      <x:c r="Y48" s="24"/>
      <x:c r="Z48" s="24"/>
    </x:row>
    <x:row r="49">
      <x:c r="A49" s="26" t="n">
        <x:v>1</x:v>
      </x:c>
      <x:c r="B49" s="27" t="str">
        <x:v>Doomwake Giant</x:v>
      </x:c>
      <x:c r="C49" s="27" t="str">
        <x:v>3. Removal / Board Control</x:v>
      </x:c>
      <x:c r="D49" s="28" t="n">
        <x:v>9.3</x:v>
      </x:c>
      <x:c r="E49" s="27" t="str">
        <x:v>IN — V2.1</x:v>
      </x:c>
      <x:c r="F49" s="24"/>
      <x:c r="G49" s="24"/>
      <x:c r="H49" s="24"/>
      <x:c r="I49" s="24"/>
      <x:c r="J49" s="24"/>
      <x:c r="K49" s="24"/>
      <x:c r="L49" s="24"/>
      <x:c r="M49" s="24"/>
      <x:c r="N49" s="24"/>
      <x:c r="O49" s="24"/>
      <x:c r="P49" s="24"/>
      <x:c r="Q49" s="24"/>
      <x:c r="R49" s="24"/>
      <x:c r="S49" s="24"/>
      <x:c r="T49" s="24"/>
      <x:c r="U49" s="24"/>
      <x:c r="V49" s="24"/>
      <x:c r="W49" s="24"/>
      <x:c r="X49" s="24"/>
      <x:c r="Y49" s="24"/>
      <x:c r="Z49" s="24"/>
    </x:row>
    <x:row r="50">
      <x:c r="A50" s="26" t="n">
        <x:v>1</x:v>
      </x:c>
      <x:c r="B50" s="27" t="str">
        <x:v>Drowned Catacomb</x:v>
      </x:c>
      <x:c r="C50" s="27" t="str">
        <x:v>1. Ramp / Mana</x:v>
      </x:c>
      <x:c r="D50" s="28" t="n">
        <x:v>8.4</x:v>
      </x:c>
      <x:c r="E50" s="27" t="str">
        <x:v>ORIGINAL</x:v>
      </x:c>
      <x:c r="F50" s="24"/>
      <x:c r="G50" s="24"/>
      <x:c r="H50" s="24"/>
      <x:c r="I50" s="24"/>
      <x:c r="J50" s="24"/>
      <x:c r="K50" s="24"/>
      <x:c r="L50" s="24"/>
      <x:c r="M50" s="24"/>
      <x:c r="N50" s="24"/>
      <x:c r="O50" s="24"/>
      <x:c r="P50" s="24"/>
      <x:c r="Q50" s="24"/>
      <x:c r="R50" s="24"/>
      <x:c r="S50" s="24"/>
      <x:c r="T50" s="24"/>
      <x:c r="U50" s="24"/>
      <x:c r="V50" s="24"/>
      <x:c r="W50" s="24"/>
      <x:c r="X50" s="24"/>
      <x:c r="Y50" s="24"/>
      <x:c r="Z50" s="24"/>
    </x:row>
    <x:row r="51">
      <x:c r="A51" s="26" t="n">
        <x:v>1</x:v>
      </x:c>
      <x:c r="B51" s="27" t="str">
        <x:v>Entity Tracker</x:v>
      </x:c>
      <x:c r="C51" s="27" t="str">
        <x:v>2. Draw / Card Advantage</x:v>
      </x:c>
      <x:c r="D51" s="28" t="n">
        <x:v>9.5</x:v>
      </x:c>
      <x:c r="E51" s="27" t="str">
        <x:v>IN — V2.0</x:v>
      </x:c>
      <x:c r="F51" s="24"/>
      <x:c r="G51" s="24"/>
      <x:c r="H51" s="24"/>
      <x:c r="I51" s="24"/>
      <x:c r="J51" s="24"/>
      <x:c r="K51" s="24"/>
      <x:c r="L51" s="24"/>
      <x:c r="M51" s="24"/>
      <x:c r="N51" s="24"/>
      <x:c r="O51" s="24"/>
      <x:c r="P51" s="24"/>
      <x:c r="Q51" s="24"/>
      <x:c r="R51" s="24"/>
      <x:c r="S51" s="24"/>
      <x:c r="T51" s="24"/>
      <x:c r="U51" s="24"/>
      <x:c r="V51" s="24"/>
      <x:c r="W51" s="24"/>
      <x:c r="X51" s="24"/>
      <x:c r="Y51" s="24"/>
      <x:c r="Z51" s="24"/>
    </x:row>
    <x:row r="52">
      <x:c r="A52" s="26" t="n">
        <x:v>1</x:v>
      </x:c>
      <x:c r="B52" s="27" t="str">
        <x:v>Estrid's Invocation</x:v>
      </x:c>
      <x:c r="C52" s="27" t="str">
        <x:v>5. Curse Engines / Enchantment Support</x:v>
      </x:c>
      <x:c r="D52" s="28" t="n">
        <x:v>8.9</x:v>
      </x:c>
      <x:c r="E52" s="27" t="str">
        <x:v>ORIGINAL</x:v>
      </x:c>
      <x:c r="F52" s="24"/>
      <x:c r="G52" s="24"/>
      <x:c r="H52" s="24"/>
      <x:c r="I52" s="24"/>
      <x:c r="J52" s="24"/>
      <x:c r="K52" s="24"/>
      <x:c r="L52" s="24"/>
      <x:c r="M52" s="24"/>
      <x:c r="N52" s="24"/>
      <x:c r="O52" s="24"/>
      <x:c r="P52" s="24"/>
      <x:c r="Q52" s="24"/>
      <x:c r="R52" s="24"/>
      <x:c r="S52" s="24"/>
      <x:c r="T52" s="24"/>
      <x:c r="U52" s="24"/>
      <x:c r="V52" s="24"/>
      <x:c r="W52" s="24"/>
      <x:c r="X52" s="24"/>
      <x:c r="Y52" s="24"/>
      <x:c r="Z52" s="24"/>
    </x:row>
    <x:row r="53">
      <x:c r="A53" s="26" t="n">
        <x:v>1</x:v>
      </x:c>
      <x:c r="B53" s="27" t="str">
        <x:v>Exotic Orchard</x:v>
      </x:c>
      <x:c r="C53" s="27" t="str">
        <x:v>1. Ramp / Mana</x:v>
      </x:c>
      <x:c r="D53" s="28" t="n">
        <x:v>8.8</x:v>
      </x:c>
      <x:c r="E53" s="27" t="str">
        <x:v>ORIGINAL</x:v>
      </x:c>
      <x:c r="F53" s="24"/>
      <x:c r="G53" s="24"/>
      <x:c r="H53" s="24"/>
      <x:c r="I53" s="24"/>
      <x:c r="J53" s="24"/>
      <x:c r="K53" s="24"/>
      <x:c r="L53" s="24"/>
      <x:c r="M53" s="24"/>
      <x:c r="N53" s="24"/>
      <x:c r="O53" s="24"/>
      <x:c r="P53" s="24"/>
      <x:c r="Q53" s="24"/>
      <x:c r="R53" s="24"/>
      <x:c r="S53" s="24"/>
      <x:c r="T53" s="24"/>
      <x:c r="U53" s="24"/>
      <x:c r="V53" s="24"/>
      <x:c r="W53" s="24"/>
      <x:c r="X53" s="24"/>
      <x:c r="Y53" s="24"/>
      <x:c r="Z53" s="24"/>
    </x:row>
    <x:row r="54">
      <x:c r="A54" s="26" t="n">
        <x:v>1</x:v>
      </x:c>
      <x:c r="B54" s="27" t="str">
        <x:v>Expressive Iteration</x:v>
      </x:c>
      <x:c r="C54" s="27" t="str">
        <x:v>2. Draw / Card Advantage</x:v>
      </x:c>
      <x:c r="D54" s="28" t="n">
        <x:v>7.9</x:v>
      </x:c>
      <x:c r="E54" s="27" t="str">
        <x:v>ORIGINAL</x:v>
      </x:c>
      <x:c r="F54" s="24"/>
      <x:c r="G54" s="24"/>
      <x:c r="H54" s="24"/>
      <x:c r="I54" s="24"/>
      <x:c r="J54" s="24"/>
      <x:c r="K54" s="24"/>
      <x:c r="L54" s="24"/>
      <x:c r="M54" s="24"/>
      <x:c r="N54" s="24"/>
      <x:c r="O54" s="24"/>
      <x:c r="P54" s="24"/>
      <x:c r="Q54" s="24"/>
      <x:c r="R54" s="24"/>
      <x:c r="S54" s="24"/>
      <x:c r="T54" s="24"/>
      <x:c r="U54" s="24"/>
      <x:c r="V54" s="24"/>
      <x:c r="W54" s="24"/>
      <x:c r="X54" s="24"/>
      <x:c r="Y54" s="24"/>
      <x:c r="Z54" s="24"/>
    </x:row>
    <x:row r="55">
      <x:c r="A55" s="26" t="n">
        <x:v>1</x:v>
      </x:c>
      <x:c r="B55" s="27" t="str">
        <x:v>Extravagant Replication</x:v>
      </x:c>
      <x:c r="C55" s="27" t="str">
        <x:v>5. Curse Engines / Enchantment Support</x:v>
      </x:c>
      <x:c r="D55" s="28" t="n">
        <x:v>8.5</x:v>
      </x:c>
      <x:c r="E55" s="27" t="str">
        <x:v>ORIGINAL</x:v>
      </x:c>
      <x:c r="F55" s="24"/>
      <x:c r="G55" s="24"/>
      <x:c r="H55" s="24"/>
      <x:c r="I55" s="24"/>
      <x:c r="J55" s="24"/>
      <x:c r="K55" s="24"/>
      <x:c r="L55" s="24"/>
      <x:c r="M55" s="24"/>
      <x:c r="N55" s="24"/>
      <x:c r="O55" s="24"/>
      <x:c r="P55" s="24"/>
      <x:c r="Q55" s="24"/>
      <x:c r="R55" s="24"/>
      <x:c r="S55" s="24"/>
      <x:c r="T55" s="24"/>
      <x:c r="U55" s="24"/>
      <x:c r="V55" s="24"/>
      <x:c r="W55" s="24"/>
      <x:c r="X55" s="24"/>
      <x:c r="Y55" s="24"/>
      <x:c r="Z55" s="24"/>
    </x:row>
    <x:row r="56">
      <x:c r="A56" s="26" t="n">
        <x:v>1</x:v>
      </x:c>
      <x:c r="B56" s="27" t="str">
        <x:v>Fabled Passage</x:v>
      </x:c>
      <x:c r="C56" s="27" t="str">
        <x:v>1. Ramp / Mana</x:v>
      </x:c>
      <x:c r="D56" s="28" t="n">
        <x:v>8.5</x:v>
      </x:c>
      <x:c r="E56" s="27" t="str">
        <x:v>ORIGINAL</x:v>
      </x:c>
      <x:c r="F56" s="24"/>
      <x:c r="G56" s="24"/>
      <x:c r="H56" s="24"/>
      <x:c r="I56" s="24"/>
      <x:c r="J56" s="24"/>
      <x:c r="K56" s="24"/>
      <x:c r="L56" s="24"/>
      <x:c r="M56" s="24"/>
      <x:c r="N56" s="24"/>
      <x:c r="O56" s="24"/>
      <x:c r="P56" s="24"/>
      <x:c r="Q56" s="24"/>
      <x:c r="R56" s="24"/>
      <x:c r="S56" s="24"/>
      <x:c r="T56" s="24"/>
      <x:c r="U56" s="24"/>
      <x:c r="V56" s="24"/>
      <x:c r="W56" s="24"/>
      <x:c r="X56" s="24"/>
      <x:c r="Y56" s="24"/>
      <x:c r="Z56" s="24"/>
    </x:row>
    <x:row r="57">
      <x:c r="A57" s="26" t="n">
        <x:v>1</x:v>
      </x:c>
      <x:c r="B57" s="27" t="str">
        <x:v>Feed the Swarm</x:v>
      </x:c>
      <x:c r="C57" s="27" t="str">
        <x:v>3. Removal / Board Control</x:v>
      </x:c>
      <x:c r="D57" s="28" t="n">
        <x:v>8.4</x:v>
      </x:c>
      <x:c r="E57" s="27" t="str">
        <x:v>ORIGINAL</x:v>
      </x:c>
      <x:c r="F57" s="24"/>
      <x:c r="G57" s="24"/>
      <x:c r="H57" s="24"/>
      <x:c r="I57" s="24"/>
      <x:c r="J57" s="24"/>
      <x:c r="K57" s="24"/>
      <x:c r="L57" s="24"/>
      <x:c r="M57" s="24"/>
      <x:c r="N57" s="24"/>
      <x:c r="O57" s="24"/>
      <x:c r="P57" s="24"/>
      <x:c r="Q57" s="24"/>
      <x:c r="R57" s="24"/>
      <x:c r="S57" s="24"/>
      <x:c r="T57" s="24"/>
      <x:c r="U57" s="24"/>
      <x:c r="V57" s="24"/>
      <x:c r="W57" s="24"/>
      <x:c r="X57" s="24"/>
      <x:c r="Y57" s="24"/>
      <x:c r="Z57" s="24"/>
    </x:row>
    <x:row r="58">
      <x:c r="A58" s="26" t="n">
        <x:v>1</x:v>
      </x:c>
      <x:c r="B58" s="27" t="str">
        <x:v>Grim Guardian</x:v>
      </x:c>
      <x:c r="C58" s="27" t="str">
        <x:v>8. Finishers / Thematic Bombs</x:v>
      </x:c>
      <x:c r="D58" s="28" t="n">
        <x:v>7.5</x:v>
      </x:c>
      <x:c r="E58" s="27" t="str">
        <x:v>IN — V2.1</x:v>
      </x:c>
      <x:c r="F58" s="24"/>
      <x:c r="G58" s="24"/>
      <x:c r="H58" s="24"/>
      <x:c r="I58" s="24"/>
      <x:c r="J58" s="24"/>
      <x:c r="K58" s="24"/>
      <x:c r="L58" s="24"/>
      <x:c r="M58" s="24"/>
      <x:c r="N58" s="24"/>
      <x:c r="O58" s="24"/>
      <x:c r="P58" s="24"/>
      <x:c r="Q58" s="24"/>
      <x:c r="R58" s="24"/>
      <x:c r="S58" s="24"/>
      <x:c r="T58" s="24"/>
      <x:c r="U58" s="24"/>
      <x:c r="V58" s="24"/>
      <x:c r="W58" s="24"/>
      <x:c r="X58" s="24"/>
      <x:c r="Y58" s="24"/>
      <x:c r="Z58" s="24"/>
    </x:row>
    <x:row r="59">
      <x:c r="A59" s="26" t="n">
        <x:v>1</x:v>
      </x:c>
      <x:c r="B59" s="27" t="str">
        <x:v>Grixis Panorama</x:v>
      </x:c>
      <x:c r="C59" s="27" t="str">
        <x:v>1. Ramp / Mana</x:v>
      </x:c>
      <x:c r="D59" s="28" t="n">
        <x:v>7.5</x:v>
      </x:c>
      <x:c r="E59" s="27" t="str">
        <x:v>ORIGINAL</x:v>
      </x:c>
      <x:c r="F59" s="24"/>
      <x:c r="G59" s="24"/>
      <x:c r="H59" s="24"/>
      <x:c r="I59" s="24"/>
      <x:c r="J59" s="24"/>
      <x:c r="K59" s="24"/>
      <x:c r="L59" s="24"/>
      <x:c r="M59" s="24"/>
      <x:c r="N59" s="24"/>
      <x:c r="O59" s="24"/>
      <x:c r="P59" s="24"/>
      <x:c r="Q59" s="24"/>
      <x:c r="R59" s="24"/>
      <x:c r="S59" s="24"/>
      <x:c r="T59" s="24"/>
      <x:c r="U59" s="24"/>
      <x:c r="V59" s="24"/>
      <x:c r="W59" s="24"/>
      <x:c r="X59" s="24"/>
      <x:c r="Y59" s="24"/>
      <x:c r="Z59" s="24"/>
    </x:row>
    <x:row r="60">
      <x:c r="A60" s="26" t="n">
        <x:v>1</x:v>
      </x:c>
      <x:c r="B60" s="27" t="str">
        <x:v>Hydroelectric Specimen</x:v>
      </x:c>
      <x:c r="C60" s="27" t="str">
        <x:v>7. Protection / Resilience</x:v>
      </x:c>
      <x:c r="D60" s="28" t="n">
        <x:v>7.6</x:v>
      </x:c>
      <x:c r="E60" s="27" t="str">
        <x:v>ORIGINAL</x:v>
      </x:c>
      <x:c r="F60" s="24"/>
      <x:c r="G60" s="24"/>
      <x:c r="H60" s="24"/>
      <x:c r="I60" s="24"/>
      <x:c r="J60" s="24"/>
      <x:c r="K60" s="24"/>
      <x:c r="L60" s="24"/>
      <x:c r="M60" s="24"/>
      <x:c r="N60" s="24"/>
      <x:c r="O60" s="24"/>
      <x:c r="P60" s="24"/>
      <x:c r="Q60" s="24"/>
      <x:c r="R60" s="24"/>
      <x:c r="S60" s="24"/>
      <x:c r="T60" s="24"/>
      <x:c r="U60" s="24"/>
      <x:c r="V60" s="24"/>
      <x:c r="W60" s="24"/>
      <x:c r="X60" s="24"/>
      <x:c r="Y60" s="24"/>
      <x:c r="Z60" s="24"/>
    </x:row>
    <x:row r="61">
      <x:c r="A61" s="26" t="n">
        <x:v>3</x:v>
      </x:c>
      <x:c r="B61" s="27" t="str">
        <x:v>Island</x:v>
      </x:c>
      <x:c r="C61" s="27" t="str">
        <x:v>1. Ramp / Mana</x:v>
      </x:c>
      <x:c r="D61" s="28" t="n">
        <x:v>8</x:v>
      </x:c>
      <x:c r="E61" s="27" t="str">
        <x:v>ORIGINAL</x:v>
      </x:c>
      <x:c r="F61" s="24"/>
      <x:c r="G61" s="24"/>
      <x:c r="H61" s="24"/>
      <x:c r="I61" s="24"/>
      <x:c r="J61" s="24"/>
      <x:c r="K61" s="24"/>
      <x:c r="L61" s="24"/>
      <x:c r="M61" s="24"/>
      <x:c r="N61" s="24"/>
      <x:c r="O61" s="24"/>
      <x:c r="P61" s="24"/>
      <x:c r="Q61" s="24"/>
      <x:c r="R61" s="24"/>
      <x:c r="S61" s="24"/>
      <x:c r="T61" s="24"/>
      <x:c r="U61" s="24"/>
      <x:c r="V61" s="24"/>
      <x:c r="W61" s="24"/>
      <x:c r="X61" s="24"/>
      <x:c r="Y61" s="24"/>
      <x:c r="Z61" s="24"/>
    </x:row>
    <x:row r="62">
      <x:c r="A62" s="26" t="n">
        <x:v>1</x:v>
      </x:c>
      <x:c r="B62" s="27" t="str">
        <x:v>Kazuul, Tyrant of the Cliffs</x:v>
      </x:c>
      <x:c r="C62" s="27" t="str">
        <x:v>6. Politics / Punisher / Pillow Fort</x:v>
      </x:c>
      <x:c r="D62" s="28" t="n">
        <x:v>8.8</x:v>
      </x:c>
      <x:c r="E62" s="27" t="str">
        <x:v>ORIGINAL</x:v>
      </x:c>
      <x:c r="F62" s="24"/>
      <x:c r="G62" s="24"/>
      <x:c r="H62" s="24"/>
      <x:c r="I62" s="24"/>
      <x:c r="J62" s="24"/>
      <x:c r="K62" s="24"/>
      <x:c r="L62" s="24"/>
      <x:c r="M62" s="24"/>
      <x:c r="N62" s="24"/>
      <x:c r="O62" s="24"/>
      <x:c r="P62" s="24"/>
      <x:c r="Q62" s="24"/>
      <x:c r="R62" s="24"/>
      <x:c r="S62" s="24"/>
      <x:c r="T62" s="24"/>
      <x:c r="U62" s="24"/>
      <x:c r="V62" s="24"/>
      <x:c r="W62" s="24"/>
      <x:c r="X62" s="24"/>
      <x:c r="Y62" s="24"/>
      <x:c r="Z62" s="24"/>
    </x:row>
    <x:row r="63">
      <x:c r="A63" s="26" t="n">
        <x:v>1</x:v>
      </x:c>
      <x:c r="B63" s="27" t="str">
        <x:v>Last One Standing</x:v>
      </x:c>
      <x:c r="C63" s="27" t="str">
        <x:v>3. Removal / Board Control</x:v>
      </x:c>
      <x:c r="D63" s="28" t="n">
        <x:v>8.2</x:v>
      </x:c>
      <x:c r="E63" s="27" t="str">
        <x:v>ORIGINAL</x:v>
      </x:c>
      <x:c r="F63" s="24"/>
      <x:c r="G63" s="24"/>
      <x:c r="H63" s="24"/>
      <x:c r="I63" s="24"/>
      <x:c r="J63" s="24"/>
      <x:c r="K63" s="24"/>
      <x:c r="L63" s="24"/>
      <x:c r="M63" s="24"/>
      <x:c r="N63" s="24"/>
      <x:c r="O63" s="24"/>
      <x:c r="P63" s="24"/>
      <x:c r="Q63" s="24"/>
      <x:c r="R63" s="24"/>
      <x:c r="S63" s="24"/>
      <x:c r="T63" s="24"/>
      <x:c r="U63" s="24"/>
      <x:c r="V63" s="24"/>
      <x:c r="W63" s="24"/>
      <x:c r="X63" s="24"/>
      <x:c r="Y63" s="24"/>
      <x:c r="Z63" s="24"/>
    </x:row>
    <x:row r="64">
      <x:c r="A64" s="26" t="n">
        <x:v>1</x:v>
      </x:c>
      <x:c r="B64" s="27" t="str">
        <x:v>Luxury Suite</x:v>
      </x:c>
      <x:c r="C64" s="27" t="str">
        <x:v>1. Ramp / Mana</x:v>
      </x:c>
      <x:c r="D64" s="28" t="n">
        <x:v>8.9</x:v>
      </x:c>
      <x:c r="E64" s="27" t="str">
        <x:v>ORIGINAL</x:v>
      </x:c>
      <x:c r="F64" s="24"/>
      <x:c r="G64" s="24"/>
      <x:c r="H64" s="24"/>
      <x:c r="I64" s="24"/>
      <x:c r="J64" s="24"/>
      <x:c r="K64" s="24"/>
      <x:c r="L64" s="24"/>
      <x:c r="M64" s="24"/>
      <x:c r="N64" s="24"/>
      <x:c r="O64" s="24"/>
      <x:c r="P64" s="24"/>
      <x:c r="Q64" s="24"/>
      <x:c r="R64" s="24"/>
      <x:c r="S64" s="24"/>
      <x:c r="T64" s="24"/>
      <x:c r="U64" s="24"/>
      <x:c r="V64" s="24"/>
      <x:c r="W64" s="24"/>
      <x:c r="X64" s="24"/>
      <x:c r="Y64" s="24"/>
      <x:c r="Z64" s="24"/>
    </x:row>
    <x:row r="65">
      <x:c r="A65" s="26" t="n">
        <x:v>1</x:v>
      </x:c>
      <x:c r="B65" s="27" t="str">
        <x:v>Maddening Hex</x:v>
      </x:c>
      <x:c r="C65" s="27" t="str">
        <x:v>4. Curses — Core</x:v>
      </x:c>
      <x:c r="D65" s="28" t="n">
        <x:v>8.7</x:v>
      </x:c>
      <x:c r="E65" s="27" t="str">
        <x:v>ORIGINAL</x:v>
      </x:c>
      <x:c r="F65" s="24"/>
      <x:c r="G65" s="24"/>
      <x:c r="H65" s="24"/>
      <x:c r="I65" s="24"/>
      <x:c r="J65" s="24"/>
      <x:c r="K65" s="24"/>
      <x:c r="L65" s="24"/>
      <x:c r="M65" s="24"/>
      <x:c r="N65" s="24"/>
      <x:c r="O65" s="24"/>
      <x:c r="P65" s="24"/>
      <x:c r="Q65" s="24"/>
      <x:c r="R65" s="24"/>
      <x:c r="S65" s="24"/>
      <x:c r="T65" s="24"/>
      <x:c r="U65" s="24"/>
      <x:c r="V65" s="24"/>
      <x:c r="W65" s="24"/>
      <x:c r="X65" s="24"/>
      <x:c r="Y65" s="24"/>
      <x:c r="Z65" s="24"/>
    </x:row>
    <x:row r="66">
      <x:c r="A66" s="26" t="n">
        <x:v>1</x:v>
      </x:c>
      <x:c r="B66" s="27" t="str">
        <x:v>Malakir Rebirth</x:v>
      </x:c>
      <x:c r="C66" s="27" t="str">
        <x:v>7. Protection / Resilience</x:v>
      </x:c>
      <x:c r="D66" s="28" t="n">
        <x:v>8.7</x:v>
      </x:c>
      <x:c r="E66" s="27" t="str">
        <x:v>ORIGINAL</x:v>
      </x:c>
      <x:c r="F66" s="24"/>
      <x:c r="G66" s="24"/>
      <x:c r="H66" s="24"/>
      <x:c r="I66" s="24"/>
      <x:c r="J66" s="24"/>
      <x:c r="K66" s="24"/>
      <x:c r="L66" s="24"/>
      <x:c r="M66" s="24"/>
      <x:c r="N66" s="24"/>
      <x:c r="O66" s="24"/>
      <x:c r="P66" s="24"/>
      <x:c r="Q66" s="24"/>
      <x:c r="R66" s="24"/>
      <x:c r="S66" s="24"/>
      <x:c r="T66" s="24"/>
      <x:c r="U66" s="24"/>
      <x:c r="V66" s="24"/>
      <x:c r="W66" s="24"/>
      <x:c r="X66" s="24"/>
      <x:c r="Y66" s="24"/>
      <x:c r="Z66" s="24"/>
    </x:row>
    <x:row r="67">
      <x:c r="A67" s="26" t="n">
        <x:v>1</x:v>
      </x:c>
      <x:c r="B67" s="27" t="str">
        <x:v>Midnight Clock</x:v>
      </x:c>
      <x:c r="C67" s="27" t="str">
        <x:v>1. Ramp / Mana</x:v>
      </x:c>
      <x:c r="D67" s="28" t="n">
        <x:v>8.2</x:v>
      </x:c>
      <x:c r="E67" s="27" t="str">
        <x:v>ORIGINAL</x:v>
      </x:c>
      <x:c r="F67" s="24"/>
      <x:c r="G67" s="24"/>
      <x:c r="H67" s="24"/>
      <x:c r="I67" s="24"/>
      <x:c r="J67" s="24"/>
      <x:c r="K67" s="24"/>
      <x:c r="L67" s="24"/>
      <x:c r="M67" s="24"/>
      <x:c r="N67" s="24"/>
      <x:c r="O67" s="24"/>
      <x:c r="P67" s="24"/>
      <x:c r="Q67" s="24"/>
      <x:c r="R67" s="24"/>
      <x:c r="S67" s="24"/>
      <x:c r="T67" s="24"/>
      <x:c r="U67" s="24"/>
      <x:c r="V67" s="24"/>
      <x:c r="W67" s="24"/>
      <x:c r="X67" s="24"/>
      <x:c r="Y67" s="24"/>
      <x:c r="Z67" s="24"/>
    </x:row>
    <x:row r="68">
      <x:c r="A68" s="26" t="n">
        <x:v>1</x:v>
      </x:c>
      <x:c r="B68" s="27" t="str">
        <x:v>Mirrormade</x:v>
      </x:c>
      <x:c r="C68" s="27" t="str">
        <x:v>5. Curse Engines / Enchantment Support</x:v>
      </x:c>
      <x:c r="D68" s="28" t="n">
        <x:v>9</x:v>
      </x:c>
      <x:c r="E68" s="27" t="str">
        <x:v>IN — V2.1</x:v>
      </x:c>
      <x:c r="F68" s="24"/>
      <x:c r="G68" s="24"/>
      <x:c r="H68" s="24"/>
      <x:c r="I68" s="24"/>
      <x:c r="J68" s="24"/>
      <x:c r="K68" s="24"/>
      <x:c r="L68" s="24"/>
      <x:c r="M68" s="24"/>
      <x:c r="N68" s="24"/>
      <x:c r="O68" s="24"/>
      <x:c r="P68" s="24"/>
      <x:c r="Q68" s="24"/>
      <x:c r="R68" s="24"/>
      <x:c r="S68" s="24"/>
      <x:c r="T68" s="24"/>
      <x:c r="U68" s="24"/>
      <x:c r="V68" s="24"/>
      <x:c r="W68" s="24"/>
      <x:c r="X68" s="24"/>
      <x:c r="Y68" s="24"/>
      <x:c r="Z68" s="24"/>
    </x:row>
    <x:row r="69">
      <x:c r="A69" s="26" t="n">
        <x:v>1</x:v>
      </x:c>
      <x:c r="B69" s="27" t="str">
        <x:v>Morphic Pool</x:v>
      </x:c>
      <x:c r="C69" s="27" t="str">
        <x:v>1. Ramp / Mana</x:v>
      </x:c>
      <x:c r="D69" s="28" t="n">
        <x:v>9</x:v>
      </x:c>
      <x:c r="E69" s="27" t="str">
        <x:v>IN — V2.0</x:v>
      </x:c>
      <x:c r="F69" s="24"/>
      <x:c r="G69" s="24"/>
      <x:c r="H69" s="24"/>
      <x:c r="I69" s="24"/>
      <x:c r="J69" s="24"/>
      <x:c r="K69" s="24"/>
      <x:c r="L69" s="24"/>
      <x:c r="M69" s="24"/>
      <x:c r="N69" s="24"/>
      <x:c r="O69" s="24"/>
      <x:c r="P69" s="24"/>
      <x:c r="Q69" s="24"/>
      <x:c r="R69" s="24"/>
      <x:c r="S69" s="24"/>
      <x:c r="T69" s="24"/>
      <x:c r="U69" s="24"/>
      <x:c r="V69" s="24"/>
      <x:c r="W69" s="24"/>
      <x:c r="X69" s="24"/>
      <x:c r="Y69" s="24"/>
      <x:c r="Z69" s="24"/>
    </x:row>
    <x:row r="70">
      <x:c r="A70" s="26" t="n">
        <x:v>1</x:v>
      </x:c>
      <x:c r="B70" s="27" t="str">
        <x:v>Mortuary Mire</x:v>
      </x:c>
      <x:c r="C70" s="27" t="str">
        <x:v>7. Protection / Resilience</x:v>
      </x:c>
      <x:c r="D70" s="28" t="n">
        <x:v>7.8</x:v>
      </x:c>
      <x:c r="E70" s="27" t="str">
        <x:v>ORIGINAL</x:v>
      </x:c>
      <x:c r="F70" s="24"/>
      <x:c r="G70" s="24"/>
      <x:c r="H70" s="24"/>
      <x:c r="I70" s="24"/>
      <x:c r="J70" s="24"/>
      <x:c r="K70" s="24"/>
      <x:c r="L70" s="24"/>
      <x:c r="M70" s="24"/>
      <x:c r="N70" s="24"/>
      <x:c r="O70" s="24"/>
      <x:c r="P70" s="24"/>
      <x:c r="Q70" s="24"/>
      <x:c r="R70" s="24"/>
      <x:c r="S70" s="24"/>
      <x:c r="T70" s="24"/>
      <x:c r="U70" s="24"/>
      <x:c r="V70" s="24"/>
      <x:c r="W70" s="24"/>
      <x:c r="X70" s="24"/>
      <x:c r="Y70" s="24"/>
      <x:c r="Z70" s="24"/>
    </x:row>
    <x:row r="71">
      <x:c r="A71" s="26" t="n">
        <x:v>3</x:v>
      </x:c>
      <x:c r="B71" s="27" t="str">
        <x:v>Mountain</x:v>
      </x:c>
      <x:c r="C71" s="27" t="str">
        <x:v>1. Ramp / Mana</x:v>
      </x:c>
      <x:c r="D71" s="28" t="n">
        <x:v>8</x:v>
      </x:c>
      <x:c r="E71" s="27" t="str">
        <x:v>ORIGINAL</x:v>
      </x:c>
      <x:c r="F71" s="24"/>
      <x:c r="G71" s="24"/>
      <x:c r="H71" s="24"/>
      <x:c r="I71" s="24"/>
      <x:c r="J71" s="24"/>
      <x:c r="K71" s="24"/>
      <x:c r="L71" s="24"/>
      <x:c r="M71" s="24"/>
      <x:c r="N71" s="24"/>
      <x:c r="O71" s="24"/>
      <x:c r="P71" s="24"/>
      <x:c r="Q71" s="24"/>
      <x:c r="R71" s="24"/>
      <x:c r="S71" s="24"/>
      <x:c r="T71" s="24"/>
      <x:c r="U71" s="24"/>
      <x:c r="V71" s="24"/>
      <x:c r="W71" s="24"/>
      <x:c r="X71" s="24"/>
      <x:c r="Y71" s="24"/>
      <x:c r="Z71" s="24"/>
    </x:row>
    <x:row r="72">
      <x:c r="A72" s="26" t="n">
        <x:v>1</x:v>
      </x:c>
      <x:c r="B72" s="27" t="str">
        <x:v>Nightscape Familiar</x:v>
      </x:c>
      <x:c r="C72" s="27" t="str">
        <x:v>1. Ramp / Mana</x:v>
      </x:c>
      <x:c r="D72" s="28" t="n">
        <x:v>9.3</x:v>
      </x:c>
      <x:c r="E72" s="27" t="str">
        <x:v>ORIGINAL</x:v>
      </x:c>
      <x:c r="F72" s="24"/>
      <x:c r="G72" s="24"/>
      <x:c r="H72" s="24"/>
      <x:c r="I72" s="24"/>
      <x:c r="J72" s="24"/>
      <x:c r="K72" s="24"/>
      <x:c r="L72" s="24"/>
      <x:c r="M72" s="24"/>
      <x:c r="N72" s="24"/>
      <x:c r="O72" s="24"/>
      <x:c r="P72" s="24"/>
      <x:c r="Q72" s="24"/>
      <x:c r="R72" s="24"/>
      <x:c r="S72" s="24"/>
      <x:c r="T72" s="24"/>
      <x:c r="U72" s="24"/>
      <x:c r="V72" s="24"/>
      <x:c r="W72" s="24"/>
      <x:c r="X72" s="24"/>
      <x:c r="Y72" s="24"/>
      <x:c r="Z72" s="24"/>
    </x:row>
    <x:row r="73">
      <x:c r="A73" s="26" t="n">
        <x:v>1</x:v>
      </x:c>
      <x:c r="B73" s="27" t="str">
        <x:v>Notion Thief</x:v>
      </x:c>
      <x:c r="C73" s="27" t="str">
        <x:v>2. Draw / Card Advantage</x:v>
      </x:c>
      <x:c r="D73" s="28" t="n">
        <x:v>8.8</x:v>
      </x:c>
      <x:c r="E73" s="27" t="str">
        <x:v>ORIGINAL</x:v>
      </x:c>
      <x:c r="F73" s="24"/>
      <x:c r="G73" s="24"/>
      <x:c r="H73" s="24"/>
      <x:c r="I73" s="24"/>
      <x:c r="J73" s="24"/>
      <x:c r="K73" s="24"/>
      <x:c r="L73" s="24"/>
      <x:c r="M73" s="24"/>
      <x:c r="N73" s="24"/>
      <x:c r="O73" s="24"/>
      <x:c r="P73" s="24"/>
      <x:c r="Q73" s="24"/>
      <x:c r="R73" s="24"/>
      <x:c r="S73" s="24"/>
      <x:c r="T73" s="24"/>
      <x:c r="U73" s="24"/>
      <x:c r="V73" s="24"/>
      <x:c r="W73" s="24"/>
      <x:c r="X73" s="24"/>
      <x:c r="Y73" s="24"/>
      <x:c r="Z73" s="24"/>
    </x:row>
    <x:row r="74">
      <x:c r="A74" s="26" t="n">
        <x:v>1</x:v>
      </x:c>
      <x:c r="B74" s="27" t="str">
        <x:v>Paradox Haze</x:v>
      </x:c>
      <x:c r="C74" s="27" t="str">
        <x:v>5. Curse Engines / Enchantment Support</x:v>
      </x:c>
      <x:c r="D74" s="28" t="n">
        <x:v>9.7</x:v>
      </x:c>
      <x:c r="E74" s="27" t="str">
        <x:v>IN — V2.0</x:v>
      </x:c>
      <x:c r="F74" s="24"/>
      <x:c r="G74" s="24"/>
      <x:c r="H74" s="24"/>
      <x:c r="I74" s="24"/>
      <x:c r="J74" s="24"/>
      <x:c r="K74" s="24"/>
      <x:c r="L74" s="24"/>
      <x:c r="M74" s="24"/>
      <x:c r="N74" s="24"/>
      <x:c r="O74" s="24"/>
      <x:c r="P74" s="24"/>
      <x:c r="Q74" s="24"/>
      <x:c r="R74" s="24"/>
      <x:c r="S74" s="24"/>
      <x:c r="T74" s="24"/>
      <x:c r="U74" s="24"/>
      <x:c r="V74" s="24"/>
      <x:c r="W74" s="24"/>
      <x:c r="X74" s="24"/>
      <x:c r="Y74" s="24"/>
      <x:c r="Z74" s="24"/>
    </x:row>
    <x:row r="75">
      <x:c r="A75" s="26" t="n">
        <x:v>1</x:v>
      </x:c>
      <x:c r="B75" s="27" t="str">
        <x:v>Propaganda</x:v>
      </x:c>
      <x:c r="C75" s="27" t="str">
        <x:v>6. Politics / Punisher / Pillow Fort</x:v>
      </x:c>
      <x:c r="D75" s="28" t="n">
        <x:v>9.1</x:v>
      </x:c>
      <x:c r="E75" s="27" t="str">
        <x:v>ORIGINAL</x:v>
      </x:c>
      <x:c r="F75" s="24"/>
      <x:c r="G75" s="24"/>
      <x:c r="H75" s="24"/>
      <x:c r="I75" s="24"/>
      <x:c r="J75" s="24"/>
      <x:c r="K75" s="24"/>
      <x:c r="L75" s="24"/>
      <x:c r="M75" s="24"/>
      <x:c r="N75" s="24"/>
      <x:c r="O75" s="24"/>
      <x:c r="P75" s="24"/>
      <x:c r="Q75" s="24"/>
      <x:c r="R75" s="24"/>
      <x:c r="S75" s="24"/>
      <x:c r="T75" s="24"/>
      <x:c r="U75" s="24"/>
      <x:c r="V75" s="24"/>
      <x:c r="W75" s="24"/>
      <x:c r="X75" s="24"/>
      <x:c r="Y75" s="24"/>
      <x:c r="Z75" s="24"/>
    </x:row>
    <x:row r="76">
      <x:c r="A76" s="26" t="n">
        <x:v>1</x:v>
      </x:c>
      <x:c r="B76" s="27" t="str">
        <x:v>Protean Thaumaturge</x:v>
      </x:c>
      <x:c r="C76" s="27" t="str">
        <x:v>5. Curse Engines / Enchantment Support</x:v>
      </x:c>
      <x:c r="D76" s="28" t="n">
        <x:v>8.4</x:v>
      </x:c>
      <x:c r="E76" s="27" t="str">
        <x:v>ORIGINAL</x:v>
      </x:c>
      <x:c r="F76" s="24"/>
      <x:c r="G76" s="24"/>
      <x:c r="H76" s="24"/>
      <x:c r="I76" s="24"/>
      <x:c r="J76" s="24"/>
      <x:c r="K76" s="24"/>
      <x:c r="L76" s="24"/>
      <x:c r="M76" s="24"/>
      <x:c r="N76" s="24"/>
      <x:c r="O76" s="24"/>
      <x:c r="P76" s="24"/>
      <x:c r="Q76" s="24"/>
      <x:c r="R76" s="24"/>
      <x:c r="S76" s="24"/>
      <x:c r="T76" s="24"/>
      <x:c r="U76" s="24"/>
      <x:c r="V76" s="24"/>
      <x:c r="W76" s="24"/>
      <x:c r="X76" s="24"/>
      <x:c r="Y76" s="24"/>
      <x:c r="Z76" s="24"/>
    </x:row>
    <x:row r="77">
      <x:c r="A77" s="26" t="n">
        <x:v>1</x:v>
      </x:c>
      <x:c r="B77" s="27" t="str">
        <x:v>Read the Runes</x:v>
      </x:c>
      <x:c r="C77" s="27" t="str">
        <x:v>2. Draw / Card Advantage</x:v>
      </x:c>
      <x:c r="D77" s="28" t="n">
        <x:v>7.7</x:v>
      </x:c>
      <x:c r="E77" s="27" t="str">
        <x:v>ORIGINAL</x:v>
      </x:c>
      <x:c r="F77" s="24"/>
      <x:c r="G77" s="24"/>
      <x:c r="H77" s="24"/>
      <x:c r="I77" s="24"/>
      <x:c r="J77" s="24"/>
      <x:c r="K77" s="24"/>
      <x:c r="L77" s="24"/>
      <x:c r="M77" s="24"/>
      <x:c r="N77" s="24"/>
      <x:c r="O77" s="24"/>
      <x:c r="P77" s="24"/>
      <x:c r="Q77" s="24"/>
      <x:c r="R77" s="24"/>
      <x:c r="S77" s="24"/>
      <x:c r="T77" s="24"/>
      <x:c r="U77" s="24"/>
      <x:c r="V77" s="24"/>
      <x:c r="W77" s="24"/>
      <x:c r="X77" s="24"/>
      <x:c r="Y77" s="24"/>
      <x:c r="Z77" s="24"/>
    </x:row>
    <x:row r="78">
      <x:c r="A78" s="26" t="n">
        <x:v>1</x:v>
      </x:c>
      <x:c r="B78" s="27" t="str">
        <x:v>Reality Shift</x:v>
      </x:c>
      <x:c r="C78" s="27" t="str">
        <x:v>3. Removal / Board Control</x:v>
      </x:c>
      <x:c r="D78" s="28" t="n">
        <x:v>8.3</x:v>
      </x:c>
      <x:c r="E78" s="27" t="str">
        <x:v>ORIGINAL</x:v>
      </x:c>
      <x:c r="F78" s="24"/>
      <x:c r="G78" s="24"/>
      <x:c r="H78" s="24"/>
      <x:c r="I78" s="24"/>
      <x:c r="J78" s="24"/>
      <x:c r="K78" s="24"/>
      <x:c r="L78" s="24"/>
      <x:c r="M78" s="24"/>
      <x:c r="N78" s="24"/>
      <x:c r="O78" s="24"/>
      <x:c r="P78" s="24"/>
      <x:c r="Q78" s="24"/>
      <x:c r="R78" s="24"/>
      <x:c r="S78" s="24"/>
      <x:c r="T78" s="24"/>
      <x:c r="U78" s="24"/>
      <x:c r="V78" s="24"/>
      <x:c r="W78" s="24"/>
      <x:c r="X78" s="24"/>
      <x:c r="Y78" s="24"/>
      <x:c r="Z78" s="24"/>
    </x:row>
    <x:row r="79">
      <x:c r="A79" s="26" t="n">
        <x:v>1</x:v>
      </x:c>
      <x:c r="B79" s="27" t="str">
        <x:v>Rivendell</x:v>
      </x:c>
      <x:c r="C79" s="27" t="str">
        <x:v>1. Ramp / Mana</x:v>
      </x:c>
      <x:c r="D79" s="28" t="n">
        <x:v>7.5</x:v>
      </x:c>
      <x:c r="E79" s="27" t="str">
        <x:v>ORIGINAL</x:v>
      </x:c>
      <x:c r="F79" s="24"/>
      <x:c r="G79" s="24"/>
      <x:c r="H79" s="24"/>
      <x:c r="I79" s="24"/>
      <x:c r="J79" s="24"/>
      <x:c r="K79" s="24"/>
      <x:c r="L79" s="24"/>
      <x:c r="M79" s="24"/>
      <x:c r="N79" s="24"/>
      <x:c r="O79" s="24"/>
      <x:c r="P79" s="24"/>
      <x:c r="Q79" s="24"/>
      <x:c r="R79" s="24"/>
      <x:c r="S79" s="24"/>
      <x:c r="T79" s="24"/>
      <x:c r="U79" s="24"/>
      <x:c r="V79" s="24"/>
      <x:c r="W79" s="24"/>
      <x:c r="X79" s="24"/>
      <x:c r="Y79" s="24"/>
      <x:c r="Z79" s="24"/>
    </x:row>
    <x:row r="80">
      <x:c r="A80" s="26" t="n">
        <x:v>1</x:v>
      </x:c>
      <x:c r="B80" s="27" t="str">
        <x:v>Riverglide Pathway</x:v>
      </x:c>
      <x:c r="C80" s="27" t="str">
        <x:v>1. Ramp / Mana</x:v>
      </x:c>
      <x:c r="D80" s="28" t="n">
        <x:v>8.2</x:v>
      </x:c>
      <x:c r="E80" s="27" t="str">
        <x:v>ORIGINAL</x:v>
      </x:c>
      <x:c r="F80" s="24"/>
      <x:c r="G80" s="24"/>
      <x:c r="H80" s="24"/>
      <x:c r="I80" s="24"/>
      <x:c r="J80" s="24"/>
      <x:c r="K80" s="24"/>
      <x:c r="L80" s="24"/>
      <x:c r="M80" s="24"/>
      <x:c r="N80" s="24"/>
      <x:c r="O80" s="24"/>
      <x:c r="P80" s="24"/>
      <x:c r="Q80" s="24"/>
      <x:c r="R80" s="24"/>
      <x:c r="S80" s="24"/>
      <x:c r="T80" s="24"/>
      <x:c r="U80" s="24"/>
      <x:c r="V80" s="24"/>
      <x:c r="W80" s="24"/>
      <x:c r="X80" s="24"/>
      <x:c r="Y80" s="24"/>
      <x:c r="Z80" s="24"/>
    </x:row>
    <x:row r="81">
      <x:c r="A81" s="26" t="n">
        <x:v>1</x:v>
      </x:c>
      <x:c r="B81" s="27" t="str">
        <x:v>Sauron's Ransom</x:v>
      </x:c>
      <x:c r="C81" s="27" t="str">
        <x:v>2. Draw / Card Advantage</x:v>
      </x:c>
      <x:c r="D81" s="28" t="n">
        <x:v>7.9</x:v>
      </x:c>
      <x:c r="E81" s="27" t="str">
        <x:v>ORIGINAL</x:v>
      </x:c>
      <x:c r="F81" s="24"/>
      <x:c r="G81" s="24"/>
      <x:c r="H81" s="24"/>
      <x:c r="I81" s="24"/>
      <x:c r="J81" s="24"/>
      <x:c r="K81" s="24"/>
      <x:c r="L81" s="24"/>
      <x:c r="M81" s="24"/>
      <x:c r="N81" s="24"/>
      <x:c r="O81" s="24"/>
      <x:c r="P81" s="24"/>
      <x:c r="Q81" s="24"/>
      <x:c r="R81" s="24"/>
      <x:c r="S81" s="24"/>
      <x:c r="T81" s="24"/>
      <x:c r="U81" s="24"/>
      <x:c r="V81" s="24"/>
      <x:c r="W81" s="24"/>
      <x:c r="X81" s="24"/>
      <x:c r="Y81" s="24"/>
      <x:c r="Z81" s="24"/>
    </x:row>
    <x:row r="82">
      <x:c r="A82" s="26" t="n">
        <x:v>1</x:v>
      </x:c>
      <x:c r="B82" s="27" t="str">
        <x:v>Seething Landscape</x:v>
      </x:c>
      <x:c r="C82" s="27" t="str">
        <x:v>1. Ramp / Mana</x:v>
      </x:c>
      <x:c r="D82" s="28" t="n">
        <x:v>8</x:v>
      </x:c>
      <x:c r="E82" s="27" t="str">
        <x:v>ORIGINAL</x:v>
      </x:c>
      <x:c r="F82" s="24"/>
      <x:c r="G82" s="24"/>
      <x:c r="H82" s="24"/>
      <x:c r="I82" s="24"/>
      <x:c r="J82" s="24"/>
      <x:c r="K82" s="24"/>
      <x:c r="L82" s="24"/>
      <x:c r="M82" s="24"/>
      <x:c r="N82" s="24"/>
      <x:c r="O82" s="24"/>
      <x:c r="P82" s="24"/>
      <x:c r="Q82" s="24"/>
      <x:c r="R82" s="24"/>
      <x:c r="S82" s="24"/>
      <x:c r="T82" s="24"/>
      <x:c r="U82" s="24"/>
      <x:c r="V82" s="24"/>
      <x:c r="W82" s="24"/>
      <x:c r="X82" s="24"/>
      <x:c r="Y82" s="24"/>
      <x:c r="Z82" s="24"/>
    </x:row>
    <x:row r="83">
      <x:c r="A83" s="26" t="n">
        <x:v>1</x:v>
      </x:c>
      <x:c r="B83" s="27" t="str">
        <x:v>Sol Ring</x:v>
      </x:c>
      <x:c r="C83" s="27" t="str">
        <x:v>1. Ramp / Mana</x:v>
      </x:c>
      <x:c r="D83" s="28" t="n">
        <x:v>9.4</x:v>
      </x:c>
      <x:c r="E83" s="27" t="str">
        <x:v>ORIGINAL</x:v>
      </x:c>
      <x:c r="F83" s="24"/>
      <x:c r="G83" s="24"/>
      <x:c r="H83" s="24"/>
      <x:c r="I83" s="24"/>
      <x:c r="J83" s="24"/>
      <x:c r="K83" s="24"/>
      <x:c r="L83" s="24"/>
      <x:c r="M83" s="24"/>
      <x:c r="N83" s="24"/>
      <x:c r="O83" s="24"/>
      <x:c r="P83" s="24"/>
      <x:c r="Q83" s="24"/>
      <x:c r="R83" s="24"/>
      <x:c r="S83" s="24"/>
      <x:c r="T83" s="24"/>
      <x:c r="U83" s="24"/>
      <x:c r="V83" s="24"/>
      <x:c r="W83" s="24"/>
      <x:c r="X83" s="24"/>
      <x:c r="Y83" s="24"/>
      <x:c r="Z83" s="24"/>
    </x:row>
    <x:row r="84">
      <x:c r="A84" s="26" t="n">
        <x:v>1</x:v>
      </x:c>
      <x:c r="B84" s="27" t="str">
        <x:v>Staff of Compleation</x:v>
      </x:c>
      <x:c r="C84" s="27" t="str">
        <x:v>1. Ramp / Mana</x:v>
      </x:c>
      <x:c r="D84" s="28" t="n">
        <x:v>8</x:v>
      </x:c>
      <x:c r="E84" s="27" t="str">
        <x:v>ORIGINAL</x:v>
      </x:c>
      <x:c r="F84" s="24"/>
      <x:c r="G84" s="24"/>
      <x:c r="H84" s="24"/>
      <x:c r="I84" s="24"/>
      <x:c r="J84" s="24"/>
      <x:c r="K84" s="24"/>
      <x:c r="L84" s="24"/>
      <x:c r="M84" s="24"/>
      <x:c r="N84" s="24"/>
      <x:c r="O84" s="24"/>
      <x:c r="P84" s="24"/>
      <x:c r="Q84" s="24"/>
      <x:c r="R84" s="24"/>
      <x:c r="S84" s="24"/>
      <x:c r="T84" s="24"/>
      <x:c r="U84" s="24"/>
      <x:c r="V84" s="24"/>
      <x:c r="W84" s="24"/>
      <x:c r="X84" s="24"/>
      <x:c r="Y84" s="24"/>
      <x:c r="Z84" s="24"/>
    </x:row>
    <x:row r="85">
      <x:c r="A85" s="26" t="n">
        <x:v>1</x:v>
      </x:c>
      <x:c r="B85" s="27" t="str">
        <x:v>Stormcarved Coast</x:v>
      </x:c>
      <x:c r="C85" s="27" t="str">
        <x:v>1. Ramp / Mana</x:v>
      </x:c>
      <x:c r="D85" s="28" t="n">
        <x:v>8.3</x:v>
      </x:c>
      <x:c r="E85" s="27" t="str">
        <x:v>ORIGINAL</x:v>
      </x:c>
      <x:c r="F85" s="24"/>
      <x:c r="G85" s="24"/>
      <x:c r="H85" s="24"/>
      <x:c r="I85" s="24"/>
      <x:c r="J85" s="24"/>
      <x:c r="K85" s="24"/>
      <x:c r="L85" s="24"/>
      <x:c r="M85" s="24"/>
      <x:c r="N85" s="24"/>
      <x:c r="O85" s="24"/>
      <x:c r="P85" s="24"/>
      <x:c r="Q85" s="24"/>
      <x:c r="R85" s="24"/>
      <x:c r="S85" s="24"/>
      <x:c r="T85" s="24"/>
      <x:c r="U85" s="24"/>
      <x:c r="V85" s="24"/>
      <x:c r="W85" s="24"/>
      <x:c r="X85" s="24"/>
      <x:c r="Y85" s="24"/>
      <x:c r="Z85" s="24"/>
    </x:row>
    <x:row r="86">
      <x:c r="A86" s="26" t="n">
        <x:v>1</x:v>
      </x:c>
      <x:c r="B86" s="27" t="str">
        <x:v>Sulfur Falls</x:v>
      </x:c>
      <x:c r="C86" s="27" t="str">
        <x:v>1. Ramp / Mana</x:v>
      </x:c>
      <x:c r="D86" s="28" t="n">
        <x:v>8.3</x:v>
      </x:c>
      <x:c r="E86" s="27" t="str">
        <x:v>ORIGINAL</x:v>
      </x:c>
      <x:c r="F86" s="24"/>
      <x:c r="G86" s="24"/>
      <x:c r="H86" s="24"/>
      <x:c r="I86" s="24"/>
      <x:c r="J86" s="24"/>
      <x:c r="K86" s="24"/>
      <x:c r="L86" s="24"/>
      <x:c r="M86" s="24"/>
      <x:c r="N86" s="24"/>
      <x:c r="O86" s="24"/>
      <x:c r="P86" s="24"/>
      <x:c r="Q86" s="24"/>
      <x:c r="R86" s="24"/>
      <x:c r="S86" s="24"/>
      <x:c r="T86" s="24"/>
      <x:c r="U86" s="24"/>
      <x:c r="V86" s="24"/>
      <x:c r="W86" s="24"/>
      <x:c r="X86" s="24"/>
      <x:c r="Y86" s="24"/>
      <x:c r="Z86" s="24"/>
    </x:row>
    <x:row r="87">
      <x:c r="A87" s="26" t="n">
        <x:v>1</x:v>
      </x:c>
      <x:c r="B87" s="27" t="str">
        <x:v>Sundering Eruption</x:v>
      </x:c>
      <x:c r="C87" s="27" t="str">
        <x:v>3. Removal / Board Control</x:v>
      </x:c>
      <x:c r="D87" s="28" t="n">
        <x:v>7.8</x:v>
      </x:c>
      <x:c r="E87" s="27" t="str">
        <x:v>ORIGINAL</x:v>
      </x:c>
      <x:c r="F87" s="24"/>
      <x:c r="G87" s="24"/>
      <x:c r="H87" s="24"/>
      <x:c r="I87" s="24"/>
      <x:c r="J87" s="24"/>
      <x:c r="K87" s="24"/>
      <x:c r="L87" s="24"/>
      <x:c r="M87" s="24"/>
      <x:c r="N87" s="24"/>
      <x:c r="O87" s="24"/>
      <x:c r="P87" s="24"/>
      <x:c r="Q87" s="24"/>
      <x:c r="R87" s="24"/>
      <x:c r="S87" s="24"/>
      <x:c r="T87" s="24"/>
      <x:c r="U87" s="24"/>
      <x:c r="V87" s="24"/>
      <x:c r="W87" s="24"/>
      <x:c r="X87" s="24"/>
      <x:c r="Y87" s="24"/>
      <x:c r="Z87" s="24"/>
    </x:row>
    <x:row r="88">
      <x:c r="A88" s="26" t="n">
        <x:v>2</x:v>
      </x:c>
      <x:c r="B88" s="27" t="str">
        <x:v>Swamp</x:v>
      </x:c>
      <x:c r="C88" s="27" t="str">
        <x:v>1. Ramp / Mana</x:v>
      </x:c>
      <x:c r="D88" s="28" t="n">
        <x:v>8</x:v>
      </x:c>
      <x:c r="E88" s="27" t="str">
        <x:v>ORIGINAL</x:v>
      </x:c>
      <x:c r="F88" s="24"/>
      <x:c r="G88" s="24"/>
      <x:c r="H88" s="24"/>
      <x:c r="I88" s="24"/>
      <x:c r="J88" s="24"/>
      <x:c r="K88" s="24"/>
      <x:c r="L88" s="24"/>
      <x:c r="M88" s="24"/>
      <x:c r="N88" s="24"/>
      <x:c r="O88" s="24"/>
      <x:c r="P88" s="24"/>
      <x:c r="Q88" s="24"/>
      <x:c r="R88" s="24"/>
      <x:c r="S88" s="24"/>
      <x:c r="T88" s="24"/>
      <x:c r="U88" s="24"/>
      <x:c r="V88" s="24"/>
      <x:c r="W88" s="24"/>
      <x:c r="X88" s="24"/>
      <x:c r="Y88" s="24"/>
      <x:c r="Z88" s="24"/>
    </x:row>
    <x:row r="89">
      <x:c r="A89" s="26" t="n">
        <x:v>1</x:v>
      </x:c>
      <x:c r="B89" s="27" t="str">
        <x:v>Talisman of Creativity</x:v>
      </x:c>
      <x:c r="C89" s="27" t="str">
        <x:v>1. Ramp / Mana</x:v>
      </x:c>
      <x:c r="D89" s="28" t="n">
        <x:v>8.8</x:v>
      </x:c>
      <x:c r="E89" s="27" t="str">
        <x:v>ORIGINAL</x:v>
      </x:c>
      <x:c r="F89" s="24"/>
      <x:c r="G89" s="24"/>
      <x:c r="H89" s="24"/>
      <x:c r="I89" s="24"/>
      <x:c r="J89" s="24"/>
      <x:c r="K89" s="24"/>
      <x:c r="L89" s="24"/>
      <x:c r="M89" s="24"/>
      <x:c r="N89" s="24"/>
      <x:c r="O89" s="24"/>
      <x:c r="P89" s="24"/>
      <x:c r="Q89" s="24"/>
      <x:c r="R89" s="24"/>
      <x:c r="S89" s="24"/>
      <x:c r="T89" s="24"/>
      <x:c r="U89" s="24"/>
      <x:c r="V89" s="24"/>
      <x:c r="W89" s="24"/>
      <x:c r="X89" s="24"/>
      <x:c r="Y89" s="24"/>
      <x:c r="Z89" s="24"/>
    </x:row>
    <x:row r="90">
      <x:c r="A90" s="26" t="n">
        <x:v>1</x:v>
      </x:c>
      <x:c r="B90" s="27" t="str">
        <x:v>Talisman of Dominance</x:v>
      </x:c>
      <x:c r="C90" s="27" t="str">
        <x:v>1. Ramp / Mana</x:v>
      </x:c>
      <x:c r="D90" s="28" t="n">
        <x:v>8.9</x:v>
      </x:c>
      <x:c r="E90" s="27" t="str">
        <x:v>ORIGINAL</x:v>
      </x:c>
      <x:c r="F90" s="24"/>
      <x:c r="G90" s="24"/>
      <x:c r="H90" s="24"/>
      <x:c r="I90" s="24"/>
      <x:c r="J90" s="24"/>
      <x:c r="K90" s="24"/>
      <x:c r="L90" s="24"/>
      <x:c r="M90" s="24"/>
      <x:c r="N90" s="24"/>
      <x:c r="O90" s="24"/>
      <x:c r="P90" s="24"/>
      <x:c r="Q90" s="24"/>
      <x:c r="R90" s="24"/>
      <x:c r="S90" s="24"/>
      <x:c r="T90" s="24"/>
      <x:c r="U90" s="24"/>
      <x:c r="V90" s="24"/>
      <x:c r="W90" s="24"/>
      <x:c r="X90" s="24"/>
      <x:c r="Y90" s="24"/>
      <x:c r="Z90" s="24"/>
    </x:row>
    <x:row r="91">
      <x:c r="A91" s="26" t="n">
        <x:v>1</x:v>
      </x:c>
      <x:c r="B91" s="27" t="str">
        <x:v>Talisman of Indulgence</x:v>
      </x:c>
      <x:c r="C91" s="27" t="str">
        <x:v>1. Ramp / Mana</x:v>
      </x:c>
      <x:c r="D91" s="28" t="n">
        <x:v>8.8</x:v>
      </x:c>
      <x:c r="E91" s="27" t="str">
        <x:v>ORIGINAL</x:v>
      </x:c>
      <x:c r="F91" s="24"/>
      <x:c r="G91" s="24"/>
      <x:c r="H91" s="24"/>
      <x:c r="I91" s="24"/>
      <x:c r="J91" s="24"/>
      <x:c r="K91" s="24"/>
      <x:c r="L91" s="24"/>
      <x:c r="M91" s="24"/>
      <x:c r="N91" s="24"/>
      <x:c r="O91" s="24"/>
      <x:c r="P91" s="24"/>
      <x:c r="Q91" s="24"/>
      <x:c r="R91" s="24"/>
      <x:c r="S91" s="24"/>
      <x:c r="T91" s="24"/>
      <x:c r="U91" s="24"/>
      <x:c r="V91" s="24"/>
      <x:c r="W91" s="24"/>
      <x:c r="X91" s="24"/>
      <x:c r="Y91" s="24"/>
      <x:c r="Z91" s="24"/>
    </x:row>
    <x:row r="92">
      <x:c r="A92" s="26" t="n">
        <x:v>1</x:v>
      </x:c>
      <x:c r="B92" s="27" t="str">
        <x:v>Torment of Scarabs</x:v>
      </x:c>
      <x:c r="C92" s="27" t="str">
        <x:v>4. Curses — Core</x:v>
      </x:c>
      <x:c r="D92" s="28" t="n">
        <x:v>8.4</x:v>
      </x:c>
      <x:c r="E92" s="27" t="str">
        <x:v>ORIGINAL</x:v>
      </x:c>
      <x:c r="F92" s="24"/>
      <x:c r="G92" s="24"/>
      <x:c r="H92" s="24"/>
      <x:c r="I92" s="24"/>
      <x:c r="J92" s="24"/>
      <x:c r="K92" s="24"/>
      <x:c r="L92" s="24"/>
      <x:c r="M92" s="24"/>
      <x:c r="N92" s="24"/>
      <x:c r="O92" s="24"/>
      <x:c r="P92" s="24"/>
      <x:c r="Q92" s="24"/>
      <x:c r="R92" s="24"/>
      <x:c r="S92" s="24"/>
      <x:c r="T92" s="24"/>
      <x:c r="U92" s="24"/>
      <x:c r="V92" s="24"/>
      <x:c r="W92" s="24"/>
      <x:c r="X92" s="24"/>
      <x:c r="Y92" s="24"/>
      <x:c r="Z92" s="24"/>
    </x:row>
    <x:row r="93">
      <x:c r="A93" s="26" t="n">
        <x:v>1</x:v>
      </x:c>
      <x:c r="B93" s="27" t="str">
        <x:v>Training Center</x:v>
      </x:c>
      <x:c r="C93" s="27" t="str">
        <x:v>1. Ramp / Mana</x:v>
      </x:c>
      <x:c r="D93" s="28" t="n">
        <x:v>9</x:v>
      </x:c>
      <x:c r="E93" s="27" t="str">
        <x:v>IN — V2.0</x:v>
      </x:c>
      <x:c r="F93" s="24"/>
      <x:c r="G93" s="24"/>
      <x:c r="H93" s="24"/>
      <x:c r="I93" s="24"/>
      <x:c r="J93" s="24"/>
      <x:c r="K93" s="24"/>
      <x:c r="L93" s="24"/>
      <x:c r="M93" s="24"/>
      <x:c r="N93" s="24"/>
      <x:c r="O93" s="24"/>
      <x:c r="P93" s="24"/>
      <x:c r="Q93" s="24"/>
      <x:c r="R93" s="24"/>
      <x:c r="S93" s="24"/>
      <x:c r="T93" s="24"/>
      <x:c r="U93" s="24"/>
      <x:c r="V93" s="24"/>
      <x:c r="W93" s="24"/>
      <x:c r="X93" s="24"/>
      <x:c r="Y93" s="24"/>
      <x:c r="Z93" s="24"/>
    </x:row>
    <x:row r="94">
      <x:c r="A94" s="26" t="n">
        <x:v>1</x:v>
      </x:c>
      <x:c r="B94" s="27" t="str">
        <x:v>Trespasser's Curse</x:v>
      </x:c>
      <x:c r="C94" s="27" t="str">
        <x:v>4. Curses — Core</x:v>
      </x:c>
      <x:c r="D94" s="28" t="n">
        <x:v>8</x:v>
      </x:c>
      <x:c r="E94" s="27" t="str">
        <x:v>ORIGINAL</x:v>
      </x:c>
      <x:c r="F94" s="24"/>
      <x:c r="G94" s="24"/>
      <x:c r="H94" s="24"/>
      <x:c r="I94" s="24"/>
      <x:c r="J94" s="24"/>
      <x:c r="K94" s="24"/>
      <x:c r="L94" s="24"/>
      <x:c r="M94" s="24"/>
      <x:c r="N94" s="24"/>
      <x:c r="O94" s="24"/>
      <x:c r="P94" s="24"/>
      <x:c r="Q94" s="24"/>
      <x:c r="R94" s="24"/>
      <x:c r="S94" s="24"/>
      <x:c r="T94" s="24"/>
      <x:c r="U94" s="24"/>
      <x:c r="V94" s="24"/>
      <x:c r="W94" s="24"/>
      <x:c r="X94" s="24"/>
      <x:c r="Y94" s="24"/>
      <x:c r="Z94" s="24"/>
    </x:row>
    <x:row r="95">
      <x:c r="A95" s="26" t="n">
        <x:v>1</x:v>
      </x:c>
      <x:c r="B95" s="27" t="str">
        <x:v>Underground River</x:v>
      </x:c>
      <x:c r="C95" s="27" t="str">
        <x:v>1. Ramp / Mana</x:v>
      </x:c>
      <x:c r="D95" s="28" t="n">
        <x:v>8</x:v>
      </x:c>
      <x:c r="E95" s="27" t="str">
        <x:v>ORIGINAL</x:v>
      </x:c>
      <x:c r="F95" s="24"/>
      <x:c r="G95" s="24"/>
      <x:c r="H95" s="24"/>
      <x:c r="I95" s="24"/>
      <x:c r="J95" s="24"/>
      <x:c r="K95" s="24"/>
      <x:c r="L95" s="24"/>
      <x:c r="M95" s="24"/>
      <x:c r="N95" s="24"/>
      <x:c r="O95" s="24"/>
      <x:c r="P95" s="24"/>
      <x:c r="Q95" s="24"/>
      <x:c r="R95" s="24"/>
      <x:c r="S95" s="24"/>
      <x:c r="T95" s="24"/>
      <x:c r="U95" s="24"/>
      <x:c r="V95" s="24"/>
      <x:c r="W95" s="24"/>
      <x:c r="X95" s="24"/>
      <x:c r="Y95" s="24"/>
      <x:c r="Z95" s="24"/>
    </x:row>
    <x:row r="96">
      <x:c r="A96" s="26" t="n">
        <x:v>1</x:v>
      </x:c>
      <x:c r="B96" s="27" t="str">
        <x:v>Varragoth, Bloodsky Sire</x:v>
      </x:c>
      <x:c r="C96" s="27" t="str">
        <x:v>5. Curse Engines / Enchantment Support</x:v>
      </x:c>
      <x:c r="D96" s="28" t="n">
        <x:v>7.8</x:v>
      </x:c>
      <x:c r="E96" s="27" t="str">
        <x:v>ORIGINAL</x:v>
      </x:c>
      <x:c r="F96" s="24"/>
      <x:c r="G96" s="24"/>
      <x:c r="H96" s="24"/>
      <x:c r="I96" s="24"/>
      <x:c r="J96" s="24"/>
      <x:c r="K96" s="24"/>
      <x:c r="L96" s="24"/>
      <x:c r="M96" s="24"/>
      <x:c r="N96" s="24"/>
      <x:c r="O96" s="24"/>
      <x:c r="P96" s="24"/>
      <x:c r="Q96" s="24"/>
      <x:c r="R96" s="24"/>
      <x:c r="S96" s="24"/>
      <x:c r="T96" s="24"/>
      <x:c r="U96" s="24"/>
      <x:c r="V96" s="24"/>
      <x:c r="W96" s="24"/>
      <x:c r="X96" s="24"/>
      <x:c r="Y96" s="24"/>
      <x:c r="Z96" s="24"/>
    </x:row>
    <x:row r="97">
      <x:c r="A97" s="26" t="n">
        <x:v>1</x:v>
      </x:c>
      <x:c r="B97" s="27" t="str">
        <x:v>Watery Grave</x:v>
      </x:c>
      <x:c r="C97" s="27" t="str">
        <x:v>1. Ramp / Mana</x:v>
      </x:c>
      <x:c r="D97" s="28" t="n">
        <x:v>8.9</x:v>
      </x:c>
      <x:c r="E97" s="27" t="str">
        <x:v>IN — V2.0</x:v>
      </x:c>
      <x:c r="F97" s="24"/>
      <x:c r="G97" s="24"/>
      <x:c r="H97" s="24"/>
      <x:c r="I97" s="24"/>
      <x:c r="J97" s="24"/>
      <x:c r="K97" s="24"/>
      <x:c r="L97" s="24"/>
      <x:c r="M97" s="24"/>
      <x:c r="N97" s="24"/>
      <x:c r="O97" s="24"/>
      <x:c r="P97" s="24"/>
      <x:c r="Q97" s="24"/>
      <x:c r="R97" s="24"/>
      <x:c r="S97" s="24"/>
      <x:c r="T97" s="24"/>
      <x:c r="U97" s="24"/>
      <x:c r="V97" s="24"/>
      <x:c r="W97" s="24"/>
      <x:c r="X97" s="24"/>
      <x:c r="Y97" s="24"/>
      <x:c r="Z97" s="24"/>
    </x:row>
    <x:row r="98">
      <x:c r="A98" s="26" t="n">
        <x:v>1</x:v>
      </x:c>
      <x:c r="B98" s="27" t="str">
        <x:v>Windfall</x:v>
      </x:c>
      <x:c r="C98" s="27" t="str">
        <x:v>2. Draw / Card Advantage</x:v>
      </x:c>
      <x:c r="D98" s="28" t="n">
        <x:v>8.2</x:v>
      </x:c>
      <x:c r="E98" s="27" t="str">
        <x:v>ORIGINAL</x:v>
      </x:c>
      <x:c r="F98" s="24"/>
      <x:c r="G98" s="24"/>
      <x:c r="H98" s="24"/>
      <x:c r="I98" s="24"/>
      <x:c r="J98" s="24"/>
      <x:c r="K98" s="24"/>
      <x:c r="L98" s="24"/>
      <x:c r="M98" s="24"/>
      <x:c r="N98" s="24"/>
      <x:c r="O98" s="24"/>
      <x:c r="P98" s="24"/>
      <x:c r="Q98" s="24"/>
      <x:c r="R98" s="24"/>
      <x:c r="S98" s="24"/>
      <x:c r="T98" s="24"/>
      <x:c r="U98" s="24"/>
      <x:c r="V98" s="24"/>
      <x:c r="W98" s="24"/>
      <x:c r="X98" s="24"/>
      <x:c r="Y98" s="24"/>
      <x:c r="Z98" s="24"/>
    </x:row>
    <x:row r="99">
      <x:c r="A99" s="26" t="n">
        <x:v>1</x:v>
      </x:c>
      <x:c r="B99" s="27" t="str">
        <x:v>Xander's Lounge</x:v>
      </x:c>
      <x:c r="C99" s="27" t="str">
        <x:v>1. Ramp / Mana</x:v>
      </x:c>
      <x:c r="D99" s="28" t="n">
        <x:v>8.8</x:v>
      </x:c>
      <x:c r="E99" s="27" t="str">
        <x:v>ORIGINAL</x:v>
      </x:c>
      <x:c r="F99" s="24"/>
      <x:c r="G99" s="24"/>
      <x:c r="H99" s="24"/>
      <x:c r="I99" s="24"/>
      <x:c r="J99" s="24"/>
      <x:c r="K99" s="24"/>
      <x:c r="L99" s="24"/>
      <x:c r="M99" s="24"/>
      <x:c r="N99" s="24"/>
      <x:c r="O99" s="24"/>
      <x:c r="P99" s="24"/>
      <x:c r="Q99" s="24"/>
      <x:c r="R99" s="24"/>
      <x:c r="S99" s="24"/>
      <x:c r="T99" s="24"/>
      <x:c r="U99" s="24"/>
      <x:c r="V99" s="24"/>
      <x:c r="W99" s="24"/>
      <x:c r="X99" s="24"/>
      <x:c r="Y99" s="24"/>
      <x:c r="Z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  <x:c r="L100" s="24"/>
      <x:c r="M100" s="24"/>
      <x:c r="N100" s="24"/>
      <x:c r="O100" s="24"/>
      <x:c r="P100" s="24"/>
      <x:c r="Q100" s="24"/>
      <x:c r="R100" s="24"/>
      <x:c r="S100" s="24"/>
      <x:c r="T100" s="24"/>
      <x:c r="U100" s="24"/>
      <x:c r="V100" s="24"/>
      <x:c r="W100" s="24"/>
      <x:c r="X100" s="24"/>
      <x:c r="Y100" s="24"/>
      <x:c r="Z100" s="24"/>
    </x:row>
    <x:row r="101">
      <x:c r="A101" s="24"/>
      <x:c r="B101" s="24"/>
      <x:c r="C101" s="24"/>
      <x:c r="D101" s="24"/>
      <x:c r="E101" s="24"/>
      <x:c r="F101" s="24"/>
      <x:c r="G101" s="24"/>
      <x:c r="H101" s="24"/>
      <x:c r="I101" s="24"/>
      <x:c r="J101" s="24"/>
      <x:c r="K101" s="24"/>
      <x:c r="L101" s="24"/>
      <x:c r="M101" s="24"/>
      <x:c r="N101" s="24"/>
      <x:c r="O101" s="24"/>
      <x:c r="P101" s="24"/>
      <x:c r="Q101" s="24"/>
      <x:c r="R101" s="24"/>
      <x:c r="S101" s="24"/>
      <x:c r="T101" s="24"/>
      <x:c r="U101" s="24"/>
      <x:c r="V101" s="24"/>
      <x:c r="W101" s="24"/>
      <x:c r="X101" s="24"/>
      <x:c r="Y101" s="24"/>
      <x:c r="Z101" s="24"/>
    </x:row>
    <x:row r="102">
      <x:c r="A102" s="24"/>
      <x:c r="B102" s="24"/>
      <x:c r="C102" s="24"/>
      <x:c r="D102" s="24"/>
      <x:c r="E102" s="24"/>
      <x:c r="F102" s="24"/>
      <x:c r="G102" s="24"/>
      <x:c r="H102" s="24"/>
      <x:c r="I102" s="24"/>
      <x:c r="J102" s="24"/>
      <x:c r="K102" s="24"/>
      <x:c r="L102" s="24"/>
      <x:c r="M102" s="24"/>
      <x:c r="N102" s="24"/>
      <x:c r="O102" s="24"/>
      <x:c r="P102" s="24"/>
      <x:c r="Q102" s="24"/>
      <x:c r="R102" s="24"/>
      <x:c r="S102" s="24"/>
      <x:c r="T102" s="24"/>
      <x:c r="U102" s="24"/>
      <x:c r="V102" s="24"/>
      <x:c r="W102" s="24"/>
      <x:c r="X102" s="24"/>
      <x:c r="Y102" s="24"/>
      <x:c r="Z102" s="24"/>
    </x:row>
    <x:row r="103">
      <x:c r="A103" s="24"/>
      <x:c r="B103" s="24"/>
      <x:c r="C103" s="24"/>
      <x:c r="D103" s="24"/>
      <x:c r="E103" s="24"/>
      <x:c r="F103" s="24"/>
      <x:c r="G103" s="24"/>
      <x:c r="H103" s="24"/>
      <x:c r="I103" s="24"/>
      <x:c r="J103" s="24"/>
      <x:c r="K103" s="24"/>
      <x:c r="L103" s="24"/>
      <x:c r="M103" s="24"/>
      <x:c r="N103" s="24"/>
      <x:c r="O103" s="24"/>
      <x:c r="P103" s="24"/>
      <x:c r="Q103" s="24"/>
      <x:c r="R103" s="24"/>
      <x:c r="S103" s="24"/>
      <x:c r="T103" s="24"/>
      <x:c r="U103" s="24"/>
      <x:c r="V103" s="24"/>
      <x:c r="W103" s="24"/>
      <x:c r="X103" s="24"/>
      <x:c r="Y103" s="24"/>
      <x:c r="Z103" s="24"/>
    </x:row>
    <x:row r="104">
      <x:c r="A104" s="24"/>
      <x:c r="B104" s="24"/>
      <x:c r="C104" s="24"/>
      <x:c r="D104" s="24"/>
      <x:c r="E104" s="24"/>
      <x:c r="F104" s="24"/>
      <x:c r="G104" s="24"/>
      <x:c r="H104" s="24"/>
      <x:c r="I104" s="24"/>
      <x:c r="J104" s="24"/>
      <x:c r="K104" s="24"/>
      <x:c r="L104" s="24"/>
      <x:c r="M104" s="24"/>
      <x:c r="N104" s="24"/>
      <x:c r="O104" s="24"/>
      <x:c r="P104" s="24"/>
      <x:c r="Q104" s="24"/>
      <x:c r="R104" s="24"/>
      <x:c r="S104" s="24"/>
      <x:c r="T104" s="24"/>
      <x:c r="U104" s="24"/>
      <x:c r="V104" s="24"/>
      <x:c r="W104" s="24"/>
      <x:c r="X104" s="24"/>
      <x:c r="Y104" s="24"/>
      <x:c r="Z104" s="24"/>
    </x:row>
    <x:row r="105">
      <x:c r="A105" s="24"/>
      <x:c r="B105" s="24"/>
      <x:c r="C105" s="24"/>
      <x:c r="D105" s="24"/>
      <x:c r="E105" s="24"/>
      <x:c r="F105" s="24"/>
      <x:c r="G105" s="24"/>
      <x:c r="H105" s="24"/>
      <x:c r="I105" s="24"/>
      <x:c r="J105" s="24"/>
      <x:c r="K105" s="24"/>
      <x:c r="L105" s="24"/>
      <x:c r="M105" s="24"/>
      <x:c r="N105" s="24"/>
      <x:c r="O105" s="24"/>
      <x:c r="P105" s="24"/>
      <x:c r="Q105" s="24"/>
      <x:c r="R105" s="24"/>
      <x:c r="S105" s="24"/>
      <x:c r="T105" s="24"/>
      <x:c r="U105" s="24"/>
      <x:c r="V105" s="24"/>
      <x:c r="W105" s="24"/>
      <x:c r="X105" s="24"/>
      <x:c r="Y105" s="24"/>
      <x:c r="Z105" s="24"/>
    </x:row>
    <x:row r="106">
      <x:c r="A106" s="24"/>
      <x:c r="B106" s="24"/>
      <x:c r="C106" s="24"/>
      <x:c r="D106" s="24"/>
      <x:c r="E106" s="24"/>
      <x:c r="F106" s="24"/>
      <x:c r="G106" s="24"/>
      <x:c r="H106" s="24"/>
      <x:c r="I106" s="24"/>
      <x:c r="J106" s="24"/>
      <x:c r="K106" s="24"/>
      <x:c r="L106" s="24"/>
      <x:c r="M106" s="24"/>
      <x:c r="N106" s="24"/>
      <x:c r="O106" s="24"/>
      <x:c r="P106" s="24"/>
      <x:c r="Q106" s="24"/>
      <x:c r="R106" s="24"/>
      <x:c r="S106" s="24"/>
      <x:c r="T106" s="24"/>
      <x:c r="U106" s="24"/>
      <x:c r="V106" s="24"/>
      <x:c r="W106" s="24"/>
      <x:c r="X106" s="24"/>
      <x:c r="Y106" s="24"/>
      <x:c r="Z106" s="24"/>
    </x:row>
    <x:row r="107">
      <x:c r="A107" s="24"/>
      <x:c r="B107" s="24"/>
      <x:c r="C107" s="24"/>
      <x:c r="D107" s="24"/>
      <x:c r="E107" s="24"/>
      <x:c r="F107" s="24"/>
      <x:c r="G107" s="24"/>
      <x:c r="H107" s="24"/>
      <x:c r="I107" s="24"/>
      <x:c r="J107" s="24"/>
      <x:c r="K107" s="24"/>
      <x:c r="L107" s="24"/>
      <x:c r="M107" s="24"/>
      <x:c r="N107" s="24"/>
      <x:c r="O107" s="24"/>
      <x:c r="P107" s="24"/>
      <x:c r="Q107" s="24"/>
      <x:c r="R107" s="24"/>
      <x:c r="S107" s="24"/>
      <x:c r="T107" s="24"/>
      <x:c r="U107" s="24"/>
      <x:c r="V107" s="24"/>
      <x:c r="W107" s="24"/>
      <x:c r="X107" s="24"/>
      <x:c r="Y107" s="24"/>
      <x:c r="Z107" s="24"/>
    </x:row>
    <x:row r="108">
      <x:c r="A108" s="24"/>
      <x:c r="B108" s="24"/>
      <x:c r="C108" s="24"/>
      <x:c r="D108" s="24"/>
      <x:c r="E108" s="24"/>
      <x:c r="F108" s="24"/>
      <x:c r="G108" s="24"/>
      <x:c r="H108" s="24"/>
      <x:c r="I108" s="24"/>
      <x:c r="J108" s="24"/>
      <x:c r="K108" s="24"/>
      <x:c r="L108" s="24"/>
      <x:c r="M108" s="24"/>
      <x:c r="N108" s="24"/>
      <x:c r="O108" s="24"/>
      <x:c r="P108" s="24"/>
      <x:c r="Q108" s="24"/>
      <x:c r="R108" s="24"/>
      <x:c r="S108" s="24"/>
      <x:c r="T108" s="24"/>
      <x:c r="U108" s="24"/>
      <x:c r="V108" s="24"/>
      <x:c r="W108" s="24"/>
      <x:c r="X108" s="24"/>
      <x:c r="Y108" s="24"/>
      <x:c r="Z108" s="24"/>
    </x:row>
    <x:row r="109">
      <x:c r="A109" s="24"/>
      <x:c r="B109" s="24"/>
      <x:c r="C109" s="24"/>
      <x:c r="D109" s="24"/>
      <x:c r="E109" s="24"/>
      <x:c r="F109" s="24"/>
      <x:c r="G109" s="24"/>
      <x:c r="H109" s="24"/>
      <x:c r="I109" s="24"/>
      <x:c r="J109" s="24"/>
      <x:c r="K109" s="24"/>
      <x:c r="L109" s="24"/>
      <x:c r="M109" s="24"/>
      <x:c r="N109" s="24"/>
      <x:c r="O109" s="24"/>
      <x:c r="P109" s="24"/>
      <x:c r="Q109" s="24"/>
      <x:c r="R109" s="24"/>
      <x:c r="S109" s="24"/>
      <x:c r="T109" s="24"/>
      <x:c r="U109" s="24"/>
      <x:c r="V109" s="24"/>
      <x:c r="W109" s="24"/>
      <x:c r="X109" s="24"/>
      <x:c r="Y109" s="24"/>
      <x:c r="Z109" s="24"/>
    </x:row>
    <x:row r="110">
      <x:c r="A110" s="24"/>
      <x:c r="B110" s="24"/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/>
      <x:c r="M110" s="24"/>
      <x:c r="N110" s="24"/>
      <x:c r="O110" s="24"/>
      <x:c r="P110" s="24"/>
      <x:c r="Q110" s="24"/>
      <x:c r="R110" s="24"/>
      <x:c r="S110" s="24"/>
      <x:c r="T110" s="24"/>
      <x:c r="U110" s="24"/>
      <x:c r="V110" s="24"/>
      <x:c r="W110" s="24"/>
      <x:c r="X110" s="24"/>
      <x:c r="Y110" s="24"/>
      <x:c r="Z110" s="24"/>
    </x:row>
    <x:row r="111">
      <x:c r="A111" s="24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P111" s="24"/>
      <x:c r="Q111" s="24"/>
      <x:c r="R111" s="24"/>
      <x:c r="S111" s="24"/>
      <x:c r="T111" s="24"/>
      <x:c r="U111" s="24"/>
      <x:c r="V111" s="24"/>
      <x:c r="W111" s="24"/>
      <x:c r="X111" s="24"/>
      <x:c r="Y111" s="24"/>
      <x:c r="Z111" s="24"/>
    </x:row>
    <x:row r="112">
      <x:c r="A112" s="24"/>
      <x:c r="B112" s="24"/>
      <x:c r="C112" s="24"/>
      <x:c r="D112" s="24"/>
      <x:c r="E112" s="24"/>
      <x:c r="F112" s="24"/>
      <x:c r="G112" s="24"/>
      <x:c r="H112" s="24"/>
      <x:c r="I112" s="24"/>
      <x:c r="J112" s="24"/>
      <x:c r="K112" s="24"/>
      <x:c r="L112" s="24"/>
      <x:c r="M112" s="24"/>
      <x:c r="N112" s="24"/>
      <x:c r="O112" s="24"/>
      <x:c r="P112" s="24"/>
      <x:c r="Q112" s="24"/>
      <x:c r="R112" s="24"/>
      <x:c r="S112" s="24"/>
      <x:c r="T112" s="24"/>
      <x:c r="U112" s="24"/>
      <x:c r="V112" s="24"/>
      <x:c r="W112" s="24"/>
      <x:c r="X112" s="24"/>
      <x:c r="Y112" s="24"/>
      <x:c r="Z112" s="24"/>
    </x:row>
    <x:row r="113">
      <x:c r="A113" s="24"/>
      <x:c r="B113" s="24"/>
      <x:c r="C113" s="24"/>
      <x:c r="D113" s="24"/>
      <x:c r="E113" s="24"/>
      <x:c r="F113" s="24"/>
      <x:c r="G113" s="24"/>
      <x:c r="H113" s="24"/>
      <x:c r="I113" s="24"/>
      <x:c r="J113" s="24"/>
      <x:c r="K113" s="24"/>
      <x:c r="L113" s="24"/>
      <x:c r="M113" s="24"/>
      <x:c r="N113" s="24"/>
      <x:c r="O113" s="24"/>
      <x:c r="P113" s="24"/>
      <x:c r="Q113" s="24"/>
      <x:c r="R113" s="24"/>
      <x:c r="S113" s="24"/>
      <x:c r="T113" s="24"/>
      <x:c r="U113" s="24"/>
      <x:c r="V113" s="24"/>
      <x:c r="W113" s="24"/>
      <x:c r="X113" s="24"/>
      <x:c r="Y113" s="24"/>
      <x:c r="Z113" s="24"/>
    </x:row>
    <x:row r="114">
      <x:c r="A114" s="24"/>
      <x:c r="B114" s="24"/>
      <x:c r="C114" s="24"/>
      <x:c r="D114" s="24"/>
      <x:c r="E114" s="24"/>
      <x:c r="F114" s="24"/>
      <x:c r="G114" s="24"/>
      <x:c r="H114" s="24"/>
      <x:c r="I114" s="24"/>
      <x:c r="J114" s="24"/>
      <x:c r="K114" s="24"/>
      <x:c r="L114" s="24"/>
      <x:c r="M114" s="24"/>
      <x:c r="N114" s="24"/>
      <x:c r="O114" s="24"/>
      <x:c r="P114" s="24"/>
      <x:c r="Q114" s="24"/>
      <x:c r="R114" s="24"/>
      <x:c r="S114" s="24"/>
      <x:c r="T114" s="24"/>
      <x:c r="U114" s="24"/>
      <x:c r="V114" s="24"/>
      <x:c r="W114" s="24"/>
      <x:c r="X114" s="24"/>
      <x:c r="Y114" s="24"/>
      <x:c r="Z114" s="24"/>
    </x:row>
    <x:row r="115">
      <x:c r="A115" s="24"/>
      <x:c r="B115" s="24"/>
      <x:c r="C115" s="24"/>
      <x:c r="D115" s="24"/>
      <x:c r="E115" s="24"/>
      <x:c r="F115" s="24"/>
      <x:c r="G115" s="24"/>
      <x:c r="H115" s="24"/>
      <x:c r="I115" s="24"/>
      <x:c r="J115" s="24"/>
      <x:c r="K115" s="24"/>
      <x:c r="L115" s="24"/>
      <x:c r="M115" s="24"/>
      <x:c r="N115" s="24"/>
      <x:c r="O115" s="24"/>
      <x:c r="P115" s="24"/>
      <x:c r="Q115" s="24"/>
      <x:c r="R115" s="24"/>
      <x:c r="S115" s="24"/>
      <x:c r="T115" s="24"/>
      <x:c r="U115" s="24"/>
      <x:c r="V115" s="24"/>
      <x:c r="W115" s="24"/>
      <x:c r="X115" s="24"/>
      <x:c r="Y115" s="24"/>
      <x:c r="Z115" s="24"/>
    </x:row>
    <x:row r="116">
      <x:c r="A116" s="24"/>
      <x:c r="B116" s="24"/>
      <x:c r="C116" s="24"/>
      <x:c r="D116" s="24"/>
      <x:c r="E116" s="24"/>
      <x:c r="F116" s="24"/>
      <x:c r="G116" s="24"/>
      <x:c r="H116" s="24"/>
      <x:c r="I116" s="24"/>
      <x:c r="J116" s="24"/>
      <x:c r="K116" s="24"/>
      <x:c r="L116" s="24"/>
      <x:c r="M116" s="24"/>
      <x:c r="N116" s="24"/>
      <x:c r="O116" s="24"/>
      <x:c r="P116" s="24"/>
      <x:c r="Q116" s="24"/>
      <x:c r="R116" s="24"/>
      <x:c r="S116" s="24"/>
      <x:c r="T116" s="24"/>
      <x:c r="U116" s="24"/>
      <x:c r="V116" s="24"/>
      <x:c r="W116" s="24"/>
      <x:c r="X116" s="24"/>
      <x:c r="Y116" s="24"/>
      <x:c r="Z116" s="24"/>
    </x:row>
    <x:row r="117">
      <x:c r="A117" s="24"/>
      <x:c r="B117" s="24"/>
      <x:c r="C117" s="24"/>
      <x:c r="D117" s="24"/>
      <x:c r="E117" s="24"/>
      <x:c r="F117" s="24"/>
      <x:c r="G117" s="24"/>
      <x:c r="H117" s="24"/>
      <x:c r="I117" s="24"/>
      <x:c r="J117" s="24"/>
      <x:c r="K117" s="24"/>
      <x:c r="L117" s="24"/>
      <x:c r="M117" s="24"/>
      <x:c r="N117" s="24"/>
      <x:c r="O117" s="24"/>
      <x:c r="P117" s="24"/>
      <x:c r="Q117" s="24"/>
      <x:c r="R117" s="24"/>
      <x:c r="S117" s="24"/>
      <x:c r="T117" s="24"/>
      <x:c r="U117" s="24"/>
      <x:c r="V117" s="24"/>
      <x:c r="W117" s="24"/>
      <x:c r="X117" s="24"/>
      <x:c r="Y117" s="24"/>
      <x:c r="Z117" s="24"/>
    </x:row>
    <x:row r="118">
      <x:c r="A118" s="24"/>
      <x:c r="B118" s="24"/>
      <x:c r="C118" s="24"/>
      <x:c r="D118" s="24"/>
      <x:c r="E118" s="24"/>
      <x:c r="F118" s="24"/>
      <x:c r="G118" s="24"/>
      <x:c r="H118" s="24"/>
      <x:c r="I118" s="24"/>
      <x:c r="J118" s="24"/>
      <x:c r="K118" s="24"/>
      <x:c r="L118" s="24"/>
      <x:c r="M118" s="24"/>
      <x:c r="N118" s="24"/>
      <x:c r="O118" s="24"/>
      <x:c r="P118" s="24"/>
      <x:c r="Q118" s="24"/>
      <x:c r="R118" s="24"/>
      <x:c r="S118" s="24"/>
      <x:c r="T118" s="24"/>
      <x:c r="U118" s="24"/>
      <x:c r="V118" s="24"/>
      <x:c r="W118" s="24"/>
      <x:c r="X118" s="24"/>
      <x:c r="Y118" s="24"/>
      <x:c r="Z118" s="24"/>
    </x:row>
    <x:row r="119">
      <x:c r="A119" s="24"/>
      <x:c r="B119" s="24"/>
      <x:c r="C119" s="24"/>
      <x:c r="D119" s="24"/>
      <x:c r="E119" s="24"/>
      <x:c r="F119" s="24"/>
      <x:c r="G119" s="24"/>
      <x:c r="H119" s="24"/>
      <x:c r="I119" s="24"/>
      <x:c r="J119" s="24"/>
      <x:c r="K119" s="24"/>
      <x:c r="L119" s="24"/>
      <x:c r="M119" s="24"/>
      <x:c r="N119" s="24"/>
      <x:c r="O119" s="24"/>
      <x:c r="P119" s="24"/>
      <x:c r="Q119" s="24"/>
      <x:c r="R119" s="24"/>
      <x:c r="S119" s="24"/>
      <x:c r="T119" s="24"/>
      <x:c r="U119" s="24"/>
      <x:c r="V119" s="24"/>
      <x:c r="W119" s="24"/>
      <x:c r="X119" s="24"/>
      <x:c r="Y119" s="24"/>
      <x:c r="Z119" s="24"/>
    </x:row>
    <x:row r="120">
      <x:c r="A120" s="24"/>
      <x:c r="B120" s="24"/>
      <x:c r="C120" s="24"/>
      <x:c r="D120" s="24"/>
      <x:c r="E120" s="24"/>
      <x:c r="F120" s="24"/>
      <x:c r="G120" s="24"/>
      <x:c r="H120" s="24"/>
      <x:c r="I120" s="24"/>
      <x:c r="J120" s="24"/>
      <x:c r="K120" s="24"/>
      <x:c r="L120" s="24"/>
      <x:c r="M120" s="24"/>
      <x:c r="N120" s="24"/>
      <x:c r="O120" s="24"/>
      <x:c r="P120" s="24"/>
      <x:c r="Q120" s="24"/>
      <x:c r="R120" s="24"/>
      <x:c r="S120" s="24"/>
      <x:c r="T120" s="24"/>
      <x:c r="U120" s="24"/>
      <x:c r="V120" s="24"/>
      <x:c r="W120" s="24"/>
      <x:c r="X120" s="24"/>
      <x:c r="Y120" s="24"/>
      <x:c r="Z120" s="24"/>
    </x:row>
    <x:row r="12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  <x:c r="K121" s="24"/>
      <x:c r="L121" s="24"/>
      <x:c r="M121" s="24"/>
      <x:c r="N121" s="24"/>
      <x:c r="O121" s="24"/>
      <x:c r="P121" s="24"/>
      <x:c r="Q121" s="24"/>
      <x:c r="R121" s="24"/>
      <x:c r="S121" s="24"/>
      <x:c r="T121" s="24"/>
      <x:c r="U121" s="24"/>
      <x:c r="V121" s="24"/>
      <x:c r="W121" s="24"/>
      <x:c r="X121" s="24"/>
      <x:c r="Y121" s="24"/>
      <x:c r="Z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  <x:c r="K122" s="24"/>
      <x:c r="L122" s="24"/>
      <x:c r="M122" s="24"/>
      <x:c r="N122" s="24"/>
      <x:c r="O122" s="24"/>
      <x:c r="P122" s="24"/>
      <x:c r="Q122" s="24"/>
      <x:c r="R122" s="24"/>
      <x:c r="S122" s="24"/>
      <x:c r="T122" s="24"/>
      <x:c r="U122" s="24"/>
      <x:c r="V122" s="24"/>
      <x:c r="W122" s="24"/>
      <x:c r="X122" s="24"/>
      <x:c r="Y122" s="24"/>
      <x:c r="Z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  <x:c r="M123" s="24"/>
      <x:c r="N123" s="24"/>
      <x:c r="O123" s="24"/>
      <x:c r="P123" s="24"/>
      <x:c r="Q123" s="24"/>
      <x:c r="R123" s="24"/>
      <x:c r="S123" s="24"/>
      <x:c r="T123" s="24"/>
      <x:c r="U123" s="24"/>
      <x:c r="V123" s="24"/>
      <x:c r="W123" s="24"/>
      <x:c r="X123" s="24"/>
      <x:c r="Y123" s="24"/>
      <x:c r="Z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  <x:c r="M124" s="24"/>
      <x:c r="N124" s="24"/>
      <x:c r="O124" s="24"/>
      <x:c r="P124" s="24"/>
      <x:c r="Q124" s="24"/>
      <x:c r="R124" s="24"/>
      <x:c r="S124" s="24"/>
      <x:c r="T124" s="24"/>
      <x:c r="U124" s="24"/>
      <x:c r="V124" s="24"/>
      <x:c r="W124" s="24"/>
      <x:c r="X124" s="24"/>
      <x:c r="Y124" s="24"/>
      <x:c r="Z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  <x:c r="K125" s="24"/>
      <x:c r="L125" s="24"/>
      <x:c r="M125" s="24"/>
      <x:c r="N125" s="24"/>
      <x:c r="O125" s="24"/>
      <x:c r="P125" s="24"/>
      <x:c r="Q125" s="24"/>
      <x:c r="R125" s="24"/>
      <x:c r="S125" s="24"/>
      <x:c r="T125" s="24"/>
      <x:c r="U125" s="24"/>
      <x:c r="V125" s="24"/>
      <x:c r="W125" s="24"/>
      <x:c r="X125" s="24"/>
      <x:c r="Y125" s="24"/>
      <x:c r="Z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  <x:c r="K126" s="24"/>
      <x:c r="L126" s="24"/>
      <x:c r="M126" s="24"/>
      <x:c r="N126" s="24"/>
      <x:c r="O126" s="24"/>
      <x:c r="P126" s="24"/>
      <x:c r="Q126" s="24"/>
      <x:c r="R126" s="24"/>
      <x:c r="S126" s="24"/>
      <x:c r="T126" s="24"/>
      <x:c r="U126" s="24"/>
      <x:c r="V126" s="24"/>
      <x:c r="W126" s="24"/>
      <x:c r="X126" s="24"/>
      <x:c r="Y126" s="24"/>
      <x:c r="Z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  <x:c r="K127" s="24"/>
      <x:c r="L127" s="24"/>
      <x:c r="M127" s="24"/>
      <x:c r="N127" s="24"/>
      <x:c r="O127" s="24"/>
      <x:c r="P127" s="24"/>
      <x:c r="Q127" s="24"/>
      <x:c r="R127" s="24"/>
      <x:c r="S127" s="24"/>
      <x:c r="T127" s="24"/>
      <x:c r="U127" s="24"/>
      <x:c r="V127" s="24"/>
      <x:c r="W127" s="24"/>
      <x:c r="X127" s="24"/>
      <x:c r="Y127" s="24"/>
      <x:c r="Z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  <x:c r="K128" s="24"/>
      <x:c r="L128" s="24"/>
      <x:c r="M128" s="24"/>
      <x:c r="N128" s="24"/>
      <x:c r="O128" s="24"/>
      <x:c r="P128" s="24"/>
      <x:c r="Q128" s="24"/>
      <x:c r="R128" s="24"/>
      <x:c r="S128" s="24"/>
      <x:c r="T128" s="24"/>
      <x:c r="U128" s="24"/>
      <x:c r="V128" s="24"/>
      <x:c r="W128" s="24"/>
      <x:c r="X128" s="24"/>
      <x:c r="Y128" s="24"/>
      <x:c r="Z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  <x:c r="K129" s="24"/>
      <x:c r="L129" s="24"/>
      <x:c r="M129" s="24"/>
      <x:c r="N129" s="24"/>
      <x:c r="O129" s="24"/>
      <x:c r="P129" s="24"/>
      <x:c r="Q129" s="24"/>
      <x:c r="R129" s="24"/>
      <x:c r="S129" s="24"/>
      <x:c r="T129" s="24"/>
      <x:c r="U129" s="24"/>
      <x:c r="V129" s="24"/>
      <x:c r="W129" s="24"/>
      <x:c r="X129" s="24"/>
      <x:c r="Y129" s="24"/>
      <x:c r="Z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  <x:c r="K130" s="24"/>
      <x:c r="L130" s="24"/>
      <x:c r="M130" s="24"/>
      <x:c r="N130" s="24"/>
      <x:c r="O130" s="24"/>
      <x:c r="P130" s="24"/>
      <x:c r="Q130" s="24"/>
      <x:c r="R130" s="24"/>
      <x:c r="S130" s="24"/>
      <x:c r="T130" s="24"/>
      <x:c r="U130" s="24"/>
      <x:c r="V130" s="24"/>
      <x:c r="W130" s="24"/>
      <x:c r="X130" s="24"/>
      <x:c r="Y130" s="24"/>
      <x:c r="Z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  <x:c r="K131" s="24"/>
      <x:c r="L131" s="24"/>
      <x:c r="M131" s="24"/>
      <x:c r="N131" s="24"/>
      <x:c r="O131" s="24"/>
      <x:c r="P131" s="24"/>
      <x:c r="Q131" s="24"/>
      <x:c r="R131" s="24"/>
      <x:c r="S131" s="24"/>
      <x:c r="T131" s="24"/>
      <x:c r="U131" s="24"/>
      <x:c r="V131" s="24"/>
      <x:c r="W131" s="24"/>
      <x:c r="X131" s="24"/>
      <x:c r="Y131" s="24"/>
      <x:c r="Z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  <x:c r="K132" s="24"/>
      <x:c r="L132" s="24"/>
      <x:c r="M132" s="24"/>
      <x:c r="N132" s="24"/>
      <x:c r="O132" s="24"/>
      <x:c r="P132" s="24"/>
      <x:c r="Q132" s="24"/>
      <x:c r="R132" s="24"/>
      <x:c r="S132" s="24"/>
      <x:c r="T132" s="24"/>
      <x:c r="U132" s="24"/>
      <x:c r="V132" s="24"/>
      <x:c r="W132" s="24"/>
      <x:c r="X132" s="24"/>
      <x:c r="Y132" s="24"/>
      <x:c r="Z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  <x:c r="K133" s="24"/>
      <x:c r="L133" s="24"/>
      <x:c r="M133" s="24"/>
      <x:c r="N133" s="24"/>
      <x:c r="O133" s="24"/>
      <x:c r="P133" s="24"/>
      <x:c r="Q133" s="24"/>
      <x:c r="R133" s="24"/>
      <x:c r="S133" s="24"/>
      <x:c r="T133" s="24"/>
      <x:c r="U133" s="24"/>
      <x:c r="V133" s="24"/>
      <x:c r="W133" s="24"/>
      <x:c r="X133" s="24"/>
      <x:c r="Y133" s="24"/>
      <x:c r="Z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  <x:c r="K134" s="24"/>
      <x:c r="L134" s="24"/>
      <x:c r="M134" s="24"/>
      <x:c r="N134" s="24"/>
      <x:c r="O134" s="24"/>
      <x:c r="P134" s="24"/>
      <x:c r="Q134" s="24"/>
      <x:c r="R134" s="24"/>
      <x:c r="S134" s="24"/>
      <x:c r="T134" s="24"/>
      <x:c r="U134" s="24"/>
      <x:c r="V134" s="24"/>
      <x:c r="W134" s="24"/>
      <x:c r="X134" s="24"/>
      <x:c r="Y134" s="24"/>
      <x:c r="Z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  <x:c r="K135" s="24"/>
      <x:c r="L135" s="24"/>
      <x:c r="M135" s="24"/>
      <x:c r="N135" s="24"/>
      <x:c r="O135" s="24"/>
      <x:c r="P135" s="24"/>
      <x:c r="Q135" s="24"/>
      <x:c r="R135" s="24"/>
      <x:c r="S135" s="24"/>
      <x:c r="T135" s="24"/>
      <x:c r="U135" s="24"/>
      <x:c r="V135" s="24"/>
      <x:c r="W135" s="24"/>
      <x:c r="X135" s="24"/>
      <x:c r="Y135" s="24"/>
      <x:c r="Z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  <x:c r="K136" s="24"/>
      <x:c r="L136" s="24"/>
      <x:c r="M136" s="24"/>
      <x:c r="N136" s="24"/>
      <x:c r="O136" s="24"/>
      <x:c r="P136" s="24"/>
      <x:c r="Q136" s="24"/>
      <x:c r="R136" s="24"/>
      <x:c r="S136" s="24"/>
      <x:c r="T136" s="24"/>
      <x:c r="U136" s="24"/>
      <x:c r="V136" s="24"/>
      <x:c r="W136" s="24"/>
      <x:c r="X136" s="24"/>
      <x:c r="Y136" s="24"/>
      <x:c r="Z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  <x:c r="L137" s="24"/>
      <x:c r="M137" s="24"/>
      <x:c r="N137" s="24"/>
      <x:c r="O137" s="24"/>
      <x:c r="P137" s="24"/>
      <x:c r="Q137" s="24"/>
      <x:c r="R137" s="24"/>
      <x:c r="S137" s="24"/>
      <x:c r="T137" s="24"/>
      <x:c r="U137" s="24"/>
      <x:c r="V137" s="24"/>
      <x:c r="W137" s="24"/>
      <x:c r="X137" s="24"/>
      <x:c r="Y137" s="24"/>
      <x:c r="Z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  <x:c r="K138" s="24"/>
      <x:c r="L138" s="24"/>
      <x:c r="M138" s="24"/>
      <x:c r="N138" s="24"/>
      <x:c r="O138" s="24"/>
      <x:c r="P138" s="24"/>
      <x:c r="Q138" s="24"/>
      <x:c r="R138" s="24"/>
      <x:c r="S138" s="24"/>
      <x:c r="T138" s="24"/>
      <x:c r="U138" s="24"/>
      <x:c r="V138" s="24"/>
      <x:c r="W138" s="24"/>
      <x:c r="X138" s="24"/>
      <x:c r="Y138" s="24"/>
      <x:c r="Z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  <x:c r="K139" s="24"/>
      <x:c r="L139" s="24"/>
      <x:c r="M139" s="24"/>
      <x:c r="N139" s="24"/>
      <x:c r="O139" s="24"/>
      <x:c r="P139" s="24"/>
      <x:c r="Q139" s="24"/>
      <x:c r="R139" s="24"/>
      <x:c r="S139" s="24"/>
      <x:c r="T139" s="24"/>
      <x:c r="U139" s="24"/>
      <x:c r="V139" s="24"/>
      <x:c r="W139" s="24"/>
      <x:c r="X139" s="24"/>
      <x:c r="Y139" s="24"/>
      <x:c r="Z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  <x:c r="K140" s="24"/>
      <x:c r="L140" s="24"/>
      <x:c r="M140" s="24"/>
      <x:c r="N140" s="24"/>
      <x:c r="O140" s="24"/>
      <x:c r="P140" s="24"/>
      <x:c r="Q140" s="24"/>
      <x:c r="R140" s="24"/>
      <x:c r="S140" s="24"/>
      <x:c r="T140" s="24"/>
      <x:c r="U140" s="24"/>
      <x:c r="V140" s="24"/>
      <x:c r="W140" s="24"/>
      <x:c r="X140" s="24"/>
      <x:c r="Y140" s="24"/>
      <x:c r="Z140" s="24"/>
    </x:row>
    <x:row r="141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  <x:c r="K141" s="24"/>
      <x:c r="L141" s="24"/>
      <x:c r="M141" s="24"/>
      <x:c r="N141" s="24"/>
      <x:c r="O141" s="24"/>
      <x:c r="P141" s="24"/>
      <x:c r="Q141" s="24"/>
      <x:c r="R141" s="24"/>
      <x:c r="S141" s="24"/>
      <x:c r="T141" s="24"/>
      <x:c r="U141" s="24"/>
      <x:c r="V141" s="24"/>
      <x:c r="W141" s="24"/>
      <x:c r="X141" s="24"/>
      <x:c r="Y141" s="24"/>
      <x:c r="Z141" s="24"/>
    </x:row>
    <x:row r="142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  <x:c r="K142" s="24"/>
      <x:c r="L142" s="24"/>
      <x:c r="M142" s="24"/>
      <x:c r="N142" s="24"/>
      <x:c r="O142" s="24"/>
      <x:c r="P142" s="24"/>
      <x:c r="Q142" s="24"/>
      <x:c r="R142" s="24"/>
      <x:c r="S142" s="24"/>
      <x:c r="T142" s="24"/>
      <x:c r="U142" s="24"/>
      <x:c r="V142" s="24"/>
      <x:c r="W142" s="24"/>
      <x:c r="X142" s="24"/>
      <x:c r="Y142" s="24"/>
      <x:c r="Z142" s="24"/>
    </x:row>
    <x:row r="143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  <x:c r="K143" s="24"/>
      <x:c r="L143" s="24"/>
      <x:c r="M143" s="24"/>
      <x:c r="N143" s="24"/>
      <x:c r="O143" s="24"/>
      <x:c r="P143" s="24"/>
      <x:c r="Q143" s="24"/>
      <x:c r="R143" s="24"/>
      <x:c r="S143" s="24"/>
      <x:c r="T143" s="24"/>
      <x:c r="U143" s="24"/>
      <x:c r="V143" s="24"/>
      <x:c r="W143" s="24"/>
      <x:c r="X143" s="24"/>
      <x:c r="Y143" s="24"/>
      <x:c r="Z143" s="24"/>
    </x:row>
    <x:row r="144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  <x:c r="K144" s="24"/>
      <x:c r="L144" s="24"/>
      <x:c r="M144" s="24"/>
      <x:c r="N144" s="24"/>
      <x:c r="O144" s="24"/>
      <x:c r="P144" s="24"/>
      <x:c r="Q144" s="24"/>
      <x:c r="R144" s="24"/>
      <x:c r="S144" s="24"/>
      <x:c r="T144" s="24"/>
      <x:c r="U144" s="24"/>
      <x:c r="V144" s="24"/>
      <x:c r="W144" s="24"/>
      <x:c r="X144" s="24"/>
      <x:c r="Y144" s="24"/>
      <x:c r="Z144" s="24"/>
    </x:row>
    <x:row r="145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  <x:c r="K145" s="24"/>
      <x:c r="L145" s="24"/>
      <x:c r="M145" s="24"/>
      <x:c r="N145" s="24"/>
      <x:c r="O145" s="24"/>
      <x:c r="P145" s="24"/>
      <x:c r="Q145" s="24"/>
      <x:c r="R145" s="24"/>
      <x:c r="S145" s="24"/>
      <x:c r="T145" s="24"/>
      <x:c r="U145" s="24"/>
      <x:c r="V145" s="24"/>
      <x:c r="W145" s="24"/>
      <x:c r="X145" s="24"/>
      <x:c r="Y145" s="24"/>
      <x:c r="Z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  <x:c r="K146" s="24"/>
      <x:c r="L146" s="24"/>
      <x:c r="M146" s="24"/>
      <x:c r="N146" s="24"/>
      <x:c r="O146" s="24"/>
      <x:c r="P146" s="24"/>
      <x:c r="Q146" s="24"/>
      <x:c r="R146" s="24"/>
      <x:c r="S146" s="24"/>
      <x:c r="T146" s="24"/>
      <x:c r="U146" s="24"/>
      <x:c r="V146" s="24"/>
      <x:c r="W146" s="24"/>
      <x:c r="X146" s="24"/>
      <x:c r="Y146" s="24"/>
      <x:c r="Z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  <x:c r="K147" s="24"/>
      <x:c r="L147" s="24"/>
      <x:c r="M147" s="24"/>
      <x:c r="N147" s="24"/>
      <x:c r="O147" s="24"/>
      <x:c r="P147" s="24"/>
      <x:c r="Q147" s="24"/>
      <x:c r="R147" s="24"/>
      <x:c r="S147" s="24"/>
      <x:c r="T147" s="24"/>
      <x:c r="U147" s="24"/>
      <x:c r="V147" s="24"/>
      <x:c r="W147" s="24"/>
      <x:c r="X147" s="24"/>
      <x:c r="Y147" s="24"/>
      <x:c r="Z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  <x:c r="K148" s="24"/>
      <x:c r="L148" s="24"/>
      <x:c r="M148" s="24"/>
      <x:c r="N148" s="24"/>
      <x:c r="O148" s="24"/>
      <x:c r="P148" s="24"/>
      <x:c r="Q148" s="24"/>
      <x:c r="R148" s="24"/>
      <x:c r="S148" s="24"/>
      <x:c r="T148" s="24"/>
      <x:c r="U148" s="24"/>
      <x:c r="V148" s="24"/>
      <x:c r="W148" s="24"/>
      <x:c r="X148" s="24"/>
      <x:c r="Y148" s="24"/>
      <x:c r="Z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  <x:c r="K149" s="24"/>
      <x:c r="L149" s="24"/>
      <x:c r="M149" s="24"/>
      <x:c r="N149" s="24"/>
      <x:c r="O149" s="24"/>
      <x:c r="P149" s="24"/>
      <x:c r="Q149" s="24"/>
      <x:c r="R149" s="24"/>
      <x:c r="S149" s="24"/>
      <x:c r="T149" s="24"/>
      <x:c r="U149" s="24"/>
      <x:c r="V149" s="24"/>
      <x:c r="W149" s="24"/>
      <x:c r="X149" s="24"/>
      <x:c r="Y149" s="24"/>
      <x:c r="Z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  <x:c r="L150" s="24"/>
      <x:c r="M150" s="24"/>
      <x:c r="N150" s="24"/>
      <x:c r="O150" s="24"/>
      <x:c r="P150" s="24"/>
      <x:c r="Q150" s="24"/>
      <x:c r="R150" s="24"/>
      <x:c r="S150" s="24"/>
      <x:c r="T150" s="24"/>
      <x:c r="U150" s="24"/>
      <x:c r="V150" s="24"/>
      <x:c r="W150" s="24"/>
      <x:c r="X150" s="24"/>
      <x:c r="Y150" s="24"/>
      <x:c r="Z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  <x:c r="K151" s="24"/>
      <x:c r="L151" s="24"/>
      <x:c r="M151" s="24"/>
      <x:c r="N151" s="24"/>
      <x:c r="O151" s="24"/>
      <x:c r="P151" s="24"/>
      <x:c r="Q151" s="24"/>
      <x:c r="R151" s="24"/>
      <x:c r="S151" s="24"/>
      <x:c r="T151" s="24"/>
      <x:c r="U151" s="24"/>
      <x:c r="V151" s="24"/>
      <x:c r="W151" s="24"/>
      <x:c r="X151" s="24"/>
      <x:c r="Y151" s="24"/>
      <x:c r="Z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  <x:c r="K152" s="24"/>
      <x:c r="L152" s="24"/>
      <x:c r="M152" s="24"/>
      <x:c r="N152" s="24"/>
      <x:c r="O152" s="24"/>
      <x:c r="P152" s="24"/>
      <x:c r="Q152" s="24"/>
      <x:c r="R152" s="24"/>
      <x:c r="S152" s="24"/>
      <x:c r="T152" s="24"/>
      <x:c r="U152" s="24"/>
      <x:c r="V152" s="24"/>
      <x:c r="W152" s="24"/>
      <x:c r="X152" s="24"/>
      <x:c r="Y152" s="24"/>
      <x:c r="Z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  <x:c r="K153" s="24"/>
      <x:c r="L153" s="24"/>
      <x:c r="M153" s="24"/>
      <x:c r="N153" s="24"/>
      <x:c r="O153" s="24"/>
      <x:c r="P153" s="24"/>
      <x:c r="Q153" s="24"/>
      <x:c r="R153" s="24"/>
      <x:c r="S153" s="24"/>
      <x:c r="T153" s="24"/>
      <x:c r="U153" s="24"/>
      <x:c r="V153" s="24"/>
      <x:c r="W153" s="24"/>
      <x:c r="X153" s="24"/>
      <x:c r="Y153" s="24"/>
      <x:c r="Z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  <x:c r="K154" s="24"/>
      <x:c r="L154" s="24"/>
      <x:c r="M154" s="24"/>
      <x:c r="N154" s="24"/>
      <x:c r="O154" s="24"/>
      <x:c r="P154" s="24"/>
      <x:c r="Q154" s="24"/>
      <x:c r="R154" s="24"/>
      <x:c r="S154" s="24"/>
      <x:c r="T154" s="24"/>
      <x:c r="U154" s="24"/>
      <x:c r="V154" s="24"/>
      <x:c r="W154" s="24"/>
      <x:c r="X154" s="24"/>
      <x:c r="Y154" s="24"/>
      <x:c r="Z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  <x:c r="K155" s="24"/>
      <x:c r="L155" s="24"/>
      <x:c r="M155" s="24"/>
      <x:c r="N155" s="24"/>
      <x:c r="O155" s="24"/>
      <x:c r="P155" s="24"/>
      <x:c r="Q155" s="24"/>
      <x:c r="R155" s="24"/>
      <x:c r="S155" s="24"/>
      <x:c r="T155" s="24"/>
      <x:c r="U155" s="24"/>
      <x:c r="V155" s="24"/>
      <x:c r="W155" s="24"/>
      <x:c r="X155" s="24"/>
      <x:c r="Y155" s="24"/>
      <x:c r="Z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  <x:c r="K156" s="24"/>
      <x:c r="L156" s="24"/>
      <x:c r="M156" s="24"/>
      <x:c r="N156" s="24"/>
      <x:c r="O156" s="24"/>
      <x:c r="P156" s="24"/>
      <x:c r="Q156" s="24"/>
      <x:c r="R156" s="24"/>
      <x:c r="S156" s="24"/>
      <x:c r="T156" s="24"/>
      <x:c r="U156" s="24"/>
      <x:c r="V156" s="24"/>
      <x:c r="W156" s="24"/>
      <x:c r="X156" s="24"/>
      <x:c r="Y156" s="24"/>
      <x:c r="Z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  <x:c r="K157" s="24"/>
      <x:c r="L157" s="24"/>
      <x:c r="M157" s="24"/>
      <x:c r="N157" s="24"/>
      <x:c r="O157" s="24"/>
      <x:c r="P157" s="24"/>
      <x:c r="Q157" s="24"/>
      <x:c r="R157" s="24"/>
      <x:c r="S157" s="24"/>
      <x:c r="T157" s="24"/>
      <x:c r="U157" s="24"/>
      <x:c r="V157" s="24"/>
      <x:c r="W157" s="24"/>
      <x:c r="X157" s="24"/>
      <x:c r="Y157" s="24"/>
      <x:c r="Z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  <x:c r="K158" s="24"/>
      <x:c r="L158" s="24"/>
      <x:c r="M158" s="24"/>
      <x:c r="N158" s="24"/>
      <x:c r="O158" s="24"/>
      <x:c r="P158" s="24"/>
      <x:c r="Q158" s="24"/>
      <x:c r="R158" s="24"/>
      <x:c r="S158" s="24"/>
      <x:c r="T158" s="24"/>
      <x:c r="U158" s="24"/>
      <x:c r="V158" s="24"/>
      <x:c r="W158" s="24"/>
      <x:c r="X158" s="24"/>
      <x:c r="Y158" s="24"/>
      <x:c r="Z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  <x:c r="K159" s="24"/>
      <x:c r="L159" s="24"/>
      <x:c r="M159" s="24"/>
      <x:c r="N159" s="24"/>
      <x:c r="O159" s="24"/>
      <x:c r="P159" s="24"/>
      <x:c r="Q159" s="24"/>
      <x:c r="R159" s="24"/>
      <x:c r="S159" s="24"/>
      <x:c r="T159" s="24"/>
      <x:c r="U159" s="24"/>
      <x:c r="V159" s="24"/>
      <x:c r="W159" s="24"/>
      <x:c r="X159" s="24"/>
      <x:c r="Y159" s="24"/>
      <x:c r="Z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  <x:c r="K160" s="24"/>
      <x:c r="L160" s="24"/>
      <x:c r="M160" s="24"/>
      <x:c r="N160" s="24"/>
      <x:c r="O160" s="24"/>
      <x:c r="P160" s="24"/>
      <x:c r="Q160" s="24"/>
      <x:c r="R160" s="24"/>
      <x:c r="S160" s="24"/>
      <x:c r="T160" s="24"/>
      <x:c r="U160" s="24"/>
      <x:c r="V160" s="24"/>
      <x:c r="W160" s="24"/>
      <x:c r="X160" s="24"/>
      <x:c r="Y160" s="24"/>
      <x:c r="Z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  <x:c r="K161" s="24"/>
      <x:c r="L161" s="24"/>
      <x:c r="M161" s="24"/>
      <x:c r="N161" s="24"/>
      <x:c r="O161" s="24"/>
      <x:c r="P161" s="24"/>
      <x:c r="Q161" s="24"/>
      <x:c r="R161" s="24"/>
      <x:c r="S161" s="24"/>
      <x:c r="T161" s="24"/>
      <x:c r="U161" s="24"/>
      <x:c r="V161" s="24"/>
      <x:c r="W161" s="24"/>
      <x:c r="X161" s="24"/>
      <x:c r="Y161" s="24"/>
      <x:c r="Z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  <x:c r="K162" s="24"/>
      <x:c r="L162" s="24"/>
      <x:c r="M162" s="24"/>
      <x:c r="N162" s="24"/>
      <x:c r="O162" s="24"/>
      <x:c r="P162" s="24"/>
      <x:c r="Q162" s="24"/>
      <x:c r="R162" s="24"/>
      <x:c r="S162" s="24"/>
      <x:c r="T162" s="24"/>
      <x:c r="U162" s="24"/>
      <x:c r="V162" s="24"/>
      <x:c r="W162" s="24"/>
      <x:c r="X162" s="24"/>
      <x:c r="Y162" s="24"/>
      <x:c r="Z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  <x:c r="K163" s="24"/>
      <x:c r="L163" s="24"/>
      <x:c r="M163" s="24"/>
      <x:c r="N163" s="24"/>
      <x:c r="O163" s="24"/>
      <x:c r="P163" s="24"/>
      <x:c r="Q163" s="24"/>
      <x:c r="R163" s="24"/>
      <x:c r="S163" s="24"/>
      <x:c r="T163" s="24"/>
      <x:c r="U163" s="24"/>
      <x:c r="V163" s="24"/>
      <x:c r="W163" s="24"/>
      <x:c r="X163" s="24"/>
      <x:c r="Y163" s="24"/>
      <x:c r="Z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  <x:c r="K164" s="24"/>
      <x:c r="L164" s="24"/>
      <x:c r="M164" s="24"/>
      <x:c r="N164" s="24"/>
      <x:c r="O164" s="24"/>
      <x:c r="P164" s="24"/>
      <x:c r="Q164" s="24"/>
      <x:c r="R164" s="24"/>
      <x:c r="S164" s="24"/>
      <x:c r="T164" s="24"/>
      <x:c r="U164" s="24"/>
      <x:c r="V164" s="24"/>
      <x:c r="W164" s="24"/>
      <x:c r="X164" s="24"/>
      <x:c r="Y164" s="24"/>
      <x:c r="Z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  <x:c r="K165" s="24"/>
      <x:c r="L165" s="24"/>
      <x:c r="M165" s="24"/>
      <x:c r="N165" s="24"/>
      <x:c r="O165" s="24"/>
      <x:c r="P165" s="24"/>
      <x:c r="Q165" s="24"/>
      <x:c r="R165" s="24"/>
      <x:c r="S165" s="24"/>
      <x:c r="T165" s="24"/>
      <x:c r="U165" s="24"/>
      <x:c r="V165" s="24"/>
      <x:c r="W165" s="24"/>
      <x:c r="X165" s="24"/>
      <x:c r="Y165" s="24"/>
      <x:c r="Z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  <x:c r="K166" s="24"/>
      <x:c r="L166" s="24"/>
      <x:c r="M166" s="24"/>
      <x:c r="N166" s="24"/>
      <x:c r="O166" s="24"/>
      <x:c r="P166" s="24"/>
      <x:c r="Q166" s="24"/>
      <x:c r="R166" s="24"/>
      <x:c r="S166" s="24"/>
      <x:c r="T166" s="24"/>
      <x:c r="U166" s="24"/>
      <x:c r="V166" s="24"/>
      <x:c r="W166" s="24"/>
      <x:c r="X166" s="24"/>
      <x:c r="Y166" s="24"/>
      <x:c r="Z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  <x:c r="K167" s="24"/>
      <x:c r="L167" s="24"/>
      <x:c r="M167" s="24"/>
      <x:c r="N167" s="24"/>
      <x:c r="O167" s="24"/>
      <x:c r="P167" s="24"/>
      <x:c r="Q167" s="24"/>
      <x:c r="R167" s="24"/>
      <x:c r="S167" s="24"/>
      <x:c r="T167" s="24"/>
      <x:c r="U167" s="24"/>
      <x:c r="V167" s="24"/>
      <x:c r="W167" s="24"/>
      <x:c r="X167" s="24"/>
      <x:c r="Y167" s="24"/>
      <x:c r="Z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  <x:c r="K168" s="24"/>
      <x:c r="L168" s="24"/>
      <x:c r="M168" s="24"/>
      <x:c r="N168" s="24"/>
      <x:c r="O168" s="24"/>
      <x:c r="P168" s="24"/>
      <x:c r="Q168" s="24"/>
      <x:c r="R168" s="24"/>
      <x:c r="S168" s="24"/>
      <x:c r="T168" s="24"/>
      <x:c r="U168" s="24"/>
      <x:c r="V168" s="24"/>
      <x:c r="W168" s="24"/>
      <x:c r="X168" s="24"/>
      <x:c r="Y168" s="24"/>
      <x:c r="Z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  <x:c r="K169" s="24"/>
      <x:c r="L169" s="24"/>
      <x:c r="M169" s="24"/>
      <x:c r="N169" s="24"/>
      <x:c r="O169" s="24"/>
      <x:c r="P169" s="24"/>
      <x:c r="Q169" s="24"/>
      <x:c r="R169" s="24"/>
      <x:c r="S169" s="24"/>
      <x:c r="T169" s="24"/>
      <x:c r="U169" s="24"/>
      <x:c r="V169" s="24"/>
      <x:c r="W169" s="24"/>
      <x:c r="X169" s="24"/>
      <x:c r="Y169" s="24"/>
      <x:c r="Z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  <x:c r="K170" s="24"/>
      <x:c r="L170" s="24"/>
      <x:c r="M170" s="24"/>
      <x:c r="N170" s="24"/>
      <x:c r="O170" s="24"/>
      <x:c r="P170" s="24"/>
      <x:c r="Q170" s="24"/>
      <x:c r="R170" s="24"/>
      <x:c r="S170" s="24"/>
      <x:c r="T170" s="24"/>
      <x:c r="U170" s="24"/>
      <x:c r="V170" s="24"/>
      <x:c r="W170" s="24"/>
      <x:c r="X170" s="24"/>
      <x:c r="Y170" s="24"/>
      <x:c r="Z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  <x:c r="K171" s="24"/>
      <x:c r="L171" s="24"/>
      <x:c r="M171" s="24"/>
      <x:c r="N171" s="24"/>
      <x:c r="O171" s="24"/>
      <x:c r="P171" s="24"/>
      <x:c r="Q171" s="24"/>
      <x:c r="R171" s="24"/>
      <x:c r="S171" s="24"/>
      <x:c r="T171" s="24"/>
      <x:c r="U171" s="24"/>
      <x:c r="V171" s="24"/>
      <x:c r="W171" s="24"/>
      <x:c r="X171" s="24"/>
      <x:c r="Y171" s="24"/>
      <x:c r="Z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  <x:c r="K172" s="24"/>
      <x:c r="L172" s="24"/>
      <x:c r="M172" s="24"/>
      <x:c r="N172" s="24"/>
      <x:c r="O172" s="24"/>
      <x:c r="P172" s="24"/>
      <x:c r="Q172" s="24"/>
      <x:c r="R172" s="24"/>
      <x:c r="S172" s="24"/>
      <x:c r="T172" s="24"/>
      <x:c r="U172" s="24"/>
      <x:c r="V172" s="24"/>
      <x:c r="W172" s="24"/>
      <x:c r="X172" s="24"/>
      <x:c r="Y172" s="24"/>
      <x:c r="Z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  <x:c r="K173" s="24"/>
      <x:c r="L173" s="24"/>
      <x:c r="M173" s="24"/>
      <x:c r="N173" s="24"/>
      <x:c r="O173" s="24"/>
      <x:c r="P173" s="24"/>
      <x:c r="Q173" s="24"/>
      <x:c r="R173" s="24"/>
      <x:c r="S173" s="24"/>
      <x:c r="T173" s="24"/>
      <x:c r="U173" s="24"/>
      <x:c r="V173" s="24"/>
      <x:c r="W173" s="24"/>
      <x:c r="X173" s="24"/>
      <x:c r="Y173" s="24"/>
      <x:c r="Z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  <x:c r="K174" s="24"/>
      <x:c r="L174" s="24"/>
      <x:c r="M174" s="24"/>
      <x:c r="N174" s="24"/>
      <x:c r="O174" s="24"/>
      <x:c r="P174" s="24"/>
      <x:c r="Q174" s="24"/>
      <x:c r="R174" s="24"/>
      <x:c r="S174" s="24"/>
      <x:c r="T174" s="24"/>
      <x:c r="U174" s="24"/>
      <x:c r="V174" s="24"/>
      <x:c r="W174" s="24"/>
      <x:c r="X174" s="24"/>
      <x:c r="Y174" s="24"/>
      <x:c r="Z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  <x:c r="K175" s="24"/>
      <x:c r="L175" s="24"/>
      <x:c r="M175" s="24"/>
      <x:c r="N175" s="24"/>
      <x:c r="O175" s="24"/>
      <x:c r="P175" s="24"/>
      <x:c r="Q175" s="24"/>
      <x:c r="R175" s="24"/>
      <x:c r="S175" s="24"/>
      <x:c r="T175" s="24"/>
      <x:c r="U175" s="24"/>
      <x:c r="V175" s="24"/>
      <x:c r="W175" s="24"/>
      <x:c r="X175" s="24"/>
      <x:c r="Y175" s="24"/>
      <x:c r="Z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  <x:c r="K176" s="24"/>
      <x:c r="L176" s="24"/>
      <x:c r="M176" s="24"/>
      <x:c r="N176" s="24"/>
      <x:c r="O176" s="24"/>
      <x:c r="P176" s="24"/>
      <x:c r="Q176" s="24"/>
      <x:c r="R176" s="24"/>
      <x:c r="S176" s="24"/>
      <x:c r="T176" s="24"/>
      <x:c r="U176" s="24"/>
      <x:c r="V176" s="24"/>
      <x:c r="W176" s="24"/>
      <x:c r="X176" s="24"/>
      <x:c r="Y176" s="24"/>
      <x:c r="Z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  <x:c r="K177" s="24"/>
      <x:c r="L177" s="24"/>
      <x:c r="M177" s="24"/>
      <x:c r="N177" s="24"/>
      <x:c r="O177" s="24"/>
      <x:c r="P177" s="24"/>
      <x:c r="Q177" s="24"/>
      <x:c r="R177" s="24"/>
      <x:c r="S177" s="24"/>
      <x:c r="T177" s="24"/>
      <x:c r="U177" s="24"/>
      <x:c r="V177" s="24"/>
      <x:c r="W177" s="24"/>
      <x:c r="X177" s="24"/>
      <x:c r="Y177" s="24"/>
      <x:c r="Z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  <x:c r="K178" s="24"/>
      <x:c r="L178" s="24"/>
      <x:c r="M178" s="24"/>
      <x:c r="N178" s="24"/>
      <x:c r="O178" s="24"/>
      <x:c r="P178" s="24"/>
      <x:c r="Q178" s="24"/>
      <x:c r="R178" s="24"/>
      <x:c r="S178" s="24"/>
      <x:c r="T178" s="24"/>
      <x:c r="U178" s="24"/>
      <x:c r="V178" s="24"/>
      <x:c r="W178" s="24"/>
      <x:c r="X178" s="24"/>
      <x:c r="Y178" s="24"/>
      <x:c r="Z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  <x:c r="K179" s="24"/>
      <x:c r="L179" s="24"/>
      <x:c r="M179" s="24"/>
      <x:c r="N179" s="24"/>
      <x:c r="O179" s="24"/>
      <x:c r="P179" s="24"/>
      <x:c r="Q179" s="24"/>
      <x:c r="R179" s="24"/>
      <x:c r="S179" s="24"/>
      <x:c r="T179" s="24"/>
      <x:c r="U179" s="24"/>
      <x:c r="V179" s="24"/>
      <x:c r="W179" s="24"/>
      <x:c r="X179" s="24"/>
      <x:c r="Y179" s="24"/>
      <x:c r="Z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  <x:c r="K180" s="24"/>
      <x:c r="L180" s="24"/>
      <x:c r="M180" s="24"/>
      <x:c r="N180" s="24"/>
      <x:c r="O180" s="24"/>
      <x:c r="P180" s="24"/>
      <x:c r="Q180" s="24"/>
      <x:c r="R180" s="24"/>
      <x:c r="S180" s="24"/>
      <x:c r="T180" s="24"/>
      <x:c r="U180" s="24"/>
      <x:c r="V180" s="24"/>
      <x:c r="W180" s="24"/>
      <x:c r="X180" s="24"/>
      <x:c r="Y180" s="24"/>
      <x:c r="Z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  <x:c r="K181" s="24"/>
      <x:c r="L181" s="24"/>
      <x:c r="M181" s="24"/>
      <x:c r="N181" s="24"/>
      <x:c r="O181" s="24"/>
      <x:c r="P181" s="24"/>
      <x:c r="Q181" s="24"/>
      <x:c r="R181" s="24"/>
      <x:c r="S181" s="24"/>
      <x:c r="T181" s="24"/>
      <x:c r="U181" s="24"/>
      <x:c r="V181" s="24"/>
      <x:c r="W181" s="24"/>
      <x:c r="X181" s="24"/>
      <x:c r="Y181" s="24"/>
      <x:c r="Z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  <x:c r="K182" s="24"/>
      <x:c r="L182" s="24"/>
      <x:c r="M182" s="24"/>
      <x:c r="N182" s="24"/>
      <x:c r="O182" s="24"/>
      <x:c r="P182" s="24"/>
      <x:c r="Q182" s="24"/>
      <x:c r="R182" s="24"/>
      <x:c r="S182" s="24"/>
      <x:c r="T182" s="24"/>
      <x:c r="U182" s="24"/>
      <x:c r="V182" s="24"/>
      <x:c r="W182" s="24"/>
      <x:c r="X182" s="24"/>
      <x:c r="Y182" s="24"/>
      <x:c r="Z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  <x:c r="K183" s="24"/>
      <x:c r="L183" s="24"/>
      <x:c r="M183" s="24"/>
      <x:c r="N183" s="24"/>
      <x:c r="O183" s="24"/>
      <x:c r="P183" s="24"/>
      <x:c r="Q183" s="24"/>
      <x:c r="R183" s="24"/>
      <x:c r="S183" s="24"/>
      <x:c r="T183" s="24"/>
      <x:c r="U183" s="24"/>
      <x:c r="V183" s="24"/>
      <x:c r="W183" s="24"/>
      <x:c r="X183" s="24"/>
      <x:c r="Y183" s="24"/>
      <x:c r="Z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  <x:c r="K184" s="24"/>
      <x:c r="L184" s="24"/>
      <x:c r="M184" s="24"/>
      <x:c r="N184" s="24"/>
      <x:c r="O184" s="24"/>
      <x:c r="P184" s="24"/>
      <x:c r="Q184" s="24"/>
      <x:c r="R184" s="24"/>
      <x:c r="S184" s="24"/>
      <x:c r="T184" s="24"/>
      <x:c r="U184" s="24"/>
      <x:c r="V184" s="24"/>
      <x:c r="W184" s="24"/>
      <x:c r="X184" s="24"/>
      <x:c r="Y184" s="24"/>
      <x:c r="Z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  <x:c r="K185" s="24"/>
      <x:c r="L185" s="24"/>
      <x:c r="M185" s="24"/>
      <x:c r="N185" s="24"/>
      <x:c r="O185" s="24"/>
      <x:c r="P185" s="24"/>
      <x:c r="Q185" s="24"/>
      <x:c r="R185" s="24"/>
      <x:c r="S185" s="24"/>
      <x:c r="T185" s="24"/>
      <x:c r="U185" s="24"/>
      <x:c r="V185" s="24"/>
      <x:c r="W185" s="24"/>
      <x:c r="X185" s="24"/>
      <x:c r="Y185" s="24"/>
      <x:c r="Z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  <x:c r="K186" s="24"/>
      <x:c r="L186" s="24"/>
      <x:c r="M186" s="24"/>
      <x:c r="N186" s="24"/>
      <x:c r="O186" s="24"/>
      <x:c r="P186" s="24"/>
      <x:c r="Q186" s="24"/>
      <x:c r="R186" s="24"/>
      <x:c r="S186" s="24"/>
      <x:c r="T186" s="24"/>
      <x:c r="U186" s="24"/>
      <x:c r="V186" s="24"/>
      <x:c r="W186" s="24"/>
      <x:c r="X186" s="24"/>
      <x:c r="Y186" s="24"/>
      <x:c r="Z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  <x:c r="K187" s="24"/>
      <x:c r="L187" s="24"/>
      <x:c r="M187" s="24"/>
      <x:c r="N187" s="24"/>
      <x:c r="O187" s="24"/>
      <x:c r="P187" s="24"/>
      <x:c r="Q187" s="24"/>
      <x:c r="R187" s="24"/>
      <x:c r="S187" s="24"/>
      <x:c r="T187" s="24"/>
      <x:c r="U187" s="24"/>
      <x:c r="V187" s="24"/>
      <x:c r="W187" s="24"/>
      <x:c r="X187" s="24"/>
      <x:c r="Y187" s="24"/>
      <x:c r="Z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  <x:c r="K188" s="24"/>
      <x:c r="L188" s="24"/>
      <x:c r="M188" s="24"/>
      <x:c r="N188" s="24"/>
      <x:c r="O188" s="24"/>
      <x:c r="P188" s="24"/>
      <x:c r="Q188" s="24"/>
      <x:c r="R188" s="24"/>
      <x:c r="S188" s="24"/>
      <x:c r="T188" s="24"/>
      <x:c r="U188" s="24"/>
      <x:c r="V188" s="24"/>
      <x:c r="W188" s="24"/>
      <x:c r="X188" s="24"/>
      <x:c r="Y188" s="24"/>
      <x:c r="Z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  <x:c r="K189" s="24"/>
      <x:c r="L189" s="24"/>
      <x:c r="M189" s="24"/>
      <x:c r="N189" s="24"/>
      <x:c r="O189" s="24"/>
      <x:c r="P189" s="24"/>
      <x:c r="Q189" s="24"/>
      <x:c r="R189" s="24"/>
      <x:c r="S189" s="24"/>
      <x:c r="T189" s="24"/>
      <x:c r="U189" s="24"/>
      <x:c r="V189" s="24"/>
      <x:c r="W189" s="24"/>
      <x:c r="X189" s="24"/>
      <x:c r="Y189" s="24"/>
      <x:c r="Z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  <x:c r="K190" s="24"/>
      <x:c r="L190" s="24"/>
      <x:c r="M190" s="24"/>
      <x:c r="N190" s="24"/>
      <x:c r="O190" s="24"/>
      <x:c r="P190" s="24"/>
      <x:c r="Q190" s="24"/>
      <x:c r="R190" s="24"/>
      <x:c r="S190" s="24"/>
      <x:c r="T190" s="24"/>
      <x:c r="U190" s="24"/>
      <x:c r="V190" s="24"/>
      <x:c r="W190" s="24"/>
      <x:c r="X190" s="24"/>
      <x:c r="Y190" s="24"/>
      <x:c r="Z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  <x:c r="K191" s="24"/>
      <x:c r="L191" s="24"/>
      <x:c r="M191" s="24"/>
      <x:c r="N191" s="24"/>
      <x:c r="O191" s="24"/>
      <x:c r="P191" s="24"/>
      <x:c r="Q191" s="24"/>
      <x:c r="R191" s="24"/>
      <x:c r="S191" s="24"/>
      <x:c r="T191" s="24"/>
      <x:c r="U191" s="24"/>
      <x:c r="V191" s="24"/>
      <x:c r="W191" s="24"/>
      <x:c r="X191" s="24"/>
      <x:c r="Y191" s="24"/>
      <x:c r="Z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  <x:c r="K192" s="24"/>
      <x:c r="L192" s="24"/>
      <x:c r="M192" s="24"/>
      <x:c r="N192" s="24"/>
      <x:c r="O192" s="24"/>
      <x:c r="P192" s="24"/>
      <x:c r="Q192" s="24"/>
      <x:c r="R192" s="24"/>
      <x:c r="S192" s="24"/>
      <x:c r="T192" s="24"/>
      <x:c r="U192" s="24"/>
      <x:c r="V192" s="24"/>
      <x:c r="W192" s="24"/>
      <x:c r="X192" s="24"/>
      <x:c r="Y192" s="24"/>
      <x:c r="Z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  <x:c r="K193" s="24"/>
      <x:c r="L193" s="24"/>
      <x:c r="M193" s="24"/>
      <x:c r="N193" s="24"/>
      <x:c r="O193" s="24"/>
      <x:c r="P193" s="24"/>
      <x:c r="Q193" s="24"/>
      <x:c r="R193" s="24"/>
      <x:c r="S193" s="24"/>
      <x:c r="T193" s="24"/>
      <x:c r="U193" s="24"/>
      <x:c r="V193" s="24"/>
      <x:c r="W193" s="24"/>
      <x:c r="X193" s="24"/>
      <x:c r="Y193" s="24"/>
      <x:c r="Z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  <x:c r="K194" s="24"/>
      <x:c r="L194" s="24"/>
      <x:c r="M194" s="24"/>
      <x:c r="N194" s="24"/>
      <x:c r="O194" s="24"/>
      <x:c r="P194" s="24"/>
      <x:c r="Q194" s="24"/>
      <x:c r="R194" s="24"/>
      <x:c r="S194" s="24"/>
      <x:c r="T194" s="24"/>
      <x:c r="U194" s="24"/>
      <x:c r="V194" s="24"/>
      <x:c r="W194" s="24"/>
      <x:c r="X194" s="24"/>
      <x:c r="Y194" s="24"/>
      <x:c r="Z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  <x:c r="K195" s="24"/>
      <x:c r="L195" s="24"/>
      <x:c r="M195" s="24"/>
      <x:c r="N195" s="24"/>
      <x:c r="O195" s="24"/>
      <x:c r="P195" s="24"/>
      <x:c r="Q195" s="24"/>
      <x:c r="R195" s="24"/>
      <x:c r="S195" s="24"/>
      <x:c r="T195" s="24"/>
      <x:c r="U195" s="24"/>
      <x:c r="V195" s="24"/>
      <x:c r="W195" s="24"/>
      <x:c r="X195" s="24"/>
      <x:c r="Y195" s="24"/>
      <x:c r="Z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  <x:c r="K196" s="24"/>
      <x:c r="L196" s="24"/>
      <x:c r="M196" s="24"/>
      <x:c r="N196" s="24"/>
      <x:c r="O196" s="24"/>
      <x:c r="P196" s="24"/>
      <x:c r="Q196" s="24"/>
      <x:c r="R196" s="24"/>
      <x:c r="S196" s="24"/>
      <x:c r="T196" s="24"/>
      <x:c r="U196" s="24"/>
      <x:c r="V196" s="24"/>
      <x:c r="W196" s="24"/>
      <x:c r="X196" s="24"/>
      <x:c r="Y196" s="24"/>
      <x:c r="Z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  <x:c r="K197" s="24"/>
      <x:c r="L197" s="24"/>
      <x:c r="M197" s="24"/>
      <x:c r="N197" s="24"/>
      <x:c r="O197" s="24"/>
      <x:c r="P197" s="24"/>
      <x:c r="Q197" s="24"/>
      <x:c r="R197" s="24"/>
      <x:c r="S197" s="24"/>
      <x:c r="T197" s="24"/>
      <x:c r="U197" s="24"/>
      <x:c r="V197" s="24"/>
      <x:c r="W197" s="24"/>
      <x:c r="X197" s="24"/>
      <x:c r="Y197" s="24"/>
      <x:c r="Z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  <x:c r="K198" s="24"/>
      <x:c r="L198" s="24"/>
      <x:c r="M198" s="24"/>
      <x:c r="N198" s="24"/>
      <x:c r="O198" s="24"/>
      <x:c r="P198" s="24"/>
      <x:c r="Q198" s="24"/>
      <x:c r="R198" s="24"/>
      <x:c r="S198" s="24"/>
      <x:c r="T198" s="24"/>
      <x:c r="U198" s="24"/>
      <x:c r="V198" s="24"/>
      <x:c r="W198" s="24"/>
      <x:c r="X198" s="24"/>
      <x:c r="Y198" s="24"/>
      <x:c r="Z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  <x:c r="K199" s="24"/>
      <x:c r="L199" s="24"/>
      <x:c r="M199" s="24"/>
      <x:c r="N199" s="24"/>
      <x:c r="O199" s="24"/>
      <x:c r="P199" s="24"/>
      <x:c r="Q199" s="24"/>
      <x:c r="R199" s="24"/>
      <x:c r="S199" s="24"/>
      <x:c r="T199" s="24"/>
      <x:c r="U199" s="24"/>
      <x:c r="V199" s="24"/>
      <x:c r="W199" s="24"/>
      <x:c r="X199" s="24"/>
      <x:c r="Y199" s="24"/>
      <x:c r="Z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  <x:c r="K200" s="24"/>
      <x:c r="L200" s="24"/>
      <x:c r="M200" s="24"/>
      <x:c r="N200" s="24"/>
      <x:c r="O200" s="24"/>
      <x:c r="P200" s="24"/>
      <x:c r="Q200" s="24"/>
      <x:c r="R200" s="24"/>
      <x:c r="S200" s="24"/>
      <x:c r="T200" s="24"/>
      <x:c r="U200" s="24"/>
      <x:c r="V200" s="24"/>
      <x:c r="W200" s="24"/>
      <x:c r="X200" s="24"/>
      <x:c r="Y200" s="24"/>
      <x:c r="Z200" s="24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8" hidden="0" customWidth="1"/>
    <x:col min="2" max="2" width="14" hidden="0" customWidth="1"/>
    <x:col min="3" max="3" width="4" hidden="0" customWidth="1"/>
    <x:col min="4" max="4" width="20" hidden="0" customWidth="1"/>
    <x:col min="5" max="5" width="14" hidden="0" customWidth="1"/>
    <x:col min="6" max="6" width="4" hidden="0" customWidth="1"/>
    <x:col min="7" max="7" width="12" hidden="0" customWidth="1"/>
    <x:col min="8" max="8" width="16" hidden="0" customWidth="1"/>
    <x:col min="9" max="9" width="34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>
      <x:c r="A1" s="22" t="str">
        <x:v>LYNDE, CHEERFUL TORMENTOR — V2.1 BALANCED CURSES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>
      <x:c r="A2" s="76" t="str">
        <x:v>Grixis Curses • Politics / Punisher • Enchantment Engine • Projected, not playtested</x:v>
      </x:c>
      <x:c r="B2" s="76"/>
      <x:c r="C2" s="76"/>
      <x:c r="D2" s="76"/>
      <x:c r="E2" s="76"/>
      <x:c r="F2" s="76"/>
      <x:c r="G2" s="76"/>
      <x:c r="H2" s="76"/>
      <x:c r="I2" s="76"/>
      <x:c r="J2" s="76"/>
      <x:c r="K2" s="76"/>
      <x:c r="L2" s="76"/>
      <x:c r="M2" s="76"/>
      <x:c r="N2" s="76"/>
      <x:c r="O2" s="24"/>
      <x:c r="P2" s="24"/>
      <x:c r="Q2" s="24"/>
      <x:c r="R2" s="24"/>
      <x:c r="S2" s="24"/>
      <x:c r="T2" s="24"/>
      <x:c r="U2" s="24"/>
      <x:c r="V2" s="24"/>
      <x:c r="W2" s="24"/>
      <x:c r="X2" s="24"/>
      <x:c r="Y2" s="24"/>
      <x:c r="Z2" s="24"/>
    </x:row>
    <x:row r="3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  <x:c r="Q3" s="24"/>
      <x:c r="R3" s="24"/>
      <x:c r="S3" s="24"/>
      <x:c r="T3" s="24"/>
      <x:c r="U3" s="24"/>
      <x:c r="V3" s="24"/>
      <x:c r="W3" s="24"/>
      <x:c r="X3" s="24"/>
      <x:c r="Y3" s="24"/>
      <x:c r="Z3" s="24"/>
    </x:row>
    <x:row r="4">
      <x:c r="A4" s="77" t="str">
        <x:v>Current Score</x:v>
      </x:c>
      <x:c r="B4" s="78" t="n">
        <x:v>7.7</x:v>
      </x:c>
      <x:c r="C4" s="24"/>
      <x:c r="D4" s="77" t="str">
        <x:v>Projected V2.0</x:v>
      </x:c>
      <x:c r="E4" s="78" t="n">
        <x:v>8.6</x:v>
      </x:c>
      <x:c r="F4" s="24"/>
      <x:c r="G4" s="77" t="str">
        <x:v>Projected V2.1</x:v>
      </x:c>
      <x:c r="H4" s="78" t="n">
        <x:v>8.9</x:v>
      </x:c>
      <x:c r="I4" s="24"/>
      <x:c r="J4" s="77" t="str">
        <x:v>Commander</x:v>
      </x:c>
      <x:c r="K4" s="79" t="n">
        <x:v>1</x:v>
      </x:c>
      <x:c r="L4" s="24"/>
      <x:c r="M4" s="24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4"/>
      <x:c r="Z4" s="24"/>
    </x:row>
    <x:row r="5">
      <x:c r="A5" s="24"/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  <x:c r="N5" s="24"/>
      <x:c r="O5" s="24"/>
      <x:c r="P5" s="24"/>
      <x:c r="Q5" s="24"/>
      <x:c r="R5" s="24"/>
      <x:c r="S5" s="24"/>
      <x:c r="T5" s="24"/>
      <x:c r="U5" s="24"/>
      <x:c r="V5" s="24"/>
      <x:c r="W5" s="24"/>
      <x:c r="X5" s="24"/>
      <x:c r="Y5" s="24"/>
      <x:c r="Z5" s="24"/>
    </x:row>
    <x:row r="6">
      <x:c r="A6" s="24"/>
      <x:c r="B6" s="24"/>
      <x:c r="C6" s="24"/>
      <x:c r="D6" s="24"/>
      <x:c r="E6" s="24"/>
      <x:c r="F6" s="24"/>
      <x:c r="G6" s="24"/>
      <x:c r="H6" s="24"/>
      <x:c r="I6" s="24"/>
      <x:c r="J6" s="24"/>
      <x:c r="K6" s="24"/>
      <x:c r="L6" s="24"/>
      <x:c r="M6" s="24"/>
      <x:c r="N6" s="24"/>
      <x:c r="O6" s="24"/>
      <x:c r="P6" s="24"/>
      <x:c r="Q6" s="24"/>
      <x:c r="R6" s="24"/>
      <x:c r="S6" s="24"/>
      <x:c r="T6" s="24"/>
      <x:c r="U6" s="24"/>
      <x:c r="V6" s="24"/>
      <x:c r="W6" s="24"/>
      <x:c r="X6" s="24"/>
      <x:c r="Y6" s="24"/>
      <x:c r="Z6" s="24"/>
    </x:row>
    <x:row r="7">
      <x:c r="A7" s="77" t="str">
        <x:v>Maindeck</x:v>
      </x:c>
      <x:c r="B7" s="79" t="n">
        <x:v>99</x:v>
      </x:c>
      <x:c r="C7" s="24"/>
      <x:c r="D7" s="77" t="str">
        <x:v>Physical Lands</x:v>
      </x:c>
      <x:c r="E7" s="79" t="n">
        <x:f>SUMIF('02_Card Matrix'!$Q$3:$Q$97,1,'02_Card Matrix'!$B$3:$B$97)-SUMIF('02_Card Matrix'!$R$3:$R$97,1,'02_Card Matrix'!$B$3:$B$97)</x:f>
        <x:v>31</x:v>
      </x:c>
      <x:c r="F7" s="24"/>
      <x:c r="G7" s="77" t="str">
        <x:v>MDFCs</x:v>
      </x:c>
      <x:c r="H7" s="79" t="n">
        <x:f>SUMIF('02_Card Matrix'!$R$3:$R$97,1,'02_Card Matrix'!$B$3:$B$97)</x:f>
        <x:v>3</x:v>
      </x:c>
      <x:c r="I7" s="24"/>
      <x:c r="J7" s="77" t="str">
        <x:v>Land-functional</x:v>
      </x:c>
      <x:c r="K7" s="79" t="n">
        <x:f>SUMIF('02_Card Matrix'!$Q$3:$Q$97,1,'02_Card Matrix'!$B$3:$B$97)</x:f>
        <x:v>34</x:v>
      </x:c>
      <x:c r="L7" s="24"/>
      <x:c r="M7" s="24"/>
      <x:c r="N7" s="24"/>
      <x:c r="O7" s="24"/>
      <x:c r="P7" s="24"/>
      <x:c r="Q7" s="24"/>
      <x:c r="R7" s="24"/>
      <x:c r="S7" s="24"/>
      <x:c r="T7" s="24"/>
      <x:c r="U7" s="24"/>
      <x:c r="V7" s="24"/>
      <x:c r="W7" s="24"/>
      <x:c r="X7" s="24"/>
      <x:c r="Y7" s="24"/>
      <x:c r="Z7" s="24"/>
    </x:row>
    <x:row r="8">
      <x:c r="A8" s="24"/>
      <x:c r="B8" s="24"/>
      <x:c r="C8" s="24"/>
      <x:c r="D8" s="24"/>
      <x:c r="E8" s="24"/>
      <x:c r="F8" s="24"/>
      <x:c r="G8" s="24"/>
      <x:c r="H8" s="24"/>
      <x:c r="I8" s="24"/>
      <x:c r="J8" s="24"/>
      <x:c r="K8" s="24"/>
      <x:c r="L8" s="24"/>
      <x:c r="M8" s="24"/>
      <x:c r="N8" s="24"/>
      <x:c r="O8" s="24"/>
      <x:c r="P8" s="24"/>
      <x:c r="Q8" s="24"/>
      <x:c r="R8" s="24"/>
      <x:c r="S8" s="24"/>
      <x:c r="T8" s="24"/>
      <x:c r="U8" s="24"/>
      <x:c r="V8" s="24"/>
      <x:c r="W8" s="24"/>
      <x:c r="X8" s="24"/>
      <x:c r="Y8" s="24"/>
      <x:c r="Z8" s="24"/>
    </x:row>
    <x:row r="9">
      <x:c r="A9" s="24"/>
      <x:c r="B9" s="24"/>
      <x:c r="C9" s="24"/>
      <x:c r="D9" s="24"/>
      <x:c r="E9" s="24"/>
      <x:c r="F9" s="24"/>
      <x:c r="G9" s="24"/>
      <x:c r="H9" s="24"/>
      <x:c r="I9" s="24"/>
      <x:c r="J9" s="24"/>
      <x:c r="K9" s="24"/>
      <x:c r="L9" s="24"/>
      <x:c r="M9" s="24"/>
      <x:c r="N9" s="24"/>
      <x:c r="O9" s="24"/>
      <x:c r="P9" s="24"/>
      <x:c r="Q9" s="24"/>
      <x:c r="R9" s="24"/>
      <x:c r="S9" s="24"/>
      <x:c r="T9" s="24"/>
      <x:c r="U9" s="24"/>
      <x:c r="V9" s="24"/>
      <x:c r="W9" s="24"/>
      <x:c r="X9" s="24"/>
      <x:c r="Y9" s="24"/>
      <x:c r="Z9" s="24"/>
    </x:row>
    <x:row r="10">
      <x:c r="A10" s="77" t="str">
        <x:v>Curses (total)</x:v>
      </x:c>
      <x:c r="B10" s="79" t="n">
        <x:f>SUMIF('02_Card Matrix'!$O$3:$O$97,1,'02_Card Matrix'!$B$3:$B$97)</x:f>
        <x:v>23</x:v>
      </x:c>
      <x:c r="C10" s="24"/>
      <x:c r="D10" s="77" t="str">
        <x:v>Creatures incl. Cmdr</x:v>
      </x:c>
      <x:c r="E10" s="79" t="n">
        <x:f>SUMIF('02_Card Matrix'!$P$3:$P$97,1,'02_Card Matrix'!$B$3:$B$97)</x:f>
        <x:v>15</x:v>
      </x:c>
      <x:c r="F10" s="24"/>
      <x:c r="G10" s="77" t="str">
        <x:v>Avg MV (nonlands)</x:v>
      </x:c>
      <x:c r="H10" s="80" t="n">
        <x:f>SUMPRODUCT('02_Card Matrix'!$B$3:$B$97,'02_Card Matrix'!$D$3:$D$97,'02_Card Matrix'!$S$3:$S$97)/SUMPRODUCT('02_Card Matrix'!$B$3:$B$97,'02_Card Matrix'!$S$3:$S$97)</x:f>
        <x:v>3.4927536231884058</x:v>
      </x:c>
      <x:c r="I10" s="24"/>
      <x:c r="J10" s="77" t="str">
        <x:v>Ramp / Mana Slots</x:v>
      </x:c>
      <x:c r="K10" s="79" t="n">
        <x:f>SUMIF('02_Card Matrix'!$E$3:$E$97,"1. Ramp / Mana",'02_Card Matrix'!$B$3:$B$97)</x:f>
        <x:v>38</x:v>
      </x:c>
      <x:c r="L10" s="24"/>
      <x:c r="M10" s="24"/>
      <x:c r="N10" s="24"/>
      <x:c r="O10" s="24"/>
      <x:c r="P10" s="24"/>
      <x:c r="Q10" s="24"/>
      <x:c r="R10" s="24"/>
      <x:c r="S10" s="24"/>
      <x:c r="T10" s="24"/>
      <x:c r="U10" s="24"/>
      <x:c r="V10" s="24"/>
      <x:c r="W10" s="24"/>
      <x:c r="X10" s="24"/>
      <x:c r="Y10" s="24"/>
      <x:c r="Z10" s="24"/>
    </x:row>
    <x:row r="11">
      <x:c r="A11" s="24"/>
      <x:c r="B11" s="24"/>
      <x:c r="C11" s="24"/>
      <x:c r="D11" s="24"/>
      <x:c r="E11" s="24"/>
      <x:c r="F11" s="24"/>
      <x:c r="G11" s="24"/>
      <x:c r="H11" s="24"/>
      <x:c r="I11" s="24"/>
      <x:c r="J11" s="24"/>
      <x:c r="K11" s="24"/>
      <x:c r="L11" s="24"/>
      <x:c r="M11" s="24"/>
      <x:c r="N11" s="24"/>
      <x:c r="O11" s="24"/>
      <x:c r="P11" s="24"/>
      <x:c r="Q11" s="24"/>
      <x:c r="R11" s="24"/>
      <x:c r="S11" s="24"/>
      <x:c r="T11" s="24"/>
      <x:c r="U11" s="24"/>
      <x:c r="V11" s="24"/>
      <x:c r="W11" s="24"/>
      <x:c r="X11" s="24"/>
      <x:c r="Y11" s="24"/>
      <x:c r="Z11" s="24"/>
    </x:row>
    <x:row r="12">
      <x:c r="A12" s="24"/>
      <x:c r="B12" s="24"/>
      <x:c r="C12" s="24"/>
      <x:c r="D12" s="24"/>
      <x:c r="E12" s="24"/>
      <x:c r="F12" s="24"/>
      <x:c r="G12" s="24"/>
      <x:c r="H12" s="24"/>
      <x:c r="I12" s="24"/>
      <x:c r="J12" s="24"/>
      <x:c r="K12" s="24"/>
      <x:c r="L12" s="24"/>
      <x:c r="M12" s="24"/>
      <x:c r="N12" s="24"/>
      <x:c r="O12" s="24"/>
      <x:c r="P12" s="24"/>
      <x:c r="Q12" s="24"/>
      <x:c r="R12" s="24"/>
      <x:c r="S12" s="24"/>
      <x:c r="T12" s="24"/>
      <x:c r="U12" s="24"/>
      <x:c r="V12" s="24"/>
      <x:c r="W12" s="24"/>
      <x:c r="X12" s="24"/>
      <x:c r="Y12" s="24"/>
      <x:c r="Z12" s="24"/>
    </x:row>
    <x:row r="13">
      <x:c r="A13" s="81" t="str">
        <x:v>IDENTITY &amp; STRATEGY</x:v>
      </x:c>
      <x:c r="B13" s="81"/>
      <x:c r="C13" s="81"/>
      <x:c r="D13" s="81"/>
      <x:c r="E13" s="81"/>
      <x:c r="F13" s="81"/>
      <x:c r="G13" s="24"/>
      <x:c r="H13" s="81" t="str">
        <x:v>EARLY / MID / LATE GAME</x:v>
      </x:c>
      <x:c r="I13" s="81"/>
      <x:c r="J13" s="81"/>
      <x:c r="K13" s="81"/>
      <x:c r="L13" s="81"/>
      <x:c r="M13" s="81"/>
      <x:c r="N13" s="81"/>
      <x:c r="O13" s="24"/>
      <x:c r="P13" s="24"/>
      <x:c r="Q13" s="24"/>
      <x:c r="R13" s="24"/>
      <x:c r="S13" s="24"/>
      <x:c r="T13" s="24"/>
      <x:c r="U13" s="24"/>
      <x:c r="V13" s="24"/>
      <x:c r="W13" s="24"/>
      <x:c r="X13" s="24"/>
      <x:c r="Y13" s="24"/>
      <x:c r="Z13" s="24"/>
    </x:row>
    <x:row r="14">
      <x:c r="A14" s="82" t="str">
        <x:v>Grixis Curses with Lynde as the core recursion/card-advantage engine. The deck aims to recycle Curses, move them between players, create political pressure, and multiply enchantment value through copies, additional upkeeps and Curse-specific tutors. Primary win plan: accumulated Curse damage / punisher effects; secondary plan: politics and table collapse.</x:v>
      </x:c>
      <x:c r="B14" s="82"/>
      <x:c r="C14" s="82"/>
      <x:c r="D14" s="82"/>
      <x:c r="E14" s="82"/>
      <x:c r="F14" s="82"/>
      <x:c r="G14" s="24"/>
      <x:c r="H14" s="83" t="str">
        <x:v>Early</x:v>
      </x:c>
      <x:c r="I14" s="84" t="str">
        <x:v>Ramp → early Curse → setup engine → Lynde on curve.</x:v>
      </x:c>
      <x:c r="J14" s="24"/>
      <x:c r="K14" s="24"/>
      <x:c r="L14" s="24"/>
      <x:c r="M14" s="24"/>
      <x:c r="N14" s="24"/>
      <x:c r="O14" s="24"/>
      <x:c r="P14" s="24"/>
      <x:c r="Q14" s="24"/>
      <x:c r="R14" s="24"/>
      <x:c r="S14" s="24"/>
      <x:c r="T14" s="24"/>
      <x:c r="U14" s="24"/>
      <x:c r="V14" s="24"/>
      <x:c r="W14" s="24"/>
      <x:c r="X14" s="24"/>
      <x:c r="Y14" s="24"/>
      <x:c r="Z14" s="24"/>
    </x:row>
    <x:row r="15">
      <x:c r="A15" s="82"/>
      <x:c r="B15" s="82"/>
      <x:c r="C15" s="82"/>
      <x:c r="D15" s="82"/>
      <x:c r="E15" s="82"/>
      <x:c r="F15" s="82"/>
      <x:c r="G15" s="24"/>
      <x:c r="H15" s="83" t="str">
        <x:v>Mid</x:v>
      </x:c>
      <x:c r="I15" s="84" t="str">
        <x:v>Recycle Curses, leverage Entity Tracker/Bitterheart/Paradox Haze, manipulate combat/politics.</x:v>
      </x:c>
      <x:c r="J15" s="24"/>
      <x:c r="K15" s="24"/>
      <x:c r="L15" s="24"/>
      <x:c r="M15" s="24"/>
      <x:c r="N15" s="24"/>
      <x:c r="O15" s="24"/>
      <x:c r="P15" s="24"/>
      <x:c r="Q15" s="24"/>
      <x:c r="R15" s="24"/>
      <x:c r="S15" s="24"/>
      <x:c r="T15" s="24"/>
      <x:c r="U15" s="24"/>
      <x:c r="V15" s="24"/>
      <x:c r="W15" s="24"/>
      <x:c r="X15" s="24"/>
      <x:c r="Y15" s="24"/>
      <x:c r="Z15" s="24"/>
    </x:row>
    <x:row r="16">
      <x:c r="A16" s="82"/>
      <x:c r="B16" s="82"/>
      <x:c r="C16" s="82"/>
      <x:c r="D16" s="82"/>
      <x:c r="E16" s="82"/>
      <x:c r="F16" s="82"/>
      <x:c r="G16" s="24"/>
      <x:c r="H16" s="83" t="str">
        <x:v>Late</x:v>
      </x:c>
      <x:c r="I16" s="84" t="str">
        <x:v>Curse of Thirst/Fool's Wisdom + copied Curses + Grim Guardian/Doomwake Giant create inevitability.</x:v>
      </x:c>
      <x:c r="J16" s="24"/>
      <x:c r="K16" s="24"/>
      <x:c r="L16" s="24"/>
      <x:c r="M16" s="24"/>
      <x:c r="N16" s="24"/>
      <x:c r="O16" s="24"/>
      <x:c r="P16" s="24"/>
      <x:c r="Q16" s="24"/>
      <x:c r="R16" s="24"/>
      <x:c r="S16" s="24"/>
      <x:c r="T16" s="24"/>
      <x:c r="U16" s="24"/>
      <x:c r="V16" s="24"/>
      <x:c r="W16" s="24"/>
      <x:c r="X16" s="24"/>
      <x:c r="Y16" s="24"/>
      <x:c r="Z16" s="24"/>
    </x:row>
    <x:row r="17">
      <x:c r="A17" s="82"/>
      <x:c r="B17" s="82"/>
      <x:c r="C17" s="82"/>
      <x:c r="D17" s="82"/>
      <x:c r="E17" s="82"/>
      <x:c r="F17" s="82"/>
      <x:c r="G17" s="24"/>
      <x:c r="H17" s="24"/>
      <x:c r="I17" s="24"/>
      <x:c r="J17" s="24"/>
      <x:c r="K17" s="24"/>
      <x:c r="L17" s="24"/>
      <x:c r="M17" s="24"/>
      <x:c r="N17" s="24"/>
      <x:c r="O17" s="24"/>
      <x:c r="P17" s="24"/>
      <x:c r="Q17" s="24"/>
      <x:c r="R17" s="24"/>
      <x:c r="S17" s="24"/>
      <x:c r="T17" s="24"/>
      <x:c r="U17" s="24"/>
      <x:c r="V17" s="24"/>
      <x:c r="W17" s="24"/>
      <x:c r="X17" s="24"/>
      <x:c r="Y17" s="24"/>
      <x:c r="Z17" s="24"/>
    </x:row>
    <x:row r="18">
      <x:c r="A18" s="110" t="str">
        <x:v>23 total Curses in V2.1; 22 are assigned to the dedicated Curse core role, while Curse of Thirst is classified primarily as a finisher.</x:v>
      </x:c>
      <x:c r="B18" s="110"/>
      <x:c r="C18" s="110"/>
      <x:c r="D18" s="110"/>
      <x:c r="E18" s="110"/>
      <x:c r="F18" s="110"/>
      <x:c r="G18" s="24"/>
      <x:c r="H18" s="24"/>
      <x:c r="I18" s="24"/>
      <x:c r="J18" s="24"/>
      <x:c r="K18" s="24"/>
      <x:c r="L18" s="24"/>
      <x:c r="M18" s="24"/>
      <x:c r="N18" s="24"/>
      <x:c r="O18" s="24"/>
      <x:c r="P18" s="24"/>
      <x:c r="Q18" s="24"/>
      <x:c r="R18" s="24"/>
      <x:c r="S18" s="24"/>
      <x:c r="T18" s="24"/>
      <x:c r="U18" s="24"/>
      <x:c r="V18" s="24"/>
      <x:c r="W18" s="24"/>
      <x:c r="X18" s="24"/>
      <x:c r="Y18" s="24"/>
      <x:c r="Z18" s="24"/>
    </x:row>
    <x:row r="19">
      <x:c r="A19" s="25" t="str">
        <x:v>Tier</x:v>
      </x:c>
      <x:c r="B19" s="25" t="str">
        <x:v>Slots</x:v>
      </x:c>
      <x:c r="C19" s="24"/>
      <x:c r="D19" s="25" t="str">
        <x:v>Group</x:v>
      </x:c>
      <x:c r="E19" s="25" t="str">
        <x:v>Slots</x:v>
      </x:c>
      <x:c r="F19" s="24"/>
      <x:c r="G19" s="24"/>
      <x:c r="H19" s="24"/>
      <x:c r="I19" s="24"/>
      <x:c r="J19" s="24"/>
      <x:c r="K19" s="24"/>
      <x:c r="L19" s="24"/>
      <x:c r="M19" s="24"/>
      <x:c r="N19" s="24"/>
      <x:c r="O19" s="24"/>
      <x:c r="P19" s="24"/>
      <x:c r="Q19" s="24"/>
      <x:c r="R19" s="24"/>
      <x:c r="S19" s="24"/>
      <x:c r="T19" s="24"/>
      <x:c r="U19" s="24"/>
      <x:c r="V19" s="24"/>
      <x:c r="W19" s="24"/>
      <x:c r="X19" s="24"/>
      <x:c r="Y19" s="24"/>
      <x:c r="Z19" s="24"/>
    </x:row>
    <x:row r="20">
      <x:c r="A20" s="24" t="str">
        <x:v>S — LOCK</x:v>
      </x:c>
      <x:c r="B20" s="24" t="n">
        <x:f>SUMIF('02_Card Matrix'!$I$3:$I$97,"S — LOCK",'02_Card Matrix'!$B$3:$B$97)</x:f>
        <x:v>7</x:v>
      </x:c>
      <x:c r="C20" s="24"/>
      <x:c r="D20" s="24" t="str">
        <x:v>1. Ramp / Mana</x:v>
      </x:c>
      <x:c r="E20" s="24" t="n">
        <x:f>SUMIF('02_Card Matrix'!$E$3:$E$97,"1. Ramp / Mana",'02_Card Matrix'!$B$3:$B$97)</x:f>
        <x:v>38</x:v>
      </x:c>
      <x:c r="F20" s="24"/>
      <x:c r="G20" s="24"/>
      <x:c r="H20" s="24"/>
      <x:c r="I20" s="24"/>
      <x:c r="J20" s="24"/>
      <x:c r="K20" s="24"/>
      <x:c r="L20" s="24"/>
      <x:c r="M20" s="24"/>
      <x:c r="N20" s="24"/>
      <x:c r="O20" s="24"/>
      <x:c r="P20" s="24"/>
      <x:c r="Q20" s="24"/>
      <x:c r="R20" s="24"/>
      <x:c r="S20" s="24"/>
      <x:c r="T20" s="24"/>
      <x:c r="U20" s="24"/>
      <x:c r="V20" s="24"/>
      <x:c r="W20" s="24"/>
      <x:c r="X20" s="24"/>
      <x:c r="Y20" s="24"/>
      <x:c r="Z20" s="24"/>
    </x:row>
    <x:row r="21">
      <x:c r="A21" s="24" t="str">
        <x:v>A — CORE</x:v>
      </x:c>
      <x:c r="B21" s="24" t="n">
        <x:f>SUMIF('02_Card Matrix'!$I$3:$I$97,"A — CORE",'02_Card Matrix'!$B$3:$B$97)</x:f>
        <x:v>50</x:v>
      </x:c>
      <x:c r="C21" s="24"/>
      <x:c r="D21" s="24" t="str">
        <x:v>2. Draw / Card Advantage</x:v>
      </x:c>
      <x:c r="E21" s="24" t="n">
        <x:f>SUMIF('02_Card Matrix'!$E$3:$E$97,"2. Draw / Card Advantage",'02_Card Matrix'!$B$3:$B$97)</x:f>
        <x:v>7</x:v>
      </x:c>
      <x:c r="F21" s="24"/>
      <x:c r="G21" s="24"/>
      <x:c r="H21" s="24"/>
      <x:c r="I21" s="24"/>
      <x:c r="J21" s="24"/>
      <x:c r="K21" s="24"/>
      <x:c r="L21" s="24"/>
      <x:c r="M21" s="24"/>
      <x:c r="N21" s="24"/>
      <x:c r="O21" s="24"/>
      <x:c r="P21" s="24"/>
      <x:c r="Q21" s="24"/>
      <x:c r="R21" s="24"/>
      <x:c r="S21" s="24"/>
      <x:c r="T21" s="24"/>
      <x:c r="U21" s="24"/>
      <x:c r="V21" s="24"/>
      <x:c r="W21" s="24"/>
      <x:c r="X21" s="24"/>
      <x:c r="Y21" s="24"/>
      <x:c r="Z21" s="24"/>
    </x:row>
    <x:row r="22">
      <x:c r="A22" s="24" t="str">
        <x:v>B — SUPPORT</x:v>
      </x:c>
      <x:c r="B22" s="24" t="n">
        <x:f>SUMIF('02_Card Matrix'!$I$3:$I$97,"B — SUPPORT",'02_Card Matrix'!$B$3:$B$97)</x:f>
        <x:v>42</x:v>
      </x:c>
      <x:c r="C22" s="24"/>
      <x:c r="D22" s="24" t="str">
        <x:v>3. Removal / Board Control</x:v>
      </x:c>
      <x:c r="E22" s="24" t="n">
        <x:f>SUMIF('02_Card Matrix'!$E$3:$E$97,"3. Removal / Board Control",'02_Card Matrix'!$B$3:$B$97)</x:f>
        <x:v>9</x:v>
      </x:c>
      <x:c r="F22" s="24"/>
      <x:c r="G22" s="24"/>
      <x:c r="H22" s="24"/>
      <x:c r="I22" s="24"/>
      <x:c r="J22" s="24"/>
      <x:c r="K22" s="24"/>
      <x:c r="L22" s="24"/>
      <x:c r="M22" s="24"/>
      <x:c r="N22" s="24"/>
      <x:c r="O22" s="24"/>
      <x:c r="P22" s="24"/>
      <x:c r="Q22" s="24"/>
      <x:c r="R22" s="24"/>
      <x:c r="S22" s="24"/>
      <x:c r="T22" s="24"/>
      <x:c r="U22" s="24"/>
      <x:c r="V22" s="24"/>
      <x:c r="W22" s="24"/>
      <x:c r="X22" s="24"/>
      <x:c r="Y22" s="24"/>
      <x:c r="Z22" s="24"/>
    </x:row>
    <x:row r="23">
      <x:c r="A23" s="24" t="str">
        <x:v>C — REVIEW</x:v>
      </x:c>
      <x:c r="B23" s="24" t="n">
        <x:f>SUMIF('02_Card Matrix'!$I$3:$I$97,"C — REVIEW",'02_Card Matrix'!$B$3:$B$97)</x:f>
        <x:v>1</x:v>
      </x:c>
      <x:c r="C23" s="24"/>
      <x:c r="D23" s="24" t="str">
        <x:v>4. Curses — Core</x:v>
      </x:c>
      <x:c r="E23" s="24" t="n">
        <x:f>SUMIF('02_Card Matrix'!$E$3:$E$97,"4. Curses — Core",'02_Card Matrix'!$B$3:$B$97)</x:f>
        <x:v>22</x:v>
      </x:c>
      <x:c r="F23" s="24"/>
      <x:c r="G23" s="24"/>
      <x:c r="H23" s="24"/>
      <x:c r="I23" s="24"/>
      <x:c r="J23" s="24"/>
      <x:c r="K23" s="24"/>
      <x:c r="L23" s="24"/>
      <x:c r="M23" s="24"/>
      <x:c r="N23" s="24"/>
      <x:c r="O23" s="24"/>
      <x:c r="P23" s="24"/>
      <x:c r="Q23" s="24"/>
      <x:c r="R23" s="24"/>
      <x:c r="S23" s="24"/>
      <x:c r="T23" s="24"/>
      <x:c r="U23" s="24"/>
      <x:c r="V23" s="24"/>
      <x:c r="W23" s="24"/>
      <x:c r="X23" s="24"/>
      <x:c r="Y23" s="24"/>
      <x:c r="Z23" s="24"/>
    </x:row>
    <x:row r="24">
      <x:c r="A24" s="24" t="str">
        <x:v>D — CUT</x:v>
      </x:c>
      <x:c r="B24" s="24" t="n">
        <x:f>SUMIF('02_Card Matrix'!$I$3:$I$97,"D — CUT",'02_Card Matrix'!$B$3:$B$97)</x:f>
        <x:v>0</x:v>
      </x:c>
      <x:c r="C24" s="24"/>
      <x:c r="D24" s="24" t="str">
        <x:v>5. Curse Engines / Enchantment Support</x:v>
      </x:c>
      <x:c r="E24" s="24" t="n">
        <x:f>SUMIF('02_Card Matrix'!$E$3:$E$97,"5. Curse Engines / Enchantment Support",'02_Card Matrix'!$B$3:$B$97)</x:f>
        <x:v>9</x:v>
      </x:c>
      <x:c r="F24" s="24"/>
      <x:c r="G24" s="24"/>
      <x:c r="H24" s="24"/>
      <x:c r="I24" s="24"/>
      <x:c r="J24" s="24"/>
      <x:c r="K24" s="24"/>
      <x:c r="L24" s="24"/>
      <x:c r="M24" s="24"/>
      <x:c r="N24" s="24"/>
      <x:c r="O24" s="24"/>
      <x:c r="P24" s="24"/>
      <x:c r="Q24" s="24"/>
      <x:c r="R24" s="24"/>
      <x:c r="S24" s="24"/>
      <x:c r="T24" s="24"/>
      <x:c r="U24" s="24"/>
      <x:c r="V24" s="24"/>
      <x:c r="W24" s="24"/>
      <x:c r="X24" s="24"/>
      <x:c r="Y24" s="24"/>
      <x:c r="Z24" s="24"/>
    </x:row>
    <x:row r="25">
      <x:c r="A25" s="24"/>
      <x:c r="B25" s="24"/>
      <x:c r="C25" s="24"/>
      <x:c r="D25" s="24" t="str">
        <x:v>6. Politics / Punisher / Pillow Fort</x:v>
      </x:c>
      <x:c r="E25" s="24" t="n">
        <x:f>SUMIF('02_Card Matrix'!$E$3:$E$97,"6. Politics / Punisher / Pillow Fort",'02_Card Matrix'!$B$3:$B$97)</x:f>
        <x:v>5</x:v>
      </x:c>
      <x:c r="F25" s="24"/>
      <x:c r="G25" s="24"/>
      <x:c r="H25" s="24"/>
      <x:c r="I25" s="24"/>
      <x:c r="J25" s="24"/>
      <x:c r="K25" s="24"/>
      <x:c r="L25" s="24"/>
      <x:c r="M25" s="24"/>
      <x:c r="N25" s="24"/>
      <x:c r="O25" s="24"/>
      <x:c r="P25" s="24"/>
      <x:c r="Q25" s="24"/>
      <x:c r="R25" s="24"/>
      <x:c r="S25" s="24"/>
      <x:c r="T25" s="24"/>
      <x:c r="U25" s="24"/>
      <x:c r="V25" s="24"/>
      <x:c r="W25" s="24"/>
      <x:c r="X25" s="24"/>
      <x:c r="Y25" s="24"/>
      <x:c r="Z25" s="24"/>
    </x:row>
    <x:row r="26">
      <x:c r="A26" s="24"/>
      <x:c r="B26" s="24"/>
      <x:c r="C26" s="24"/>
      <x:c r="D26" s="24" t="str">
        <x:v>7. Protection / Resilience</x:v>
      </x:c>
      <x:c r="E26" s="24" t="n">
        <x:f>SUMIF('02_Card Matrix'!$E$3:$E$97,"7. Protection / Resilience",'02_Card Matrix'!$B$3:$B$97)</x:f>
        <x:v>7</x:v>
      </x:c>
      <x:c r="F26" s="24"/>
      <x:c r="G26" s="24"/>
      <x:c r="H26" s="24"/>
      <x:c r="I26" s="24"/>
      <x:c r="J26" s="24"/>
      <x:c r="K26" s="24"/>
      <x:c r="L26" s="24"/>
      <x:c r="M26" s="24"/>
      <x:c r="N26" s="24"/>
      <x:c r="O26" s="24"/>
      <x:c r="P26" s="24"/>
      <x:c r="Q26" s="24"/>
      <x:c r="R26" s="24"/>
      <x:c r="S26" s="24"/>
      <x:c r="T26" s="24"/>
      <x:c r="U26" s="24"/>
      <x:c r="V26" s="24"/>
      <x:c r="W26" s="24"/>
      <x:c r="X26" s="24"/>
      <x:c r="Y26" s="24"/>
      <x:c r="Z26" s="24"/>
    </x:row>
    <x:row r="27">
      <x:c r="A27" s="24"/>
      <x:c r="B27" s="24"/>
      <x:c r="C27" s="24"/>
      <x:c r="D27" s="24" t="str">
        <x:v>8. Finishers / Thematic Bombs</x:v>
      </x:c>
      <x:c r="E27" s="24" t="n">
        <x:f>SUMIF('02_Card Matrix'!$E$3:$E$97,"8. Finishers / Thematic Bombs",'02_Card Matrix'!$B$3:$B$97)</x:f>
        <x:v>2</x:v>
      </x:c>
      <x:c r="F27" s="24"/>
      <x:c r="G27" s="24"/>
      <x:c r="H27" s="24"/>
      <x:c r="I27" s="24"/>
      <x:c r="J27" s="24"/>
      <x:c r="K27" s="24"/>
      <x:c r="L27" s="24"/>
      <x:c r="M27" s="24"/>
      <x:c r="N27" s="24"/>
      <x:c r="O27" s="24"/>
      <x:c r="P27" s="24"/>
      <x:c r="Q27" s="24"/>
      <x:c r="R27" s="24"/>
      <x:c r="S27" s="24"/>
      <x:c r="T27" s="24"/>
      <x:c r="U27" s="24"/>
      <x:c r="V27" s="24"/>
      <x:c r="W27" s="24"/>
      <x:c r="X27" s="24"/>
      <x:c r="Y27" s="24"/>
      <x:c r="Z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  <x:c r="K28" s="24"/>
      <x:c r="L28" s="24"/>
      <x:c r="M28" s="24"/>
      <x:c r="N28" s="24"/>
      <x:c r="O28" s="24"/>
      <x:c r="P28" s="24"/>
      <x:c r="Q28" s="24"/>
      <x:c r="R28" s="24"/>
      <x:c r="S28" s="24"/>
      <x:c r="T28" s="24"/>
      <x:c r="U28" s="24"/>
      <x:c r="V28" s="24"/>
      <x:c r="W28" s="24"/>
      <x:c r="X28" s="24"/>
      <x:c r="Y28" s="24"/>
      <x:c r="Z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  <x:c r="K29" s="24"/>
      <x:c r="L29" s="24"/>
      <x:c r="M29" s="24"/>
      <x:c r="N29" s="24"/>
      <x:c r="O29" s="24"/>
      <x:c r="P29" s="24"/>
      <x:c r="Q29" s="24"/>
      <x:c r="R29" s="24"/>
      <x:c r="S29" s="24"/>
      <x:c r="T29" s="24"/>
      <x:c r="U29" s="24"/>
      <x:c r="V29" s="24"/>
      <x:c r="W29" s="24"/>
      <x:c r="X29" s="24"/>
      <x:c r="Y29" s="24"/>
      <x:c r="Z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  <x:c r="K30" s="24"/>
      <x:c r="L30" s="24"/>
      <x:c r="M30" s="24"/>
      <x:c r="N30" s="24"/>
      <x:c r="O30" s="24"/>
      <x:c r="P30" s="24"/>
      <x:c r="Q30" s="24"/>
      <x:c r="R30" s="24"/>
      <x:c r="S30" s="24"/>
      <x:c r="T30" s="24"/>
      <x:c r="U30" s="24"/>
      <x:c r="V30" s="24"/>
      <x:c r="W30" s="24"/>
      <x:c r="X30" s="24"/>
      <x:c r="Y30" s="24"/>
      <x:c r="Z30" s="24"/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  <x:c r="K31" s="24"/>
      <x:c r="L31" s="24"/>
      <x:c r="M31" s="24"/>
      <x:c r="N31" s="24"/>
      <x:c r="O31" s="24"/>
      <x:c r="P31" s="24"/>
      <x:c r="Q31" s="24"/>
      <x:c r="R31" s="24"/>
      <x:c r="S31" s="24"/>
      <x:c r="T31" s="24"/>
      <x:c r="U31" s="24"/>
      <x:c r="V31" s="24"/>
      <x:c r="W31" s="24"/>
      <x:c r="X31" s="24"/>
      <x:c r="Y31" s="24"/>
      <x:c r="Z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  <x:c r="K32" s="24"/>
      <x:c r="L32" s="24"/>
      <x:c r="M32" s="24"/>
      <x:c r="N32" s="24"/>
      <x:c r="O32" s="24"/>
      <x:c r="P32" s="24"/>
      <x:c r="Q32" s="24"/>
      <x:c r="R32" s="24"/>
      <x:c r="S32" s="24"/>
      <x:c r="T32" s="24"/>
      <x:c r="U32" s="24"/>
      <x:c r="V32" s="24"/>
      <x:c r="W32" s="24"/>
      <x:c r="X32" s="24"/>
      <x:c r="Y32" s="24"/>
      <x:c r="Z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  <x:c r="L33" s="24"/>
      <x:c r="M33" s="24"/>
      <x:c r="N33" s="24"/>
      <x:c r="O33" s="24"/>
      <x:c r="P33" s="24"/>
      <x:c r="Q33" s="24"/>
      <x:c r="R33" s="24"/>
      <x:c r="S33" s="24"/>
      <x:c r="T33" s="24"/>
      <x:c r="U33" s="24"/>
      <x:c r="V33" s="24"/>
      <x:c r="W33" s="24"/>
      <x:c r="X33" s="24"/>
      <x:c r="Y33" s="24"/>
      <x:c r="Z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  <x:c r="K34" s="24"/>
      <x:c r="L34" s="24"/>
      <x:c r="M34" s="24"/>
      <x:c r="N34" s="24"/>
      <x:c r="O34" s="24"/>
      <x:c r="P34" s="24"/>
      <x:c r="Q34" s="24"/>
      <x:c r="R34" s="24"/>
      <x:c r="S34" s="24"/>
      <x:c r="T34" s="24"/>
      <x:c r="U34" s="24"/>
      <x:c r="V34" s="24"/>
      <x:c r="W34" s="24"/>
      <x:c r="X34" s="24"/>
      <x:c r="Y34" s="24"/>
      <x:c r="Z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  <x:c r="L35" s="24"/>
      <x:c r="M35" s="24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4"/>
      <x:c r="Z35" s="24"/>
    </x:row>
    <x:row r="36">
      <x:c r="A36" s="24"/>
      <x:c r="B36" s="24"/>
      <x:c r="C36" s="24"/>
      <x:c r="D36" s="24"/>
      <x:c r="E36" s="24"/>
      <x:c r="F36" s="24"/>
      <x:c r="G36" s="24"/>
      <x:c r="H36" s="81" t="str">
        <x:v>MAIN BOTTLENECKS</x:v>
      </x:c>
      <x:c r="I36" s="81"/>
      <x:c r="J36" s="81"/>
      <x:c r="K36" s="81"/>
      <x:c r="L36" s="81"/>
      <x:c r="M36" s="81"/>
      <x:c r="N36" s="81"/>
      <x:c r="O36" s="24"/>
      <x:c r="P36" s="24"/>
      <x:c r="Q36" s="24"/>
      <x:c r="R36" s="24"/>
      <x:c r="S36" s="24"/>
      <x:c r="T36" s="24"/>
      <x:c r="U36" s="24"/>
      <x:c r="V36" s="24"/>
      <x:c r="W36" s="24"/>
      <x:c r="X36" s="24"/>
      <x:c r="Y36" s="24"/>
      <x:c r="Z36" s="24"/>
    </x:row>
    <x:row r="37">
      <x:c r="A37" s="24"/>
      <x:c r="B37" s="24"/>
      <x:c r="C37" s="24"/>
      <x:c r="D37" s="24"/>
      <x:c r="E37" s="24"/>
      <x:c r="F37" s="24"/>
      <x:c r="G37" s="24"/>
      <x:c r="H37" s="85" t="str">
        <x:v>1</x:v>
      </x:c>
      <x:c r="I37" s="84" t="str">
        <x:v>Commander protection is still thinner than the engine itself.</x:v>
      </x:c>
      <x:c r="J37" s="24"/>
      <x:c r="K37" s="24"/>
      <x:c r="L37" s="24"/>
      <x:c r="M37" s="24"/>
      <x:c r="N37" s="24"/>
      <x:c r="O37" s="24"/>
      <x:c r="P37" s="24"/>
      <x:c r="Q37" s="24"/>
      <x:c r="R37" s="24"/>
      <x:c r="S37" s="24"/>
      <x:c r="T37" s="24"/>
      <x:c r="U37" s="24"/>
      <x:c r="V37" s="24"/>
      <x:c r="W37" s="24"/>
      <x:c r="X37" s="24"/>
      <x:c r="Y37" s="24"/>
      <x:c r="Z37" s="24"/>
    </x:row>
    <x:row r="38">
      <x:c r="A38" s="24"/>
      <x:c r="B38" s="24"/>
      <x:c r="C38" s="24"/>
      <x:c r="D38" s="24"/>
      <x:c r="E38" s="24"/>
      <x:c r="F38" s="24"/>
      <x:c r="G38" s="24"/>
      <x:c r="H38" s="85" t="str">
        <x:v>2</x:v>
      </x:c>
      <x:c r="I38" s="84" t="str">
        <x:v>Several draw/interaction slots remain generic and may be upgrade targets after playtest.</x:v>
      </x:c>
      <x:c r="J38" s="24"/>
      <x:c r="K38" s="24"/>
      <x:c r="L38" s="24"/>
      <x:c r="M38" s="24"/>
      <x:c r="N38" s="24"/>
      <x:c r="O38" s="24"/>
      <x:c r="P38" s="24"/>
      <x:c r="Q38" s="24"/>
      <x:c r="R38" s="24"/>
      <x:c r="S38" s="24"/>
      <x:c r="T38" s="24"/>
      <x:c r="U38" s="24"/>
      <x:c r="V38" s="24"/>
      <x:c r="W38" s="24"/>
      <x:c r="X38" s="24"/>
      <x:c r="Y38" s="24"/>
      <x:c r="Z38" s="24"/>
    </x:row>
    <x:row r="39">
      <x:c r="A39" s="24"/>
      <x:c r="B39" s="24"/>
      <x:c r="C39" s="24"/>
      <x:c r="D39" s="24"/>
      <x:c r="E39" s="24"/>
      <x:c r="F39" s="24"/>
      <x:c r="G39" s="24"/>
      <x:c r="H39" s="85" t="str">
        <x:v>3</x:v>
      </x:c>
      <x:c r="I39" s="84" t="str">
        <x:v>The mana base is improved, but utility lands remain a possible consistency test.</x:v>
      </x:c>
      <x:c r="J39" s="24"/>
      <x:c r="K39" s="24"/>
      <x:c r="L39" s="24"/>
      <x:c r="M39" s="24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4"/>
      <x:c r="Z39" s="24"/>
    </x:row>
    <x:row r="40">
      <x:c r="A40" s="24"/>
      <x:c r="B40" s="24"/>
      <x:c r="C40" s="24"/>
      <x:c r="D40" s="24"/>
      <x:c r="E40" s="24"/>
      <x:c r="F40" s="24"/>
      <x:c r="G40" s="24"/>
      <x:c r="H40" s="85" t="str">
        <x:v>4</x:v>
      </x:c>
      <x:c r="I40" s="84" t="str">
        <x:v>Projected 8.9 is a hypothesis; the next step is playtest evidence.</x:v>
      </x:c>
      <x:c r="J40" s="24"/>
      <x:c r="K40" s="24"/>
      <x:c r="L40" s="24"/>
      <x:c r="M40" s="24"/>
      <x:c r="N40" s="24"/>
      <x:c r="O40" s="24"/>
      <x:c r="P40" s="24"/>
      <x:c r="Q40" s="24"/>
      <x:c r="R40" s="24"/>
      <x:c r="S40" s="24"/>
      <x:c r="T40" s="24"/>
      <x:c r="U40" s="24"/>
      <x:c r="V40" s="24"/>
      <x:c r="W40" s="24"/>
      <x:c r="X40" s="24"/>
      <x:c r="Y40" s="24"/>
      <x:c r="Z40" s="24"/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  <x:c r="K41" s="24"/>
      <x:c r="L41" s="24"/>
      <x:c r="M41" s="24"/>
      <x:c r="N41" s="24"/>
      <x:c r="O41" s="24"/>
      <x:c r="P41" s="24"/>
      <x:c r="Q41" s="24"/>
      <x:c r="R41" s="24"/>
      <x:c r="S41" s="24"/>
      <x:c r="T41" s="24"/>
      <x:c r="U41" s="24"/>
      <x:c r="V41" s="24"/>
      <x:c r="W41" s="24"/>
      <x:c r="X41" s="24"/>
      <x:c r="Y41" s="24"/>
      <x:c r="Z41" s="24"/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  <x:c r="L42" s="24"/>
      <x:c r="M42" s="24"/>
      <x:c r="N42" s="24"/>
      <x:c r="O42" s="24"/>
      <x:c r="P42" s="24"/>
      <x:c r="Q42" s="24"/>
      <x:c r="R42" s="24"/>
      <x:c r="S42" s="24"/>
      <x:c r="T42" s="24"/>
      <x:c r="U42" s="24"/>
      <x:c r="V42" s="24"/>
      <x:c r="W42" s="24"/>
      <x:c r="X42" s="24"/>
      <x:c r="Y42" s="24"/>
      <x:c r="Z42" s="24"/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  <x:c r="L43" s="24"/>
      <x:c r="M43" s="24"/>
      <x:c r="N43" s="24"/>
      <x:c r="O43" s="24"/>
      <x:c r="P43" s="24"/>
      <x:c r="Q43" s="24"/>
      <x:c r="R43" s="24"/>
      <x:c r="S43" s="24"/>
      <x:c r="T43" s="24"/>
      <x:c r="U43" s="24"/>
      <x:c r="V43" s="24"/>
      <x:c r="W43" s="24"/>
      <x:c r="X43" s="24"/>
      <x:c r="Y43" s="24"/>
      <x:c r="Z43" s="24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  <x:c r="L44" s="24"/>
      <x:c r="M44" s="24"/>
      <x:c r="N44" s="24"/>
      <x:c r="O44" s="24"/>
      <x:c r="P44" s="24"/>
      <x:c r="Q44" s="24"/>
      <x:c r="R44" s="24"/>
      <x:c r="S44" s="24"/>
      <x:c r="T44" s="24"/>
      <x:c r="U44" s="24"/>
      <x:c r="V44" s="24"/>
      <x:c r="W44" s="24"/>
      <x:c r="X44" s="24"/>
      <x:c r="Y44" s="24"/>
      <x:c r="Z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  <x:c r="L45" s="24"/>
      <x:c r="M45" s="24"/>
      <x:c r="N45" s="24"/>
      <x:c r="O45" s="24"/>
      <x:c r="P45" s="24"/>
      <x:c r="Q45" s="24"/>
      <x:c r="R45" s="24"/>
      <x:c r="S45" s="24"/>
      <x:c r="T45" s="24"/>
      <x:c r="U45" s="24"/>
      <x:c r="V45" s="24"/>
      <x:c r="W45" s="24"/>
      <x:c r="X45" s="24"/>
      <x:c r="Y45" s="24"/>
      <x:c r="Z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  <x:c r="L46" s="24"/>
      <x:c r="M46" s="24"/>
      <x:c r="N46" s="24"/>
      <x:c r="O46" s="24"/>
      <x:c r="P46" s="24"/>
      <x:c r="Q46" s="24"/>
      <x:c r="R46" s="24"/>
      <x:c r="S46" s="24"/>
      <x:c r="T46" s="24"/>
      <x:c r="U46" s="24"/>
      <x:c r="V46" s="24"/>
      <x:c r="W46" s="24"/>
      <x:c r="X46" s="24"/>
      <x:c r="Y46" s="24"/>
      <x:c r="Z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  <x:c r="L47" s="24"/>
      <x:c r="M47" s="24"/>
      <x:c r="N47" s="24"/>
      <x:c r="O47" s="24"/>
      <x:c r="P47" s="24"/>
      <x:c r="Q47" s="24"/>
      <x:c r="R47" s="24"/>
      <x:c r="S47" s="24"/>
      <x:c r="T47" s="24"/>
      <x:c r="U47" s="24"/>
      <x:c r="V47" s="24"/>
      <x:c r="W47" s="24"/>
      <x:c r="X47" s="24"/>
      <x:c r="Y47" s="24"/>
      <x:c r="Z47" s="24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  <x:c r="L48" s="24"/>
      <x:c r="M48" s="24"/>
      <x:c r="N48" s="24"/>
      <x:c r="O48" s="24"/>
      <x:c r="P48" s="24"/>
      <x:c r="Q48" s="24"/>
      <x:c r="R48" s="24"/>
      <x:c r="S48" s="24"/>
      <x:c r="T48" s="24"/>
      <x:c r="U48" s="24"/>
      <x:c r="V48" s="24"/>
      <x:c r="W48" s="24"/>
      <x:c r="X48" s="24"/>
      <x:c r="Y48" s="24"/>
      <x:c r="Z48" s="24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  <x:c r="L49" s="24"/>
      <x:c r="M49" s="24"/>
      <x:c r="N49" s="24"/>
      <x:c r="O49" s="24"/>
      <x:c r="P49" s="24"/>
      <x:c r="Q49" s="24"/>
      <x:c r="R49" s="24"/>
      <x:c r="S49" s="24"/>
      <x:c r="T49" s="24"/>
      <x:c r="U49" s="24"/>
      <x:c r="V49" s="24"/>
      <x:c r="W49" s="24"/>
      <x:c r="X49" s="24"/>
      <x:c r="Y49" s="24"/>
      <x:c r="Z49" s="24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  <x:c r="L50" s="24"/>
      <x:c r="M50" s="24"/>
      <x:c r="N50" s="24"/>
      <x:c r="O50" s="24"/>
      <x:c r="P50" s="24"/>
      <x:c r="Q50" s="24"/>
      <x:c r="R50" s="24"/>
      <x:c r="S50" s="24"/>
      <x:c r="T50" s="24"/>
      <x:c r="U50" s="24"/>
      <x:c r="V50" s="24"/>
      <x:c r="W50" s="24"/>
      <x:c r="X50" s="24"/>
      <x:c r="Y50" s="24"/>
      <x:c r="Z50" s="24"/>
    </x:row>
    <x:row r="51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  <x:c r="K51" s="24"/>
      <x:c r="L51" s="24"/>
      <x:c r="M51" s="24"/>
      <x:c r="N51" s="24"/>
      <x:c r="O51" s="24"/>
      <x:c r="P51" s="24"/>
      <x:c r="Q51" s="24"/>
      <x:c r="R51" s="24"/>
      <x:c r="S51" s="24"/>
      <x:c r="T51" s="24"/>
      <x:c r="U51" s="24"/>
      <x:c r="V51" s="24"/>
      <x:c r="W51" s="24"/>
      <x:c r="X51" s="24"/>
      <x:c r="Y51" s="24"/>
      <x:c r="Z51" s="24"/>
    </x:row>
    <x:row r="52">
      <x:c r="A52" s="24"/>
      <x:c r="B52" s="24"/>
      <x:c r="C52" s="24"/>
      <x:c r="D52" s="24"/>
      <x:c r="E52" s="24"/>
      <x:c r="F52" s="24"/>
      <x:c r="G52" s="24"/>
      <x:c r="H52" s="24"/>
      <x:c r="I52" s="24"/>
      <x:c r="J52" s="24"/>
      <x:c r="K52" s="24"/>
      <x:c r="L52" s="24"/>
      <x:c r="M52" s="24"/>
      <x:c r="N52" s="24"/>
      <x:c r="O52" s="24"/>
      <x:c r="P52" s="24"/>
      <x:c r="Q52" s="24"/>
      <x:c r="R52" s="24"/>
      <x:c r="S52" s="24"/>
      <x:c r="T52" s="24"/>
      <x:c r="U52" s="24"/>
      <x:c r="V52" s="24"/>
      <x:c r="W52" s="24"/>
      <x:c r="X52" s="24"/>
      <x:c r="Y52" s="24"/>
      <x:c r="Z52" s="24"/>
    </x:row>
    <x:row r="53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  <x:c r="K53" s="24"/>
      <x:c r="L53" s="24"/>
      <x:c r="M53" s="24"/>
      <x:c r="N53" s="24"/>
      <x:c r="O53" s="24"/>
      <x:c r="P53" s="24"/>
      <x:c r="Q53" s="24"/>
      <x:c r="R53" s="24"/>
      <x:c r="S53" s="24"/>
      <x:c r="T53" s="24"/>
      <x:c r="U53" s="24"/>
      <x:c r="V53" s="24"/>
      <x:c r="W53" s="24"/>
      <x:c r="X53" s="24"/>
      <x:c r="Y53" s="24"/>
      <x:c r="Z53" s="24"/>
    </x:row>
    <x:row r="54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  <x:c r="K54" s="24"/>
      <x:c r="L54" s="24"/>
      <x:c r="M54" s="24"/>
      <x:c r="N54" s="24"/>
      <x:c r="O54" s="24"/>
      <x:c r="P54" s="24"/>
      <x:c r="Q54" s="24"/>
      <x:c r="R54" s="24"/>
      <x:c r="S54" s="24"/>
      <x:c r="T54" s="24"/>
      <x:c r="U54" s="24"/>
      <x:c r="V54" s="24"/>
      <x:c r="W54" s="24"/>
      <x:c r="X54" s="24"/>
      <x:c r="Y54" s="24"/>
      <x:c r="Z54" s="24"/>
    </x:row>
    <x:row r="55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  <x:c r="K55" s="24"/>
      <x:c r="L55" s="24"/>
      <x:c r="M55" s="24"/>
      <x:c r="N55" s="24"/>
      <x:c r="O55" s="24"/>
      <x:c r="P55" s="24"/>
      <x:c r="Q55" s="24"/>
      <x:c r="R55" s="24"/>
      <x:c r="S55" s="24"/>
      <x:c r="T55" s="24"/>
      <x:c r="U55" s="24"/>
      <x:c r="V55" s="24"/>
      <x:c r="W55" s="24"/>
      <x:c r="X55" s="24"/>
      <x:c r="Y55" s="24"/>
      <x:c r="Z55" s="24"/>
    </x:row>
    <x:row r="56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  <x:c r="K56" s="24"/>
      <x:c r="L56" s="24"/>
      <x:c r="M56" s="24"/>
      <x:c r="N56" s="24"/>
      <x:c r="O56" s="24"/>
      <x:c r="P56" s="24"/>
      <x:c r="Q56" s="24"/>
      <x:c r="R56" s="24"/>
      <x:c r="S56" s="24"/>
      <x:c r="T56" s="24"/>
      <x:c r="U56" s="24"/>
      <x:c r="V56" s="24"/>
      <x:c r="W56" s="24"/>
      <x:c r="X56" s="24"/>
      <x:c r="Y56" s="24"/>
      <x:c r="Z56" s="24"/>
    </x:row>
    <x:row r="57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  <x:c r="K57" s="24"/>
      <x:c r="L57" s="24"/>
      <x:c r="M57" s="24"/>
      <x:c r="N57" s="24"/>
      <x:c r="O57" s="24"/>
      <x:c r="P57" s="24"/>
      <x:c r="Q57" s="24"/>
      <x:c r="R57" s="24"/>
      <x:c r="S57" s="24"/>
      <x:c r="T57" s="24"/>
      <x:c r="U57" s="24"/>
      <x:c r="V57" s="24"/>
      <x:c r="W57" s="24"/>
      <x:c r="X57" s="24"/>
      <x:c r="Y57" s="24"/>
      <x:c r="Z57" s="24"/>
    </x:row>
    <x:row r="58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24"/>
      <x:c r="O58" s="24"/>
      <x:c r="P58" s="24"/>
      <x:c r="Q58" s="24"/>
      <x:c r="R58" s="24"/>
      <x:c r="S58" s="24"/>
      <x:c r="T58" s="24"/>
      <x:c r="U58" s="24"/>
      <x:c r="V58" s="24"/>
      <x:c r="W58" s="24"/>
      <x:c r="X58" s="24"/>
      <x:c r="Y58" s="24"/>
      <x:c r="Z58" s="24"/>
    </x:row>
    <x:row r="59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24"/>
      <x:c r="O59" s="24"/>
      <x:c r="P59" s="24"/>
      <x:c r="Q59" s="24"/>
      <x:c r="R59" s="24"/>
      <x:c r="S59" s="24"/>
      <x:c r="T59" s="24"/>
      <x:c r="U59" s="24"/>
      <x:c r="V59" s="24"/>
      <x:c r="W59" s="24"/>
      <x:c r="X59" s="24"/>
      <x:c r="Y59" s="24"/>
      <x:c r="Z59" s="24"/>
    </x:row>
    <x:row r="60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  <x:c r="K60" s="24"/>
      <x:c r="L60" s="24"/>
      <x:c r="M60" s="24"/>
      <x:c r="N60" s="24"/>
      <x:c r="O60" s="24"/>
      <x:c r="P60" s="24"/>
      <x:c r="Q60" s="24"/>
      <x:c r="R60" s="24"/>
      <x:c r="S60" s="24"/>
      <x:c r="T60" s="24"/>
      <x:c r="U60" s="24"/>
      <x:c r="V60" s="24"/>
      <x:c r="W60" s="24"/>
      <x:c r="X60" s="24"/>
      <x:c r="Y60" s="24"/>
      <x:c r="Z60" s="24"/>
    </x:row>
    <x:row r="6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  <x:c r="K61" s="24"/>
      <x:c r="L61" s="24"/>
      <x:c r="M61" s="24"/>
      <x:c r="N61" s="24"/>
      <x:c r="O61" s="24"/>
      <x:c r="P61" s="24"/>
      <x:c r="Q61" s="24"/>
      <x:c r="R61" s="24"/>
      <x:c r="S61" s="24"/>
      <x:c r="T61" s="24"/>
      <x:c r="U61" s="24"/>
      <x:c r="V61" s="24"/>
      <x:c r="W61" s="24"/>
      <x:c r="X61" s="24"/>
      <x:c r="Y61" s="24"/>
      <x:c r="Z61" s="24"/>
    </x:row>
    <x:row r="62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  <x:c r="K62" s="24"/>
      <x:c r="L62" s="24"/>
      <x:c r="M62" s="24"/>
      <x:c r="N62" s="24"/>
      <x:c r="O62" s="24"/>
      <x:c r="P62" s="24"/>
      <x:c r="Q62" s="24"/>
      <x:c r="R62" s="24"/>
      <x:c r="S62" s="24"/>
      <x:c r="T62" s="24"/>
      <x:c r="U62" s="24"/>
      <x:c r="V62" s="24"/>
      <x:c r="W62" s="24"/>
      <x:c r="X62" s="24"/>
      <x:c r="Y62" s="24"/>
      <x:c r="Z62" s="24"/>
    </x:row>
    <x:row r="63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  <x:c r="K63" s="24"/>
      <x:c r="L63" s="24"/>
      <x:c r="M63" s="24"/>
      <x:c r="N63" s="24"/>
      <x:c r="O63" s="24"/>
      <x:c r="P63" s="24"/>
      <x:c r="Q63" s="24"/>
      <x:c r="R63" s="24"/>
      <x:c r="S63" s="24"/>
      <x:c r="T63" s="24"/>
      <x:c r="U63" s="24"/>
      <x:c r="V63" s="24"/>
      <x:c r="W63" s="24"/>
      <x:c r="X63" s="24"/>
      <x:c r="Y63" s="24"/>
      <x:c r="Z63" s="24"/>
    </x:row>
    <x:row r="64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  <x:c r="K64" s="24"/>
      <x:c r="L64" s="24"/>
      <x:c r="M64" s="24"/>
      <x:c r="N64" s="24"/>
      <x:c r="O64" s="24"/>
      <x:c r="P64" s="24"/>
      <x:c r="Q64" s="24"/>
      <x:c r="R64" s="24"/>
      <x:c r="S64" s="24"/>
      <x:c r="T64" s="24"/>
      <x:c r="U64" s="24"/>
      <x:c r="V64" s="24"/>
      <x:c r="W64" s="24"/>
      <x:c r="X64" s="24"/>
      <x:c r="Y64" s="24"/>
      <x:c r="Z64" s="24"/>
    </x:row>
    <x:row r="65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  <x:c r="K65" s="24"/>
      <x:c r="L65" s="24"/>
      <x:c r="M65" s="24"/>
      <x:c r="N65" s="24"/>
      <x:c r="O65" s="24"/>
      <x:c r="P65" s="24"/>
      <x:c r="Q65" s="24"/>
      <x:c r="R65" s="24"/>
      <x:c r="S65" s="24"/>
      <x:c r="T65" s="24"/>
      <x:c r="U65" s="24"/>
      <x:c r="V65" s="24"/>
      <x:c r="W65" s="24"/>
      <x:c r="X65" s="24"/>
      <x:c r="Y65" s="24"/>
      <x:c r="Z65" s="24"/>
    </x:row>
    <x:row r="66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  <x:c r="K66" s="24"/>
      <x:c r="L66" s="24"/>
      <x:c r="M66" s="24"/>
      <x:c r="N66" s="24"/>
      <x:c r="O66" s="24"/>
      <x:c r="P66" s="24"/>
      <x:c r="Q66" s="24"/>
      <x:c r="R66" s="24"/>
      <x:c r="S66" s="24"/>
      <x:c r="T66" s="24"/>
      <x:c r="U66" s="24"/>
      <x:c r="V66" s="24"/>
      <x:c r="W66" s="24"/>
      <x:c r="X66" s="24"/>
      <x:c r="Y66" s="24"/>
      <x:c r="Z66" s="24"/>
    </x:row>
    <x:row r="67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  <x:c r="K67" s="24"/>
      <x:c r="L67" s="24"/>
      <x:c r="M67" s="24"/>
      <x:c r="N67" s="24"/>
      <x:c r="O67" s="24"/>
      <x:c r="P67" s="24"/>
      <x:c r="Q67" s="24"/>
      <x:c r="R67" s="24"/>
      <x:c r="S67" s="24"/>
      <x:c r="T67" s="24"/>
      <x:c r="U67" s="24"/>
      <x:c r="V67" s="24"/>
      <x:c r="W67" s="24"/>
      <x:c r="X67" s="24"/>
      <x:c r="Y67" s="24"/>
      <x:c r="Z67" s="24"/>
    </x:row>
    <x:row r="68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  <x:c r="K68" s="24"/>
      <x:c r="L68" s="24"/>
      <x:c r="M68" s="24"/>
      <x:c r="N68" s="24"/>
      <x:c r="O68" s="24"/>
      <x:c r="P68" s="24"/>
      <x:c r="Q68" s="24"/>
      <x:c r="R68" s="24"/>
      <x:c r="S68" s="24"/>
      <x:c r="T68" s="24"/>
      <x:c r="U68" s="24"/>
      <x:c r="V68" s="24"/>
      <x:c r="W68" s="24"/>
      <x:c r="X68" s="24"/>
      <x:c r="Y68" s="24"/>
      <x:c r="Z68" s="24"/>
    </x:row>
    <x:row r="69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  <x:c r="K69" s="24"/>
      <x:c r="L69" s="24"/>
      <x:c r="M69" s="24"/>
      <x:c r="N69" s="24"/>
      <x:c r="O69" s="24"/>
      <x:c r="P69" s="24"/>
      <x:c r="Q69" s="24"/>
      <x:c r="R69" s="24"/>
      <x:c r="S69" s="24"/>
      <x:c r="T69" s="24"/>
      <x:c r="U69" s="24"/>
      <x:c r="V69" s="24"/>
      <x:c r="W69" s="24"/>
      <x:c r="X69" s="24"/>
      <x:c r="Y69" s="24"/>
      <x:c r="Z69" s="24"/>
    </x:row>
    <x:row r="70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  <x:c r="K70" s="24"/>
      <x:c r="L70" s="24"/>
      <x:c r="M70" s="24"/>
      <x:c r="N70" s="24"/>
      <x:c r="O70" s="24"/>
      <x:c r="P70" s="24"/>
      <x:c r="Q70" s="24"/>
      <x:c r="R70" s="24"/>
      <x:c r="S70" s="24"/>
      <x:c r="T70" s="24"/>
      <x:c r="U70" s="24"/>
      <x:c r="V70" s="24"/>
      <x:c r="W70" s="24"/>
      <x:c r="X70" s="24"/>
      <x:c r="Y70" s="24"/>
      <x:c r="Z70" s="24"/>
    </x:row>
    <x:row r="71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24"/>
      <x:c r="O71" s="24"/>
      <x:c r="P71" s="24"/>
      <x:c r="Q71" s="24"/>
      <x:c r="R71" s="24"/>
      <x:c r="S71" s="24"/>
      <x:c r="T71" s="24"/>
      <x:c r="U71" s="24"/>
      <x:c r="V71" s="24"/>
      <x:c r="W71" s="24"/>
      <x:c r="X71" s="24"/>
      <x:c r="Y71" s="24"/>
      <x:c r="Z71" s="24"/>
    </x:row>
    <x:row r="72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24"/>
      <x:c r="O72" s="24"/>
      <x:c r="P72" s="24"/>
      <x:c r="Q72" s="24"/>
      <x:c r="R72" s="24"/>
      <x:c r="S72" s="24"/>
      <x:c r="T72" s="24"/>
      <x:c r="U72" s="24"/>
      <x:c r="V72" s="24"/>
      <x:c r="W72" s="24"/>
      <x:c r="X72" s="24"/>
      <x:c r="Y72" s="24"/>
      <x:c r="Z72" s="24"/>
    </x:row>
    <x:row r="73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  <x:c r="K73" s="24"/>
      <x:c r="L73" s="24"/>
      <x:c r="M73" s="24"/>
      <x:c r="N73" s="24"/>
      <x:c r="O73" s="24"/>
      <x:c r="P73" s="24"/>
      <x:c r="Q73" s="24"/>
      <x:c r="R73" s="24"/>
      <x:c r="S73" s="24"/>
      <x:c r="T73" s="24"/>
      <x:c r="U73" s="24"/>
      <x:c r="V73" s="24"/>
      <x:c r="W73" s="24"/>
      <x:c r="X73" s="24"/>
      <x:c r="Y73" s="24"/>
      <x:c r="Z73" s="24"/>
    </x:row>
    <x:row r="74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  <x:c r="K74" s="24"/>
      <x:c r="L74" s="24"/>
      <x:c r="M74" s="24"/>
      <x:c r="N74" s="24"/>
      <x:c r="O74" s="24"/>
      <x:c r="P74" s="24"/>
      <x:c r="Q74" s="24"/>
      <x:c r="R74" s="24"/>
      <x:c r="S74" s="24"/>
      <x:c r="T74" s="24"/>
      <x:c r="U74" s="24"/>
      <x:c r="V74" s="24"/>
      <x:c r="W74" s="24"/>
      <x:c r="X74" s="24"/>
      <x:c r="Y74" s="24"/>
      <x:c r="Z74" s="24"/>
    </x:row>
    <x:row r="75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  <x:c r="K75" s="24"/>
      <x:c r="L75" s="24"/>
      <x:c r="M75" s="24"/>
      <x:c r="N75" s="24"/>
      <x:c r="O75" s="24"/>
      <x:c r="P75" s="24"/>
      <x:c r="Q75" s="24"/>
      <x:c r="R75" s="24"/>
      <x:c r="S75" s="24"/>
      <x:c r="T75" s="24"/>
      <x:c r="U75" s="24"/>
      <x:c r="V75" s="24"/>
      <x:c r="W75" s="24"/>
      <x:c r="X75" s="24"/>
      <x:c r="Y75" s="24"/>
      <x:c r="Z75" s="24"/>
    </x:row>
    <x:row r="76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  <x:c r="K76" s="24"/>
      <x:c r="L76" s="24"/>
      <x:c r="M76" s="24"/>
      <x:c r="N76" s="24"/>
      <x:c r="O76" s="24"/>
      <x:c r="P76" s="24"/>
      <x:c r="Q76" s="24"/>
      <x:c r="R76" s="24"/>
      <x:c r="S76" s="24"/>
      <x:c r="T76" s="24"/>
      <x:c r="U76" s="24"/>
      <x:c r="V76" s="24"/>
      <x:c r="W76" s="24"/>
      <x:c r="X76" s="24"/>
      <x:c r="Y76" s="24"/>
      <x:c r="Z76" s="24"/>
    </x:row>
    <x:row r="77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  <x:c r="K77" s="24"/>
      <x:c r="L77" s="24"/>
      <x:c r="M77" s="24"/>
      <x:c r="N77" s="24"/>
      <x:c r="O77" s="24"/>
      <x:c r="P77" s="24"/>
      <x:c r="Q77" s="24"/>
      <x:c r="R77" s="24"/>
      <x:c r="S77" s="24"/>
      <x:c r="T77" s="24"/>
      <x:c r="U77" s="24"/>
      <x:c r="V77" s="24"/>
      <x:c r="W77" s="24"/>
      <x:c r="X77" s="24"/>
      <x:c r="Y77" s="24"/>
      <x:c r="Z77" s="24"/>
    </x:row>
    <x:row r="78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  <x:c r="K78" s="24"/>
      <x:c r="L78" s="24"/>
      <x:c r="M78" s="24"/>
      <x:c r="N78" s="24"/>
      <x:c r="O78" s="24"/>
      <x:c r="P78" s="24"/>
      <x:c r="Q78" s="24"/>
      <x:c r="R78" s="24"/>
      <x:c r="S78" s="24"/>
      <x:c r="T78" s="24"/>
      <x:c r="U78" s="24"/>
      <x:c r="V78" s="24"/>
      <x:c r="W78" s="24"/>
      <x:c r="X78" s="24"/>
      <x:c r="Y78" s="24"/>
      <x:c r="Z78" s="24"/>
    </x:row>
    <x:row r="79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  <x:c r="K79" s="24"/>
      <x:c r="L79" s="24"/>
      <x:c r="M79" s="24"/>
      <x:c r="N79" s="24"/>
      <x:c r="O79" s="24"/>
      <x:c r="P79" s="24"/>
      <x:c r="Q79" s="24"/>
      <x:c r="R79" s="24"/>
      <x:c r="S79" s="24"/>
      <x:c r="T79" s="24"/>
      <x:c r="U79" s="24"/>
      <x:c r="V79" s="24"/>
      <x:c r="W79" s="24"/>
      <x:c r="X79" s="24"/>
      <x:c r="Y79" s="24"/>
      <x:c r="Z79" s="24"/>
    </x:row>
    <x:row r="80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  <x:c r="K80" s="24"/>
      <x:c r="L80" s="24"/>
      <x:c r="M80" s="24"/>
      <x:c r="N80" s="24"/>
      <x:c r="O80" s="24"/>
      <x:c r="P80" s="24"/>
      <x:c r="Q80" s="24"/>
      <x:c r="R80" s="24"/>
      <x:c r="S80" s="24"/>
      <x:c r="T80" s="24"/>
      <x:c r="U80" s="24"/>
      <x:c r="V80" s="24"/>
      <x:c r="W80" s="24"/>
      <x:c r="X80" s="24"/>
      <x:c r="Y80" s="24"/>
      <x:c r="Z80" s="24"/>
    </x:row>
    <x:row r="81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  <x:c r="K81" s="24"/>
      <x:c r="L81" s="24"/>
      <x:c r="M81" s="24"/>
      <x:c r="N81" s="24"/>
      <x:c r="O81" s="24"/>
      <x:c r="P81" s="24"/>
      <x:c r="Q81" s="24"/>
      <x:c r="R81" s="24"/>
      <x:c r="S81" s="24"/>
      <x:c r="T81" s="24"/>
      <x:c r="U81" s="24"/>
      <x:c r="V81" s="24"/>
      <x:c r="W81" s="24"/>
      <x:c r="X81" s="24"/>
      <x:c r="Y81" s="24"/>
      <x:c r="Z81" s="24"/>
    </x:row>
    <x:row r="82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  <x:c r="K82" s="24"/>
      <x:c r="L82" s="24"/>
      <x:c r="M82" s="24"/>
      <x:c r="N82" s="24"/>
      <x:c r="O82" s="24"/>
      <x:c r="P82" s="24"/>
      <x:c r="Q82" s="24"/>
      <x:c r="R82" s="24"/>
      <x:c r="S82" s="24"/>
      <x:c r="T82" s="24"/>
      <x:c r="U82" s="24"/>
      <x:c r="V82" s="24"/>
      <x:c r="W82" s="24"/>
      <x:c r="X82" s="24"/>
      <x:c r="Y82" s="24"/>
      <x:c r="Z82" s="24"/>
    </x:row>
    <x:row r="83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  <x:c r="K83" s="24"/>
      <x:c r="L83" s="24"/>
      <x:c r="M83" s="24"/>
      <x:c r="N83" s="24"/>
      <x:c r="O83" s="24"/>
      <x:c r="P83" s="24"/>
      <x:c r="Q83" s="24"/>
      <x:c r="R83" s="24"/>
      <x:c r="S83" s="24"/>
      <x:c r="T83" s="24"/>
      <x:c r="U83" s="24"/>
      <x:c r="V83" s="24"/>
      <x:c r="W83" s="24"/>
      <x:c r="X83" s="24"/>
      <x:c r="Y83" s="24"/>
      <x:c r="Z83" s="24"/>
    </x:row>
    <x:row r="84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24"/>
      <x:c r="O84" s="24"/>
      <x:c r="P84" s="24"/>
      <x:c r="Q84" s="24"/>
      <x:c r="R84" s="24"/>
      <x:c r="S84" s="24"/>
      <x:c r="T84" s="24"/>
      <x:c r="U84" s="24"/>
      <x:c r="V84" s="24"/>
      <x:c r="W84" s="24"/>
      <x:c r="X84" s="24"/>
      <x:c r="Y84" s="24"/>
      <x:c r="Z84" s="24"/>
    </x:row>
    <x:row r="85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24"/>
      <x:c r="O85" s="24"/>
      <x:c r="P85" s="24"/>
      <x:c r="Q85" s="24"/>
      <x:c r="R85" s="24"/>
      <x:c r="S85" s="24"/>
      <x:c r="T85" s="24"/>
      <x:c r="U85" s="24"/>
      <x:c r="V85" s="24"/>
      <x:c r="W85" s="24"/>
      <x:c r="X85" s="24"/>
      <x:c r="Y85" s="24"/>
      <x:c r="Z85" s="24"/>
    </x:row>
    <x:row r="86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  <x:c r="K86" s="24"/>
      <x:c r="L86" s="24"/>
      <x:c r="M86" s="24"/>
      <x:c r="N86" s="24"/>
      <x:c r="O86" s="24"/>
      <x:c r="P86" s="24"/>
      <x:c r="Q86" s="24"/>
      <x:c r="R86" s="24"/>
      <x:c r="S86" s="24"/>
      <x:c r="T86" s="24"/>
      <x:c r="U86" s="24"/>
      <x:c r="V86" s="24"/>
      <x:c r="W86" s="24"/>
      <x:c r="X86" s="24"/>
      <x:c r="Y86" s="24"/>
      <x:c r="Z86" s="24"/>
    </x:row>
    <x:row r="87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  <x:c r="K87" s="24"/>
      <x:c r="L87" s="24"/>
      <x:c r="M87" s="24"/>
      <x:c r="N87" s="24"/>
      <x:c r="O87" s="24"/>
      <x:c r="P87" s="24"/>
      <x:c r="Q87" s="24"/>
      <x:c r="R87" s="24"/>
      <x:c r="S87" s="24"/>
      <x:c r="T87" s="24"/>
      <x:c r="U87" s="24"/>
      <x:c r="V87" s="24"/>
      <x:c r="W87" s="24"/>
      <x:c r="X87" s="24"/>
      <x:c r="Y87" s="24"/>
      <x:c r="Z87" s="24"/>
    </x:row>
    <x:row r="88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  <x:c r="K88" s="24"/>
      <x:c r="L88" s="24"/>
      <x:c r="M88" s="24"/>
      <x:c r="N88" s="24"/>
      <x:c r="O88" s="24"/>
      <x:c r="P88" s="24"/>
      <x:c r="Q88" s="24"/>
      <x:c r="R88" s="24"/>
      <x:c r="S88" s="24"/>
      <x:c r="T88" s="24"/>
      <x:c r="U88" s="24"/>
      <x:c r="V88" s="24"/>
      <x:c r="W88" s="24"/>
      <x:c r="X88" s="24"/>
      <x:c r="Y88" s="24"/>
      <x:c r="Z88" s="24"/>
    </x:row>
    <x:row r="89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  <x:c r="K89" s="24"/>
      <x:c r="L89" s="24"/>
      <x:c r="M89" s="24"/>
      <x:c r="N89" s="24"/>
      <x:c r="O89" s="24"/>
      <x:c r="P89" s="24"/>
      <x:c r="Q89" s="24"/>
      <x:c r="R89" s="24"/>
      <x:c r="S89" s="24"/>
      <x:c r="T89" s="24"/>
      <x:c r="U89" s="24"/>
      <x:c r="V89" s="24"/>
      <x:c r="W89" s="24"/>
      <x:c r="X89" s="24"/>
      <x:c r="Y89" s="24"/>
      <x:c r="Z89" s="24"/>
    </x:row>
    <x:row r="90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  <x:c r="K90" s="24"/>
      <x:c r="L90" s="24"/>
      <x:c r="M90" s="24"/>
      <x:c r="N90" s="24"/>
      <x:c r="O90" s="24"/>
      <x:c r="P90" s="24"/>
      <x:c r="Q90" s="24"/>
      <x:c r="R90" s="24"/>
      <x:c r="S90" s="24"/>
      <x:c r="T90" s="24"/>
      <x:c r="U90" s="24"/>
      <x:c r="V90" s="24"/>
      <x:c r="W90" s="24"/>
      <x:c r="X90" s="24"/>
      <x:c r="Y90" s="24"/>
      <x:c r="Z90" s="24"/>
    </x:row>
    <x:row r="91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  <x:c r="K91" s="24"/>
      <x:c r="L91" s="24"/>
      <x:c r="M91" s="24"/>
      <x:c r="N91" s="24"/>
      <x:c r="O91" s="24"/>
      <x:c r="P91" s="24"/>
      <x:c r="Q91" s="24"/>
      <x:c r="R91" s="24"/>
      <x:c r="S91" s="24"/>
      <x:c r="T91" s="24"/>
      <x:c r="U91" s="24"/>
      <x:c r="V91" s="24"/>
      <x:c r="W91" s="24"/>
      <x:c r="X91" s="24"/>
      <x:c r="Y91" s="24"/>
      <x:c r="Z91" s="24"/>
    </x:row>
    <x:row r="92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  <x:c r="K92" s="24"/>
      <x:c r="L92" s="24"/>
      <x:c r="M92" s="24"/>
      <x:c r="N92" s="24"/>
      <x:c r="O92" s="24"/>
      <x:c r="P92" s="24"/>
      <x:c r="Q92" s="24"/>
      <x:c r="R92" s="24"/>
      <x:c r="S92" s="24"/>
      <x:c r="T92" s="24"/>
      <x:c r="U92" s="24"/>
      <x:c r="V92" s="24"/>
      <x:c r="W92" s="24"/>
      <x:c r="X92" s="24"/>
      <x:c r="Y92" s="24"/>
      <x:c r="Z92" s="24"/>
    </x:row>
    <x:row r="93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  <x:c r="K93" s="24"/>
      <x:c r="L93" s="24"/>
      <x:c r="M93" s="24"/>
      <x:c r="N93" s="24"/>
      <x:c r="O93" s="24"/>
      <x:c r="P93" s="24"/>
      <x:c r="Q93" s="24"/>
      <x:c r="R93" s="24"/>
      <x:c r="S93" s="24"/>
      <x:c r="T93" s="24"/>
      <x:c r="U93" s="24"/>
      <x:c r="V93" s="24"/>
      <x:c r="W93" s="24"/>
      <x:c r="X93" s="24"/>
      <x:c r="Y93" s="24"/>
      <x:c r="Z93" s="24"/>
    </x:row>
    <x:row r="94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  <x:c r="K94" s="24"/>
      <x:c r="L94" s="24"/>
      <x:c r="M94" s="24"/>
      <x:c r="N94" s="24"/>
      <x:c r="O94" s="24"/>
      <x:c r="P94" s="24"/>
      <x:c r="Q94" s="24"/>
      <x:c r="R94" s="24"/>
      <x:c r="S94" s="24"/>
      <x:c r="T94" s="24"/>
      <x:c r="U94" s="24"/>
      <x:c r="V94" s="24"/>
      <x:c r="W94" s="24"/>
      <x:c r="X94" s="24"/>
      <x:c r="Y94" s="24"/>
      <x:c r="Z94" s="24"/>
    </x:row>
    <x:row r="95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  <x:c r="K95" s="24"/>
      <x:c r="L95" s="24"/>
      <x:c r="M95" s="24"/>
      <x:c r="N95" s="24"/>
      <x:c r="O95" s="24"/>
      <x:c r="P95" s="24"/>
      <x:c r="Q95" s="24"/>
      <x:c r="R95" s="24"/>
      <x:c r="S95" s="24"/>
      <x:c r="T95" s="24"/>
      <x:c r="U95" s="24"/>
      <x:c r="V95" s="24"/>
      <x:c r="W95" s="24"/>
      <x:c r="X95" s="24"/>
      <x:c r="Y95" s="24"/>
      <x:c r="Z95" s="24"/>
    </x:row>
    <x:row r="96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  <x:c r="K96" s="24"/>
      <x:c r="L96" s="24"/>
      <x:c r="M96" s="24"/>
      <x:c r="N96" s="24"/>
      <x:c r="O96" s="24"/>
      <x:c r="P96" s="24"/>
      <x:c r="Q96" s="24"/>
      <x:c r="R96" s="24"/>
      <x:c r="S96" s="24"/>
      <x:c r="T96" s="24"/>
      <x:c r="U96" s="24"/>
      <x:c r="V96" s="24"/>
      <x:c r="W96" s="24"/>
      <x:c r="X96" s="24"/>
      <x:c r="Y96" s="24"/>
      <x:c r="Z96" s="24"/>
    </x:row>
    <x:row r="97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24"/>
      <x:c r="O97" s="24"/>
      <x:c r="P97" s="24"/>
      <x:c r="Q97" s="24"/>
      <x:c r="R97" s="24"/>
      <x:c r="S97" s="24"/>
      <x:c r="T97" s="24"/>
      <x:c r="U97" s="24"/>
      <x:c r="V97" s="24"/>
      <x:c r="W97" s="24"/>
      <x:c r="X97" s="24"/>
      <x:c r="Y97" s="24"/>
      <x:c r="Z97" s="24"/>
    </x:row>
    <x:row r="98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24"/>
      <x:c r="O98" s="24"/>
      <x:c r="P98" s="24"/>
      <x:c r="Q98" s="24"/>
      <x:c r="R98" s="24"/>
      <x:c r="S98" s="24"/>
      <x:c r="T98" s="24"/>
      <x:c r="U98" s="24"/>
      <x:c r="V98" s="24"/>
      <x:c r="W98" s="24"/>
      <x:c r="X98" s="24"/>
      <x:c r="Y98" s="24"/>
      <x:c r="Z98" s="24"/>
    </x:row>
    <x:row r="99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  <x:c r="K99" s="24"/>
      <x:c r="L99" s="24"/>
      <x:c r="M99" s="24"/>
      <x:c r="N99" s="24"/>
      <x:c r="O99" s="24"/>
      <x:c r="P99" s="24"/>
      <x:c r="Q99" s="24"/>
      <x:c r="R99" s="24"/>
      <x:c r="S99" s="24"/>
      <x:c r="T99" s="24"/>
      <x:c r="U99" s="24"/>
      <x:c r="V99" s="24"/>
      <x:c r="W99" s="24"/>
      <x:c r="X99" s="24"/>
      <x:c r="Y99" s="24"/>
      <x:c r="Z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  <x:c r="L100" s="24"/>
      <x:c r="M100" s="24"/>
      <x:c r="N100" s="24"/>
      <x:c r="O100" s="24"/>
      <x:c r="P100" s="24"/>
      <x:c r="Q100" s="24"/>
      <x:c r="R100" s="24"/>
      <x:c r="S100" s="24"/>
      <x:c r="T100" s="24"/>
      <x:c r="U100" s="24"/>
      <x:c r="V100" s="24"/>
      <x:c r="W100" s="24"/>
      <x:c r="X100" s="24"/>
      <x:c r="Y100" s="24"/>
      <x:c r="Z100" s="24"/>
    </x:row>
    <x:row r="101">
      <x:c r="A101" s="24"/>
      <x:c r="B101" s="24"/>
      <x:c r="C101" s="24"/>
      <x:c r="D101" s="24"/>
      <x:c r="E101" s="24"/>
      <x:c r="F101" s="24"/>
      <x:c r="G101" s="24"/>
      <x:c r="H101" s="24"/>
      <x:c r="I101" s="24"/>
      <x:c r="J101" s="24"/>
      <x:c r="K101" s="24"/>
      <x:c r="L101" s="24"/>
      <x:c r="M101" s="24"/>
      <x:c r="N101" s="24"/>
      <x:c r="O101" s="24"/>
      <x:c r="P101" s="24"/>
      <x:c r="Q101" s="24"/>
      <x:c r="R101" s="24"/>
      <x:c r="S101" s="24"/>
      <x:c r="T101" s="24"/>
      <x:c r="U101" s="24"/>
      <x:c r="V101" s="24"/>
      <x:c r="W101" s="24"/>
      <x:c r="X101" s="24"/>
      <x:c r="Y101" s="24"/>
      <x:c r="Z101" s="24"/>
    </x:row>
    <x:row r="102">
      <x:c r="A102" s="24"/>
      <x:c r="B102" s="24"/>
      <x:c r="C102" s="24"/>
      <x:c r="D102" s="24"/>
      <x:c r="E102" s="24"/>
      <x:c r="F102" s="24"/>
      <x:c r="G102" s="24"/>
      <x:c r="H102" s="24"/>
      <x:c r="I102" s="24"/>
      <x:c r="J102" s="24"/>
      <x:c r="K102" s="24"/>
      <x:c r="L102" s="24"/>
      <x:c r="M102" s="24"/>
      <x:c r="N102" s="24"/>
      <x:c r="O102" s="24"/>
      <x:c r="P102" s="24"/>
      <x:c r="Q102" s="24"/>
      <x:c r="R102" s="24"/>
      <x:c r="S102" s="24"/>
      <x:c r="T102" s="24"/>
      <x:c r="U102" s="24"/>
      <x:c r="V102" s="24"/>
      <x:c r="W102" s="24"/>
      <x:c r="X102" s="24"/>
      <x:c r="Y102" s="24"/>
      <x:c r="Z102" s="24"/>
    </x:row>
    <x:row r="103">
      <x:c r="A103" s="24"/>
      <x:c r="B103" s="24"/>
      <x:c r="C103" s="24"/>
      <x:c r="D103" s="24"/>
      <x:c r="E103" s="24"/>
      <x:c r="F103" s="24"/>
      <x:c r="G103" s="24"/>
      <x:c r="H103" s="24"/>
      <x:c r="I103" s="24"/>
      <x:c r="J103" s="24"/>
      <x:c r="K103" s="24"/>
      <x:c r="L103" s="24"/>
      <x:c r="M103" s="24"/>
      <x:c r="N103" s="24"/>
      <x:c r="O103" s="24"/>
      <x:c r="P103" s="24"/>
      <x:c r="Q103" s="24"/>
      <x:c r="R103" s="24"/>
      <x:c r="S103" s="24"/>
      <x:c r="T103" s="24"/>
      <x:c r="U103" s="24"/>
      <x:c r="V103" s="24"/>
      <x:c r="W103" s="24"/>
      <x:c r="X103" s="24"/>
      <x:c r="Y103" s="24"/>
      <x:c r="Z103" s="24"/>
    </x:row>
    <x:row r="104">
      <x:c r="A104" s="24"/>
      <x:c r="B104" s="24"/>
      <x:c r="C104" s="24"/>
      <x:c r="D104" s="24"/>
      <x:c r="E104" s="24"/>
      <x:c r="F104" s="24"/>
      <x:c r="G104" s="24"/>
      <x:c r="H104" s="24"/>
      <x:c r="I104" s="24"/>
      <x:c r="J104" s="24"/>
      <x:c r="K104" s="24"/>
      <x:c r="L104" s="24"/>
      <x:c r="M104" s="24"/>
      <x:c r="N104" s="24"/>
      <x:c r="O104" s="24"/>
      <x:c r="P104" s="24"/>
      <x:c r="Q104" s="24"/>
      <x:c r="R104" s="24"/>
      <x:c r="S104" s="24"/>
      <x:c r="T104" s="24"/>
      <x:c r="U104" s="24"/>
      <x:c r="V104" s="24"/>
      <x:c r="W104" s="24"/>
      <x:c r="X104" s="24"/>
      <x:c r="Y104" s="24"/>
      <x:c r="Z104" s="24"/>
    </x:row>
    <x:row r="105">
      <x:c r="A105" s="24"/>
      <x:c r="B105" s="24"/>
      <x:c r="C105" s="24"/>
      <x:c r="D105" s="24"/>
      <x:c r="E105" s="24"/>
      <x:c r="F105" s="24"/>
      <x:c r="G105" s="24"/>
      <x:c r="H105" s="24"/>
      <x:c r="I105" s="24"/>
      <x:c r="J105" s="24"/>
      <x:c r="K105" s="24"/>
      <x:c r="L105" s="24"/>
      <x:c r="M105" s="24"/>
      <x:c r="N105" s="24"/>
      <x:c r="O105" s="24"/>
      <x:c r="P105" s="24"/>
      <x:c r="Q105" s="24"/>
      <x:c r="R105" s="24"/>
      <x:c r="S105" s="24"/>
      <x:c r="T105" s="24"/>
      <x:c r="U105" s="24"/>
      <x:c r="V105" s="24"/>
      <x:c r="W105" s="24"/>
      <x:c r="X105" s="24"/>
      <x:c r="Y105" s="24"/>
      <x:c r="Z105" s="24"/>
    </x:row>
    <x:row r="106">
      <x:c r="A106" s="24"/>
      <x:c r="B106" s="24"/>
      <x:c r="C106" s="24"/>
      <x:c r="D106" s="24"/>
      <x:c r="E106" s="24"/>
      <x:c r="F106" s="24"/>
      <x:c r="G106" s="24"/>
      <x:c r="H106" s="24"/>
      <x:c r="I106" s="24"/>
      <x:c r="J106" s="24"/>
      <x:c r="K106" s="24"/>
      <x:c r="L106" s="24"/>
      <x:c r="M106" s="24"/>
      <x:c r="N106" s="24"/>
      <x:c r="O106" s="24"/>
      <x:c r="P106" s="24"/>
      <x:c r="Q106" s="24"/>
      <x:c r="R106" s="24"/>
      <x:c r="S106" s="24"/>
      <x:c r="T106" s="24"/>
      <x:c r="U106" s="24"/>
      <x:c r="V106" s="24"/>
      <x:c r="W106" s="24"/>
      <x:c r="X106" s="24"/>
      <x:c r="Y106" s="24"/>
      <x:c r="Z106" s="24"/>
    </x:row>
    <x:row r="107">
      <x:c r="A107" s="24"/>
      <x:c r="B107" s="24"/>
      <x:c r="C107" s="24"/>
      <x:c r="D107" s="24"/>
      <x:c r="E107" s="24"/>
      <x:c r="F107" s="24"/>
      <x:c r="G107" s="24"/>
      <x:c r="H107" s="24"/>
      <x:c r="I107" s="24"/>
      <x:c r="J107" s="24"/>
      <x:c r="K107" s="24"/>
      <x:c r="L107" s="24"/>
      <x:c r="M107" s="24"/>
      <x:c r="N107" s="24"/>
      <x:c r="O107" s="24"/>
      <x:c r="P107" s="24"/>
      <x:c r="Q107" s="24"/>
      <x:c r="R107" s="24"/>
      <x:c r="S107" s="24"/>
      <x:c r="T107" s="24"/>
      <x:c r="U107" s="24"/>
      <x:c r="V107" s="24"/>
      <x:c r="W107" s="24"/>
      <x:c r="X107" s="24"/>
      <x:c r="Y107" s="24"/>
      <x:c r="Z107" s="24"/>
    </x:row>
    <x:row r="108">
      <x:c r="A108" s="24"/>
      <x:c r="B108" s="24"/>
      <x:c r="C108" s="24"/>
      <x:c r="D108" s="24"/>
      <x:c r="E108" s="24"/>
      <x:c r="F108" s="24"/>
      <x:c r="G108" s="24"/>
      <x:c r="H108" s="24"/>
      <x:c r="I108" s="24"/>
      <x:c r="J108" s="24"/>
      <x:c r="K108" s="24"/>
      <x:c r="L108" s="24"/>
      <x:c r="M108" s="24"/>
      <x:c r="N108" s="24"/>
      <x:c r="O108" s="24"/>
      <x:c r="P108" s="24"/>
      <x:c r="Q108" s="24"/>
      <x:c r="R108" s="24"/>
      <x:c r="S108" s="24"/>
      <x:c r="T108" s="24"/>
      <x:c r="U108" s="24"/>
      <x:c r="V108" s="24"/>
      <x:c r="W108" s="24"/>
      <x:c r="X108" s="24"/>
      <x:c r="Y108" s="24"/>
      <x:c r="Z108" s="24"/>
    </x:row>
    <x:row r="109">
      <x:c r="A109" s="24"/>
      <x:c r="B109" s="24"/>
      <x:c r="C109" s="24"/>
      <x:c r="D109" s="24"/>
      <x:c r="E109" s="24"/>
      <x:c r="F109" s="24"/>
      <x:c r="G109" s="24"/>
      <x:c r="H109" s="24"/>
      <x:c r="I109" s="24"/>
      <x:c r="J109" s="24"/>
      <x:c r="K109" s="24"/>
      <x:c r="L109" s="24"/>
      <x:c r="M109" s="24"/>
      <x:c r="N109" s="24"/>
      <x:c r="O109" s="24"/>
      <x:c r="P109" s="24"/>
      <x:c r="Q109" s="24"/>
      <x:c r="R109" s="24"/>
      <x:c r="S109" s="24"/>
      <x:c r="T109" s="24"/>
      <x:c r="U109" s="24"/>
      <x:c r="V109" s="24"/>
      <x:c r="W109" s="24"/>
      <x:c r="X109" s="24"/>
      <x:c r="Y109" s="24"/>
      <x:c r="Z109" s="24"/>
    </x:row>
    <x:row r="110">
      <x:c r="A110" s="24"/>
      <x:c r="B110" s="24"/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/>
      <x:c r="M110" s="24"/>
      <x:c r="N110" s="24"/>
      <x:c r="O110" s="24"/>
      <x:c r="P110" s="24"/>
      <x:c r="Q110" s="24"/>
      <x:c r="R110" s="24"/>
      <x:c r="S110" s="24"/>
      <x:c r="T110" s="24"/>
      <x:c r="U110" s="24"/>
      <x:c r="V110" s="24"/>
      <x:c r="W110" s="24"/>
      <x:c r="X110" s="24"/>
      <x:c r="Y110" s="24"/>
      <x:c r="Z110" s="24"/>
    </x:row>
    <x:row r="111">
      <x:c r="A111" s="24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P111" s="24"/>
      <x:c r="Q111" s="24"/>
      <x:c r="R111" s="24"/>
      <x:c r="S111" s="24"/>
      <x:c r="T111" s="24"/>
      <x:c r="U111" s="24"/>
      <x:c r="V111" s="24"/>
      <x:c r="W111" s="24"/>
      <x:c r="X111" s="24"/>
      <x:c r="Y111" s="24"/>
      <x:c r="Z111" s="24"/>
    </x:row>
    <x:row r="112">
      <x:c r="A112" s="24"/>
      <x:c r="B112" s="24"/>
      <x:c r="C112" s="24"/>
      <x:c r="D112" s="24"/>
      <x:c r="E112" s="24"/>
      <x:c r="F112" s="24"/>
      <x:c r="G112" s="24"/>
      <x:c r="H112" s="24"/>
      <x:c r="I112" s="24"/>
      <x:c r="J112" s="24"/>
      <x:c r="K112" s="24"/>
      <x:c r="L112" s="24"/>
      <x:c r="M112" s="24"/>
      <x:c r="N112" s="24"/>
      <x:c r="O112" s="24"/>
      <x:c r="P112" s="24"/>
      <x:c r="Q112" s="24"/>
      <x:c r="R112" s="24"/>
      <x:c r="S112" s="24"/>
      <x:c r="T112" s="24"/>
      <x:c r="U112" s="24"/>
      <x:c r="V112" s="24"/>
      <x:c r="W112" s="24"/>
      <x:c r="X112" s="24"/>
      <x:c r="Y112" s="24"/>
      <x:c r="Z112" s="24"/>
    </x:row>
    <x:row r="113">
      <x:c r="A113" s="24"/>
      <x:c r="B113" s="24"/>
      <x:c r="C113" s="24"/>
      <x:c r="D113" s="24"/>
      <x:c r="E113" s="24"/>
      <x:c r="F113" s="24"/>
      <x:c r="G113" s="24"/>
      <x:c r="H113" s="24"/>
      <x:c r="I113" s="24"/>
      <x:c r="J113" s="24"/>
      <x:c r="K113" s="24"/>
      <x:c r="L113" s="24"/>
      <x:c r="M113" s="24"/>
      <x:c r="N113" s="24"/>
      <x:c r="O113" s="24"/>
      <x:c r="P113" s="24"/>
      <x:c r="Q113" s="24"/>
      <x:c r="R113" s="24"/>
      <x:c r="S113" s="24"/>
      <x:c r="T113" s="24"/>
      <x:c r="U113" s="24"/>
      <x:c r="V113" s="24"/>
      <x:c r="W113" s="24"/>
      <x:c r="X113" s="24"/>
      <x:c r="Y113" s="24"/>
      <x:c r="Z113" s="24"/>
    </x:row>
    <x:row r="114">
      <x:c r="A114" s="24"/>
      <x:c r="B114" s="24"/>
      <x:c r="C114" s="24"/>
      <x:c r="D114" s="24"/>
      <x:c r="E114" s="24"/>
      <x:c r="F114" s="24"/>
      <x:c r="G114" s="24"/>
      <x:c r="H114" s="24"/>
      <x:c r="I114" s="24"/>
      <x:c r="J114" s="24"/>
      <x:c r="K114" s="24"/>
      <x:c r="L114" s="24"/>
      <x:c r="M114" s="24"/>
      <x:c r="N114" s="24"/>
      <x:c r="O114" s="24"/>
      <x:c r="P114" s="24"/>
      <x:c r="Q114" s="24"/>
      <x:c r="R114" s="24"/>
      <x:c r="S114" s="24"/>
      <x:c r="T114" s="24"/>
      <x:c r="U114" s="24"/>
      <x:c r="V114" s="24"/>
      <x:c r="W114" s="24"/>
      <x:c r="X114" s="24"/>
      <x:c r="Y114" s="24"/>
      <x:c r="Z114" s="24"/>
    </x:row>
    <x:row r="115">
      <x:c r="A115" s="24"/>
      <x:c r="B115" s="24"/>
      <x:c r="C115" s="24"/>
      <x:c r="D115" s="24"/>
      <x:c r="E115" s="24"/>
      <x:c r="F115" s="24"/>
      <x:c r="G115" s="24"/>
      <x:c r="H115" s="24"/>
      <x:c r="I115" s="24"/>
      <x:c r="J115" s="24"/>
      <x:c r="K115" s="24"/>
      <x:c r="L115" s="24"/>
      <x:c r="M115" s="24"/>
      <x:c r="N115" s="24"/>
      <x:c r="O115" s="24"/>
      <x:c r="P115" s="24"/>
      <x:c r="Q115" s="24"/>
      <x:c r="R115" s="24"/>
      <x:c r="S115" s="24"/>
      <x:c r="T115" s="24"/>
      <x:c r="U115" s="24"/>
      <x:c r="V115" s="24"/>
      <x:c r="W115" s="24"/>
      <x:c r="X115" s="24"/>
      <x:c r="Y115" s="24"/>
      <x:c r="Z115" s="24"/>
    </x:row>
    <x:row r="116">
      <x:c r="A116" s="24"/>
      <x:c r="B116" s="24"/>
      <x:c r="C116" s="24"/>
      <x:c r="D116" s="24"/>
      <x:c r="E116" s="24"/>
      <x:c r="F116" s="24"/>
      <x:c r="G116" s="24"/>
      <x:c r="H116" s="24"/>
      <x:c r="I116" s="24"/>
      <x:c r="J116" s="24"/>
      <x:c r="K116" s="24"/>
      <x:c r="L116" s="24"/>
      <x:c r="M116" s="24"/>
      <x:c r="N116" s="24"/>
      <x:c r="O116" s="24"/>
      <x:c r="P116" s="24"/>
      <x:c r="Q116" s="24"/>
      <x:c r="R116" s="24"/>
      <x:c r="S116" s="24"/>
      <x:c r="T116" s="24"/>
      <x:c r="U116" s="24"/>
      <x:c r="V116" s="24"/>
      <x:c r="W116" s="24"/>
      <x:c r="X116" s="24"/>
      <x:c r="Y116" s="24"/>
      <x:c r="Z116" s="24"/>
    </x:row>
    <x:row r="117">
      <x:c r="A117" s="24"/>
      <x:c r="B117" s="24"/>
      <x:c r="C117" s="24"/>
      <x:c r="D117" s="24"/>
      <x:c r="E117" s="24"/>
      <x:c r="F117" s="24"/>
      <x:c r="G117" s="24"/>
      <x:c r="H117" s="24"/>
      <x:c r="I117" s="24"/>
      <x:c r="J117" s="24"/>
      <x:c r="K117" s="24"/>
      <x:c r="L117" s="24"/>
      <x:c r="M117" s="24"/>
      <x:c r="N117" s="24"/>
      <x:c r="O117" s="24"/>
      <x:c r="P117" s="24"/>
      <x:c r="Q117" s="24"/>
      <x:c r="R117" s="24"/>
      <x:c r="S117" s="24"/>
      <x:c r="T117" s="24"/>
      <x:c r="U117" s="24"/>
      <x:c r="V117" s="24"/>
      <x:c r="W117" s="24"/>
      <x:c r="X117" s="24"/>
      <x:c r="Y117" s="24"/>
      <x:c r="Z117" s="24"/>
    </x:row>
    <x:row r="118">
      <x:c r="A118" s="24"/>
      <x:c r="B118" s="24"/>
      <x:c r="C118" s="24"/>
      <x:c r="D118" s="24"/>
      <x:c r="E118" s="24"/>
      <x:c r="F118" s="24"/>
      <x:c r="G118" s="24"/>
      <x:c r="H118" s="24"/>
      <x:c r="I118" s="24"/>
      <x:c r="J118" s="24"/>
      <x:c r="K118" s="24"/>
      <x:c r="L118" s="24"/>
      <x:c r="M118" s="24"/>
      <x:c r="N118" s="24"/>
      <x:c r="O118" s="24"/>
      <x:c r="P118" s="24"/>
      <x:c r="Q118" s="24"/>
      <x:c r="R118" s="24"/>
      <x:c r="S118" s="24"/>
      <x:c r="T118" s="24"/>
      <x:c r="U118" s="24"/>
      <x:c r="V118" s="24"/>
      <x:c r="W118" s="24"/>
      <x:c r="X118" s="24"/>
      <x:c r="Y118" s="24"/>
      <x:c r="Z118" s="24"/>
    </x:row>
    <x:row r="119">
      <x:c r="A119" s="24"/>
      <x:c r="B119" s="24"/>
      <x:c r="C119" s="24"/>
      <x:c r="D119" s="24"/>
      <x:c r="E119" s="24"/>
      <x:c r="F119" s="24"/>
      <x:c r="G119" s="24"/>
      <x:c r="H119" s="24"/>
      <x:c r="I119" s="24"/>
      <x:c r="J119" s="24"/>
      <x:c r="K119" s="24"/>
      <x:c r="L119" s="24"/>
      <x:c r="M119" s="24"/>
      <x:c r="N119" s="24"/>
      <x:c r="O119" s="24"/>
      <x:c r="P119" s="24"/>
      <x:c r="Q119" s="24"/>
      <x:c r="R119" s="24"/>
      <x:c r="S119" s="24"/>
      <x:c r="T119" s="24"/>
      <x:c r="U119" s="24"/>
      <x:c r="V119" s="24"/>
      <x:c r="W119" s="24"/>
      <x:c r="X119" s="24"/>
      <x:c r="Y119" s="24"/>
      <x:c r="Z119" s="24"/>
    </x:row>
    <x:row r="120">
      <x:c r="A120" s="24"/>
      <x:c r="B120" s="24"/>
      <x:c r="C120" s="24"/>
      <x:c r="D120" s="24"/>
      <x:c r="E120" s="24"/>
      <x:c r="F120" s="24"/>
      <x:c r="G120" s="24"/>
      <x:c r="H120" s="24"/>
      <x:c r="I120" s="24"/>
      <x:c r="J120" s="24"/>
      <x:c r="K120" s="24"/>
      <x:c r="L120" s="24"/>
      <x:c r="M120" s="24"/>
      <x:c r="N120" s="24"/>
      <x:c r="O120" s="24"/>
      <x:c r="P120" s="24"/>
      <x:c r="Q120" s="24"/>
      <x:c r="R120" s="24"/>
      <x:c r="S120" s="24"/>
      <x:c r="T120" s="24"/>
      <x:c r="U120" s="24"/>
      <x:c r="V120" s="24"/>
      <x:c r="W120" s="24"/>
      <x:c r="X120" s="24"/>
      <x:c r="Y120" s="24"/>
      <x:c r="Z120" s="24"/>
    </x:row>
    <x:row r="12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  <x:c r="K121" s="24"/>
      <x:c r="L121" s="24"/>
      <x:c r="M121" s="24"/>
      <x:c r="N121" s="24"/>
      <x:c r="O121" s="24"/>
      <x:c r="P121" s="24"/>
      <x:c r="Q121" s="24"/>
      <x:c r="R121" s="24"/>
      <x:c r="S121" s="24"/>
      <x:c r="T121" s="24"/>
      <x:c r="U121" s="24"/>
      <x:c r="V121" s="24"/>
      <x:c r="W121" s="24"/>
      <x:c r="X121" s="24"/>
      <x:c r="Y121" s="24"/>
      <x:c r="Z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  <x:c r="K122" s="24"/>
      <x:c r="L122" s="24"/>
      <x:c r="M122" s="24"/>
      <x:c r="N122" s="24"/>
      <x:c r="O122" s="24"/>
      <x:c r="P122" s="24"/>
      <x:c r="Q122" s="24"/>
      <x:c r="R122" s="24"/>
      <x:c r="S122" s="24"/>
      <x:c r="T122" s="24"/>
      <x:c r="U122" s="24"/>
      <x:c r="V122" s="24"/>
      <x:c r="W122" s="24"/>
      <x:c r="X122" s="24"/>
      <x:c r="Y122" s="24"/>
      <x:c r="Z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  <x:c r="M123" s="24"/>
      <x:c r="N123" s="24"/>
      <x:c r="O123" s="24"/>
      <x:c r="P123" s="24"/>
      <x:c r="Q123" s="24"/>
      <x:c r="R123" s="24"/>
      <x:c r="S123" s="24"/>
      <x:c r="T123" s="24"/>
      <x:c r="U123" s="24"/>
      <x:c r="V123" s="24"/>
      <x:c r="W123" s="24"/>
      <x:c r="X123" s="24"/>
      <x:c r="Y123" s="24"/>
      <x:c r="Z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  <x:c r="M124" s="24"/>
      <x:c r="N124" s="24"/>
      <x:c r="O124" s="24"/>
      <x:c r="P124" s="24"/>
      <x:c r="Q124" s="24"/>
      <x:c r="R124" s="24"/>
      <x:c r="S124" s="24"/>
      <x:c r="T124" s="24"/>
      <x:c r="U124" s="24"/>
      <x:c r="V124" s="24"/>
      <x:c r="W124" s="24"/>
      <x:c r="X124" s="24"/>
      <x:c r="Y124" s="24"/>
      <x:c r="Z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  <x:c r="K125" s="24"/>
      <x:c r="L125" s="24"/>
      <x:c r="M125" s="24"/>
      <x:c r="N125" s="24"/>
      <x:c r="O125" s="24"/>
      <x:c r="P125" s="24"/>
      <x:c r="Q125" s="24"/>
      <x:c r="R125" s="24"/>
      <x:c r="S125" s="24"/>
      <x:c r="T125" s="24"/>
      <x:c r="U125" s="24"/>
      <x:c r="V125" s="24"/>
      <x:c r="W125" s="24"/>
      <x:c r="X125" s="24"/>
      <x:c r="Y125" s="24"/>
      <x:c r="Z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  <x:c r="K126" s="24"/>
      <x:c r="L126" s="24"/>
      <x:c r="M126" s="24"/>
      <x:c r="N126" s="24"/>
      <x:c r="O126" s="24"/>
      <x:c r="P126" s="24"/>
      <x:c r="Q126" s="24"/>
      <x:c r="R126" s="24"/>
      <x:c r="S126" s="24"/>
      <x:c r="T126" s="24"/>
      <x:c r="U126" s="24"/>
      <x:c r="V126" s="24"/>
      <x:c r="W126" s="24"/>
      <x:c r="X126" s="24"/>
      <x:c r="Y126" s="24"/>
      <x:c r="Z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  <x:c r="K127" s="24"/>
      <x:c r="L127" s="24"/>
      <x:c r="M127" s="24"/>
      <x:c r="N127" s="24"/>
      <x:c r="O127" s="24"/>
      <x:c r="P127" s="24"/>
      <x:c r="Q127" s="24"/>
      <x:c r="R127" s="24"/>
      <x:c r="S127" s="24"/>
      <x:c r="T127" s="24"/>
      <x:c r="U127" s="24"/>
      <x:c r="V127" s="24"/>
      <x:c r="W127" s="24"/>
      <x:c r="X127" s="24"/>
      <x:c r="Y127" s="24"/>
      <x:c r="Z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  <x:c r="K128" s="24"/>
      <x:c r="L128" s="24"/>
      <x:c r="M128" s="24"/>
      <x:c r="N128" s="24"/>
      <x:c r="O128" s="24"/>
      <x:c r="P128" s="24"/>
      <x:c r="Q128" s="24"/>
      <x:c r="R128" s="24"/>
      <x:c r="S128" s="24"/>
      <x:c r="T128" s="24"/>
      <x:c r="U128" s="24"/>
      <x:c r="V128" s="24"/>
      <x:c r="W128" s="24"/>
      <x:c r="X128" s="24"/>
      <x:c r="Y128" s="24"/>
      <x:c r="Z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  <x:c r="K129" s="24"/>
      <x:c r="L129" s="24"/>
      <x:c r="M129" s="24"/>
      <x:c r="N129" s="24"/>
      <x:c r="O129" s="24"/>
      <x:c r="P129" s="24"/>
      <x:c r="Q129" s="24"/>
      <x:c r="R129" s="24"/>
      <x:c r="S129" s="24"/>
      <x:c r="T129" s="24"/>
      <x:c r="U129" s="24"/>
      <x:c r="V129" s="24"/>
      <x:c r="W129" s="24"/>
      <x:c r="X129" s="24"/>
      <x:c r="Y129" s="24"/>
      <x:c r="Z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  <x:c r="K130" s="24"/>
      <x:c r="L130" s="24"/>
      <x:c r="M130" s="24"/>
      <x:c r="N130" s="24"/>
      <x:c r="O130" s="24"/>
      <x:c r="P130" s="24"/>
      <x:c r="Q130" s="24"/>
      <x:c r="R130" s="24"/>
      <x:c r="S130" s="24"/>
      <x:c r="T130" s="24"/>
      <x:c r="U130" s="24"/>
      <x:c r="V130" s="24"/>
      <x:c r="W130" s="24"/>
      <x:c r="X130" s="24"/>
      <x:c r="Y130" s="24"/>
      <x:c r="Z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  <x:c r="K131" s="24"/>
      <x:c r="L131" s="24"/>
      <x:c r="M131" s="24"/>
      <x:c r="N131" s="24"/>
      <x:c r="O131" s="24"/>
      <x:c r="P131" s="24"/>
      <x:c r="Q131" s="24"/>
      <x:c r="R131" s="24"/>
      <x:c r="S131" s="24"/>
      <x:c r="T131" s="24"/>
      <x:c r="U131" s="24"/>
      <x:c r="V131" s="24"/>
      <x:c r="W131" s="24"/>
      <x:c r="X131" s="24"/>
      <x:c r="Y131" s="24"/>
      <x:c r="Z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  <x:c r="K132" s="24"/>
      <x:c r="L132" s="24"/>
      <x:c r="M132" s="24"/>
      <x:c r="N132" s="24"/>
      <x:c r="O132" s="24"/>
      <x:c r="P132" s="24"/>
      <x:c r="Q132" s="24"/>
      <x:c r="R132" s="24"/>
      <x:c r="S132" s="24"/>
      <x:c r="T132" s="24"/>
      <x:c r="U132" s="24"/>
      <x:c r="V132" s="24"/>
      <x:c r="W132" s="24"/>
      <x:c r="X132" s="24"/>
      <x:c r="Y132" s="24"/>
      <x:c r="Z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  <x:c r="K133" s="24"/>
      <x:c r="L133" s="24"/>
      <x:c r="M133" s="24"/>
      <x:c r="N133" s="24"/>
      <x:c r="O133" s="24"/>
      <x:c r="P133" s="24"/>
      <x:c r="Q133" s="24"/>
      <x:c r="R133" s="24"/>
      <x:c r="S133" s="24"/>
      <x:c r="T133" s="24"/>
      <x:c r="U133" s="24"/>
      <x:c r="V133" s="24"/>
      <x:c r="W133" s="24"/>
      <x:c r="X133" s="24"/>
      <x:c r="Y133" s="24"/>
      <x:c r="Z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  <x:c r="K134" s="24"/>
      <x:c r="L134" s="24"/>
      <x:c r="M134" s="24"/>
      <x:c r="N134" s="24"/>
      <x:c r="O134" s="24"/>
      <x:c r="P134" s="24"/>
      <x:c r="Q134" s="24"/>
      <x:c r="R134" s="24"/>
      <x:c r="S134" s="24"/>
      <x:c r="T134" s="24"/>
      <x:c r="U134" s="24"/>
      <x:c r="V134" s="24"/>
      <x:c r="W134" s="24"/>
      <x:c r="X134" s="24"/>
      <x:c r="Y134" s="24"/>
      <x:c r="Z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  <x:c r="K135" s="24"/>
      <x:c r="L135" s="24"/>
      <x:c r="M135" s="24"/>
      <x:c r="N135" s="24"/>
      <x:c r="O135" s="24"/>
      <x:c r="P135" s="24"/>
      <x:c r="Q135" s="24"/>
      <x:c r="R135" s="24"/>
      <x:c r="S135" s="24"/>
      <x:c r="T135" s="24"/>
      <x:c r="U135" s="24"/>
      <x:c r="V135" s="24"/>
      <x:c r="W135" s="24"/>
      <x:c r="X135" s="24"/>
      <x:c r="Y135" s="24"/>
      <x:c r="Z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  <x:c r="K136" s="24"/>
      <x:c r="L136" s="24"/>
      <x:c r="M136" s="24"/>
      <x:c r="N136" s="24"/>
      <x:c r="O136" s="24"/>
      <x:c r="P136" s="24"/>
      <x:c r="Q136" s="24"/>
      <x:c r="R136" s="24"/>
      <x:c r="S136" s="24"/>
      <x:c r="T136" s="24"/>
      <x:c r="U136" s="24"/>
      <x:c r="V136" s="24"/>
      <x:c r="W136" s="24"/>
      <x:c r="X136" s="24"/>
      <x:c r="Y136" s="24"/>
      <x:c r="Z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  <x:c r="L137" s="24"/>
      <x:c r="M137" s="24"/>
      <x:c r="N137" s="24"/>
      <x:c r="O137" s="24"/>
      <x:c r="P137" s="24"/>
      <x:c r="Q137" s="24"/>
      <x:c r="R137" s="24"/>
      <x:c r="S137" s="24"/>
      <x:c r="T137" s="24"/>
      <x:c r="U137" s="24"/>
      <x:c r="V137" s="24"/>
      <x:c r="W137" s="24"/>
      <x:c r="X137" s="24"/>
      <x:c r="Y137" s="24"/>
      <x:c r="Z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  <x:c r="K138" s="24"/>
      <x:c r="L138" s="24"/>
      <x:c r="M138" s="24"/>
      <x:c r="N138" s="24"/>
      <x:c r="O138" s="24"/>
      <x:c r="P138" s="24"/>
      <x:c r="Q138" s="24"/>
      <x:c r="R138" s="24"/>
      <x:c r="S138" s="24"/>
      <x:c r="T138" s="24"/>
      <x:c r="U138" s="24"/>
      <x:c r="V138" s="24"/>
      <x:c r="W138" s="24"/>
      <x:c r="X138" s="24"/>
      <x:c r="Y138" s="24"/>
      <x:c r="Z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  <x:c r="K139" s="24"/>
      <x:c r="L139" s="24"/>
      <x:c r="M139" s="24"/>
      <x:c r="N139" s="24"/>
      <x:c r="O139" s="24"/>
      <x:c r="P139" s="24"/>
      <x:c r="Q139" s="24"/>
      <x:c r="R139" s="24"/>
      <x:c r="S139" s="24"/>
      <x:c r="T139" s="24"/>
      <x:c r="U139" s="24"/>
      <x:c r="V139" s="24"/>
      <x:c r="W139" s="24"/>
      <x:c r="X139" s="24"/>
      <x:c r="Y139" s="24"/>
      <x:c r="Z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  <x:c r="K140" s="24"/>
      <x:c r="L140" s="24"/>
      <x:c r="M140" s="24"/>
      <x:c r="N140" s="24"/>
      <x:c r="O140" s="24"/>
      <x:c r="P140" s="24"/>
      <x:c r="Q140" s="24"/>
      <x:c r="R140" s="24"/>
      <x:c r="S140" s="24"/>
      <x:c r="T140" s="24"/>
      <x:c r="U140" s="24"/>
      <x:c r="V140" s="24"/>
      <x:c r="W140" s="24"/>
      <x:c r="X140" s="24"/>
      <x:c r="Y140" s="24"/>
      <x:c r="Z140" s="24"/>
    </x:row>
    <x:row r="141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  <x:c r="K141" s="24"/>
      <x:c r="L141" s="24"/>
      <x:c r="M141" s="24"/>
      <x:c r="N141" s="24"/>
      <x:c r="O141" s="24"/>
      <x:c r="P141" s="24"/>
      <x:c r="Q141" s="24"/>
      <x:c r="R141" s="24"/>
      <x:c r="S141" s="24"/>
      <x:c r="T141" s="24"/>
      <x:c r="U141" s="24"/>
      <x:c r="V141" s="24"/>
      <x:c r="W141" s="24"/>
      <x:c r="X141" s="24"/>
      <x:c r="Y141" s="24"/>
      <x:c r="Z141" s="24"/>
    </x:row>
    <x:row r="142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  <x:c r="K142" s="24"/>
      <x:c r="L142" s="24"/>
      <x:c r="M142" s="24"/>
      <x:c r="N142" s="24"/>
      <x:c r="O142" s="24"/>
      <x:c r="P142" s="24"/>
      <x:c r="Q142" s="24"/>
      <x:c r="R142" s="24"/>
      <x:c r="S142" s="24"/>
      <x:c r="T142" s="24"/>
      <x:c r="U142" s="24"/>
      <x:c r="V142" s="24"/>
      <x:c r="W142" s="24"/>
      <x:c r="X142" s="24"/>
      <x:c r="Y142" s="24"/>
      <x:c r="Z142" s="24"/>
    </x:row>
    <x:row r="143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  <x:c r="K143" s="24"/>
      <x:c r="L143" s="24"/>
      <x:c r="M143" s="24"/>
      <x:c r="N143" s="24"/>
      <x:c r="O143" s="24"/>
      <x:c r="P143" s="24"/>
      <x:c r="Q143" s="24"/>
      <x:c r="R143" s="24"/>
      <x:c r="S143" s="24"/>
      <x:c r="T143" s="24"/>
      <x:c r="U143" s="24"/>
      <x:c r="V143" s="24"/>
      <x:c r="W143" s="24"/>
      <x:c r="X143" s="24"/>
      <x:c r="Y143" s="24"/>
      <x:c r="Z143" s="24"/>
    </x:row>
    <x:row r="144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  <x:c r="K144" s="24"/>
      <x:c r="L144" s="24"/>
      <x:c r="M144" s="24"/>
      <x:c r="N144" s="24"/>
      <x:c r="O144" s="24"/>
      <x:c r="P144" s="24"/>
      <x:c r="Q144" s="24"/>
      <x:c r="R144" s="24"/>
      <x:c r="S144" s="24"/>
      <x:c r="T144" s="24"/>
      <x:c r="U144" s="24"/>
      <x:c r="V144" s="24"/>
      <x:c r="W144" s="24"/>
      <x:c r="X144" s="24"/>
      <x:c r="Y144" s="24"/>
      <x:c r="Z144" s="24"/>
    </x:row>
    <x:row r="145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  <x:c r="K145" s="24"/>
      <x:c r="L145" s="24"/>
      <x:c r="M145" s="24"/>
      <x:c r="N145" s="24"/>
      <x:c r="O145" s="24"/>
      <x:c r="P145" s="24"/>
      <x:c r="Q145" s="24"/>
      <x:c r="R145" s="24"/>
      <x:c r="S145" s="24"/>
      <x:c r="T145" s="24"/>
      <x:c r="U145" s="24"/>
      <x:c r="V145" s="24"/>
      <x:c r="W145" s="24"/>
      <x:c r="X145" s="24"/>
      <x:c r="Y145" s="24"/>
      <x:c r="Z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  <x:c r="K146" s="24"/>
      <x:c r="L146" s="24"/>
      <x:c r="M146" s="24"/>
      <x:c r="N146" s="24"/>
      <x:c r="O146" s="24"/>
      <x:c r="P146" s="24"/>
      <x:c r="Q146" s="24"/>
      <x:c r="R146" s="24"/>
      <x:c r="S146" s="24"/>
      <x:c r="T146" s="24"/>
      <x:c r="U146" s="24"/>
      <x:c r="V146" s="24"/>
      <x:c r="W146" s="24"/>
      <x:c r="X146" s="24"/>
      <x:c r="Y146" s="24"/>
      <x:c r="Z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  <x:c r="K147" s="24"/>
      <x:c r="L147" s="24"/>
      <x:c r="M147" s="24"/>
      <x:c r="N147" s="24"/>
      <x:c r="O147" s="24"/>
      <x:c r="P147" s="24"/>
      <x:c r="Q147" s="24"/>
      <x:c r="R147" s="24"/>
      <x:c r="S147" s="24"/>
      <x:c r="T147" s="24"/>
      <x:c r="U147" s="24"/>
      <x:c r="V147" s="24"/>
      <x:c r="W147" s="24"/>
      <x:c r="X147" s="24"/>
      <x:c r="Y147" s="24"/>
      <x:c r="Z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  <x:c r="K148" s="24"/>
      <x:c r="L148" s="24"/>
      <x:c r="M148" s="24"/>
      <x:c r="N148" s="24"/>
      <x:c r="O148" s="24"/>
      <x:c r="P148" s="24"/>
      <x:c r="Q148" s="24"/>
      <x:c r="R148" s="24"/>
      <x:c r="S148" s="24"/>
      <x:c r="T148" s="24"/>
      <x:c r="U148" s="24"/>
      <x:c r="V148" s="24"/>
      <x:c r="W148" s="24"/>
      <x:c r="X148" s="24"/>
      <x:c r="Y148" s="24"/>
      <x:c r="Z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  <x:c r="K149" s="24"/>
      <x:c r="L149" s="24"/>
      <x:c r="M149" s="24"/>
      <x:c r="N149" s="24"/>
      <x:c r="O149" s="24"/>
      <x:c r="P149" s="24"/>
      <x:c r="Q149" s="24"/>
      <x:c r="R149" s="24"/>
      <x:c r="S149" s="24"/>
      <x:c r="T149" s="24"/>
      <x:c r="U149" s="24"/>
      <x:c r="V149" s="24"/>
      <x:c r="W149" s="24"/>
      <x:c r="X149" s="24"/>
      <x:c r="Y149" s="24"/>
      <x:c r="Z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  <x:c r="L150" s="24"/>
      <x:c r="M150" s="24"/>
      <x:c r="N150" s="24"/>
      <x:c r="O150" s="24"/>
      <x:c r="P150" s="24"/>
      <x:c r="Q150" s="24"/>
      <x:c r="R150" s="24"/>
      <x:c r="S150" s="24"/>
      <x:c r="T150" s="24"/>
      <x:c r="U150" s="24"/>
      <x:c r="V150" s="24"/>
      <x:c r="W150" s="24"/>
      <x:c r="X150" s="24"/>
      <x:c r="Y150" s="24"/>
      <x:c r="Z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  <x:c r="K151" s="24"/>
      <x:c r="L151" s="24"/>
      <x:c r="M151" s="24"/>
      <x:c r="N151" s="24"/>
      <x:c r="O151" s="24"/>
      <x:c r="P151" s="24"/>
      <x:c r="Q151" s="24"/>
      <x:c r="R151" s="24"/>
      <x:c r="S151" s="24"/>
      <x:c r="T151" s="24"/>
      <x:c r="U151" s="24"/>
      <x:c r="V151" s="24"/>
      <x:c r="W151" s="24"/>
      <x:c r="X151" s="24"/>
      <x:c r="Y151" s="24"/>
      <x:c r="Z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  <x:c r="K152" s="24"/>
      <x:c r="L152" s="24"/>
      <x:c r="M152" s="24"/>
      <x:c r="N152" s="24"/>
      <x:c r="O152" s="24"/>
      <x:c r="P152" s="24"/>
      <x:c r="Q152" s="24"/>
      <x:c r="R152" s="24"/>
      <x:c r="S152" s="24"/>
      <x:c r="T152" s="24"/>
      <x:c r="U152" s="24"/>
      <x:c r="V152" s="24"/>
      <x:c r="W152" s="24"/>
      <x:c r="X152" s="24"/>
      <x:c r="Y152" s="24"/>
      <x:c r="Z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  <x:c r="K153" s="24"/>
      <x:c r="L153" s="24"/>
      <x:c r="M153" s="24"/>
      <x:c r="N153" s="24"/>
      <x:c r="O153" s="24"/>
      <x:c r="P153" s="24"/>
      <x:c r="Q153" s="24"/>
      <x:c r="R153" s="24"/>
      <x:c r="S153" s="24"/>
      <x:c r="T153" s="24"/>
      <x:c r="U153" s="24"/>
      <x:c r="V153" s="24"/>
      <x:c r="W153" s="24"/>
      <x:c r="X153" s="24"/>
      <x:c r="Y153" s="24"/>
      <x:c r="Z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  <x:c r="K154" s="24"/>
      <x:c r="L154" s="24"/>
      <x:c r="M154" s="24"/>
      <x:c r="N154" s="24"/>
      <x:c r="O154" s="24"/>
      <x:c r="P154" s="24"/>
      <x:c r="Q154" s="24"/>
      <x:c r="R154" s="24"/>
      <x:c r="S154" s="24"/>
      <x:c r="T154" s="24"/>
      <x:c r="U154" s="24"/>
      <x:c r="V154" s="24"/>
      <x:c r="W154" s="24"/>
      <x:c r="X154" s="24"/>
      <x:c r="Y154" s="24"/>
      <x:c r="Z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  <x:c r="K155" s="24"/>
      <x:c r="L155" s="24"/>
      <x:c r="M155" s="24"/>
      <x:c r="N155" s="24"/>
      <x:c r="O155" s="24"/>
      <x:c r="P155" s="24"/>
      <x:c r="Q155" s="24"/>
      <x:c r="R155" s="24"/>
      <x:c r="S155" s="24"/>
      <x:c r="T155" s="24"/>
      <x:c r="U155" s="24"/>
      <x:c r="V155" s="24"/>
      <x:c r="W155" s="24"/>
      <x:c r="X155" s="24"/>
      <x:c r="Y155" s="24"/>
      <x:c r="Z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  <x:c r="K156" s="24"/>
      <x:c r="L156" s="24"/>
      <x:c r="M156" s="24"/>
      <x:c r="N156" s="24"/>
      <x:c r="O156" s="24"/>
      <x:c r="P156" s="24"/>
      <x:c r="Q156" s="24"/>
      <x:c r="R156" s="24"/>
      <x:c r="S156" s="24"/>
      <x:c r="T156" s="24"/>
      <x:c r="U156" s="24"/>
      <x:c r="V156" s="24"/>
      <x:c r="W156" s="24"/>
      <x:c r="X156" s="24"/>
      <x:c r="Y156" s="24"/>
      <x:c r="Z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  <x:c r="K157" s="24"/>
      <x:c r="L157" s="24"/>
      <x:c r="M157" s="24"/>
      <x:c r="N157" s="24"/>
      <x:c r="O157" s="24"/>
      <x:c r="P157" s="24"/>
      <x:c r="Q157" s="24"/>
      <x:c r="R157" s="24"/>
      <x:c r="S157" s="24"/>
      <x:c r="T157" s="24"/>
      <x:c r="U157" s="24"/>
      <x:c r="V157" s="24"/>
      <x:c r="W157" s="24"/>
      <x:c r="X157" s="24"/>
      <x:c r="Y157" s="24"/>
      <x:c r="Z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  <x:c r="K158" s="24"/>
      <x:c r="L158" s="24"/>
      <x:c r="M158" s="24"/>
      <x:c r="N158" s="24"/>
      <x:c r="O158" s="24"/>
      <x:c r="P158" s="24"/>
      <x:c r="Q158" s="24"/>
      <x:c r="R158" s="24"/>
      <x:c r="S158" s="24"/>
      <x:c r="T158" s="24"/>
      <x:c r="U158" s="24"/>
      <x:c r="V158" s="24"/>
      <x:c r="W158" s="24"/>
      <x:c r="X158" s="24"/>
      <x:c r="Y158" s="24"/>
      <x:c r="Z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  <x:c r="K159" s="24"/>
      <x:c r="L159" s="24"/>
      <x:c r="M159" s="24"/>
      <x:c r="N159" s="24"/>
      <x:c r="O159" s="24"/>
      <x:c r="P159" s="24"/>
      <x:c r="Q159" s="24"/>
      <x:c r="R159" s="24"/>
      <x:c r="S159" s="24"/>
      <x:c r="T159" s="24"/>
      <x:c r="U159" s="24"/>
      <x:c r="V159" s="24"/>
      <x:c r="W159" s="24"/>
      <x:c r="X159" s="24"/>
      <x:c r="Y159" s="24"/>
      <x:c r="Z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  <x:c r="K160" s="24"/>
      <x:c r="L160" s="24"/>
      <x:c r="M160" s="24"/>
      <x:c r="N160" s="24"/>
      <x:c r="O160" s="24"/>
      <x:c r="P160" s="24"/>
      <x:c r="Q160" s="24"/>
      <x:c r="R160" s="24"/>
      <x:c r="S160" s="24"/>
      <x:c r="T160" s="24"/>
      <x:c r="U160" s="24"/>
      <x:c r="V160" s="24"/>
      <x:c r="W160" s="24"/>
      <x:c r="X160" s="24"/>
      <x:c r="Y160" s="24"/>
      <x:c r="Z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  <x:c r="K161" s="24"/>
      <x:c r="L161" s="24"/>
      <x:c r="M161" s="24"/>
      <x:c r="N161" s="24"/>
      <x:c r="O161" s="24"/>
      <x:c r="P161" s="24"/>
      <x:c r="Q161" s="24"/>
      <x:c r="R161" s="24"/>
      <x:c r="S161" s="24"/>
      <x:c r="T161" s="24"/>
      <x:c r="U161" s="24"/>
      <x:c r="V161" s="24"/>
      <x:c r="W161" s="24"/>
      <x:c r="X161" s="24"/>
      <x:c r="Y161" s="24"/>
      <x:c r="Z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  <x:c r="K162" s="24"/>
      <x:c r="L162" s="24"/>
      <x:c r="M162" s="24"/>
      <x:c r="N162" s="24"/>
      <x:c r="O162" s="24"/>
      <x:c r="P162" s="24"/>
      <x:c r="Q162" s="24"/>
      <x:c r="R162" s="24"/>
      <x:c r="S162" s="24"/>
      <x:c r="T162" s="24"/>
      <x:c r="U162" s="24"/>
      <x:c r="V162" s="24"/>
      <x:c r="W162" s="24"/>
      <x:c r="X162" s="24"/>
      <x:c r="Y162" s="24"/>
      <x:c r="Z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  <x:c r="K163" s="24"/>
      <x:c r="L163" s="24"/>
      <x:c r="M163" s="24"/>
      <x:c r="N163" s="24"/>
      <x:c r="O163" s="24"/>
      <x:c r="P163" s="24"/>
      <x:c r="Q163" s="24"/>
      <x:c r="R163" s="24"/>
      <x:c r="S163" s="24"/>
      <x:c r="T163" s="24"/>
      <x:c r="U163" s="24"/>
      <x:c r="V163" s="24"/>
      <x:c r="W163" s="24"/>
      <x:c r="X163" s="24"/>
      <x:c r="Y163" s="24"/>
      <x:c r="Z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  <x:c r="K164" s="24"/>
      <x:c r="L164" s="24"/>
      <x:c r="M164" s="24"/>
      <x:c r="N164" s="24"/>
      <x:c r="O164" s="24"/>
      <x:c r="P164" s="24"/>
      <x:c r="Q164" s="24"/>
      <x:c r="R164" s="24"/>
      <x:c r="S164" s="24"/>
      <x:c r="T164" s="24"/>
      <x:c r="U164" s="24"/>
      <x:c r="V164" s="24"/>
      <x:c r="W164" s="24"/>
      <x:c r="X164" s="24"/>
      <x:c r="Y164" s="24"/>
      <x:c r="Z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  <x:c r="K165" s="24"/>
      <x:c r="L165" s="24"/>
      <x:c r="M165" s="24"/>
      <x:c r="N165" s="24"/>
      <x:c r="O165" s="24"/>
      <x:c r="P165" s="24"/>
      <x:c r="Q165" s="24"/>
      <x:c r="R165" s="24"/>
      <x:c r="S165" s="24"/>
      <x:c r="T165" s="24"/>
      <x:c r="U165" s="24"/>
      <x:c r="V165" s="24"/>
      <x:c r="W165" s="24"/>
      <x:c r="X165" s="24"/>
      <x:c r="Y165" s="24"/>
      <x:c r="Z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  <x:c r="K166" s="24"/>
      <x:c r="L166" s="24"/>
      <x:c r="M166" s="24"/>
      <x:c r="N166" s="24"/>
      <x:c r="O166" s="24"/>
      <x:c r="P166" s="24"/>
      <x:c r="Q166" s="24"/>
      <x:c r="R166" s="24"/>
      <x:c r="S166" s="24"/>
      <x:c r="T166" s="24"/>
      <x:c r="U166" s="24"/>
      <x:c r="V166" s="24"/>
      <x:c r="W166" s="24"/>
      <x:c r="X166" s="24"/>
      <x:c r="Y166" s="24"/>
      <x:c r="Z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  <x:c r="K167" s="24"/>
      <x:c r="L167" s="24"/>
      <x:c r="M167" s="24"/>
      <x:c r="N167" s="24"/>
      <x:c r="O167" s="24"/>
      <x:c r="P167" s="24"/>
      <x:c r="Q167" s="24"/>
      <x:c r="R167" s="24"/>
      <x:c r="S167" s="24"/>
      <x:c r="T167" s="24"/>
      <x:c r="U167" s="24"/>
      <x:c r="V167" s="24"/>
      <x:c r="W167" s="24"/>
      <x:c r="X167" s="24"/>
      <x:c r="Y167" s="24"/>
      <x:c r="Z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  <x:c r="K168" s="24"/>
      <x:c r="L168" s="24"/>
      <x:c r="M168" s="24"/>
      <x:c r="N168" s="24"/>
      <x:c r="O168" s="24"/>
      <x:c r="P168" s="24"/>
      <x:c r="Q168" s="24"/>
      <x:c r="R168" s="24"/>
      <x:c r="S168" s="24"/>
      <x:c r="T168" s="24"/>
      <x:c r="U168" s="24"/>
      <x:c r="V168" s="24"/>
      <x:c r="W168" s="24"/>
      <x:c r="X168" s="24"/>
      <x:c r="Y168" s="24"/>
      <x:c r="Z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  <x:c r="K169" s="24"/>
      <x:c r="L169" s="24"/>
      <x:c r="M169" s="24"/>
      <x:c r="N169" s="24"/>
      <x:c r="O169" s="24"/>
      <x:c r="P169" s="24"/>
      <x:c r="Q169" s="24"/>
      <x:c r="R169" s="24"/>
      <x:c r="S169" s="24"/>
      <x:c r="T169" s="24"/>
      <x:c r="U169" s="24"/>
      <x:c r="V169" s="24"/>
      <x:c r="W169" s="24"/>
      <x:c r="X169" s="24"/>
      <x:c r="Y169" s="24"/>
      <x:c r="Z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  <x:c r="K170" s="24"/>
      <x:c r="L170" s="24"/>
      <x:c r="M170" s="24"/>
      <x:c r="N170" s="24"/>
      <x:c r="O170" s="24"/>
      <x:c r="P170" s="24"/>
      <x:c r="Q170" s="24"/>
      <x:c r="R170" s="24"/>
      <x:c r="S170" s="24"/>
      <x:c r="T170" s="24"/>
      <x:c r="U170" s="24"/>
      <x:c r="V170" s="24"/>
      <x:c r="W170" s="24"/>
      <x:c r="X170" s="24"/>
      <x:c r="Y170" s="24"/>
      <x:c r="Z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  <x:c r="K171" s="24"/>
      <x:c r="L171" s="24"/>
      <x:c r="M171" s="24"/>
      <x:c r="N171" s="24"/>
      <x:c r="O171" s="24"/>
      <x:c r="P171" s="24"/>
      <x:c r="Q171" s="24"/>
      <x:c r="R171" s="24"/>
      <x:c r="S171" s="24"/>
      <x:c r="T171" s="24"/>
      <x:c r="U171" s="24"/>
      <x:c r="V171" s="24"/>
      <x:c r="W171" s="24"/>
      <x:c r="X171" s="24"/>
      <x:c r="Y171" s="24"/>
      <x:c r="Z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  <x:c r="K172" s="24"/>
      <x:c r="L172" s="24"/>
      <x:c r="M172" s="24"/>
      <x:c r="N172" s="24"/>
      <x:c r="O172" s="24"/>
      <x:c r="P172" s="24"/>
      <x:c r="Q172" s="24"/>
      <x:c r="R172" s="24"/>
      <x:c r="S172" s="24"/>
      <x:c r="T172" s="24"/>
      <x:c r="U172" s="24"/>
      <x:c r="V172" s="24"/>
      <x:c r="W172" s="24"/>
      <x:c r="X172" s="24"/>
      <x:c r="Y172" s="24"/>
      <x:c r="Z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  <x:c r="K173" s="24"/>
      <x:c r="L173" s="24"/>
      <x:c r="M173" s="24"/>
      <x:c r="N173" s="24"/>
      <x:c r="O173" s="24"/>
      <x:c r="P173" s="24"/>
      <x:c r="Q173" s="24"/>
      <x:c r="R173" s="24"/>
      <x:c r="S173" s="24"/>
      <x:c r="T173" s="24"/>
      <x:c r="U173" s="24"/>
      <x:c r="V173" s="24"/>
      <x:c r="W173" s="24"/>
      <x:c r="X173" s="24"/>
      <x:c r="Y173" s="24"/>
      <x:c r="Z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  <x:c r="K174" s="24"/>
      <x:c r="L174" s="24"/>
      <x:c r="M174" s="24"/>
      <x:c r="N174" s="24"/>
      <x:c r="O174" s="24"/>
      <x:c r="P174" s="24"/>
      <x:c r="Q174" s="24"/>
      <x:c r="R174" s="24"/>
      <x:c r="S174" s="24"/>
      <x:c r="T174" s="24"/>
      <x:c r="U174" s="24"/>
      <x:c r="V174" s="24"/>
      <x:c r="W174" s="24"/>
      <x:c r="X174" s="24"/>
      <x:c r="Y174" s="24"/>
      <x:c r="Z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  <x:c r="K175" s="24"/>
      <x:c r="L175" s="24"/>
      <x:c r="M175" s="24"/>
      <x:c r="N175" s="24"/>
      <x:c r="O175" s="24"/>
      <x:c r="P175" s="24"/>
      <x:c r="Q175" s="24"/>
      <x:c r="R175" s="24"/>
      <x:c r="S175" s="24"/>
      <x:c r="T175" s="24"/>
      <x:c r="U175" s="24"/>
      <x:c r="V175" s="24"/>
      <x:c r="W175" s="24"/>
      <x:c r="X175" s="24"/>
      <x:c r="Y175" s="24"/>
      <x:c r="Z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  <x:c r="K176" s="24"/>
      <x:c r="L176" s="24"/>
      <x:c r="M176" s="24"/>
      <x:c r="N176" s="24"/>
      <x:c r="O176" s="24"/>
      <x:c r="P176" s="24"/>
      <x:c r="Q176" s="24"/>
      <x:c r="R176" s="24"/>
      <x:c r="S176" s="24"/>
      <x:c r="T176" s="24"/>
      <x:c r="U176" s="24"/>
      <x:c r="V176" s="24"/>
      <x:c r="W176" s="24"/>
      <x:c r="X176" s="24"/>
      <x:c r="Y176" s="24"/>
      <x:c r="Z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  <x:c r="K177" s="24"/>
      <x:c r="L177" s="24"/>
      <x:c r="M177" s="24"/>
      <x:c r="N177" s="24"/>
      <x:c r="O177" s="24"/>
      <x:c r="P177" s="24"/>
      <x:c r="Q177" s="24"/>
      <x:c r="R177" s="24"/>
      <x:c r="S177" s="24"/>
      <x:c r="T177" s="24"/>
      <x:c r="U177" s="24"/>
      <x:c r="V177" s="24"/>
      <x:c r="W177" s="24"/>
      <x:c r="X177" s="24"/>
      <x:c r="Y177" s="24"/>
      <x:c r="Z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  <x:c r="K178" s="24"/>
      <x:c r="L178" s="24"/>
      <x:c r="M178" s="24"/>
      <x:c r="N178" s="24"/>
      <x:c r="O178" s="24"/>
      <x:c r="P178" s="24"/>
      <x:c r="Q178" s="24"/>
      <x:c r="R178" s="24"/>
      <x:c r="S178" s="24"/>
      <x:c r="T178" s="24"/>
      <x:c r="U178" s="24"/>
      <x:c r="V178" s="24"/>
      <x:c r="W178" s="24"/>
      <x:c r="X178" s="24"/>
      <x:c r="Y178" s="24"/>
      <x:c r="Z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  <x:c r="K179" s="24"/>
      <x:c r="L179" s="24"/>
      <x:c r="M179" s="24"/>
      <x:c r="N179" s="24"/>
      <x:c r="O179" s="24"/>
      <x:c r="P179" s="24"/>
      <x:c r="Q179" s="24"/>
      <x:c r="R179" s="24"/>
      <x:c r="S179" s="24"/>
      <x:c r="T179" s="24"/>
      <x:c r="U179" s="24"/>
      <x:c r="V179" s="24"/>
      <x:c r="W179" s="24"/>
      <x:c r="X179" s="24"/>
      <x:c r="Y179" s="24"/>
      <x:c r="Z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  <x:c r="K180" s="24"/>
      <x:c r="L180" s="24"/>
      <x:c r="M180" s="24"/>
      <x:c r="N180" s="24"/>
      <x:c r="O180" s="24"/>
      <x:c r="P180" s="24"/>
      <x:c r="Q180" s="24"/>
      <x:c r="R180" s="24"/>
      <x:c r="S180" s="24"/>
      <x:c r="T180" s="24"/>
      <x:c r="U180" s="24"/>
      <x:c r="V180" s="24"/>
      <x:c r="W180" s="24"/>
      <x:c r="X180" s="24"/>
      <x:c r="Y180" s="24"/>
      <x:c r="Z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  <x:c r="K181" s="24"/>
      <x:c r="L181" s="24"/>
      <x:c r="M181" s="24"/>
      <x:c r="N181" s="24"/>
      <x:c r="O181" s="24"/>
      <x:c r="P181" s="24"/>
      <x:c r="Q181" s="24"/>
      <x:c r="R181" s="24"/>
      <x:c r="S181" s="24"/>
      <x:c r="T181" s="24"/>
      <x:c r="U181" s="24"/>
      <x:c r="V181" s="24"/>
      <x:c r="W181" s="24"/>
      <x:c r="X181" s="24"/>
      <x:c r="Y181" s="24"/>
      <x:c r="Z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  <x:c r="K182" s="24"/>
      <x:c r="L182" s="24"/>
      <x:c r="M182" s="24"/>
      <x:c r="N182" s="24"/>
      <x:c r="O182" s="24"/>
      <x:c r="P182" s="24"/>
      <x:c r="Q182" s="24"/>
      <x:c r="R182" s="24"/>
      <x:c r="S182" s="24"/>
      <x:c r="T182" s="24"/>
      <x:c r="U182" s="24"/>
      <x:c r="V182" s="24"/>
      <x:c r="W182" s="24"/>
      <x:c r="X182" s="24"/>
      <x:c r="Y182" s="24"/>
      <x:c r="Z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  <x:c r="K183" s="24"/>
      <x:c r="L183" s="24"/>
      <x:c r="M183" s="24"/>
      <x:c r="N183" s="24"/>
      <x:c r="O183" s="24"/>
      <x:c r="P183" s="24"/>
      <x:c r="Q183" s="24"/>
      <x:c r="R183" s="24"/>
      <x:c r="S183" s="24"/>
      <x:c r="T183" s="24"/>
      <x:c r="U183" s="24"/>
      <x:c r="V183" s="24"/>
      <x:c r="W183" s="24"/>
      <x:c r="X183" s="24"/>
      <x:c r="Y183" s="24"/>
      <x:c r="Z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  <x:c r="K184" s="24"/>
      <x:c r="L184" s="24"/>
      <x:c r="M184" s="24"/>
      <x:c r="N184" s="24"/>
      <x:c r="O184" s="24"/>
      <x:c r="P184" s="24"/>
      <x:c r="Q184" s="24"/>
      <x:c r="R184" s="24"/>
      <x:c r="S184" s="24"/>
      <x:c r="T184" s="24"/>
      <x:c r="U184" s="24"/>
      <x:c r="V184" s="24"/>
      <x:c r="W184" s="24"/>
      <x:c r="X184" s="24"/>
      <x:c r="Y184" s="24"/>
      <x:c r="Z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  <x:c r="K185" s="24"/>
      <x:c r="L185" s="24"/>
      <x:c r="M185" s="24"/>
      <x:c r="N185" s="24"/>
      <x:c r="O185" s="24"/>
      <x:c r="P185" s="24"/>
      <x:c r="Q185" s="24"/>
      <x:c r="R185" s="24"/>
      <x:c r="S185" s="24"/>
      <x:c r="T185" s="24"/>
      <x:c r="U185" s="24"/>
      <x:c r="V185" s="24"/>
      <x:c r="W185" s="24"/>
      <x:c r="X185" s="24"/>
      <x:c r="Y185" s="24"/>
      <x:c r="Z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  <x:c r="K186" s="24"/>
      <x:c r="L186" s="24"/>
      <x:c r="M186" s="24"/>
      <x:c r="N186" s="24"/>
      <x:c r="O186" s="24"/>
      <x:c r="P186" s="24"/>
      <x:c r="Q186" s="24"/>
      <x:c r="R186" s="24"/>
      <x:c r="S186" s="24"/>
      <x:c r="T186" s="24"/>
      <x:c r="U186" s="24"/>
      <x:c r="V186" s="24"/>
      <x:c r="W186" s="24"/>
      <x:c r="X186" s="24"/>
      <x:c r="Y186" s="24"/>
      <x:c r="Z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  <x:c r="K187" s="24"/>
      <x:c r="L187" s="24"/>
      <x:c r="M187" s="24"/>
      <x:c r="N187" s="24"/>
      <x:c r="O187" s="24"/>
      <x:c r="P187" s="24"/>
      <x:c r="Q187" s="24"/>
      <x:c r="R187" s="24"/>
      <x:c r="S187" s="24"/>
      <x:c r="T187" s="24"/>
      <x:c r="U187" s="24"/>
      <x:c r="V187" s="24"/>
      <x:c r="W187" s="24"/>
      <x:c r="X187" s="24"/>
      <x:c r="Y187" s="24"/>
      <x:c r="Z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  <x:c r="K188" s="24"/>
      <x:c r="L188" s="24"/>
      <x:c r="M188" s="24"/>
      <x:c r="N188" s="24"/>
      <x:c r="O188" s="24"/>
      <x:c r="P188" s="24"/>
      <x:c r="Q188" s="24"/>
      <x:c r="R188" s="24"/>
      <x:c r="S188" s="24"/>
      <x:c r="T188" s="24"/>
      <x:c r="U188" s="24"/>
      <x:c r="V188" s="24"/>
      <x:c r="W188" s="24"/>
      <x:c r="X188" s="24"/>
      <x:c r="Y188" s="24"/>
      <x:c r="Z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  <x:c r="K189" s="24"/>
      <x:c r="L189" s="24"/>
      <x:c r="M189" s="24"/>
      <x:c r="N189" s="24"/>
      <x:c r="O189" s="24"/>
      <x:c r="P189" s="24"/>
      <x:c r="Q189" s="24"/>
      <x:c r="R189" s="24"/>
      <x:c r="S189" s="24"/>
      <x:c r="T189" s="24"/>
      <x:c r="U189" s="24"/>
      <x:c r="V189" s="24"/>
      <x:c r="W189" s="24"/>
      <x:c r="X189" s="24"/>
      <x:c r="Y189" s="24"/>
      <x:c r="Z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  <x:c r="K190" s="24"/>
      <x:c r="L190" s="24"/>
      <x:c r="M190" s="24"/>
      <x:c r="N190" s="24"/>
      <x:c r="O190" s="24"/>
      <x:c r="P190" s="24"/>
      <x:c r="Q190" s="24"/>
      <x:c r="R190" s="24"/>
      <x:c r="S190" s="24"/>
      <x:c r="T190" s="24"/>
      <x:c r="U190" s="24"/>
      <x:c r="V190" s="24"/>
      <x:c r="W190" s="24"/>
      <x:c r="X190" s="24"/>
      <x:c r="Y190" s="24"/>
      <x:c r="Z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  <x:c r="K191" s="24"/>
      <x:c r="L191" s="24"/>
      <x:c r="M191" s="24"/>
      <x:c r="N191" s="24"/>
      <x:c r="O191" s="24"/>
      <x:c r="P191" s="24"/>
      <x:c r="Q191" s="24"/>
      <x:c r="R191" s="24"/>
      <x:c r="S191" s="24"/>
      <x:c r="T191" s="24"/>
      <x:c r="U191" s="24"/>
      <x:c r="V191" s="24"/>
      <x:c r="W191" s="24"/>
      <x:c r="X191" s="24"/>
      <x:c r="Y191" s="24"/>
      <x:c r="Z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  <x:c r="K192" s="24"/>
      <x:c r="L192" s="24"/>
      <x:c r="M192" s="24"/>
      <x:c r="N192" s="24"/>
      <x:c r="O192" s="24"/>
      <x:c r="P192" s="24"/>
      <x:c r="Q192" s="24"/>
      <x:c r="R192" s="24"/>
      <x:c r="S192" s="24"/>
      <x:c r="T192" s="24"/>
      <x:c r="U192" s="24"/>
      <x:c r="V192" s="24"/>
      <x:c r="W192" s="24"/>
      <x:c r="X192" s="24"/>
      <x:c r="Y192" s="24"/>
      <x:c r="Z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  <x:c r="K193" s="24"/>
      <x:c r="L193" s="24"/>
      <x:c r="M193" s="24"/>
      <x:c r="N193" s="24"/>
      <x:c r="O193" s="24"/>
      <x:c r="P193" s="24"/>
      <x:c r="Q193" s="24"/>
      <x:c r="R193" s="24"/>
      <x:c r="S193" s="24"/>
      <x:c r="T193" s="24"/>
      <x:c r="U193" s="24"/>
      <x:c r="V193" s="24"/>
      <x:c r="W193" s="24"/>
      <x:c r="X193" s="24"/>
      <x:c r="Y193" s="24"/>
      <x:c r="Z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  <x:c r="K194" s="24"/>
      <x:c r="L194" s="24"/>
      <x:c r="M194" s="24"/>
      <x:c r="N194" s="24"/>
      <x:c r="O194" s="24"/>
      <x:c r="P194" s="24"/>
      <x:c r="Q194" s="24"/>
      <x:c r="R194" s="24"/>
      <x:c r="S194" s="24"/>
      <x:c r="T194" s="24"/>
      <x:c r="U194" s="24"/>
      <x:c r="V194" s="24"/>
      <x:c r="W194" s="24"/>
      <x:c r="X194" s="24"/>
      <x:c r="Y194" s="24"/>
      <x:c r="Z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  <x:c r="K195" s="24"/>
      <x:c r="L195" s="24"/>
      <x:c r="M195" s="24"/>
      <x:c r="N195" s="24"/>
      <x:c r="O195" s="24"/>
      <x:c r="P195" s="24"/>
      <x:c r="Q195" s="24"/>
      <x:c r="R195" s="24"/>
      <x:c r="S195" s="24"/>
      <x:c r="T195" s="24"/>
      <x:c r="U195" s="24"/>
      <x:c r="V195" s="24"/>
      <x:c r="W195" s="24"/>
      <x:c r="X195" s="24"/>
      <x:c r="Y195" s="24"/>
      <x:c r="Z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  <x:c r="K196" s="24"/>
      <x:c r="L196" s="24"/>
      <x:c r="M196" s="24"/>
      <x:c r="N196" s="24"/>
      <x:c r="O196" s="24"/>
      <x:c r="P196" s="24"/>
      <x:c r="Q196" s="24"/>
      <x:c r="R196" s="24"/>
      <x:c r="S196" s="24"/>
      <x:c r="T196" s="24"/>
      <x:c r="U196" s="24"/>
      <x:c r="V196" s="24"/>
      <x:c r="W196" s="24"/>
      <x:c r="X196" s="24"/>
      <x:c r="Y196" s="24"/>
      <x:c r="Z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  <x:c r="K197" s="24"/>
      <x:c r="L197" s="24"/>
      <x:c r="M197" s="24"/>
      <x:c r="N197" s="24"/>
      <x:c r="O197" s="24"/>
      <x:c r="P197" s="24"/>
      <x:c r="Q197" s="24"/>
      <x:c r="R197" s="24"/>
      <x:c r="S197" s="24"/>
      <x:c r="T197" s="24"/>
      <x:c r="U197" s="24"/>
      <x:c r="V197" s="24"/>
      <x:c r="W197" s="24"/>
      <x:c r="X197" s="24"/>
      <x:c r="Y197" s="24"/>
      <x:c r="Z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  <x:c r="K198" s="24"/>
      <x:c r="L198" s="24"/>
      <x:c r="M198" s="24"/>
      <x:c r="N198" s="24"/>
      <x:c r="O198" s="24"/>
      <x:c r="P198" s="24"/>
      <x:c r="Q198" s="24"/>
      <x:c r="R198" s="24"/>
      <x:c r="S198" s="24"/>
      <x:c r="T198" s="24"/>
      <x:c r="U198" s="24"/>
      <x:c r="V198" s="24"/>
      <x:c r="W198" s="24"/>
      <x:c r="X198" s="24"/>
      <x:c r="Y198" s="24"/>
      <x:c r="Z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  <x:c r="K199" s="24"/>
      <x:c r="L199" s="24"/>
      <x:c r="M199" s="24"/>
      <x:c r="N199" s="24"/>
      <x:c r="O199" s="24"/>
      <x:c r="P199" s="24"/>
      <x:c r="Q199" s="24"/>
      <x:c r="R199" s="24"/>
      <x:c r="S199" s="24"/>
      <x:c r="T199" s="24"/>
      <x:c r="U199" s="24"/>
      <x:c r="V199" s="24"/>
      <x:c r="W199" s="24"/>
      <x:c r="X199" s="24"/>
      <x:c r="Y199" s="24"/>
      <x:c r="Z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  <x:c r="K200" s="24"/>
      <x:c r="L200" s="24"/>
      <x:c r="M200" s="24"/>
      <x:c r="N200" s="24"/>
      <x:c r="O200" s="24"/>
      <x:c r="P200" s="24"/>
      <x:c r="Q200" s="24"/>
      <x:c r="R200" s="24"/>
      <x:c r="S200" s="24"/>
      <x:c r="T200" s="24"/>
      <x:c r="U200" s="24"/>
      <x:c r="V200" s="24"/>
      <x:c r="W200" s="24"/>
      <x:c r="X200" s="24"/>
      <x:c r="Y200" s="24"/>
      <x:c r="Z200" s="24"/>
    </x:row>
  </x:sheetData>
  <x:mergeCells>
    <x:mergeCell ref="A1:N1"/>
    <x:mergeCell ref="A2:N2"/>
    <x:mergeCell ref="A13:F13"/>
    <x:mergeCell ref="A14:F17"/>
    <x:mergeCell ref="H13:N13"/>
    <x:mergeCell ref="H36:N36"/>
    <x:mergeCell ref="A18:F18"/>
  </x:mergeCells>
  <x:pageMargins left="0.7" right="0.7" top="0.75" bottom="0.75" header="0.3" footer="0.3"/>
  <x:drawing xmlns:r="http://schemas.openxmlformats.org/officeDocument/2006/relationships" r:id="Re0ad973595d54797"/>
</x:worksheet>
</file>

<file path=xl/worksheets/sheet3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30" hidden="0" customWidth="1"/>
    <x:col min="2" max="2" width="7" hidden="0" customWidth="1"/>
    <x:col min="3" max="3" width="24" hidden="0" customWidth="1"/>
    <x:col min="4" max="4" width="7" hidden="0" customWidth="1"/>
    <x:col min="5" max="5" width="33" hidden="0" customWidth="1"/>
    <x:col min="6" max="6" width="35" hidden="0" customWidth="1"/>
    <x:col min="7" max="7" width="22" hidden="0" customWidth="1"/>
    <x:col min="8" max="8" width="8" hidden="0" customWidth="1"/>
    <x:col min="9" max="9" width="15" hidden="0" customWidth="1"/>
    <x:col min="10" max="10" width="12" hidden="0" customWidth="1"/>
    <x:col min="11" max="11" width="12" hidden="0" customWidth="1"/>
    <x:col min="12" max="12" width="42" hidden="0" customWidth="1"/>
    <x:col min="13" max="13" width="10" hidden="0" customWidth="1"/>
    <x:col min="14" max="14" width="12" hidden="0" customWidth="1"/>
    <x:col min="15" max="15" width="11" hidden="0" customWidth="1"/>
    <x:col min="16" max="16" width="12" hidden="0" customWidth="1"/>
    <x:col min="17" max="17" width="10" hidden="0" customWidth="1"/>
    <x:col min="18" max="18" width="10" hidden="0" customWidth="1"/>
    <x:col min="19" max="19" width="12" hidden="0" customWidth="1"/>
  </x:cols>
  <x:sheetData>
    <x:row r="1">
      <x:c r="A1" s="22" t="str">
        <x:v>CARD MATRIX — V2.1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>
      <x:c r="A2" s="25" t="str">
        <x:v>Card</x:v>
      </x:c>
      <x:c r="B2" s="25" t="str">
        <x:v>Qty</x:v>
      </x:c>
      <x:c r="C2" s="25" t="str">
        <x:v>Type</x:v>
      </x:c>
      <x:c r="D2" s="25" t="str">
        <x:v>MV</x:v>
      </x:c>
      <x:c r="E2" s="25" t="str">
        <x:v>Primary Role</x:v>
      </x:c>
      <x:c r="F2" s="25" t="str">
        <x:v>Secondary Role</x:v>
      </x:c>
      <x:c r="G2" s="25" t="str">
        <x:v>Theme</x:v>
      </x:c>
      <x:c r="H2" s="25" t="str">
        <x:v>Score</x:v>
      </x:c>
      <x:c r="I2" s="25" t="str">
        <x:v>Tier</x:v>
      </x:c>
      <x:c r="J2" s="25" t="str">
        <x:v>Status</x:v>
      </x:c>
      <x:c r="K2" s="25" t="str">
        <x:v>Change</x:v>
      </x:c>
      <x:c r="L2" s="25" t="str">
        <x:v>Notes</x:v>
      </x:c>
      <x:c r="M2" s="25" t="str">
        <x:v>Nonland?</x:v>
      </x:c>
      <x:c r="N2" s="25" t="str">
        <x:v>Score Weight</x:v>
      </x:c>
      <x:c r="O2" s="25" t="str">
        <x:v>Is Curse?</x:v>
      </x:c>
      <x:c r="P2" s="25" t="str">
        <x:v>Is Creature?</x:v>
      </x:c>
      <x:c r="Q2" s="25" t="str">
        <x:v>Is Land?</x:v>
      </x:c>
      <x:c r="R2" s="25" t="str">
        <x:v>Is MDFC?</x:v>
      </x:c>
      <x:c r="S2" s="25" t="str">
        <x:v>Avg MV Flag</x:v>
      </x:c>
      <x:c r="T2" s="24"/>
      <x:c r="U2" s="24"/>
      <x:c r="V2" s="24"/>
      <x:c r="W2" s="24"/>
      <x:c r="X2" s="24"/>
      <x:c r="Y2" s="24"/>
      <x:c r="Z2" s="24"/>
    </x:row>
    <x:row r="3">
      <x:c r="A3" s="84" t="str">
        <x:v>Lynde, Cheerful Tormentor</x:v>
      </x:c>
      <x:c r="B3" s="84" t="n">
        <x:v>1</x:v>
      </x:c>
      <x:c r="C3" s="84" t="str">
        <x:v>Legendary Creature</x:v>
      </x:c>
      <x:c r="D3" s="96" t="n">
        <x:v>4</x:v>
      </x:c>
      <x:c r="E3" s="84" t="str">
        <x:v>4. Curse Engines / Enchantment Support</x:v>
      </x:c>
      <x:c r="F3" s="84" t="str">
        <x:v>2. Draw / Card Advantage</x:v>
      </x:c>
      <x:c r="G3" s="84" t="str">
        <x:v>Commander</x:v>
      </x:c>
      <x:c r="H3" s="97" t="n">
        <x:v>10</x:v>
      </x:c>
      <x:c r="I3" s="84" t="str">
        <x:v>S — LOCK</x:v>
      </x:c>
      <x:c r="J3" s="84" t="str">
        <x:v>LOCK</x:v>
      </x:c>
      <x:c r="K3" s="84" t="str">
        <x:v>COMMANDER</x:v>
      </x:c>
      <x:c r="L3" s="84" t="str">
        <x:v>Primary engine; recycles Curses and converts upkeep movement into two cards.</x:v>
      </x:c>
      <x:c r="M3" s="84" t="n">
        <x:v>1</x:v>
      </x:c>
      <x:c r="N3" s="96" t="n">
        <x:v>1</x:v>
      </x:c>
      <x:c r="O3" s="106" t="n">
        <x:v>0</x:v>
      </x:c>
      <x:c r="P3" s="106" t="n">
        <x:v>1</x:v>
      </x:c>
      <x:c r="Q3" s="106" t="n">
        <x:v>0</x:v>
      </x:c>
      <x:c r="R3" s="106" t="n">
        <x:v>0</x:v>
      </x:c>
      <x:c r="S3" s="106" t="n">
        <x:v>1</x:v>
      </x:c>
      <x:c r="T3" s="24"/>
      <x:c r="U3" s="24"/>
      <x:c r="V3" s="24"/>
      <x:c r="W3" s="24"/>
      <x:c r="X3" s="24"/>
      <x:c r="Y3" s="24"/>
      <x:c r="Z3" s="24"/>
    </x:row>
    <x:row r="4">
      <x:c r="A4" s="84" t="str">
        <x:v>Accursed Witch</x:v>
      </x:c>
      <x:c r="B4" s="84" t="n">
        <x:v>1</x:v>
      </x:c>
      <x:c r="C4" s="84" t="str">
        <x:v>Creature</x:v>
      </x:c>
      <x:c r="D4" s="96" t="n">
        <x:v>4</x:v>
      </x:c>
      <x:c r="E4" s="84" t="str">
        <x:v>4. Curses — Core</x:v>
      </x:c>
      <x:c r="F4" s="84" t="str">
        <x:v>5. Curse Engines / Enchantment Support</x:v>
      </x:c>
      <x:c r="G4" s="84" t="str">
        <x:v>Curse/Theme</x:v>
      </x:c>
      <x:c r="H4" s="97" t="n">
        <x:v>8.4</x:v>
      </x:c>
      <x:c r="I4" s="84" t="str">
        <x:v>B — SUPPORT</x:v>
      </x:c>
      <x:c r="J4" s="84" t="str">
        <x:v>SUPPORT</x:v>
      </x:c>
      <x:c r="K4" s="84" t="str">
        <x:v>IN — V2.0</x:v>
      </x:c>
      <x:c r="L4" s="84" t="str">
        <x:v>Turns into Infectious Curse when it dies.</x:v>
      </x:c>
      <x:c r="M4" s="84" t="n">
        <x:v>1</x:v>
      </x:c>
      <x:c r="N4" s="96" t="n">
        <x:v>1</x:v>
      </x:c>
      <x:c r="O4" s="106" t="n">
        <x:v>0</x:v>
      </x:c>
      <x:c r="P4" s="106" t="n">
        <x:v>1</x:v>
      </x:c>
      <x:c r="Q4" s="106" t="n">
        <x:v>0</x:v>
      </x:c>
      <x:c r="R4" s="106" t="n">
        <x:v>0</x:v>
      </x:c>
      <x:c r="S4" s="106" t="n">
        <x:v>1</x:v>
      </x:c>
      <x:c r="T4" s="24"/>
      <x:c r="U4" s="24"/>
      <x:c r="V4" s="24"/>
      <x:c r="W4" s="24"/>
      <x:c r="X4" s="24"/>
      <x:c r="Y4" s="24"/>
      <x:c r="Z4" s="24"/>
    </x:row>
    <x:row r="5">
      <x:c r="A5" s="84" t="str">
        <x:v>Alexios, Deimos of Kosmos</x:v>
      </x:c>
      <x:c r="B5" s="84" t="n">
        <x:v>1</x:v>
      </x:c>
      <x:c r="C5" s="84" t="str">
        <x:v>Legendary Creature</x:v>
      </x:c>
      <x:c r="D5" s="96" t="n">
        <x:v>4</x:v>
      </x:c>
      <x:c r="E5" s="84" t="str">
        <x:v>6. Politics / Punisher / Pillow Fort</x:v>
      </x:c>
      <x:c r="F5" s="84" t="str">
        <x:v>8. Finishers / Thematic Bombs</x:v>
      </x:c>
      <x:c r="G5" s="84" t="str">
        <x:v>Chaos/Politics</x:v>
      </x:c>
      <x:c r="H5" s="97" t="n">
        <x:v>7.9</x:v>
      </x:c>
      <x:c r="I5" s="84" t="str">
        <x:v>B — SUPPORT</x:v>
      </x:c>
      <x:c r="J5" s="84" t="str">
        <x:v>SUPPORT</x:v>
      </x:c>
      <x:c r="K5" s="84" t="str">
        <x:v>ORIGINAL</x:v>
      </x:c>
      <x:c r="L5" s="84" t="str"/>
      <x:c r="M5" s="84" t="n">
        <x:v>1</x:v>
      </x:c>
      <x:c r="N5" s="96" t="n">
        <x:v>1</x:v>
      </x:c>
      <x:c r="O5" s="106" t="n">
        <x:v>0</x:v>
      </x:c>
      <x:c r="P5" s="106" t="n">
        <x:v>1</x:v>
      </x:c>
      <x:c r="Q5" s="106" t="n">
        <x:v>0</x:v>
      </x:c>
      <x:c r="R5" s="106" t="n">
        <x:v>0</x:v>
      </x:c>
      <x:c r="S5" s="106" t="n">
        <x:v>1</x:v>
      </x:c>
      <x:c r="T5" s="24"/>
      <x:c r="U5" s="24"/>
      <x:c r="V5" s="24"/>
      <x:c r="W5" s="24"/>
      <x:c r="X5" s="24"/>
      <x:c r="Y5" s="24"/>
      <x:c r="Z5" s="24"/>
    </x:row>
    <x:row r="6">
      <x:c r="A6" s="84" t="str">
        <x:v>Arcane Signet</x:v>
      </x:c>
      <x:c r="B6" s="84" t="n">
        <x:v>1</x:v>
      </x:c>
      <x:c r="C6" s="84" t="str">
        <x:v>Artifact</x:v>
      </x:c>
      <x:c r="D6" s="96" t="n">
        <x:v>2</x:v>
      </x:c>
      <x:c r="E6" s="84" t="str">
        <x:v>1. Ramp / Mana</x:v>
      </x:c>
      <x:c r="F6" s="84" t="str">
        <x:v>7. Protection / Resilience</x:v>
      </x:c>
      <x:c r="G6" s="84" t="str">
        <x:v>Generic support</x:v>
      </x:c>
      <x:c r="H6" s="97" t="n">
        <x:v>9</x:v>
      </x:c>
      <x:c r="I6" s="84" t="str">
        <x:v>A — CORE</x:v>
      </x:c>
      <x:c r="J6" s="84" t="str">
        <x:v>CORE</x:v>
      </x:c>
      <x:c r="K6" s="84" t="str">
        <x:v>ORIGINAL</x:v>
      </x:c>
      <x:c r="L6" s="84" t="str"/>
      <x:c r="M6" s="84" t="n">
        <x:v>1</x:v>
      </x:c>
      <x:c r="N6" s="96" t="n">
        <x:v>1</x:v>
      </x:c>
      <x:c r="O6" s="106" t="n">
        <x:v>0</x:v>
      </x:c>
      <x:c r="P6" s="106" t="n">
        <x:v>0</x:v>
      </x:c>
      <x:c r="Q6" s="106" t="n">
        <x:v>0</x:v>
      </x:c>
      <x:c r="R6" s="106" t="n">
        <x:v>0</x:v>
      </x:c>
      <x:c r="S6" s="106" t="n">
        <x:v>1</x:v>
      </x:c>
      <x:c r="T6" s="24"/>
      <x:c r="U6" s="24"/>
      <x:c r="V6" s="24"/>
      <x:c r="W6" s="24"/>
      <x:c r="X6" s="24"/>
      <x:c r="Y6" s="24"/>
      <x:c r="Z6" s="24"/>
    </x:row>
    <x:row r="7">
      <x:c r="A7" s="84" t="str">
        <x:v>Baleful Strix</x:v>
      </x:c>
      <x:c r="B7" s="84" t="n">
        <x:v>1</x:v>
      </x:c>
      <x:c r="C7" s="84" t="str">
        <x:v>Artifact Creature</x:v>
      </x:c>
      <x:c r="D7" s="96" t="n">
        <x:v>2</x:v>
      </x:c>
      <x:c r="E7" s="84" t="str">
        <x:v>2. Draw / Card Advantage</x:v>
      </x:c>
      <x:c r="F7" s="84" t="str">
        <x:v>3. Removal / Board Control</x:v>
      </x:c>
      <x:c r="G7" s="84" t="str">
        <x:v>Value</x:v>
      </x:c>
      <x:c r="H7" s="97" t="n">
        <x:v>8.1</x:v>
      </x:c>
      <x:c r="I7" s="84" t="str">
        <x:v>B — SUPPORT</x:v>
      </x:c>
      <x:c r="J7" s="84" t="str">
        <x:v>SUPPORT</x:v>
      </x:c>
      <x:c r="K7" s="84" t="str">
        <x:v>ORIGINAL</x:v>
      </x:c>
      <x:c r="L7" s="84" t="str"/>
      <x:c r="M7" s="84" t="n">
        <x:v>1</x:v>
      </x:c>
      <x:c r="N7" s="96" t="n">
        <x:v>1</x:v>
      </x:c>
      <x:c r="O7" s="106" t="n">
        <x:v>0</x:v>
      </x:c>
      <x:c r="P7" s="106" t="n">
        <x:v>1</x:v>
      </x:c>
      <x:c r="Q7" s="106" t="n">
        <x:v>0</x:v>
      </x:c>
      <x:c r="R7" s="106" t="n">
        <x:v>0</x:v>
      </x:c>
      <x:c r="S7" s="106" t="n">
        <x:v>1</x:v>
      </x:c>
      <x:c r="T7" s="24"/>
      <x:c r="U7" s="24"/>
      <x:c r="V7" s="24"/>
      <x:c r="W7" s="24"/>
      <x:c r="X7" s="24"/>
      <x:c r="Y7" s="24"/>
      <x:c r="Z7" s="24"/>
    </x:row>
    <x:row r="8">
      <x:c r="A8" s="84" t="str">
        <x:v>Bitterheart Witch</x:v>
      </x:c>
      <x:c r="B8" s="84" t="n">
        <x:v>1</x:v>
      </x:c>
      <x:c r="C8" s="84" t="str">
        <x:v>Creature</x:v>
      </x:c>
      <x:c r="D8" s="96" t="n">
        <x:v>5</x:v>
      </x:c>
      <x:c r="E8" s="84" t="str">
        <x:v>5. Curse Engines / Enchantment Support</x:v>
      </x:c>
      <x:c r="F8" s="84" t="str">
        <x:v>4. Curses — Core</x:v>
      </x:c>
      <x:c r="G8" s="84" t="str">
        <x:v>Curse/Theme</x:v>
      </x:c>
      <x:c r="H8" s="97" t="n">
        <x:v>9.7</x:v>
      </x:c>
      <x:c r="I8" s="84" t="str">
        <x:v>S — LOCK</x:v>
      </x:c>
      <x:c r="J8" s="84" t="str">
        <x:v>LOCK</x:v>
      </x:c>
      <x:c r="K8" s="84" t="str">
        <x:v>IN — V2.0</x:v>
      </x:c>
      <x:c r="L8" s="84" t="str">
        <x:v>Death tutor for a Curse.</x:v>
      </x:c>
      <x:c r="M8" s="84" t="n">
        <x:v>1</x:v>
      </x:c>
      <x:c r="N8" s="96" t="n">
        <x:v>1</x:v>
      </x:c>
      <x:c r="O8" s="106" t="n">
        <x:v>0</x:v>
      </x:c>
      <x:c r="P8" s="106" t="n">
        <x:v>1</x:v>
      </x:c>
      <x:c r="Q8" s="106" t="n">
        <x:v>0</x:v>
      </x:c>
      <x:c r="R8" s="106" t="n">
        <x:v>0</x:v>
      </x:c>
      <x:c r="S8" s="106" t="n">
        <x:v>1</x:v>
      </x:c>
      <x:c r="T8" s="24"/>
      <x:c r="U8" s="24"/>
      <x:c r="V8" s="24"/>
      <x:c r="W8" s="24"/>
      <x:c r="X8" s="24"/>
      <x:c r="Y8" s="24"/>
      <x:c r="Z8" s="24"/>
    </x:row>
    <x:row r="9">
      <x:c r="A9" s="84" t="str">
        <x:v>Blasphemous Act</x:v>
      </x:c>
      <x:c r="B9" s="84" t="n">
        <x:v>1</x:v>
      </x:c>
      <x:c r="C9" s="84" t="str">
        <x:v>Sorcery</x:v>
      </x:c>
      <x:c r="D9" s="96" t="n">
        <x:v>9</x:v>
      </x:c>
      <x:c r="E9" s="84" t="str">
        <x:v>3. Removal / Board Control</x:v>
      </x:c>
      <x:c r="F9" s="84" t="str">
        <x:v>8. Finishers / Thematic Bombs</x:v>
      </x:c>
      <x:c r="G9" s="84" t="str">
        <x:v>Interaction</x:v>
      </x:c>
      <x:c r="H9" s="97" t="n">
        <x:v>9</x:v>
      </x:c>
      <x:c r="I9" s="84" t="str">
        <x:v>A — CORE</x:v>
      </x:c>
      <x:c r="J9" s="84" t="str">
        <x:v>CORE</x:v>
      </x:c>
      <x:c r="K9" s="84" t="str">
        <x:v>ORIGINAL</x:v>
      </x:c>
      <x:c r="L9" s="84" t="str">
        <x:v>High mana value, but frequently cheap in practice.</x:v>
      </x:c>
      <x:c r="M9" s="84" t="n">
        <x:v>1</x:v>
      </x:c>
      <x:c r="N9" s="96" t="n">
        <x:v>1</x:v>
      </x:c>
      <x:c r="O9" s="106" t="n">
        <x:v>0</x:v>
      </x:c>
      <x:c r="P9" s="106" t="n">
        <x:v>0</x:v>
      </x:c>
      <x:c r="Q9" s="106" t="n">
        <x:v>0</x:v>
      </x:c>
      <x:c r="R9" s="106" t="n">
        <x:v>0</x:v>
      </x:c>
      <x:c r="S9" s="106" t="n">
        <x:v>1</x:v>
      </x:c>
      <x:c r="T9" s="24"/>
      <x:c r="U9" s="24"/>
      <x:c r="V9" s="24"/>
      <x:c r="W9" s="24"/>
      <x:c r="X9" s="24"/>
      <x:c r="Y9" s="24"/>
      <x:c r="Z9" s="24"/>
    </x:row>
    <x:row r="10">
      <x:c r="A10" s="84" t="str">
        <x:v>Blightstep Pathway</x:v>
      </x:c>
      <x:c r="B10" s="84" t="n">
        <x:v>1</x:v>
      </x:c>
      <x:c r="C10" s="84" t="str">
        <x:v>Land</x:v>
      </x:c>
      <x:c r="D10" s="96" t="n">
        <x:v>0</x:v>
      </x:c>
      <x:c r="E10" s="84" t="str">
        <x:v>1. Ramp / Mana</x:v>
      </x:c>
      <x:c r="F10" s="84" t="str">
        <x:v>7. Protection / Resilience</x:v>
      </x:c>
      <x:c r="G10" s="84" t="str">
        <x:v>Mana Base</x:v>
      </x:c>
      <x:c r="H10" s="97" t="n">
        <x:v>8.2</x:v>
      </x:c>
      <x:c r="I10" s="84" t="str">
        <x:v>B — SUPPORT</x:v>
      </x:c>
      <x:c r="J10" s="84" t="str">
        <x:v>SUPPORT</x:v>
      </x:c>
      <x:c r="K10" s="84" t="str">
        <x:v>ORIGINAL</x:v>
      </x:c>
      <x:c r="L10" s="84" t="str"/>
      <x:c r="M10" s="84" t="n">
        <x:v>0</x:v>
      </x:c>
      <x:c r="N10" s="96" t="n">
        <x:v>1</x:v>
      </x:c>
      <x:c r="O10" s="106" t="n">
        <x:v>0</x:v>
      </x:c>
      <x:c r="P10" s="106" t="n">
        <x:v>0</x:v>
      </x:c>
      <x:c r="Q10" s="106" t="n">
        <x:v>1</x:v>
      </x:c>
      <x:c r="R10" s="106" t="n">
        <x:v>0</x:v>
      </x:c>
      <x:c r="S10" s="106" t="n">
        <x:v>0</x:v>
      </x:c>
      <x:c r="T10" s="24"/>
      <x:c r="U10" s="24"/>
      <x:c r="V10" s="24"/>
      <x:c r="W10" s="24"/>
      <x:c r="X10" s="24"/>
      <x:c r="Y10" s="24"/>
      <x:c r="Z10" s="24"/>
    </x:row>
    <x:row r="11">
      <x:c r="A11" s="84" t="str">
        <x:v>Blood Crypt</x:v>
      </x:c>
      <x:c r="B11" s="84" t="n">
        <x:v>1</x:v>
      </x:c>
      <x:c r="C11" s="84" t="str">
        <x:v>Land</x:v>
      </x:c>
      <x:c r="D11" s="96" t="n">
        <x:v>0</x:v>
      </x:c>
      <x:c r="E11" s="84" t="str">
        <x:v>1. Ramp / Mana</x:v>
      </x:c>
      <x:c r="F11" s="84" t="str">
        <x:v>7. Protection / Resilience</x:v>
      </x:c>
      <x:c r="G11" s="84" t="str">
        <x:v>Mana Base</x:v>
      </x:c>
      <x:c r="H11" s="97" t="n">
        <x:v>8.9</x:v>
      </x:c>
      <x:c r="I11" s="84" t="str">
        <x:v>A — CORE</x:v>
      </x:c>
      <x:c r="J11" s="84" t="str">
        <x:v>CORE</x:v>
      </x:c>
      <x:c r="K11" s="84" t="str">
        <x:v>IN — V2.0</x:v>
      </x:c>
      <x:c r="L11" s="84" t="str"/>
      <x:c r="M11" s="84" t="n">
        <x:v>0</x:v>
      </x:c>
      <x:c r="N11" s="96" t="n">
        <x:v>1</x:v>
      </x:c>
      <x:c r="O11" s="106" t="n">
        <x:v>0</x:v>
      </x:c>
      <x:c r="P11" s="106" t="n">
        <x:v>0</x:v>
      </x:c>
      <x:c r="Q11" s="106" t="n">
        <x:v>1</x:v>
      </x:c>
      <x:c r="R11" s="106" t="n">
        <x:v>0</x:v>
      </x:c>
      <x:c r="S11" s="106" t="n">
        <x:v>0</x:v>
      </x:c>
      <x:c r="T11" s="24"/>
      <x:c r="U11" s="24"/>
      <x:c r="V11" s="24"/>
      <x:c r="W11" s="24"/>
      <x:c r="X11" s="24"/>
      <x:c r="Y11" s="24"/>
      <x:c r="Z11" s="24"/>
    </x:row>
    <x:row r="12">
      <x:c r="A12" s="84" t="str">
        <x:v>Bojuka Bog</x:v>
      </x:c>
      <x:c r="B12" s="84" t="n">
        <x:v>1</x:v>
      </x:c>
      <x:c r="C12" s="84" t="str">
        <x:v>Land</x:v>
      </x:c>
      <x:c r="D12" s="96" t="n">
        <x:v>0</x:v>
      </x:c>
      <x:c r="E12" s="84" t="str">
        <x:v>7. Protection / Resilience</x:v>
      </x:c>
      <x:c r="F12" s="84" t="str">
        <x:v>1. Ramp / Mana</x:v>
      </x:c>
      <x:c r="G12" s="84" t="str">
        <x:v>Graveyard Hate</x:v>
      </x:c>
      <x:c r="H12" s="97" t="n">
        <x:v>8</x:v>
      </x:c>
      <x:c r="I12" s="84" t="str">
        <x:v>B — SUPPORT</x:v>
      </x:c>
      <x:c r="J12" s="84" t="str">
        <x:v>SUPPORT</x:v>
      </x:c>
      <x:c r="K12" s="84" t="str">
        <x:v>ORIGINAL</x:v>
      </x:c>
      <x:c r="L12" s="84" t="str"/>
      <x:c r="M12" s="84" t="n">
        <x:v>0</x:v>
      </x:c>
      <x:c r="N12" s="96" t="n">
        <x:v>1</x:v>
      </x:c>
      <x:c r="O12" s="106" t="n">
        <x:v>0</x:v>
      </x:c>
      <x:c r="P12" s="106" t="n">
        <x:v>0</x:v>
      </x:c>
      <x:c r="Q12" s="106" t="n">
        <x:v>1</x:v>
      </x:c>
      <x:c r="R12" s="106" t="n">
        <x:v>0</x:v>
      </x:c>
      <x:c r="S12" s="106" t="n">
        <x:v>0</x:v>
      </x:c>
      <x:c r="T12" s="24"/>
      <x:c r="U12" s="24"/>
      <x:c r="V12" s="24"/>
      <x:c r="W12" s="24"/>
      <x:c r="X12" s="24"/>
      <x:c r="Y12" s="24"/>
      <x:c r="Z12" s="24"/>
    </x:row>
    <x:row r="13">
      <x:c r="A13" s="84" t="str">
        <x:v>Captive Audience</x:v>
      </x:c>
      <x:c r="B13" s="84" t="n">
        <x:v>1</x:v>
      </x:c>
      <x:c r="C13" s="84" t="str">
        <x:v>Enchantment</x:v>
      </x:c>
      <x:c r="D13" s="96" t="n">
        <x:v>7</x:v>
      </x:c>
      <x:c r="E13" s="84" t="str">
        <x:v>6. Politics / Punisher / Pillow Fort</x:v>
      </x:c>
      <x:c r="F13" s="84" t="str">
        <x:v>8. Finishers / Thematic Bombs</x:v>
      </x:c>
      <x:c r="G13" s="84" t="str">
        <x:v>Politics/Punisher</x:v>
      </x:c>
      <x:c r="H13" s="97" t="n">
        <x:v>8.5</x:v>
      </x:c>
      <x:c r="I13" s="84" t="str">
        <x:v>A — CORE</x:v>
      </x:c>
      <x:c r="J13" s="84" t="str">
        <x:v>CORE</x:v>
      </x:c>
      <x:c r="K13" s="84" t="str">
        <x:v>ORIGINAL</x:v>
      </x:c>
      <x:c r="L13" s="84" t="str"/>
      <x:c r="M13" s="84" t="n">
        <x:v>1</x:v>
      </x:c>
      <x:c r="N13" s="96" t="n">
        <x:v>1</x:v>
      </x:c>
      <x:c r="O13" s="106" t="n">
        <x:v>0</x:v>
      </x:c>
      <x:c r="P13" s="106" t="n">
        <x:v>0</x:v>
      </x:c>
      <x:c r="Q13" s="106" t="n">
        <x:v>0</x:v>
      </x:c>
      <x:c r="R13" s="106" t="n">
        <x:v>0</x:v>
      </x:c>
      <x:c r="S13" s="106" t="n">
        <x:v>1</x:v>
      </x:c>
      <x:c r="T13" s="24"/>
      <x:c r="U13" s="24"/>
      <x:c r="V13" s="24"/>
      <x:c r="W13" s="24"/>
      <x:c r="X13" s="24"/>
      <x:c r="Y13" s="24"/>
      <x:c r="Z13" s="24"/>
    </x:row>
    <x:row r="14">
      <x:c r="A14" s="84" t="str">
        <x:v>Chain Reaction</x:v>
      </x:c>
      <x:c r="B14" s="84" t="n">
        <x:v>1</x:v>
      </x:c>
      <x:c r="C14" s="84" t="str">
        <x:v>Sorcery</x:v>
      </x:c>
      <x:c r="D14" s="96" t="n">
        <x:v>4</x:v>
      </x:c>
      <x:c r="E14" s="84" t="str">
        <x:v>3. Removal / Board Control</x:v>
      </x:c>
      <x:c r="F14" s="84" t="str">
        <x:v>8. Finishers / Thematic Bombs</x:v>
      </x:c>
      <x:c r="G14" s="84" t="str">
        <x:v>Interaction</x:v>
      </x:c>
      <x:c r="H14" s="97" t="n">
        <x:v>8.5</x:v>
      </x:c>
      <x:c r="I14" s="84" t="str">
        <x:v>A — CORE</x:v>
      </x:c>
      <x:c r="J14" s="84" t="str">
        <x:v>CORE</x:v>
      </x:c>
      <x:c r="K14" s="84" t="str">
        <x:v>ORIGINAL</x:v>
      </x:c>
      <x:c r="L14" s="84" t="str"/>
      <x:c r="M14" s="84" t="n">
        <x:v>1</x:v>
      </x:c>
      <x:c r="N14" s="96" t="n">
        <x:v>1</x:v>
      </x:c>
      <x:c r="O14" s="106" t="n">
        <x:v>0</x:v>
      </x:c>
      <x:c r="P14" s="106" t="n">
        <x:v>0</x:v>
      </x:c>
      <x:c r="Q14" s="106" t="n">
        <x:v>0</x:v>
      </x:c>
      <x:c r="R14" s="106" t="n">
        <x:v>0</x:v>
      </x:c>
      <x:c r="S14" s="106" t="n">
        <x:v>1</x:v>
      </x:c>
      <x:c r="T14" s="24"/>
      <x:c r="U14" s="24"/>
      <x:c r="V14" s="24"/>
      <x:c r="W14" s="24"/>
      <x:c r="X14" s="24"/>
      <x:c r="Y14" s="24"/>
      <x:c r="Z14" s="24"/>
    </x:row>
    <x:row r="15">
      <x:c r="A15" s="84" t="str">
        <x:v>Chaos Warp</x:v>
      </x:c>
      <x:c r="B15" s="84" t="n">
        <x:v>1</x:v>
      </x:c>
      <x:c r="C15" s="84" t="str">
        <x:v>Instant</x:v>
      </x:c>
      <x:c r="D15" s="96" t="n">
        <x:v>3</x:v>
      </x:c>
      <x:c r="E15" s="84" t="str">
        <x:v>3. Removal / Board Control</x:v>
      </x:c>
      <x:c r="F15" s="84" t="str">
        <x:v>2. Draw / Card Advantage</x:v>
      </x:c>
      <x:c r="G15" s="84" t="str">
        <x:v>Interaction</x:v>
      </x:c>
      <x:c r="H15" s="97" t="n">
        <x:v>8.9</x:v>
      </x:c>
      <x:c r="I15" s="84" t="str">
        <x:v>A — CORE</x:v>
      </x:c>
      <x:c r="J15" s="84" t="str">
        <x:v>CORE</x:v>
      </x:c>
      <x:c r="K15" s="84" t="str">
        <x:v>ORIGINAL</x:v>
      </x:c>
      <x:c r="L15" s="84" t="str"/>
      <x:c r="M15" s="84" t="n">
        <x:v>1</x:v>
      </x:c>
      <x:c r="N15" s="96" t="n">
        <x:v>1</x:v>
      </x:c>
      <x:c r="O15" s="106" t="n">
        <x:v>0</x:v>
      </x:c>
      <x:c r="P15" s="106" t="n">
        <x:v>0</x:v>
      </x:c>
      <x:c r="Q15" s="106" t="n">
        <x:v>0</x:v>
      </x:c>
      <x:c r="R15" s="106" t="n">
        <x:v>0</x:v>
      </x:c>
      <x:c r="S15" s="106" t="n">
        <x:v>1</x:v>
      </x:c>
      <x:c r="T15" s="24"/>
      <x:c r="U15" s="24"/>
      <x:c r="V15" s="24"/>
      <x:c r="W15" s="24"/>
      <x:c r="X15" s="24"/>
      <x:c r="Y15" s="24"/>
      <x:c r="Z15" s="24"/>
    </x:row>
    <x:row r="16">
      <x:c r="A16" s="84" t="str">
        <x:v>Claws of Gix</x:v>
      </x:c>
      <x:c r="B16" s="84" t="n">
        <x:v>1</x:v>
      </x:c>
      <x:c r="C16" s="84" t="str">
        <x:v>Artifact</x:v>
      </x:c>
      <x:c r="D16" s="96" t="n">
        <x:v>1</x:v>
      </x:c>
      <x:c r="E16" s="84" t="str">
        <x:v>7. Protection / Resilience</x:v>
      </x:c>
      <x:c r="F16" s="84" t="str">
        <x:v>5. Curse Engines / Enchantment Support</x:v>
      </x:c>
      <x:c r="G16" s="84" t="str">
        <x:v>Sacrifice/Recursion</x:v>
      </x:c>
      <x:c r="H16" s="97" t="n">
        <x:v>9.4</x:v>
      </x:c>
      <x:c r="I16" s="84" t="str">
        <x:v>A — CORE</x:v>
      </x:c>
      <x:c r="J16" s="84" t="str">
        <x:v>CORE</x:v>
      </x:c>
      <x:c r="K16" s="84" t="str">
        <x:v>ORIGINAL</x:v>
      </x:c>
      <x:c r="L16" s="84" t="str">
        <x:v>Sac outlet that lets Lynde recycle Curses.</x:v>
      </x:c>
      <x:c r="M16" s="84" t="n">
        <x:v>1</x:v>
      </x:c>
      <x:c r="N16" s="96" t="n">
        <x:v>1</x:v>
      </x:c>
      <x:c r="O16" s="106" t="n">
        <x:v>0</x:v>
      </x:c>
      <x:c r="P16" s="106" t="n">
        <x:v>0</x:v>
      </x:c>
      <x:c r="Q16" s="106" t="n">
        <x:v>0</x:v>
      </x:c>
      <x:c r="R16" s="106" t="n">
        <x:v>0</x:v>
      </x:c>
      <x:c r="S16" s="106" t="n">
        <x:v>1</x:v>
      </x:c>
      <x:c r="T16" s="24"/>
      <x:c r="U16" s="24"/>
      <x:c r="V16" s="24"/>
      <x:c r="W16" s="24"/>
      <x:c r="X16" s="24"/>
      <x:c r="Y16" s="24"/>
      <x:c r="Z16" s="24"/>
    </x:row>
    <x:row r="17">
      <x:c r="A17" s="84" t="str">
        <x:v>Clearwater Pathway</x:v>
      </x:c>
      <x:c r="B17" s="84" t="n">
        <x:v>1</x:v>
      </x:c>
      <x:c r="C17" s="84" t="str">
        <x:v>Land</x:v>
      </x:c>
      <x:c r="D17" s="96" t="n">
        <x:v>0</x:v>
      </x:c>
      <x:c r="E17" s="84" t="str">
        <x:v>1. Ramp / Mana</x:v>
      </x:c>
      <x:c r="F17" s="84" t="str">
        <x:v>7. Protection / Resilience</x:v>
      </x:c>
      <x:c r="G17" s="84" t="str">
        <x:v>Mana Base</x:v>
      </x:c>
      <x:c r="H17" s="97" t="n">
        <x:v>8.2</x:v>
      </x:c>
      <x:c r="I17" s="84" t="str">
        <x:v>B — SUPPORT</x:v>
      </x:c>
      <x:c r="J17" s="84" t="str">
        <x:v>SUPPORT</x:v>
      </x:c>
      <x:c r="K17" s="84" t="str">
        <x:v>ORIGINAL</x:v>
      </x:c>
      <x:c r="L17" s="84" t="str"/>
      <x:c r="M17" s="84" t="n">
        <x:v>0</x:v>
      </x:c>
      <x:c r="N17" s="96" t="n">
        <x:v>1</x:v>
      </x:c>
      <x:c r="O17" s="106" t="n">
        <x:v>0</x:v>
      </x:c>
      <x:c r="P17" s="106" t="n">
        <x:v>0</x:v>
      </x:c>
      <x:c r="Q17" s="106" t="n">
        <x:v>1</x:v>
      </x:c>
      <x:c r="R17" s="106" t="n">
        <x:v>0</x:v>
      </x:c>
      <x:c r="S17" s="106" t="n">
        <x:v>0</x:v>
      </x:c>
      <x:c r="T17" s="24"/>
      <x:c r="U17" s="24"/>
      <x:c r="V17" s="24"/>
      <x:c r="W17" s="24"/>
      <x:c r="X17" s="24"/>
      <x:c r="Y17" s="24"/>
      <x:c r="Z17" s="24"/>
    </x:row>
    <x:row r="18">
      <x:c r="A18" s="84" t="str">
        <x:v>Clever Impersonator</x:v>
      </x:c>
      <x:c r="B18" s="84" t="n">
        <x:v>1</x:v>
      </x:c>
      <x:c r="C18" s="84" t="str">
        <x:v>Creature</x:v>
      </x:c>
      <x:c r="D18" s="96" t="n">
        <x:v>4</x:v>
      </x:c>
      <x:c r="E18" s="84" t="str">
        <x:v>5. Curse Engines / Enchantment Support</x:v>
      </x:c>
      <x:c r="F18" s="84" t="str">
        <x:v>8. Finishers / Thematic Bombs</x:v>
      </x:c>
      <x:c r="G18" s="84" t="str">
        <x:v>Copy</x:v>
      </x:c>
      <x:c r="H18" s="97" t="n">
        <x:v>8.9</x:v>
      </x:c>
      <x:c r="I18" s="84" t="str">
        <x:v>A — CORE</x:v>
      </x:c>
      <x:c r="J18" s="84" t="str">
        <x:v>CORE</x:v>
      </x:c>
      <x:c r="K18" s="84" t="str">
        <x:v>ORIGINAL</x:v>
      </x:c>
      <x:c r="L18" s="84" t="str"/>
      <x:c r="M18" s="84" t="n">
        <x:v>1</x:v>
      </x:c>
      <x:c r="N18" s="96" t="n">
        <x:v>1</x:v>
      </x:c>
      <x:c r="O18" s="106" t="n">
        <x:v>0</x:v>
      </x:c>
      <x:c r="P18" s="106" t="n">
        <x:v>1</x:v>
      </x:c>
      <x:c r="Q18" s="106" t="n">
        <x:v>0</x:v>
      </x:c>
      <x:c r="R18" s="106" t="n">
        <x:v>0</x:v>
      </x:c>
      <x:c r="S18" s="106" t="n">
        <x:v>1</x:v>
      </x:c>
      <x:c r="T18" s="24"/>
      <x:c r="U18" s="24"/>
      <x:c r="V18" s="24"/>
      <x:c r="W18" s="24"/>
      <x:c r="X18" s="24"/>
      <x:c r="Y18" s="24"/>
      <x:c r="Z18" s="24"/>
    </x:row>
    <x:row r="19">
      <x:c r="A19" s="84" t="str">
        <x:v>Command Tower</x:v>
      </x:c>
      <x:c r="B19" s="84" t="n">
        <x:v>1</x:v>
      </x:c>
      <x:c r="C19" s="84" t="str">
        <x:v>Land</x:v>
      </x:c>
      <x:c r="D19" s="96" t="n">
        <x:v>0</x:v>
      </x:c>
      <x:c r="E19" s="84" t="str">
        <x:v>1. Ramp / Mana</x:v>
      </x:c>
      <x:c r="F19" s="84" t="str">
        <x:v>7. Protection / Resilience</x:v>
      </x:c>
      <x:c r="G19" s="84" t="str">
        <x:v>Mana Base</x:v>
      </x:c>
      <x:c r="H19" s="97" t="n">
        <x:v>9.1</x:v>
      </x:c>
      <x:c r="I19" s="84" t="str">
        <x:v>A — CORE</x:v>
      </x:c>
      <x:c r="J19" s="84" t="str">
        <x:v>CORE</x:v>
      </x:c>
      <x:c r="K19" s="84" t="str">
        <x:v>ORIGINAL</x:v>
      </x:c>
      <x:c r="L19" s="84" t="str"/>
      <x:c r="M19" s="84" t="n">
        <x:v>0</x:v>
      </x:c>
      <x:c r="N19" s="96" t="n">
        <x:v>1</x:v>
      </x:c>
      <x:c r="O19" s="106" t="n">
        <x:v>0</x:v>
      </x:c>
      <x:c r="P19" s="106" t="n">
        <x:v>0</x:v>
      </x:c>
      <x:c r="Q19" s="106" t="n">
        <x:v>1</x:v>
      </x:c>
      <x:c r="R19" s="106" t="n">
        <x:v>0</x:v>
      </x:c>
      <x:c r="S19" s="106" t="n">
        <x:v>0</x:v>
      </x:c>
      <x:c r="T19" s="24"/>
      <x:c r="U19" s="24"/>
      <x:c r="V19" s="24"/>
      <x:c r="W19" s="24"/>
      <x:c r="X19" s="24"/>
      <x:c r="Y19" s="24"/>
      <x:c r="Z19" s="24"/>
    </x:row>
    <x:row r="20">
      <x:c r="A20" s="84" t="str">
        <x:v>Copy Enchantment</x:v>
      </x:c>
      <x:c r="B20" s="84" t="n">
        <x:v>1</x:v>
      </x:c>
      <x:c r="C20" s="84" t="str">
        <x:v>Enchantment</x:v>
      </x:c>
      <x:c r="D20" s="96" t="n">
        <x:v>3</x:v>
      </x:c>
      <x:c r="E20" s="84" t="str">
        <x:v>5. Curse Engines / Enchantment Support</x:v>
      </x:c>
      <x:c r="F20" s="84" t="str">
        <x:v>4. Curses — Core</x:v>
      </x:c>
      <x:c r="G20" s="84" t="str">
        <x:v>Copy</x:v>
      </x:c>
      <x:c r="H20" s="97" t="n">
        <x:v>9.4</x:v>
      </x:c>
      <x:c r="I20" s="84" t="str">
        <x:v>A — CORE</x:v>
      </x:c>
      <x:c r="J20" s="84" t="str">
        <x:v>CORE</x:v>
      </x:c>
      <x:c r="K20" s="84" t="str">
        <x:v>ORIGINAL</x:v>
      </x:c>
      <x:c r="L20" s="84" t="str"/>
      <x:c r="M20" s="84" t="n">
        <x:v>1</x:v>
      </x:c>
      <x:c r="N20" s="96" t="n">
        <x:v>1</x:v>
      </x:c>
      <x:c r="O20" s="106" t="n">
        <x:v>0</x:v>
      </x:c>
      <x:c r="P20" s="106" t="n">
        <x:v>0</x:v>
      </x:c>
      <x:c r="Q20" s="106" t="n">
        <x:v>0</x:v>
      </x:c>
      <x:c r="R20" s="106" t="n">
        <x:v>0</x:v>
      </x:c>
      <x:c r="S20" s="106" t="n">
        <x:v>1</x:v>
      </x:c>
      <x:c r="T20" s="24"/>
      <x:c r="U20" s="24"/>
      <x:c r="V20" s="24"/>
      <x:c r="W20" s="24"/>
      <x:c r="X20" s="24"/>
      <x:c r="Y20" s="24"/>
      <x:c r="Z20" s="24"/>
    </x:row>
    <x:row r="21">
      <x:c r="A21" s="84" t="str">
        <x:v>Cruel Reality</x:v>
      </x:c>
      <x:c r="B21" s="84" t="n">
        <x:v>1</x:v>
      </x:c>
      <x:c r="C21" s="84" t="str">
        <x:v>Enchantment — Aura Curse</x:v>
      </x:c>
      <x:c r="D21" s="96" t="n">
        <x:v>7</x:v>
      </x:c>
      <x:c r="E21" s="84" t="str">
        <x:v>4. Curses — Core</x:v>
      </x:c>
      <x:c r="F21" s="84" t="str">
        <x:v>8. Finishers / Thematic Bombs</x:v>
      </x:c>
      <x:c r="G21" s="84" t="str">
        <x:v>Curse/Theme</x:v>
      </x:c>
      <x:c r="H21" s="97" t="n">
        <x:v>8.5</x:v>
      </x:c>
      <x:c r="I21" s="84" t="str">
        <x:v>A — CORE</x:v>
      </x:c>
      <x:c r="J21" s="84" t="str">
        <x:v>CORE</x:v>
      </x:c>
      <x:c r="K21" s="84" t="str">
        <x:v>ORIGINAL</x:v>
      </x:c>
      <x:c r="L21" s="84" t="str"/>
      <x:c r="M21" s="84" t="n">
        <x:v>1</x:v>
      </x:c>
      <x:c r="N21" s="96" t="n">
        <x:v>1</x:v>
      </x:c>
      <x:c r="O21" s="106" t="n">
        <x:v>1</x:v>
      </x:c>
      <x:c r="P21" s="106" t="n">
        <x:v>0</x:v>
      </x:c>
      <x:c r="Q21" s="106" t="n">
        <x:v>0</x:v>
      </x:c>
      <x:c r="R21" s="106" t="n">
        <x:v>0</x:v>
      </x:c>
      <x:c r="S21" s="106" t="n">
        <x:v>1</x:v>
      </x:c>
      <x:c r="T21" s="24"/>
      <x:c r="U21" s="24"/>
      <x:c r="V21" s="24"/>
      <x:c r="W21" s="24"/>
      <x:c r="X21" s="24"/>
      <x:c r="Y21" s="24"/>
      <x:c r="Z21" s="24"/>
    </x:row>
    <x:row r="22">
      <x:c r="A22" s="84" t="str">
        <x:v>Crumbling Necropolis</x:v>
      </x:c>
      <x:c r="B22" s="84" t="n">
        <x:v>1</x:v>
      </x:c>
      <x:c r="C22" s="84" t="str">
        <x:v>Land</x:v>
      </x:c>
      <x:c r="D22" s="96" t="n">
        <x:v>0</x:v>
      </x:c>
      <x:c r="E22" s="84" t="str">
        <x:v>1. Ramp / Mana</x:v>
      </x:c>
      <x:c r="F22" s="84" t="str">
        <x:v>7. Protection / Resilience</x:v>
      </x:c>
      <x:c r="G22" s="84" t="str">
        <x:v>Mana Base</x:v>
      </x:c>
      <x:c r="H22" s="97" t="n">
        <x:v>8</x:v>
      </x:c>
      <x:c r="I22" s="84" t="str">
        <x:v>B — SUPPORT</x:v>
      </x:c>
      <x:c r="J22" s="84" t="str">
        <x:v>SUPPORT</x:v>
      </x:c>
      <x:c r="K22" s="84" t="str">
        <x:v>ORIGINAL</x:v>
      </x:c>
      <x:c r="L22" s="84" t="str"/>
      <x:c r="M22" s="84" t="n">
        <x:v>0</x:v>
      </x:c>
      <x:c r="N22" s="96" t="n">
        <x:v>1</x:v>
      </x:c>
      <x:c r="O22" s="106" t="n">
        <x:v>0</x:v>
      </x:c>
      <x:c r="P22" s="106" t="n">
        <x:v>0</x:v>
      </x:c>
      <x:c r="Q22" s="106" t="n">
        <x:v>1</x:v>
      </x:c>
      <x:c r="R22" s="106" t="n">
        <x:v>0</x:v>
      </x:c>
      <x:c r="S22" s="106" t="n">
        <x:v>0</x:v>
      </x:c>
      <x:c r="T22" s="24"/>
      <x:c r="U22" s="24"/>
      <x:c r="V22" s="24"/>
      <x:c r="W22" s="24"/>
      <x:c r="X22" s="24"/>
      <x:c r="Y22" s="24"/>
      <x:c r="Z22" s="24"/>
    </x:row>
    <x:row r="23">
      <x:c r="A23" s="84" t="str">
        <x:v>Crypt of the Eternals</x:v>
      </x:c>
      <x:c r="B23" s="84" t="n">
        <x:v>1</x:v>
      </x:c>
      <x:c r="C23" s="84" t="str">
        <x:v>Land</x:v>
      </x:c>
      <x:c r="D23" s="96" t="n">
        <x:v>0</x:v>
      </x:c>
      <x:c r="E23" s="84" t="str">
        <x:v>1. Ramp / Mana</x:v>
      </x:c>
      <x:c r="F23" s="84" t="str">
        <x:v>7. Protection / Resilience</x:v>
      </x:c>
      <x:c r="G23" s="84" t="str">
        <x:v>Mana Base</x:v>
      </x:c>
      <x:c r="H23" s="97" t="n">
        <x:v>7.2</x:v>
      </x:c>
      <x:c r="I23" s="84" t="str">
        <x:v>C — REVIEW</x:v>
      </x:c>
      <x:c r="J23" s="84" t="str">
        <x:v>REVIEW</x:v>
      </x:c>
      <x:c r="K23" s="84" t="str">
        <x:v>ORIGINAL</x:v>
      </x:c>
      <x:c r="L23" s="84" t="str"/>
      <x:c r="M23" s="84" t="n">
        <x:v>0</x:v>
      </x:c>
      <x:c r="N23" s="96" t="n">
        <x:v>1</x:v>
      </x:c>
      <x:c r="O23" s="106" t="n">
        <x:v>0</x:v>
      </x:c>
      <x:c r="P23" s="106" t="n">
        <x:v>0</x:v>
      </x:c>
      <x:c r="Q23" s="106" t="n">
        <x:v>1</x:v>
      </x:c>
      <x:c r="R23" s="106" t="n">
        <x:v>0</x:v>
      </x:c>
      <x:c r="S23" s="106" t="n">
        <x:v>0</x:v>
      </x:c>
      <x:c r="T23" s="24"/>
      <x:c r="U23" s="24"/>
      <x:c r="V23" s="24"/>
      <x:c r="W23" s="24"/>
      <x:c r="X23" s="24"/>
      <x:c r="Y23" s="24"/>
      <x:c r="Z23" s="24"/>
    </x:row>
    <x:row r="24">
      <x:c r="A24" s="84" t="str">
        <x:v>Crystal Chimes</x:v>
      </x:c>
      <x:c r="B24" s="84" t="n">
        <x:v>1</x:v>
      </x:c>
      <x:c r="C24" s="84" t="str">
        <x:v>Artifact</x:v>
      </x:c>
      <x:c r="D24" s="96" t="n">
        <x:v>4</x:v>
      </x:c>
      <x:c r="E24" s="84" t="str">
        <x:v>7. Protection / Resilience</x:v>
      </x:c>
      <x:c r="F24" s="84" t="str">
        <x:v>5. Curse Engines / Enchantment Support</x:v>
      </x:c>
      <x:c r="G24" s="84" t="str">
        <x:v>Recursion</x:v>
      </x:c>
      <x:c r="H24" s="97" t="n">
        <x:v>8.2</x:v>
      </x:c>
      <x:c r="I24" s="84" t="str">
        <x:v>B — SUPPORT</x:v>
      </x:c>
      <x:c r="J24" s="84" t="str">
        <x:v>SUPPORT</x:v>
      </x:c>
      <x:c r="K24" s="84" t="str">
        <x:v>ORIGINAL</x:v>
      </x:c>
      <x:c r="L24" s="84" t="str"/>
      <x:c r="M24" s="84" t="n">
        <x:v>1</x:v>
      </x:c>
      <x:c r="N24" s="96" t="n">
        <x:v>1</x:v>
      </x:c>
      <x:c r="O24" s="106" t="n">
        <x:v>0</x:v>
      </x:c>
      <x:c r="P24" s="106" t="n">
        <x:v>0</x:v>
      </x:c>
      <x:c r="Q24" s="106" t="n">
        <x:v>0</x:v>
      </x:c>
      <x:c r="R24" s="106" t="n">
        <x:v>0</x:v>
      </x:c>
      <x:c r="S24" s="106" t="n">
        <x:v>1</x:v>
      </x:c>
      <x:c r="T24" s="24"/>
      <x:c r="U24" s="24"/>
      <x:c r="V24" s="24"/>
      <x:c r="W24" s="24"/>
      <x:c r="X24" s="24"/>
      <x:c r="Y24" s="24"/>
      <x:c r="Z24" s="24"/>
    </x:row>
    <x:row r="25">
      <x:c r="A25" s="84" t="str">
        <x:v>Curse of Bloodletting</x:v>
      </x:c>
      <x:c r="B25" s="84" t="n">
        <x:v>1</x:v>
      </x:c>
      <x:c r="C25" s="84" t="str">
        <x:v>Enchantment — Aura Curse</x:v>
      </x:c>
      <x:c r="D25" s="96" t="n">
        <x:v>3</x:v>
      </x:c>
      <x:c r="E25" s="84" t="str">
        <x:v>4. Curses — Core</x:v>
      </x:c>
      <x:c r="F25" s="84" t="str">
        <x:v>8. Finishers / Thematic Bombs</x:v>
      </x:c>
      <x:c r="G25" s="84" t="str">
        <x:v>Curse/Theme</x:v>
      </x:c>
      <x:c r="H25" s="97" t="n">
        <x:v>9.3</x:v>
      </x:c>
      <x:c r="I25" s="84" t="str">
        <x:v>A — CORE</x:v>
      </x:c>
      <x:c r="J25" s="84" t="str">
        <x:v>CORE</x:v>
      </x:c>
      <x:c r="K25" s="84" t="str">
        <x:v>ORIGINAL</x:v>
      </x:c>
      <x:c r="L25" s="84" t="str"/>
      <x:c r="M25" s="84" t="n">
        <x:v>1</x:v>
      </x:c>
      <x:c r="N25" s="96" t="n">
        <x:v>1</x:v>
      </x:c>
      <x:c r="O25" s="106" t="n">
        <x:v>1</x:v>
      </x:c>
      <x:c r="P25" s="106" t="n">
        <x:v>0</x:v>
      </x:c>
      <x:c r="Q25" s="106" t="n">
        <x:v>0</x:v>
      </x:c>
      <x:c r="R25" s="106" t="n">
        <x:v>0</x:v>
      </x:c>
      <x:c r="S25" s="106" t="n">
        <x:v>1</x:v>
      </x:c>
      <x:c r="T25" s="24"/>
      <x:c r="U25" s="24"/>
      <x:c r="V25" s="24"/>
      <x:c r="W25" s="24"/>
      <x:c r="X25" s="24"/>
      <x:c r="Y25" s="24"/>
      <x:c r="Z25" s="24"/>
    </x:row>
    <x:row r="26">
      <x:c r="A26" s="84" t="str">
        <x:v>Curse of Death's Hold</x:v>
      </x:c>
      <x:c r="B26" s="84" t="n">
        <x:v>1</x:v>
      </x:c>
      <x:c r="C26" s="84" t="str">
        <x:v>Enchantment — Aura Curse</x:v>
      </x:c>
      <x:c r="D26" s="96" t="n">
        <x:v>5</x:v>
      </x:c>
      <x:c r="E26" s="84" t="str">
        <x:v>4. Curses — Core</x:v>
      </x:c>
      <x:c r="F26" s="84" t="str">
        <x:v>3. Removal / Board Control</x:v>
      </x:c>
      <x:c r="G26" s="84" t="str">
        <x:v>Curse/Control</x:v>
      </x:c>
      <x:c r="H26" s="97" t="n">
        <x:v>9</x:v>
      </x:c>
      <x:c r="I26" s="84" t="str">
        <x:v>A — CORE</x:v>
      </x:c>
      <x:c r="J26" s="84" t="str">
        <x:v>CORE</x:v>
      </x:c>
      <x:c r="K26" s="84" t="str">
        <x:v>IN — V2.0</x:v>
      </x:c>
      <x:c r="L26" s="84" t="str"/>
      <x:c r="M26" s="84" t="n">
        <x:v>1</x:v>
      </x:c>
      <x:c r="N26" s="96" t="n">
        <x:v>1</x:v>
      </x:c>
      <x:c r="O26" s="106" t="n">
        <x:v>1</x:v>
      </x:c>
      <x:c r="P26" s="106" t="n">
        <x:v>0</x:v>
      </x:c>
      <x:c r="Q26" s="106" t="n">
        <x:v>0</x:v>
      </x:c>
      <x:c r="R26" s="106" t="n">
        <x:v>0</x:v>
      </x:c>
      <x:c r="S26" s="106" t="n">
        <x:v>1</x:v>
      </x:c>
      <x:c r="T26" s="24"/>
      <x:c r="U26" s="24"/>
      <x:c r="V26" s="24"/>
      <x:c r="W26" s="24"/>
      <x:c r="X26" s="24"/>
      <x:c r="Y26" s="24"/>
      <x:c r="Z26" s="24"/>
    </x:row>
    <x:row r="27">
      <x:c r="A27" s="84" t="str">
        <x:v>Curse of Disturbance</x:v>
      </x:c>
      <x:c r="B27" s="84" t="n">
        <x:v>1</x:v>
      </x:c>
      <x:c r="C27" s="84" t="str">
        <x:v>Enchantment — Aura Curse</x:v>
      </x:c>
      <x:c r="D27" s="96" t="n">
        <x:v>3</x:v>
      </x:c>
      <x:c r="E27" s="84" t="str">
        <x:v>4. Curses — Core</x:v>
      </x:c>
      <x:c r="F27" s="84" t="str">
        <x:v>6. Politics / Punisher / Pillow Fort</x:v>
      </x:c>
      <x:c r="G27" s="84" t="str">
        <x:v>Curse/Politics</x:v>
      </x:c>
      <x:c r="H27" s="97" t="n">
        <x:v>8.8</x:v>
      </x:c>
      <x:c r="I27" s="84" t="str">
        <x:v>A — CORE</x:v>
      </x:c>
      <x:c r="J27" s="84" t="str">
        <x:v>CORE</x:v>
      </x:c>
      <x:c r="K27" s="84" t="str">
        <x:v>ORIGINAL</x:v>
      </x:c>
      <x:c r="L27" s="84" t="str"/>
      <x:c r="M27" s="84" t="n">
        <x:v>1</x:v>
      </x:c>
      <x:c r="N27" s="96" t="n">
        <x:v>1</x:v>
      </x:c>
      <x:c r="O27" s="106" t="n">
        <x:v>1</x:v>
      </x:c>
      <x:c r="P27" s="106" t="n">
        <x:v>0</x:v>
      </x:c>
      <x:c r="Q27" s="106" t="n">
        <x:v>0</x:v>
      </x:c>
      <x:c r="R27" s="106" t="n">
        <x:v>0</x:v>
      </x:c>
      <x:c r="S27" s="106" t="n">
        <x:v>1</x:v>
      </x:c>
      <x:c r="T27" s="24"/>
      <x:c r="U27" s="24"/>
      <x:c r="V27" s="24"/>
      <x:c r="W27" s="24"/>
      <x:c r="X27" s="24"/>
      <x:c r="Y27" s="24"/>
      <x:c r="Z27" s="24"/>
    </x:row>
    <x:row r="28">
      <x:c r="A28" s="84" t="str">
        <x:v>Curse of Echoes</x:v>
      </x:c>
      <x:c r="B28" s="84" t="n">
        <x:v>1</x:v>
      </x:c>
      <x:c r="C28" s="84" t="str">
        <x:v>Enchantment — Aura Curse</x:v>
      </x:c>
      <x:c r="D28" s="96" t="n">
        <x:v>5</x:v>
      </x:c>
      <x:c r="E28" s="84" t="str">
        <x:v>4. Curses — Core</x:v>
      </x:c>
      <x:c r="F28" s="84" t="str">
        <x:v>6. Politics / Punisher / Pillow Fort</x:v>
      </x:c>
      <x:c r="G28" s="84" t="str">
        <x:v>Curse/Politics</x:v>
      </x:c>
      <x:c r="H28" s="97" t="n">
        <x:v>9</x:v>
      </x:c>
      <x:c r="I28" s="84" t="str">
        <x:v>A — CORE</x:v>
      </x:c>
      <x:c r="J28" s="84" t="str">
        <x:v>CORE</x:v>
      </x:c>
      <x:c r="K28" s="84" t="str">
        <x:v>IN — V2.1</x:v>
      </x:c>
      <x:c r="L28" s="84" t="str"/>
      <x:c r="M28" s="84" t="n">
        <x:v>1</x:v>
      </x:c>
      <x:c r="N28" s="96" t="n">
        <x:v>1</x:v>
      </x:c>
      <x:c r="O28" s="106" t="n">
        <x:v>1</x:v>
      </x:c>
      <x:c r="P28" s="106" t="n">
        <x:v>0</x:v>
      </x:c>
      <x:c r="Q28" s="106" t="n">
        <x:v>0</x:v>
      </x:c>
      <x:c r="R28" s="106" t="n">
        <x:v>0</x:v>
      </x:c>
      <x:c r="S28" s="106" t="n">
        <x:v>1</x:v>
      </x:c>
      <x:c r="T28" s="24"/>
      <x:c r="U28" s="24"/>
      <x:c r="V28" s="24"/>
      <x:c r="W28" s="24"/>
      <x:c r="X28" s="24"/>
      <x:c r="Y28" s="24"/>
      <x:c r="Z28" s="24"/>
    </x:row>
    <x:row r="29">
      <x:c r="A29" s="84" t="str">
        <x:v>Curse of Fool's Wisdom</x:v>
      </x:c>
      <x:c r="B29" s="84" t="n">
        <x:v>1</x:v>
      </x:c>
      <x:c r="C29" s="84" t="str">
        <x:v>Enchantment — Aura Curse</x:v>
      </x:c>
      <x:c r="D29" s="96" t="n">
        <x:v>6</x:v>
      </x:c>
      <x:c r="E29" s="84" t="str">
        <x:v>4. Curses — Core</x:v>
      </x:c>
      <x:c r="F29" s="84" t="str">
        <x:v>8. Finishers / Thematic Bombs</x:v>
      </x:c>
      <x:c r="G29" s="84" t="str">
        <x:v>Curse/Punisher</x:v>
      </x:c>
      <x:c r="H29" s="97" t="n">
        <x:v>9.4</x:v>
      </x:c>
      <x:c r="I29" s="84" t="str">
        <x:v>A — CORE</x:v>
      </x:c>
      <x:c r="J29" s="84" t="str">
        <x:v>CORE</x:v>
      </x:c>
      <x:c r="K29" s="84" t="str">
        <x:v>IN — V2.0</x:v>
      </x:c>
      <x:c r="L29" s="84" t="str"/>
      <x:c r="M29" s="84" t="n">
        <x:v>1</x:v>
      </x:c>
      <x:c r="N29" s="96" t="n">
        <x:v>1</x:v>
      </x:c>
      <x:c r="O29" s="106" t="n">
        <x:v>1</x:v>
      </x:c>
      <x:c r="P29" s="106" t="n">
        <x:v>0</x:v>
      </x:c>
      <x:c r="Q29" s="106" t="n">
        <x:v>0</x:v>
      </x:c>
      <x:c r="R29" s="106" t="n">
        <x:v>0</x:v>
      </x:c>
      <x:c r="S29" s="106" t="n">
        <x:v>1</x:v>
      </x:c>
      <x:c r="T29" s="24"/>
      <x:c r="U29" s="24"/>
      <x:c r="V29" s="24"/>
      <x:c r="W29" s="24"/>
      <x:c r="X29" s="24"/>
      <x:c r="Y29" s="24"/>
      <x:c r="Z29" s="24"/>
    </x:row>
    <x:row r="30">
      <x:c r="A30" s="84" t="str">
        <x:v>Curse of Hospitality</x:v>
      </x:c>
      <x:c r="B30" s="84" t="n">
        <x:v>1</x:v>
      </x:c>
      <x:c r="C30" s="84" t="str">
        <x:v>Enchantment — Aura Curse</x:v>
      </x:c>
      <x:c r="D30" s="96" t="n">
        <x:v>3</x:v>
      </x:c>
      <x:c r="E30" s="84" t="str">
        <x:v>4. Curses — Core</x:v>
      </x:c>
      <x:c r="F30" s="84" t="str">
        <x:v>6. Politics / Punisher / Pillow Fort</x:v>
      </x:c>
      <x:c r="G30" s="84" t="str">
        <x:v>Curse/Politics</x:v>
      </x:c>
      <x:c r="H30" s="97" t="n">
        <x:v>8.7</x:v>
      </x:c>
      <x:c r="I30" s="84" t="str">
        <x:v>A — CORE</x:v>
      </x:c>
      <x:c r="J30" s="84" t="str">
        <x:v>CORE</x:v>
      </x:c>
      <x:c r="K30" s="84" t="str">
        <x:v>ORIGINAL</x:v>
      </x:c>
      <x:c r="L30" s="84" t="str"/>
      <x:c r="M30" s="84" t="n">
        <x:v>1</x:v>
      </x:c>
      <x:c r="N30" s="96" t="n">
        <x:v>1</x:v>
      </x:c>
      <x:c r="O30" s="106" t="n">
        <x:v>1</x:v>
      </x:c>
      <x:c r="P30" s="106" t="n">
        <x:v>0</x:v>
      </x:c>
      <x:c r="Q30" s="106" t="n">
        <x:v>0</x:v>
      </x:c>
      <x:c r="R30" s="106" t="n">
        <x:v>0</x:v>
      </x:c>
      <x:c r="S30" s="106" t="n">
        <x:v>1</x:v>
      </x:c>
      <x:c r="T30" s="24"/>
      <x:c r="U30" s="24"/>
      <x:c r="V30" s="24"/>
      <x:c r="W30" s="24"/>
      <x:c r="X30" s="24"/>
      <x:c r="Y30" s="24"/>
      <x:c r="Z30" s="24"/>
    </x:row>
    <x:row r="31">
      <x:c r="A31" s="84" t="str">
        <x:v>Curse of Leeches</x:v>
      </x:c>
      <x:c r="B31" s="84" t="n">
        <x:v>1</x:v>
      </x:c>
      <x:c r="C31" s="84" t="str">
        <x:v>Enchantment — Aura Curse</x:v>
      </x:c>
      <x:c r="D31" s="96" t="n">
        <x:v>4</x:v>
      </x:c>
      <x:c r="E31" s="84" t="str">
        <x:v>4. Curses — Core</x:v>
      </x:c>
      <x:c r="F31" s="84" t="str">
        <x:v>8. Finishers / Thematic Bombs</x:v>
      </x:c>
      <x:c r="G31" s="84" t="str">
        <x:v>Curse/Theme</x:v>
      </x:c>
      <x:c r="H31" s="97" t="n">
        <x:v>7.5</x:v>
      </x:c>
      <x:c r="I31" s="84" t="str">
        <x:v>B — SUPPORT</x:v>
      </x:c>
      <x:c r="J31" s="84" t="str">
        <x:v>SUPPORT</x:v>
      </x:c>
      <x:c r="K31" s="84" t="str">
        <x:v>ORIGINAL</x:v>
      </x:c>
      <x:c r="L31" s="84" t="str"/>
      <x:c r="M31" s="84" t="n">
        <x:v>1</x:v>
      </x:c>
      <x:c r="N31" s="96" t="n">
        <x:v>1</x:v>
      </x:c>
      <x:c r="O31" s="106" t="n">
        <x:v>1</x:v>
      </x:c>
      <x:c r="P31" s="106" t="n">
        <x:v>0</x:v>
      </x:c>
      <x:c r="Q31" s="106" t="n">
        <x:v>0</x:v>
      </x:c>
      <x:c r="R31" s="106" t="n">
        <x:v>0</x:v>
      </x:c>
      <x:c r="S31" s="106" t="n">
        <x:v>1</x:v>
      </x:c>
      <x:c r="T31" s="24"/>
      <x:c r="U31" s="24"/>
      <x:c r="V31" s="24"/>
      <x:c r="W31" s="24"/>
      <x:c r="X31" s="24"/>
      <x:c r="Y31" s="24"/>
      <x:c r="Z31" s="24"/>
    </x:row>
    <x:row r="32">
      <x:c r="A32" s="84" t="str">
        <x:v>Curse of Misfortunes</x:v>
      </x:c>
      <x:c r="B32" s="84" t="n">
        <x:v>1</x:v>
      </x:c>
      <x:c r="C32" s="84" t="str">
        <x:v>Enchantment — Aura Curse</x:v>
      </x:c>
      <x:c r="D32" s="96" t="n">
        <x:v>5</x:v>
      </x:c>
      <x:c r="E32" s="84" t="str">
        <x:v>4. Curses — Core</x:v>
      </x:c>
      <x:c r="F32" s="84" t="str">
        <x:v>5. Curse Engines / Enchantment Support</x:v>
      </x:c>
      <x:c r="G32" s="84" t="str">
        <x:v>Curse/Theme</x:v>
      </x:c>
      <x:c r="H32" s="97" t="n">
        <x:v>9.9</x:v>
      </x:c>
      <x:c r="I32" s="84" t="str">
        <x:v>S — LOCK</x:v>
      </x:c>
      <x:c r="J32" s="84" t="str">
        <x:v>LOCK</x:v>
      </x:c>
      <x:c r="K32" s="84" t="str">
        <x:v>ORIGINAL</x:v>
      </x:c>
      <x:c r="L32" s="84" t="str">
        <x:v>Chains Curses directly from the library.</x:v>
      </x:c>
      <x:c r="M32" s="84" t="n">
        <x:v>1</x:v>
      </x:c>
      <x:c r="N32" s="96" t="n">
        <x:v>1</x:v>
      </x:c>
      <x:c r="O32" s="106" t="n">
        <x:v>1</x:v>
      </x:c>
      <x:c r="P32" s="106" t="n">
        <x:v>0</x:v>
      </x:c>
      <x:c r="Q32" s="106" t="n">
        <x:v>0</x:v>
      </x:c>
      <x:c r="R32" s="106" t="n">
        <x:v>0</x:v>
      </x:c>
      <x:c r="S32" s="106" t="n">
        <x:v>1</x:v>
      </x:c>
      <x:c r="T32" s="24"/>
      <x:c r="U32" s="24"/>
      <x:c r="V32" s="24"/>
      <x:c r="W32" s="24"/>
      <x:c r="X32" s="24"/>
      <x:c r="Y32" s="24"/>
      <x:c r="Z32" s="24"/>
    </x:row>
    <x:row r="33">
      <x:c r="A33" s="84" t="str">
        <x:v>Curse of Obsession</x:v>
      </x:c>
      <x:c r="B33" s="84" t="n">
        <x:v>1</x:v>
      </x:c>
      <x:c r="C33" s="84" t="str">
        <x:v>Enchantment — Aura Curse</x:v>
      </x:c>
      <x:c r="D33" s="96" t="n">
        <x:v>6</x:v>
      </x:c>
      <x:c r="E33" s="84" t="str">
        <x:v>4. Curses — Core</x:v>
      </x:c>
      <x:c r="F33" s="84" t="str">
        <x:v>6. Politics / Punisher / Pillow Fort</x:v>
      </x:c>
      <x:c r="G33" s="84" t="str">
        <x:v>Curse/Punisher</x:v>
      </x:c>
      <x:c r="H33" s="97" t="n">
        <x:v>9.3</x:v>
      </x:c>
      <x:c r="I33" s="84" t="str">
        <x:v>A — CORE</x:v>
      </x:c>
      <x:c r="J33" s="84" t="str">
        <x:v>CORE</x:v>
      </x:c>
      <x:c r="K33" s="84" t="str">
        <x:v>IN — V2.0</x:v>
      </x:c>
      <x:c r="L33" s="84" t="str"/>
      <x:c r="M33" s="84" t="n">
        <x:v>1</x:v>
      </x:c>
      <x:c r="N33" s="96" t="n">
        <x:v>1</x:v>
      </x:c>
      <x:c r="O33" s="106" t="n">
        <x:v>1</x:v>
      </x:c>
      <x:c r="P33" s="106" t="n">
        <x:v>0</x:v>
      </x:c>
      <x:c r="Q33" s="106" t="n">
        <x:v>0</x:v>
      </x:c>
      <x:c r="R33" s="106" t="n">
        <x:v>0</x:v>
      </x:c>
      <x:c r="S33" s="106" t="n">
        <x:v>1</x:v>
      </x:c>
      <x:c r="T33" s="24"/>
      <x:c r="U33" s="24"/>
      <x:c r="V33" s="24"/>
      <x:c r="W33" s="24"/>
      <x:c r="X33" s="24"/>
      <x:c r="Y33" s="24"/>
      <x:c r="Z33" s="24"/>
    </x:row>
    <x:row r="34">
      <x:c r="A34" s="84" t="str">
        <x:v>Curse of Opulence</x:v>
      </x:c>
      <x:c r="B34" s="84" t="n">
        <x:v>1</x:v>
      </x:c>
      <x:c r="C34" s="84" t="str">
        <x:v>Enchantment — Aura Curse</x:v>
      </x:c>
      <x:c r="D34" s="96" t="n">
        <x:v>1</x:v>
      </x:c>
      <x:c r="E34" s="84" t="str">
        <x:v>4. Curses — Core</x:v>
      </x:c>
      <x:c r="F34" s="84" t="str">
        <x:v>6. Politics / Punisher / Pillow Fort</x:v>
      </x:c>
      <x:c r="G34" s="84" t="str">
        <x:v>Curse/Politics</x:v>
      </x:c>
      <x:c r="H34" s="97" t="n">
        <x:v>8.9</x:v>
      </x:c>
      <x:c r="I34" s="84" t="str">
        <x:v>A — CORE</x:v>
      </x:c>
      <x:c r="J34" s="84" t="str">
        <x:v>CORE</x:v>
      </x:c>
      <x:c r="K34" s="84" t="str">
        <x:v>ORIGINAL</x:v>
      </x:c>
      <x:c r="L34" s="84" t="str"/>
      <x:c r="M34" s="84" t="n">
        <x:v>1</x:v>
      </x:c>
      <x:c r="N34" s="96" t="n">
        <x:v>1</x:v>
      </x:c>
      <x:c r="O34" s="106" t="n">
        <x:v>1</x:v>
      </x:c>
      <x:c r="P34" s="106" t="n">
        <x:v>0</x:v>
      </x:c>
      <x:c r="Q34" s="106" t="n">
        <x:v>0</x:v>
      </x:c>
      <x:c r="R34" s="106" t="n">
        <x:v>0</x:v>
      </x:c>
      <x:c r="S34" s="106" t="n">
        <x:v>1</x:v>
      </x:c>
      <x:c r="T34" s="24"/>
      <x:c r="U34" s="24"/>
      <x:c r="V34" s="24"/>
      <x:c r="W34" s="24"/>
      <x:c r="X34" s="24"/>
      <x:c r="Y34" s="24"/>
      <x:c r="Z34" s="24"/>
    </x:row>
    <x:row r="35">
      <x:c r="A35" s="84" t="str">
        <x:v>Curse of Shaken Faith</x:v>
      </x:c>
      <x:c r="B35" s="84" t="n">
        <x:v>1</x:v>
      </x:c>
      <x:c r="C35" s="84" t="str">
        <x:v>Enchantment — Aura Curse</x:v>
      </x:c>
      <x:c r="D35" s="96" t="n">
        <x:v>3</x:v>
      </x:c>
      <x:c r="E35" s="84" t="str">
        <x:v>4. Curses — Core</x:v>
      </x:c>
      <x:c r="F35" s="84" t="str">
        <x:v>6. Politics / Punisher / Pillow Fort</x:v>
      </x:c>
      <x:c r="G35" s="84" t="str">
        <x:v>Curse/Punisher</x:v>
      </x:c>
      <x:c r="H35" s="97" t="n">
        <x:v>8.6</x:v>
      </x:c>
      <x:c r="I35" s="84" t="str">
        <x:v>A — CORE</x:v>
      </x:c>
      <x:c r="J35" s="84" t="str">
        <x:v>CORE</x:v>
      </x:c>
      <x:c r="K35" s="84" t="str">
        <x:v>ORIGINAL</x:v>
      </x:c>
      <x:c r="L35" s="84" t="str"/>
      <x:c r="M35" s="84" t="n">
        <x:v>1</x:v>
      </x:c>
      <x:c r="N35" s="96" t="n">
        <x:v>1</x:v>
      </x:c>
      <x:c r="O35" s="106" t="n">
        <x:v>1</x:v>
      </x:c>
      <x:c r="P35" s="106" t="n">
        <x:v>0</x:v>
      </x:c>
      <x:c r="Q35" s="106" t="n">
        <x:v>0</x:v>
      </x:c>
      <x:c r="R35" s="106" t="n">
        <x:v>0</x:v>
      </x:c>
      <x:c r="S35" s="106" t="n">
        <x:v>1</x:v>
      </x:c>
      <x:c r="T35" s="24"/>
      <x:c r="U35" s="24"/>
      <x:c r="V35" s="24"/>
      <x:c r="W35" s="24"/>
      <x:c r="X35" s="24"/>
      <x:c r="Y35" s="24"/>
      <x:c r="Z35" s="24"/>
    </x:row>
    <x:row r="36">
      <x:c r="A36" s="84" t="str">
        <x:v>Curse of Shallow Graves</x:v>
      </x:c>
      <x:c r="B36" s="84" t="n">
        <x:v>1</x:v>
      </x:c>
      <x:c r="C36" s="84" t="str">
        <x:v>Enchantment — Aura Curse</x:v>
      </x:c>
      <x:c r="D36" s="96" t="n">
        <x:v>3</x:v>
      </x:c>
      <x:c r="E36" s="84" t="str">
        <x:v>4. Curses — Core</x:v>
      </x:c>
      <x:c r="F36" s="84" t="str">
        <x:v>6. Politics / Punisher / Pillow Fort</x:v>
      </x:c>
      <x:c r="G36" s="84" t="str">
        <x:v>Curse/Politics</x:v>
      </x:c>
      <x:c r="H36" s="97" t="n">
        <x:v>8.8</x:v>
      </x:c>
      <x:c r="I36" s="84" t="str">
        <x:v>A — CORE</x:v>
      </x:c>
      <x:c r="J36" s="84" t="str">
        <x:v>CORE</x:v>
      </x:c>
      <x:c r="K36" s="84" t="str">
        <x:v>IN — V2.1</x:v>
      </x:c>
      <x:c r="L36" s="84" t="str"/>
      <x:c r="M36" s="84" t="n">
        <x:v>1</x:v>
      </x:c>
      <x:c r="N36" s="96" t="n">
        <x:v>1</x:v>
      </x:c>
      <x:c r="O36" s="106" t="n">
        <x:v>1</x:v>
      </x:c>
      <x:c r="P36" s="106" t="n">
        <x:v>0</x:v>
      </x:c>
      <x:c r="Q36" s="106" t="n">
        <x:v>0</x:v>
      </x:c>
      <x:c r="R36" s="106" t="n">
        <x:v>0</x:v>
      </x:c>
      <x:c r="S36" s="106" t="n">
        <x:v>1</x:v>
      </x:c>
      <x:c r="T36" s="24"/>
      <x:c r="U36" s="24"/>
      <x:c r="V36" s="24"/>
      <x:c r="W36" s="24"/>
      <x:c r="X36" s="24"/>
      <x:c r="Y36" s="24"/>
      <x:c r="Z36" s="24"/>
    </x:row>
    <x:row r="37">
      <x:c r="A37" s="84" t="str">
        <x:v>Curse of Surveillance</x:v>
      </x:c>
      <x:c r="B37" s="84" t="n">
        <x:v>1</x:v>
      </x:c>
      <x:c r="C37" s="84" t="str">
        <x:v>Enchantment — Aura Curse</x:v>
      </x:c>
      <x:c r="D37" s="96" t="n">
        <x:v>5</x:v>
      </x:c>
      <x:c r="E37" s="84" t="str">
        <x:v>4. Curses — Core</x:v>
      </x:c>
      <x:c r="F37" s="84" t="str">
        <x:v>2. Draw / Card Advantage</x:v>
      </x:c>
      <x:c r="G37" s="84" t="str">
        <x:v>Curse/Draw</x:v>
      </x:c>
      <x:c r="H37" s="97" t="n">
        <x:v>9.7</x:v>
      </x:c>
      <x:c r="I37" s="84" t="str">
        <x:v>S — LOCK</x:v>
      </x:c>
      <x:c r="J37" s="84" t="str">
        <x:v>LOCK</x:v>
      </x:c>
      <x:c r="K37" s="84" t="str">
        <x:v>ORIGINAL</x:v>
      </x:c>
      <x:c r="L37" s="84" t="str"/>
      <x:c r="M37" s="84" t="n">
        <x:v>1</x:v>
      </x:c>
      <x:c r="N37" s="96" t="n">
        <x:v>1</x:v>
      </x:c>
      <x:c r="O37" s="106" t="n">
        <x:v>1</x:v>
      </x:c>
      <x:c r="P37" s="106" t="n">
        <x:v>0</x:v>
      </x:c>
      <x:c r="Q37" s="106" t="n">
        <x:v>0</x:v>
      </x:c>
      <x:c r="R37" s="106" t="n">
        <x:v>0</x:v>
      </x:c>
      <x:c r="S37" s="106" t="n">
        <x:v>1</x:v>
      </x:c>
      <x:c r="T37" s="24"/>
      <x:c r="U37" s="24"/>
      <x:c r="V37" s="24"/>
      <x:c r="W37" s="24"/>
      <x:c r="X37" s="24"/>
      <x:c r="Y37" s="24"/>
      <x:c r="Z37" s="24"/>
    </x:row>
    <x:row r="38">
      <x:c r="A38" s="84" t="str">
        <x:v>Curse of the Nightly Hunt</x:v>
      </x:c>
      <x:c r="B38" s="84" t="n">
        <x:v>1</x:v>
      </x:c>
      <x:c r="C38" s="84" t="str">
        <x:v>Enchantment — Aura Curse</x:v>
      </x:c>
      <x:c r="D38" s="96" t="n">
        <x:v>3</x:v>
      </x:c>
      <x:c r="E38" s="84" t="str">
        <x:v>6. Politics / Punisher / Pillow Fort</x:v>
      </x:c>
      <x:c r="F38" s="84" t="str">
        <x:v>4. Curses — Core</x:v>
      </x:c>
      <x:c r="G38" s="84" t="str">
        <x:v>Curse/Politics</x:v>
      </x:c>
      <x:c r="H38" s="97" t="n">
        <x:v>8.8</x:v>
      </x:c>
      <x:c r="I38" s="84" t="str">
        <x:v>A — CORE</x:v>
      </x:c>
      <x:c r="J38" s="84" t="str">
        <x:v>CORE</x:v>
      </x:c>
      <x:c r="K38" s="84" t="str">
        <x:v>IN — V2.0</x:v>
      </x:c>
      <x:c r="L38" s="84" t="str"/>
      <x:c r="M38" s="84" t="n">
        <x:v>1</x:v>
      </x:c>
      <x:c r="N38" s="96" t="n">
        <x:v>1</x:v>
      </x:c>
      <x:c r="O38" s="106" t="n">
        <x:v>1</x:v>
      </x:c>
      <x:c r="P38" s="106" t="n">
        <x:v>0</x:v>
      </x:c>
      <x:c r="Q38" s="106" t="n">
        <x:v>0</x:v>
      </x:c>
      <x:c r="R38" s="106" t="n">
        <x:v>0</x:v>
      </x:c>
      <x:c r="S38" s="106" t="n">
        <x:v>1</x:v>
      </x:c>
      <x:c r="T38" s="24"/>
      <x:c r="U38" s="24"/>
      <x:c r="V38" s="24"/>
      <x:c r="W38" s="24"/>
      <x:c r="X38" s="24"/>
      <x:c r="Y38" s="24"/>
      <x:c r="Z38" s="24"/>
    </x:row>
    <x:row r="39">
      <x:c r="A39" s="84" t="str">
        <x:v>Curse of the Restless Dead</x:v>
      </x:c>
      <x:c r="B39" s="84" t="n">
        <x:v>1</x:v>
      </x:c>
      <x:c r="C39" s="84" t="str">
        <x:v>Enchantment — Aura Curse</x:v>
      </x:c>
      <x:c r="D39" s="96" t="n">
        <x:v>3</x:v>
      </x:c>
      <x:c r="E39" s="84" t="str">
        <x:v>4. Curses — Core</x:v>
      </x:c>
      <x:c r="F39" s="84" t="str">
        <x:v>6. Politics / Punisher / Pillow Fort</x:v>
      </x:c>
      <x:c r="G39" s="84" t="str">
        <x:v>Curse/Politics</x:v>
      </x:c>
      <x:c r="H39" s="97" t="n">
        <x:v>8.5</x:v>
      </x:c>
      <x:c r="I39" s="84" t="str">
        <x:v>A — CORE</x:v>
      </x:c>
      <x:c r="J39" s="84" t="str">
        <x:v>CORE</x:v>
      </x:c>
      <x:c r="K39" s="84" t="str">
        <x:v>ORIGINAL</x:v>
      </x:c>
      <x:c r="L39" s="84" t="str"/>
      <x:c r="M39" s="84" t="n">
        <x:v>1</x:v>
      </x:c>
      <x:c r="N39" s="96" t="n">
        <x:v>1</x:v>
      </x:c>
      <x:c r="O39" s="106" t="n">
        <x:v>1</x:v>
      </x:c>
      <x:c r="P39" s="106" t="n">
        <x:v>0</x:v>
      </x:c>
      <x:c r="Q39" s="106" t="n">
        <x:v>0</x:v>
      </x:c>
      <x:c r="R39" s="106" t="n">
        <x:v>0</x:v>
      </x:c>
      <x:c r="S39" s="106" t="n">
        <x:v>1</x:v>
      </x:c>
      <x:c r="T39" s="24"/>
      <x:c r="U39" s="24"/>
      <x:c r="V39" s="24"/>
      <x:c r="W39" s="24"/>
      <x:c r="X39" s="24"/>
      <x:c r="Y39" s="24"/>
      <x:c r="Z39" s="24"/>
    </x:row>
    <x:row r="40">
      <x:c r="A40" s="84" t="str">
        <x:v>Curse of Thirst</x:v>
      </x:c>
      <x:c r="B40" s="84" t="n">
        <x:v>1</x:v>
      </x:c>
      <x:c r="C40" s="84" t="str">
        <x:v>Enchantment — Aura Curse</x:v>
      </x:c>
      <x:c r="D40" s="96" t="n">
        <x:v>5</x:v>
      </x:c>
      <x:c r="E40" s="84" t="str">
        <x:v>8. Finishers / Thematic Bombs</x:v>
      </x:c>
      <x:c r="F40" s="84" t="str">
        <x:v>4. Curses — Core</x:v>
      </x:c>
      <x:c r="G40" s="84" t="str">
        <x:v>Curse/Finisher</x:v>
      </x:c>
      <x:c r="H40" s="97" t="n">
        <x:v>9.7</x:v>
      </x:c>
      <x:c r="I40" s="84" t="str">
        <x:v>S — LOCK</x:v>
      </x:c>
      <x:c r="J40" s="84" t="str">
        <x:v>LOCK</x:v>
      </x:c>
      <x:c r="K40" s="84" t="str">
        <x:v>IN — V2.0</x:v>
      </x:c>
      <x:c r="L40" s="84" t="str"/>
      <x:c r="M40" s="84" t="n">
        <x:v>1</x:v>
      </x:c>
      <x:c r="N40" s="96" t="n">
        <x:v>1</x:v>
      </x:c>
      <x:c r="O40" s="106" t="n">
        <x:v>1</x:v>
      </x:c>
      <x:c r="P40" s="106" t="n">
        <x:v>0</x:v>
      </x:c>
      <x:c r="Q40" s="106" t="n">
        <x:v>0</x:v>
      </x:c>
      <x:c r="R40" s="106" t="n">
        <x:v>0</x:v>
      </x:c>
      <x:c r="S40" s="106" t="n">
        <x:v>1</x:v>
      </x:c>
      <x:c r="T40" s="24"/>
      <x:c r="U40" s="24"/>
      <x:c r="V40" s="24"/>
      <x:c r="W40" s="24"/>
      <x:c r="X40" s="24"/>
      <x:c r="Y40" s="24"/>
      <x:c r="Z40" s="24"/>
    </x:row>
    <x:row r="41">
      <x:c r="A41" s="84" t="str">
        <x:v>Curse of Unbinding</x:v>
      </x:c>
      <x:c r="B41" s="84" t="n">
        <x:v>1</x:v>
      </x:c>
      <x:c r="C41" s="84" t="str">
        <x:v>Enchantment — Aura Curse</x:v>
      </x:c>
      <x:c r="D41" s="96" t="n">
        <x:v>4</x:v>
      </x:c>
      <x:c r="E41" s="84" t="str">
        <x:v>4. Curses — Core</x:v>
      </x:c>
      <x:c r="F41" s="84" t="str">
        <x:v>8. Finishers / Thematic Bombs</x:v>
      </x:c>
      <x:c r="G41" s="84" t="str">
        <x:v>Curse/Value</x:v>
      </x:c>
      <x:c r="H41" s="97" t="n">
        <x:v>9</x:v>
      </x:c>
      <x:c r="I41" s="84" t="str">
        <x:v>A — CORE</x:v>
      </x:c>
      <x:c r="J41" s="84" t="str">
        <x:v>CORE</x:v>
      </x:c>
      <x:c r="K41" s="84" t="str">
        <x:v>ORIGINAL</x:v>
      </x:c>
      <x:c r="L41" s="84" t="str"/>
      <x:c r="M41" s="84" t="n">
        <x:v>1</x:v>
      </x:c>
      <x:c r="N41" s="96" t="n">
        <x:v>1</x:v>
      </x:c>
      <x:c r="O41" s="106" t="n">
        <x:v>1</x:v>
      </x:c>
      <x:c r="P41" s="106" t="n">
        <x:v>0</x:v>
      </x:c>
      <x:c r="Q41" s="106" t="n">
        <x:v>0</x:v>
      </x:c>
      <x:c r="R41" s="106" t="n">
        <x:v>0</x:v>
      </x:c>
      <x:c r="S41" s="106" t="n">
        <x:v>1</x:v>
      </x:c>
      <x:c r="T41" s="24"/>
      <x:c r="U41" s="24"/>
      <x:c r="V41" s="24"/>
      <x:c r="W41" s="24"/>
      <x:c r="X41" s="24"/>
      <x:c r="Y41" s="24"/>
      <x:c r="Z41" s="24"/>
    </x:row>
    <x:row r="42">
      <x:c r="A42" s="84" t="str">
        <x:v>Curse of Vengeance</x:v>
      </x:c>
      <x:c r="B42" s="84" t="n">
        <x:v>1</x:v>
      </x:c>
      <x:c r="C42" s="84" t="str">
        <x:v>Enchantment — Aura Curse</x:v>
      </x:c>
      <x:c r="D42" s="96" t="n">
        <x:v>3</x:v>
      </x:c>
      <x:c r="E42" s="84" t="str">
        <x:v>4. Curses — Core</x:v>
      </x:c>
      <x:c r="F42" s="84" t="str">
        <x:v>6. Politics / Punisher / Pillow Fort</x:v>
      </x:c>
      <x:c r="G42" s="84" t="str">
        <x:v>Curse/Punisher</x:v>
      </x:c>
      <x:c r="H42" s="97" t="n">
        <x:v>8.5</x:v>
      </x:c>
      <x:c r="I42" s="84" t="str">
        <x:v>A — CORE</x:v>
      </x:c>
      <x:c r="J42" s="84" t="str">
        <x:v>CORE</x:v>
      </x:c>
      <x:c r="K42" s="84" t="str">
        <x:v>ORIGINAL</x:v>
      </x:c>
      <x:c r="L42" s="84" t="str"/>
      <x:c r="M42" s="84" t="n">
        <x:v>1</x:v>
      </x:c>
      <x:c r="N42" s="96" t="n">
        <x:v>1</x:v>
      </x:c>
      <x:c r="O42" s="106" t="n">
        <x:v>1</x:v>
      </x:c>
      <x:c r="P42" s="106" t="n">
        <x:v>0</x:v>
      </x:c>
      <x:c r="Q42" s="106" t="n">
        <x:v>0</x:v>
      </x:c>
      <x:c r="R42" s="106" t="n">
        <x:v>0</x:v>
      </x:c>
      <x:c r="S42" s="106" t="n">
        <x:v>1</x:v>
      </x:c>
      <x:c r="T42" s="24"/>
      <x:c r="U42" s="24"/>
      <x:c r="V42" s="24"/>
      <x:c r="W42" s="24"/>
      <x:c r="X42" s="24"/>
      <x:c r="Y42" s="24"/>
      <x:c r="Z42" s="24"/>
    </x:row>
    <x:row r="43">
      <x:c r="A43" s="84" t="str">
        <x:v>Curse of Verbosity</x:v>
      </x:c>
      <x:c r="B43" s="84" t="n">
        <x:v>1</x:v>
      </x:c>
      <x:c r="C43" s="84" t="str">
        <x:v>Enchantment — Aura Curse</x:v>
      </x:c>
      <x:c r="D43" s="96" t="n">
        <x:v>3</x:v>
      </x:c>
      <x:c r="E43" s="84" t="str">
        <x:v>4. Curses — Core</x:v>
      </x:c>
      <x:c r="F43" s="84" t="str">
        <x:v>2. Draw / Card Advantage</x:v>
      </x:c>
      <x:c r="G43" s="84" t="str">
        <x:v>Curse/Politics</x:v>
      </x:c>
      <x:c r="H43" s="97" t="n">
        <x:v>8.9</x:v>
      </x:c>
      <x:c r="I43" s="84" t="str">
        <x:v>A — CORE</x:v>
      </x:c>
      <x:c r="J43" s="84" t="str">
        <x:v>CORE</x:v>
      </x:c>
      <x:c r="K43" s="84" t="str">
        <x:v>ORIGINAL</x:v>
      </x:c>
      <x:c r="L43" s="84" t="str"/>
      <x:c r="M43" s="84" t="n">
        <x:v>1</x:v>
      </x:c>
      <x:c r="N43" s="96" t="n">
        <x:v>1</x:v>
      </x:c>
      <x:c r="O43" s="106" t="n">
        <x:v>1</x:v>
      </x:c>
      <x:c r="P43" s="106" t="n">
        <x:v>0</x:v>
      </x:c>
      <x:c r="Q43" s="106" t="n">
        <x:v>0</x:v>
      </x:c>
      <x:c r="R43" s="106" t="n">
        <x:v>0</x:v>
      </x:c>
      <x:c r="S43" s="106" t="n">
        <x:v>1</x:v>
      </x:c>
      <x:c r="T43" s="24"/>
      <x:c r="U43" s="24"/>
      <x:c r="V43" s="24"/>
      <x:c r="W43" s="24"/>
      <x:c r="X43" s="24"/>
      <x:c r="Y43" s="24"/>
      <x:c r="Z43" s="24"/>
    </x:row>
    <x:row r="44">
      <x:c r="A44" s="84" t="str">
        <x:v>Cursed Mirror</x:v>
      </x:c>
      <x:c r="B44" s="84" t="n">
        <x:v>1</x:v>
      </x:c>
      <x:c r="C44" s="84" t="str">
        <x:v>Artifact</x:v>
      </x:c>
      <x:c r="D44" s="96" t="n">
        <x:v>3</x:v>
      </x:c>
      <x:c r="E44" s="84" t="str">
        <x:v>1. Ramp / Mana</x:v>
      </x:c>
      <x:c r="F44" s="84" t="str">
        <x:v>5. Curse Engines / Enchantment Support</x:v>
      </x:c>
      <x:c r="G44" s="84" t="str">
        <x:v>Ramp/Copy</x:v>
      </x:c>
      <x:c r="H44" s="97" t="n">
        <x:v>9.2</x:v>
      </x:c>
      <x:c r="I44" s="84" t="str">
        <x:v>A — CORE</x:v>
      </x:c>
      <x:c r="J44" s="84" t="str">
        <x:v>CORE</x:v>
      </x:c>
      <x:c r="K44" s="84" t="str">
        <x:v>ORIGINAL</x:v>
      </x:c>
      <x:c r="L44" s="84" t="str"/>
      <x:c r="M44" s="84" t="n">
        <x:v>1</x:v>
      </x:c>
      <x:c r="N44" s="96" t="n">
        <x:v>1</x:v>
      </x:c>
      <x:c r="O44" s="106" t="n">
        <x:v>0</x:v>
      </x:c>
      <x:c r="P44" s="106" t="n">
        <x:v>0</x:v>
      </x:c>
      <x:c r="Q44" s="106" t="n">
        <x:v>0</x:v>
      </x:c>
      <x:c r="R44" s="106" t="n">
        <x:v>0</x:v>
      </x:c>
      <x:c r="S44" s="106" t="n">
        <x:v>1</x:v>
      </x:c>
      <x:c r="T44" s="24"/>
      <x:c r="U44" s="24"/>
      <x:c r="V44" s="24"/>
      <x:c r="W44" s="24"/>
      <x:c r="X44" s="24"/>
      <x:c r="Y44" s="24"/>
      <x:c r="Z44" s="24"/>
    </x:row>
    <x:row r="45">
      <x:c r="A45" s="84" t="str">
        <x:v>Cyclonic Rift</x:v>
      </x:c>
      <x:c r="B45" s="84" t="n">
        <x:v>1</x:v>
      </x:c>
      <x:c r="C45" s="84" t="str">
        <x:v>Instant</x:v>
      </x:c>
      <x:c r="D45" s="96" t="n">
        <x:v>2</x:v>
      </x:c>
      <x:c r="E45" s="84" t="str">
        <x:v>3. Removal / Board Control</x:v>
      </x:c>
      <x:c r="F45" s="84" t="str">
        <x:v>8. Finishers / Thematic Bombs</x:v>
      </x:c>
      <x:c r="G45" s="84" t="str">
        <x:v>Interaction</x:v>
      </x:c>
      <x:c r="H45" s="97" t="n">
        <x:v>9.2</x:v>
      </x:c>
      <x:c r="I45" s="84" t="str">
        <x:v>A — CORE</x:v>
      </x:c>
      <x:c r="J45" s="84" t="str">
        <x:v>CORE</x:v>
      </x:c>
      <x:c r="K45" s="84" t="str">
        <x:v>ORIGINAL</x:v>
      </x:c>
      <x:c r="L45" s="84" t="str"/>
      <x:c r="M45" s="84" t="n">
        <x:v>1</x:v>
      </x:c>
      <x:c r="N45" s="96" t="n">
        <x:v>1</x:v>
      </x:c>
      <x:c r="O45" s="106" t="n">
        <x:v>0</x:v>
      </x:c>
      <x:c r="P45" s="106" t="n">
        <x:v>0</x:v>
      </x:c>
      <x:c r="Q45" s="106" t="n">
        <x:v>0</x:v>
      </x:c>
      <x:c r="R45" s="106" t="n">
        <x:v>0</x:v>
      </x:c>
      <x:c r="S45" s="106" t="n">
        <x:v>1</x:v>
      </x:c>
      <x:c r="T45" s="24"/>
      <x:c r="U45" s="24"/>
      <x:c r="V45" s="24"/>
      <x:c r="W45" s="24"/>
      <x:c r="X45" s="24"/>
      <x:c r="Y45" s="24"/>
      <x:c r="Z45" s="24"/>
    </x:row>
    <x:row r="46">
      <x:c r="A46" s="84" t="str">
        <x:v>Despotic Scepter</x:v>
      </x:c>
      <x:c r="B46" s="84" t="n">
        <x:v>1</x:v>
      </x:c>
      <x:c r="C46" s="84" t="str">
        <x:v>Artifact</x:v>
      </x:c>
      <x:c r="D46" s="96" t="n">
        <x:v>3</x:v>
      </x:c>
      <x:c r="E46" s="84" t="str">
        <x:v>7. Protection / Resilience</x:v>
      </x:c>
      <x:c r="F46" s="84" t="str">
        <x:v>5. Curse Engines / Enchantment Support</x:v>
      </x:c>
      <x:c r="G46" s="84" t="str">
        <x:v>Sacrifice/Recursion</x:v>
      </x:c>
      <x:c r="H46" s="97" t="n">
        <x:v>9</x:v>
      </x:c>
      <x:c r="I46" s="84" t="str">
        <x:v>A — CORE</x:v>
      </x:c>
      <x:c r="J46" s="84" t="str">
        <x:v>CORE</x:v>
      </x:c>
      <x:c r="K46" s="84" t="str">
        <x:v>ORIGINAL</x:v>
      </x:c>
      <x:c r="L46" s="84" t="str"/>
      <x:c r="M46" s="84" t="n">
        <x:v>1</x:v>
      </x:c>
      <x:c r="N46" s="96" t="n">
        <x:v>1</x:v>
      </x:c>
      <x:c r="O46" s="106" t="n">
        <x:v>0</x:v>
      </x:c>
      <x:c r="P46" s="106" t="n">
        <x:v>0</x:v>
      </x:c>
      <x:c r="Q46" s="106" t="n">
        <x:v>0</x:v>
      </x:c>
      <x:c r="R46" s="106" t="n">
        <x:v>0</x:v>
      </x:c>
      <x:c r="S46" s="106" t="n">
        <x:v>1</x:v>
      </x:c>
      <x:c r="T46" s="24"/>
      <x:c r="U46" s="24"/>
      <x:c r="V46" s="24"/>
      <x:c r="W46" s="24"/>
      <x:c r="X46" s="24"/>
      <x:c r="Y46" s="24"/>
      <x:c r="Z46" s="24"/>
    </x:row>
    <x:row r="47">
      <x:c r="A47" s="84" t="str">
        <x:v>Doomwake Giant</x:v>
      </x:c>
      <x:c r="B47" s="84" t="n">
        <x:v>1</x:v>
      </x:c>
      <x:c r="C47" s="84" t="str">
        <x:v>Enchantment Creature</x:v>
      </x:c>
      <x:c r="D47" s="96" t="n">
        <x:v>5</x:v>
      </x:c>
      <x:c r="E47" s="84" t="str">
        <x:v>3. Removal / Board Control</x:v>
      </x:c>
      <x:c r="F47" s="84" t="str">
        <x:v>5. Curse Engines / Enchantment Support</x:v>
      </x:c>
      <x:c r="G47" s="84" t="str">
        <x:v>Enchantment/Control</x:v>
      </x:c>
      <x:c r="H47" s="97" t="n">
        <x:v>9.3</x:v>
      </x:c>
      <x:c r="I47" s="84" t="str">
        <x:v>A — CORE</x:v>
      </x:c>
      <x:c r="J47" s="84" t="str">
        <x:v>CORE</x:v>
      </x:c>
      <x:c r="K47" s="84" t="str">
        <x:v>IN — V2.1</x:v>
      </x:c>
      <x:c r="L47" s="84" t="str"/>
      <x:c r="M47" s="84" t="n">
        <x:v>1</x:v>
      </x:c>
      <x:c r="N47" s="96" t="n">
        <x:v>1</x:v>
      </x:c>
      <x:c r="O47" s="106" t="n">
        <x:v>0</x:v>
      </x:c>
      <x:c r="P47" s="106" t="n">
        <x:v>1</x:v>
      </x:c>
      <x:c r="Q47" s="106" t="n">
        <x:v>0</x:v>
      </x:c>
      <x:c r="R47" s="106" t="n">
        <x:v>0</x:v>
      </x:c>
      <x:c r="S47" s="106" t="n">
        <x:v>1</x:v>
      </x:c>
      <x:c r="T47" s="24"/>
      <x:c r="U47" s="24"/>
      <x:c r="V47" s="24"/>
      <x:c r="W47" s="24"/>
      <x:c r="X47" s="24"/>
      <x:c r="Y47" s="24"/>
      <x:c r="Z47" s="24"/>
    </x:row>
    <x:row r="48">
      <x:c r="A48" s="84" t="str">
        <x:v>Drowned Catacomb</x:v>
      </x:c>
      <x:c r="B48" s="84" t="n">
        <x:v>1</x:v>
      </x:c>
      <x:c r="C48" s="84" t="str">
        <x:v>Land</x:v>
      </x:c>
      <x:c r="D48" s="96" t="n">
        <x:v>0</x:v>
      </x:c>
      <x:c r="E48" s="84" t="str">
        <x:v>1. Ramp / Mana</x:v>
      </x:c>
      <x:c r="F48" s="84" t="str">
        <x:v>7. Protection / Resilience</x:v>
      </x:c>
      <x:c r="G48" s="84" t="str">
        <x:v>Mana Base</x:v>
      </x:c>
      <x:c r="H48" s="97" t="n">
        <x:v>8.4</x:v>
      </x:c>
      <x:c r="I48" s="84" t="str">
        <x:v>B — SUPPORT</x:v>
      </x:c>
      <x:c r="J48" s="84" t="str">
        <x:v>SUPPORT</x:v>
      </x:c>
      <x:c r="K48" s="84" t="str">
        <x:v>ORIGINAL</x:v>
      </x:c>
      <x:c r="L48" s="84" t="str"/>
      <x:c r="M48" s="84" t="n">
        <x:v>0</x:v>
      </x:c>
      <x:c r="N48" s="96" t="n">
        <x:v>1</x:v>
      </x:c>
      <x:c r="O48" s="106" t="n">
        <x:v>0</x:v>
      </x:c>
      <x:c r="P48" s="106" t="n">
        <x:v>0</x:v>
      </x:c>
      <x:c r="Q48" s="106" t="n">
        <x:v>1</x:v>
      </x:c>
      <x:c r="R48" s="106" t="n">
        <x:v>0</x:v>
      </x:c>
      <x:c r="S48" s="106" t="n">
        <x:v>0</x:v>
      </x:c>
      <x:c r="T48" s="24"/>
      <x:c r="U48" s="24"/>
      <x:c r="V48" s="24"/>
      <x:c r="W48" s="24"/>
      <x:c r="X48" s="24"/>
      <x:c r="Y48" s="24"/>
      <x:c r="Z48" s="24"/>
    </x:row>
    <x:row r="49">
      <x:c r="A49" s="84" t="str">
        <x:v>Entity Tracker</x:v>
      </x:c>
      <x:c r="B49" s="84" t="n">
        <x:v>1</x:v>
      </x:c>
      <x:c r="C49" s="84" t="str">
        <x:v>Creature</x:v>
      </x:c>
      <x:c r="D49" s="96" t="n">
        <x:v>3</x:v>
      </x:c>
      <x:c r="E49" s="84" t="str">
        <x:v>2. Draw / Card Advantage</x:v>
      </x:c>
      <x:c r="F49" s="84" t="str">
        <x:v>5. Curse Engines / Enchantment Support</x:v>
      </x:c>
      <x:c r="G49" s="84" t="str">
        <x:v>Enchantment/Draw</x:v>
      </x:c>
      <x:c r="H49" s="97" t="n">
        <x:v>9.5</x:v>
      </x:c>
      <x:c r="I49" s="84" t="str">
        <x:v>S — LOCK</x:v>
      </x:c>
      <x:c r="J49" s="84" t="str">
        <x:v>LOCK</x:v>
      </x:c>
      <x:c r="K49" s="84" t="str">
        <x:v>IN — V2.0</x:v>
      </x:c>
      <x:c r="L49" s="84" t="str"/>
      <x:c r="M49" s="84" t="n">
        <x:v>1</x:v>
      </x:c>
      <x:c r="N49" s="96" t="n">
        <x:v>1</x:v>
      </x:c>
      <x:c r="O49" s="106" t="n">
        <x:v>0</x:v>
      </x:c>
      <x:c r="P49" s="106" t="n">
        <x:v>1</x:v>
      </x:c>
      <x:c r="Q49" s="106" t="n">
        <x:v>0</x:v>
      </x:c>
      <x:c r="R49" s="106" t="n">
        <x:v>0</x:v>
      </x:c>
      <x:c r="S49" s="106" t="n">
        <x:v>1</x:v>
      </x:c>
      <x:c r="T49" s="24"/>
      <x:c r="U49" s="24"/>
      <x:c r="V49" s="24"/>
      <x:c r="W49" s="24"/>
      <x:c r="X49" s="24"/>
      <x:c r="Y49" s="24"/>
      <x:c r="Z49" s="24"/>
    </x:row>
    <x:row r="50">
      <x:c r="A50" s="84" t="str">
        <x:v>Estrid's Invocation</x:v>
      </x:c>
      <x:c r="B50" s="84" t="n">
        <x:v>1</x:v>
      </x:c>
      <x:c r="C50" s="84" t="str">
        <x:v>Enchantment</x:v>
      </x:c>
      <x:c r="D50" s="96" t="n">
        <x:v>3</x:v>
      </x:c>
      <x:c r="E50" s="84" t="str">
        <x:v>5. Curse Engines / Enchantment Support</x:v>
      </x:c>
      <x:c r="F50" s="84" t="str">
        <x:v>4. Curses — Core</x:v>
      </x:c>
      <x:c r="G50" s="84" t="str">
        <x:v>Copy</x:v>
      </x:c>
      <x:c r="H50" s="97" t="n">
        <x:v>8.9</x:v>
      </x:c>
      <x:c r="I50" s="84" t="str">
        <x:v>A — CORE</x:v>
      </x:c>
      <x:c r="J50" s="84" t="str">
        <x:v>CORE</x:v>
      </x:c>
      <x:c r="K50" s="84" t="str">
        <x:v>ORIGINAL</x:v>
      </x:c>
      <x:c r="L50" s="84" t="str"/>
      <x:c r="M50" s="84" t="n">
        <x:v>1</x:v>
      </x:c>
      <x:c r="N50" s="96" t="n">
        <x:v>1</x:v>
      </x:c>
      <x:c r="O50" s="106" t="n">
        <x:v>0</x:v>
      </x:c>
      <x:c r="P50" s="106" t="n">
        <x:v>0</x:v>
      </x:c>
      <x:c r="Q50" s="106" t="n">
        <x:v>0</x:v>
      </x:c>
      <x:c r="R50" s="106" t="n">
        <x:v>0</x:v>
      </x:c>
      <x:c r="S50" s="106" t="n">
        <x:v>1</x:v>
      </x:c>
      <x:c r="T50" s="24"/>
      <x:c r="U50" s="24"/>
      <x:c r="V50" s="24"/>
      <x:c r="W50" s="24"/>
      <x:c r="X50" s="24"/>
      <x:c r="Y50" s="24"/>
      <x:c r="Z50" s="24"/>
    </x:row>
    <x:row r="51">
      <x:c r="A51" s="84" t="str">
        <x:v>Exotic Orchard</x:v>
      </x:c>
      <x:c r="B51" s="84" t="n">
        <x:v>1</x:v>
      </x:c>
      <x:c r="C51" s="84" t="str">
        <x:v>Land</x:v>
      </x:c>
      <x:c r="D51" s="96" t="n">
        <x:v>0</x:v>
      </x:c>
      <x:c r="E51" s="84" t="str">
        <x:v>1. Ramp / Mana</x:v>
      </x:c>
      <x:c r="F51" s="84" t="str">
        <x:v>7. Protection / Resilience</x:v>
      </x:c>
      <x:c r="G51" s="84" t="str">
        <x:v>Mana Base</x:v>
      </x:c>
      <x:c r="H51" s="97" t="n">
        <x:v>8.8</x:v>
      </x:c>
      <x:c r="I51" s="84" t="str">
        <x:v>A — CORE</x:v>
      </x:c>
      <x:c r="J51" s="84" t="str">
        <x:v>CORE</x:v>
      </x:c>
      <x:c r="K51" s="84" t="str">
        <x:v>ORIGINAL</x:v>
      </x:c>
      <x:c r="L51" s="84" t="str"/>
      <x:c r="M51" s="84" t="n">
        <x:v>0</x:v>
      </x:c>
      <x:c r="N51" s="96" t="n">
        <x:v>1</x:v>
      </x:c>
      <x:c r="O51" s="106" t="n">
        <x:v>0</x:v>
      </x:c>
      <x:c r="P51" s="106" t="n">
        <x:v>0</x:v>
      </x:c>
      <x:c r="Q51" s="106" t="n">
        <x:v>1</x:v>
      </x:c>
      <x:c r="R51" s="106" t="n">
        <x:v>0</x:v>
      </x:c>
      <x:c r="S51" s="106" t="n">
        <x:v>0</x:v>
      </x:c>
      <x:c r="T51" s="24"/>
      <x:c r="U51" s="24"/>
      <x:c r="V51" s="24"/>
      <x:c r="W51" s="24"/>
      <x:c r="X51" s="24"/>
      <x:c r="Y51" s="24"/>
      <x:c r="Z51" s="24"/>
    </x:row>
    <x:row r="52">
      <x:c r="A52" s="84" t="str">
        <x:v>Expressive Iteration</x:v>
      </x:c>
      <x:c r="B52" s="84" t="n">
        <x:v>1</x:v>
      </x:c>
      <x:c r="C52" s="84" t="str">
        <x:v>Sorcery</x:v>
      </x:c>
      <x:c r="D52" s="96" t="n">
        <x:v>2</x:v>
      </x:c>
      <x:c r="E52" s="84" t="str">
        <x:v>2. Draw / Card Advantage</x:v>
      </x:c>
      <x:c r="F52" s="84" t="str">
        <x:v>1. Ramp / Mana</x:v>
      </x:c>
      <x:c r="G52" s="84" t="str">
        <x:v>Card Selection</x:v>
      </x:c>
      <x:c r="H52" s="97" t="n">
        <x:v>7.9</x:v>
      </x:c>
      <x:c r="I52" s="84" t="str">
        <x:v>B — SUPPORT</x:v>
      </x:c>
      <x:c r="J52" s="84" t="str">
        <x:v>SUPPORT</x:v>
      </x:c>
      <x:c r="K52" s="84" t="str">
        <x:v>ORIGINAL</x:v>
      </x:c>
      <x:c r="L52" s="84" t="str"/>
      <x:c r="M52" s="84" t="n">
        <x:v>1</x:v>
      </x:c>
      <x:c r="N52" s="96" t="n">
        <x:v>1</x:v>
      </x:c>
      <x:c r="O52" s="106" t="n">
        <x:v>0</x:v>
      </x:c>
      <x:c r="P52" s="106" t="n">
        <x:v>0</x:v>
      </x:c>
      <x:c r="Q52" s="106" t="n">
        <x:v>0</x:v>
      </x:c>
      <x:c r="R52" s="106" t="n">
        <x:v>0</x:v>
      </x:c>
      <x:c r="S52" s="106" t="n">
        <x:v>1</x:v>
      </x:c>
      <x:c r="T52" s="24"/>
      <x:c r="U52" s="24"/>
      <x:c r="V52" s="24"/>
      <x:c r="W52" s="24"/>
      <x:c r="X52" s="24"/>
      <x:c r="Y52" s="24"/>
      <x:c r="Z52" s="24"/>
    </x:row>
    <x:row r="53">
      <x:c r="A53" s="84" t="str">
        <x:v>Extravagant Replication</x:v>
      </x:c>
      <x:c r="B53" s="84" t="n">
        <x:v>1</x:v>
      </x:c>
      <x:c r="C53" s="84" t="str">
        <x:v>Enchantment</x:v>
      </x:c>
      <x:c r="D53" s="96" t="n">
        <x:v>5</x:v>
      </x:c>
      <x:c r="E53" s="84" t="str">
        <x:v>5. Curse Engines / Enchantment Support</x:v>
      </x:c>
      <x:c r="F53" s="84" t="str">
        <x:v>4. Curses — Core</x:v>
      </x:c>
      <x:c r="G53" s="84" t="str">
        <x:v>Copy</x:v>
      </x:c>
      <x:c r="H53" s="97" t="n">
        <x:v>8.5</x:v>
      </x:c>
      <x:c r="I53" s="84" t="str">
        <x:v>A — CORE</x:v>
      </x:c>
      <x:c r="J53" s="84" t="str">
        <x:v>CORE</x:v>
      </x:c>
      <x:c r="K53" s="84" t="str">
        <x:v>ORIGINAL</x:v>
      </x:c>
      <x:c r="L53" s="84" t="str"/>
      <x:c r="M53" s="84" t="n">
        <x:v>1</x:v>
      </x:c>
      <x:c r="N53" s="96" t="n">
        <x:v>1</x:v>
      </x:c>
      <x:c r="O53" s="106" t="n">
        <x:v>0</x:v>
      </x:c>
      <x:c r="P53" s="106" t="n">
        <x:v>0</x:v>
      </x:c>
      <x:c r="Q53" s="106" t="n">
        <x:v>0</x:v>
      </x:c>
      <x:c r="R53" s="106" t="n">
        <x:v>0</x:v>
      </x:c>
      <x:c r="S53" s="106" t="n">
        <x:v>1</x:v>
      </x:c>
      <x:c r="T53" s="24"/>
      <x:c r="U53" s="24"/>
      <x:c r="V53" s="24"/>
      <x:c r="W53" s="24"/>
      <x:c r="X53" s="24"/>
      <x:c r="Y53" s="24"/>
      <x:c r="Z53" s="24"/>
    </x:row>
    <x:row r="54">
      <x:c r="A54" s="84" t="str">
        <x:v>Fabled Passage</x:v>
      </x:c>
      <x:c r="B54" s="84" t="n">
        <x:v>1</x:v>
      </x:c>
      <x:c r="C54" s="84" t="str">
        <x:v>Land</x:v>
      </x:c>
      <x:c r="D54" s="96" t="n">
        <x:v>0</x:v>
      </x:c>
      <x:c r="E54" s="84" t="str">
        <x:v>1. Ramp / Mana</x:v>
      </x:c>
      <x:c r="F54" s="84" t="str">
        <x:v>7. Protection / Resilience</x:v>
      </x:c>
      <x:c r="G54" s="84" t="str">
        <x:v>Mana Base</x:v>
      </x:c>
      <x:c r="H54" s="97" t="n">
        <x:v>8.5</x:v>
      </x:c>
      <x:c r="I54" s="84" t="str">
        <x:v>A — CORE</x:v>
      </x:c>
      <x:c r="J54" s="84" t="str">
        <x:v>CORE</x:v>
      </x:c>
      <x:c r="K54" s="84" t="str">
        <x:v>ORIGINAL</x:v>
      </x:c>
      <x:c r="L54" s="84" t="str"/>
      <x:c r="M54" s="84" t="n">
        <x:v>0</x:v>
      </x:c>
      <x:c r="N54" s="96" t="n">
        <x:v>1</x:v>
      </x:c>
      <x:c r="O54" s="106" t="n">
        <x:v>0</x:v>
      </x:c>
      <x:c r="P54" s="106" t="n">
        <x:v>0</x:v>
      </x:c>
      <x:c r="Q54" s="106" t="n">
        <x:v>1</x:v>
      </x:c>
      <x:c r="R54" s="106" t="n">
        <x:v>0</x:v>
      </x:c>
      <x:c r="S54" s="106" t="n">
        <x:v>0</x:v>
      </x:c>
      <x:c r="T54" s="24"/>
      <x:c r="U54" s="24"/>
      <x:c r="V54" s="24"/>
      <x:c r="W54" s="24"/>
      <x:c r="X54" s="24"/>
      <x:c r="Y54" s="24"/>
      <x:c r="Z54" s="24"/>
    </x:row>
    <x:row r="55">
      <x:c r="A55" s="84" t="str">
        <x:v>Feed the Swarm</x:v>
      </x:c>
      <x:c r="B55" s="84" t="n">
        <x:v>1</x:v>
      </x:c>
      <x:c r="C55" s="84" t="str">
        <x:v>Sorcery</x:v>
      </x:c>
      <x:c r="D55" s="96" t="n">
        <x:v>2</x:v>
      </x:c>
      <x:c r="E55" s="84" t="str">
        <x:v>3. Removal / Board Control</x:v>
      </x:c>
      <x:c r="F55" s="84" t="str">
        <x:v>4. Curses — Core</x:v>
      </x:c>
      <x:c r="G55" s="84" t="str">
        <x:v>Interaction</x:v>
      </x:c>
      <x:c r="H55" s="97" t="n">
        <x:v>8.4</x:v>
      </x:c>
      <x:c r="I55" s="84" t="str">
        <x:v>B — SUPPORT</x:v>
      </x:c>
      <x:c r="J55" s="84" t="str">
        <x:v>SUPPORT</x:v>
      </x:c>
      <x:c r="K55" s="84" t="str">
        <x:v>ORIGINAL</x:v>
      </x:c>
      <x:c r="L55" s="84" t="str"/>
      <x:c r="M55" s="84" t="n">
        <x:v>1</x:v>
      </x:c>
      <x:c r="N55" s="96" t="n">
        <x:v>1</x:v>
      </x:c>
      <x:c r="O55" s="106" t="n">
        <x:v>0</x:v>
      </x:c>
      <x:c r="P55" s="106" t="n">
        <x:v>0</x:v>
      </x:c>
      <x:c r="Q55" s="106" t="n">
        <x:v>0</x:v>
      </x:c>
      <x:c r="R55" s="106" t="n">
        <x:v>0</x:v>
      </x:c>
      <x:c r="S55" s="106" t="n">
        <x:v>1</x:v>
      </x:c>
      <x:c r="T55" s="24"/>
      <x:c r="U55" s="24"/>
      <x:c r="V55" s="24"/>
      <x:c r="W55" s="24"/>
      <x:c r="X55" s="24"/>
      <x:c r="Y55" s="24"/>
      <x:c r="Z55" s="24"/>
    </x:row>
    <x:row r="56">
      <x:c r="A56" s="84" t="str">
        <x:v>Grim Guardian</x:v>
      </x:c>
      <x:c r="B56" s="84" t="n">
        <x:v>1</x:v>
      </x:c>
      <x:c r="C56" s="84" t="str">
        <x:v>Enchantment Creature</x:v>
      </x:c>
      <x:c r="D56" s="96" t="n">
        <x:v>4</x:v>
      </x:c>
      <x:c r="E56" s="84" t="str">
        <x:v>8. Finishers / Thematic Bombs</x:v>
      </x:c>
      <x:c r="F56" s="84" t="str">
        <x:v>5. Curse Engines / Enchantment Support</x:v>
      </x:c>
      <x:c r="G56" s="84" t="str">
        <x:v>Enchantment/Drain</x:v>
      </x:c>
      <x:c r="H56" s="97" t="n">
        <x:v>7.5</x:v>
      </x:c>
      <x:c r="I56" s="84" t="str">
        <x:v>B — SUPPORT</x:v>
      </x:c>
      <x:c r="J56" s="84" t="str">
        <x:v>SUPPORT</x:v>
      </x:c>
      <x:c r="K56" s="84" t="str">
        <x:v>IN — V2.1</x:v>
      </x:c>
      <x:c r="L56" s="84" t="str"/>
      <x:c r="M56" s="84" t="n">
        <x:v>1</x:v>
      </x:c>
      <x:c r="N56" s="96" t="n">
        <x:v>1</x:v>
      </x:c>
      <x:c r="O56" s="106" t="n">
        <x:v>0</x:v>
      </x:c>
      <x:c r="P56" s="106" t="n">
        <x:v>1</x:v>
      </x:c>
      <x:c r="Q56" s="106" t="n">
        <x:v>0</x:v>
      </x:c>
      <x:c r="R56" s="106" t="n">
        <x:v>0</x:v>
      </x:c>
      <x:c r="S56" s="106" t="n">
        <x:v>1</x:v>
      </x:c>
      <x:c r="T56" s="24"/>
      <x:c r="U56" s="24"/>
      <x:c r="V56" s="24"/>
      <x:c r="W56" s="24"/>
      <x:c r="X56" s="24"/>
      <x:c r="Y56" s="24"/>
      <x:c r="Z56" s="24"/>
    </x:row>
    <x:row r="57">
      <x:c r="A57" s="84" t="str">
        <x:v>Grixis Panorama</x:v>
      </x:c>
      <x:c r="B57" s="84" t="n">
        <x:v>1</x:v>
      </x:c>
      <x:c r="C57" s="84" t="str">
        <x:v>Land</x:v>
      </x:c>
      <x:c r="D57" s="96" t="n">
        <x:v>0</x:v>
      </x:c>
      <x:c r="E57" s="84" t="str">
        <x:v>1. Ramp / Mana</x:v>
      </x:c>
      <x:c r="F57" s="84" t="str">
        <x:v>7. Protection / Resilience</x:v>
      </x:c>
      <x:c r="G57" s="84" t="str">
        <x:v>Mana Base</x:v>
      </x:c>
      <x:c r="H57" s="97" t="n">
        <x:v>7.5</x:v>
      </x:c>
      <x:c r="I57" s="84" t="str">
        <x:v>B — SUPPORT</x:v>
      </x:c>
      <x:c r="J57" s="84" t="str">
        <x:v>SUPPORT</x:v>
      </x:c>
      <x:c r="K57" s="84" t="str">
        <x:v>ORIGINAL</x:v>
      </x:c>
      <x:c r="L57" s="84" t="str"/>
      <x:c r="M57" s="84" t="n">
        <x:v>0</x:v>
      </x:c>
      <x:c r="N57" s="96" t="n">
        <x:v>1</x:v>
      </x:c>
      <x:c r="O57" s="106" t="n">
        <x:v>0</x:v>
      </x:c>
      <x:c r="P57" s="106" t="n">
        <x:v>0</x:v>
      </x:c>
      <x:c r="Q57" s="106" t="n">
        <x:v>1</x:v>
      </x:c>
      <x:c r="R57" s="106" t="n">
        <x:v>0</x:v>
      </x:c>
      <x:c r="S57" s="106" t="n">
        <x:v>0</x:v>
      </x:c>
      <x:c r="T57" s="24"/>
      <x:c r="U57" s="24"/>
      <x:c r="V57" s="24"/>
      <x:c r="W57" s="24"/>
      <x:c r="X57" s="24"/>
      <x:c r="Y57" s="24"/>
      <x:c r="Z57" s="24"/>
    </x:row>
    <x:row r="58">
      <x:c r="A58" s="84" t="str">
        <x:v>Hydroelectric Specimen</x:v>
      </x:c>
      <x:c r="B58" s="84" t="n">
        <x:v>1</x:v>
      </x:c>
      <x:c r="C58" s="84" t="str">
        <x:v>Creature // Land MDFC</x:v>
      </x:c>
      <x:c r="D58" s="96" t="n">
        <x:v>3</x:v>
      </x:c>
      <x:c r="E58" s="84" t="str">
        <x:v>7. Protection / Resilience</x:v>
      </x:c>
      <x:c r="F58" s="84" t="str">
        <x:v>1. Ramp / Mana</x:v>
      </x:c>
      <x:c r="G58" s="84" t="str">
        <x:v>MDFC</x:v>
      </x:c>
      <x:c r="H58" s="97" t="n">
        <x:v>7.6</x:v>
      </x:c>
      <x:c r="I58" s="84" t="str">
        <x:v>B — SUPPORT</x:v>
      </x:c>
      <x:c r="J58" s="84" t="str">
        <x:v>SUPPORT</x:v>
      </x:c>
      <x:c r="K58" s="84" t="str">
        <x:v>ORIGINAL</x:v>
      </x:c>
      <x:c r="L58" s="84" t="str"/>
      <x:c r="M58" s="84" t="n">
        <x:v>1</x:v>
      </x:c>
      <x:c r="N58" s="96" t="n">
        <x:v>1</x:v>
      </x:c>
      <x:c r="O58" s="106" t="n">
        <x:v>0</x:v>
      </x:c>
      <x:c r="P58" s="106" t="n">
        <x:v>1</x:v>
      </x:c>
      <x:c r="Q58" s="106" t="n">
        <x:v>1</x:v>
      </x:c>
      <x:c r="R58" s="106" t="n">
        <x:v>1</x:v>
      </x:c>
      <x:c r="S58" s="106" t="n">
        <x:v>1</x:v>
      </x:c>
      <x:c r="T58" s="24"/>
      <x:c r="U58" s="24"/>
      <x:c r="V58" s="24"/>
      <x:c r="W58" s="24"/>
      <x:c r="X58" s="24"/>
      <x:c r="Y58" s="24"/>
      <x:c r="Z58" s="24"/>
    </x:row>
    <x:row r="59">
      <x:c r="A59" s="84" t="str">
        <x:v>Island</x:v>
      </x:c>
      <x:c r="B59" s="84" t="n">
        <x:v>3</x:v>
      </x:c>
      <x:c r="C59" s="84" t="str">
        <x:v>Basic Land</x:v>
      </x:c>
      <x:c r="D59" s="96" t="n">
        <x:v>0</x:v>
      </x:c>
      <x:c r="E59" s="84" t="str">
        <x:v>1. Ramp / Mana</x:v>
      </x:c>
      <x:c r="F59" s="84" t="str">
        <x:v>7. Protection / Resilience</x:v>
      </x:c>
      <x:c r="G59" s="84" t="str">
        <x:v>Mana Base</x:v>
      </x:c>
      <x:c r="H59" s="97" t="n">
        <x:v>8</x:v>
      </x:c>
      <x:c r="I59" s="84" t="str">
        <x:v>B — SUPPORT</x:v>
      </x:c>
      <x:c r="J59" s="84" t="str">
        <x:v>SUPPORT</x:v>
      </x:c>
      <x:c r="K59" s="84" t="str">
        <x:v>ORIGINAL</x:v>
      </x:c>
      <x:c r="L59" s="84" t="str"/>
      <x:c r="M59" s="84" t="n">
        <x:v>0</x:v>
      </x:c>
      <x:c r="N59" s="96" t="n">
        <x:v>3</x:v>
      </x:c>
      <x:c r="O59" s="106" t="n">
        <x:v>0</x:v>
      </x:c>
      <x:c r="P59" s="106" t="n">
        <x:v>0</x:v>
      </x:c>
      <x:c r="Q59" s="106" t="n">
        <x:v>1</x:v>
      </x:c>
      <x:c r="R59" s="106" t="n">
        <x:v>0</x:v>
      </x:c>
      <x:c r="S59" s="106" t="n">
        <x:v>0</x:v>
      </x:c>
      <x:c r="T59" s="24"/>
      <x:c r="U59" s="24"/>
      <x:c r="V59" s="24"/>
      <x:c r="W59" s="24"/>
      <x:c r="X59" s="24"/>
      <x:c r="Y59" s="24"/>
      <x:c r="Z59" s="24"/>
    </x:row>
    <x:row r="60">
      <x:c r="A60" s="84" t="str">
        <x:v>Kazuul, Tyrant of the Cliffs</x:v>
      </x:c>
      <x:c r="B60" s="84" t="n">
        <x:v>1</x:v>
      </x:c>
      <x:c r="C60" s="84" t="str">
        <x:v>Legendary Creature</x:v>
      </x:c>
      <x:c r="D60" s="96" t="n">
        <x:v>5</x:v>
      </x:c>
      <x:c r="E60" s="84" t="str">
        <x:v>6. Politics / Punisher / Pillow Fort</x:v>
      </x:c>
      <x:c r="F60" s="84" t="str">
        <x:v>7. Protection / Resilience</x:v>
      </x:c>
      <x:c r="G60" s="84" t="str">
        <x:v>Pillow Fort</x:v>
      </x:c>
      <x:c r="H60" s="97" t="n">
        <x:v>8.8</x:v>
      </x:c>
      <x:c r="I60" s="84" t="str">
        <x:v>A — CORE</x:v>
      </x:c>
      <x:c r="J60" s="84" t="str">
        <x:v>CORE</x:v>
      </x:c>
      <x:c r="K60" s="84" t="str">
        <x:v>ORIGINAL</x:v>
      </x:c>
      <x:c r="L60" s="84" t="str"/>
      <x:c r="M60" s="84" t="n">
        <x:v>1</x:v>
      </x:c>
      <x:c r="N60" s="96" t="n">
        <x:v>1</x:v>
      </x:c>
      <x:c r="O60" s="106" t="n">
        <x:v>0</x:v>
      </x:c>
      <x:c r="P60" s="106" t="n">
        <x:v>1</x:v>
      </x:c>
      <x:c r="Q60" s="106" t="n">
        <x:v>0</x:v>
      </x:c>
      <x:c r="R60" s="106" t="n">
        <x:v>0</x:v>
      </x:c>
      <x:c r="S60" s="106" t="n">
        <x:v>1</x:v>
      </x:c>
      <x:c r="T60" s="24"/>
      <x:c r="U60" s="24"/>
      <x:c r="V60" s="24"/>
      <x:c r="W60" s="24"/>
      <x:c r="X60" s="24"/>
      <x:c r="Y60" s="24"/>
      <x:c r="Z60" s="24"/>
    </x:row>
    <x:row r="61">
      <x:c r="A61" s="84" t="str">
        <x:v>Last One Standing</x:v>
      </x:c>
      <x:c r="B61" s="84" t="n">
        <x:v>1</x:v>
      </x:c>
      <x:c r="C61" s="84" t="str">
        <x:v>Sorcery</x:v>
      </x:c>
      <x:c r="D61" s="96" t="n">
        <x:v>3</x:v>
      </x:c>
      <x:c r="E61" s="84" t="str">
        <x:v>3. Removal / Board Control</x:v>
      </x:c>
      <x:c r="F61" s="84" t="str">
        <x:v>8. Finishers / Thematic Bombs</x:v>
      </x:c>
      <x:c r="G61" s="84" t="str">
        <x:v>Interaction</x:v>
      </x:c>
      <x:c r="H61" s="97" t="n">
        <x:v>8.2</x:v>
      </x:c>
      <x:c r="I61" s="84" t="str">
        <x:v>B — SUPPORT</x:v>
      </x:c>
      <x:c r="J61" s="84" t="str">
        <x:v>SUPPORT</x:v>
      </x:c>
      <x:c r="K61" s="84" t="str">
        <x:v>ORIGINAL</x:v>
      </x:c>
      <x:c r="L61" s="84" t="str"/>
      <x:c r="M61" s="84" t="n">
        <x:v>1</x:v>
      </x:c>
      <x:c r="N61" s="96" t="n">
        <x:v>1</x:v>
      </x:c>
      <x:c r="O61" s="106" t="n">
        <x:v>0</x:v>
      </x:c>
      <x:c r="P61" s="106" t="n">
        <x:v>0</x:v>
      </x:c>
      <x:c r="Q61" s="106" t="n">
        <x:v>0</x:v>
      </x:c>
      <x:c r="R61" s="106" t="n">
        <x:v>0</x:v>
      </x:c>
      <x:c r="S61" s="106" t="n">
        <x:v>1</x:v>
      </x:c>
      <x:c r="T61" s="24"/>
      <x:c r="U61" s="24"/>
      <x:c r="V61" s="24"/>
      <x:c r="W61" s="24"/>
      <x:c r="X61" s="24"/>
      <x:c r="Y61" s="24"/>
      <x:c r="Z61" s="24"/>
    </x:row>
    <x:row r="62">
      <x:c r="A62" s="84" t="str">
        <x:v>Luxury Suite</x:v>
      </x:c>
      <x:c r="B62" s="84" t="n">
        <x:v>1</x:v>
      </x:c>
      <x:c r="C62" s="84" t="str">
        <x:v>Land</x:v>
      </x:c>
      <x:c r="D62" s="96" t="n">
        <x:v>0</x:v>
      </x:c>
      <x:c r="E62" s="84" t="str">
        <x:v>1. Ramp / Mana</x:v>
      </x:c>
      <x:c r="F62" s="84" t="str">
        <x:v>7. Protection / Resilience</x:v>
      </x:c>
      <x:c r="G62" s="84" t="str">
        <x:v>Mana Base</x:v>
      </x:c>
      <x:c r="H62" s="97" t="n">
        <x:v>8.9</x:v>
      </x:c>
      <x:c r="I62" s="84" t="str">
        <x:v>A — CORE</x:v>
      </x:c>
      <x:c r="J62" s="84" t="str">
        <x:v>CORE</x:v>
      </x:c>
      <x:c r="K62" s="84" t="str">
        <x:v>ORIGINAL</x:v>
      </x:c>
      <x:c r="L62" s="84" t="str"/>
      <x:c r="M62" s="84" t="n">
        <x:v>0</x:v>
      </x:c>
      <x:c r="N62" s="96" t="n">
        <x:v>1</x:v>
      </x:c>
      <x:c r="O62" s="106" t="n">
        <x:v>0</x:v>
      </x:c>
      <x:c r="P62" s="106" t="n">
        <x:v>0</x:v>
      </x:c>
      <x:c r="Q62" s="106" t="n">
        <x:v>1</x:v>
      </x:c>
      <x:c r="R62" s="106" t="n">
        <x:v>0</x:v>
      </x:c>
      <x:c r="S62" s="106" t="n">
        <x:v>0</x:v>
      </x:c>
      <x:c r="T62" s="24"/>
      <x:c r="U62" s="24"/>
      <x:c r="V62" s="24"/>
      <x:c r="W62" s="24"/>
      <x:c r="X62" s="24"/>
      <x:c r="Y62" s="24"/>
      <x:c r="Z62" s="24"/>
    </x:row>
    <x:row r="63">
      <x:c r="A63" s="84" t="str">
        <x:v>Maddening Hex</x:v>
      </x:c>
      <x:c r="B63" s="84" t="n">
        <x:v>1</x:v>
      </x:c>
      <x:c r="C63" s="84" t="str">
        <x:v>Enchantment — Aura Curse</x:v>
      </x:c>
      <x:c r="D63" s="96" t="n">
        <x:v>5</x:v>
      </x:c>
      <x:c r="E63" s="84" t="str">
        <x:v>4. Curses — Core</x:v>
      </x:c>
      <x:c r="F63" s="84" t="str">
        <x:v>8. Finishers / Thematic Bombs</x:v>
      </x:c>
      <x:c r="G63" s="84" t="str">
        <x:v>Curse/Punisher</x:v>
      </x:c>
      <x:c r="H63" s="97" t="n">
        <x:v>8.7</x:v>
      </x:c>
      <x:c r="I63" s="84" t="str">
        <x:v>A — CORE</x:v>
      </x:c>
      <x:c r="J63" s="84" t="str">
        <x:v>CORE</x:v>
      </x:c>
      <x:c r="K63" s="84" t="str">
        <x:v>ORIGINAL</x:v>
      </x:c>
      <x:c r="L63" s="84" t="str"/>
      <x:c r="M63" s="84" t="n">
        <x:v>1</x:v>
      </x:c>
      <x:c r="N63" s="96" t="n">
        <x:v>1</x:v>
      </x:c>
      <x:c r="O63" s="106" t="n">
        <x:v>1</x:v>
      </x:c>
      <x:c r="P63" s="106" t="n">
        <x:v>0</x:v>
      </x:c>
      <x:c r="Q63" s="106" t="n">
        <x:v>0</x:v>
      </x:c>
      <x:c r="R63" s="106" t="n">
        <x:v>0</x:v>
      </x:c>
      <x:c r="S63" s="106" t="n">
        <x:v>1</x:v>
      </x:c>
      <x:c r="T63" s="24"/>
      <x:c r="U63" s="24"/>
      <x:c r="V63" s="24"/>
      <x:c r="W63" s="24"/>
      <x:c r="X63" s="24"/>
      <x:c r="Y63" s="24"/>
      <x:c r="Z63" s="24"/>
    </x:row>
    <x:row r="64">
      <x:c r="A64" s="84" t="str">
        <x:v>Malakir Rebirth</x:v>
      </x:c>
      <x:c r="B64" s="84" t="n">
        <x:v>1</x:v>
      </x:c>
      <x:c r="C64" s="84" t="str">
        <x:v>Instant // Land MDFC</x:v>
      </x:c>
      <x:c r="D64" s="96" t="n">
        <x:v>3</x:v>
      </x:c>
      <x:c r="E64" s="84" t="str">
        <x:v>7. Protection / Resilience</x:v>
      </x:c>
      <x:c r="F64" s="84" t="str">
        <x:v>1. Ramp / Mana</x:v>
      </x:c>
      <x:c r="G64" s="84" t="str">
        <x:v>MDFC</x:v>
      </x:c>
      <x:c r="H64" s="97" t="n">
        <x:v>8.7</x:v>
      </x:c>
      <x:c r="I64" s="84" t="str">
        <x:v>A — CORE</x:v>
      </x:c>
      <x:c r="J64" s="84" t="str">
        <x:v>CORE</x:v>
      </x:c>
      <x:c r="K64" s="84" t="str">
        <x:v>ORIGINAL</x:v>
      </x:c>
      <x:c r="L64" s="84" t="str"/>
      <x:c r="M64" s="84" t="n">
        <x:v>1</x:v>
      </x:c>
      <x:c r="N64" s="96" t="n">
        <x:v>1</x:v>
      </x:c>
      <x:c r="O64" s="106" t="n">
        <x:v>0</x:v>
      </x:c>
      <x:c r="P64" s="106" t="n">
        <x:v>0</x:v>
      </x:c>
      <x:c r="Q64" s="106" t="n">
        <x:v>1</x:v>
      </x:c>
      <x:c r="R64" s="106" t="n">
        <x:v>1</x:v>
      </x:c>
      <x:c r="S64" s="106" t="n">
        <x:v>1</x:v>
      </x:c>
      <x:c r="T64" s="24"/>
      <x:c r="U64" s="24"/>
      <x:c r="V64" s="24"/>
      <x:c r="W64" s="24"/>
      <x:c r="X64" s="24"/>
      <x:c r="Y64" s="24"/>
      <x:c r="Z64" s="24"/>
    </x:row>
    <x:row r="65">
      <x:c r="A65" s="84" t="str">
        <x:v>Midnight Clock</x:v>
      </x:c>
      <x:c r="B65" s="84" t="n">
        <x:v>1</x:v>
      </x:c>
      <x:c r="C65" s="84" t="str">
        <x:v>Artifact</x:v>
      </x:c>
      <x:c r="D65" s="96" t="n">
        <x:v>3</x:v>
      </x:c>
      <x:c r="E65" s="84" t="str">
        <x:v>1. Ramp / Mana</x:v>
      </x:c>
      <x:c r="F65" s="84" t="str">
        <x:v>2. Draw / Card Advantage</x:v>
      </x:c>
      <x:c r="G65" s="84" t="str">
        <x:v>Ramp/Draw</x:v>
      </x:c>
      <x:c r="H65" s="97" t="n">
        <x:v>8.2</x:v>
      </x:c>
      <x:c r="I65" s="84" t="str">
        <x:v>B — SUPPORT</x:v>
      </x:c>
      <x:c r="J65" s="84" t="str">
        <x:v>SUPPORT</x:v>
      </x:c>
      <x:c r="K65" s="84" t="str">
        <x:v>ORIGINAL</x:v>
      </x:c>
      <x:c r="L65" s="84" t="str"/>
      <x:c r="M65" s="84" t="n">
        <x:v>1</x:v>
      </x:c>
      <x:c r="N65" s="96" t="n">
        <x:v>1</x:v>
      </x:c>
      <x:c r="O65" s="106" t="n">
        <x:v>0</x:v>
      </x:c>
      <x:c r="P65" s="106" t="n">
        <x:v>0</x:v>
      </x:c>
      <x:c r="Q65" s="106" t="n">
        <x:v>0</x:v>
      </x:c>
      <x:c r="R65" s="106" t="n">
        <x:v>0</x:v>
      </x:c>
      <x:c r="S65" s="106" t="n">
        <x:v>1</x:v>
      </x:c>
      <x:c r="T65" s="24"/>
      <x:c r="U65" s="24"/>
      <x:c r="V65" s="24"/>
      <x:c r="W65" s="24"/>
      <x:c r="X65" s="24"/>
      <x:c r="Y65" s="24"/>
      <x:c r="Z65" s="24"/>
    </x:row>
    <x:row r="66">
      <x:c r="A66" s="84" t="str">
        <x:v>Mirrormade</x:v>
      </x:c>
      <x:c r="B66" s="84" t="n">
        <x:v>1</x:v>
      </x:c>
      <x:c r="C66" s="84" t="str">
        <x:v>Artifact Enchantment</x:v>
      </x:c>
      <x:c r="D66" s="96" t="n">
        <x:v>3</x:v>
      </x:c>
      <x:c r="E66" s="84" t="str">
        <x:v>5. Curse Engines / Enchantment Support</x:v>
      </x:c>
      <x:c r="F66" s="84" t="str">
        <x:v>4. Curses — Core</x:v>
      </x:c>
      <x:c r="G66" s="84" t="str">
        <x:v>Copy</x:v>
      </x:c>
      <x:c r="H66" s="97" t="n">
        <x:v>9</x:v>
      </x:c>
      <x:c r="I66" s="84" t="str">
        <x:v>A — CORE</x:v>
      </x:c>
      <x:c r="J66" s="84" t="str">
        <x:v>CORE</x:v>
      </x:c>
      <x:c r="K66" s="84" t="str">
        <x:v>IN — V2.1</x:v>
      </x:c>
      <x:c r="L66" s="84" t="str"/>
      <x:c r="M66" s="84" t="n">
        <x:v>1</x:v>
      </x:c>
      <x:c r="N66" s="96" t="n">
        <x:v>1</x:v>
      </x:c>
      <x:c r="O66" s="106" t="n">
        <x:v>0</x:v>
      </x:c>
      <x:c r="P66" s="106" t="n">
        <x:v>0</x:v>
      </x:c>
      <x:c r="Q66" s="106" t="n">
        <x:v>0</x:v>
      </x:c>
      <x:c r="R66" s="106" t="n">
        <x:v>0</x:v>
      </x:c>
      <x:c r="S66" s="106" t="n">
        <x:v>1</x:v>
      </x:c>
      <x:c r="T66" s="24"/>
      <x:c r="U66" s="24"/>
      <x:c r="V66" s="24"/>
      <x:c r="W66" s="24"/>
      <x:c r="X66" s="24"/>
      <x:c r="Y66" s="24"/>
      <x:c r="Z66" s="24"/>
    </x:row>
    <x:row r="67">
      <x:c r="A67" s="84" t="str">
        <x:v>Morphic Pool</x:v>
      </x:c>
      <x:c r="B67" s="84" t="n">
        <x:v>1</x:v>
      </x:c>
      <x:c r="C67" s="84" t="str">
        <x:v>Land</x:v>
      </x:c>
      <x:c r="D67" s="96" t="n">
        <x:v>0</x:v>
      </x:c>
      <x:c r="E67" s="84" t="str">
        <x:v>1. Ramp / Mana</x:v>
      </x:c>
      <x:c r="F67" s="84" t="str">
        <x:v>7. Protection / Resilience</x:v>
      </x:c>
      <x:c r="G67" s="84" t="str">
        <x:v>Mana Base</x:v>
      </x:c>
      <x:c r="H67" s="97" t="n">
        <x:v>9</x:v>
      </x:c>
      <x:c r="I67" s="84" t="str">
        <x:v>A — CORE</x:v>
      </x:c>
      <x:c r="J67" s="84" t="str">
        <x:v>CORE</x:v>
      </x:c>
      <x:c r="K67" s="84" t="str">
        <x:v>IN — V2.0</x:v>
      </x:c>
      <x:c r="L67" s="84" t="str"/>
      <x:c r="M67" s="84" t="n">
        <x:v>0</x:v>
      </x:c>
      <x:c r="N67" s="96" t="n">
        <x:v>1</x:v>
      </x:c>
      <x:c r="O67" s="106" t="n">
        <x:v>0</x:v>
      </x:c>
      <x:c r="P67" s="106" t="n">
        <x:v>0</x:v>
      </x:c>
      <x:c r="Q67" s="106" t="n">
        <x:v>1</x:v>
      </x:c>
      <x:c r="R67" s="106" t="n">
        <x:v>0</x:v>
      </x:c>
      <x:c r="S67" s="106" t="n">
        <x:v>0</x:v>
      </x:c>
      <x:c r="T67" s="24"/>
      <x:c r="U67" s="24"/>
      <x:c r="V67" s="24"/>
      <x:c r="W67" s="24"/>
      <x:c r="X67" s="24"/>
      <x:c r="Y67" s="24"/>
      <x:c r="Z67" s="24"/>
    </x:row>
    <x:row r="68">
      <x:c r="A68" s="84" t="str">
        <x:v>Mortuary Mire</x:v>
      </x:c>
      <x:c r="B68" s="84" t="n">
        <x:v>1</x:v>
      </x:c>
      <x:c r="C68" s="84" t="str">
        <x:v>Land</x:v>
      </x:c>
      <x:c r="D68" s="96" t="n">
        <x:v>0</x:v>
      </x:c>
      <x:c r="E68" s="84" t="str">
        <x:v>7. Protection / Resilience</x:v>
      </x:c>
      <x:c r="F68" s="84" t="str">
        <x:v>1. Ramp / Mana</x:v>
      </x:c>
      <x:c r="G68" s="84" t="str">
        <x:v>Recursion Land</x:v>
      </x:c>
      <x:c r="H68" s="97" t="n">
        <x:v>7.8</x:v>
      </x:c>
      <x:c r="I68" s="84" t="str">
        <x:v>B — SUPPORT</x:v>
      </x:c>
      <x:c r="J68" s="84" t="str">
        <x:v>SUPPORT</x:v>
      </x:c>
      <x:c r="K68" s="84" t="str">
        <x:v>ORIGINAL</x:v>
      </x:c>
      <x:c r="L68" s="84" t="str"/>
      <x:c r="M68" s="84" t="n">
        <x:v>0</x:v>
      </x:c>
      <x:c r="N68" s="96" t="n">
        <x:v>1</x:v>
      </x:c>
      <x:c r="O68" s="106" t="n">
        <x:v>0</x:v>
      </x:c>
      <x:c r="P68" s="106" t="n">
        <x:v>0</x:v>
      </x:c>
      <x:c r="Q68" s="106" t="n">
        <x:v>1</x:v>
      </x:c>
      <x:c r="R68" s="106" t="n">
        <x:v>0</x:v>
      </x:c>
      <x:c r="S68" s="106" t="n">
        <x:v>0</x:v>
      </x:c>
      <x:c r="T68" s="24"/>
      <x:c r="U68" s="24"/>
      <x:c r="V68" s="24"/>
      <x:c r="W68" s="24"/>
      <x:c r="X68" s="24"/>
      <x:c r="Y68" s="24"/>
      <x:c r="Z68" s="24"/>
    </x:row>
    <x:row r="69">
      <x:c r="A69" s="84" t="str">
        <x:v>Mountain</x:v>
      </x:c>
      <x:c r="B69" s="84" t="n">
        <x:v>3</x:v>
      </x:c>
      <x:c r="C69" s="84" t="str">
        <x:v>Basic Land</x:v>
      </x:c>
      <x:c r="D69" s="96" t="n">
        <x:v>0</x:v>
      </x:c>
      <x:c r="E69" s="84" t="str">
        <x:v>1. Ramp / Mana</x:v>
      </x:c>
      <x:c r="F69" s="84" t="str">
        <x:v>7. Protection / Resilience</x:v>
      </x:c>
      <x:c r="G69" s="84" t="str">
        <x:v>Mana Base</x:v>
      </x:c>
      <x:c r="H69" s="97" t="n">
        <x:v>8</x:v>
      </x:c>
      <x:c r="I69" s="84" t="str">
        <x:v>B — SUPPORT</x:v>
      </x:c>
      <x:c r="J69" s="84" t="str">
        <x:v>SUPPORT</x:v>
      </x:c>
      <x:c r="K69" s="84" t="str">
        <x:v>ORIGINAL</x:v>
      </x:c>
      <x:c r="L69" s="84" t="str"/>
      <x:c r="M69" s="84" t="n">
        <x:v>0</x:v>
      </x:c>
      <x:c r="N69" s="96" t="n">
        <x:v>3</x:v>
      </x:c>
      <x:c r="O69" s="106" t="n">
        <x:v>0</x:v>
      </x:c>
      <x:c r="P69" s="106" t="n">
        <x:v>0</x:v>
      </x:c>
      <x:c r="Q69" s="106" t="n">
        <x:v>1</x:v>
      </x:c>
      <x:c r="R69" s="106" t="n">
        <x:v>0</x:v>
      </x:c>
      <x:c r="S69" s="106" t="n">
        <x:v>0</x:v>
      </x:c>
      <x:c r="T69" s="24"/>
      <x:c r="U69" s="24"/>
      <x:c r="V69" s="24"/>
      <x:c r="W69" s="24"/>
      <x:c r="X69" s="24"/>
      <x:c r="Y69" s="24"/>
      <x:c r="Z69" s="24"/>
    </x:row>
    <x:row r="70">
      <x:c r="A70" s="84" t="str">
        <x:v>Nightscape Familiar</x:v>
      </x:c>
      <x:c r="B70" s="84" t="n">
        <x:v>1</x:v>
      </x:c>
      <x:c r="C70" s="84" t="str">
        <x:v>Creature</x:v>
      </x:c>
      <x:c r="D70" s="96" t="n">
        <x:v>2</x:v>
      </x:c>
      <x:c r="E70" s="84" t="str">
        <x:v>1. Ramp / Mana</x:v>
      </x:c>
      <x:c r="F70" s="84" t="str">
        <x:v>5. Curse Engines / Enchantment Support</x:v>
      </x:c>
      <x:c r="G70" s="84" t="str">
        <x:v>Cost Reduction</x:v>
      </x:c>
      <x:c r="H70" s="97" t="n">
        <x:v>9.3</x:v>
      </x:c>
      <x:c r="I70" s="84" t="str">
        <x:v>A — CORE</x:v>
      </x:c>
      <x:c r="J70" s="84" t="str">
        <x:v>CORE</x:v>
      </x:c>
      <x:c r="K70" s="84" t="str">
        <x:v>ORIGINAL</x:v>
      </x:c>
      <x:c r="L70" s="84" t="str"/>
      <x:c r="M70" s="84" t="n">
        <x:v>1</x:v>
      </x:c>
      <x:c r="N70" s="96" t="n">
        <x:v>1</x:v>
      </x:c>
      <x:c r="O70" s="106" t="n">
        <x:v>0</x:v>
      </x:c>
      <x:c r="P70" s="106" t="n">
        <x:v>1</x:v>
      </x:c>
      <x:c r="Q70" s="106" t="n">
        <x:v>0</x:v>
      </x:c>
      <x:c r="R70" s="106" t="n">
        <x:v>0</x:v>
      </x:c>
      <x:c r="S70" s="106" t="n">
        <x:v>1</x:v>
      </x:c>
      <x:c r="T70" s="24"/>
      <x:c r="U70" s="24"/>
      <x:c r="V70" s="24"/>
      <x:c r="W70" s="24"/>
      <x:c r="X70" s="24"/>
      <x:c r="Y70" s="24"/>
      <x:c r="Z70" s="24"/>
    </x:row>
    <x:row r="71">
      <x:c r="A71" s="84" t="str">
        <x:v>Notion Thief</x:v>
      </x:c>
      <x:c r="B71" s="84" t="n">
        <x:v>1</x:v>
      </x:c>
      <x:c r="C71" s="84" t="str">
        <x:v>Creature</x:v>
      </x:c>
      <x:c r="D71" s="96" t="n">
        <x:v>4</x:v>
      </x:c>
      <x:c r="E71" s="84" t="str">
        <x:v>2. Draw / Card Advantage</x:v>
      </x:c>
      <x:c r="F71" s="84" t="str">
        <x:v>6. Politics / Punisher / Pillow Fort</x:v>
      </x:c>
      <x:c r="G71" s="84" t="str">
        <x:v>Power Slider</x:v>
      </x:c>
      <x:c r="H71" s="97" t="n">
        <x:v>8.8</x:v>
      </x:c>
      <x:c r="I71" s="84" t="str">
        <x:v>A — CORE</x:v>
      </x:c>
      <x:c r="J71" s="84" t="str">
        <x:v>CORE</x:v>
      </x:c>
      <x:c r="K71" s="84" t="str">
        <x:v>ORIGINAL</x:v>
      </x:c>
      <x:c r="L71" s="84" t="str"/>
      <x:c r="M71" s="84" t="n">
        <x:v>1</x:v>
      </x:c>
      <x:c r="N71" s="96" t="n">
        <x:v>1</x:v>
      </x:c>
      <x:c r="O71" s="106" t="n">
        <x:v>0</x:v>
      </x:c>
      <x:c r="P71" s="106" t="n">
        <x:v>1</x:v>
      </x:c>
      <x:c r="Q71" s="106" t="n">
        <x:v>0</x:v>
      </x:c>
      <x:c r="R71" s="106" t="n">
        <x:v>0</x:v>
      </x:c>
      <x:c r="S71" s="106" t="n">
        <x:v>1</x:v>
      </x:c>
      <x:c r="T71" s="24"/>
      <x:c r="U71" s="24"/>
      <x:c r="V71" s="24"/>
      <x:c r="W71" s="24"/>
      <x:c r="X71" s="24"/>
      <x:c r="Y71" s="24"/>
      <x:c r="Z71" s="24"/>
    </x:row>
    <x:row r="72">
      <x:c r="A72" s="84" t="str">
        <x:v>Paradox Haze</x:v>
      </x:c>
      <x:c r="B72" s="84" t="n">
        <x:v>1</x:v>
      </x:c>
      <x:c r="C72" s="84" t="str">
        <x:v>Enchantment — Aura</x:v>
      </x:c>
      <x:c r="D72" s="96" t="n">
        <x:v>4</x:v>
      </x:c>
      <x:c r="E72" s="84" t="str">
        <x:v>5. Curse Engines / Enchantment Support</x:v>
      </x:c>
      <x:c r="F72" s="84" t="str">
        <x:v>2. Draw / Card Advantage</x:v>
      </x:c>
      <x:c r="G72" s="84" t="str">
        <x:v>Extra Upkeep</x:v>
      </x:c>
      <x:c r="H72" s="97" t="n">
        <x:v>9.7</x:v>
      </x:c>
      <x:c r="I72" s="84" t="str">
        <x:v>S — LOCK</x:v>
      </x:c>
      <x:c r="J72" s="84" t="str">
        <x:v>LOCK</x:v>
      </x:c>
      <x:c r="K72" s="84" t="str">
        <x:v>IN — V2.0</x:v>
      </x:c>
      <x:c r="L72" s="84" t="str"/>
      <x:c r="M72" s="84" t="n">
        <x:v>1</x:v>
      </x:c>
      <x:c r="N72" s="96" t="n">
        <x:v>1</x:v>
      </x:c>
      <x:c r="O72" s="106" t="n">
        <x:v>0</x:v>
      </x:c>
      <x:c r="P72" s="106" t="n">
        <x:v>0</x:v>
      </x:c>
      <x:c r="Q72" s="106" t="n">
        <x:v>0</x:v>
      </x:c>
      <x:c r="R72" s="106" t="n">
        <x:v>0</x:v>
      </x:c>
      <x:c r="S72" s="106" t="n">
        <x:v>1</x:v>
      </x:c>
      <x:c r="T72" s="24"/>
      <x:c r="U72" s="24"/>
      <x:c r="V72" s="24"/>
      <x:c r="W72" s="24"/>
      <x:c r="X72" s="24"/>
      <x:c r="Y72" s="24"/>
      <x:c r="Z72" s="24"/>
    </x:row>
    <x:row r="73">
      <x:c r="A73" s="84" t="str">
        <x:v>Propaganda</x:v>
      </x:c>
      <x:c r="B73" s="84" t="n">
        <x:v>1</x:v>
      </x:c>
      <x:c r="C73" s="84" t="str">
        <x:v>Enchantment</x:v>
      </x:c>
      <x:c r="D73" s="96" t="n">
        <x:v>3</x:v>
      </x:c>
      <x:c r="E73" s="84" t="str">
        <x:v>6. Politics / Punisher / Pillow Fort</x:v>
      </x:c>
      <x:c r="F73" s="84" t="str">
        <x:v>7. Protection / Resilience</x:v>
      </x:c>
      <x:c r="G73" s="84" t="str">
        <x:v>Pillow Fort</x:v>
      </x:c>
      <x:c r="H73" s="97" t="n">
        <x:v>9.1</x:v>
      </x:c>
      <x:c r="I73" s="84" t="str">
        <x:v>A — CORE</x:v>
      </x:c>
      <x:c r="J73" s="84" t="str">
        <x:v>CORE</x:v>
      </x:c>
      <x:c r="K73" s="84" t="str">
        <x:v>ORIGINAL</x:v>
      </x:c>
      <x:c r="L73" s="84" t="str"/>
      <x:c r="M73" s="84" t="n">
        <x:v>1</x:v>
      </x:c>
      <x:c r="N73" s="96" t="n">
        <x:v>1</x:v>
      </x:c>
      <x:c r="O73" s="106" t="n">
        <x:v>0</x:v>
      </x:c>
      <x:c r="P73" s="106" t="n">
        <x:v>0</x:v>
      </x:c>
      <x:c r="Q73" s="106" t="n">
        <x:v>0</x:v>
      </x:c>
      <x:c r="R73" s="106" t="n">
        <x:v>0</x:v>
      </x:c>
      <x:c r="S73" s="106" t="n">
        <x:v>1</x:v>
      </x:c>
      <x:c r="T73" s="24"/>
      <x:c r="U73" s="24"/>
      <x:c r="V73" s="24"/>
      <x:c r="W73" s="24"/>
      <x:c r="X73" s="24"/>
      <x:c r="Y73" s="24"/>
      <x:c r="Z73" s="24"/>
    </x:row>
    <x:row r="74">
      <x:c r="A74" s="84" t="str">
        <x:v>Protean Thaumaturge</x:v>
      </x:c>
      <x:c r="B74" s="84" t="n">
        <x:v>1</x:v>
      </x:c>
      <x:c r="C74" s="84" t="str">
        <x:v>Creature</x:v>
      </x:c>
      <x:c r="D74" s="96" t="n">
        <x:v>3</x:v>
      </x:c>
      <x:c r="E74" s="84" t="str">
        <x:v>5. Curse Engines / Enchantment Support</x:v>
      </x:c>
      <x:c r="F74" s="84" t="str">
        <x:v>4. Curses — Core</x:v>
      </x:c>
      <x:c r="G74" s="84" t="str">
        <x:v>Copy</x:v>
      </x:c>
      <x:c r="H74" s="97" t="n">
        <x:v>8.4</x:v>
      </x:c>
      <x:c r="I74" s="84" t="str">
        <x:v>B — SUPPORT</x:v>
      </x:c>
      <x:c r="J74" s="84" t="str">
        <x:v>SUPPORT</x:v>
      </x:c>
      <x:c r="K74" s="84" t="str">
        <x:v>ORIGINAL</x:v>
      </x:c>
      <x:c r="L74" s="84" t="str"/>
      <x:c r="M74" s="84" t="n">
        <x:v>1</x:v>
      </x:c>
      <x:c r="N74" s="96" t="n">
        <x:v>1</x:v>
      </x:c>
      <x:c r="O74" s="106" t="n">
        <x:v>0</x:v>
      </x:c>
      <x:c r="P74" s="106" t="n">
        <x:v>1</x:v>
      </x:c>
      <x:c r="Q74" s="106" t="n">
        <x:v>0</x:v>
      </x:c>
      <x:c r="R74" s="106" t="n">
        <x:v>0</x:v>
      </x:c>
      <x:c r="S74" s="106" t="n">
        <x:v>1</x:v>
      </x:c>
      <x:c r="T74" s="24"/>
      <x:c r="U74" s="24"/>
      <x:c r="V74" s="24"/>
      <x:c r="W74" s="24"/>
      <x:c r="X74" s="24"/>
      <x:c r="Y74" s="24"/>
      <x:c r="Z74" s="24"/>
    </x:row>
    <x:row r="75">
      <x:c r="A75" s="84" t="str">
        <x:v>Read the Runes</x:v>
      </x:c>
      <x:c r="B75" s="84" t="n">
        <x:v>1</x:v>
      </x:c>
      <x:c r="C75" s="84" t="str">
        <x:v>Instant</x:v>
      </x:c>
      <x:c r="D75" s="96" t="n">
        <x:v>1</x:v>
      </x:c>
      <x:c r="E75" s="84" t="str">
        <x:v>2. Draw / Card Advantage</x:v>
      </x:c>
      <x:c r="F75" s="84" t="str">
        <x:v>7. Protection / Resilience</x:v>
      </x:c>
      <x:c r="G75" s="84" t="str">
        <x:v>X Spell</x:v>
      </x:c>
      <x:c r="H75" s="97" t="n">
        <x:v>7.7</x:v>
      </x:c>
      <x:c r="I75" s="84" t="str">
        <x:v>B — SUPPORT</x:v>
      </x:c>
      <x:c r="J75" s="84" t="str">
        <x:v>SUPPORT</x:v>
      </x:c>
      <x:c r="K75" s="84" t="str">
        <x:v>ORIGINAL</x:v>
      </x:c>
      <x:c r="L75" s="84" t="str">
        <x:v>Variable X; base MV is 1.</x:v>
      </x:c>
      <x:c r="M75" s="84" t="n">
        <x:v>1</x:v>
      </x:c>
      <x:c r="N75" s="96" t="n">
        <x:v>1</x:v>
      </x:c>
      <x:c r="O75" s="106" t="n">
        <x:v>0</x:v>
      </x:c>
      <x:c r="P75" s="106" t="n">
        <x:v>0</x:v>
      </x:c>
      <x:c r="Q75" s="106" t="n">
        <x:v>0</x:v>
      </x:c>
      <x:c r="R75" s="106" t="n">
        <x:v>0</x:v>
      </x:c>
      <x:c r="S75" s="106" t="n">
        <x:v>1</x:v>
      </x:c>
      <x:c r="T75" s="24"/>
      <x:c r="U75" s="24"/>
      <x:c r="V75" s="24"/>
      <x:c r="W75" s="24"/>
      <x:c r="X75" s="24"/>
      <x:c r="Y75" s="24"/>
      <x:c r="Z75" s="24"/>
    </x:row>
    <x:row r="76">
      <x:c r="A76" s="84" t="str">
        <x:v>Reality Shift</x:v>
      </x:c>
      <x:c r="B76" s="84" t="n">
        <x:v>1</x:v>
      </x:c>
      <x:c r="C76" s="84" t="str">
        <x:v>Instant</x:v>
      </x:c>
      <x:c r="D76" s="96" t="n">
        <x:v>2</x:v>
      </x:c>
      <x:c r="E76" s="84" t="str">
        <x:v>3. Removal / Board Control</x:v>
      </x:c>
      <x:c r="F76" s="84" t="str">
        <x:v>2. Draw / Card Advantage</x:v>
      </x:c>
      <x:c r="G76" s="84" t="str">
        <x:v>Interaction</x:v>
      </x:c>
      <x:c r="H76" s="97" t="n">
        <x:v>8.3</x:v>
      </x:c>
      <x:c r="I76" s="84" t="str">
        <x:v>B — SUPPORT</x:v>
      </x:c>
      <x:c r="J76" s="84" t="str">
        <x:v>SUPPORT</x:v>
      </x:c>
      <x:c r="K76" s="84" t="str">
        <x:v>ORIGINAL</x:v>
      </x:c>
      <x:c r="L76" s="84" t="str"/>
      <x:c r="M76" s="84" t="n">
        <x:v>1</x:v>
      </x:c>
      <x:c r="N76" s="96" t="n">
        <x:v>1</x:v>
      </x:c>
      <x:c r="O76" s="106" t="n">
        <x:v>0</x:v>
      </x:c>
      <x:c r="P76" s="106" t="n">
        <x:v>0</x:v>
      </x:c>
      <x:c r="Q76" s="106" t="n">
        <x:v>0</x:v>
      </x:c>
      <x:c r="R76" s="106" t="n">
        <x:v>0</x:v>
      </x:c>
      <x:c r="S76" s="106" t="n">
        <x:v>1</x:v>
      </x:c>
      <x:c r="T76" s="24"/>
      <x:c r="U76" s="24"/>
      <x:c r="V76" s="24"/>
      <x:c r="W76" s="24"/>
      <x:c r="X76" s="24"/>
      <x:c r="Y76" s="24"/>
      <x:c r="Z76" s="24"/>
    </x:row>
    <x:row r="77">
      <x:c r="A77" s="84" t="str">
        <x:v>Rivendell</x:v>
      </x:c>
      <x:c r="B77" s="84" t="n">
        <x:v>1</x:v>
      </x:c>
      <x:c r="C77" s="84" t="str">
        <x:v>Legendary Land</x:v>
      </x:c>
      <x:c r="D77" s="96" t="n">
        <x:v>0</x:v>
      </x:c>
      <x:c r="E77" s="84" t="str">
        <x:v>1. Ramp / Mana</x:v>
      </x:c>
      <x:c r="F77" s="84" t="str">
        <x:v>2. Draw / Card Advantage</x:v>
      </x:c>
      <x:c r="G77" s="84" t="str">
        <x:v>Mana Base</x:v>
      </x:c>
      <x:c r="H77" s="97" t="n">
        <x:v>7.5</x:v>
      </x:c>
      <x:c r="I77" s="84" t="str">
        <x:v>B — SUPPORT</x:v>
      </x:c>
      <x:c r="J77" s="84" t="str">
        <x:v>SUPPORT</x:v>
      </x:c>
      <x:c r="K77" s="84" t="str">
        <x:v>ORIGINAL</x:v>
      </x:c>
      <x:c r="L77" s="84" t="str"/>
      <x:c r="M77" s="84" t="n">
        <x:v>1</x:v>
      </x:c>
      <x:c r="N77" s="96" t="n">
        <x:v>1</x:v>
      </x:c>
      <x:c r="O77" s="106" t="n">
        <x:v>0</x:v>
      </x:c>
      <x:c r="P77" s="106" t="n">
        <x:v>0</x:v>
      </x:c>
      <x:c r="Q77" s="106" t="n">
        <x:v>1</x:v>
      </x:c>
      <x:c r="R77" s="106" t="n">
        <x:v>0</x:v>
      </x:c>
      <x:c r="S77" s="106" t="n">
        <x:v>0</x:v>
      </x:c>
      <x:c r="T77" s="24"/>
      <x:c r="U77" s="24"/>
      <x:c r="V77" s="24"/>
      <x:c r="W77" s="24"/>
      <x:c r="X77" s="24"/>
      <x:c r="Y77" s="24"/>
      <x:c r="Z77" s="24"/>
    </x:row>
    <x:row r="78">
      <x:c r="A78" s="84" t="str">
        <x:v>Riverglide Pathway</x:v>
      </x:c>
      <x:c r="B78" s="84" t="n">
        <x:v>1</x:v>
      </x:c>
      <x:c r="C78" s="84" t="str">
        <x:v>Land</x:v>
      </x:c>
      <x:c r="D78" s="96" t="n">
        <x:v>0</x:v>
      </x:c>
      <x:c r="E78" s="84" t="str">
        <x:v>1. Ramp / Mana</x:v>
      </x:c>
      <x:c r="F78" s="84" t="str">
        <x:v>7. Protection / Resilience</x:v>
      </x:c>
      <x:c r="G78" s="84" t="str">
        <x:v>Mana Base</x:v>
      </x:c>
      <x:c r="H78" s="97" t="n">
        <x:v>8.2</x:v>
      </x:c>
      <x:c r="I78" s="84" t="str">
        <x:v>B — SUPPORT</x:v>
      </x:c>
      <x:c r="J78" s="84" t="str">
        <x:v>SUPPORT</x:v>
      </x:c>
      <x:c r="K78" s="84" t="str">
        <x:v>ORIGINAL</x:v>
      </x:c>
      <x:c r="L78" s="84" t="str"/>
      <x:c r="M78" s="84" t="n">
        <x:v>0</x:v>
      </x:c>
      <x:c r="N78" s="96" t="n">
        <x:v>1</x:v>
      </x:c>
      <x:c r="O78" s="106" t="n">
        <x:v>0</x:v>
      </x:c>
      <x:c r="P78" s="106" t="n">
        <x:v>0</x:v>
      </x:c>
      <x:c r="Q78" s="106" t="n">
        <x:v>1</x:v>
      </x:c>
      <x:c r="R78" s="106" t="n">
        <x:v>0</x:v>
      </x:c>
      <x:c r="S78" s="106" t="n">
        <x:v>0</x:v>
      </x:c>
      <x:c r="T78" s="24"/>
      <x:c r="U78" s="24"/>
      <x:c r="V78" s="24"/>
      <x:c r="W78" s="24"/>
      <x:c r="X78" s="24"/>
      <x:c r="Y78" s="24"/>
      <x:c r="Z78" s="24"/>
    </x:row>
    <x:row r="79">
      <x:c r="A79" s="84" t="str">
        <x:v>Sauron's Ransom</x:v>
      </x:c>
      <x:c r="B79" s="84" t="n">
        <x:v>1</x:v>
      </x:c>
      <x:c r="C79" s="84" t="str">
        <x:v>Instant</x:v>
      </x:c>
      <x:c r="D79" s="96" t="n">
        <x:v>3</x:v>
      </x:c>
      <x:c r="E79" s="84" t="str">
        <x:v>2. Draw / Card Advantage</x:v>
      </x:c>
      <x:c r="F79" s="84" t="str">
        <x:v>6. Politics / Punisher / Pillow Fort</x:v>
      </x:c>
      <x:c r="G79" s="84" t="str">
        <x:v>Card Selection</x:v>
      </x:c>
      <x:c r="H79" s="97" t="n">
        <x:v>7.9</x:v>
      </x:c>
      <x:c r="I79" s="84" t="str">
        <x:v>B — SUPPORT</x:v>
      </x:c>
      <x:c r="J79" s="84" t="str">
        <x:v>SUPPORT</x:v>
      </x:c>
      <x:c r="K79" s="84" t="str">
        <x:v>ORIGINAL</x:v>
      </x:c>
      <x:c r="L79" s="84" t="str"/>
      <x:c r="M79" s="84" t="n">
        <x:v>1</x:v>
      </x:c>
      <x:c r="N79" s="96" t="n">
        <x:v>1</x:v>
      </x:c>
      <x:c r="O79" s="106" t="n">
        <x:v>0</x:v>
      </x:c>
      <x:c r="P79" s="106" t="n">
        <x:v>0</x:v>
      </x:c>
      <x:c r="Q79" s="106" t="n">
        <x:v>0</x:v>
      </x:c>
      <x:c r="R79" s="106" t="n">
        <x:v>0</x:v>
      </x:c>
      <x:c r="S79" s="106" t="n">
        <x:v>1</x:v>
      </x:c>
      <x:c r="T79" s="24"/>
      <x:c r="U79" s="24"/>
      <x:c r="V79" s="24"/>
      <x:c r="W79" s="24"/>
      <x:c r="X79" s="24"/>
      <x:c r="Y79" s="24"/>
      <x:c r="Z79" s="24"/>
    </x:row>
    <x:row r="80">
      <x:c r="A80" s="84" t="str">
        <x:v>Seething Landscape</x:v>
      </x:c>
      <x:c r="B80" s="84" t="n">
        <x:v>1</x:v>
      </x:c>
      <x:c r="C80" s="84" t="str">
        <x:v>Land</x:v>
      </x:c>
      <x:c r="D80" s="96" t="n">
        <x:v>0</x:v>
      </x:c>
      <x:c r="E80" s="84" t="str">
        <x:v>1. Ramp / Mana</x:v>
      </x:c>
      <x:c r="F80" s="84" t="str">
        <x:v>2. Draw / Card Advantage</x:v>
      </x:c>
      <x:c r="G80" s="84" t="str">
        <x:v>Mana Base</x:v>
      </x:c>
      <x:c r="H80" s="97" t="n">
        <x:v>8</x:v>
      </x:c>
      <x:c r="I80" s="84" t="str">
        <x:v>B — SUPPORT</x:v>
      </x:c>
      <x:c r="J80" s="84" t="str">
        <x:v>SUPPORT</x:v>
      </x:c>
      <x:c r="K80" s="84" t="str">
        <x:v>ORIGINAL</x:v>
      </x:c>
      <x:c r="L80" s="84" t="str"/>
      <x:c r="M80" s="84" t="n">
        <x:v>0</x:v>
      </x:c>
      <x:c r="N80" s="96" t="n">
        <x:v>1</x:v>
      </x:c>
      <x:c r="O80" s="106" t="n">
        <x:v>0</x:v>
      </x:c>
      <x:c r="P80" s="106" t="n">
        <x:v>0</x:v>
      </x:c>
      <x:c r="Q80" s="106" t="n">
        <x:v>1</x:v>
      </x:c>
      <x:c r="R80" s="106" t="n">
        <x:v>0</x:v>
      </x:c>
      <x:c r="S80" s="106" t="n">
        <x:v>0</x:v>
      </x:c>
      <x:c r="T80" s="24"/>
      <x:c r="U80" s="24"/>
      <x:c r="V80" s="24"/>
      <x:c r="W80" s="24"/>
      <x:c r="X80" s="24"/>
      <x:c r="Y80" s="24"/>
      <x:c r="Z80" s="24"/>
    </x:row>
    <x:row r="81">
      <x:c r="A81" s="84" t="str">
        <x:v>Sol Ring</x:v>
      </x:c>
      <x:c r="B81" s="84" t="n">
        <x:v>1</x:v>
      </x:c>
      <x:c r="C81" s="84" t="str">
        <x:v>Artifact</x:v>
      </x:c>
      <x:c r="D81" s="96" t="n">
        <x:v>1</x:v>
      </x:c>
      <x:c r="E81" s="84" t="str">
        <x:v>1. Ramp / Mana</x:v>
      </x:c>
      <x:c r="F81" s="84" t="str">
        <x:v>8. Finishers / Thematic Bombs</x:v>
      </x:c>
      <x:c r="G81" s="84" t="str">
        <x:v>Ramp</x:v>
      </x:c>
      <x:c r="H81" s="97" t="n">
        <x:v>9.4</x:v>
      </x:c>
      <x:c r="I81" s="84" t="str">
        <x:v>A — CORE</x:v>
      </x:c>
      <x:c r="J81" s="84" t="str">
        <x:v>CORE</x:v>
      </x:c>
      <x:c r="K81" s="84" t="str">
        <x:v>ORIGINAL</x:v>
      </x:c>
      <x:c r="L81" s="84" t="str"/>
      <x:c r="M81" s="84" t="n">
        <x:v>1</x:v>
      </x:c>
      <x:c r="N81" s="96" t="n">
        <x:v>1</x:v>
      </x:c>
      <x:c r="O81" s="106" t="n">
        <x:v>0</x:v>
      </x:c>
      <x:c r="P81" s="106" t="n">
        <x:v>0</x:v>
      </x:c>
      <x:c r="Q81" s="106" t="n">
        <x:v>0</x:v>
      </x:c>
      <x:c r="R81" s="106" t="n">
        <x:v>0</x:v>
      </x:c>
      <x:c r="S81" s="106" t="n">
        <x:v>1</x:v>
      </x:c>
      <x:c r="T81" s="24"/>
      <x:c r="U81" s="24"/>
      <x:c r="V81" s="24"/>
      <x:c r="W81" s="24"/>
      <x:c r="X81" s="24"/>
      <x:c r="Y81" s="24"/>
      <x:c r="Z81" s="24"/>
    </x:row>
    <x:row r="82">
      <x:c r="A82" s="84" t="str">
        <x:v>Staff of Compleation</x:v>
      </x:c>
      <x:c r="B82" s="84" t="n">
        <x:v>1</x:v>
      </x:c>
      <x:c r="C82" s="84" t="str">
        <x:v>Artifact</x:v>
      </x:c>
      <x:c r="D82" s="96" t="n">
        <x:v>2</x:v>
      </x:c>
      <x:c r="E82" s="84" t="str">
        <x:v>1. Ramp / Mana</x:v>
      </x:c>
      <x:c r="F82" s="84" t="str">
        <x:v>2. Draw / Card Advantage</x:v>
      </x:c>
      <x:c r="G82" s="84" t="str">
        <x:v>Utility</x:v>
      </x:c>
      <x:c r="H82" s="97" t="n">
        <x:v>8</x:v>
      </x:c>
      <x:c r="I82" s="84" t="str">
        <x:v>B — SUPPORT</x:v>
      </x:c>
      <x:c r="J82" s="84" t="str">
        <x:v>SUPPORT</x:v>
      </x:c>
      <x:c r="K82" s="84" t="str">
        <x:v>ORIGINAL</x:v>
      </x:c>
      <x:c r="L82" s="84" t="str"/>
      <x:c r="M82" s="84" t="n">
        <x:v>1</x:v>
      </x:c>
      <x:c r="N82" s="96" t="n">
        <x:v>1</x:v>
      </x:c>
      <x:c r="O82" s="106" t="n">
        <x:v>0</x:v>
      </x:c>
      <x:c r="P82" s="106" t="n">
        <x:v>0</x:v>
      </x:c>
      <x:c r="Q82" s="106" t="n">
        <x:v>0</x:v>
      </x:c>
      <x:c r="R82" s="106" t="n">
        <x:v>0</x:v>
      </x:c>
      <x:c r="S82" s="106" t="n">
        <x:v>1</x:v>
      </x:c>
      <x:c r="T82" s="24"/>
      <x:c r="U82" s="24"/>
      <x:c r="V82" s="24"/>
      <x:c r="W82" s="24"/>
      <x:c r="X82" s="24"/>
      <x:c r="Y82" s="24"/>
      <x:c r="Z82" s="24"/>
    </x:row>
    <x:row r="83">
      <x:c r="A83" s="84" t="str">
        <x:v>Stormcarved Coast</x:v>
      </x:c>
      <x:c r="B83" s="84" t="n">
        <x:v>1</x:v>
      </x:c>
      <x:c r="C83" s="84" t="str">
        <x:v>Land</x:v>
      </x:c>
      <x:c r="D83" s="96" t="n">
        <x:v>0</x:v>
      </x:c>
      <x:c r="E83" s="84" t="str">
        <x:v>1. Ramp / Mana</x:v>
      </x:c>
      <x:c r="F83" s="84" t="str">
        <x:v>7. Protection / Resilience</x:v>
      </x:c>
      <x:c r="G83" s="84" t="str">
        <x:v>Mana Base</x:v>
      </x:c>
      <x:c r="H83" s="97" t="n">
        <x:v>8.3</x:v>
      </x:c>
      <x:c r="I83" s="84" t="str">
        <x:v>B — SUPPORT</x:v>
      </x:c>
      <x:c r="J83" s="84" t="str">
        <x:v>SUPPORT</x:v>
      </x:c>
      <x:c r="K83" s="84" t="str">
        <x:v>ORIGINAL</x:v>
      </x:c>
      <x:c r="L83" s="84" t="str"/>
      <x:c r="M83" s="84" t="n">
        <x:v>0</x:v>
      </x:c>
      <x:c r="N83" s="96" t="n">
        <x:v>1</x:v>
      </x:c>
      <x:c r="O83" s="106" t="n">
        <x:v>0</x:v>
      </x:c>
      <x:c r="P83" s="106" t="n">
        <x:v>0</x:v>
      </x:c>
      <x:c r="Q83" s="106" t="n">
        <x:v>1</x:v>
      </x:c>
      <x:c r="R83" s="106" t="n">
        <x:v>0</x:v>
      </x:c>
      <x:c r="S83" s="106" t="n">
        <x:v>0</x:v>
      </x:c>
      <x:c r="T83" s="24"/>
      <x:c r="U83" s="24"/>
      <x:c r="V83" s="24"/>
      <x:c r="W83" s="24"/>
      <x:c r="X83" s="24"/>
      <x:c r="Y83" s="24"/>
      <x:c r="Z83" s="24"/>
    </x:row>
    <x:row r="84">
      <x:c r="A84" s="84" t="str">
        <x:v>Sulfur Falls</x:v>
      </x:c>
      <x:c r="B84" s="84" t="n">
        <x:v>1</x:v>
      </x:c>
      <x:c r="C84" s="84" t="str">
        <x:v>Land</x:v>
      </x:c>
      <x:c r="D84" s="96" t="n">
        <x:v>0</x:v>
      </x:c>
      <x:c r="E84" s="84" t="str">
        <x:v>1. Ramp / Mana</x:v>
      </x:c>
      <x:c r="F84" s="84" t="str">
        <x:v>7. Protection / Resilience</x:v>
      </x:c>
      <x:c r="G84" s="84" t="str">
        <x:v>Mana Base</x:v>
      </x:c>
      <x:c r="H84" s="97" t="n">
        <x:v>8.3</x:v>
      </x:c>
      <x:c r="I84" s="84" t="str">
        <x:v>B — SUPPORT</x:v>
      </x:c>
      <x:c r="J84" s="84" t="str">
        <x:v>SUPPORT</x:v>
      </x:c>
      <x:c r="K84" s="84" t="str">
        <x:v>ORIGINAL</x:v>
      </x:c>
      <x:c r="L84" s="84" t="str"/>
      <x:c r="M84" s="84" t="n">
        <x:v>0</x:v>
      </x:c>
      <x:c r="N84" s="96" t="n">
        <x:v>1</x:v>
      </x:c>
      <x:c r="O84" s="106" t="n">
        <x:v>0</x:v>
      </x:c>
      <x:c r="P84" s="106" t="n">
        <x:v>0</x:v>
      </x:c>
      <x:c r="Q84" s="106" t="n">
        <x:v>1</x:v>
      </x:c>
      <x:c r="R84" s="106" t="n">
        <x:v>0</x:v>
      </x:c>
      <x:c r="S84" s="106" t="n">
        <x:v>0</x:v>
      </x:c>
      <x:c r="T84" s="24"/>
      <x:c r="U84" s="24"/>
      <x:c r="V84" s="24"/>
      <x:c r="W84" s="24"/>
      <x:c r="X84" s="24"/>
      <x:c r="Y84" s="24"/>
      <x:c r="Z84" s="24"/>
    </x:row>
    <x:row r="85">
      <x:c r="A85" s="84" t="str">
        <x:v>Sundering Eruption</x:v>
      </x:c>
      <x:c r="B85" s="84" t="n">
        <x:v>1</x:v>
      </x:c>
      <x:c r="C85" s="84" t="str">
        <x:v>Sorcery // Land MDFC</x:v>
      </x:c>
      <x:c r="D85" s="96" t="n">
        <x:v>4</x:v>
      </x:c>
      <x:c r="E85" s="84" t="str">
        <x:v>3. Removal / Board Control</x:v>
      </x:c>
      <x:c r="F85" s="84" t="str">
        <x:v>1. Ramp / Mana</x:v>
      </x:c>
      <x:c r="G85" s="84" t="str">
        <x:v>MDFC</x:v>
      </x:c>
      <x:c r="H85" s="97" t="n">
        <x:v>7.8</x:v>
      </x:c>
      <x:c r="I85" s="84" t="str">
        <x:v>B — SUPPORT</x:v>
      </x:c>
      <x:c r="J85" s="84" t="str">
        <x:v>SUPPORT</x:v>
      </x:c>
      <x:c r="K85" s="84" t="str">
        <x:v>ORIGINAL</x:v>
      </x:c>
      <x:c r="L85" s="84" t="str"/>
      <x:c r="M85" s="84" t="n">
        <x:v>1</x:v>
      </x:c>
      <x:c r="N85" s="96" t="n">
        <x:v>1</x:v>
      </x:c>
      <x:c r="O85" s="106" t="n">
        <x:v>0</x:v>
      </x:c>
      <x:c r="P85" s="106" t="n">
        <x:v>0</x:v>
      </x:c>
      <x:c r="Q85" s="106" t="n">
        <x:v>1</x:v>
      </x:c>
      <x:c r="R85" s="106" t="n">
        <x:v>1</x:v>
      </x:c>
      <x:c r="S85" s="106" t="n">
        <x:v>1</x:v>
      </x:c>
      <x:c r="T85" s="24"/>
      <x:c r="U85" s="24"/>
      <x:c r="V85" s="24"/>
      <x:c r="W85" s="24"/>
      <x:c r="X85" s="24"/>
      <x:c r="Y85" s="24"/>
      <x:c r="Z85" s="24"/>
    </x:row>
    <x:row r="86">
      <x:c r="A86" s="84" t="str">
        <x:v>Swamp</x:v>
      </x:c>
      <x:c r="B86" s="84" t="n">
        <x:v>2</x:v>
      </x:c>
      <x:c r="C86" s="84" t="str">
        <x:v>Basic Land</x:v>
      </x:c>
      <x:c r="D86" s="96" t="n">
        <x:v>0</x:v>
      </x:c>
      <x:c r="E86" s="84" t="str">
        <x:v>1. Ramp / Mana</x:v>
      </x:c>
      <x:c r="F86" s="84" t="str">
        <x:v>7. Protection / Resilience</x:v>
      </x:c>
      <x:c r="G86" s="84" t="str">
        <x:v>Mana Base</x:v>
      </x:c>
      <x:c r="H86" s="97" t="n">
        <x:v>8</x:v>
      </x:c>
      <x:c r="I86" s="84" t="str">
        <x:v>B — SUPPORT</x:v>
      </x:c>
      <x:c r="J86" s="84" t="str">
        <x:v>SUPPORT</x:v>
      </x:c>
      <x:c r="K86" s="84" t="str">
        <x:v>ORIGINAL</x:v>
      </x:c>
      <x:c r="L86" s="84" t="str"/>
      <x:c r="M86" s="84" t="n">
        <x:v>0</x:v>
      </x:c>
      <x:c r="N86" s="96" t="n">
        <x:v>2</x:v>
      </x:c>
      <x:c r="O86" s="106" t="n">
        <x:v>0</x:v>
      </x:c>
      <x:c r="P86" s="106" t="n">
        <x:v>0</x:v>
      </x:c>
      <x:c r="Q86" s="106" t="n">
        <x:v>1</x:v>
      </x:c>
      <x:c r="R86" s="106" t="n">
        <x:v>0</x:v>
      </x:c>
      <x:c r="S86" s="106" t="n">
        <x:v>0</x:v>
      </x:c>
      <x:c r="T86" s="24"/>
      <x:c r="U86" s="24"/>
      <x:c r="V86" s="24"/>
      <x:c r="W86" s="24"/>
      <x:c r="X86" s="24"/>
      <x:c r="Y86" s="24"/>
      <x:c r="Z86" s="24"/>
    </x:row>
    <x:row r="87">
      <x:c r="A87" s="84" t="str">
        <x:v>Talisman of Creativity</x:v>
      </x:c>
      <x:c r="B87" s="84" t="n">
        <x:v>1</x:v>
      </x:c>
      <x:c r="C87" s="84" t="str">
        <x:v>Artifact</x:v>
      </x:c>
      <x:c r="D87" s="96" t="n">
        <x:v>2</x:v>
      </x:c>
      <x:c r="E87" s="84" t="str">
        <x:v>1. Ramp / Mana</x:v>
      </x:c>
      <x:c r="F87" s="84" t="str">
        <x:v>2. Draw / Card Advantage</x:v>
      </x:c>
      <x:c r="G87" s="84" t="str">
        <x:v>Ramp</x:v>
      </x:c>
      <x:c r="H87" s="97" t="n">
        <x:v>8.8</x:v>
      </x:c>
      <x:c r="I87" s="84" t="str">
        <x:v>A — CORE</x:v>
      </x:c>
      <x:c r="J87" s="84" t="str">
        <x:v>CORE</x:v>
      </x:c>
      <x:c r="K87" s="84" t="str">
        <x:v>ORIGINAL</x:v>
      </x:c>
      <x:c r="L87" s="84" t="str"/>
      <x:c r="M87" s="84" t="n">
        <x:v>1</x:v>
      </x:c>
      <x:c r="N87" s="96" t="n">
        <x:v>1</x:v>
      </x:c>
      <x:c r="O87" s="106" t="n">
        <x:v>0</x:v>
      </x:c>
      <x:c r="P87" s="106" t="n">
        <x:v>0</x:v>
      </x:c>
      <x:c r="Q87" s="106" t="n">
        <x:v>0</x:v>
      </x:c>
      <x:c r="R87" s="106" t="n">
        <x:v>0</x:v>
      </x:c>
      <x:c r="S87" s="106" t="n">
        <x:v>1</x:v>
      </x:c>
      <x:c r="T87" s="24"/>
      <x:c r="U87" s="24"/>
      <x:c r="V87" s="24"/>
      <x:c r="W87" s="24"/>
      <x:c r="X87" s="24"/>
      <x:c r="Y87" s="24"/>
      <x:c r="Z87" s="24"/>
    </x:row>
    <x:row r="88">
      <x:c r="A88" s="84" t="str">
        <x:v>Talisman of Dominance</x:v>
      </x:c>
      <x:c r="B88" s="84" t="n">
        <x:v>1</x:v>
      </x:c>
      <x:c r="C88" s="84" t="str">
        <x:v>Artifact</x:v>
      </x:c>
      <x:c r="D88" s="96" t="n">
        <x:v>2</x:v>
      </x:c>
      <x:c r="E88" s="84" t="str">
        <x:v>1. Ramp / Mana</x:v>
      </x:c>
      <x:c r="F88" s="84" t="str">
        <x:v>2. Draw / Card Advantage</x:v>
      </x:c>
      <x:c r="G88" s="84" t="str">
        <x:v>Ramp</x:v>
      </x:c>
      <x:c r="H88" s="97" t="n">
        <x:v>8.9</x:v>
      </x:c>
      <x:c r="I88" s="84" t="str">
        <x:v>A — CORE</x:v>
      </x:c>
      <x:c r="J88" s="84" t="str">
        <x:v>CORE</x:v>
      </x:c>
      <x:c r="K88" s="84" t="str">
        <x:v>ORIGINAL</x:v>
      </x:c>
      <x:c r="L88" s="84" t="str"/>
      <x:c r="M88" s="84" t="n">
        <x:v>1</x:v>
      </x:c>
      <x:c r="N88" s="96" t="n">
        <x:v>1</x:v>
      </x:c>
      <x:c r="O88" s="106" t="n">
        <x:v>0</x:v>
      </x:c>
      <x:c r="P88" s="106" t="n">
        <x:v>0</x:v>
      </x:c>
      <x:c r="Q88" s="106" t="n">
        <x:v>0</x:v>
      </x:c>
      <x:c r="R88" s="106" t="n">
        <x:v>0</x:v>
      </x:c>
      <x:c r="S88" s="106" t="n">
        <x:v>1</x:v>
      </x:c>
      <x:c r="T88" s="24"/>
      <x:c r="U88" s="24"/>
      <x:c r="V88" s="24"/>
      <x:c r="W88" s="24"/>
      <x:c r="X88" s="24"/>
      <x:c r="Y88" s="24"/>
      <x:c r="Z88" s="24"/>
    </x:row>
    <x:row r="89">
      <x:c r="A89" s="84" t="str">
        <x:v>Talisman of Indulgence</x:v>
      </x:c>
      <x:c r="B89" s="84" t="n">
        <x:v>1</x:v>
      </x:c>
      <x:c r="C89" s="84" t="str">
        <x:v>Artifact</x:v>
      </x:c>
      <x:c r="D89" s="96" t="n">
        <x:v>2</x:v>
      </x:c>
      <x:c r="E89" s="84" t="str">
        <x:v>1. Ramp / Mana</x:v>
      </x:c>
      <x:c r="F89" s="84" t="str">
        <x:v>2. Draw / Card Advantage</x:v>
      </x:c>
      <x:c r="G89" s="84" t="str">
        <x:v>Ramp</x:v>
      </x:c>
      <x:c r="H89" s="97" t="n">
        <x:v>8.8</x:v>
      </x:c>
      <x:c r="I89" s="84" t="str">
        <x:v>A — CORE</x:v>
      </x:c>
      <x:c r="J89" s="84" t="str">
        <x:v>CORE</x:v>
      </x:c>
      <x:c r="K89" s="84" t="str">
        <x:v>ORIGINAL</x:v>
      </x:c>
      <x:c r="L89" s="84" t="str"/>
      <x:c r="M89" s="84" t="n">
        <x:v>1</x:v>
      </x:c>
      <x:c r="N89" s="96" t="n">
        <x:v>1</x:v>
      </x:c>
      <x:c r="O89" s="106" t="n">
        <x:v>0</x:v>
      </x:c>
      <x:c r="P89" s="106" t="n">
        <x:v>0</x:v>
      </x:c>
      <x:c r="Q89" s="106" t="n">
        <x:v>0</x:v>
      </x:c>
      <x:c r="R89" s="106" t="n">
        <x:v>0</x:v>
      </x:c>
      <x:c r="S89" s="106" t="n">
        <x:v>1</x:v>
      </x:c>
      <x:c r="T89" s="24"/>
      <x:c r="U89" s="24"/>
      <x:c r="V89" s="24"/>
      <x:c r="W89" s="24"/>
      <x:c r="X89" s="24"/>
      <x:c r="Y89" s="24"/>
      <x:c r="Z89" s="24"/>
    </x:row>
    <x:row r="90">
      <x:c r="A90" s="84" t="str">
        <x:v>Torment of Scarabs</x:v>
      </x:c>
      <x:c r="B90" s="84" t="n">
        <x:v>1</x:v>
      </x:c>
      <x:c r="C90" s="84" t="str">
        <x:v>Enchantment — Aura Curse</x:v>
      </x:c>
      <x:c r="D90" s="96" t="n">
        <x:v>4</x:v>
      </x:c>
      <x:c r="E90" s="84" t="str">
        <x:v>4. Curses — Core</x:v>
      </x:c>
      <x:c r="F90" s="84" t="str">
        <x:v>6. Politics / Punisher / Pillow Fort</x:v>
      </x:c>
      <x:c r="G90" s="84" t="str">
        <x:v>Curse/Punisher</x:v>
      </x:c>
      <x:c r="H90" s="97" t="n">
        <x:v>8.4</x:v>
      </x:c>
      <x:c r="I90" s="84" t="str">
        <x:v>B — SUPPORT</x:v>
      </x:c>
      <x:c r="J90" s="84" t="str">
        <x:v>SUPPORT</x:v>
      </x:c>
      <x:c r="K90" s="84" t="str">
        <x:v>ORIGINAL</x:v>
      </x:c>
      <x:c r="L90" s="84" t="str"/>
      <x:c r="M90" s="84" t="n">
        <x:v>1</x:v>
      </x:c>
      <x:c r="N90" s="96" t="n">
        <x:v>1</x:v>
      </x:c>
      <x:c r="O90" s="106" t="n">
        <x:v>1</x:v>
      </x:c>
      <x:c r="P90" s="106" t="n">
        <x:v>0</x:v>
      </x:c>
      <x:c r="Q90" s="106" t="n">
        <x:v>0</x:v>
      </x:c>
      <x:c r="R90" s="106" t="n">
        <x:v>0</x:v>
      </x:c>
      <x:c r="S90" s="106" t="n">
        <x:v>1</x:v>
      </x:c>
      <x:c r="T90" s="24"/>
      <x:c r="U90" s="24"/>
      <x:c r="V90" s="24"/>
      <x:c r="W90" s="24"/>
      <x:c r="X90" s="24"/>
      <x:c r="Y90" s="24"/>
      <x:c r="Z90" s="24"/>
    </x:row>
    <x:row r="91">
      <x:c r="A91" s="84" t="str">
        <x:v>Training Center</x:v>
      </x:c>
      <x:c r="B91" s="84" t="n">
        <x:v>1</x:v>
      </x:c>
      <x:c r="C91" s="84" t="str">
        <x:v>Land</x:v>
      </x:c>
      <x:c r="D91" s="96" t="n">
        <x:v>0</x:v>
      </x:c>
      <x:c r="E91" s="84" t="str">
        <x:v>1. Ramp / Mana</x:v>
      </x:c>
      <x:c r="F91" s="84" t="str">
        <x:v>7. Protection / Resilience</x:v>
      </x:c>
      <x:c r="G91" s="84" t="str">
        <x:v>Mana Base</x:v>
      </x:c>
      <x:c r="H91" s="97" t="n">
        <x:v>9</x:v>
      </x:c>
      <x:c r="I91" s="84" t="str">
        <x:v>A — CORE</x:v>
      </x:c>
      <x:c r="J91" s="84" t="str">
        <x:v>CORE</x:v>
      </x:c>
      <x:c r="K91" s="84" t="str">
        <x:v>IN — V2.0</x:v>
      </x:c>
      <x:c r="L91" s="84" t="str"/>
      <x:c r="M91" s="84" t="n">
        <x:v>0</x:v>
      </x:c>
      <x:c r="N91" s="96" t="n">
        <x:v>1</x:v>
      </x:c>
      <x:c r="O91" s="106" t="n">
        <x:v>0</x:v>
      </x:c>
      <x:c r="P91" s="106" t="n">
        <x:v>0</x:v>
      </x:c>
      <x:c r="Q91" s="106" t="n">
        <x:v>1</x:v>
      </x:c>
      <x:c r="R91" s="106" t="n">
        <x:v>0</x:v>
      </x:c>
      <x:c r="S91" s="106" t="n">
        <x:v>0</x:v>
      </x:c>
      <x:c r="T91" s="24"/>
      <x:c r="U91" s="24"/>
      <x:c r="V91" s="24"/>
      <x:c r="W91" s="24"/>
      <x:c r="X91" s="24"/>
      <x:c r="Y91" s="24"/>
      <x:c r="Z91" s="24"/>
    </x:row>
    <x:row r="92">
      <x:c r="A92" s="84" t="str">
        <x:v>Trespasser's Curse</x:v>
      </x:c>
      <x:c r="B92" s="84" t="n">
        <x:v>1</x:v>
      </x:c>
      <x:c r="C92" s="84" t="str">
        <x:v>Enchantment — Aura Curse</x:v>
      </x:c>
      <x:c r="D92" s="96" t="n">
        <x:v>3</x:v>
      </x:c>
      <x:c r="E92" s="84" t="str">
        <x:v>4. Curses — Core</x:v>
      </x:c>
      <x:c r="F92" s="84" t="str">
        <x:v>3. Removal / Board Control</x:v>
      </x:c>
      <x:c r="G92" s="84" t="str">
        <x:v>Curse/Control</x:v>
      </x:c>
      <x:c r="H92" s="97" t="n">
        <x:v>8</x:v>
      </x:c>
      <x:c r="I92" s="84" t="str">
        <x:v>B — SUPPORT</x:v>
      </x:c>
      <x:c r="J92" s="84" t="str">
        <x:v>SUPPORT</x:v>
      </x:c>
      <x:c r="K92" s="84" t="str">
        <x:v>ORIGINAL</x:v>
      </x:c>
      <x:c r="L92" s="84" t="str"/>
      <x:c r="M92" s="84" t="n">
        <x:v>1</x:v>
      </x:c>
      <x:c r="N92" s="96" t="n">
        <x:v>1</x:v>
      </x:c>
      <x:c r="O92" s="106" t="n">
        <x:v>1</x:v>
      </x:c>
      <x:c r="P92" s="106" t="n">
        <x:v>0</x:v>
      </x:c>
      <x:c r="Q92" s="106" t="n">
        <x:v>0</x:v>
      </x:c>
      <x:c r="R92" s="106" t="n">
        <x:v>0</x:v>
      </x:c>
      <x:c r="S92" s="106" t="n">
        <x:v>1</x:v>
      </x:c>
      <x:c r="T92" s="24"/>
      <x:c r="U92" s="24"/>
      <x:c r="V92" s="24"/>
      <x:c r="W92" s="24"/>
      <x:c r="X92" s="24"/>
      <x:c r="Y92" s="24"/>
      <x:c r="Z92" s="24"/>
    </x:row>
    <x:row r="93">
      <x:c r="A93" s="84" t="str">
        <x:v>Underground River</x:v>
      </x:c>
      <x:c r="B93" s="84" t="n">
        <x:v>1</x:v>
      </x:c>
      <x:c r="C93" s="84" t="str">
        <x:v>Land</x:v>
      </x:c>
      <x:c r="D93" s="96" t="n">
        <x:v>0</x:v>
      </x:c>
      <x:c r="E93" s="84" t="str">
        <x:v>1. Ramp / Mana</x:v>
      </x:c>
      <x:c r="F93" s="84" t="str">
        <x:v>7. Protection / Resilience</x:v>
      </x:c>
      <x:c r="G93" s="84" t="str">
        <x:v>Mana Base</x:v>
      </x:c>
      <x:c r="H93" s="97" t="n">
        <x:v>8</x:v>
      </x:c>
      <x:c r="I93" s="84" t="str">
        <x:v>B — SUPPORT</x:v>
      </x:c>
      <x:c r="J93" s="84" t="str">
        <x:v>SUPPORT</x:v>
      </x:c>
      <x:c r="K93" s="84" t="str">
        <x:v>ORIGINAL</x:v>
      </x:c>
      <x:c r="L93" s="84" t="str"/>
      <x:c r="M93" s="84" t="n">
        <x:v>0</x:v>
      </x:c>
      <x:c r="N93" s="96" t="n">
        <x:v>1</x:v>
      </x:c>
      <x:c r="O93" s="106" t="n">
        <x:v>0</x:v>
      </x:c>
      <x:c r="P93" s="106" t="n">
        <x:v>0</x:v>
      </x:c>
      <x:c r="Q93" s="106" t="n">
        <x:v>1</x:v>
      </x:c>
      <x:c r="R93" s="106" t="n">
        <x:v>0</x:v>
      </x:c>
      <x:c r="S93" s="106" t="n">
        <x:v>0</x:v>
      </x:c>
      <x:c r="T93" s="24"/>
      <x:c r="U93" s="24"/>
      <x:c r="V93" s="24"/>
      <x:c r="W93" s="24"/>
      <x:c r="X93" s="24"/>
      <x:c r="Y93" s="24"/>
      <x:c r="Z93" s="24"/>
    </x:row>
    <x:row r="94">
      <x:c r="A94" s="84" t="str">
        <x:v>Varragoth, Bloodsky Sire</x:v>
      </x:c>
      <x:c r="B94" s="84" t="n">
        <x:v>1</x:v>
      </x:c>
      <x:c r="C94" s="84" t="str">
        <x:v>Legendary Creature</x:v>
      </x:c>
      <x:c r="D94" s="96" t="n">
        <x:v>3</x:v>
      </x:c>
      <x:c r="E94" s="84" t="str">
        <x:v>5. Curse Engines / Enchantment Support</x:v>
      </x:c>
      <x:c r="F94" s="84" t="str">
        <x:v>2. Draw / Card Advantage</x:v>
      </x:c>
      <x:c r="G94" s="84" t="str">
        <x:v>Tutor</x:v>
      </x:c>
      <x:c r="H94" s="97" t="n">
        <x:v>7.8</x:v>
      </x:c>
      <x:c r="I94" s="84" t="str">
        <x:v>B — SUPPORT</x:v>
      </x:c>
      <x:c r="J94" s="84" t="str">
        <x:v>SUPPORT</x:v>
      </x:c>
      <x:c r="K94" s="84" t="str">
        <x:v>ORIGINAL</x:v>
      </x:c>
      <x:c r="L94" s="84" t="str"/>
      <x:c r="M94" s="84" t="n">
        <x:v>1</x:v>
      </x:c>
      <x:c r="N94" s="96" t="n">
        <x:v>1</x:v>
      </x:c>
      <x:c r="O94" s="106" t="n">
        <x:v>0</x:v>
      </x:c>
      <x:c r="P94" s="106" t="n">
        <x:v>1</x:v>
      </x:c>
      <x:c r="Q94" s="106" t="n">
        <x:v>0</x:v>
      </x:c>
      <x:c r="R94" s="106" t="n">
        <x:v>0</x:v>
      </x:c>
      <x:c r="S94" s="106" t="n">
        <x:v>1</x:v>
      </x:c>
      <x:c r="T94" s="24"/>
      <x:c r="U94" s="24"/>
      <x:c r="V94" s="24"/>
      <x:c r="W94" s="24"/>
      <x:c r="X94" s="24"/>
      <x:c r="Y94" s="24"/>
      <x:c r="Z94" s="24"/>
    </x:row>
    <x:row r="95">
      <x:c r="A95" s="84" t="str">
        <x:v>Watery Grave</x:v>
      </x:c>
      <x:c r="B95" s="84" t="n">
        <x:v>1</x:v>
      </x:c>
      <x:c r="C95" s="84" t="str">
        <x:v>Land</x:v>
      </x:c>
      <x:c r="D95" s="96" t="n">
        <x:v>0</x:v>
      </x:c>
      <x:c r="E95" s="84" t="str">
        <x:v>1. Ramp / Mana</x:v>
      </x:c>
      <x:c r="F95" s="84" t="str">
        <x:v>7. Protection / Resilience</x:v>
      </x:c>
      <x:c r="G95" s="84" t="str">
        <x:v>Mana Base</x:v>
      </x:c>
      <x:c r="H95" s="97" t="n">
        <x:v>8.9</x:v>
      </x:c>
      <x:c r="I95" s="84" t="str">
        <x:v>A — CORE</x:v>
      </x:c>
      <x:c r="J95" s="84" t="str">
        <x:v>CORE</x:v>
      </x:c>
      <x:c r="K95" s="84" t="str">
        <x:v>IN — V2.0</x:v>
      </x:c>
      <x:c r="L95" s="84" t="str"/>
      <x:c r="M95" s="84" t="n">
        <x:v>0</x:v>
      </x:c>
      <x:c r="N95" s="96" t="n">
        <x:v>1</x:v>
      </x:c>
      <x:c r="O95" s="106" t="n">
        <x:v>0</x:v>
      </x:c>
      <x:c r="P95" s="106" t="n">
        <x:v>0</x:v>
      </x:c>
      <x:c r="Q95" s="106" t="n">
        <x:v>1</x:v>
      </x:c>
      <x:c r="R95" s="106" t="n">
        <x:v>0</x:v>
      </x:c>
      <x:c r="S95" s="106" t="n">
        <x:v>0</x:v>
      </x:c>
      <x:c r="T95" s="24"/>
      <x:c r="U95" s="24"/>
      <x:c r="V95" s="24"/>
      <x:c r="W95" s="24"/>
      <x:c r="X95" s="24"/>
      <x:c r="Y95" s="24"/>
      <x:c r="Z95" s="24"/>
    </x:row>
    <x:row r="96">
      <x:c r="A96" s="84" t="str">
        <x:v>Windfall</x:v>
      </x:c>
      <x:c r="B96" s="84" t="n">
        <x:v>1</x:v>
      </x:c>
      <x:c r="C96" s="84" t="str">
        <x:v>Sorcery</x:v>
      </x:c>
      <x:c r="D96" s="96" t="n">
        <x:v>3</x:v>
      </x:c>
      <x:c r="E96" s="84" t="str">
        <x:v>2. Draw / Card Advantage</x:v>
      </x:c>
      <x:c r="F96" s="84" t="str">
        <x:v>6. Politics / Punisher / Pillow Fort</x:v>
      </x:c>
      <x:c r="G96" s="84" t="str">
        <x:v>Wheel</x:v>
      </x:c>
      <x:c r="H96" s="97" t="n">
        <x:v>8.2</x:v>
      </x:c>
      <x:c r="I96" s="84" t="str">
        <x:v>B — SUPPORT</x:v>
      </x:c>
      <x:c r="J96" s="84" t="str">
        <x:v>SUPPORT</x:v>
      </x:c>
      <x:c r="K96" s="84" t="str">
        <x:v>ORIGINAL</x:v>
      </x:c>
      <x:c r="L96" s="84" t="str"/>
      <x:c r="M96" s="84" t="n">
        <x:v>1</x:v>
      </x:c>
      <x:c r="N96" s="96" t="n">
        <x:v>1</x:v>
      </x:c>
      <x:c r="O96" s="106" t="n">
        <x:v>0</x:v>
      </x:c>
      <x:c r="P96" s="106" t="n">
        <x:v>0</x:v>
      </x:c>
      <x:c r="Q96" s="106" t="n">
        <x:v>0</x:v>
      </x:c>
      <x:c r="R96" s="106" t="n">
        <x:v>0</x:v>
      </x:c>
      <x:c r="S96" s="106" t="n">
        <x:v>1</x:v>
      </x:c>
      <x:c r="T96" s="24"/>
      <x:c r="U96" s="24"/>
      <x:c r="V96" s="24"/>
      <x:c r="W96" s="24"/>
      <x:c r="X96" s="24"/>
      <x:c r="Y96" s="24"/>
      <x:c r="Z96" s="24"/>
    </x:row>
    <x:row r="97">
      <x:c r="A97" s="84" t="str">
        <x:v>Xander's Lounge</x:v>
      </x:c>
      <x:c r="B97" s="84" t="n">
        <x:v>1</x:v>
      </x:c>
      <x:c r="C97" s="84" t="str">
        <x:v>Land</x:v>
      </x:c>
      <x:c r="D97" s="96" t="n">
        <x:v>0</x:v>
      </x:c>
      <x:c r="E97" s="84" t="str">
        <x:v>1. Ramp / Mana</x:v>
      </x:c>
      <x:c r="F97" s="84" t="str">
        <x:v>2. Draw / Card Advantage</x:v>
      </x:c>
      <x:c r="G97" s="84" t="str">
        <x:v>Mana Base</x:v>
      </x:c>
      <x:c r="H97" s="97" t="n">
        <x:v>8.8</x:v>
      </x:c>
      <x:c r="I97" s="84" t="str">
        <x:v>A — CORE</x:v>
      </x:c>
      <x:c r="J97" s="84" t="str">
        <x:v>CORE</x:v>
      </x:c>
      <x:c r="K97" s="84" t="str">
        <x:v>ORIGINAL</x:v>
      </x:c>
      <x:c r="L97" s="84" t="str"/>
      <x:c r="M97" s="84" t="n">
        <x:v>0</x:v>
      </x:c>
      <x:c r="N97" s="96" t="n">
        <x:v>1</x:v>
      </x:c>
      <x:c r="O97" s="106" t="n">
        <x:v>0</x:v>
      </x:c>
      <x:c r="P97" s="106" t="n">
        <x:v>0</x:v>
      </x:c>
      <x:c r="Q97" s="106" t="n">
        <x:v>1</x:v>
      </x:c>
      <x:c r="R97" s="106" t="n">
        <x:v>0</x:v>
      </x:c>
      <x:c r="S97" s="106" t="n">
        <x:v>0</x:v>
      </x:c>
      <x:c r="T97" s="24"/>
      <x:c r="U97" s="24"/>
      <x:c r="V97" s="24"/>
      <x:c r="W97" s="24"/>
      <x:c r="X97" s="24"/>
      <x:c r="Y97" s="24"/>
      <x:c r="Z97" s="24"/>
    </x:row>
    <x:row r="98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24"/>
      <x:c r="O98" s="24"/>
      <x:c r="P98" s="24"/>
      <x:c r="Q98" s="24"/>
      <x:c r="R98" s="24"/>
      <x:c r="S98" s="24"/>
      <x:c r="T98" s="24"/>
      <x:c r="U98" s="24"/>
      <x:c r="V98" s="24"/>
      <x:c r="W98" s="24"/>
      <x:c r="X98" s="24"/>
      <x:c r="Y98" s="24"/>
      <x:c r="Z98" s="24"/>
    </x:row>
    <x:row r="99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  <x:c r="K99" s="24"/>
      <x:c r="L99" s="24"/>
      <x:c r="M99" s="24"/>
      <x:c r="N99" s="24"/>
      <x:c r="O99" s="24"/>
      <x:c r="P99" s="24"/>
      <x:c r="Q99" s="24"/>
      <x:c r="R99" s="24"/>
      <x:c r="S99" s="24"/>
      <x:c r="T99" s="24"/>
      <x:c r="U99" s="24"/>
      <x:c r="V99" s="24"/>
      <x:c r="W99" s="24"/>
      <x:c r="X99" s="24"/>
      <x:c r="Y99" s="24"/>
      <x:c r="Z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  <x:c r="L100" s="24"/>
      <x:c r="M100" s="24"/>
      <x:c r="N100" s="24"/>
      <x:c r="O100" s="24"/>
      <x:c r="P100" s="24"/>
      <x:c r="Q100" s="24"/>
      <x:c r="R100" s="24"/>
      <x:c r="S100" s="24"/>
      <x:c r="T100" s="24"/>
      <x:c r="U100" s="24"/>
      <x:c r="V100" s="24"/>
      <x:c r="W100" s="24"/>
      <x:c r="X100" s="24"/>
      <x:c r="Y100" s="24"/>
      <x:c r="Z100" s="24"/>
    </x:row>
    <x:row r="101">
      <x:c r="A101" s="24"/>
      <x:c r="B101" s="24"/>
      <x:c r="C101" s="24"/>
      <x:c r="D101" s="24"/>
      <x:c r="E101" s="24"/>
      <x:c r="F101" s="24"/>
      <x:c r="G101" s="24"/>
      <x:c r="H101" s="24"/>
      <x:c r="I101" s="24"/>
      <x:c r="J101" s="24"/>
      <x:c r="K101" s="24"/>
      <x:c r="L101" s="24"/>
      <x:c r="M101" s="24"/>
      <x:c r="N101" s="24"/>
      <x:c r="O101" s="24"/>
      <x:c r="P101" s="24"/>
      <x:c r="Q101" s="24"/>
      <x:c r="R101" s="24"/>
      <x:c r="S101" s="24"/>
      <x:c r="T101" s="24"/>
      <x:c r="U101" s="24"/>
      <x:c r="V101" s="24"/>
      <x:c r="W101" s="24"/>
      <x:c r="X101" s="24"/>
      <x:c r="Y101" s="24"/>
      <x:c r="Z101" s="24"/>
    </x:row>
    <x:row r="102">
      <x:c r="A102" s="24"/>
      <x:c r="B102" s="24"/>
      <x:c r="C102" s="24"/>
      <x:c r="D102" s="24"/>
      <x:c r="E102" s="24"/>
      <x:c r="F102" s="24"/>
      <x:c r="G102" s="24"/>
      <x:c r="H102" s="24"/>
      <x:c r="I102" s="24"/>
      <x:c r="J102" s="24"/>
      <x:c r="K102" s="24"/>
      <x:c r="L102" s="24"/>
      <x:c r="M102" s="24"/>
      <x:c r="N102" s="24"/>
      <x:c r="O102" s="24"/>
      <x:c r="P102" s="24"/>
      <x:c r="Q102" s="24"/>
      <x:c r="R102" s="24"/>
      <x:c r="S102" s="24"/>
      <x:c r="T102" s="24"/>
      <x:c r="U102" s="24"/>
      <x:c r="V102" s="24"/>
      <x:c r="W102" s="24"/>
      <x:c r="X102" s="24"/>
      <x:c r="Y102" s="24"/>
      <x:c r="Z102" s="24"/>
    </x:row>
    <x:row r="103">
      <x:c r="A103" s="24"/>
      <x:c r="B103" s="24"/>
      <x:c r="C103" s="24"/>
      <x:c r="D103" s="24"/>
      <x:c r="E103" s="24"/>
      <x:c r="F103" s="24"/>
      <x:c r="G103" s="24"/>
      <x:c r="H103" s="24"/>
      <x:c r="I103" s="24"/>
      <x:c r="J103" s="24"/>
      <x:c r="K103" s="24"/>
      <x:c r="L103" s="24"/>
      <x:c r="M103" s="24"/>
      <x:c r="N103" s="24"/>
      <x:c r="O103" s="24"/>
      <x:c r="P103" s="24"/>
      <x:c r="Q103" s="24"/>
      <x:c r="R103" s="24"/>
      <x:c r="S103" s="24"/>
      <x:c r="T103" s="24"/>
      <x:c r="U103" s="24"/>
      <x:c r="V103" s="24"/>
      <x:c r="W103" s="24"/>
      <x:c r="X103" s="24"/>
      <x:c r="Y103" s="24"/>
      <x:c r="Z103" s="24"/>
    </x:row>
    <x:row r="104">
      <x:c r="A104" s="24"/>
      <x:c r="B104" s="24"/>
      <x:c r="C104" s="24"/>
      <x:c r="D104" s="24"/>
      <x:c r="E104" s="24"/>
      <x:c r="F104" s="24"/>
      <x:c r="G104" s="24"/>
      <x:c r="H104" s="24"/>
      <x:c r="I104" s="24"/>
      <x:c r="J104" s="24"/>
      <x:c r="K104" s="24"/>
      <x:c r="L104" s="24"/>
      <x:c r="M104" s="24"/>
      <x:c r="N104" s="24"/>
      <x:c r="O104" s="24"/>
      <x:c r="P104" s="24"/>
      <x:c r="Q104" s="24"/>
      <x:c r="R104" s="24"/>
      <x:c r="S104" s="24"/>
      <x:c r="T104" s="24"/>
      <x:c r="U104" s="24"/>
      <x:c r="V104" s="24"/>
      <x:c r="W104" s="24"/>
      <x:c r="X104" s="24"/>
      <x:c r="Y104" s="24"/>
      <x:c r="Z104" s="24"/>
    </x:row>
    <x:row r="105">
      <x:c r="A105" s="24"/>
      <x:c r="B105" s="24"/>
      <x:c r="C105" s="24"/>
      <x:c r="D105" s="24"/>
      <x:c r="E105" s="24"/>
      <x:c r="F105" s="24"/>
      <x:c r="G105" s="24"/>
      <x:c r="H105" s="24"/>
      <x:c r="I105" s="24"/>
      <x:c r="J105" s="24"/>
      <x:c r="K105" s="24"/>
      <x:c r="L105" s="24"/>
      <x:c r="M105" s="24"/>
      <x:c r="N105" s="24"/>
      <x:c r="O105" s="24"/>
      <x:c r="P105" s="24"/>
      <x:c r="Q105" s="24"/>
      <x:c r="R105" s="24"/>
      <x:c r="S105" s="24"/>
      <x:c r="T105" s="24"/>
      <x:c r="U105" s="24"/>
      <x:c r="V105" s="24"/>
      <x:c r="W105" s="24"/>
      <x:c r="X105" s="24"/>
      <x:c r="Y105" s="24"/>
      <x:c r="Z105" s="24"/>
    </x:row>
    <x:row r="106">
      <x:c r="A106" s="24"/>
      <x:c r="B106" s="24"/>
      <x:c r="C106" s="24"/>
      <x:c r="D106" s="24"/>
      <x:c r="E106" s="24"/>
      <x:c r="F106" s="24"/>
      <x:c r="G106" s="24"/>
      <x:c r="H106" s="24"/>
      <x:c r="I106" s="24"/>
      <x:c r="J106" s="24"/>
      <x:c r="K106" s="24"/>
      <x:c r="L106" s="24"/>
      <x:c r="M106" s="24"/>
      <x:c r="N106" s="24"/>
      <x:c r="O106" s="24"/>
      <x:c r="P106" s="24"/>
      <x:c r="Q106" s="24"/>
      <x:c r="R106" s="24"/>
      <x:c r="S106" s="24"/>
      <x:c r="T106" s="24"/>
      <x:c r="U106" s="24"/>
      <x:c r="V106" s="24"/>
      <x:c r="W106" s="24"/>
      <x:c r="X106" s="24"/>
      <x:c r="Y106" s="24"/>
      <x:c r="Z106" s="24"/>
    </x:row>
    <x:row r="107">
      <x:c r="A107" s="24"/>
      <x:c r="B107" s="24"/>
      <x:c r="C107" s="24"/>
      <x:c r="D107" s="24"/>
      <x:c r="E107" s="24"/>
      <x:c r="F107" s="24"/>
      <x:c r="G107" s="24"/>
      <x:c r="H107" s="24"/>
      <x:c r="I107" s="24"/>
      <x:c r="J107" s="24"/>
      <x:c r="K107" s="24"/>
      <x:c r="L107" s="24"/>
      <x:c r="M107" s="24"/>
      <x:c r="N107" s="24"/>
      <x:c r="O107" s="24"/>
      <x:c r="P107" s="24"/>
      <x:c r="Q107" s="24"/>
      <x:c r="R107" s="24"/>
      <x:c r="S107" s="24"/>
      <x:c r="T107" s="24"/>
      <x:c r="U107" s="24"/>
      <x:c r="V107" s="24"/>
      <x:c r="W107" s="24"/>
      <x:c r="X107" s="24"/>
      <x:c r="Y107" s="24"/>
      <x:c r="Z107" s="24"/>
    </x:row>
    <x:row r="108">
      <x:c r="A108" s="24"/>
      <x:c r="B108" s="24"/>
      <x:c r="C108" s="24"/>
      <x:c r="D108" s="24"/>
      <x:c r="E108" s="24"/>
      <x:c r="F108" s="24"/>
      <x:c r="G108" s="24"/>
      <x:c r="H108" s="24"/>
      <x:c r="I108" s="24"/>
      <x:c r="J108" s="24"/>
      <x:c r="K108" s="24"/>
      <x:c r="L108" s="24"/>
      <x:c r="M108" s="24"/>
      <x:c r="N108" s="24"/>
      <x:c r="O108" s="24"/>
      <x:c r="P108" s="24"/>
      <x:c r="Q108" s="24"/>
      <x:c r="R108" s="24"/>
      <x:c r="S108" s="24"/>
      <x:c r="T108" s="24"/>
      <x:c r="U108" s="24"/>
      <x:c r="V108" s="24"/>
      <x:c r="W108" s="24"/>
      <x:c r="X108" s="24"/>
      <x:c r="Y108" s="24"/>
      <x:c r="Z108" s="24"/>
    </x:row>
    <x:row r="109">
      <x:c r="A109" s="24"/>
      <x:c r="B109" s="24"/>
      <x:c r="C109" s="24"/>
      <x:c r="D109" s="24"/>
      <x:c r="E109" s="24"/>
      <x:c r="F109" s="24"/>
      <x:c r="G109" s="24"/>
      <x:c r="H109" s="24"/>
      <x:c r="I109" s="24"/>
      <x:c r="J109" s="24"/>
      <x:c r="K109" s="24"/>
      <x:c r="L109" s="24"/>
      <x:c r="M109" s="24"/>
      <x:c r="N109" s="24"/>
      <x:c r="O109" s="24"/>
      <x:c r="P109" s="24"/>
      <x:c r="Q109" s="24"/>
      <x:c r="R109" s="24"/>
      <x:c r="S109" s="24"/>
      <x:c r="T109" s="24"/>
      <x:c r="U109" s="24"/>
      <x:c r="V109" s="24"/>
      <x:c r="W109" s="24"/>
      <x:c r="X109" s="24"/>
      <x:c r="Y109" s="24"/>
      <x:c r="Z109" s="24"/>
    </x:row>
    <x:row r="110">
      <x:c r="A110" s="24"/>
      <x:c r="B110" s="24"/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/>
      <x:c r="M110" s="24"/>
      <x:c r="N110" s="24"/>
      <x:c r="O110" s="24"/>
      <x:c r="P110" s="24"/>
      <x:c r="Q110" s="24"/>
      <x:c r="R110" s="24"/>
      <x:c r="S110" s="24"/>
      <x:c r="T110" s="24"/>
      <x:c r="U110" s="24"/>
      <x:c r="V110" s="24"/>
      <x:c r="W110" s="24"/>
      <x:c r="X110" s="24"/>
      <x:c r="Y110" s="24"/>
      <x:c r="Z110" s="24"/>
    </x:row>
    <x:row r="111">
      <x:c r="A111" s="24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P111" s="24"/>
      <x:c r="Q111" s="24"/>
      <x:c r="R111" s="24"/>
      <x:c r="S111" s="24"/>
      <x:c r="T111" s="24"/>
      <x:c r="U111" s="24"/>
      <x:c r="V111" s="24"/>
      <x:c r="W111" s="24"/>
      <x:c r="X111" s="24"/>
      <x:c r="Y111" s="24"/>
      <x:c r="Z111" s="24"/>
    </x:row>
    <x:row r="112">
      <x:c r="A112" s="24"/>
      <x:c r="B112" s="24"/>
      <x:c r="C112" s="24"/>
      <x:c r="D112" s="24"/>
      <x:c r="E112" s="24"/>
      <x:c r="F112" s="24"/>
      <x:c r="G112" s="24"/>
      <x:c r="H112" s="24"/>
      <x:c r="I112" s="24"/>
      <x:c r="J112" s="24"/>
      <x:c r="K112" s="24"/>
      <x:c r="L112" s="24"/>
      <x:c r="M112" s="24"/>
      <x:c r="N112" s="24"/>
      <x:c r="O112" s="24"/>
      <x:c r="P112" s="24"/>
      <x:c r="Q112" s="24"/>
      <x:c r="R112" s="24"/>
      <x:c r="S112" s="24"/>
      <x:c r="T112" s="24"/>
      <x:c r="U112" s="24"/>
      <x:c r="V112" s="24"/>
      <x:c r="W112" s="24"/>
      <x:c r="X112" s="24"/>
      <x:c r="Y112" s="24"/>
      <x:c r="Z112" s="24"/>
    </x:row>
    <x:row r="113">
      <x:c r="A113" s="24"/>
      <x:c r="B113" s="24"/>
      <x:c r="C113" s="24"/>
      <x:c r="D113" s="24"/>
      <x:c r="E113" s="24"/>
      <x:c r="F113" s="24"/>
      <x:c r="G113" s="24"/>
      <x:c r="H113" s="24"/>
      <x:c r="I113" s="24"/>
      <x:c r="J113" s="24"/>
      <x:c r="K113" s="24"/>
      <x:c r="L113" s="24"/>
      <x:c r="M113" s="24"/>
      <x:c r="N113" s="24"/>
      <x:c r="O113" s="24"/>
      <x:c r="P113" s="24"/>
      <x:c r="Q113" s="24"/>
      <x:c r="R113" s="24"/>
      <x:c r="S113" s="24"/>
      <x:c r="T113" s="24"/>
      <x:c r="U113" s="24"/>
      <x:c r="V113" s="24"/>
      <x:c r="W113" s="24"/>
      <x:c r="X113" s="24"/>
      <x:c r="Y113" s="24"/>
      <x:c r="Z113" s="24"/>
    </x:row>
    <x:row r="114">
      <x:c r="A114" s="24"/>
      <x:c r="B114" s="24"/>
      <x:c r="C114" s="24"/>
      <x:c r="D114" s="24"/>
      <x:c r="E114" s="24"/>
      <x:c r="F114" s="24"/>
      <x:c r="G114" s="24"/>
      <x:c r="H114" s="24"/>
      <x:c r="I114" s="24"/>
      <x:c r="J114" s="24"/>
      <x:c r="K114" s="24"/>
      <x:c r="L114" s="24"/>
      <x:c r="M114" s="24"/>
      <x:c r="N114" s="24"/>
      <x:c r="O114" s="24"/>
      <x:c r="P114" s="24"/>
      <x:c r="Q114" s="24"/>
      <x:c r="R114" s="24"/>
      <x:c r="S114" s="24"/>
      <x:c r="T114" s="24"/>
      <x:c r="U114" s="24"/>
      <x:c r="V114" s="24"/>
      <x:c r="W114" s="24"/>
      <x:c r="X114" s="24"/>
      <x:c r="Y114" s="24"/>
      <x:c r="Z114" s="24"/>
    </x:row>
    <x:row r="115">
      <x:c r="A115" s="24"/>
      <x:c r="B115" s="24"/>
      <x:c r="C115" s="24"/>
      <x:c r="D115" s="24"/>
      <x:c r="E115" s="24"/>
      <x:c r="F115" s="24"/>
      <x:c r="G115" s="24"/>
      <x:c r="H115" s="24"/>
      <x:c r="I115" s="24"/>
      <x:c r="J115" s="24"/>
      <x:c r="K115" s="24"/>
      <x:c r="L115" s="24"/>
      <x:c r="M115" s="24"/>
      <x:c r="N115" s="24"/>
      <x:c r="O115" s="24"/>
      <x:c r="P115" s="24"/>
      <x:c r="Q115" s="24"/>
      <x:c r="R115" s="24"/>
      <x:c r="S115" s="24"/>
      <x:c r="T115" s="24"/>
      <x:c r="U115" s="24"/>
      <x:c r="V115" s="24"/>
      <x:c r="W115" s="24"/>
      <x:c r="X115" s="24"/>
      <x:c r="Y115" s="24"/>
      <x:c r="Z115" s="24"/>
    </x:row>
    <x:row r="116">
      <x:c r="A116" s="24"/>
      <x:c r="B116" s="24"/>
      <x:c r="C116" s="24"/>
      <x:c r="D116" s="24"/>
      <x:c r="E116" s="24"/>
      <x:c r="F116" s="24"/>
      <x:c r="G116" s="24"/>
      <x:c r="H116" s="24"/>
      <x:c r="I116" s="24"/>
      <x:c r="J116" s="24"/>
      <x:c r="K116" s="24"/>
      <x:c r="L116" s="24"/>
      <x:c r="M116" s="24"/>
      <x:c r="N116" s="24"/>
      <x:c r="O116" s="24"/>
      <x:c r="P116" s="24"/>
      <x:c r="Q116" s="24"/>
      <x:c r="R116" s="24"/>
      <x:c r="S116" s="24"/>
      <x:c r="T116" s="24"/>
      <x:c r="U116" s="24"/>
      <x:c r="V116" s="24"/>
      <x:c r="W116" s="24"/>
      <x:c r="X116" s="24"/>
      <x:c r="Y116" s="24"/>
      <x:c r="Z116" s="24"/>
    </x:row>
    <x:row r="117">
      <x:c r="A117" s="24"/>
      <x:c r="B117" s="24"/>
      <x:c r="C117" s="24"/>
      <x:c r="D117" s="24"/>
      <x:c r="E117" s="24"/>
      <x:c r="F117" s="24"/>
      <x:c r="G117" s="24"/>
      <x:c r="H117" s="24"/>
      <x:c r="I117" s="24"/>
      <x:c r="J117" s="24"/>
      <x:c r="K117" s="24"/>
      <x:c r="L117" s="24"/>
      <x:c r="M117" s="24"/>
      <x:c r="N117" s="24"/>
      <x:c r="O117" s="24"/>
      <x:c r="P117" s="24"/>
      <x:c r="Q117" s="24"/>
      <x:c r="R117" s="24"/>
      <x:c r="S117" s="24"/>
      <x:c r="T117" s="24"/>
      <x:c r="U117" s="24"/>
      <x:c r="V117" s="24"/>
      <x:c r="W117" s="24"/>
      <x:c r="X117" s="24"/>
      <x:c r="Y117" s="24"/>
      <x:c r="Z117" s="24"/>
    </x:row>
    <x:row r="118">
      <x:c r="A118" s="24"/>
      <x:c r="B118" s="24"/>
      <x:c r="C118" s="24"/>
      <x:c r="D118" s="24"/>
      <x:c r="E118" s="24"/>
      <x:c r="F118" s="24"/>
      <x:c r="G118" s="24"/>
      <x:c r="H118" s="24"/>
      <x:c r="I118" s="24"/>
      <x:c r="J118" s="24"/>
      <x:c r="K118" s="24"/>
      <x:c r="L118" s="24"/>
      <x:c r="M118" s="24"/>
      <x:c r="N118" s="24"/>
      <x:c r="O118" s="24"/>
      <x:c r="P118" s="24"/>
      <x:c r="Q118" s="24"/>
      <x:c r="R118" s="24"/>
      <x:c r="S118" s="24"/>
      <x:c r="T118" s="24"/>
      <x:c r="U118" s="24"/>
      <x:c r="V118" s="24"/>
      <x:c r="W118" s="24"/>
      <x:c r="X118" s="24"/>
      <x:c r="Y118" s="24"/>
      <x:c r="Z118" s="24"/>
    </x:row>
    <x:row r="119">
      <x:c r="A119" s="24"/>
      <x:c r="B119" s="24"/>
      <x:c r="C119" s="24"/>
      <x:c r="D119" s="24"/>
      <x:c r="E119" s="24"/>
      <x:c r="F119" s="24"/>
      <x:c r="G119" s="24"/>
      <x:c r="H119" s="24"/>
      <x:c r="I119" s="24"/>
      <x:c r="J119" s="24"/>
      <x:c r="K119" s="24"/>
      <x:c r="L119" s="24"/>
      <x:c r="M119" s="24"/>
      <x:c r="N119" s="24"/>
      <x:c r="O119" s="24"/>
      <x:c r="P119" s="24"/>
      <x:c r="Q119" s="24"/>
      <x:c r="R119" s="24"/>
      <x:c r="S119" s="24"/>
      <x:c r="T119" s="24"/>
      <x:c r="U119" s="24"/>
      <x:c r="V119" s="24"/>
      <x:c r="W119" s="24"/>
      <x:c r="X119" s="24"/>
      <x:c r="Y119" s="24"/>
      <x:c r="Z119" s="24"/>
    </x:row>
    <x:row r="120">
      <x:c r="A120" s="24"/>
      <x:c r="B120" s="24"/>
      <x:c r="C120" s="24"/>
      <x:c r="D120" s="24"/>
      <x:c r="E120" s="24"/>
      <x:c r="F120" s="24"/>
      <x:c r="G120" s="24"/>
      <x:c r="H120" s="24"/>
      <x:c r="I120" s="24"/>
      <x:c r="J120" s="24"/>
      <x:c r="K120" s="24"/>
      <x:c r="L120" s="24"/>
      <x:c r="M120" s="24"/>
      <x:c r="N120" s="24"/>
      <x:c r="O120" s="24"/>
      <x:c r="P120" s="24"/>
      <x:c r="Q120" s="24"/>
      <x:c r="R120" s="24"/>
      <x:c r="S120" s="24"/>
      <x:c r="T120" s="24"/>
      <x:c r="U120" s="24"/>
      <x:c r="V120" s="24"/>
      <x:c r="W120" s="24"/>
      <x:c r="X120" s="24"/>
      <x:c r="Y120" s="24"/>
      <x:c r="Z120" s="24"/>
    </x:row>
    <x:row r="12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  <x:c r="K121" s="24"/>
      <x:c r="L121" s="24"/>
      <x:c r="M121" s="24"/>
      <x:c r="N121" s="24"/>
      <x:c r="O121" s="24"/>
      <x:c r="P121" s="24"/>
      <x:c r="Q121" s="24"/>
      <x:c r="R121" s="24"/>
      <x:c r="S121" s="24"/>
      <x:c r="T121" s="24"/>
      <x:c r="U121" s="24"/>
      <x:c r="V121" s="24"/>
      <x:c r="W121" s="24"/>
      <x:c r="X121" s="24"/>
      <x:c r="Y121" s="24"/>
      <x:c r="Z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  <x:c r="K122" s="24"/>
      <x:c r="L122" s="24"/>
      <x:c r="M122" s="24"/>
      <x:c r="N122" s="24"/>
      <x:c r="O122" s="24"/>
      <x:c r="P122" s="24"/>
      <x:c r="Q122" s="24"/>
      <x:c r="R122" s="24"/>
      <x:c r="S122" s="24"/>
      <x:c r="T122" s="24"/>
      <x:c r="U122" s="24"/>
      <x:c r="V122" s="24"/>
      <x:c r="W122" s="24"/>
      <x:c r="X122" s="24"/>
      <x:c r="Y122" s="24"/>
      <x:c r="Z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  <x:c r="M123" s="24"/>
      <x:c r="N123" s="24"/>
      <x:c r="O123" s="24"/>
      <x:c r="P123" s="24"/>
      <x:c r="Q123" s="24"/>
      <x:c r="R123" s="24"/>
      <x:c r="S123" s="24"/>
      <x:c r="T123" s="24"/>
      <x:c r="U123" s="24"/>
      <x:c r="V123" s="24"/>
      <x:c r="W123" s="24"/>
      <x:c r="X123" s="24"/>
      <x:c r="Y123" s="24"/>
      <x:c r="Z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  <x:c r="M124" s="24"/>
      <x:c r="N124" s="24"/>
      <x:c r="O124" s="24"/>
      <x:c r="P124" s="24"/>
      <x:c r="Q124" s="24"/>
      <x:c r="R124" s="24"/>
      <x:c r="S124" s="24"/>
      <x:c r="T124" s="24"/>
      <x:c r="U124" s="24"/>
      <x:c r="V124" s="24"/>
      <x:c r="W124" s="24"/>
      <x:c r="X124" s="24"/>
      <x:c r="Y124" s="24"/>
      <x:c r="Z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  <x:c r="K125" s="24"/>
      <x:c r="L125" s="24"/>
      <x:c r="M125" s="24"/>
      <x:c r="N125" s="24"/>
      <x:c r="O125" s="24"/>
      <x:c r="P125" s="24"/>
      <x:c r="Q125" s="24"/>
      <x:c r="R125" s="24"/>
      <x:c r="S125" s="24"/>
      <x:c r="T125" s="24"/>
      <x:c r="U125" s="24"/>
      <x:c r="V125" s="24"/>
      <x:c r="W125" s="24"/>
      <x:c r="X125" s="24"/>
      <x:c r="Y125" s="24"/>
      <x:c r="Z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  <x:c r="K126" s="24"/>
      <x:c r="L126" s="24"/>
      <x:c r="M126" s="24"/>
      <x:c r="N126" s="24"/>
      <x:c r="O126" s="24"/>
      <x:c r="P126" s="24"/>
      <x:c r="Q126" s="24"/>
      <x:c r="R126" s="24"/>
      <x:c r="S126" s="24"/>
      <x:c r="T126" s="24"/>
      <x:c r="U126" s="24"/>
      <x:c r="V126" s="24"/>
      <x:c r="W126" s="24"/>
      <x:c r="X126" s="24"/>
      <x:c r="Y126" s="24"/>
      <x:c r="Z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  <x:c r="K127" s="24"/>
      <x:c r="L127" s="24"/>
      <x:c r="M127" s="24"/>
      <x:c r="N127" s="24"/>
      <x:c r="O127" s="24"/>
      <x:c r="P127" s="24"/>
      <x:c r="Q127" s="24"/>
      <x:c r="R127" s="24"/>
      <x:c r="S127" s="24"/>
      <x:c r="T127" s="24"/>
      <x:c r="U127" s="24"/>
      <x:c r="V127" s="24"/>
      <x:c r="W127" s="24"/>
      <x:c r="X127" s="24"/>
      <x:c r="Y127" s="24"/>
      <x:c r="Z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  <x:c r="K128" s="24"/>
      <x:c r="L128" s="24"/>
      <x:c r="M128" s="24"/>
      <x:c r="N128" s="24"/>
      <x:c r="O128" s="24"/>
      <x:c r="P128" s="24"/>
      <x:c r="Q128" s="24"/>
      <x:c r="R128" s="24"/>
      <x:c r="S128" s="24"/>
      <x:c r="T128" s="24"/>
      <x:c r="U128" s="24"/>
      <x:c r="V128" s="24"/>
      <x:c r="W128" s="24"/>
      <x:c r="X128" s="24"/>
      <x:c r="Y128" s="24"/>
      <x:c r="Z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  <x:c r="K129" s="24"/>
      <x:c r="L129" s="24"/>
      <x:c r="M129" s="24"/>
      <x:c r="N129" s="24"/>
      <x:c r="O129" s="24"/>
      <x:c r="P129" s="24"/>
      <x:c r="Q129" s="24"/>
      <x:c r="R129" s="24"/>
      <x:c r="S129" s="24"/>
      <x:c r="T129" s="24"/>
      <x:c r="U129" s="24"/>
      <x:c r="V129" s="24"/>
      <x:c r="W129" s="24"/>
      <x:c r="X129" s="24"/>
      <x:c r="Y129" s="24"/>
      <x:c r="Z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  <x:c r="K130" s="24"/>
      <x:c r="L130" s="24"/>
      <x:c r="M130" s="24"/>
      <x:c r="N130" s="24"/>
      <x:c r="O130" s="24"/>
      <x:c r="P130" s="24"/>
      <x:c r="Q130" s="24"/>
      <x:c r="R130" s="24"/>
      <x:c r="S130" s="24"/>
      <x:c r="T130" s="24"/>
      <x:c r="U130" s="24"/>
      <x:c r="V130" s="24"/>
      <x:c r="W130" s="24"/>
      <x:c r="X130" s="24"/>
      <x:c r="Y130" s="24"/>
      <x:c r="Z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  <x:c r="K131" s="24"/>
      <x:c r="L131" s="24"/>
      <x:c r="M131" s="24"/>
      <x:c r="N131" s="24"/>
      <x:c r="O131" s="24"/>
      <x:c r="P131" s="24"/>
      <x:c r="Q131" s="24"/>
      <x:c r="R131" s="24"/>
      <x:c r="S131" s="24"/>
      <x:c r="T131" s="24"/>
      <x:c r="U131" s="24"/>
      <x:c r="V131" s="24"/>
      <x:c r="W131" s="24"/>
      <x:c r="X131" s="24"/>
      <x:c r="Y131" s="24"/>
      <x:c r="Z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  <x:c r="K132" s="24"/>
      <x:c r="L132" s="24"/>
      <x:c r="M132" s="24"/>
      <x:c r="N132" s="24"/>
      <x:c r="O132" s="24"/>
      <x:c r="P132" s="24"/>
      <x:c r="Q132" s="24"/>
      <x:c r="R132" s="24"/>
      <x:c r="S132" s="24"/>
      <x:c r="T132" s="24"/>
      <x:c r="U132" s="24"/>
      <x:c r="V132" s="24"/>
      <x:c r="W132" s="24"/>
      <x:c r="X132" s="24"/>
      <x:c r="Y132" s="24"/>
      <x:c r="Z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  <x:c r="K133" s="24"/>
      <x:c r="L133" s="24"/>
      <x:c r="M133" s="24"/>
      <x:c r="N133" s="24"/>
      <x:c r="O133" s="24"/>
      <x:c r="P133" s="24"/>
      <x:c r="Q133" s="24"/>
      <x:c r="R133" s="24"/>
      <x:c r="S133" s="24"/>
      <x:c r="T133" s="24"/>
      <x:c r="U133" s="24"/>
      <x:c r="V133" s="24"/>
      <x:c r="W133" s="24"/>
      <x:c r="X133" s="24"/>
      <x:c r="Y133" s="24"/>
      <x:c r="Z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  <x:c r="K134" s="24"/>
      <x:c r="L134" s="24"/>
      <x:c r="M134" s="24"/>
      <x:c r="N134" s="24"/>
      <x:c r="O134" s="24"/>
      <x:c r="P134" s="24"/>
      <x:c r="Q134" s="24"/>
      <x:c r="R134" s="24"/>
      <x:c r="S134" s="24"/>
      <x:c r="T134" s="24"/>
      <x:c r="U134" s="24"/>
      <x:c r="V134" s="24"/>
      <x:c r="W134" s="24"/>
      <x:c r="X134" s="24"/>
      <x:c r="Y134" s="24"/>
      <x:c r="Z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  <x:c r="K135" s="24"/>
      <x:c r="L135" s="24"/>
      <x:c r="M135" s="24"/>
      <x:c r="N135" s="24"/>
      <x:c r="O135" s="24"/>
      <x:c r="P135" s="24"/>
      <x:c r="Q135" s="24"/>
      <x:c r="R135" s="24"/>
      <x:c r="S135" s="24"/>
      <x:c r="T135" s="24"/>
      <x:c r="U135" s="24"/>
      <x:c r="V135" s="24"/>
      <x:c r="W135" s="24"/>
      <x:c r="X135" s="24"/>
      <x:c r="Y135" s="24"/>
      <x:c r="Z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  <x:c r="K136" s="24"/>
      <x:c r="L136" s="24"/>
      <x:c r="M136" s="24"/>
      <x:c r="N136" s="24"/>
      <x:c r="O136" s="24"/>
      <x:c r="P136" s="24"/>
      <x:c r="Q136" s="24"/>
      <x:c r="R136" s="24"/>
      <x:c r="S136" s="24"/>
      <x:c r="T136" s="24"/>
      <x:c r="U136" s="24"/>
      <x:c r="V136" s="24"/>
      <x:c r="W136" s="24"/>
      <x:c r="X136" s="24"/>
      <x:c r="Y136" s="24"/>
      <x:c r="Z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  <x:c r="L137" s="24"/>
      <x:c r="M137" s="24"/>
      <x:c r="N137" s="24"/>
      <x:c r="O137" s="24"/>
      <x:c r="P137" s="24"/>
      <x:c r="Q137" s="24"/>
      <x:c r="R137" s="24"/>
      <x:c r="S137" s="24"/>
      <x:c r="T137" s="24"/>
      <x:c r="U137" s="24"/>
      <x:c r="V137" s="24"/>
      <x:c r="W137" s="24"/>
      <x:c r="X137" s="24"/>
      <x:c r="Y137" s="24"/>
      <x:c r="Z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  <x:c r="K138" s="24"/>
      <x:c r="L138" s="24"/>
      <x:c r="M138" s="24"/>
      <x:c r="N138" s="24"/>
      <x:c r="O138" s="24"/>
      <x:c r="P138" s="24"/>
      <x:c r="Q138" s="24"/>
      <x:c r="R138" s="24"/>
      <x:c r="S138" s="24"/>
      <x:c r="T138" s="24"/>
      <x:c r="U138" s="24"/>
      <x:c r="V138" s="24"/>
      <x:c r="W138" s="24"/>
      <x:c r="X138" s="24"/>
      <x:c r="Y138" s="24"/>
      <x:c r="Z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  <x:c r="K139" s="24"/>
      <x:c r="L139" s="24"/>
      <x:c r="M139" s="24"/>
      <x:c r="N139" s="24"/>
      <x:c r="O139" s="24"/>
      <x:c r="P139" s="24"/>
      <x:c r="Q139" s="24"/>
      <x:c r="R139" s="24"/>
      <x:c r="S139" s="24"/>
      <x:c r="T139" s="24"/>
      <x:c r="U139" s="24"/>
      <x:c r="V139" s="24"/>
      <x:c r="W139" s="24"/>
      <x:c r="X139" s="24"/>
      <x:c r="Y139" s="24"/>
      <x:c r="Z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  <x:c r="K140" s="24"/>
      <x:c r="L140" s="24"/>
      <x:c r="M140" s="24"/>
      <x:c r="N140" s="24"/>
      <x:c r="O140" s="24"/>
      <x:c r="P140" s="24"/>
      <x:c r="Q140" s="24"/>
      <x:c r="R140" s="24"/>
      <x:c r="S140" s="24"/>
      <x:c r="T140" s="24"/>
      <x:c r="U140" s="24"/>
      <x:c r="V140" s="24"/>
      <x:c r="W140" s="24"/>
      <x:c r="X140" s="24"/>
      <x:c r="Y140" s="24"/>
      <x:c r="Z140" s="24"/>
    </x:row>
    <x:row r="141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  <x:c r="K141" s="24"/>
      <x:c r="L141" s="24"/>
      <x:c r="M141" s="24"/>
      <x:c r="N141" s="24"/>
      <x:c r="O141" s="24"/>
      <x:c r="P141" s="24"/>
      <x:c r="Q141" s="24"/>
      <x:c r="R141" s="24"/>
      <x:c r="S141" s="24"/>
      <x:c r="T141" s="24"/>
      <x:c r="U141" s="24"/>
      <x:c r="V141" s="24"/>
      <x:c r="W141" s="24"/>
      <x:c r="X141" s="24"/>
      <x:c r="Y141" s="24"/>
      <x:c r="Z141" s="24"/>
    </x:row>
    <x:row r="142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  <x:c r="K142" s="24"/>
      <x:c r="L142" s="24"/>
      <x:c r="M142" s="24"/>
      <x:c r="N142" s="24"/>
      <x:c r="O142" s="24"/>
      <x:c r="P142" s="24"/>
      <x:c r="Q142" s="24"/>
      <x:c r="R142" s="24"/>
      <x:c r="S142" s="24"/>
      <x:c r="T142" s="24"/>
      <x:c r="U142" s="24"/>
      <x:c r="V142" s="24"/>
      <x:c r="W142" s="24"/>
      <x:c r="X142" s="24"/>
      <x:c r="Y142" s="24"/>
      <x:c r="Z142" s="24"/>
    </x:row>
    <x:row r="143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  <x:c r="K143" s="24"/>
      <x:c r="L143" s="24"/>
      <x:c r="M143" s="24"/>
      <x:c r="N143" s="24"/>
      <x:c r="O143" s="24"/>
      <x:c r="P143" s="24"/>
      <x:c r="Q143" s="24"/>
      <x:c r="R143" s="24"/>
      <x:c r="S143" s="24"/>
      <x:c r="T143" s="24"/>
      <x:c r="U143" s="24"/>
      <x:c r="V143" s="24"/>
      <x:c r="W143" s="24"/>
      <x:c r="X143" s="24"/>
      <x:c r="Y143" s="24"/>
      <x:c r="Z143" s="24"/>
    </x:row>
    <x:row r="144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  <x:c r="K144" s="24"/>
      <x:c r="L144" s="24"/>
      <x:c r="M144" s="24"/>
      <x:c r="N144" s="24"/>
      <x:c r="O144" s="24"/>
      <x:c r="P144" s="24"/>
      <x:c r="Q144" s="24"/>
      <x:c r="R144" s="24"/>
      <x:c r="S144" s="24"/>
      <x:c r="T144" s="24"/>
      <x:c r="U144" s="24"/>
      <x:c r="V144" s="24"/>
      <x:c r="W144" s="24"/>
      <x:c r="X144" s="24"/>
      <x:c r="Y144" s="24"/>
      <x:c r="Z144" s="24"/>
    </x:row>
    <x:row r="145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  <x:c r="K145" s="24"/>
      <x:c r="L145" s="24"/>
      <x:c r="M145" s="24"/>
      <x:c r="N145" s="24"/>
      <x:c r="O145" s="24"/>
      <x:c r="P145" s="24"/>
      <x:c r="Q145" s="24"/>
      <x:c r="R145" s="24"/>
      <x:c r="S145" s="24"/>
      <x:c r="T145" s="24"/>
      <x:c r="U145" s="24"/>
      <x:c r="V145" s="24"/>
      <x:c r="W145" s="24"/>
      <x:c r="X145" s="24"/>
      <x:c r="Y145" s="24"/>
      <x:c r="Z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  <x:c r="K146" s="24"/>
      <x:c r="L146" s="24"/>
      <x:c r="M146" s="24"/>
      <x:c r="N146" s="24"/>
      <x:c r="O146" s="24"/>
      <x:c r="P146" s="24"/>
      <x:c r="Q146" s="24"/>
      <x:c r="R146" s="24"/>
      <x:c r="S146" s="24"/>
      <x:c r="T146" s="24"/>
      <x:c r="U146" s="24"/>
      <x:c r="V146" s="24"/>
      <x:c r="W146" s="24"/>
      <x:c r="X146" s="24"/>
      <x:c r="Y146" s="24"/>
      <x:c r="Z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  <x:c r="K147" s="24"/>
      <x:c r="L147" s="24"/>
      <x:c r="M147" s="24"/>
      <x:c r="N147" s="24"/>
      <x:c r="O147" s="24"/>
      <x:c r="P147" s="24"/>
      <x:c r="Q147" s="24"/>
      <x:c r="R147" s="24"/>
      <x:c r="S147" s="24"/>
      <x:c r="T147" s="24"/>
      <x:c r="U147" s="24"/>
      <x:c r="V147" s="24"/>
      <x:c r="W147" s="24"/>
      <x:c r="X147" s="24"/>
      <x:c r="Y147" s="24"/>
      <x:c r="Z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  <x:c r="K148" s="24"/>
      <x:c r="L148" s="24"/>
      <x:c r="M148" s="24"/>
      <x:c r="N148" s="24"/>
      <x:c r="O148" s="24"/>
      <x:c r="P148" s="24"/>
      <x:c r="Q148" s="24"/>
      <x:c r="R148" s="24"/>
      <x:c r="S148" s="24"/>
      <x:c r="T148" s="24"/>
      <x:c r="U148" s="24"/>
      <x:c r="V148" s="24"/>
      <x:c r="W148" s="24"/>
      <x:c r="X148" s="24"/>
      <x:c r="Y148" s="24"/>
      <x:c r="Z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  <x:c r="K149" s="24"/>
      <x:c r="L149" s="24"/>
      <x:c r="M149" s="24"/>
      <x:c r="N149" s="24"/>
      <x:c r="O149" s="24"/>
      <x:c r="P149" s="24"/>
      <x:c r="Q149" s="24"/>
      <x:c r="R149" s="24"/>
      <x:c r="S149" s="24"/>
      <x:c r="T149" s="24"/>
      <x:c r="U149" s="24"/>
      <x:c r="V149" s="24"/>
      <x:c r="W149" s="24"/>
      <x:c r="X149" s="24"/>
      <x:c r="Y149" s="24"/>
      <x:c r="Z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  <x:c r="L150" s="24"/>
      <x:c r="M150" s="24"/>
      <x:c r="N150" s="24"/>
      <x:c r="O150" s="24"/>
      <x:c r="P150" s="24"/>
      <x:c r="Q150" s="24"/>
      <x:c r="R150" s="24"/>
      <x:c r="S150" s="24"/>
      <x:c r="T150" s="24"/>
      <x:c r="U150" s="24"/>
      <x:c r="V150" s="24"/>
      <x:c r="W150" s="24"/>
      <x:c r="X150" s="24"/>
      <x:c r="Y150" s="24"/>
      <x:c r="Z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  <x:c r="K151" s="24"/>
      <x:c r="L151" s="24"/>
      <x:c r="M151" s="24"/>
      <x:c r="N151" s="24"/>
      <x:c r="O151" s="24"/>
      <x:c r="P151" s="24"/>
      <x:c r="Q151" s="24"/>
      <x:c r="R151" s="24"/>
      <x:c r="S151" s="24"/>
      <x:c r="T151" s="24"/>
      <x:c r="U151" s="24"/>
      <x:c r="V151" s="24"/>
      <x:c r="W151" s="24"/>
      <x:c r="X151" s="24"/>
      <x:c r="Y151" s="24"/>
      <x:c r="Z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  <x:c r="K152" s="24"/>
      <x:c r="L152" s="24"/>
      <x:c r="M152" s="24"/>
      <x:c r="N152" s="24"/>
      <x:c r="O152" s="24"/>
      <x:c r="P152" s="24"/>
      <x:c r="Q152" s="24"/>
      <x:c r="R152" s="24"/>
      <x:c r="S152" s="24"/>
      <x:c r="T152" s="24"/>
      <x:c r="U152" s="24"/>
      <x:c r="V152" s="24"/>
      <x:c r="W152" s="24"/>
      <x:c r="X152" s="24"/>
      <x:c r="Y152" s="24"/>
      <x:c r="Z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  <x:c r="K153" s="24"/>
      <x:c r="L153" s="24"/>
      <x:c r="M153" s="24"/>
      <x:c r="N153" s="24"/>
      <x:c r="O153" s="24"/>
      <x:c r="P153" s="24"/>
      <x:c r="Q153" s="24"/>
      <x:c r="R153" s="24"/>
      <x:c r="S153" s="24"/>
      <x:c r="T153" s="24"/>
      <x:c r="U153" s="24"/>
      <x:c r="V153" s="24"/>
      <x:c r="W153" s="24"/>
      <x:c r="X153" s="24"/>
      <x:c r="Y153" s="24"/>
      <x:c r="Z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  <x:c r="K154" s="24"/>
      <x:c r="L154" s="24"/>
      <x:c r="M154" s="24"/>
      <x:c r="N154" s="24"/>
      <x:c r="O154" s="24"/>
      <x:c r="P154" s="24"/>
      <x:c r="Q154" s="24"/>
      <x:c r="R154" s="24"/>
      <x:c r="S154" s="24"/>
      <x:c r="T154" s="24"/>
      <x:c r="U154" s="24"/>
      <x:c r="V154" s="24"/>
      <x:c r="W154" s="24"/>
      <x:c r="X154" s="24"/>
      <x:c r="Y154" s="24"/>
      <x:c r="Z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  <x:c r="K155" s="24"/>
      <x:c r="L155" s="24"/>
      <x:c r="M155" s="24"/>
      <x:c r="N155" s="24"/>
      <x:c r="O155" s="24"/>
      <x:c r="P155" s="24"/>
      <x:c r="Q155" s="24"/>
      <x:c r="R155" s="24"/>
      <x:c r="S155" s="24"/>
      <x:c r="T155" s="24"/>
      <x:c r="U155" s="24"/>
      <x:c r="V155" s="24"/>
      <x:c r="W155" s="24"/>
      <x:c r="X155" s="24"/>
      <x:c r="Y155" s="24"/>
      <x:c r="Z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  <x:c r="K156" s="24"/>
      <x:c r="L156" s="24"/>
      <x:c r="M156" s="24"/>
      <x:c r="N156" s="24"/>
      <x:c r="O156" s="24"/>
      <x:c r="P156" s="24"/>
      <x:c r="Q156" s="24"/>
      <x:c r="R156" s="24"/>
      <x:c r="S156" s="24"/>
      <x:c r="T156" s="24"/>
      <x:c r="U156" s="24"/>
      <x:c r="V156" s="24"/>
      <x:c r="W156" s="24"/>
      <x:c r="X156" s="24"/>
      <x:c r="Y156" s="24"/>
      <x:c r="Z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  <x:c r="K157" s="24"/>
      <x:c r="L157" s="24"/>
      <x:c r="M157" s="24"/>
      <x:c r="N157" s="24"/>
      <x:c r="O157" s="24"/>
      <x:c r="P157" s="24"/>
      <x:c r="Q157" s="24"/>
      <x:c r="R157" s="24"/>
      <x:c r="S157" s="24"/>
      <x:c r="T157" s="24"/>
      <x:c r="U157" s="24"/>
      <x:c r="V157" s="24"/>
      <x:c r="W157" s="24"/>
      <x:c r="X157" s="24"/>
      <x:c r="Y157" s="24"/>
      <x:c r="Z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  <x:c r="K158" s="24"/>
      <x:c r="L158" s="24"/>
      <x:c r="M158" s="24"/>
      <x:c r="N158" s="24"/>
      <x:c r="O158" s="24"/>
      <x:c r="P158" s="24"/>
      <x:c r="Q158" s="24"/>
      <x:c r="R158" s="24"/>
      <x:c r="S158" s="24"/>
      <x:c r="T158" s="24"/>
      <x:c r="U158" s="24"/>
      <x:c r="V158" s="24"/>
      <x:c r="W158" s="24"/>
      <x:c r="X158" s="24"/>
      <x:c r="Y158" s="24"/>
      <x:c r="Z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  <x:c r="K159" s="24"/>
      <x:c r="L159" s="24"/>
      <x:c r="M159" s="24"/>
      <x:c r="N159" s="24"/>
      <x:c r="O159" s="24"/>
      <x:c r="P159" s="24"/>
      <x:c r="Q159" s="24"/>
      <x:c r="R159" s="24"/>
      <x:c r="S159" s="24"/>
      <x:c r="T159" s="24"/>
      <x:c r="U159" s="24"/>
      <x:c r="V159" s="24"/>
      <x:c r="W159" s="24"/>
      <x:c r="X159" s="24"/>
      <x:c r="Y159" s="24"/>
      <x:c r="Z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  <x:c r="K160" s="24"/>
      <x:c r="L160" s="24"/>
      <x:c r="M160" s="24"/>
      <x:c r="N160" s="24"/>
      <x:c r="O160" s="24"/>
      <x:c r="P160" s="24"/>
      <x:c r="Q160" s="24"/>
      <x:c r="R160" s="24"/>
      <x:c r="S160" s="24"/>
      <x:c r="T160" s="24"/>
      <x:c r="U160" s="24"/>
      <x:c r="V160" s="24"/>
      <x:c r="W160" s="24"/>
      <x:c r="X160" s="24"/>
      <x:c r="Y160" s="24"/>
      <x:c r="Z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  <x:c r="K161" s="24"/>
      <x:c r="L161" s="24"/>
      <x:c r="M161" s="24"/>
      <x:c r="N161" s="24"/>
      <x:c r="O161" s="24"/>
      <x:c r="P161" s="24"/>
      <x:c r="Q161" s="24"/>
      <x:c r="R161" s="24"/>
      <x:c r="S161" s="24"/>
      <x:c r="T161" s="24"/>
      <x:c r="U161" s="24"/>
      <x:c r="V161" s="24"/>
      <x:c r="W161" s="24"/>
      <x:c r="X161" s="24"/>
      <x:c r="Y161" s="24"/>
      <x:c r="Z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  <x:c r="K162" s="24"/>
      <x:c r="L162" s="24"/>
      <x:c r="M162" s="24"/>
      <x:c r="N162" s="24"/>
      <x:c r="O162" s="24"/>
      <x:c r="P162" s="24"/>
      <x:c r="Q162" s="24"/>
      <x:c r="R162" s="24"/>
      <x:c r="S162" s="24"/>
      <x:c r="T162" s="24"/>
      <x:c r="U162" s="24"/>
      <x:c r="V162" s="24"/>
      <x:c r="W162" s="24"/>
      <x:c r="X162" s="24"/>
      <x:c r="Y162" s="24"/>
      <x:c r="Z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  <x:c r="K163" s="24"/>
      <x:c r="L163" s="24"/>
      <x:c r="M163" s="24"/>
      <x:c r="N163" s="24"/>
      <x:c r="O163" s="24"/>
      <x:c r="P163" s="24"/>
      <x:c r="Q163" s="24"/>
      <x:c r="R163" s="24"/>
      <x:c r="S163" s="24"/>
      <x:c r="T163" s="24"/>
      <x:c r="U163" s="24"/>
      <x:c r="V163" s="24"/>
      <x:c r="W163" s="24"/>
      <x:c r="X163" s="24"/>
      <x:c r="Y163" s="24"/>
      <x:c r="Z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  <x:c r="K164" s="24"/>
      <x:c r="L164" s="24"/>
      <x:c r="M164" s="24"/>
      <x:c r="N164" s="24"/>
      <x:c r="O164" s="24"/>
      <x:c r="P164" s="24"/>
      <x:c r="Q164" s="24"/>
      <x:c r="R164" s="24"/>
      <x:c r="S164" s="24"/>
      <x:c r="T164" s="24"/>
      <x:c r="U164" s="24"/>
      <x:c r="V164" s="24"/>
      <x:c r="W164" s="24"/>
      <x:c r="X164" s="24"/>
      <x:c r="Y164" s="24"/>
      <x:c r="Z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  <x:c r="K165" s="24"/>
      <x:c r="L165" s="24"/>
      <x:c r="M165" s="24"/>
      <x:c r="N165" s="24"/>
      <x:c r="O165" s="24"/>
      <x:c r="P165" s="24"/>
      <x:c r="Q165" s="24"/>
      <x:c r="R165" s="24"/>
      <x:c r="S165" s="24"/>
      <x:c r="T165" s="24"/>
      <x:c r="U165" s="24"/>
      <x:c r="V165" s="24"/>
      <x:c r="W165" s="24"/>
      <x:c r="X165" s="24"/>
      <x:c r="Y165" s="24"/>
      <x:c r="Z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  <x:c r="K166" s="24"/>
      <x:c r="L166" s="24"/>
      <x:c r="M166" s="24"/>
      <x:c r="N166" s="24"/>
      <x:c r="O166" s="24"/>
      <x:c r="P166" s="24"/>
      <x:c r="Q166" s="24"/>
      <x:c r="R166" s="24"/>
      <x:c r="S166" s="24"/>
      <x:c r="T166" s="24"/>
      <x:c r="U166" s="24"/>
      <x:c r="V166" s="24"/>
      <x:c r="W166" s="24"/>
      <x:c r="X166" s="24"/>
      <x:c r="Y166" s="24"/>
      <x:c r="Z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  <x:c r="K167" s="24"/>
      <x:c r="L167" s="24"/>
      <x:c r="M167" s="24"/>
      <x:c r="N167" s="24"/>
      <x:c r="O167" s="24"/>
      <x:c r="P167" s="24"/>
      <x:c r="Q167" s="24"/>
      <x:c r="R167" s="24"/>
      <x:c r="S167" s="24"/>
      <x:c r="T167" s="24"/>
      <x:c r="U167" s="24"/>
      <x:c r="V167" s="24"/>
      <x:c r="W167" s="24"/>
      <x:c r="X167" s="24"/>
      <x:c r="Y167" s="24"/>
      <x:c r="Z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  <x:c r="K168" s="24"/>
      <x:c r="L168" s="24"/>
      <x:c r="M168" s="24"/>
      <x:c r="N168" s="24"/>
      <x:c r="O168" s="24"/>
      <x:c r="P168" s="24"/>
      <x:c r="Q168" s="24"/>
      <x:c r="R168" s="24"/>
      <x:c r="S168" s="24"/>
      <x:c r="T168" s="24"/>
      <x:c r="U168" s="24"/>
      <x:c r="V168" s="24"/>
      <x:c r="W168" s="24"/>
      <x:c r="X168" s="24"/>
      <x:c r="Y168" s="24"/>
      <x:c r="Z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  <x:c r="K169" s="24"/>
      <x:c r="L169" s="24"/>
      <x:c r="M169" s="24"/>
      <x:c r="N169" s="24"/>
      <x:c r="O169" s="24"/>
      <x:c r="P169" s="24"/>
      <x:c r="Q169" s="24"/>
      <x:c r="R169" s="24"/>
      <x:c r="S169" s="24"/>
      <x:c r="T169" s="24"/>
      <x:c r="U169" s="24"/>
      <x:c r="V169" s="24"/>
      <x:c r="W169" s="24"/>
      <x:c r="X169" s="24"/>
      <x:c r="Y169" s="24"/>
      <x:c r="Z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  <x:c r="K170" s="24"/>
      <x:c r="L170" s="24"/>
      <x:c r="M170" s="24"/>
      <x:c r="N170" s="24"/>
      <x:c r="O170" s="24"/>
      <x:c r="P170" s="24"/>
      <x:c r="Q170" s="24"/>
      <x:c r="R170" s="24"/>
      <x:c r="S170" s="24"/>
      <x:c r="T170" s="24"/>
      <x:c r="U170" s="24"/>
      <x:c r="V170" s="24"/>
      <x:c r="W170" s="24"/>
      <x:c r="X170" s="24"/>
      <x:c r="Y170" s="24"/>
      <x:c r="Z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  <x:c r="K171" s="24"/>
      <x:c r="L171" s="24"/>
      <x:c r="M171" s="24"/>
      <x:c r="N171" s="24"/>
      <x:c r="O171" s="24"/>
      <x:c r="P171" s="24"/>
      <x:c r="Q171" s="24"/>
      <x:c r="R171" s="24"/>
      <x:c r="S171" s="24"/>
      <x:c r="T171" s="24"/>
      <x:c r="U171" s="24"/>
      <x:c r="V171" s="24"/>
      <x:c r="W171" s="24"/>
      <x:c r="X171" s="24"/>
      <x:c r="Y171" s="24"/>
      <x:c r="Z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  <x:c r="K172" s="24"/>
      <x:c r="L172" s="24"/>
      <x:c r="M172" s="24"/>
      <x:c r="N172" s="24"/>
      <x:c r="O172" s="24"/>
      <x:c r="P172" s="24"/>
      <x:c r="Q172" s="24"/>
      <x:c r="R172" s="24"/>
      <x:c r="S172" s="24"/>
      <x:c r="T172" s="24"/>
      <x:c r="U172" s="24"/>
      <x:c r="V172" s="24"/>
      <x:c r="W172" s="24"/>
      <x:c r="X172" s="24"/>
      <x:c r="Y172" s="24"/>
      <x:c r="Z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  <x:c r="K173" s="24"/>
      <x:c r="L173" s="24"/>
      <x:c r="M173" s="24"/>
      <x:c r="N173" s="24"/>
      <x:c r="O173" s="24"/>
      <x:c r="P173" s="24"/>
      <x:c r="Q173" s="24"/>
      <x:c r="R173" s="24"/>
      <x:c r="S173" s="24"/>
      <x:c r="T173" s="24"/>
      <x:c r="U173" s="24"/>
      <x:c r="V173" s="24"/>
      <x:c r="W173" s="24"/>
      <x:c r="X173" s="24"/>
      <x:c r="Y173" s="24"/>
      <x:c r="Z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  <x:c r="K174" s="24"/>
      <x:c r="L174" s="24"/>
      <x:c r="M174" s="24"/>
      <x:c r="N174" s="24"/>
      <x:c r="O174" s="24"/>
      <x:c r="P174" s="24"/>
      <x:c r="Q174" s="24"/>
      <x:c r="R174" s="24"/>
      <x:c r="S174" s="24"/>
      <x:c r="T174" s="24"/>
      <x:c r="U174" s="24"/>
      <x:c r="V174" s="24"/>
      <x:c r="W174" s="24"/>
      <x:c r="X174" s="24"/>
      <x:c r="Y174" s="24"/>
      <x:c r="Z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  <x:c r="K175" s="24"/>
      <x:c r="L175" s="24"/>
      <x:c r="M175" s="24"/>
      <x:c r="N175" s="24"/>
      <x:c r="O175" s="24"/>
      <x:c r="P175" s="24"/>
      <x:c r="Q175" s="24"/>
      <x:c r="R175" s="24"/>
      <x:c r="S175" s="24"/>
      <x:c r="T175" s="24"/>
      <x:c r="U175" s="24"/>
      <x:c r="V175" s="24"/>
      <x:c r="W175" s="24"/>
      <x:c r="X175" s="24"/>
      <x:c r="Y175" s="24"/>
      <x:c r="Z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  <x:c r="K176" s="24"/>
      <x:c r="L176" s="24"/>
      <x:c r="M176" s="24"/>
      <x:c r="N176" s="24"/>
      <x:c r="O176" s="24"/>
      <x:c r="P176" s="24"/>
      <x:c r="Q176" s="24"/>
      <x:c r="R176" s="24"/>
      <x:c r="S176" s="24"/>
      <x:c r="T176" s="24"/>
      <x:c r="U176" s="24"/>
      <x:c r="V176" s="24"/>
      <x:c r="W176" s="24"/>
      <x:c r="X176" s="24"/>
      <x:c r="Y176" s="24"/>
      <x:c r="Z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  <x:c r="K177" s="24"/>
      <x:c r="L177" s="24"/>
      <x:c r="M177" s="24"/>
      <x:c r="N177" s="24"/>
      <x:c r="O177" s="24"/>
      <x:c r="P177" s="24"/>
      <x:c r="Q177" s="24"/>
      <x:c r="R177" s="24"/>
      <x:c r="S177" s="24"/>
      <x:c r="T177" s="24"/>
      <x:c r="U177" s="24"/>
      <x:c r="V177" s="24"/>
      <x:c r="W177" s="24"/>
      <x:c r="X177" s="24"/>
      <x:c r="Y177" s="24"/>
      <x:c r="Z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  <x:c r="K178" s="24"/>
      <x:c r="L178" s="24"/>
      <x:c r="M178" s="24"/>
      <x:c r="N178" s="24"/>
      <x:c r="O178" s="24"/>
      <x:c r="P178" s="24"/>
      <x:c r="Q178" s="24"/>
      <x:c r="R178" s="24"/>
      <x:c r="S178" s="24"/>
      <x:c r="T178" s="24"/>
      <x:c r="U178" s="24"/>
      <x:c r="V178" s="24"/>
      <x:c r="W178" s="24"/>
      <x:c r="X178" s="24"/>
      <x:c r="Y178" s="24"/>
      <x:c r="Z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  <x:c r="K179" s="24"/>
      <x:c r="L179" s="24"/>
      <x:c r="M179" s="24"/>
      <x:c r="N179" s="24"/>
      <x:c r="O179" s="24"/>
      <x:c r="P179" s="24"/>
      <x:c r="Q179" s="24"/>
      <x:c r="R179" s="24"/>
      <x:c r="S179" s="24"/>
      <x:c r="T179" s="24"/>
      <x:c r="U179" s="24"/>
      <x:c r="V179" s="24"/>
      <x:c r="W179" s="24"/>
      <x:c r="X179" s="24"/>
      <x:c r="Y179" s="24"/>
      <x:c r="Z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  <x:c r="K180" s="24"/>
      <x:c r="L180" s="24"/>
      <x:c r="M180" s="24"/>
      <x:c r="N180" s="24"/>
      <x:c r="O180" s="24"/>
      <x:c r="P180" s="24"/>
      <x:c r="Q180" s="24"/>
      <x:c r="R180" s="24"/>
      <x:c r="S180" s="24"/>
      <x:c r="T180" s="24"/>
      <x:c r="U180" s="24"/>
      <x:c r="V180" s="24"/>
      <x:c r="W180" s="24"/>
      <x:c r="X180" s="24"/>
      <x:c r="Y180" s="24"/>
      <x:c r="Z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  <x:c r="K181" s="24"/>
      <x:c r="L181" s="24"/>
      <x:c r="M181" s="24"/>
      <x:c r="N181" s="24"/>
      <x:c r="O181" s="24"/>
      <x:c r="P181" s="24"/>
      <x:c r="Q181" s="24"/>
      <x:c r="R181" s="24"/>
      <x:c r="S181" s="24"/>
      <x:c r="T181" s="24"/>
      <x:c r="U181" s="24"/>
      <x:c r="V181" s="24"/>
      <x:c r="W181" s="24"/>
      <x:c r="X181" s="24"/>
      <x:c r="Y181" s="24"/>
      <x:c r="Z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  <x:c r="K182" s="24"/>
      <x:c r="L182" s="24"/>
      <x:c r="M182" s="24"/>
      <x:c r="N182" s="24"/>
      <x:c r="O182" s="24"/>
      <x:c r="P182" s="24"/>
      <x:c r="Q182" s="24"/>
      <x:c r="R182" s="24"/>
      <x:c r="S182" s="24"/>
      <x:c r="T182" s="24"/>
      <x:c r="U182" s="24"/>
      <x:c r="V182" s="24"/>
      <x:c r="W182" s="24"/>
      <x:c r="X182" s="24"/>
      <x:c r="Y182" s="24"/>
      <x:c r="Z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  <x:c r="K183" s="24"/>
      <x:c r="L183" s="24"/>
      <x:c r="M183" s="24"/>
      <x:c r="N183" s="24"/>
      <x:c r="O183" s="24"/>
      <x:c r="P183" s="24"/>
      <x:c r="Q183" s="24"/>
      <x:c r="R183" s="24"/>
      <x:c r="S183" s="24"/>
      <x:c r="T183" s="24"/>
      <x:c r="U183" s="24"/>
      <x:c r="V183" s="24"/>
      <x:c r="W183" s="24"/>
      <x:c r="X183" s="24"/>
      <x:c r="Y183" s="24"/>
      <x:c r="Z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  <x:c r="K184" s="24"/>
      <x:c r="L184" s="24"/>
      <x:c r="M184" s="24"/>
      <x:c r="N184" s="24"/>
      <x:c r="O184" s="24"/>
      <x:c r="P184" s="24"/>
      <x:c r="Q184" s="24"/>
      <x:c r="R184" s="24"/>
      <x:c r="S184" s="24"/>
      <x:c r="T184" s="24"/>
      <x:c r="U184" s="24"/>
      <x:c r="V184" s="24"/>
      <x:c r="W184" s="24"/>
      <x:c r="X184" s="24"/>
      <x:c r="Y184" s="24"/>
      <x:c r="Z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  <x:c r="K185" s="24"/>
      <x:c r="L185" s="24"/>
      <x:c r="M185" s="24"/>
      <x:c r="N185" s="24"/>
      <x:c r="O185" s="24"/>
      <x:c r="P185" s="24"/>
      <x:c r="Q185" s="24"/>
      <x:c r="R185" s="24"/>
      <x:c r="S185" s="24"/>
      <x:c r="T185" s="24"/>
      <x:c r="U185" s="24"/>
      <x:c r="V185" s="24"/>
      <x:c r="W185" s="24"/>
      <x:c r="X185" s="24"/>
      <x:c r="Y185" s="24"/>
      <x:c r="Z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  <x:c r="K186" s="24"/>
      <x:c r="L186" s="24"/>
      <x:c r="M186" s="24"/>
      <x:c r="N186" s="24"/>
      <x:c r="O186" s="24"/>
      <x:c r="P186" s="24"/>
      <x:c r="Q186" s="24"/>
      <x:c r="R186" s="24"/>
      <x:c r="S186" s="24"/>
      <x:c r="T186" s="24"/>
      <x:c r="U186" s="24"/>
      <x:c r="V186" s="24"/>
      <x:c r="W186" s="24"/>
      <x:c r="X186" s="24"/>
      <x:c r="Y186" s="24"/>
      <x:c r="Z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  <x:c r="K187" s="24"/>
      <x:c r="L187" s="24"/>
      <x:c r="M187" s="24"/>
      <x:c r="N187" s="24"/>
      <x:c r="O187" s="24"/>
      <x:c r="P187" s="24"/>
      <x:c r="Q187" s="24"/>
      <x:c r="R187" s="24"/>
      <x:c r="S187" s="24"/>
      <x:c r="T187" s="24"/>
      <x:c r="U187" s="24"/>
      <x:c r="V187" s="24"/>
      <x:c r="W187" s="24"/>
      <x:c r="X187" s="24"/>
      <x:c r="Y187" s="24"/>
      <x:c r="Z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  <x:c r="K188" s="24"/>
      <x:c r="L188" s="24"/>
      <x:c r="M188" s="24"/>
      <x:c r="N188" s="24"/>
      <x:c r="O188" s="24"/>
      <x:c r="P188" s="24"/>
      <x:c r="Q188" s="24"/>
      <x:c r="R188" s="24"/>
      <x:c r="S188" s="24"/>
      <x:c r="T188" s="24"/>
      <x:c r="U188" s="24"/>
      <x:c r="V188" s="24"/>
      <x:c r="W188" s="24"/>
      <x:c r="X188" s="24"/>
      <x:c r="Y188" s="24"/>
      <x:c r="Z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  <x:c r="K189" s="24"/>
      <x:c r="L189" s="24"/>
      <x:c r="M189" s="24"/>
      <x:c r="N189" s="24"/>
      <x:c r="O189" s="24"/>
      <x:c r="P189" s="24"/>
      <x:c r="Q189" s="24"/>
      <x:c r="R189" s="24"/>
      <x:c r="S189" s="24"/>
      <x:c r="T189" s="24"/>
      <x:c r="U189" s="24"/>
      <x:c r="V189" s="24"/>
      <x:c r="W189" s="24"/>
      <x:c r="X189" s="24"/>
      <x:c r="Y189" s="24"/>
      <x:c r="Z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  <x:c r="K190" s="24"/>
      <x:c r="L190" s="24"/>
      <x:c r="M190" s="24"/>
      <x:c r="N190" s="24"/>
      <x:c r="O190" s="24"/>
      <x:c r="P190" s="24"/>
      <x:c r="Q190" s="24"/>
      <x:c r="R190" s="24"/>
      <x:c r="S190" s="24"/>
      <x:c r="T190" s="24"/>
      <x:c r="U190" s="24"/>
      <x:c r="V190" s="24"/>
      <x:c r="W190" s="24"/>
      <x:c r="X190" s="24"/>
      <x:c r="Y190" s="24"/>
      <x:c r="Z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  <x:c r="K191" s="24"/>
      <x:c r="L191" s="24"/>
      <x:c r="M191" s="24"/>
      <x:c r="N191" s="24"/>
      <x:c r="O191" s="24"/>
      <x:c r="P191" s="24"/>
      <x:c r="Q191" s="24"/>
      <x:c r="R191" s="24"/>
      <x:c r="S191" s="24"/>
      <x:c r="T191" s="24"/>
      <x:c r="U191" s="24"/>
      <x:c r="V191" s="24"/>
      <x:c r="W191" s="24"/>
      <x:c r="X191" s="24"/>
      <x:c r="Y191" s="24"/>
      <x:c r="Z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  <x:c r="K192" s="24"/>
      <x:c r="L192" s="24"/>
      <x:c r="M192" s="24"/>
      <x:c r="N192" s="24"/>
      <x:c r="O192" s="24"/>
      <x:c r="P192" s="24"/>
      <x:c r="Q192" s="24"/>
      <x:c r="R192" s="24"/>
      <x:c r="S192" s="24"/>
      <x:c r="T192" s="24"/>
      <x:c r="U192" s="24"/>
      <x:c r="V192" s="24"/>
      <x:c r="W192" s="24"/>
      <x:c r="X192" s="24"/>
      <x:c r="Y192" s="24"/>
      <x:c r="Z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  <x:c r="K193" s="24"/>
      <x:c r="L193" s="24"/>
      <x:c r="M193" s="24"/>
      <x:c r="N193" s="24"/>
      <x:c r="O193" s="24"/>
      <x:c r="P193" s="24"/>
      <x:c r="Q193" s="24"/>
      <x:c r="R193" s="24"/>
      <x:c r="S193" s="24"/>
      <x:c r="T193" s="24"/>
      <x:c r="U193" s="24"/>
      <x:c r="V193" s="24"/>
      <x:c r="W193" s="24"/>
      <x:c r="X193" s="24"/>
      <x:c r="Y193" s="24"/>
      <x:c r="Z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  <x:c r="K194" s="24"/>
      <x:c r="L194" s="24"/>
      <x:c r="M194" s="24"/>
      <x:c r="N194" s="24"/>
      <x:c r="O194" s="24"/>
      <x:c r="P194" s="24"/>
      <x:c r="Q194" s="24"/>
      <x:c r="R194" s="24"/>
      <x:c r="S194" s="24"/>
      <x:c r="T194" s="24"/>
      <x:c r="U194" s="24"/>
      <x:c r="V194" s="24"/>
      <x:c r="W194" s="24"/>
      <x:c r="X194" s="24"/>
      <x:c r="Y194" s="24"/>
      <x:c r="Z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  <x:c r="K195" s="24"/>
      <x:c r="L195" s="24"/>
      <x:c r="M195" s="24"/>
      <x:c r="N195" s="24"/>
      <x:c r="O195" s="24"/>
      <x:c r="P195" s="24"/>
      <x:c r="Q195" s="24"/>
      <x:c r="R195" s="24"/>
      <x:c r="S195" s="24"/>
      <x:c r="T195" s="24"/>
      <x:c r="U195" s="24"/>
      <x:c r="V195" s="24"/>
      <x:c r="W195" s="24"/>
      <x:c r="X195" s="24"/>
      <x:c r="Y195" s="24"/>
      <x:c r="Z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  <x:c r="K196" s="24"/>
      <x:c r="L196" s="24"/>
      <x:c r="M196" s="24"/>
      <x:c r="N196" s="24"/>
      <x:c r="O196" s="24"/>
      <x:c r="P196" s="24"/>
      <x:c r="Q196" s="24"/>
      <x:c r="R196" s="24"/>
      <x:c r="S196" s="24"/>
      <x:c r="T196" s="24"/>
      <x:c r="U196" s="24"/>
      <x:c r="V196" s="24"/>
      <x:c r="W196" s="24"/>
      <x:c r="X196" s="24"/>
      <x:c r="Y196" s="24"/>
      <x:c r="Z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  <x:c r="K197" s="24"/>
      <x:c r="L197" s="24"/>
      <x:c r="M197" s="24"/>
      <x:c r="N197" s="24"/>
      <x:c r="O197" s="24"/>
      <x:c r="P197" s="24"/>
      <x:c r="Q197" s="24"/>
      <x:c r="R197" s="24"/>
      <x:c r="S197" s="24"/>
      <x:c r="T197" s="24"/>
      <x:c r="U197" s="24"/>
      <x:c r="V197" s="24"/>
      <x:c r="W197" s="24"/>
      <x:c r="X197" s="24"/>
      <x:c r="Y197" s="24"/>
      <x:c r="Z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  <x:c r="K198" s="24"/>
      <x:c r="L198" s="24"/>
      <x:c r="M198" s="24"/>
      <x:c r="N198" s="24"/>
      <x:c r="O198" s="24"/>
      <x:c r="P198" s="24"/>
      <x:c r="Q198" s="24"/>
      <x:c r="R198" s="24"/>
      <x:c r="S198" s="24"/>
      <x:c r="T198" s="24"/>
      <x:c r="U198" s="24"/>
      <x:c r="V198" s="24"/>
      <x:c r="W198" s="24"/>
      <x:c r="X198" s="24"/>
      <x:c r="Y198" s="24"/>
      <x:c r="Z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  <x:c r="K199" s="24"/>
      <x:c r="L199" s="24"/>
      <x:c r="M199" s="24"/>
      <x:c r="N199" s="24"/>
      <x:c r="O199" s="24"/>
      <x:c r="P199" s="24"/>
      <x:c r="Q199" s="24"/>
      <x:c r="R199" s="24"/>
      <x:c r="S199" s="24"/>
      <x:c r="T199" s="24"/>
      <x:c r="U199" s="24"/>
      <x:c r="V199" s="24"/>
      <x:c r="W199" s="24"/>
      <x:c r="X199" s="24"/>
      <x:c r="Y199" s="24"/>
      <x:c r="Z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  <x:c r="K200" s="24"/>
      <x:c r="L200" s="24"/>
      <x:c r="M200" s="24"/>
      <x:c r="N200" s="24"/>
      <x:c r="O200" s="24"/>
      <x:c r="P200" s="24"/>
      <x:c r="Q200" s="24"/>
      <x:c r="R200" s="24"/>
      <x:c r="S200" s="24"/>
      <x:c r="T200" s="24"/>
      <x:c r="U200" s="24"/>
      <x:c r="V200" s="24"/>
      <x:c r="W200" s="24"/>
      <x:c r="X200" s="24"/>
      <x:c r="Y200" s="24"/>
      <x:c r="Z200" s="24"/>
    </x:row>
  </x:sheetData>
  <x:mergeCells>
    <x:mergeCell ref="A1:N1"/>
  </x:mergeCells>
  <x:conditionalFormatting sqref="H3:H97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a747d5c905f4b1b"/>
  </x:tableParts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30" hidden="0" customWidth="1"/>
    <x:col min="3" max="3" width="8" hidden="0" customWidth="1"/>
    <x:col min="4" max="4" width="7" hidden="0" customWidth="1"/>
    <x:col min="5" max="5" width="33" hidden="0" customWidth="1"/>
    <x:col min="6" max="6" width="54" hidden="0" customWidth="1"/>
  </x:cols>
  <x:sheetData>
    <x:row r="1">
      <x:c r="A1" s="22" t="str">
        <x:v>TIER LIST — V2.1</x:v>
      </x:c>
      <x:c r="B1" s="22"/>
      <x:c r="C1" s="22"/>
      <x:c r="D1" s="22"/>
      <x:c r="E1" s="22"/>
      <x:c r="F1" s="22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>
      <x:c r="A2" s="24"/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  <x:c r="R2" s="24"/>
      <x:c r="S2" s="24"/>
      <x:c r="T2" s="24"/>
      <x:c r="U2" s="24"/>
      <x:c r="V2" s="24"/>
      <x:c r="W2" s="24"/>
      <x:c r="X2" s="24"/>
      <x:c r="Y2" s="24"/>
      <x:c r="Z2" s="24"/>
    </x:row>
    <x:row r="3">
      <x:c r="A3" s="25" t="str">
        <x:v>Tier</x:v>
      </x:c>
      <x:c r="B3" s="25" t="str">
        <x:v>Card</x:v>
      </x:c>
      <x:c r="C3" s="25" t="str">
        <x:v>Score</x:v>
      </x:c>
      <x:c r="D3" s="25" t="str">
        <x:v>MV</x:v>
      </x:c>
      <x:c r="E3" s="25" t="str">
        <x:v>Role</x:v>
      </x:c>
      <x:c r="F3" s="25" t="str">
        <x:v>Why</x:v>
      </x:c>
      <x:c r="G3" s="24"/>
      <x:c r="H3" s="24"/>
      <x:c r="I3" s="24"/>
      <x:c r="J3" s="24"/>
      <x:c r="K3" s="24"/>
      <x:c r="L3" s="24"/>
      <x:c r="M3" s="24"/>
      <x:c r="N3" s="24"/>
      <x:c r="O3" s="24"/>
      <x:c r="P3" s="24"/>
      <x:c r="Q3" s="24"/>
      <x:c r="R3" s="24"/>
      <x:c r="S3" s="24"/>
      <x:c r="T3" s="24"/>
      <x:c r="U3" s="24"/>
      <x:c r="V3" s="24"/>
      <x:c r="W3" s="24"/>
      <x:c r="X3" s="24"/>
      <x:c r="Y3" s="24"/>
      <x:c r="Z3" s="24"/>
    </x:row>
    <x:row r="4">
      <x:c r="A4" s="84" t="str">
        <x:v>S — LOCK</x:v>
      </x:c>
      <x:c r="B4" s="84" t="str">
        <x:v>Lynde, Cheerful Tormentor</x:v>
      </x:c>
      <x:c r="C4" s="97" t="n">
        <x:v>10</x:v>
      </x:c>
      <x:c r="D4" s="84" t="n">
        <x:v>4</x:v>
      </x:c>
      <x:c r="E4" s="84" t="str">
        <x:v>4. Curse Engines / Enchantment Support</x:v>
      </x:c>
      <x:c r="F4" s="84" t="str">
        <x:v>Core commander; recursion + two-card upkeep draw.</x:v>
      </x:c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4"/>
      <x:c r="Z4" s="24"/>
    </x:row>
    <x:row r="5">
      <x:c r="A5" s="84" t="str">
        <x:v>S — LOCK</x:v>
      </x:c>
      <x:c r="B5" s="84" t="str">
        <x:v>Curse of Misfortunes</x:v>
      </x:c>
      <x:c r="C5" s="97" t="n">
        <x:v>9.9</x:v>
      </x:c>
      <x:c r="D5" s="84" t="n">
        <x:v>5</x:v>
      </x:c>
      <x:c r="E5" s="84" t="str">
        <x:v>4. Curses — Core</x:v>
      </x:c>
      <x:c r="F5" s="84" t="str">
        <x:v>Turns one Curse into a chain of Curses from the library.</x:v>
      </x:c>
      <x:c r="G5" s="24"/>
      <x:c r="H5" s="24"/>
      <x:c r="I5" s="24"/>
      <x:c r="J5" s="24"/>
      <x:c r="K5" s="24"/>
      <x:c r="L5" s="24"/>
      <x:c r="M5" s="24"/>
      <x:c r="N5" s="24"/>
      <x:c r="O5" s="24"/>
      <x:c r="P5" s="24"/>
      <x:c r="Q5" s="24"/>
      <x:c r="R5" s="24"/>
      <x:c r="S5" s="24"/>
      <x:c r="T5" s="24"/>
      <x:c r="U5" s="24"/>
      <x:c r="V5" s="24"/>
      <x:c r="W5" s="24"/>
      <x:c r="X5" s="24"/>
      <x:c r="Y5" s="24"/>
      <x:c r="Z5" s="24"/>
    </x:row>
    <x:row r="6">
      <x:c r="A6" s="84" t="str">
        <x:v>S — LOCK</x:v>
      </x:c>
      <x:c r="B6" s="84" t="str">
        <x:v>Bitterheart Witch</x:v>
      </x:c>
      <x:c r="C6" s="97" t="n">
        <x:v>9.7</x:v>
      </x:c>
      <x:c r="D6" s="84" t="n">
        <x:v>5</x:v>
      </x:c>
      <x:c r="E6" s="84" t="str">
        <x:v>5. Curse Engines / Enchantment Support</x:v>
      </x:c>
      <x:c r="F6" s="84" t="str">
        <x:v>Tutors a Curse when it dies.</x:v>
      </x:c>
      <x:c r="G6" s="24"/>
      <x:c r="H6" s="24"/>
      <x:c r="I6" s="24"/>
      <x:c r="J6" s="24"/>
      <x:c r="K6" s="24"/>
      <x:c r="L6" s="24"/>
      <x:c r="M6" s="24"/>
      <x:c r="N6" s="24"/>
      <x:c r="O6" s="24"/>
      <x:c r="P6" s="24"/>
      <x:c r="Q6" s="24"/>
      <x:c r="R6" s="24"/>
      <x:c r="S6" s="24"/>
      <x:c r="T6" s="24"/>
      <x:c r="U6" s="24"/>
      <x:c r="V6" s="24"/>
      <x:c r="W6" s="24"/>
      <x:c r="X6" s="24"/>
      <x:c r="Y6" s="24"/>
      <x:c r="Z6" s="24"/>
    </x:row>
    <x:row r="7">
      <x:c r="A7" s="84" t="str">
        <x:v>S — LOCK</x:v>
      </x:c>
      <x:c r="B7" s="84" t="str">
        <x:v>Curse of Surveillance</x:v>
      </x:c>
      <x:c r="C7" s="97" t="n">
        <x:v>9.7</x:v>
      </x:c>
      <x:c r="D7" s="84" t="n">
        <x:v>5</x:v>
      </x:c>
      <x:c r="E7" s="84" t="str">
        <x:v>4. Curses — Core</x:v>
      </x:c>
      <x:c r="F7" s="84" t="str">
        <x:v>Scales card draw with the number of Curses attached.</x:v>
      </x:c>
      <x:c r="G7" s="24"/>
      <x:c r="H7" s="24"/>
      <x:c r="I7" s="24"/>
      <x:c r="J7" s="24"/>
      <x:c r="K7" s="24"/>
      <x:c r="L7" s="24"/>
      <x:c r="M7" s="24"/>
      <x:c r="N7" s="24"/>
      <x:c r="O7" s="24"/>
      <x:c r="P7" s="24"/>
      <x:c r="Q7" s="24"/>
      <x:c r="R7" s="24"/>
      <x:c r="S7" s="24"/>
      <x:c r="T7" s="24"/>
      <x:c r="U7" s="24"/>
      <x:c r="V7" s="24"/>
      <x:c r="W7" s="24"/>
      <x:c r="X7" s="24"/>
      <x:c r="Y7" s="24"/>
      <x:c r="Z7" s="24"/>
    </x:row>
    <x:row r="8">
      <x:c r="A8" s="84" t="str">
        <x:v>S — LOCK</x:v>
      </x:c>
      <x:c r="B8" s="84" t="str">
        <x:v>Curse of Thirst</x:v>
      </x:c>
      <x:c r="C8" s="97" t="n">
        <x:v>9.7</x:v>
      </x:c>
      <x:c r="D8" s="84" t="n">
        <x:v>5</x:v>
      </x:c>
      <x:c r="E8" s="84" t="str">
        <x:v>8. Finishers / Thematic Bombs</x:v>
      </x:c>
      <x:c r="F8" s="84" t="str">
        <x:v>Primary thematic damage finisher.</x:v>
      </x:c>
      <x:c r="G8" s="24"/>
      <x:c r="H8" s="24"/>
      <x:c r="I8" s="24"/>
      <x:c r="J8" s="24"/>
      <x:c r="K8" s="24"/>
      <x:c r="L8" s="24"/>
      <x:c r="M8" s="24"/>
      <x:c r="N8" s="24"/>
      <x:c r="O8" s="24"/>
      <x:c r="P8" s="24"/>
      <x:c r="Q8" s="24"/>
      <x:c r="R8" s="24"/>
      <x:c r="S8" s="24"/>
      <x:c r="T8" s="24"/>
      <x:c r="U8" s="24"/>
      <x:c r="V8" s="24"/>
      <x:c r="W8" s="24"/>
      <x:c r="X8" s="24"/>
      <x:c r="Y8" s="24"/>
      <x:c r="Z8" s="24"/>
    </x:row>
    <x:row r="9">
      <x:c r="A9" s="84" t="str">
        <x:v>S — LOCK</x:v>
      </x:c>
      <x:c r="B9" s="84" t="str">
        <x:v>Paradox Haze</x:v>
      </x:c>
      <x:c r="C9" s="97" t="n">
        <x:v>9.7</x:v>
      </x:c>
      <x:c r="D9" s="84" t="n">
        <x:v>4</x:v>
      </x:c>
      <x:c r="E9" s="84" t="str">
        <x:v>5. Curse Engines / Enchantment Support</x:v>
      </x:c>
      <x:c r="F9" s="84" t="str">
        <x:v>Adds a second upkeep, amplifying Lynde triggers.</x:v>
      </x:c>
      <x:c r="G9" s="24"/>
      <x:c r="H9" s="24"/>
      <x:c r="I9" s="24"/>
      <x:c r="J9" s="24"/>
      <x:c r="K9" s="24"/>
      <x:c r="L9" s="24"/>
      <x:c r="M9" s="24"/>
      <x:c r="N9" s="24"/>
      <x:c r="O9" s="24"/>
      <x:c r="P9" s="24"/>
      <x:c r="Q9" s="24"/>
      <x:c r="R9" s="24"/>
      <x:c r="S9" s="24"/>
      <x:c r="T9" s="24"/>
      <x:c r="U9" s="24"/>
      <x:c r="V9" s="24"/>
      <x:c r="W9" s="24"/>
      <x:c r="X9" s="24"/>
      <x:c r="Y9" s="24"/>
      <x:c r="Z9" s="24"/>
    </x:row>
    <x:row r="10">
      <x:c r="A10" s="84" t="str">
        <x:v>S — LOCK</x:v>
      </x:c>
      <x:c r="B10" s="84" t="str">
        <x:v>Entity Tracker</x:v>
      </x:c>
      <x:c r="C10" s="97" t="n">
        <x:v>9.5</x:v>
      </x:c>
      <x:c r="D10" s="84" t="n">
        <x:v>3</x:v>
      </x:c>
      <x:c r="E10" s="84" t="str">
        <x:v>2. Draw / Card Advantage</x:v>
      </x:c>
      <x:c r="F10" s="84" t="str">
        <x:v>Turns enchantment entries into cards.</x:v>
      </x:c>
      <x:c r="G10" s="24"/>
      <x:c r="H10" s="24"/>
      <x:c r="I10" s="24"/>
      <x:c r="J10" s="24"/>
      <x:c r="K10" s="24"/>
      <x:c r="L10" s="24"/>
      <x:c r="M10" s="24"/>
      <x:c r="N10" s="24"/>
      <x:c r="O10" s="24"/>
      <x:c r="P10" s="24"/>
      <x:c r="Q10" s="24"/>
      <x:c r="R10" s="24"/>
      <x:c r="S10" s="24"/>
      <x:c r="T10" s="24"/>
      <x:c r="U10" s="24"/>
      <x:c r="V10" s="24"/>
      <x:c r="W10" s="24"/>
      <x:c r="X10" s="24"/>
      <x:c r="Y10" s="24"/>
      <x:c r="Z10" s="24"/>
    </x:row>
    <x:row r="11">
      <x:c r="A11" s="84" t="str">
        <x:v>A — CORE</x:v>
      </x:c>
      <x:c r="B11" s="84" t="str">
        <x:v>Claws of Gix</x:v>
      </x:c>
      <x:c r="C11" s="97" t="n">
        <x:v>9.4</x:v>
      </x:c>
      <x:c r="D11" s="84" t="n">
        <x:v>1</x:v>
      </x:c>
      <x:c r="E11" s="84" t="str">
        <x:v>7. Protection / Resilience</x:v>
      </x:c>
      <x:c r="F11" s="84" t="str">
        <x:v>Sac outlet that directly feeds Lynde's recursion.</x:v>
      </x:c>
      <x:c r="G11" s="24"/>
      <x:c r="H11" s="24"/>
      <x:c r="I11" s="24"/>
      <x:c r="J11" s="24"/>
      <x:c r="K11" s="24"/>
      <x:c r="L11" s="24"/>
      <x:c r="M11" s="24"/>
      <x:c r="N11" s="24"/>
      <x:c r="O11" s="24"/>
      <x:c r="P11" s="24"/>
      <x:c r="Q11" s="24"/>
      <x:c r="R11" s="24"/>
      <x:c r="S11" s="24"/>
      <x:c r="T11" s="24"/>
      <x:c r="U11" s="24"/>
      <x:c r="V11" s="24"/>
      <x:c r="W11" s="24"/>
      <x:c r="X11" s="24"/>
      <x:c r="Y11" s="24"/>
      <x:c r="Z11" s="24"/>
    </x:row>
    <x:row r="12">
      <x:c r="A12" s="84" t="str">
        <x:v>A — CORE</x:v>
      </x:c>
      <x:c r="B12" s="84" t="str">
        <x:v>Copy Enchantment</x:v>
      </x:c>
      <x:c r="C12" s="97" t="n">
        <x:v>9.4</x:v>
      </x:c>
      <x:c r="D12" s="84" t="n">
        <x:v>3</x:v>
      </x:c>
      <x:c r="E12" s="84" t="str">
        <x:v>5. Curse Engines / Enchantment Support</x:v>
      </x:c>
      <x:c r="F12" s="84" t="str">
        <x:v>Copies the best Curse or engine already on board.</x:v>
      </x:c>
      <x:c r="G12" s="24"/>
      <x:c r="H12" s="24"/>
      <x:c r="I12" s="24"/>
      <x:c r="J12" s="24"/>
      <x:c r="K12" s="24"/>
      <x:c r="L12" s="24"/>
      <x:c r="M12" s="24"/>
      <x:c r="N12" s="24"/>
      <x:c r="O12" s="24"/>
      <x:c r="P12" s="24"/>
      <x:c r="Q12" s="24"/>
      <x:c r="R12" s="24"/>
      <x:c r="S12" s="24"/>
      <x:c r="T12" s="24"/>
      <x:c r="U12" s="24"/>
      <x:c r="V12" s="24"/>
      <x:c r="W12" s="24"/>
      <x:c r="X12" s="24"/>
      <x:c r="Y12" s="24"/>
      <x:c r="Z12" s="24"/>
    </x:row>
    <x:row r="13">
      <x:c r="A13" s="84" t="str">
        <x:v>A — CORE</x:v>
      </x:c>
      <x:c r="B13" s="84" t="str">
        <x:v>Curse of Fool's Wisdom</x:v>
      </x:c>
      <x:c r="C13" s="97" t="n">
        <x:v>9.4</x:v>
      </x:c>
      <x:c r="D13" s="84" t="n">
        <x:v>6</x:v>
      </x:c>
      <x:c r="E13" s="84" t="str">
        <x:v>4. Curses — Core</x:v>
      </x:c>
      <x:c r="F13" s="84" t="str">
        <x:v>Punishes draw and sustains your life total.</x:v>
      </x:c>
      <x:c r="G13" s="24"/>
      <x:c r="H13" s="24"/>
      <x:c r="I13" s="24"/>
      <x:c r="J13" s="24"/>
      <x:c r="K13" s="24"/>
      <x:c r="L13" s="24"/>
      <x:c r="M13" s="24"/>
      <x:c r="N13" s="24"/>
      <x:c r="O13" s="24"/>
      <x:c r="P13" s="24"/>
      <x:c r="Q13" s="24"/>
      <x:c r="R13" s="24"/>
      <x:c r="S13" s="24"/>
      <x:c r="T13" s="24"/>
      <x:c r="U13" s="24"/>
      <x:c r="V13" s="24"/>
      <x:c r="W13" s="24"/>
      <x:c r="X13" s="24"/>
      <x:c r="Y13" s="24"/>
      <x:c r="Z13" s="24"/>
    </x:row>
    <x:row r="14">
      <x:c r="A14" s="84" t="str">
        <x:v>A — CORE</x:v>
      </x:c>
      <x:c r="B14" s="84" t="str">
        <x:v>Sol Ring</x:v>
      </x:c>
      <x:c r="C14" s="97" t="n">
        <x:v>9.4</x:v>
      </x:c>
      <x:c r="D14" s="84" t="n">
        <x:v>1</x:v>
      </x:c>
      <x:c r="E14" s="84" t="str">
        <x:v>1. Ramp / Mana</x:v>
      </x:c>
      <x:c r="F14" s="84" t="str">
        <x:v>Role compression / support within the V2.1 plan.</x:v>
      </x:c>
      <x:c r="G14" s="24"/>
      <x:c r="H14" s="24"/>
      <x:c r="I14" s="24"/>
      <x:c r="J14" s="24"/>
      <x:c r="K14" s="24"/>
      <x:c r="L14" s="24"/>
      <x:c r="M14" s="24"/>
      <x:c r="N14" s="24"/>
      <x:c r="O14" s="24"/>
      <x:c r="P14" s="24"/>
      <x:c r="Q14" s="24"/>
      <x:c r="R14" s="24"/>
      <x:c r="S14" s="24"/>
      <x:c r="T14" s="24"/>
      <x:c r="U14" s="24"/>
      <x:c r="V14" s="24"/>
      <x:c r="W14" s="24"/>
      <x:c r="X14" s="24"/>
      <x:c r="Y14" s="24"/>
      <x:c r="Z14" s="24"/>
    </x:row>
    <x:row r="15">
      <x:c r="A15" s="84" t="str">
        <x:v>A — CORE</x:v>
      </x:c>
      <x:c r="B15" s="84" t="str">
        <x:v>Curse of Bloodletting</x:v>
      </x:c>
      <x:c r="C15" s="97" t="n">
        <x:v>9.3</x:v>
      </x:c>
      <x:c r="D15" s="84" t="n">
        <x:v>3</x:v>
      </x:c>
      <x:c r="E15" s="84" t="str">
        <x:v>4. Curses — Core</x:v>
      </x:c>
      <x:c r="F15" s="84" t="str">
        <x:v>Role compression / support within the V2.1 plan.</x:v>
      </x:c>
      <x:c r="G15" s="24"/>
      <x:c r="H15" s="24"/>
      <x:c r="I15" s="24"/>
      <x:c r="J15" s="24"/>
      <x:c r="K15" s="24"/>
      <x:c r="L15" s="24"/>
      <x:c r="M15" s="24"/>
      <x:c r="N15" s="24"/>
      <x:c r="O15" s="24"/>
      <x:c r="P15" s="24"/>
      <x:c r="Q15" s="24"/>
      <x:c r="R15" s="24"/>
      <x:c r="S15" s="24"/>
      <x:c r="T15" s="24"/>
      <x:c r="U15" s="24"/>
      <x:c r="V15" s="24"/>
      <x:c r="W15" s="24"/>
      <x:c r="X15" s="24"/>
      <x:c r="Y15" s="24"/>
      <x:c r="Z15" s="24"/>
    </x:row>
    <x:row r="16">
      <x:c r="A16" s="84" t="str">
        <x:v>A — CORE</x:v>
      </x:c>
      <x:c r="B16" s="84" t="str">
        <x:v>Curse of Obsession</x:v>
      </x:c>
      <x:c r="C16" s="97" t="n">
        <x:v>9.3</x:v>
      </x:c>
      <x:c r="D16" s="84" t="n">
        <x:v>6</x:v>
      </x:c>
      <x:c r="E16" s="84" t="str">
        <x:v>4. Curses — Core</x:v>
      </x:c>
      <x:c r="F16" s="84" t="str">
        <x:v>Political hand-pressure Curse.</x:v>
      </x:c>
      <x:c r="G16" s="24"/>
      <x:c r="H16" s="24"/>
      <x:c r="I16" s="24"/>
      <x:c r="J16" s="24"/>
      <x:c r="K16" s="24"/>
      <x:c r="L16" s="24"/>
      <x:c r="M16" s="24"/>
      <x:c r="N16" s="24"/>
      <x:c r="O16" s="24"/>
      <x:c r="P16" s="24"/>
      <x:c r="Q16" s="24"/>
      <x:c r="R16" s="24"/>
      <x:c r="S16" s="24"/>
      <x:c r="T16" s="24"/>
      <x:c r="U16" s="24"/>
      <x:c r="V16" s="24"/>
      <x:c r="W16" s="24"/>
      <x:c r="X16" s="24"/>
      <x:c r="Y16" s="24"/>
      <x:c r="Z16" s="24"/>
    </x:row>
    <x:row r="17">
      <x:c r="A17" s="84" t="str">
        <x:v>A — CORE</x:v>
      </x:c>
      <x:c r="B17" s="84" t="str">
        <x:v>Doomwake Giant</x:v>
      </x:c>
      <x:c r="C17" s="97" t="n">
        <x:v>9.3</x:v>
      </x:c>
      <x:c r="D17" s="84" t="n">
        <x:v>5</x:v>
      </x:c>
      <x:c r="E17" s="84" t="str">
        <x:v>3. Removal / Board Control</x:v>
      </x:c>
      <x:c r="F17" s="84" t="str">
        <x:v>Curse/enchantment entries become repeatable board control.</x:v>
      </x:c>
      <x:c r="G17" s="24"/>
      <x:c r="H17" s="24"/>
      <x:c r="I17" s="24"/>
      <x:c r="J17" s="24"/>
      <x:c r="K17" s="24"/>
      <x:c r="L17" s="24"/>
      <x:c r="M17" s="24"/>
      <x:c r="N17" s="24"/>
      <x:c r="O17" s="24"/>
      <x:c r="P17" s="24"/>
      <x:c r="Q17" s="24"/>
      <x:c r="R17" s="24"/>
      <x:c r="S17" s="24"/>
      <x:c r="T17" s="24"/>
      <x:c r="U17" s="24"/>
      <x:c r="V17" s="24"/>
      <x:c r="W17" s="24"/>
      <x:c r="X17" s="24"/>
      <x:c r="Y17" s="24"/>
      <x:c r="Z17" s="24"/>
    </x:row>
    <x:row r="18">
      <x:c r="A18" s="84" t="str">
        <x:v>A — CORE</x:v>
      </x:c>
      <x:c r="B18" s="84" t="str">
        <x:v>Nightscape Familiar</x:v>
      </x:c>
      <x:c r="C18" s="97" t="n">
        <x:v>9.3</x:v>
      </x:c>
      <x:c r="D18" s="84" t="n">
        <x:v>2</x:v>
      </x:c>
      <x:c r="E18" s="84" t="str">
        <x:v>1. Ramp / Mana</x:v>
      </x:c>
      <x:c r="F18" s="84" t="str">
        <x:v>Role compression / support within the V2.1 plan.</x:v>
      </x:c>
      <x:c r="G18" s="24"/>
      <x:c r="H18" s="24"/>
      <x:c r="I18" s="24"/>
      <x:c r="J18" s="24"/>
      <x:c r="K18" s="24"/>
      <x:c r="L18" s="24"/>
      <x:c r="M18" s="24"/>
      <x:c r="N18" s="24"/>
      <x:c r="O18" s="24"/>
      <x:c r="P18" s="24"/>
      <x:c r="Q18" s="24"/>
      <x:c r="R18" s="24"/>
      <x:c r="S18" s="24"/>
      <x:c r="T18" s="24"/>
      <x:c r="U18" s="24"/>
      <x:c r="V18" s="24"/>
      <x:c r="W18" s="24"/>
      <x:c r="X18" s="24"/>
      <x:c r="Y18" s="24"/>
      <x:c r="Z18" s="24"/>
    </x:row>
    <x:row r="19">
      <x:c r="A19" s="84" t="str">
        <x:v>A — CORE</x:v>
      </x:c>
      <x:c r="B19" s="84" t="str">
        <x:v>Cursed Mirror</x:v>
      </x:c>
      <x:c r="C19" s="97" t="n">
        <x:v>9.2</x:v>
      </x:c>
      <x:c r="D19" s="84" t="n">
        <x:v>3</x:v>
      </x:c>
      <x:c r="E19" s="84" t="str">
        <x:v>1. Ramp / Mana</x:v>
      </x:c>
      <x:c r="F19" s="84" t="str">
        <x:v>Role compression / support within the V2.1 plan.</x:v>
      </x:c>
      <x:c r="G19" s="24"/>
      <x:c r="H19" s="24"/>
      <x:c r="I19" s="24"/>
      <x:c r="J19" s="24"/>
      <x:c r="K19" s="24"/>
      <x:c r="L19" s="24"/>
      <x:c r="M19" s="24"/>
      <x:c r="N19" s="24"/>
      <x:c r="O19" s="24"/>
      <x:c r="P19" s="24"/>
      <x:c r="Q19" s="24"/>
      <x:c r="R19" s="24"/>
      <x:c r="S19" s="24"/>
      <x:c r="T19" s="24"/>
      <x:c r="U19" s="24"/>
      <x:c r="V19" s="24"/>
      <x:c r="W19" s="24"/>
      <x:c r="X19" s="24"/>
      <x:c r="Y19" s="24"/>
      <x:c r="Z19" s="24"/>
    </x:row>
    <x:row r="20">
      <x:c r="A20" s="84" t="str">
        <x:v>A — CORE</x:v>
      </x:c>
      <x:c r="B20" s="84" t="str">
        <x:v>Cyclonic Rift</x:v>
      </x:c>
      <x:c r="C20" s="97" t="n">
        <x:v>9.2</x:v>
      </x:c>
      <x:c r="D20" s="84" t="n">
        <x:v>2</x:v>
      </x:c>
      <x:c r="E20" s="84" t="str">
        <x:v>3. Removal / Board Control</x:v>
      </x:c>
      <x:c r="F20" s="84" t="str">
        <x:v>Role compression / support within the V2.1 plan.</x:v>
      </x:c>
      <x:c r="G20" s="24"/>
      <x:c r="H20" s="24"/>
      <x:c r="I20" s="24"/>
      <x:c r="J20" s="24"/>
      <x:c r="K20" s="24"/>
      <x:c r="L20" s="24"/>
      <x:c r="M20" s="24"/>
      <x:c r="N20" s="24"/>
      <x:c r="O20" s="24"/>
      <x:c r="P20" s="24"/>
      <x:c r="Q20" s="24"/>
      <x:c r="R20" s="24"/>
      <x:c r="S20" s="24"/>
      <x:c r="T20" s="24"/>
      <x:c r="U20" s="24"/>
      <x:c r="V20" s="24"/>
      <x:c r="W20" s="24"/>
      <x:c r="X20" s="24"/>
      <x:c r="Y20" s="24"/>
      <x:c r="Z20" s="24"/>
    </x:row>
    <x:row r="21">
      <x:c r="A21" s="84" t="str">
        <x:v>A — CORE</x:v>
      </x:c>
      <x:c r="B21" s="84" t="str">
        <x:v>Command Tower</x:v>
      </x:c>
      <x:c r="C21" s="97" t="n">
        <x:v>9.1</x:v>
      </x:c>
      <x:c r="D21" s="84" t="n">
        <x:v>0</x:v>
      </x:c>
      <x:c r="E21" s="84" t="str">
        <x:v>1. Ramp / Mana</x:v>
      </x:c>
      <x:c r="F21" s="84" t="str">
        <x:v>Role compression / support within the V2.1 plan.</x:v>
      </x:c>
      <x:c r="G21" s="24"/>
      <x:c r="H21" s="24"/>
      <x:c r="I21" s="24"/>
      <x:c r="J21" s="24"/>
      <x:c r="K21" s="24"/>
      <x:c r="L21" s="24"/>
      <x:c r="M21" s="24"/>
      <x:c r="N21" s="24"/>
      <x:c r="O21" s="24"/>
      <x:c r="P21" s="24"/>
      <x:c r="Q21" s="24"/>
      <x:c r="R21" s="24"/>
      <x:c r="S21" s="24"/>
      <x:c r="T21" s="24"/>
      <x:c r="U21" s="24"/>
      <x:c r="V21" s="24"/>
      <x:c r="W21" s="24"/>
      <x:c r="X21" s="24"/>
      <x:c r="Y21" s="24"/>
      <x:c r="Z21" s="24"/>
    </x:row>
    <x:row r="22">
      <x:c r="A22" s="84" t="str">
        <x:v>A — CORE</x:v>
      </x:c>
      <x:c r="B22" s="84" t="str">
        <x:v>Propaganda</x:v>
      </x:c>
      <x:c r="C22" s="97" t="n">
        <x:v>9.1</x:v>
      </x:c>
      <x:c r="D22" s="84" t="n">
        <x:v>3</x:v>
      </x:c>
      <x:c r="E22" s="84" t="str">
        <x:v>6. Politics / Punisher / Pillow Fort</x:v>
      </x:c>
      <x:c r="F22" s="84" t="str">
        <x:v>Role compression / support within the V2.1 plan.</x:v>
      </x:c>
      <x:c r="G22" s="24"/>
      <x:c r="H22" s="24"/>
      <x:c r="I22" s="24"/>
      <x:c r="J22" s="24"/>
      <x:c r="K22" s="24"/>
      <x:c r="L22" s="24"/>
      <x:c r="M22" s="24"/>
      <x:c r="N22" s="24"/>
      <x:c r="O22" s="24"/>
      <x:c r="P22" s="24"/>
      <x:c r="Q22" s="24"/>
      <x:c r="R22" s="24"/>
      <x:c r="S22" s="24"/>
      <x:c r="T22" s="24"/>
      <x:c r="U22" s="24"/>
      <x:c r="V22" s="24"/>
      <x:c r="W22" s="24"/>
      <x:c r="X22" s="24"/>
      <x:c r="Y22" s="24"/>
      <x:c r="Z22" s="24"/>
    </x:row>
    <x:row r="23">
      <x:c r="A23" s="84" t="str">
        <x:v>A — CORE</x:v>
      </x:c>
      <x:c r="B23" s="84" t="str">
        <x:v>Arcane Signet</x:v>
      </x:c>
      <x:c r="C23" s="97" t="n">
        <x:v>9</x:v>
      </x:c>
      <x:c r="D23" s="84" t="n">
        <x:v>2</x:v>
      </x:c>
      <x:c r="E23" s="84" t="str">
        <x:v>1. Ramp / Mana</x:v>
      </x:c>
      <x:c r="F23" s="84" t="str">
        <x:v>Role compression / support within the V2.1 plan.</x:v>
      </x:c>
      <x:c r="G23" s="24"/>
      <x:c r="H23" s="24"/>
      <x:c r="I23" s="24"/>
      <x:c r="J23" s="24"/>
      <x:c r="K23" s="24"/>
      <x:c r="L23" s="24"/>
      <x:c r="M23" s="24"/>
      <x:c r="N23" s="24"/>
      <x:c r="O23" s="24"/>
      <x:c r="P23" s="24"/>
      <x:c r="Q23" s="24"/>
      <x:c r="R23" s="24"/>
      <x:c r="S23" s="24"/>
      <x:c r="T23" s="24"/>
      <x:c r="U23" s="24"/>
      <x:c r="V23" s="24"/>
      <x:c r="W23" s="24"/>
      <x:c r="X23" s="24"/>
      <x:c r="Y23" s="24"/>
      <x:c r="Z23" s="24"/>
    </x:row>
    <x:row r="24">
      <x:c r="A24" s="84" t="str">
        <x:v>A — CORE</x:v>
      </x:c>
      <x:c r="B24" s="84" t="str">
        <x:v>Blasphemous Act</x:v>
      </x:c>
      <x:c r="C24" s="97" t="n">
        <x:v>9</x:v>
      </x:c>
      <x:c r="D24" s="84" t="n">
        <x:v>9</x:v>
      </x:c>
      <x:c r="E24" s="84" t="str">
        <x:v>3. Removal / Board Control</x:v>
      </x:c>
      <x:c r="F24" s="84" t="str">
        <x:v>High mana value, but frequently cheap in practice.</x:v>
      </x:c>
      <x:c r="G24" s="24"/>
      <x:c r="H24" s="24"/>
      <x:c r="I24" s="24"/>
      <x:c r="J24" s="24"/>
      <x:c r="K24" s="24"/>
      <x:c r="L24" s="24"/>
      <x:c r="M24" s="24"/>
      <x:c r="N24" s="24"/>
      <x:c r="O24" s="24"/>
      <x:c r="P24" s="24"/>
      <x:c r="Q24" s="24"/>
      <x:c r="R24" s="24"/>
      <x:c r="S24" s="24"/>
      <x:c r="T24" s="24"/>
      <x:c r="U24" s="24"/>
      <x:c r="V24" s="24"/>
      <x:c r="W24" s="24"/>
      <x:c r="X24" s="24"/>
      <x:c r="Y24" s="24"/>
      <x:c r="Z24" s="24"/>
    </x:row>
    <x:row r="25">
      <x:c r="A25" s="84" t="str">
        <x:v>A — CORE</x:v>
      </x:c>
      <x:c r="B25" s="84" t="str">
        <x:v>Curse of Death's Hold</x:v>
      </x:c>
      <x:c r="C25" s="97" t="n">
        <x:v>9</x:v>
      </x:c>
      <x:c r="D25" s="84" t="n">
        <x:v>5</x:v>
      </x:c>
      <x:c r="E25" s="84" t="str">
        <x:v>4. Curses — Core</x:v>
      </x:c>
      <x:c r="F25" s="84" t="str">
        <x:v>Role compression / support within the V2.1 plan.</x:v>
      </x:c>
      <x:c r="G25" s="24"/>
      <x:c r="H25" s="24"/>
      <x:c r="I25" s="24"/>
      <x:c r="J25" s="24"/>
      <x:c r="K25" s="24"/>
      <x:c r="L25" s="24"/>
      <x:c r="M25" s="24"/>
      <x:c r="N25" s="24"/>
      <x:c r="O25" s="24"/>
      <x:c r="P25" s="24"/>
      <x:c r="Q25" s="24"/>
      <x:c r="R25" s="24"/>
      <x:c r="S25" s="24"/>
      <x:c r="T25" s="24"/>
      <x:c r="U25" s="24"/>
      <x:c r="V25" s="24"/>
      <x:c r="W25" s="24"/>
      <x:c r="X25" s="24"/>
      <x:c r="Y25" s="24"/>
      <x:c r="Z25" s="24"/>
    </x:row>
    <x:row r="26">
      <x:c r="A26" s="84" t="str">
        <x:v>A — CORE</x:v>
      </x:c>
      <x:c r="B26" s="84" t="str">
        <x:v>Curse of Echoes</x:v>
      </x:c>
      <x:c r="C26" s="97" t="n">
        <x:v>9</x:v>
      </x:c>
      <x:c r="D26" s="84" t="n">
        <x:v>5</x:v>
      </x:c>
      <x:c r="E26" s="84" t="str">
        <x:v>4. Curses — Core</x:v>
      </x:c>
      <x:c r="F26" s="84" t="str">
        <x:v>Role compression / support within the V2.1 plan.</x:v>
      </x:c>
      <x:c r="G26" s="24"/>
      <x:c r="H26" s="24"/>
      <x:c r="I26" s="24"/>
      <x:c r="J26" s="24"/>
      <x:c r="K26" s="24"/>
      <x:c r="L26" s="24"/>
      <x:c r="M26" s="24"/>
      <x:c r="N26" s="24"/>
      <x:c r="O26" s="24"/>
      <x:c r="P26" s="24"/>
      <x:c r="Q26" s="24"/>
      <x:c r="R26" s="24"/>
      <x:c r="S26" s="24"/>
      <x:c r="T26" s="24"/>
      <x:c r="U26" s="24"/>
      <x:c r="V26" s="24"/>
      <x:c r="W26" s="24"/>
      <x:c r="X26" s="24"/>
      <x:c r="Y26" s="24"/>
      <x:c r="Z26" s="24"/>
    </x:row>
    <x:row r="27">
      <x:c r="A27" s="84" t="str">
        <x:v>A — CORE</x:v>
      </x:c>
      <x:c r="B27" s="84" t="str">
        <x:v>Curse of Unbinding</x:v>
      </x:c>
      <x:c r="C27" s="97" t="n">
        <x:v>9</x:v>
      </x:c>
      <x:c r="D27" s="84" t="n">
        <x:v>4</x:v>
      </x:c>
      <x:c r="E27" s="84" t="str">
        <x:v>4. Curses — Core</x:v>
      </x:c>
      <x:c r="F27" s="84" t="str">
        <x:v>Role compression / support within the V2.1 plan.</x:v>
      </x:c>
      <x:c r="G27" s="24"/>
      <x:c r="H27" s="24"/>
      <x:c r="I27" s="24"/>
      <x:c r="J27" s="24"/>
      <x:c r="K27" s="24"/>
      <x:c r="L27" s="24"/>
      <x:c r="M27" s="24"/>
      <x:c r="N27" s="24"/>
      <x:c r="O27" s="24"/>
      <x:c r="P27" s="24"/>
      <x:c r="Q27" s="24"/>
      <x:c r="R27" s="24"/>
      <x:c r="S27" s="24"/>
      <x:c r="T27" s="24"/>
      <x:c r="U27" s="24"/>
      <x:c r="V27" s="24"/>
      <x:c r="W27" s="24"/>
      <x:c r="X27" s="24"/>
      <x:c r="Y27" s="24"/>
      <x:c r="Z27" s="24"/>
    </x:row>
    <x:row r="28">
      <x:c r="A28" s="84" t="str">
        <x:v>A — CORE</x:v>
      </x:c>
      <x:c r="B28" s="84" t="str">
        <x:v>Despotic Scepter</x:v>
      </x:c>
      <x:c r="C28" s="97" t="n">
        <x:v>9</x:v>
      </x:c>
      <x:c r="D28" s="84" t="n">
        <x:v>3</x:v>
      </x:c>
      <x:c r="E28" s="84" t="str">
        <x:v>7. Protection / Resilience</x:v>
      </x:c>
      <x:c r="F28" s="84" t="str">
        <x:v>Role compression / support within the V2.1 plan.</x:v>
      </x:c>
      <x:c r="G28" s="24"/>
      <x:c r="H28" s="24"/>
      <x:c r="I28" s="24"/>
      <x:c r="J28" s="24"/>
      <x:c r="K28" s="24"/>
      <x:c r="L28" s="24"/>
      <x:c r="M28" s="24"/>
      <x:c r="N28" s="24"/>
      <x:c r="O28" s="24"/>
      <x:c r="P28" s="24"/>
      <x:c r="Q28" s="24"/>
      <x:c r="R28" s="24"/>
      <x:c r="S28" s="24"/>
      <x:c r="T28" s="24"/>
      <x:c r="U28" s="24"/>
      <x:c r="V28" s="24"/>
      <x:c r="W28" s="24"/>
      <x:c r="X28" s="24"/>
      <x:c r="Y28" s="24"/>
      <x:c r="Z28" s="24"/>
    </x:row>
    <x:row r="29">
      <x:c r="A29" s="84" t="str">
        <x:v>A — CORE</x:v>
      </x:c>
      <x:c r="B29" s="84" t="str">
        <x:v>Mirrormade</x:v>
      </x:c>
      <x:c r="C29" s="97" t="n">
        <x:v>9</x:v>
      </x:c>
      <x:c r="D29" s="84" t="n">
        <x:v>3</x:v>
      </x:c>
      <x:c r="E29" s="84" t="str">
        <x:v>5. Curse Engines / Enchantment Support</x:v>
      </x:c>
      <x:c r="F29" s="84" t="str">
        <x:v>Flexible copy redundancy for Curses/engines.</x:v>
      </x:c>
      <x:c r="G29" s="24"/>
      <x:c r="H29" s="24"/>
      <x:c r="I29" s="24"/>
      <x:c r="J29" s="24"/>
      <x:c r="K29" s="24"/>
      <x:c r="L29" s="24"/>
      <x:c r="M29" s="24"/>
      <x:c r="N29" s="24"/>
      <x:c r="O29" s="24"/>
      <x:c r="P29" s="24"/>
      <x:c r="Q29" s="24"/>
      <x:c r="R29" s="24"/>
      <x:c r="S29" s="24"/>
      <x:c r="T29" s="24"/>
      <x:c r="U29" s="24"/>
      <x:c r="V29" s="24"/>
      <x:c r="W29" s="24"/>
      <x:c r="X29" s="24"/>
      <x:c r="Y29" s="24"/>
      <x:c r="Z29" s="24"/>
    </x:row>
    <x:row r="30">
      <x:c r="A30" s="84" t="str">
        <x:v>A — CORE</x:v>
      </x:c>
      <x:c r="B30" s="84" t="str">
        <x:v>Morphic Pool</x:v>
      </x:c>
      <x:c r="C30" s="97" t="n">
        <x:v>9</x:v>
      </x:c>
      <x:c r="D30" s="84" t="n">
        <x:v>0</x:v>
      </x:c>
      <x:c r="E30" s="84" t="str">
        <x:v>1. Ramp / Mana</x:v>
      </x:c>
      <x:c r="F30" s="84" t="str">
        <x:v>Role compression / support within the V2.1 plan.</x:v>
      </x:c>
      <x:c r="G30" s="24"/>
      <x:c r="H30" s="24"/>
      <x:c r="I30" s="24"/>
      <x:c r="J30" s="24"/>
      <x:c r="K30" s="24"/>
      <x:c r="L30" s="24"/>
      <x:c r="M30" s="24"/>
      <x:c r="N30" s="24"/>
      <x:c r="O30" s="24"/>
      <x:c r="P30" s="24"/>
      <x:c r="Q30" s="24"/>
      <x:c r="R30" s="24"/>
      <x:c r="S30" s="24"/>
      <x:c r="T30" s="24"/>
      <x:c r="U30" s="24"/>
      <x:c r="V30" s="24"/>
      <x:c r="W30" s="24"/>
      <x:c r="X30" s="24"/>
      <x:c r="Y30" s="24"/>
      <x:c r="Z30" s="24"/>
    </x:row>
    <x:row r="31">
      <x:c r="A31" s="84" t="str">
        <x:v>A — CORE</x:v>
      </x:c>
      <x:c r="B31" s="84" t="str">
        <x:v>Training Center</x:v>
      </x:c>
      <x:c r="C31" s="97" t="n">
        <x:v>9</x:v>
      </x:c>
      <x:c r="D31" s="84" t="n">
        <x:v>0</x:v>
      </x:c>
      <x:c r="E31" s="84" t="str">
        <x:v>1. Ramp / Mana</x:v>
      </x:c>
      <x:c r="F31" s="84" t="str">
        <x:v>Role compression / support within the V2.1 plan.</x:v>
      </x:c>
      <x:c r="G31" s="24"/>
      <x:c r="H31" s="24"/>
      <x:c r="I31" s="24"/>
      <x:c r="J31" s="24"/>
      <x:c r="K31" s="24"/>
      <x:c r="L31" s="24"/>
      <x:c r="M31" s="24"/>
      <x:c r="N31" s="24"/>
      <x:c r="O31" s="24"/>
      <x:c r="P31" s="24"/>
      <x:c r="Q31" s="24"/>
      <x:c r="R31" s="24"/>
      <x:c r="S31" s="24"/>
      <x:c r="T31" s="24"/>
      <x:c r="U31" s="24"/>
      <x:c r="V31" s="24"/>
      <x:c r="W31" s="24"/>
      <x:c r="X31" s="24"/>
      <x:c r="Y31" s="24"/>
      <x:c r="Z31" s="24"/>
    </x:row>
    <x:row r="32">
      <x:c r="A32" s="84" t="str">
        <x:v>A — CORE</x:v>
      </x:c>
      <x:c r="B32" s="84" t="str">
        <x:v>Blood Crypt</x:v>
      </x:c>
      <x:c r="C32" s="97" t="n">
        <x:v>8.9</x:v>
      </x:c>
      <x:c r="D32" s="84" t="n">
        <x:v>0</x:v>
      </x:c>
      <x:c r="E32" s="84" t="str">
        <x:v>1. Ramp / Mana</x:v>
      </x:c>
      <x:c r="F32" s="84" t="str">
        <x:v>Role compression / support within the V2.1 plan.</x:v>
      </x:c>
      <x:c r="G32" s="24"/>
      <x:c r="H32" s="24"/>
      <x:c r="I32" s="24"/>
      <x:c r="J32" s="24"/>
      <x:c r="K32" s="24"/>
      <x:c r="L32" s="24"/>
      <x:c r="M32" s="24"/>
      <x:c r="N32" s="24"/>
      <x:c r="O32" s="24"/>
      <x:c r="P32" s="24"/>
      <x:c r="Q32" s="24"/>
      <x:c r="R32" s="24"/>
      <x:c r="S32" s="24"/>
      <x:c r="T32" s="24"/>
      <x:c r="U32" s="24"/>
      <x:c r="V32" s="24"/>
      <x:c r="W32" s="24"/>
      <x:c r="X32" s="24"/>
      <x:c r="Y32" s="24"/>
      <x:c r="Z32" s="24"/>
    </x:row>
    <x:row r="33">
      <x:c r="A33" s="84" t="str">
        <x:v>A — CORE</x:v>
      </x:c>
      <x:c r="B33" s="84" t="str">
        <x:v>Chaos Warp</x:v>
      </x:c>
      <x:c r="C33" s="97" t="n">
        <x:v>8.9</x:v>
      </x:c>
      <x:c r="D33" s="84" t="n">
        <x:v>3</x:v>
      </x:c>
      <x:c r="E33" s="84" t="str">
        <x:v>3. Removal / Board Control</x:v>
      </x:c>
      <x:c r="F33" s="84" t="str">
        <x:v>Role compression / support within the V2.1 plan.</x:v>
      </x:c>
      <x:c r="G33" s="24"/>
      <x:c r="H33" s="24"/>
      <x:c r="I33" s="24"/>
      <x:c r="J33" s="24"/>
      <x:c r="K33" s="24"/>
      <x:c r="L33" s="24"/>
      <x:c r="M33" s="24"/>
      <x:c r="N33" s="24"/>
      <x:c r="O33" s="24"/>
      <x:c r="P33" s="24"/>
      <x:c r="Q33" s="24"/>
      <x:c r="R33" s="24"/>
      <x:c r="S33" s="24"/>
      <x:c r="T33" s="24"/>
      <x:c r="U33" s="24"/>
      <x:c r="V33" s="24"/>
      <x:c r="W33" s="24"/>
      <x:c r="X33" s="24"/>
      <x:c r="Y33" s="24"/>
      <x:c r="Z33" s="24"/>
    </x:row>
    <x:row r="34">
      <x:c r="A34" s="84" t="str">
        <x:v>A — CORE</x:v>
      </x:c>
      <x:c r="B34" s="84" t="str">
        <x:v>Clever Impersonator</x:v>
      </x:c>
      <x:c r="C34" s="97" t="n">
        <x:v>8.9</x:v>
      </x:c>
      <x:c r="D34" s="84" t="n">
        <x:v>4</x:v>
      </x:c>
      <x:c r="E34" s="84" t="str">
        <x:v>5. Curse Engines / Enchantment Support</x:v>
      </x:c>
      <x:c r="F34" s="84" t="str">
        <x:v>Role compression / support within the V2.1 plan.</x:v>
      </x:c>
      <x:c r="G34" s="24"/>
      <x:c r="H34" s="24"/>
      <x:c r="I34" s="24"/>
      <x:c r="J34" s="24"/>
      <x:c r="K34" s="24"/>
      <x:c r="L34" s="24"/>
      <x:c r="M34" s="24"/>
      <x:c r="N34" s="24"/>
      <x:c r="O34" s="24"/>
      <x:c r="P34" s="24"/>
      <x:c r="Q34" s="24"/>
      <x:c r="R34" s="24"/>
      <x:c r="S34" s="24"/>
      <x:c r="T34" s="24"/>
      <x:c r="U34" s="24"/>
      <x:c r="V34" s="24"/>
      <x:c r="W34" s="24"/>
      <x:c r="X34" s="24"/>
      <x:c r="Y34" s="24"/>
      <x:c r="Z34" s="24"/>
    </x:row>
    <x:row r="35">
      <x:c r="A35" s="84" t="str">
        <x:v>A — CORE</x:v>
      </x:c>
      <x:c r="B35" s="84" t="str">
        <x:v>Curse of Opulence</x:v>
      </x:c>
      <x:c r="C35" s="97" t="n">
        <x:v>8.9</x:v>
      </x:c>
      <x:c r="D35" s="84" t="n">
        <x:v>1</x:v>
      </x:c>
      <x:c r="E35" s="84" t="str">
        <x:v>4. Curses — Core</x:v>
      </x:c>
      <x:c r="F35" s="84" t="str">
        <x:v>Role compression / support within the V2.1 plan.</x:v>
      </x:c>
      <x:c r="G35" s="24"/>
      <x:c r="H35" s="24"/>
      <x:c r="I35" s="24"/>
      <x:c r="J35" s="24"/>
      <x:c r="K35" s="24"/>
      <x:c r="L35" s="24"/>
      <x:c r="M35" s="24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4"/>
      <x:c r="Z35" s="24"/>
    </x:row>
    <x:row r="36">
      <x:c r="A36" s="84" t="str">
        <x:v>A — CORE</x:v>
      </x:c>
      <x:c r="B36" s="84" t="str">
        <x:v>Curse of Verbosity</x:v>
      </x:c>
      <x:c r="C36" s="97" t="n">
        <x:v>8.9</x:v>
      </x:c>
      <x:c r="D36" s="84" t="n">
        <x:v>3</x:v>
      </x:c>
      <x:c r="E36" s="84" t="str">
        <x:v>4. Curses — Core</x:v>
      </x:c>
      <x:c r="F36" s="84" t="str">
        <x:v>Role compression / support within the V2.1 plan.</x:v>
      </x:c>
      <x:c r="G36" s="24"/>
      <x:c r="H36" s="24"/>
      <x:c r="I36" s="24"/>
      <x:c r="J36" s="24"/>
      <x:c r="K36" s="24"/>
      <x:c r="L36" s="24"/>
      <x:c r="M36" s="24"/>
      <x:c r="N36" s="24"/>
      <x:c r="O36" s="24"/>
      <x:c r="P36" s="24"/>
      <x:c r="Q36" s="24"/>
      <x:c r="R36" s="24"/>
      <x:c r="S36" s="24"/>
      <x:c r="T36" s="24"/>
      <x:c r="U36" s="24"/>
      <x:c r="V36" s="24"/>
      <x:c r="W36" s="24"/>
      <x:c r="X36" s="24"/>
      <x:c r="Y36" s="24"/>
      <x:c r="Z36" s="24"/>
    </x:row>
    <x:row r="37">
      <x:c r="A37" s="84" t="str">
        <x:v>A — CORE</x:v>
      </x:c>
      <x:c r="B37" s="84" t="str">
        <x:v>Estrid's Invocation</x:v>
      </x:c>
      <x:c r="C37" s="97" t="n">
        <x:v>8.9</x:v>
      </x:c>
      <x:c r="D37" s="84" t="n">
        <x:v>3</x:v>
      </x:c>
      <x:c r="E37" s="84" t="str">
        <x:v>5. Curse Engines / Enchantment Support</x:v>
      </x:c>
      <x:c r="F37" s="84" t="str">
        <x:v>Role compression / support within the V2.1 plan.</x:v>
      </x:c>
      <x:c r="G37" s="24"/>
      <x:c r="H37" s="24"/>
      <x:c r="I37" s="24"/>
      <x:c r="J37" s="24"/>
      <x:c r="K37" s="24"/>
      <x:c r="L37" s="24"/>
      <x:c r="M37" s="24"/>
      <x:c r="N37" s="24"/>
      <x:c r="O37" s="24"/>
      <x:c r="P37" s="24"/>
      <x:c r="Q37" s="24"/>
      <x:c r="R37" s="24"/>
      <x:c r="S37" s="24"/>
      <x:c r="T37" s="24"/>
      <x:c r="U37" s="24"/>
      <x:c r="V37" s="24"/>
      <x:c r="W37" s="24"/>
      <x:c r="X37" s="24"/>
      <x:c r="Y37" s="24"/>
      <x:c r="Z37" s="24"/>
    </x:row>
    <x:row r="38">
      <x:c r="A38" s="84" t="str">
        <x:v>A — CORE</x:v>
      </x:c>
      <x:c r="B38" s="84" t="str">
        <x:v>Luxury Suite</x:v>
      </x:c>
      <x:c r="C38" s="97" t="n">
        <x:v>8.9</x:v>
      </x:c>
      <x:c r="D38" s="84" t="n">
        <x:v>0</x:v>
      </x:c>
      <x:c r="E38" s="84" t="str">
        <x:v>1. Ramp / Mana</x:v>
      </x:c>
      <x:c r="F38" s="84" t="str">
        <x:v>Role compression / support within the V2.1 plan.</x:v>
      </x:c>
      <x:c r="G38" s="24"/>
      <x:c r="H38" s="24"/>
      <x:c r="I38" s="24"/>
      <x:c r="J38" s="24"/>
      <x:c r="K38" s="24"/>
      <x:c r="L38" s="24"/>
      <x:c r="M38" s="24"/>
      <x:c r="N38" s="24"/>
      <x:c r="O38" s="24"/>
      <x:c r="P38" s="24"/>
      <x:c r="Q38" s="24"/>
      <x:c r="R38" s="24"/>
      <x:c r="S38" s="24"/>
      <x:c r="T38" s="24"/>
      <x:c r="U38" s="24"/>
      <x:c r="V38" s="24"/>
      <x:c r="W38" s="24"/>
      <x:c r="X38" s="24"/>
      <x:c r="Y38" s="24"/>
      <x:c r="Z38" s="24"/>
    </x:row>
    <x:row r="39">
      <x:c r="A39" s="84" t="str">
        <x:v>A — CORE</x:v>
      </x:c>
      <x:c r="B39" s="84" t="str">
        <x:v>Talisman of Dominance</x:v>
      </x:c>
      <x:c r="C39" s="97" t="n">
        <x:v>8.9</x:v>
      </x:c>
      <x:c r="D39" s="84" t="n">
        <x:v>2</x:v>
      </x:c>
      <x:c r="E39" s="84" t="str">
        <x:v>1. Ramp / Mana</x:v>
      </x:c>
      <x:c r="F39" s="84" t="str">
        <x:v>Role compression / support within the V2.1 plan.</x:v>
      </x:c>
      <x:c r="G39" s="24"/>
      <x:c r="H39" s="24"/>
      <x:c r="I39" s="24"/>
      <x:c r="J39" s="24"/>
      <x:c r="K39" s="24"/>
      <x:c r="L39" s="24"/>
      <x:c r="M39" s="24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4"/>
      <x:c r="Z39" s="24"/>
    </x:row>
    <x:row r="40">
      <x:c r="A40" s="84" t="str">
        <x:v>A — CORE</x:v>
      </x:c>
      <x:c r="B40" s="84" t="str">
        <x:v>Watery Grave</x:v>
      </x:c>
      <x:c r="C40" s="97" t="n">
        <x:v>8.9</x:v>
      </x:c>
      <x:c r="D40" s="84" t="n">
        <x:v>0</x:v>
      </x:c>
      <x:c r="E40" s="84" t="str">
        <x:v>1. Ramp / Mana</x:v>
      </x:c>
      <x:c r="F40" s="84" t="str">
        <x:v>Role compression / support within the V2.1 plan.</x:v>
      </x:c>
      <x:c r="G40" s="24"/>
      <x:c r="H40" s="24"/>
      <x:c r="I40" s="24"/>
      <x:c r="J40" s="24"/>
      <x:c r="K40" s="24"/>
      <x:c r="L40" s="24"/>
      <x:c r="M40" s="24"/>
      <x:c r="N40" s="24"/>
      <x:c r="O40" s="24"/>
      <x:c r="P40" s="24"/>
      <x:c r="Q40" s="24"/>
      <x:c r="R40" s="24"/>
      <x:c r="S40" s="24"/>
      <x:c r="T40" s="24"/>
      <x:c r="U40" s="24"/>
      <x:c r="V40" s="24"/>
      <x:c r="W40" s="24"/>
      <x:c r="X40" s="24"/>
      <x:c r="Y40" s="24"/>
      <x:c r="Z40" s="24"/>
    </x:row>
    <x:row r="41">
      <x:c r="A41" s="84" t="str">
        <x:v>A — CORE</x:v>
      </x:c>
      <x:c r="B41" s="84" t="str">
        <x:v>Curse of Disturbance</x:v>
      </x:c>
      <x:c r="C41" s="97" t="n">
        <x:v>8.8</x:v>
      </x:c>
      <x:c r="D41" s="84" t="n">
        <x:v>3</x:v>
      </x:c>
      <x:c r="E41" s="84" t="str">
        <x:v>4. Curses — Core</x:v>
      </x:c>
      <x:c r="F41" s="84" t="str">
        <x:v>Role compression / support within the V2.1 plan.</x:v>
      </x:c>
      <x:c r="G41" s="24"/>
      <x:c r="H41" s="24"/>
      <x:c r="I41" s="24"/>
      <x:c r="J41" s="24"/>
      <x:c r="K41" s="24"/>
      <x:c r="L41" s="24"/>
      <x:c r="M41" s="24"/>
      <x:c r="N41" s="24"/>
      <x:c r="O41" s="24"/>
      <x:c r="P41" s="24"/>
      <x:c r="Q41" s="24"/>
      <x:c r="R41" s="24"/>
      <x:c r="S41" s="24"/>
      <x:c r="T41" s="24"/>
      <x:c r="U41" s="24"/>
      <x:c r="V41" s="24"/>
      <x:c r="W41" s="24"/>
      <x:c r="X41" s="24"/>
      <x:c r="Y41" s="24"/>
      <x:c r="Z41" s="24"/>
    </x:row>
    <x:row r="42">
      <x:c r="A42" s="84" t="str">
        <x:v>A — CORE</x:v>
      </x:c>
      <x:c r="B42" s="84" t="str">
        <x:v>Curse of Shallow Graves</x:v>
      </x:c>
      <x:c r="C42" s="97" t="n">
        <x:v>8.8</x:v>
      </x:c>
      <x:c r="D42" s="84" t="n">
        <x:v>3</x:v>
      </x:c>
      <x:c r="E42" s="84" t="str">
        <x:v>4. Curses — Core</x:v>
      </x:c>
      <x:c r="F42" s="84" t="str">
        <x:v>Role compression / support within the V2.1 plan.</x:v>
      </x:c>
      <x:c r="G42" s="24"/>
      <x:c r="H42" s="24"/>
      <x:c r="I42" s="24"/>
      <x:c r="J42" s="24"/>
      <x:c r="K42" s="24"/>
      <x:c r="L42" s="24"/>
      <x:c r="M42" s="24"/>
      <x:c r="N42" s="24"/>
      <x:c r="O42" s="24"/>
      <x:c r="P42" s="24"/>
      <x:c r="Q42" s="24"/>
      <x:c r="R42" s="24"/>
      <x:c r="S42" s="24"/>
      <x:c r="T42" s="24"/>
      <x:c r="U42" s="24"/>
      <x:c r="V42" s="24"/>
      <x:c r="W42" s="24"/>
      <x:c r="X42" s="24"/>
      <x:c r="Y42" s="24"/>
      <x:c r="Z42" s="24"/>
    </x:row>
    <x:row r="43">
      <x:c r="A43" s="84" t="str">
        <x:v>A — CORE</x:v>
      </x:c>
      <x:c r="B43" s="84" t="str">
        <x:v>Curse of the Nightly Hunt</x:v>
      </x:c>
      <x:c r="C43" s="97" t="n">
        <x:v>8.8</x:v>
      </x:c>
      <x:c r="D43" s="84" t="n">
        <x:v>3</x:v>
      </x:c>
      <x:c r="E43" s="84" t="str">
        <x:v>6. Politics / Punisher / Pillow Fort</x:v>
      </x:c>
      <x:c r="F43" s="84" t="str">
        <x:v>Role compression / support within the V2.1 plan.</x:v>
      </x:c>
      <x:c r="G43" s="24"/>
      <x:c r="H43" s="24"/>
      <x:c r="I43" s="24"/>
      <x:c r="J43" s="24"/>
      <x:c r="K43" s="24"/>
      <x:c r="L43" s="24"/>
      <x:c r="M43" s="24"/>
      <x:c r="N43" s="24"/>
      <x:c r="O43" s="24"/>
      <x:c r="P43" s="24"/>
      <x:c r="Q43" s="24"/>
      <x:c r="R43" s="24"/>
      <x:c r="S43" s="24"/>
      <x:c r="T43" s="24"/>
      <x:c r="U43" s="24"/>
      <x:c r="V43" s="24"/>
      <x:c r="W43" s="24"/>
      <x:c r="X43" s="24"/>
      <x:c r="Y43" s="24"/>
      <x:c r="Z43" s="24"/>
    </x:row>
    <x:row r="44">
      <x:c r="A44" s="84" t="str">
        <x:v>A — CORE</x:v>
      </x:c>
      <x:c r="B44" s="84" t="str">
        <x:v>Exotic Orchard</x:v>
      </x:c>
      <x:c r="C44" s="97" t="n">
        <x:v>8.8</x:v>
      </x:c>
      <x:c r="D44" s="84" t="n">
        <x:v>0</x:v>
      </x:c>
      <x:c r="E44" s="84" t="str">
        <x:v>1. Ramp / Mana</x:v>
      </x:c>
      <x:c r="F44" s="84" t="str">
        <x:v>Role compression / support within the V2.1 plan.</x:v>
      </x:c>
      <x:c r="G44" s="24"/>
      <x:c r="H44" s="24"/>
      <x:c r="I44" s="24"/>
      <x:c r="J44" s="24"/>
      <x:c r="K44" s="24"/>
      <x:c r="L44" s="24"/>
      <x:c r="M44" s="24"/>
      <x:c r="N44" s="24"/>
      <x:c r="O44" s="24"/>
      <x:c r="P44" s="24"/>
      <x:c r="Q44" s="24"/>
      <x:c r="R44" s="24"/>
      <x:c r="S44" s="24"/>
      <x:c r="T44" s="24"/>
      <x:c r="U44" s="24"/>
      <x:c r="V44" s="24"/>
      <x:c r="W44" s="24"/>
      <x:c r="X44" s="24"/>
      <x:c r="Y44" s="24"/>
      <x:c r="Z44" s="24"/>
    </x:row>
    <x:row r="45">
      <x:c r="A45" s="84" t="str">
        <x:v>A — CORE</x:v>
      </x:c>
      <x:c r="B45" s="84" t="str">
        <x:v>Kazuul, Tyrant of the Cliffs</x:v>
      </x:c>
      <x:c r="C45" s="97" t="n">
        <x:v>8.8</x:v>
      </x:c>
      <x:c r="D45" s="84" t="n">
        <x:v>5</x:v>
      </x:c>
      <x:c r="E45" s="84" t="str">
        <x:v>6. Politics / Punisher / Pillow Fort</x:v>
      </x:c>
      <x:c r="F45" s="84" t="str">
        <x:v>Role compression / support within the V2.1 plan.</x:v>
      </x:c>
      <x:c r="G45" s="24"/>
      <x:c r="H45" s="24"/>
      <x:c r="I45" s="24"/>
      <x:c r="J45" s="24"/>
      <x:c r="K45" s="24"/>
      <x:c r="L45" s="24"/>
      <x:c r="M45" s="24"/>
      <x:c r="N45" s="24"/>
      <x:c r="O45" s="24"/>
      <x:c r="P45" s="24"/>
      <x:c r="Q45" s="24"/>
      <x:c r="R45" s="24"/>
      <x:c r="S45" s="24"/>
      <x:c r="T45" s="24"/>
      <x:c r="U45" s="24"/>
      <x:c r="V45" s="24"/>
      <x:c r="W45" s="24"/>
      <x:c r="X45" s="24"/>
      <x:c r="Y45" s="24"/>
      <x:c r="Z45" s="24"/>
    </x:row>
    <x:row r="46">
      <x:c r="A46" s="84" t="str">
        <x:v>A — CORE</x:v>
      </x:c>
      <x:c r="B46" s="84" t="str">
        <x:v>Notion Thief</x:v>
      </x:c>
      <x:c r="C46" s="97" t="n">
        <x:v>8.8</x:v>
      </x:c>
      <x:c r="D46" s="84" t="n">
        <x:v>4</x:v>
      </x:c>
      <x:c r="E46" s="84" t="str">
        <x:v>2. Draw / Card Advantage</x:v>
      </x:c>
      <x:c r="F46" s="84" t="str">
        <x:v>Role compression / support within the V2.1 plan.</x:v>
      </x:c>
      <x:c r="G46" s="24"/>
      <x:c r="H46" s="24"/>
      <x:c r="I46" s="24"/>
      <x:c r="J46" s="24"/>
      <x:c r="K46" s="24"/>
      <x:c r="L46" s="24"/>
      <x:c r="M46" s="24"/>
      <x:c r="N46" s="24"/>
      <x:c r="O46" s="24"/>
      <x:c r="P46" s="24"/>
      <x:c r="Q46" s="24"/>
      <x:c r="R46" s="24"/>
      <x:c r="S46" s="24"/>
      <x:c r="T46" s="24"/>
      <x:c r="U46" s="24"/>
      <x:c r="V46" s="24"/>
      <x:c r="W46" s="24"/>
      <x:c r="X46" s="24"/>
      <x:c r="Y46" s="24"/>
      <x:c r="Z46" s="24"/>
    </x:row>
    <x:row r="47">
      <x:c r="A47" s="84" t="str">
        <x:v>A — CORE</x:v>
      </x:c>
      <x:c r="B47" s="84" t="str">
        <x:v>Talisman of Creativity</x:v>
      </x:c>
      <x:c r="C47" s="97" t="n">
        <x:v>8.8</x:v>
      </x:c>
      <x:c r="D47" s="84" t="n">
        <x:v>2</x:v>
      </x:c>
      <x:c r="E47" s="84" t="str">
        <x:v>1. Ramp / Mana</x:v>
      </x:c>
      <x:c r="F47" s="84" t="str">
        <x:v>Role compression / support within the V2.1 plan.</x:v>
      </x:c>
      <x:c r="G47" s="24"/>
      <x:c r="H47" s="24"/>
      <x:c r="I47" s="24"/>
      <x:c r="J47" s="24"/>
      <x:c r="K47" s="24"/>
      <x:c r="L47" s="24"/>
      <x:c r="M47" s="24"/>
      <x:c r="N47" s="24"/>
      <x:c r="O47" s="24"/>
      <x:c r="P47" s="24"/>
      <x:c r="Q47" s="24"/>
      <x:c r="R47" s="24"/>
      <x:c r="S47" s="24"/>
      <x:c r="T47" s="24"/>
      <x:c r="U47" s="24"/>
      <x:c r="V47" s="24"/>
      <x:c r="W47" s="24"/>
      <x:c r="X47" s="24"/>
      <x:c r="Y47" s="24"/>
      <x:c r="Z47" s="24"/>
    </x:row>
    <x:row r="48">
      <x:c r="A48" s="84" t="str">
        <x:v>A — CORE</x:v>
      </x:c>
      <x:c r="B48" s="84" t="str">
        <x:v>Talisman of Indulgence</x:v>
      </x:c>
      <x:c r="C48" s="97" t="n">
        <x:v>8.8</x:v>
      </x:c>
      <x:c r="D48" s="84" t="n">
        <x:v>2</x:v>
      </x:c>
      <x:c r="E48" s="84" t="str">
        <x:v>1. Ramp / Mana</x:v>
      </x:c>
      <x:c r="F48" s="84" t="str">
        <x:v>Role compression / support within the V2.1 plan.</x:v>
      </x:c>
      <x:c r="G48" s="24"/>
      <x:c r="H48" s="24"/>
      <x:c r="I48" s="24"/>
      <x:c r="J48" s="24"/>
      <x:c r="K48" s="24"/>
      <x:c r="L48" s="24"/>
      <x:c r="M48" s="24"/>
      <x:c r="N48" s="24"/>
      <x:c r="O48" s="24"/>
      <x:c r="P48" s="24"/>
      <x:c r="Q48" s="24"/>
      <x:c r="R48" s="24"/>
      <x:c r="S48" s="24"/>
      <x:c r="T48" s="24"/>
      <x:c r="U48" s="24"/>
      <x:c r="V48" s="24"/>
      <x:c r="W48" s="24"/>
      <x:c r="X48" s="24"/>
      <x:c r="Y48" s="24"/>
      <x:c r="Z48" s="24"/>
    </x:row>
    <x:row r="49">
      <x:c r="A49" s="84" t="str">
        <x:v>A — CORE</x:v>
      </x:c>
      <x:c r="B49" s="84" t="str">
        <x:v>Xander's Lounge</x:v>
      </x:c>
      <x:c r="C49" s="97" t="n">
        <x:v>8.8</x:v>
      </x:c>
      <x:c r="D49" s="84" t="n">
        <x:v>0</x:v>
      </x:c>
      <x:c r="E49" s="84" t="str">
        <x:v>1. Ramp / Mana</x:v>
      </x:c>
      <x:c r="F49" s="84" t="str">
        <x:v>Role compression / support within the V2.1 plan.</x:v>
      </x:c>
      <x:c r="G49" s="24"/>
      <x:c r="H49" s="24"/>
      <x:c r="I49" s="24"/>
      <x:c r="J49" s="24"/>
      <x:c r="K49" s="24"/>
      <x:c r="L49" s="24"/>
      <x:c r="M49" s="24"/>
      <x:c r="N49" s="24"/>
      <x:c r="O49" s="24"/>
      <x:c r="P49" s="24"/>
      <x:c r="Q49" s="24"/>
      <x:c r="R49" s="24"/>
      <x:c r="S49" s="24"/>
      <x:c r="T49" s="24"/>
      <x:c r="U49" s="24"/>
      <x:c r="V49" s="24"/>
      <x:c r="W49" s="24"/>
      <x:c r="X49" s="24"/>
      <x:c r="Y49" s="24"/>
      <x:c r="Z49" s="24"/>
    </x:row>
    <x:row r="50">
      <x:c r="A50" s="84" t="str">
        <x:v>A — CORE</x:v>
      </x:c>
      <x:c r="B50" s="84" t="str">
        <x:v>Curse of Hospitality</x:v>
      </x:c>
      <x:c r="C50" s="97" t="n">
        <x:v>8.7</x:v>
      </x:c>
      <x:c r="D50" s="84" t="n">
        <x:v>3</x:v>
      </x:c>
      <x:c r="E50" s="84" t="str">
        <x:v>4. Curses — Core</x:v>
      </x:c>
      <x:c r="F50" s="84" t="str">
        <x:v>Role compression / support within the V2.1 plan.</x:v>
      </x:c>
      <x:c r="G50" s="24"/>
      <x:c r="H50" s="24"/>
      <x:c r="I50" s="24"/>
      <x:c r="J50" s="24"/>
      <x:c r="K50" s="24"/>
      <x:c r="L50" s="24"/>
      <x:c r="M50" s="24"/>
      <x:c r="N50" s="24"/>
      <x:c r="O50" s="24"/>
      <x:c r="P50" s="24"/>
      <x:c r="Q50" s="24"/>
      <x:c r="R50" s="24"/>
      <x:c r="S50" s="24"/>
      <x:c r="T50" s="24"/>
      <x:c r="U50" s="24"/>
      <x:c r="V50" s="24"/>
      <x:c r="W50" s="24"/>
      <x:c r="X50" s="24"/>
      <x:c r="Y50" s="24"/>
      <x:c r="Z50" s="24"/>
    </x:row>
    <x:row r="51">
      <x:c r="A51" s="84" t="str">
        <x:v>A — CORE</x:v>
      </x:c>
      <x:c r="B51" s="84" t="str">
        <x:v>Maddening Hex</x:v>
      </x:c>
      <x:c r="C51" s="97" t="n">
        <x:v>8.7</x:v>
      </x:c>
      <x:c r="D51" s="84" t="n">
        <x:v>5</x:v>
      </x:c>
      <x:c r="E51" s="84" t="str">
        <x:v>4. Curses — Core</x:v>
      </x:c>
      <x:c r="F51" s="84" t="str">
        <x:v>Role compression / support within the V2.1 plan.</x:v>
      </x:c>
      <x:c r="G51" s="24"/>
      <x:c r="H51" s="24"/>
      <x:c r="I51" s="24"/>
      <x:c r="J51" s="24"/>
      <x:c r="K51" s="24"/>
      <x:c r="L51" s="24"/>
      <x:c r="M51" s="24"/>
      <x:c r="N51" s="24"/>
      <x:c r="O51" s="24"/>
      <x:c r="P51" s="24"/>
      <x:c r="Q51" s="24"/>
      <x:c r="R51" s="24"/>
      <x:c r="S51" s="24"/>
      <x:c r="T51" s="24"/>
      <x:c r="U51" s="24"/>
      <x:c r="V51" s="24"/>
      <x:c r="W51" s="24"/>
      <x:c r="X51" s="24"/>
      <x:c r="Y51" s="24"/>
      <x:c r="Z51" s="24"/>
    </x:row>
    <x:row r="52">
      <x:c r="A52" s="84" t="str">
        <x:v>A — CORE</x:v>
      </x:c>
      <x:c r="B52" s="84" t="str">
        <x:v>Malakir Rebirth</x:v>
      </x:c>
      <x:c r="C52" s="97" t="n">
        <x:v>8.7</x:v>
      </x:c>
      <x:c r="D52" s="84" t="n">
        <x:v>3</x:v>
      </x:c>
      <x:c r="E52" s="84" t="str">
        <x:v>7. Protection / Resilience</x:v>
      </x:c>
      <x:c r="F52" s="84" t="str">
        <x:v>Role compression / support within the V2.1 plan.</x:v>
      </x:c>
      <x:c r="G52" s="24"/>
      <x:c r="H52" s="24"/>
      <x:c r="I52" s="24"/>
      <x:c r="J52" s="24"/>
      <x:c r="K52" s="24"/>
      <x:c r="L52" s="24"/>
      <x:c r="M52" s="24"/>
      <x:c r="N52" s="24"/>
      <x:c r="O52" s="24"/>
      <x:c r="P52" s="24"/>
      <x:c r="Q52" s="24"/>
      <x:c r="R52" s="24"/>
      <x:c r="S52" s="24"/>
      <x:c r="T52" s="24"/>
      <x:c r="U52" s="24"/>
      <x:c r="V52" s="24"/>
      <x:c r="W52" s="24"/>
      <x:c r="X52" s="24"/>
      <x:c r="Y52" s="24"/>
      <x:c r="Z52" s="24"/>
    </x:row>
    <x:row r="53">
      <x:c r="A53" s="84" t="str">
        <x:v>A — CORE</x:v>
      </x:c>
      <x:c r="B53" s="84" t="str">
        <x:v>Curse of Shaken Faith</x:v>
      </x:c>
      <x:c r="C53" s="97" t="n">
        <x:v>8.6</x:v>
      </x:c>
      <x:c r="D53" s="84" t="n">
        <x:v>3</x:v>
      </x:c>
      <x:c r="E53" s="84" t="str">
        <x:v>4. Curses — Core</x:v>
      </x:c>
      <x:c r="F53" s="84" t="str">
        <x:v>Role compression / support within the V2.1 plan.</x:v>
      </x:c>
      <x:c r="G53" s="24"/>
      <x:c r="H53" s="24"/>
      <x:c r="I53" s="24"/>
      <x:c r="J53" s="24"/>
      <x:c r="K53" s="24"/>
      <x:c r="L53" s="24"/>
      <x:c r="M53" s="24"/>
      <x:c r="N53" s="24"/>
      <x:c r="O53" s="24"/>
      <x:c r="P53" s="24"/>
      <x:c r="Q53" s="24"/>
      <x:c r="R53" s="24"/>
      <x:c r="S53" s="24"/>
      <x:c r="T53" s="24"/>
      <x:c r="U53" s="24"/>
      <x:c r="V53" s="24"/>
      <x:c r="W53" s="24"/>
      <x:c r="X53" s="24"/>
      <x:c r="Y53" s="24"/>
      <x:c r="Z53" s="24"/>
    </x:row>
    <x:row r="54">
      <x:c r="A54" s="84" t="str">
        <x:v>A — CORE</x:v>
      </x:c>
      <x:c r="B54" s="84" t="str">
        <x:v>Captive Audience</x:v>
      </x:c>
      <x:c r="C54" s="97" t="n">
        <x:v>8.5</x:v>
      </x:c>
      <x:c r="D54" s="84" t="n">
        <x:v>7</x:v>
      </x:c>
      <x:c r="E54" s="84" t="str">
        <x:v>6. Politics / Punisher / Pillow Fort</x:v>
      </x:c>
      <x:c r="F54" s="84" t="str">
        <x:v>Role compression / support within the V2.1 plan.</x:v>
      </x:c>
      <x:c r="G54" s="24"/>
      <x:c r="H54" s="24"/>
      <x:c r="I54" s="24"/>
      <x:c r="J54" s="24"/>
      <x:c r="K54" s="24"/>
      <x:c r="L54" s="24"/>
      <x:c r="M54" s="24"/>
      <x:c r="N54" s="24"/>
      <x:c r="O54" s="24"/>
      <x:c r="P54" s="24"/>
      <x:c r="Q54" s="24"/>
      <x:c r="R54" s="24"/>
      <x:c r="S54" s="24"/>
      <x:c r="T54" s="24"/>
      <x:c r="U54" s="24"/>
      <x:c r="V54" s="24"/>
      <x:c r="W54" s="24"/>
      <x:c r="X54" s="24"/>
      <x:c r="Y54" s="24"/>
      <x:c r="Z54" s="24"/>
    </x:row>
    <x:row r="55">
      <x:c r="A55" s="84" t="str">
        <x:v>A — CORE</x:v>
      </x:c>
      <x:c r="B55" s="84" t="str">
        <x:v>Chain Reaction</x:v>
      </x:c>
      <x:c r="C55" s="97" t="n">
        <x:v>8.5</x:v>
      </x:c>
      <x:c r="D55" s="84" t="n">
        <x:v>4</x:v>
      </x:c>
      <x:c r="E55" s="84" t="str">
        <x:v>3. Removal / Board Control</x:v>
      </x:c>
      <x:c r="F55" s="84" t="str">
        <x:v>Role compression / support within the V2.1 plan.</x:v>
      </x:c>
      <x:c r="G55" s="24"/>
      <x:c r="H55" s="24"/>
      <x:c r="I55" s="24"/>
      <x:c r="J55" s="24"/>
      <x:c r="K55" s="24"/>
      <x:c r="L55" s="24"/>
      <x:c r="M55" s="24"/>
      <x:c r="N55" s="24"/>
      <x:c r="O55" s="24"/>
      <x:c r="P55" s="24"/>
      <x:c r="Q55" s="24"/>
      <x:c r="R55" s="24"/>
      <x:c r="S55" s="24"/>
      <x:c r="T55" s="24"/>
      <x:c r="U55" s="24"/>
      <x:c r="V55" s="24"/>
      <x:c r="W55" s="24"/>
      <x:c r="X55" s="24"/>
      <x:c r="Y55" s="24"/>
      <x:c r="Z55" s="24"/>
    </x:row>
    <x:row r="56">
      <x:c r="A56" s="84" t="str">
        <x:v>A — CORE</x:v>
      </x:c>
      <x:c r="B56" s="84" t="str">
        <x:v>Cruel Reality</x:v>
      </x:c>
      <x:c r="C56" s="97" t="n">
        <x:v>8.5</x:v>
      </x:c>
      <x:c r="D56" s="84" t="n">
        <x:v>7</x:v>
      </x:c>
      <x:c r="E56" s="84" t="str">
        <x:v>4. Curses — Core</x:v>
      </x:c>
      <x:c r="F56" s="84" t="str">
        <x:v>Role compression / support within the V2.1 plan.</x:v>
      </x:c>
      <x:c r="G56" s="24"/>
      <x:c r="H56" s="24"/>
      <x:c r="I56" s="24"/>
      <x:c r="J56" s="24"/>
      <x:c r="K56" s="24"/>
      <x:c r="L56" s="24"/>
      <x:c r="M56" s="24"/>
      <x:c r="N56" s="24"/>
      <x:c r="O56" s="24"/>
      <x:c r="P56" s="24"/>
      <x:c r="Q56" s="24"/>
      <x:c r="R56" s="24"/>
      <x:c r="S56" s="24"/>
      <x:c r="T56" s="24"/>
      <x:c r="U56" s="24"/>
      <x:c r="V56" s="24"/>
      <x:c r="W56" s="24"/>
      <x:c r="X56" s="24"/>
      <x:c r="Y56" s="24"/>
      <x:c r="Z56" s="24"/>
    </x:row>
    <x:row r="57">
      <x:c r="A57" s="84" t="str">
        <x:v>A — CORE</x:v>
      </x:c>
      <x:c r="B57" s="84" t="str">
        <x:v>Curse of the Restless Dead</x:v>
      </x:c>
      <x:c r="C57" s="97" t="n">
        <x:v>8.5</x:v>
      </x:c>
      <x:c r="D57" s="84" t="n">
        <x:v>3</x:v>
      </x:c>
      <x:c r="E57" s="84" t="str">
        <x:v>4. Curses — Core</x:v>
      </x:c>
      <x:c r="F57" s="84" t="str">
        <x:v>Role compression / support within the V2.1 plan.</x:v>
      </x:c>
      <x:c r="G57" s="24"/>
      <x:c r="H57" s="24"/>
      <x:c r="I57" s="24"/>
      <x:c r="J57" s="24"/>
      <x:c r="K57" s="24"/>
      <x:c r="L57" s="24"/>
      <x:c r="M57" s="24"/>
      <x:c r="N57" s="24"/>
      <x:c r="O57" s="24"/>
      <x:c r="P57" s="24"/>
      <x:c r="Q57" s="24"/>
      <x:c r="R57" s="24"/>
      <x:c r="S57" s="24"/>
      <x:c r="T57" s="24"/>
      <x:c r="U57" s="24"/>
      <x:c r="V57" s="24"/>
      <x:c r="W57" s="24"/>
      <x:c r="X57" s="24"/>
      <x:c r="Y57" s="24"/>
      <x:c r="Z57" s="24"/>
    </x:row>
    <x:row r="58">
      <x:c r="A58" s="84" t="str">
        <x:v>A — CORE</x:v>
      </x:c>
      <x:c r="B58" s="84" t="str">
        <x:v>Curse of Vengeance</x:v>
      </x:c>
      <x:c r="C58" s="97" t="n">
        <x:v>8.5</x:v>
      </x:c>
      <x:c r="D58" s="84" t="n">
        <x:v>3</x:v>
      </x:c>
      <x:c r="E58" s="84" t="str">
        <x:v>4. Curses — Core</x:v>
      </x:c>
      <x:c r="F58" s="84" t="str">
        <x:v>Role compression / support within the V2.1 plan.</x:v>
      </x:c>
      <x:c r="G58" s="24"/>
      <x:c r="H58" s="24"/>
      <x:c r="I58" s="24"/>
      <x:c r="J58" s="24"/>
      <x:c r="K58" s="24"/>
      <x:c r="L58" s="24"/>
      <x:c r="M58" s="24"/>
      <x:c r="N58" s="24"/>
      <x:c r="O58" s="24"/>
      <x:c r="P58" s="24"/>
      <x:c r="Q58" s="24"/>
      <x:c r="R58" s="24"/>
      <x:c r="S58" s="24"/>
      <x:c r="T58" s="24"/>
      <x:c r="U58" s="24"/>
      <x:c r="V58" s="24"/>
      <x:c r="W58" s="24"/>
      <x:c r="X58" s="24"/>
      <x:c r="Y58" s="24"/>
      <x:c r="Z58" s="24"/>
    </x:row>
    <x:row r="59">
      <x:c r="A59" s="84" t="str">
        <x:v>A — CORE</x:v>
      </x:c>
      <x:c r="B59" s="84" t="str">
        <x:v>Extravagant Replication</x:v>
      </x:c>
      <x:c r="C59" s="97" t="n">
        <x:v>8.5</x:v>
      </x:c>
      <x:c r="D59" s="84" t="n">
        <x:v>5</x:v>
      </x:c>
      <x:c r="E59" s="84" t="str">
        <x:v>5. Curse Engines / Enchantment Support</x:v>
      </x:c>
      <x:c r="F59" s="84" t="str">
        <x:v>Role compression / support within the V2.1 plan.</x:v>
      </x:c>
      <x:c r="G59" s="24"/>
      <x:c r="H59" s="24"/>
      <x:c r="I59" s="24"/>
      <x:c r="J59" s="24"/>
      <x:c r="K59" s="24"/>
      <x:c r="L59" s="24"/>
      <x:c r="M59" s="24"/>
      <x:c r="N59" s="24"/>
      <x:c r="O59" s="24"/>
      <x:c r="P59" s="24"/>
      <x:c r="Q59" s="24"/>
      <x:c r="R59" s="24"/>
      <x:c r="S59" s="24"/>
      <x:c r="T59" s="24"/>
      <x:c r="U59" s="24"/>
      <x:c r="V59" s="24"/>
      <x:c r="W59" s="24"/>
      <x:c r="X59" s="24"/>
      <x:c r="Y59" s="24"/>
      <x:c r="Z59" s="24"/>
    </x:row>
    <x:row r="60">
      <x:c r="A60" s="84" t="str">
        <x:v>A — CORE</x:v>
      </x:c>
      <x:c r="B60" s="84" t="str">
        <x:v>Fabled Passage</x:v>
      </x:c>
      <x:c r="C60" s="97" t="n">
        <x:v>8.5</x:v>
      </x:c>
      <x:c r="D60" s="84" t="n">
        <x:v>0</x:v>
      </x:c>
      <x:c r="E60" s="84" t="str">
        <x:v>1. Ramp / Mana</x:v>
      </x:c>
      <x:c r="F60" s="84" t="str">
        <x:v>Role compression / support within the V2.1 plan.</x:v>
      </x:c>
      <x:c r="G60" s="24"/>
      <x:c r="H60" s="24"/>
      <x:c r="I60" s="24"/>
      <x:c r="J60" s="24"/>
      <x:c r="K60" s="24"/>
      <x:c r="L60" s="24"/>
      <x:c r="M60" s="24"/>
      <x:c r="N60" s="24"/>
      <x:c r="O60" s="24"/>
      <x:c r="P60" s="24"/>
      <x:c r="Q60" s="24"/>
      <x:c r="R60" s="24"/>
      <x:c r="S60" s="24"/>
      <x:c r="T60" s="24"/>
      <x:c r="U60" s="24"/>
      <x:c r="V60" s="24"/>
      <x:c r="W60" s="24"/>
      <x:c r="X60" s="24"/>
      <x:c r="Y60" s="24"/>
      <x:c r="Z60" s="24"/>
    </x:row>
    <x:row r="61">
      <x:c r="A61" s="84" t="str">
        <x:v>B — SUPPORT</x:v>
      </x:c>
      <x:c r="B61" s="84" t="str">
        <x:v>Accursed Witch</x:v>
      </x:c>
      <x:c r="C61" s="97" t="n">
        <x:v>8.4</x:v>
      </x:c>
      <x:c r="D61" s="84" t="n">
        <x:v>4</x:v>
      </x:c>
      <x:c r="E61" s="84" t="str">
        <x:v>4. Curses — Core</x:v>
      </x:c>
      <x:c r="F61" s="84" t="str">
        <x:v>Turns into Infectious Curse when it dies.</x:v>
      </x:c>
      <x:c r="G61" s="24"/>
      <x:c r="H61" s="24"/>
      <x:c r="I61" s="24"/>
      <x:c r="J61" s="24"/>
      <x:c r="K61" s="24"/>
      <x:c r="L61" s="24"/>
      <x:c r="M61" s="24"/>
      <x:c r="N61" s="24"/>
      <x:c r="O61" s="24"/>
      <x:c r="P61" s="24"/>
      <x:c r="Q61" s="24"/>
      <x:c r="R61" s="24"/>
      <x:c r="S61" s="24"/>
      <x:c r="T61" s="24"/>
      <x:c r="U61" s="24"/>
      <x:c r="V61" s="24"/>
      <x:c r="W61" s="24"/>
      <x:c r="X61" s="24"/>
      <x:c r="Y61" s="24"/>
      <x:c r="Z61" s="24"/>
    </x:row>
    <x:row r="62">
      <x:c r="A62" s="84" t="str">
        <x:v>B — SUPPORT</x:v>
      </x:c>
      <x:c r="B62" s="84" t="str">
        <x:v>Drowned Catacomb</x:v>
      </x:c>
      <x:c r="C62" s="97" t="n">
        <x:v>8.4</x:v>
      </x:c>
      <x:c r="D62" s="84" t="n">
        <x:v>0</x:v>
      </x:c>
      <x:c r="E62" s="84" t="str">
        <x:v>1. Ramp / Mana</x:v>
      </x:c>
      <x:c r="F62" s="84" t="str">
        <x:v>Role compression / support within the V2.1 plan.</x:v>
      </x:c>
      <x:c r="G62" s="24"/>
      <x:c r="H62" s="24"/>
      <x:c r="I62" s="24"/>
      <x:c r="J62" s="24"/>
      <x:c r="K62" s="24"/>
      <x:c r="L62" s="24"/>
      <x:c r="M62" s="24"/>
      <x:c r="N62" s="24"/>
      <x:c r="O62" s="24"/>
      <x:c r="P62" s="24"/>
      <x:c r="Q62" s="24"/>
      <x:c r="R62" s="24"/>
      <x:c r="S62" s="24"/>
      <x:c r="T62" s="24"/>
      <x:c r="U62" s="24"/>
      <x:c r="V62" s="24"/>
      <x:c r="W62" s="24"/>
      <x:c r="X62" s="24"/>
      <x:c r="Y62" s="24"/>
      <x:c r="Z62" s="24"/>
    </x:row>
    <x:row r="63">
      <x:c r="A63" s="84" t="str">
        <x:v>B — SUPPORT</x:v>
      </x:c>
      <x:c r="B63" s="84" t="str">
        <x:v>Feed the Swarm</x:v>
      </x:c>
      <x:c r="C63" s="97" t="n">
        <x:v>8.4</x:v>
      </x:c>
      <x:c r="D63" s="84" t="n">
        <x:v>2</x:v>
      </x:c>
      <x:c r="E63" s="84" t="str">
        <x:v>3. Removal / Board Control</x:v>
      </x:c>
      <x:c r="F63" s="84" t="str">
        <x:v>Role compression / support within the V2.1 plan.</x:v>
      </x:c>
      <x:c r="G63" s="24"/>
      <x:c r="H63" s="24"/>
      <x:c r="I63" s="24"/>
      <x:c r="J63" s="24"/>
      <x:c r="K63" s="24"/>
      <x:c r="L63" s="24"/>
      <x:c r="M63" s="24"/>
      <x:c r="N63" s="24"/>
      <x:c r="O63" s="24"/>
      <x:c r="P63" s="24"/>
      <x:c r="Q63" s="24"/>
      <x:c r="R63" s="24"/>
      <x:c r="S63" s="24"/>
      <x:c r="T63" s="24"/>
      <x:c r="U63" s="24"/>
      <x:c r="V63" s="24"/>
      <x:c r="W63" s="24"/>
      <x:c r="X63" s="24"/>
      <x:c r="Y63" s="24"/>
      <x:c r="Z63" s="24"/>
    </x:row>
    <x:row r="64">
      <x:c r="A64" s="84" t="str">
        <x:v>B — SUPPORT</x:v>
      </x:c>
      <x:c r="B64" s="84" t="str">
        <x:v>Protean Thaumaturge</x:v>
      </x:c>
      <x:c r="C64" s="97" t="n">
        <x:v>8.4</x:v>
      </x:c>
      <x:c r="D64" s="84" t="n">
        <x:v>3</x:v>
      </x:c>
      <x:c r="E64" s="84" t="str">
        <x:v>5. Curse Engines / Enchantment Support</x:v>
      </x:c>
      <x:c r="F64" s="84" t="str">
        <x:v>Role compression / support within the V2.1 plan.</x:v>
      </x:c>
      <x:c r="G64" s="24"/>
      <x:c r="H64" s="24"/>
      <x:c r="I64" s="24"/>
      <x:c r="J64" s="24"/>
      <x:c r="K64" s="24"/>
      <x:c r="L64" s="24"/>
      <x:c r="M64" s="24"/>
      <x:c r="N64" s="24"/>
      <x:c r="O64" s="24"/>
      <x:c r="P64" s="24"/>
      <x:c r="Q64" s="24"/>
      <x:c r="R64" s="24"/>
      <x:c r="S64" s="24"/>
      <x:c r="T64" s="24"/>
      <x:c r="U64" s="24"/>
      <x:c r="V64" s="24"/>
      <x:c r="W64" s="24"/>
      <x:c r="X64" s="24"/>
      <x:c r="Y64" s="24"/>
      <x:c r="Z64" s="24"/>
    </x:row>
    <x:row r="65">
      <x:c r="A65" s="84" t="str">
        <x:v>B — SUPPORT</x:v>
      </x:c>
      <x:c r="B65" s="84" t="str">
        <x:v>Torment of Scarabs</x:v>
      </x:c>
      <x:c r="C65" s="97" t="n">
        <x:v>8.4</x:v>
      </x:c>
      <x:c r="D65" s="84" t="n">
        <x:v>4</x:v>
      </x:c>
      <x:c r="E65" s="84" t="str">
        <x:v>4. Curses — Core</x:v>
      </x:c>
      <x:c r="F65" s="84" t="str">
        <x:v>Role compression / support within the V2.1 plan.</x:v>
      </x:c>
      <x:c r="G65" s="24"/>
      <x:c r="H65" s="24"/>
      <x:c r="I65" s="24"/>
      <x:c r="J65" s="24"/>
      <x:c r="K65" s="24"/>
      <x:c r="L65" s="24"/>
      <x:c r="M65" s="24"/>
      <x:c r="N65" s="24"/>
      <x:c r="O65" s="24"/>
      <x:c r="P65" s="24"/>
      <x:c r="Q65" s="24"/>
      <x:c r="R65" s="24"/>
      <x:c r="S65" s="24"/>
      <x:c r="T65" s="24"/>
      <x:c r="U65" s="24"/>
      <x:c r="V65" s="24"/>
      <x:c r="W65" s="24"/>
      <x:c r="X65" s="24"/>
      <x:c r="Y65" s="24"/>
      <x:c r="Z65" s="24"/>
    </x:row>
    <x:row r="66">
      <x:c r="A66" s="84" t="str">
        <x:v>B — SUPPORT</x:v>
      </x:c>
      <x:c r="B66" s="84" t="str">
        <x:v>Reality Shift</x:v>
      </x:c>
      <x:c r="C66" s="97" t="n">
        <x:v>8.3</x:v>
      </x:c>
      <x:c r="D66" s="84" t="n">
        <x:v>2</x:v>
      </x:c>
      <x:c r="E66" s="84" t="str">
        <x:v>3. Removal / Board Control</x:v>
      </x:c>
      <x:c r="F66" s="84" t="str">
        <x:v>Role compression / support within the V2.1 plan.</x:v>
      </x:c>
      <x:c r="G66" s="24"/>
      <x:c r="H66" s="24"/>
      <x:c r="I66" s="24"/>
      <x:c r="J66" s="24"/>
      <x:c r="K66" s="24"/>
      <x:c r="L66" s="24"/>
      <x:c r="M66" s="24"/>
      <x:c r="N66" s="24"/>
      <x:c r="O66" s="24"/>
      <x:c r="P66" s="24"/>
      <x:c r="Q66" s="24"/>
      <x:c r="R66" s="24"/>
      <x:c r="S66" s="24"/>
      <x:c r="T66" s="24"/>
      <x:c r="U66" s="24"/>
      <x:c r="V66" s="24"/>
      <x:c r="W66" s="24"/>
      <x:c r="X66" s="24"/>
      <x:c r="Y66" s="24"/>
      <x:c r="Z66" s="24"/>
    </x:row>
    <x:row r="67">
      <x:c r="A67" s="84" t="str">
        <x:v>B — SUPPORT</x:v>
      </x:c>
      <x:c r="B67" s="84" t="str">
        <x:v>Stormcarved Coast</x:v>
      </x:c>
      <x:c r="C67" s="97" t="n">
        <x:v>8.3</x:v>
      </x:c>
      <x:c r="D67" s="84" t="n">
        <x:v>0</x:v>
      </x:c>
      <x:c r="E67" s="84" t="str">
        <x:v>1. Ramp / Mana</x:v>
      </x:c>
      <x:c r="F67" s="84" t="str">
        <x:v>Role compression / support within the V2.1 plan.</x:v>
      </x:c>
      <x:c r="G67" s="24"/>
      <x:c r="H67" s="24"/>
      <x:c r="I67" s="24"/>
      <x:c r="J67" s="24"/>
      <x:c r="K67" s="24"/>
      <x:c r="L67" s="24"/>
      <x:c r="M67" s="24"/>
      <x:c r="N67" s="24"/>
      <x:c r="O67" s="24"/>
      <x:c r="P67" s="24"/>
      <x:c r="Q67" s="24"/>
      <x:c r="R67" s="24"/>
      <x:c r="S67" s="24"/>
      <x:c r="T67" s="24"/>
      <x:c r="U67" s="24"/>
      <x:c r="V67" s="24"/>
      <x:c r="W67" s="24"/>
      <x:c r="X67" s="24"/>
      <x:c r="Y67" s="24"/>
      <x:c r="Z67" s="24"/>
    </x:row>
    <x:row r="68">
      <x:c r="A68" s="84" t="str">
        <x:v>B — SUPPORT</x:v>
      </x:c>
      <x:c r="B68" s="84" t="str">
        <x:v>Sulfur Falls</x:v>
      </x:c>
      <x:c r="C68" s="97" t="n">
        <x:v>8.3</x:v>
      </x:c>
      <x:c r="D68" s="84" t="n">
        <x:v>0</x:v>
      </x:c>
      <x:c r="E68" s="84" t="str">
        <x:v>1. Ramp / Mana</x:v>
      </x:c>
      <x:c r="F68" s="84" t="str">
        <x:v>Role compression / support within the V2.1 plan.</x:v>
      </x:c>
      <x:c r="G68" s="24"/>
      <x:c r="H68" s="24"/>
      <x:c r="I68" s="24"/>
      <x:c r="J68" s="24"/>
      <x:c r="K68" s="24"/>
      <x:c r="L68" s="24"/>
      <x:c r="M68" s="24"/>
      <x:c r="N68" s="24"/>
      <x:c r="O68" s="24"/>
      <x:c r="P68" s="24"/>
      <x:c r="Q68" s="24"/>
      <x:c r="R68" s="24"/>
      <x:c r="S68" s="24"/>
      <x:c r="T68" s="24"/>
      <x:c r="U68" s="24"/>
      <x:c r="V68" s="24"/>
      <x:c r="W68" s="24"/>
      <x:c r="X68" s="24"/>
      <x:c r="Y68" s="24"/>
      <x:c r="Z68" s="24"/>
    </x:row>
    <x:row r="69">
      <x:c r="A69" s="84" t="str">
        <x:v>B — SUPPORT</x:v>
      </x:c>
      <x:c r="B69" s="84" t="str">
        <x:v>Blightstep Pathway</x:v>
      </x:c>
      <x:c r="C69" s="97" t="n">
        <x:v>8.2</x:v>
      </x:c>
      <x:c r="D69" s="84" t="n">
        <x:v>0</x:v>
      </x:c>
      <x:c r="E69" s="84" t="str">
        <x:v>1. Ramp / Mana</x:v>
      </x:c>
      <x:c r="F69" s="84" t="str">
        <x:v>Role compression / support within the V2.1 plan.</x:v>
      </x:c>
      <x:c r="G69" s="24"/>
      <x:c r="H69" s="24"/>
      <x:c r="I69" s="24"/>
      <x:c r="J69" s="24"/>
      <x:c r="K69" s="24"/>
      <x:c r="L69" s="24"/>
      <x:c r="M69" s="24"/>
      <x:c r="N69" s="24"/>
      <x:c r="O69" s="24"/>
      <x:c r="P69" s="24"/>
      <x:c r="Q69" s="24"/>
      <x:c r="R69" s="24"/>
      <x:c r="S69" s="24"/>
      <x:c r="T69" s="24"/>
      <x:c r="U69" s="24"/>
      <x:c r="V69" s="24"/>
      <x:c r="W69" s="24"/>
      <x:c r="X69" s="24"/>
      <x:c r="Y69" s="24"/>
      <x:c r="Z69" s="24"/>
    </x:row>
    <x:row r="70">
      <x:c r="A70" s="84" t="str">
        <x:v>B — SUPPORT</x:v>
      </x:c>
      <x:c r="B70" s="84" t="str">
        <x:v>Clearwater Pathway</x:v>
      </x:c>
      <x:c r="C70" s="97" t="n">
        <x:v>8.2</x:v>
      </x:c>
      <x:c r="D70" s="84" t="n">
        <x:v>0</x:v>
      </x:c>
      <x:c r="E70" s="84" t="str">
        <x:v>1. Ramp / Mana</x:v>
      </x:c>
      <x:c r="F70" s="84" t="str">
        <x:v>Role compression / support within the V2.1 plan.</x:v>
      </x:c>
      <x:c r="G70" s="24"/>
      <x:c r="H70" s="24"/>
      <x:c r="I70" s="24"/>
      <x:c r="J70" s="24"/>
      <x:c r="K70" s="24"/>
      <x:c r="L70" s="24"/>
      <x:c r="M70" s="24"/>
      <x:c r="N70" s="24"/>
      <x:c r="O70" s="24"/>
      <x:c r="P70" s="24"/>
      <x:c r="Q70" s="24"/>
      <x:c r="R70" s="24"/>
      <x:c r="S70" s="24"/>
      <x:c r="T70" s="24"/>
      <x:c r="U70" s="24"/>
      <x:c r="V70" s="24"/>
      <x:c r="W70" s="24"/>
      <x:c r="X70" s="24"/>
      <x:c r="Y70" s="24"/>
      <x:c r="Z70" s="24"/>
    </x:row>
    <x:row r="71">
      <x:c r="A71" s="84" t="str">
        <x:v>B — SUPPORT</x:v>
      </x:c>
      <x:c r="B71" s="84" t="str">
        <x:v>Crystal Chimes</x:v>
      </x:c>
      <x:c r="C71" s="97" t="n">
        <x:v>8.2</x:v>
      </x:c>
      <x:c r="D71" s="84" t="n">
        <x:v>4</x:v>
      </x:c>
      <x:c r="E71" s="84" t="str">
        <x:v>7. Protection / Resilience</x:v>
      </x:c>
      <x:c r="F71" s="84" t="str">
        <x:v>Role compression / support within the V2.1 plan.</x:v>
      </x:c>
      <x:c r="G71" s="24"/>
      <x:c r="H71" s="24"/>
      <x:c r="I71" s="24"/>
      <x:c r="J71" s="24"/>
      <x:c r="K71" s="24"/>
      <x:c r="L71" s="24"/>
      <x:c r="M71" s="24"/>
      <x:c r="N71" s="24"/>
      <x:c r="O71" s="24"/>
      <x:c r="P71" s="24"/>
      <x:c r="Q71" s="24"/>
      <x:c r="R71" s="24"/>
      <x:c r="S71" s="24"/>
      <x:c r="T71" s="24"/>
      <x:c r="U71" s="24"/>
      <x:c r="V71" s="24"/>
      <x:c r="W71" s="24"/>
      <x:c r="X71" s="24"/>
      <x:c r="Y71" s="24"/>
      <x:c r="Z71" s="24"/>
    </x:row>
    <x:row r="72">
      <x:c r="A72" s="84" t="str">
        <x:v>B — SUPPORT</x:v>
      </x:c>
      <x:c r="B72" s="84" t="str">
        <x:v>Last One Standing</x:v>
      </x:c>
      <x:c r="C72" s="97" t="n">
        <x:v>8.2</x:v>
      </x:c>
      <x:c r="D72" s="84" t="n">
        <x:v>3</x:v>
      </x:c>
      <x:c r="E72" s="84" t="str">
        <x:v>3. Removal / Board Control</x:v>
      </x:c>
      <x:c r="F72" s="84" t="str">
        <x:v>Role compression / support within the V2.1 plan.</x:v>
      </x:c>
      <x:c r="G72" s="24"/>
      <x:c r="H72" s="24"/>
      <x:c r="I72" s="24"/>
      <x:c r="J72" s="24"/>
      <x:c r="K72" s="24"/>
      <x:c r="L72" s="24"/>
      <x:c r="M72" s="24"/>
      <x:c r="N72" s="24"/>
      <x:c r="O72" s="24"/>
      <x:c r="P72" s="24"/>
      <x:c r="Q72" s="24"/>
      <x:c r="R72" s="24"/>
      <x:c r="S72" s="24"/>
      <x:c r="T72" s="24"/>
      <x:c r="U72" s="24"/>
      <x:c r="V72" s="24"/>
      <x:c r="W72" s="24"/>
      <x:c r="X72" s="24"/>
      <x:c r="Y72" s="24"/>
      <x:c r="Z72" s="24"/>
    </x:row>
    <x:row r="73">
      <x:c r="A73" s="84" t="str">
        <x:v>B — SUPPORT</x:v>
      </x:c>
      <x:c r="B73" s="84" t="str">
        <x:v>Midnight Clock</x:v>
      </x:c>
      <x:c r="C73" s="97" t="n">
        <x:v>8.2</x:v>
      </x:c>
      <x:c r="D73" s="84" t="n">
        <x:v>3</x:v>
      </x:c>
      <x:c r="E73" s="84" t="str">
        <x:v>1. Ramp / Mana</x:v>
      </x:c>
      <x:c r="F73" s="84" t="str">
        <x:v>Role compression / support within the V2.1 plan.</x:v>
      </x:c>
      <x:c r="G73" s="24"/>
      <x:c r="H73" s="24"/>
      <x:c r="I73" s="24"/>
      <x:c r="J73" s="24"/>
      <x:c r="K73" s="24"/>
      <x:c r="L73" s="24"/>
      <x:c r="M73" s="24"/>
      <x:c r="N73" s="24"/>
      <x:c r="O73" s="24"/>
      <x:c r="P73" s="24"/>
      <x:c r="Q73" s="24"/>
      <x:c r="R73" s="24"/>
      <x:c r="S73" s="24"/>
      <x:c r="T73" s="24"/>
      <x:c r="U73" s="24"/>
      <x:c r="V73" s="24"/>
      <x:c r="W73" s="24"/>
      <x:c r="X73" s="24"/>
      <x:c r="Y73" s="24"/>
      <x:c r="Z73" s="24"/>
    </x:row>
    <x:row r="74">
      <x:c r="A74" s="84" t="str">
        <x:v>B — SUPPORT</x:v>
      </x:c>
      <x:c r="B74" s="84" t="str">
        <x:v>Riverglide Pathway</x:v>
      </x:c>
      <x:c r="C74" s="97" t="n">
        <x:v>8.2</x:v>
      </x:c>
      <x:c r="D74" s="84" t="n">
        <x:v>0</x:v>
      </x:c>
      <x:c r="E74" s="84" t="str">
        <x:v>1. Ramp / Mana</x:v>
      </x:c>
      <x:c r="F74" s="84" t="str">
        <x:v>Role compression / support within the V2.1 plan.</x:v>
      </x:c>
      <x:c r="G74" s="24"/>
      <x:c r="H74" s="24"/>
      <x:c r="I74" s="24"/>
      <x:c r="J74" s="24"/>
      <x:c r="K74" s="24"/>
      <x:c r="L74" s="24"/>
      <x:c r="M74" s="24"/>
      <x:c r="N74" s="24"/>
      <x:c r="O74" s="24"/>
      <x:c r="P74" s="24"/>
      <x:c r="Q74" s="24"/>
      <x:c r="R74" s="24"/>
      <x:c r="S74" s="24"/>
      <x:c r="T74" s="24"/>
      <x:c r="U74" s="24"/>
      <x:c r="V74" s="24"/>
      <x:c r="W74" s="24"/>
      <x:c r="X74" s="24"/>
      <x:c r="Y74" s="24"/>
      <x:c r="Z74" s="24"/>
    </x:row>
    <x:row r="75">
      <x:c r="A75" s="84" t="str">
        <x:v>B — SUPPORT</x:v>
      </x:c>
      <x:c r="B75" s="84" t="str">
        <x:v>Windfall</x:v>
      </x:c>
      <x:c r="C75" s="97" t="n">
        <x:v>8.2</x:v>
      </x:c>
      <x:c r="D75" s="84" t="n">
        <x:v>3</x:v>
      </x:c>
      <x:c r="E75" s="84" t="str">
        <x:v>2. Draw / Card Advantage</x:v>
      </x:c>
      <x:c r="F75" s="84" t="str">
        <x:v>Role compression / support within the V2.1 plan.</x:v>
      </x:c>
      <x:c r="G75" s="24"/>
      <x:c r="H75" s="24"/>
      <x:c r="I75" s="24"/>
      <x:c r="J75" s="24"/>
      <x:c r="K75" s="24"/>
      <x:c r="L75" s="24"/>
      <x:c r="M75" s="24"/>
      <x:c r="N75" s="24"/>
      <x:c r="O75" s="24"/>
      <x:c r="P75" s="24"/>
      <x:c r="Q75" s="24"/>
      <x:c r="R75" s="24"/>
      <x:c r="S75" s="24"/>
      <x:c r="T75" s="24"/>
      <x:c r="U75" s="24"/>
      <x:c r="V75" s="24"/>
      <x:c r="W75" s="24"/>
      <x:c r="X75" s="24"/>
      <x:c r="Y75" s="24"/>
      <x:c r="Z75" s="24"/>
    </x:row>
    <x:row r="76">
      <x:c r="A76" s="84" t="str">
        <x:v>B — SUPPORT</x:v>
      </x:c>
      <x:c r="B76" s="84" t="str">
        <x:v>Baleful Strix</x:v>
      </x:c>
      <x:c r="C76" s="97" t="n">
        <x:v>8.1</x:v>
      </x:c>
      <x:c r="D76" s="84" t="n">
        <x:v>2</x:v>
      </x:c>
      <x:c r="E76" s="84" t="str">
        <x:v>2. Draw / Card Advantage</x:v>
      </x:c>
      <x:c r="F76" s="84" t="str">
        <x:v>Role compression / support within the V2.1 plan.</x:v>
      </x:c>
      <x:c r="G76" s="24"/>
      <x:c r="H76" s="24"/>
      <x:c r="I76" s="24"/>
      <x:c r="J76" s="24"/>
      <x:c r="K76" s="24"/>
      <x:c r="L76" s="24"/>
      <x:c r="M76" s="24"/>
      <x:c r="N76" s="24"/>
      <x:c r="O76" s="24"/>
      <x:c r="P76" s="24"/>
      <x:c r="Q76" s="24"/>
      <x:c r="R76" s="24"/>
      <x:c r="S76" s="24"/>
      <x:c r="T76" s="24"/>
      <x:c r="U76" s="24"/>
      <x:c r="V76" s="24"/>
      <x:c r="W76" s="24"/>
      <x:c r="X76" s="24"/>
      <x:c r="Y76" s="24"/>
      <x:c r="Z76" s="24"/>
    </x:row>
    <x:row r="77">
      <x:c r="A77" s="84" t="str">
        <x:v>B — SUPPORT</x:v>
      </x:c>
      <x:c r="B77" s="84" t="str">
        <x:v>Bojuka Bog</x:v>
      </x:c>
      <x:c r="C77" s="97" t="n">
        <x:v>8</x:v>
      </x:c>
      <x:c r="D77" s="84" t="n">
        <x:v>0</x:v>
      </x:c>
      <x:c r="E77" s="84" t="str">
        <x:v>7. Protection / Resilience</x:v>
      </x:c>
      <x:c r="F77" s="84" t="str">
        <x:v>Role compression / support within the V2.1 plan.</x:v>
      </x:c>
      <x:c r="G77" s="24"/>
      <x:c r="H77" s="24"/>
      <x:c r="I77" s="24"/>
      <x:c r="J77" s="24"/>
      <x:c r="K77" s="24"/>
      <x:c r="L77" s="24"/>
      <x:c r="M77" s="24"/>
      <x:c r="N77" s="24"/>
      <x:c r="O77" s="24"/>
      <x:c r="P77" s="24"/>
      <x:c r="Q77" s="24"/>
      <x:c r="R77" s="24"/>
      <x:c r="S77" s="24"/>
      <x:c r="T77" s="24"/>
      <x:c r="U77" s="24"/>
      <x:c r="V77" s="24"/>
      <x:c r="W77" s="24"/>
      <x:c r="X77" s="24"/>
      <x:c r="Y77" s="24"/>
      <x:c r="Z77" s="24"/>
    </x:row>
    <x:row r="78">
      <x:c r="A78" s="84" t="str">
        <x:v>B — SUPPORT</x:v>
      </x:c>
      <x:c r="B78" s="84" t="str">
        <x:v>Crumbling Necropolis</x:v>
      </x:c>
      <x:c r="C78" s="97" t="n">
        <x:v>8</x:v>
      </x:c>
      <x:c r="D78" s="84" t="n">
        <x:v>0</x:v>
      </x:c>
      <x:c r="E78" s="84" t="str">
        <x:v>1. Ramp / Mana</x:v>
      </x:c>
      <x:c r="F78" s="84" t="str">
        <x:v>Role compression / support within the V2.1 plan.</x:v>
      </x:c>
      <x:c r="G78" s="24"/>
      <x:c r="H78" s="24"/>
      <x:c r="I78" s="24"/>
      <x:c r="J78" s="24"/>
      <x:c r="K78" s="24"/>
      <x:c r="L78" s="24"/>
      <x:c r="M78" s="24"/>
      <x:c r="N78" s="24"/>
      <x:c r="O78" s="24"/>
      <x:c r="P78" s="24"/>
      <x:c r="Q78" s="24"/>
      <x:c r="R78" s="24"/>
      <x:c r="S78" s="24"/>
      <x:c r="T78" s="24"/>
      <x:c r="U78" s="24"/>
      <x:c r="V78" s="24"/>
      <x:c r="W78" s="24"/>
      <x:c r="X78" s="24"/>
      <x:c r="Y78" s="24"/>
      <x:c r="Z78" s="24"/>
    </x:row>
    <x:row r="79">
      <x:c r="A79" s="84" t="str">
        <x:v>B — SUPPORT</x:v>
      </x:c>
      <x:c r="B79" s="84" t="str">
        <x:v>Island</x:v>
      </x:c>
      <x:c r="C79" s="97" t="n">
        <x:v>8</x:v>
      </x:c>
      <x:c r="D79" s="84" t="n">
        <x:v>0</x:v>
      </x:c>
      <x:c r="E79" s="84" t="str">
        <x:v>1. Ramp / Mana</x:v>
      </x:c>
      <x:c r="F79" s="84" t="str">
        <x:v>Role compression / support within the V2.1 plan.</x:v>
      </x:c>
      <x:c r="G79" s="24"/>
      <x:c r="H79" s="24"/>
      <x:c r="I79" s="24"/>
      <x:c r="J79" s="24"/>
      <x:c r="K79" s="24"/>
      <x:c r="L79" s="24"/>
      <x:c r="M79" s="24"/>
      <x:c r="N79" s="24"/>
      <x:c r="O79" s="24"/>
      <x:c r="P79" s="24"/>
      <x:c r="Q79" s="24"/>
      <x:c r="R79" s="24"/>
      <x:c r="S79" s="24"/>
      <x:c r="T79" s="24"/>
      <x:c r="U79" s="24"/>
      <x:c r="V79" s="24"/>
      <x:c r="W79" s="24"/>
      <x:c r="X79" s="24"/>
      <x:c r="Y79" s="24"/>
      <x:c r="Z79" s="24"/>
    </x:row>
    <x:row r="80">
      <x:c r="A80" s="84" t="str">
        <x:v>B — SUPPORT</x:v>
      </x:c>
      <x:c r="B80" s="84" t="str">
        <x:v>Mountain</x:v>
      </x:c>
      <x:c r="C80" s="97" t="n">
        <x:v>8</x:v>
      </x:c>
      <x:c r="D80" s="84" t="n">
        <x:v>0</x:v>
      </x:c>
      <x:c r="E80" s="84" t="str">
        <x:v>1. Ramp / Mana</x:v>
      </x:c>
      <x:c r="F80" s="84" t="str">
        <x:v>Role compression / support within the V2.1 plan.</x:v>
      </x:c>
      <x:c r="G80" s="24"/>
      <x:c r="H80" s="24"/>
      <x:c r="I80" s="24"/>
      <x:c r="J80" s="24"/>
      <x:c r="K80" s="24"/>
      <x:c r="L80" s="24"/>
      <x:c r="M80" s="24"/>
      <x:c r="N80" s="24"/>
      <x:c r="O80" s="24"/>
      <x:c r="P80" s="24"/>
      <x:c r="Q80" s="24"/>
      <x:c r="R80" s="24"/>
      <x:c r="S80" s="24"/>
      <x:c r="T80" s="24"/>
      <x:c r="U80" s="24"/>
      <x:c r="V80" s="24"/>
      <x:c r="W80" s="24"/>
      <x:c r="X80" s="24"/>
      <x:c r="Y80" s="24"/>
      <x:c r="Z80" s="24"/>
    </x:row>
    <x:row r="81">
      <x:c r="A81" s="84" t="str">
        <x:v>B — SUPPORT</x:v>
      </x:c>
      <x:c r="B81" s="84" t="str">
        <x:v>Seething Landscape</x:v>
      </x:c>
      <x:c r="C81" s="97" t="n">
        <x:v>8</x:v>
      </x:c>
      <x:c r="D81" s="84" t="n">
        <x:v>0</x:v>
      </x:c>
      <x:c r="E81" s="84" t="str">
        <x:v>1. Ramp / Mana</x:v>
      </x:c>
      <x:c r="F81" s="84" t="str">
        <x:v>Role compression / support within the V2.1 plan.</x:v>
      </x:c>
      <x:c r="G81" s="24"/>
      <x:c r="H81" s="24"/>
      <x:c r="I81" s="24"/>
      <x:c r="J81" s="24"/>
      <x:c r="K81" s="24"/>
      <x:c r="L81" s="24"/>
      <x:c r="M81" s="24"/>
      <x:c r="N81" s="24"/>
      <x:c r="O81" s="24"/>
      <x:c r="P81" s="24"/>
      <x:c r="Q81" s="24"/>
      <x:c r="R81" s="24"/>
      <x:c r="S81" s="24"/>
      <x:c r="T81" s="24"/>
      <x:c r="U81" s="24"/>
      <x:c r="V81" s="24"/>
      <x:c r="W81" s="24"/>
      <x:c r="X81" s="24"/>
      <x:c r="Y81" s="24"/>
      <x:c r="Z81" s="24"/>
    </x:row>
    <x:row r="82">
      <x:c r="A82" s="84" t="str">
        <x:v>B — SUPPORT</x:v>
      </x:c>
      <x:c r="B82" s="84" t="str">
        <x:v>Staff of Compleation</x:v>
      </x:c>
      <x:c r="C82" s="97" t="n">
        <x:v>8</x:v>
      </x:c>
      <x:c r="D82" s="84" t="n">
        <x:v>2</x:v>
      </x:c>
      <x:c r="E82" s="84" t="str">
        <x:v>1. Ramp / Mana</x:v>
      </x:c>
      <x:c r="F82" s="84" t="str">
        <x:v>Role compression / support within the V2.1 plan.</x:v>
      </x:c>
      <x:c r="G82" s="24"/>
      <x:c r="H82" s="24"/>
      <x:c r="I82" s="24"/>
      <x:c r="J82" s="24"/>
      <x:c r="K82" s="24"/>
      <x:c r="L82" s="24"/>
      <x:c r="M82" s="24"/>
      <x:c r="N82" s="24"/>
      <x:c r="O82" s="24"/>
      <x:c r="P82" s="24"/>
      <x:c r="Q82" s="24"/>
      <x:c r="R82" s="24"/>
      <x:c r="S82" s="24"/>
      <x:c r="T82" s="24"/>
      <x:c r="U82" s="24"/>
      <x:c r="V82" s="24"/>
      <x:c r="W82" s="24"/>
      <x:c r="X82" s="24"/>
      <x:c r="Y82" s="24"/>
      <x:c r="Z82" s="24"/>
    </x:row>
    <x:row r="83">
      <x:c r="A83" s="84" t="str">
        <x:v>B — SUPPORT</x:v>
      </x:c>
      <x:c r="B83" s="84" t="str">
        <x:v>Swamp</x:v>
      </x:c>
      <x:c r="C83" s="97" t="n">
        <x:v>8</x:v>
      </x:c>
      <x:c r="D83" s="84" t="n">
        <x:v>0</x:v>
      </x:c>
      <x:c r="E83" s="84" t="str">
        <x:v>1. Ramp / Mana</x:v>
      </x:c>
      <x:c r="F83" s="84" t="str">
        <x:v>Role compression / support within the V2.1 plan.</x:v>
      </x:c>
      <x:c r="G83" s="24"/>
      <x:c r="H83" s="24"/>
      <x:c r="I83" s="24"/>
      <x:c r="J83" s="24"/>
      <x:c r="K83" s="24"/>
      <x:c r="L83" s="24"/>
      <x:c r="M83" s="24"/>
      <x:c r="N83" s="24"/>
      <x:c r="O83" s="24"/>
      <x:c r="P83" s="24"/>
      <x:c r="Q83" s="24"/>
      <x:c r="R83" s="24"/>
      <x:c r="S83" s="24"/>
      <x:c r="T83" s="24"/>
      <x:c r="U83" s="24"/>
      <x:c r="V83" s="24"/>
      <x:c r="W83" s="24"/>
      <x:c r="X83" s="24"/>
      <x:c r="Y83" s="24"/>
      <x:c r="Z83" s="24"/>
    </x:row>
    <x:row r="84">
      <x:c r="A84" s="84" t="str">
        <x:v>B — SUPPORT</x:v>
      </x:c>
      <x:c r="B84" s="84" t="str">
        <x:v>Trespasser's Curse</x:v>
      </x:c>
      <x:c r="C84" s="97" t="n">
        <x:v>8</x:v>
      </x:c>
      <x:c r="D84" s="84" t="n">
        <x:v>3</x:v>
      </x:c>
      <x:c r="E84" s="84" t="str">
        <x:v>4. Curses — Core</x:v>
      </x:c>
      <x:c r="F84" s="84" t="str">
        <x:v>Role compression / support within the V2.1 plan.</x:v>
      </x:c>
      <x:c r="G84" s="24"/>
      <x:c r="H84" s="24"/>
      <x:c r="I84" s="24"/>
      <x:c r="J84" s="24"/>
      <x:c r="K84" s="24"/>
      <x:c r="L84" s="24"/>
      <x:c r="M84" s="24"/>
      <x:c r="N84" s="24"/>
      <x:c r="O84" s="24"/>
      <x:c r="P84" s="24"/>
      <x:c r="Q84" s="24"/>
      <x:c r="R84" s="24"/>
      <x:c r="S84" s="24"/>
      <x:c r="T84" s="24"/>
      <x:c r="U84" s="24"/>
      <x:c r="V84" s="24"/>
      <x:c r="W84" s="24"/>
      <x:c r="X84" s="24"/>
      <x:c r="Y84" s="24"/>
      <x:c r="Z84" s="24"/>
    </x:row>
    <x:row r="85">
      <x:c r="A85" s="84" t="str">
        <x:v>B — SUPPORT</x:v>
      </x:c>
      <x:c r="B85" s="84" t="str">
        <x:v>Underground River</x:v>
      </x:c>
      <x:c r="C85" s="97" t="n">
        <x:v>8</x:v>
      </x:c>
      <x:c r="D85" s="84" t="n">
        <x:v>0</x:v>
      </x:c>
      <x:c r="E85" s="84" t="str">
        <x:v>1. Ramp / Mana</x:v>
      </x:c>
      <x:c r="F85" s="84" t="str">
        <x:v>Role compression / support within the V2.1 plan.</x:v>
      </x:c>
      <x:c r="G85" s="24"/>
      <x:c r="H85" s="24"/>
      <x:c r="I85" s="24"/>
      <x:c r="J85" s="24"/>
      <x:c r="K85" s="24"/>
      <x:c r="L85" s="24"/>
      <x:c r="M85" s="24"/>
      <x:c r="N85" s="24"/>
      <x:c r="O85" s="24"/>
      <x:c r="P85" s="24"/>
      <x:c r="Q85" s="24"/>
      <x:c r="R85" s="24"/>
      <x:c r="S85" s="24"/>
      <x:c r="T85" s="24"/>
      <x:c r="U85" s="24"/>
      <x:c r="V85" s="24"/>
      <x:c r="W85" s="24"/>
      <x:c r="X85" s="24"/>
      <x:c r="Y85" s="24"/>
      <x:c r="Z85" s="24"/>
    </x:row>
    <x:row r="86">
      <x:c r="A86" s="84" t="str">
        <x:v>B — SUPPORT</x:v>
      </x:c>
      <x:c r="B86" s="84" t="str">
        <x:v>Alexios, Deimos of Kosmos</x:v>
      </x:c>
      <x:c r="C86" s="97" t="n">
        <x:v>7.9</x:v>
      </x:c>
      <x:c r="D86" s="84" t="n">
        <x:v>4</x:v>
      </x:c>
      <x:c r="E86" s="84" t="str">
        <x:v>6. Politics / Punisher / Pillow Fort</x:v>
      </x:c>
      <x:c r="F86" s="84" t="str">
        <x:v>Role compression / support within the V2.1 plan.</x:v>
      </x:c>
      <x:c r="G86" s="24"/>
      <x:c r="H86" s="24"/>
      <x:c r="I86" s="24"/>
      <x:c r="J86" s="24"/>
      <x:c r="K86" s="24"/>
      <x:c r="L86" s="24"/>
      <x:c r="M86" s="24"/>
      <x:c r="N86" s="24"/>
      <x:c r="O86" s="24"/>
      <x:c r="P86" s="24"/>
      <x:c r="Q86" s="24"/>
      <x:c r="R86" s="24"/>
      <x:c r="S86" s="24"/>
      <x:c r="T86" s="24"/>
      <x:c r="U86" s="24"/>
      <x:c r="V86" s="24"/>
      <x:c r="W86" s="24"/>
      <x:c r="X86" s="24"/>
      <x:c r="Y86" s="24"/>
      <x:c r="Z86" s="24"/>
    </x:row>
    <x:row r="87">
      <x:c r="A87" s="84" t="str">
        <x:v>B — SUPPORT</x:v>
      </x:c>
      <x:c r="B87" s="84" t="str">
        <x:v>Expressive Iteration</x:v>
      </x:c>
      <x:c r="C87" s="97" t="n">
        <x:v>7.9</x:v>
      </x:c>
      <x:c r="D87" s="84" t="n">
        <x:v>2</x:v>
      </x:c>
      <x:c r="E87" s="84" t="str">
        <x:v>2. Draw / Card Advantage</x:v>
      </x:c>
      <x:c r="F87" s="84" t="str">
        <x:v>Role compression / support within the V2.1 plan.</x:v>
      </x:c>
      <x:c r="G87" s="24"/>
      <x:c r="H87" s="24"/>
      <x:c r="I87" s="24"/>
      <x:c r="J87" s="24"/>
      <x:c r="K87" s="24"/>
      <x:c r="L87" s="24"/>
      <x:c r="M87" s="24"/>
      <x:c r="N87" s="24"/>
      <x:c r="O87" s="24"/>
      <x:c r="P87" s="24"/>
      <x:c r="Q87" s="24"/>
      <x:c r="R87" s="24"/>
      <x:c r="S87" s="24"/>
      <x:c r="T87" s="24"/>
      <x:c r="U87" s="24"/>
      <x:c r="V87" s="24"/>
      <x:c r="W87" s="24"/>
      <x:c r="X87" s="24"/>
      <x:c r="Y87" s="24"/>
      <x:c r="Z87" s="24"/>
    </x:row>
    <x:row r="88">
      <x:c r="A88" s="84" t="str">
        <x:v>B — SUPPORT</x:v>
      </x:c>
      <x:c r="B88" s="84" t="str">
        <x:v>Sauron's Ransom</x:v>
      </x:c>
      <x:c r="C88" s="97" t="n">
        <x:v>7.9</x:v>
      </x:c>
      <x:c r="D88" s="84" t="n">
        <x:v>3</x:v>
      </x:c>
      <x:c r="E88" s="84" t="str">
        <x:v>2. Draw / Card Advantage</x:v>
      </x:c>
      <x:c r="F88" s="84" t="str">
        <x:v>Role compression / support within the V2.1 plan.</x:v>
      </x:c>
      <x:c r="G88" s="24"/>
      <x:c r="H88" s="24"/>
      <x:c r="I88" s="24"/>
      <x:c r="J88" s="24"/>
      <x:c r="K88" s="24"/>
      <x:c r="L88" s="24"/>
      <x:c r="M88" s="24"/>
      <x:c r="N88" s="24"/>
      <x:c r="O88" s="24"/>
      <x:c r="P88" s="24"/>
      <x:c r="Q88" s="24"/>
      <x:c r="R88" s="24"/>
      <x:c r="S88" s="24"/>
      <x:c r="T88" s="24"/>
      <x:c r="U88" s="24"/>
      <x:c r="V88" s="24"/>
      <x:c r="W88" s="24"/>
      <x:c r="X88" s="24"/>
      <x:c r="Y88" s="24"/>
      <x:c r="Z88" s="24"/>
    </x:row>
    <x:row r="89">
      <x:c r="A89" s="84" t="str">
        <x:v>B — SUPPORT</x:v>
      </x:c>
      <x:c r="B89" s="84" t="str">
        <x:v>Mortuary Mire</x:v>
      </x:c>
      <x:c r="C89" s="97" t="n">
        <x:v>7.8</x:v>
      </x:c>
      <x:c r="D89" s="84" t="n">
        <x:v>0</x:v>
      </x:c>
      <x:c r="E89" s="84" t="str">
        <x:v>7. Protection / Resilience</x:v>
      </x:c>
      <x:c r="F89" s="84" t="str">
        <x:v>Role compression / support within the V2.1 plan.</x:v>
      </x:c>
      <x:c r="G89" s="24"/>
      <x:c r="H89" s="24"/>
      <x:c r="I89" s="24"/>
      <x:c r="J89" s="24"/>
      <x:c r="K89" s="24"/>
      <x:c r="L89" s="24"/>
      <x:c r="M89" s="24"/>
      <x:c r="N89" s="24"/>
      <x:c r="O89" s="24"/>
      <x:c r="P89" s="24"/>
      <x:c r="Q89" s="24"/>
      <x:c r="R89" s="24"/>
      <x:c r="S89" s="24"/>
      <x:c r="T89" s="24"/>
      <x:c r="U89" s="24"/>
      <x:c r="V89" s="24"/>
      <x:c r="W89" s="24"/>
      <x:c r="X89" s="24"/>
      <x:c r="Y89" s="24"/>
      <x:c r="Z89" s="24"/>
    </x:row>
    <x:row r="90">
      <x:c r="A90" s="84" t="str">
        <x:v>B — SUPPORT</x:v>
      </x:c>
      <x:c r="B90" s="84" t="str">
        <x:v>Sundering Eruption</x:v>
      </x:c>
      <x:c r="C90" s="97" t="n">
        <x:v>7.8</x:v>
      </x:c>
      <x:c r="D90" s="84" t="n">
        <x:v>4</x:v>
      </x:c>
      <x:c r="E90" s="84" t="str">
        <x:v>3. Removal / Board Control</x:v>
      </x:c>
      <x:c r="F90" s="84" t="str">
        <x:v>Role compression / support within the V2.1 plan.</x:v>
      </x:c>
      <x:c r="G90" s="24"/>
      <x:c r="H90" s="24"/>
      <x:c r="I90" s="24"/>
      <x:c r="J90" s="24"/>
      <x:c r="K90" s="24"/>
      <x:c r="L90" s="24"/>
      <x:c r="M90" s="24"/>
      <x:c r="N90" s="24"/>
      <x:c r="O90" s="24"/>
      <x:c r="P90" s="24"/>
      <x:c r="Q90" s="24"/>
      <x:c r="R90" s="24"/>
      <x:c r="S90" s="24"/>
      <x:c r="T90" s="24"/>
      <x:c r="U90" s="24"/>
      <x:c r="V90" s="24"/>
      <x:c r="W90" s="24"/>
      <x:c r="X90" s="24"/>
      <x:c r="Y90" s="24"/>
      <x:c r="Z90" s="24"/>
    </x:row>
    <x:row r="91">
      <x:c r="A91" s="84" t="str">
        <x:v>B — SUPPORT</x:v>
      </x:c>
      <x:c r="B91" s="84" t="str">
        <x:v>Varragoth, Bloodsky Sire</x:v>
      </x:c>
      <x:c r="C91" s="97" t="n">
        <x:v>7.8</x:v>
      </x:c>
      <x:c r="D91" s="84" t="n">
        <x:v>3</x:v>
      </x:c>
      <x:c r="E91" s="84" t="str">
        <x:v>5. Curse Engines / Enchantment Support</x:v>
      </x:c>
      <x:c r="F91" s="84" t="str">
        <x:v>Role compression / support within the V2.1 plan.</x:v>
      </x:c>
      <x:c r="G91" s="24"/>
      <x:c r="H91" s="24"/>
      <x:c r="I91" s="24"/>
      <x:c r="J91" s="24"/>
      <x:c r="K91" s="24"/>
      <x:c r="L91" s="24"/>
      <x:c r="M91" s="24"/>
      <x:c r="N91" s="24"/>
      <x:c r="O91" s="24"/>
      <x:c r="P91" s="24"/>
      <x:c r="Q91" s="24"/>
      <x:c r="R91" s="24"/>
      <x:c r="S91" s="24"/>
      <x:c r="T91" s="24"/>
      <x:c r="U91" s="24"/>
      <x:c r="V91" s="24"/>
      <x:c r="W91" s="24"/>
      <x:c r="X91" s="24"/>
      <x:c r="Y91" s="24"/>
      <x:c r="Z91" s="24"/>
    </x:row>
    <x:row r="92">
      <x:c r="A92" s="84" t="str">
        <x:v>B — SUPPORT</x:v>
      </x:c>
      <x:c r="B92" s="84" t="str">
        <x:v>Read the Runes</x:v>
      </x:c>
      <x:c r="C92" s="97" t="n">
        <x:v>7.7</x:v>
      </x:c>
      <x:c r="D92" s="84" t="n">
        <x:v>1</x:v>
      </x:c>
      <x:c r="E92" s="84" t="str">
        <x:v>2. Draw / Card Advantage</x:v>
      </x:c>
      <x:c r="F92" s="84" t="str">
        <x:v>Variable X; base MV is 1.</x:v>
      </x:c>
      <x:c r="G92" s="24"/>
      <x:c r="H92" s="24"/>
      <x:c r="I92" s="24"/>
      <x:c r="J92" s="24"/>
      <x:c r="K92" s="24"/>
      <x:c r="L92" s="24"/>
      <x:c r="M92" s="24"/>
      <x:c r="N92" s="24"/>
      <x:c r="O92" s="24"/>
      <x:c r="P92" s="24"/>
      <x:c r="Q92" s="24"/>
      <x:c r="R92" s="24"/>
      <x:c r="S92" s="24"/>
      <x:c r="T92" s="24"/>
      <x:c r="U92" s="24"/>
      <x:c r="V92" s="24"/>
      <x:c r="W92" s="24"/>
      <x:c r="X92" s="24"/>
      <x:c r="Y92" s="24"/>
      <x:c r="Z92" s="24"/>
    </x:row>
    <x:row r="93">
      <x:c r="A93" s="84" t="str">
        <x:v>B — SUPPORT</x:v>
      </x:c>
      <x:c r="B93" s="84" t="str">
        <x:v>Hydroelectric Specimen</x:v>
      </x:c>
      <x:c r="C93" s="97" t="n">
        <x:v>7.6</x:v>
      </x:c>
      <x:c r="D93" s="84" t="n">
        <x:v>3</x:v>
      </x:c>
      <x:c r="E93" s="84" t="str">
        <x:v>7. Protection / Resilience</x:v>
      </x:c>
      <x:c r="F93" s="84" t="str">
        <x:v>Role compression / support within the V2.1 plan.</x:v>
      </x:c>
      <x:c r="G93" s="24"/>
      <x:c r="H93" s="24"/>
      <x:c r="I93" s="24"/>
      <x:c r="J93" s="24"/>
      <x:c r="K93" s="24"/>
      <x:c r="L93" s="24"/>
      <x:c r="M93" s="24"/>
      <x:c r="N93" s="24"/>
      <x:c r="O93" s="24"/>
      <x:c r="P93" s="24"/>
      <x:c r="Q93" s="24"/>
      <x:c r="R93" s="24"/>
      <x:c r="S93" s="24"/>
      <x:c r="T93" s="24"/>
      <x:c r="U93" s="24"/>
      <x:c r="V93" s="24"/>
      <x:c r="W93" s="24"/>
      <x:c r="X93" s="24"/>
      <x:c r="Y93" s="24"/>
      <x:c r="Z93" s="24"/>
    </x:row>
    <x:row r="94">
      <x:c r="A94" s="84" t="str">
        <x:v>B — SUPPORT</x:v>
      </x:c>
      <x:c r="B94" s="84" t="str">
        <x:v>Curse of Leeches</x:v>
      </x:c>
      <x:c r="C94" s="97" t="n">
        <x:v>7.5</x:v>
      </x:c>
      <x:c r="D94" s="84" t="n">
        <x:v>4</x:v>
      </x:c>
      <x:c r="E94" s="84" t="str">
        <x:v>4. Curses — Core</x:v>
      </x:c>
      <x:c r="F94" s="84" t="str">
        <x:v>Role compression / support within the V2.1 plan.</x:v>
      </x:c>
      <x:c r="G94" s="24"/>
      <x:c r="H94" s="24"/>
      <x:c r="I94" s="24"/>
      <x:c r="J94" s="24"/>
      <x:c r="K94" s="24"/>
      <x:c r="L94" s="24"/>
      <x:c r="M94" s="24"/>
      <x:c r="N94" s="24"/>
      <x:c r="O94" s="24"/>
      <x:c r="P94" s="24"/>
      <x:c r="Q94" s="24"/>
      <x:c r="R94" s="24"/>
      <x:c r="S94" s="24"/>
      <x:c r="T94" s="24"/>
      <x:c r="U94" s="24"/>
      <x:c r="V94" s="24"/>
      <x:c r="W94" s="24"/>
      <x:c r="X94" s="24"/>
      <x:c r="Y94" s="24"/>
      <x:c r="Z94" s="24"/>
    </x:row>
    <x:row r="95">
      <x:c r="A95" s="84" t="str">
        <x:v>B — SUPPORT</x:v>
      </x:c>
      <x:c r="B95" s="84" t="str">
        <x:v>Grim Guardian</x:v>
      </x:c>
      <x:c r="C95" s="97" t="n">
        <x:v>7.5</x:v>
      </x:c>
      <x:c r="D95" s="84" t="n">
        <x:v>4</x:v>
      </x:c>
      <x:c r="E95" s="84" t="str">
        <x:v>8. Finishers / Thematic Bombs</x:v>
      </x:c>
      <x:c r="F95" s="84" t="str">
        <x:v>Enchantment entries become table-wide life loss.</x:v>
      </x:c>
      <x:c r="G95" s="24"/>
      <x:c r="H95" s="24"/>
      <x:c r="I95" s="24"/>
      <x:c r="J95" s="24"/>
      <x:c r="K95" s="24"/>
      <x:c r="L95" s="24"/>
      <x:c r="M95" s="24"/>
      <x:c r="N95" s="24"/>
      <x:c r="O95" s="24"/>
      <x:c r="P95" s="24"/>
      <x:c r="Q95" s="24"/>
      <x:c r="R95" s="24"/>
      <x:c r="S95" s="24"/>
      <x:c r="T95" s="24"/>
      <x:c r="U95" s="24"/>
      <x:c r="V95" s="24"/>
      <x:c r="W95" s="24"/>
      <x:c r="X95" s="24"/>
      <x:c r="Y95" s="24"/>
      <x:c r="Z95" s="24"/>
    </x:row>
    <x:row r="96">
      <x:c r="A96" s="84" t="str">
        <x:v>B — SUPPORT</x:v>
      </x:c>
      <x:c r="B96" s="84" t="str">
        <x:v>Grixis Panorama</x:v>
      </x:c>
      <x:c r="C96" s="97" t="n">
        <x:v>7.5</x:v>
      </x:c>
      <x:c r="D96" s="84" t="n">
        <x:v>0</x:v>
      </x:c>
      <x:c r="E96" s="84" t="str">
        <x:v>1. Ramp / Mana</x:v>
      </x:c>
      <x:c r="F96" s="84" t="str">
        <x:v>Role compression / support within the V2.1 plan.</x:v>
      </x:c>
      <x:c r="G96" s="24"/>
      <x:c r="H96" s="24"/>
      <x:c r="I96" s="24"/>
      <x:c r="J96" s="24"/>
      <x:c r="K96" s="24"/>
      <x:c r="L96" s="24"/>
      <x:c r="M96" s="24"/>
      <x:c r="N96" s="24"/>
      <x:c r="O96" s="24"/>
      <x:c r="P96" s="24"/>
      <x:c r="Q96" s="24"/>
      <x:c r="R96" s="24"/>
      <x:c r="S96" s="24"/>
      <x:c r="T96" s="24"/>
      <x:c r="U96" s="24"/>
      <x:c r="V96" s="24"/>
      <x:c r="W96" s="24"/>
      <x:c r="X96" s="24"/>
      <x:c r="Y96" s="24"/>
      <x:c r="Z96" s="24"/>
    </x:row>
    <x:row r="97">
      <x:c r="A97" s="84" t="str">
        <x:v>B — SUPPORT</x:v>
      </x:c>
      <x:c r="B97" s="84" t="str">
        <x:v>Rivendell</x:v>
      </x:c>
      <x:c r="C97" s="97" t="n">
        <x:v>7.5</x:v>
      </x:c>
      <x:c r="D97" s="84" t="n">
        <x:v>0</x:v>
      </x:c>
      <x:c r="E97" s="84" t="str">
        <x:v>1. Ramp / Mana</x:v>
      </x:c>
      <x:c r="F97" s="84" t="str">
        <x:v>Role compression / support within the V2.1 plan.</x:v>
      </x:c>
      <x:c r="G97" s="24"/>
      <x:c r="H97" s="24"/>
      <x:c r="I97" s="24"/>
      <x:c r="J97" s="24"/>
      <x:c r="K97" s="24"/>
      <x:c r="L97" s="24"/>
      <x:c r="M97" s="24"/>
      <x:c r="N97" s="24"/>
      <x:c r="O97" s="24"/>
      <x:c r="P97" s="24"/>
      <x:c r="Q97" s="24"/>
      <x:c r="R97" s="24"/>
      <x:c r="S97" s="24"/>
      <x:c r="T97" s="24"/>
      <x:c r="U97" s="24"/>
      <x:c r="V97" s="24"/>
      <x:c r="W97" s="24"/>
      <x:c r="X97" s="24"/>
      <x:c r="Y97" s="24"/>
      <x:c r="Z97" s="24"/>
    </x:row>
    <x:row r="98">
      <x:c r="A98" s="84" t="str">
        <x:v>C — REVIEW</x:v>
      </x:c>
      <x:c r="B98" s="84" t="str">
        <x:v>Crypt of the Eternals</x:v>
      </x:c>
      <x:c r="C98" s="97" t="n">
        <x:v>7.2</x:v>
      </x:c>
      <x:c r="D98" s="84" t="n">
        <x:v>0</x:v>
      </x:c>
      <x:c r="E98" s="84" t="str">
        <x:v>1. Ramp / Mana</x:v>
      </x:c>
      <x:c r="F98" s="84" t="str">
        <x:v>Role compression / support within the V2.1 plan.</x:v>
      </x:c>
      <x:c r="G98" s="24"/>
      <x:c r="H98" s="24"/>
      <x:c r="I98" s="24"/>
      <x:c r="J98" s="24"/>
      <x:c r="K98" s="24"/>
      <x:c r="L98" s="24"/>
      <x:c r="M98" s="24"/>
      <x:c r="N98" s="24"/>
      <x:c r="O98" s="24"/>
      <x:c r="P98" s="24"/>
      <x:c r="Q98" s="24"/>
      <x:c r="R98" s="24"/>
      <x:c r="S98" s="24"/>
      <x:c r="T98" s="24"/>
      <x:c r="U98" s="24"/>
      <x:c r="V98" s="24"/>
      <x:c r="W98" s="24"/>
      <x:c r="X98" s="24"/>
      <x:c r="Y98" s="24"/>
      <x:c r="Z98" s="24"/>
    </x:row>
    <x:row r="99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  <x:c r="K99" s="24"/>
      <x:c r="L99" s="24"/>
      <x:c r="M99" s="24"/>
      <x:c r="N99" s="24"/>
      <x:c r="O99" s="24"/>
      <x:c r="P99" s="24"/>
      <x:c r="Q99" s="24"/>
      <x:c r="R99" s="24"/>
      <x:c r="S99" s="24"/>
      <x:c r="T99" s="24"/>
      <x:c r="U99" s="24"/>
      <x:c r="V99" s="24"/>
      <x:c r="W99" s="24"/>
      <x:c r="X99" s="24"/>
      <x:c r="Y99" s="24"/>
      <x:c r="Z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  <x:c r="L100" s="24"/>
      <x:c r="M100" s="24"/>
      <x:c r="N100" s="24"/>
      <x:c r="O100" s="24"/>
      <x:c r="P100" s="24"/>
      <x:c r="Q100" s="24"/>
      <x:c r="R100" s="24"/>
      <x:c r="S100" s="24"/>
      <x:c r="T100" s="24"/>
      <x:c r="U100" s="24"/>
      <x:c r="V100" s="24"/>
      <x:c r="W100" s="24"/>
      <x:c r="X100" s="24"/>
      <x:c r="Y100" s="24"/>
      <x:c r="Z100" s="24"/>
    </x:row>
    <x:row r="101">
      <x:c r="A101" s="24"/>
      <x:c r="B101" s="24"/>
      <x:c r="C101" s="24"/>
      <x:c r="D101" s="24"/>
      <x:c r="E101" s="24"/>
      <x:c r="F101" s="24"/>
      <x:c r="G101" s="24"/>
      <x:c r="H101" s="24"/>
      <x:c r="I101" s="24"/>
      <x:c r="J101" s="24"/>
      <x:c r="K101" s="24"/>
      <x:c r="L101" s="24"/>
      <x:c r="M101" s="24"/>
      <x:c r="N101" s="24"/>
      <x:c r="O101" s="24"/>
      <x:c r="P101" s="24"/>
      <x:c r="Q101" s="24"/>
      <x:c r="R101" s="24"/>
      <x:c r="S101" s="24"/>
      <x:c r="T101" s="24"/>
      <x:c r="U101" s="24"/>
      <x:c r="V101" s="24"/>
      <x:c r="W101" s="24"/>
      <x:c r="X101" s="24"/>
      <x:c r="Y101" s="24"/>
      <x:c r="Z101" s="24"/>
    </x:row>
    <x:row r="102">
      <x:c r="A102" s="24"/>
      <x:c r="B102" s="24"/>
      <x:c r="C102" s="24"/>
      <x:c r="D102" s="24"/>
      <x:c r="E102" s="24"/>
      <x:c r="F102" s="24"/>
      <x:c r="G102" s="24"/>
      <x:c r="H102" s="24"/>
      <x:c r="I102" s="24"/>
      <x:c r="J102" s="24"/>
      <x:c r="K102" s="24"/>
      <x:c r="L102" s="24"/>
      <x:c r="M102" s="24"/>
      <x:c r="N102" s="24"/>
      <x:c r="O102" s="24"/>
      <x:c r="P102" s="24"/>
      <x:c r="Q102" s="24"/>
      <x:c r="R102" s="24"/>
      <x:c r="S102" s="24"/>
      <x:c r="T102" s="24"/>
      <x:c r="U102" s="24"/>
      <x:c r="V102" s="24"/>
      <x:c r="W102" s="24"/>
      <x:c r="X102" s="24"/>
      <x:c r="Y102" s="24"/>
      <x:c r="Z102" s="24"/>
    </x:row>
    <x:row r="103">
      <x:c r="A103" s="24"/>
      <x:c r="B103" s="24"/>
      <x:c r="C103" s="24"/>
      <x:c r="D103" s="24"/>
      <x:c r="E103" s="24"/>
      <x:c r="F103" s="24"/>
      <x:c r="G103" s="24"/>
      <x:c r="H103" s="24"/>
      <x:c r="I103" s="24"/>
      <x:c r="J103" s="24"/>
      <x:c r="K103" s="24"/>
      <x:c r="L103" s="24"/>
      <x:c r="M103" s="24"/>
      <x:c r="N103" s="24"/>
      <x:c r="O103" s="24"/>
      <x:c r="P103" s="24"/>
      <x:c r="Q103" s="24"/>
      <x:c r="R103" s="24"/>
      <x:c r="S103" s="24"/>
      <x:c r="T103" s="24"/>
      <x:c r="U103" s="24"/>
      <x:c r="V103" s="24"/>
      <x:c r="W103" s="24"/>
      <x:c r="X103" s="24"/>
      <x:c r="Y103" s="24"/>
      <x:c r="Z103" s="24"/>
    </x:row>
    <x:row r="104">
      <x:c r="A104" s="24"/>
      <x:c r="B104" s="24"/>
      <x:c r="C104" s="24"/>
      <x:c r="D104" s="24"/>
      <x:c r="E104" s="24"/>
      <x:c r="F104" s="24"/>
      <x:c r="G104" s="24"/>
      <x:c r="H104" s="24"/>
      <x:c r="I104" s="24"/>
      <x:c r="J104" s="24"/>
      <x:c r="K104" s="24"/>
      <x:c r="L104" s="24"/>
      <x:c r="M104" s="24"/>
      <x:c r="N104" s="24"/>
      <x:c r="O104" s="24"/>
      <x:c r="P104" s="24"/>
      <x:c r="Q104" s="24"/>
      <x:c r="R104" s="24"/>
      <x:c r="S104" s="24"/>
      <x:c r="T104" s="24"/>
      <x:c r="U104" s="24"/>
      <x:c r="V104" s="24"/>
      <x:c r="W104" s="24"/>
      <x:c r="X104" s="24"/>
      <x:c r="Y104" s="24"/>
      <x:c r="Z104" s="24"/>
    </x:row>
    <x:row r="105">
      <x:c r="A105" s="24"/>
      <x:c r="B105" s="24"/>
      <x:c r="C105" s="24"/>
      <x:c r="D105" s="24"/>
      <x:c r="E105" s="24"/>
      <x:c r="F105" s="24"/>
      <x:c r="G105" s="24"/>
      <x:c r="H105" s="24"/>
      <x:c r="I105" s="24"/>
      <x:c r="J105" s="24"/>
      <x:c r="K105" s="24"/>
      <x:c r="L105" s="24"/>
      <x:c r="M105" s="24"/>
      <x:c r="N105" s="24"/>
      <x:c r="O105" s="24"/>
      <x:c r="P105" s="24"/>
      <x:c r="Q105" s="24"/>
      <x:c r="R105" s="24"/>
      <x:c r="S105" s="24"/>
      <x:c r="T105" s="24"/>
      <x:c r="U105" s="24"/>
      <x:c r="V105" s="24"/>
      <x:c r="W105" s="24"/>
      <x:c r="X105" s="24"/>
      <x:c r="Y105" s="24"/>
      <x:c r="Z105" s="24"/>
    </x:row>
    <x:row r="106">
      <x:c r="A106" s="24"/>
      <x:c r="B106" s="24"/>
      <x:c r="C106" s="24"/>
      <x:c r="D106" s="24"/>
      <x:c r="E106" s="24"/>
      <x:c r="F106" s="24"/>
      <x:c r="G106" s="24"/>
      <x:c r="H106" s="24"/>
      <x:c r="I106" s="24"/>
      <x:c r="J106" s="24"/>
      <x:c r="K106" s="24"/>
      <x:c r="L106" s="24"/>
      <x:c r="M106" s="24"/>
      <x:c r="N106" s="24"/>
      <x:c r="O106" s="24"/>
      <x:c r="P106" s="24"/>
      <x:c r="Q106" s="24"/>
      <x:c r="R106" s="24"/>
      <x:c r="S106" s="24"/>
      <x:c r="T106" s="24"/>
      <x:c r="U106" s="24"/>
      <x:c r="V106" s="24"/>
      <x:c r="W106" s="24"/>
      <x:c r="X106" s="24"/>
      <x:c r="Y106" s="24"/>
      <x:c r="Z106" s="24"/>
    </x:row>
    <x:row r="107">
      <x:c r="A107" s="24"/>
      <x:c r="B107" s="24"/>
      <x:c r="C107" s="24"/>
      <x:c r="D107" s="24"/>
      <x:c r="E107" s="24"/>
      <x:c r="F107" s="24"/>
      <x:c r="G107" s="24"/>
      <x:c r="H107" s="24"/>
      <x:c r="I107" s="24"/>
      <x:c r="J107" s="24"/>
      <x:c r="K107" s="24"/>
      <x:c r="L107" s="24"/>
      <x:c r="M107" s="24"/>
      <x:c r="N107" s="24"/>
      <x:c r="O107" s="24"/>
      <x:c r="P107" s="24"/>
      <x:c r="Q107" s="24"/>
      <x:c r="R107" s="24"/>
      <x:c r="S107" s="24"/>
      <x:c r="T107" s="24"/>
      <x:c r="U107" s="24"/>
      <x:c r="V107" s="24"/>
      <x:c r="W107" s="24"/>
      <x:c r="X107" s="24"/>
      <x:c r="Y107" s="24"/>
      <x:c r="Z107" s="24"/>
    </x:row>
    <x:row r="108">
      <x:c r="A108" s="24"/>
      <x:c r="B108" s="24"/>
      <x:c r="C108" s="24"/>
      <x:c r="D108" s="24"/>
      <x:c r="E108" s="24"/>
      <x:c r="F108" s="24"/>
      <x:c r="G108" s="24"/>
      <x:c r="H108" s="24"/>
      <x:c r="I108" s="24"/>
      <x:c r="J108" s="24"/>
      <x:c r="K108" s="24"/>
      <x:c r="L108" s="24"/>
      <x:c r="M108" s="24"/>
      <x:c r="N108" s="24"/>
      <x:c r="O108" s="24"/>
      <x:c r="P108" s="24"/>
      <x:c r="Q108" s="24"/>
      <x:c r="R108" s="24"/>
      <x:c r="S108" s="24"/>
      <x:c r="T108" s="24"/>
      <x:c r="U108" s="24"/>
      <x:c r="V108" s="24"/>
      <x:c r="W108" s="24"/>
      <x:c r="X108" s="24"/>
      <x:c r="Y108" s="24"/>
      <x:c r="Z108" s="24"/>
    </x:row>
    <x:row r="109">
      <x:c r="A109" s="24"/>
      <x:c r="B109" s="24"/>
      <x:c r="C109" s="24"/>
      <x:c r="D109" s="24"/>
      <x:c r="E109" s="24"/>
      <x:c r="F109" s="24"/>
      <x:c r="G109" s="24"/>
      <x:c r="H109" s="24"/>
      <x:c r="I109" s="24"/>
      <x:c r="J109" s="24"/>
      <x:c r="K109" s="24"/>
      <x:c r="L109" s="24"/>
      <x:c r="M109" s="24"/>
      <x:c r="N109" s="24"/>
      <x:c r="O109" s="24"/>
      <x:c r="P109" s="24"/>
      <x:c r="Q109" s="24"/>
      <x:c r="R109" s="24"/>
      <x:c r="S109" s="24"/>
      <x:c r="T109" s="24"/>
      <x:c r="U109" s="24"/>
      <x:c r="V109" s="24"/>
      <x:c r="W109" s="24"/>
      <x:c r="X109" s="24"/>
      <x:c r="Y109" s="24"/>
      <x:c r="Z109" s="24"/>
    </x:row>
    <x:row r="110">
      <x:c r="A110" s="24"/>
      <x:c r="B110" s="24"/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/>
      <x:c r="M110" s="24"/>
      <x:c r="N110" s="24"/>
      <x:c r="O110" s="24"/>
      <x:c r="P110" s="24"/>
      <x:c r="Q110" s="24"/>
      <x:c r="R110" s="24"/>
      <x:c r="S110" s="24"/>
      <x:c r="T110" s="24"/>
      <x:c r="U110" s="24"/>
      <x:c r="V110" s="24"/>
      <x:c r="W110" s="24"/>
      <x:c r="X110" s="24"/>
      <x:c r="Y110" s="24"/>
      <x:c r="Z110" s="24"/>
    </x:row>
    <x:row r="111">
      <x:c r="A111" s="24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P111" s="24"/>
      <x:c r="Q111" s="24"/>
      <x:c r="R111" s="24"/>
      <x:c r="S111" s="24"/>
      <x:c r="T111" s="24"/>
      <x:c r="U111" s="24"/>
      <x:c r="V111" s="24"/>
      <x:c r="W111" s="24"/>
      <x:c r="X111" s="24"/>
      <x:c r="Y111" s="24"/>
      <x:c r="Z111" s="24"/>
    </x:row>
    <x:row r="112">
      <x:c r="A112" s="24"/>
      <x:c r="B112" s="24"/>
      <x:c r="C112" s="24"/>
      <x:c r="D112" s="24"/>
      <x:c r="E112" s="24"/>
      <x:c r="F112" s="24"/>
      <x:c r="G112" s="24"/>
      <x:c r="H112" s="24"/>
      <x:c r="I112" s="24"/>
      <x:c r="J112" s="24"/>
      <x:c r="K112" s="24"/>
      <x:c r="L112" s="24"/>
      <x:c r="M112" s="24"/>
      <x:c r="N112" s="24"/>
      <x:c r="O112" s="24"/>
      <x:c r="P112" s="24"/>
      <x:c r="Q112" s="24"/>
      <x:c r="R112" s="24"/>
      <x:c r="S112" s="24"/>
      <x:c r="T112" s="24"/>
      <x:c r="U112" s="24"/>
      <x:c r="V112" s="24"/>
      <x:c r="W112" s="24"/>
      <x:c r="X112" s="24"/>
      <x:c r="Y112" s="24"/>
      <x:c r="Z112" s="24"/>
    </x:row>
    <x:row r="113">
      <x:c r="A113" s="24"/>
      <x:c r="B113" s="24"/>
      <x:c r="C113" s="24"/>
      <x:c r="D113" s="24"/>
      <x:c r="E113" s="24"/>
      <x:c r="F113" s="24"/>
      <x:c r="G113" s="24"/>
      <x:c r="H113" s="24"/>
      <x:c r="I113" s="24"/>
      <x:c r="J113" s="24"/>
      <x:c r="K113" s="24"/>
      <x:c r="L113" s="24"/>
      <x:c r="M113" s="24"/>
      <x:c r="N113" s="24"/>
      <x:c r="O113" s="24"/>
      <x:c r="P113" s="24"/>
      <x:c r="Q113" s="24"/>
      <x:c r="R113" s="24"/>
      <x:c r="S113" s="24"/>
      <x:c r="T113" s="24"/>
      <x:c r="U113" s="24"/>
      <x:c r="V113" s="24"/>
      <x:c r="W113" s="24"/>
      <x:c r="X113" s="24"/>
      <x:c r="Y113" s="24"/>
      <x:c r="Z113" s="24"/>
    </x:row>
    <x:row r="114">
      <x:c r="A114" s="24"/>
      <x:c r="B114" s="24"/>
      <x:c r="C114" s="24"/>
      <x:c r="D114" s="24"/>
      <x:c r="E114" s="24"/>
      <x:c r="F114" s="24"/>
      <x:c r="G114" s="24"/>
      <x:c r="H114" s="24"/>
      <x:c r="I114" s="24"/>
      <x:c r="J114" s="24"/>
      <x:c r="K114" s="24"/>
      <x:c r="L114" s="24"/>
      <x:c r="M114" s="24"/>
      <x:c r="N114" s="24"/>
      <x:c r="O114" s="24"/>
      <x:c r="P114" s="24"/>
      <x:c r="Q114" s="24"/>
      <x:c r="R114" s="24"/>
      <x:c r="S114" s="24"/>
      <x:c r="T114" s="24"/>
      <x:c r="U114" s="24"/>
      <x:c r="V114" s="24"/>
      <x:c r="W114" s="24"/>
      <x:c r="X114" s="24"/>
      <x:c r="Y114" s="24"/>
      <x:c r="Z114" s="24"/>
    </x:row>
    <x:row r="115">
      <x:c r="A115" s="24"/>
      <x:c r="B115" s="24"/>
      <x:c r="C115" s="24"/>
      <x:c r="D115" s="24"/>
      <x:c r="E115" s="24"/>
      <x:c r="F115" s="24"/>
      <x:c r="G115" s="24"/>
      <x:c r="H115" s="24"/>
      <x:c r="I115" s="24"/>
      <x:c r="J115" s="24"/>
      <x:c r="K115" s="24"/>
      <x:c r="L115" s="24"/>
      <x:c r="M115" s="24"/>
      <x:c r="N115" s="24"/>
      <x:c r="O115" s="24"/>
      <x:c r="P115" s="24"/>
      <x:c r="Q115" s="24"/>
      <x:c r="R115" s="24"/>
      <x:c r="S115" s="24"/>
      <x:c r="T115" s="24"/>
      <x:c r="U115" s="24"/>
      <x:c r="V115" s="24"/>
      <x:c r="W115" s="24"/>
      <x:c r="X115" s="24"/>
      <x:c r="Y115" s="24"/>
      <x:c r="Z115" s="24"/>
    </x:row>
    <x:row r="116">
      <x:c r="A116" s="24"/>
      <x:c r="B116" s="24"/>
      <x:c r="C116" s="24"/>
      <x:c r="D116" s="24"/>
      <x:c r="E116" s="24"/>
      <x:c r="F116" s="24"/>
      <x:c r="G116" s="24"/>
      <x:c r="H116" s="24"/>
      <x:c r="I116" s="24"/>
      <x:c r="J116" s="24"/>
      <x:c r="K116" s="24"/>
      <x:c r="L116" s="24"/>
      <x:c r="M116" s="24"/>
      <x:c r="N116" s="24"/>
      <x:c r="O116" s="24"/>
      <x:c r="P116" s="24"/>
      <x:c r="Q116" s="24"/>
      <x:c r="R116" s="24"/>
      <x:c r="S116" s="24"/>
      <x:c r="T116" s="24"/>
      <x:c r="U116" s="24"/>
      <x:c r="V116" s="24"/>
      <x:c r="W116" s="24"/>
      <x:c r="X116" s="24"/>
      <x:c r="Y116" s="24"/>
      <x:c r="Z116" s="24"/>
    </x:row>
    <x:row r="117">
      <x:c r="A117" s="24"/>
      <x:c r="B117" s="24"/>
      <x:c r="C117" s="24"/>
      <x:c r="D117" s="24"/>
      <x:c r="E117" s="24"/>
      <x:c r="F117" s="24"/>
      <x:c r="G117" s="24"/>
      <x:c r="H117" s="24"/>
      <x:c r="I117" s="24"/>
      <x:c r="J117" s="24"/>
      <x:c r="K117" s="24"/>
      <x:c r="L117" s="24"/>
      <x:c r="M117" s="24"/>
      <x:c r="N117" s="24"/>
      <x:c r="O117" s="24"/>
      <x:c r="P117" s="24"/>
      <x:c r="Q117" s="24"/>
      <x:c r="R117" s="24"/>
      <x:c r="S117" s="24"/>
      <x:c r="T117" s="24"/>
      <x:c r="U117" s="24"/>
      <x:c r="V117" s="24"/>
      <x:c r="W117" s="24"/>
      <x:c r="X117" s="24"/>
      <x:c r="Y117" s="24"/>
      <x:c r="Z117" s="24"/>
    </x:row>
    <x:row r="118">
      <x:c r="A118" s="24"/>
      <x:c r="B118" s="24"/>
      <x:c r="C118" s="24"/>
      <x:c r="D118" s="24"/>
      <x:c r="E118" s="24"/>
      <x:c r="F118" s="24"/>
      <x:c r="G118" s="24"/>
      <x:c r="H118" s="24"/>
      <x:c r="I118" s="24"/>
      <x:c r="J118" s="24"/>
      <x:c r="K118" s="24"/>
      <x:c r="L118" s="24"/>
      <x:c r="M118" s="24"/>
      <x:c r="N118" s="24"/>
      <x:c r="O118" s="24"/>
      <x:c r="P118" s="24"/>
      <x:c r="Q118" s="24"/>
      <x:c r="R118" s="24"/>
      <x:c r="S118" s="24"/>
      <x:c r="T118" s="24"/>
      <x:c r="U118" s="24"/>
      <x:c r="V118" s="24"/>
      <x:c r="W118" s="24"/>
      <x:c r="X118" s="24"/>
      <x:c r="Y118" s="24"/>
      <x:c r="Z118" s="24"/>
    </x:row>
    <x:row r="119">
      <x:c r="A119" s="24"/>
      <x:c r="B119" s="24"/>
      <x:c r="C119" s="24"/>
      <x:c r="D119" s="24"/>
      <x:c r="E119" s="24"/>
      <x:c r="F119" s="24"/>
      <x:c r="G119" s="24"/>
      <x:c r="H119" s="24"/>
      <x:c r="I119" s="24"/>
      <x:c r="J119" s="24"/>
      <x:c r="K119" s="24"/>
      <x:c r="L119" s="24"/>
      <x:c r="M119" s="24"/>
      <x:c r="N119" s="24"/>
      <x:c r="O119" s="24"/>
      <x:c r="P119" s="24"/>
      <x:c r="Q119" s="24"/>
      <x:c r="R119" s="24"/>
      <x:c r="S119" s="24"/>
      <x:c r="T119" s="24"/>
      <x:c r="U119" s="24"/>
      <x:c r="V119" s="24"/>
      <x:c r="W119" s="24"/>
      <x:c r="X119" s="24"/>
      <x:c r="Y119" s="24"/>
      <x:c r="Z119" s="24"/>
    </x:row>
    <x:row r="120">
      <x:c r="A120" s="24"/>
      <x:c r="B120" s="24"/>
      <x:c r="C120" s="24"/>
      <x:c r="D120" s="24"/>
      <x:c r="E120" s="24"/>
      <x:c r="F120" s="24"/>
      <x:c r="G120" s="24"/>
      <x:c r="H120" s="24"/>
      <x:c r="I120" s="24"/>
      <x:c r="J120" s="24"/>
      <x:c r="K120" s="24"/>
      <x:c r="L120" s="24"/>
      <x:c r="M120" s="24"/>
      <x:c r="N120" s="24"/>
      <x:c r="O120" s="24"/>
      <x:c r="P120" s="24"/>
      <x:c r="Q120" s="24"/>
      <x:c r="R120" s="24"/>
      <x:c r="S120" s="24"/>
      <x:c r="T120" s="24"/>
      <x:c r="U120" s="24"/>
      <x:c r="V120" s="24"/>
      <x:c r="W120" s="24"/>
      <x:c r="X120" s="24"/>
      <x:c r="Y120" s="24"/>
      <x:c r="Z120" s="24"/>
    </x:row>
    <x:row r="12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  <x:c r="K121" s="24"/>
      <x:c r="L121" s="24"/>
      <x:c r="M121" s="24"/>
      <x:c r="N121" s="24"/>
      <x:c r="O121" s="24"/>
      <x:c r="P121" s="24"/>
      <x:c r="Q121" s="24"/>
      <x:c r="R121" s="24"/>
      <x:c r="S121" s="24"/>
      <x:c r="T121" s="24"/>
      <x:c r="U121" s="24"/>
      <x:c r="V121" s="24"/>
      <x:c r="W121" s="24"/>
      <x:c r="X121" s="24"/>
      <x:c r="Y121" s="24"/>
      <x:c r="Z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  <x:c r="K122" s="24"/>
      <x:c r="L122" s="24"/>
      <x:c r="M122" s="24"/>
      <x:c r="N122" s="24"/>
      <x:c r="O122" s="24"/>
      <x:c r="P122" s="24"/>
      <x:c r="Q122" s="24"/>
      <x:c r="R122" s="24"/>
      <x:c r="S122" s="24"/>
      <x:c r="T122" s="24"/>
      <x:c r="U122" s="24"/>
      <x:c r="V122" s="24"/>
      <x:c r="W122" s="24"/>
      <x:c r="X122" s="24"/>
      <x:c r="Y122" s="24"/>
      <x:c r="Z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  <x:c r="M123" s="24"/>
      <x:c r="N123" s="24"/>
      <x:c r="O123" s="24"/>
      <x:c r="P123" s="24"/>
      <x:c r="Q123" s="24"/>
      <x:c r="R123" s="24"/>
      <x:c r="S123" s="24"/>
      <x:c r="T123" s="24"/>
      <x:c r="U123" s="24"/>
      <x:c r="V123" s="24"/>
      <x:c r="W123" s="24"/>
      <x:c r="X123" s="24"/>
      <x:c r="Y123" s="24"/>
      <x:c r="Z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  <x:c r="M124" s="24"/>
      <x:c r="N124" s="24"/>
      <x:c r="O124" s="24"/>
      <x:c r="P124" s="24"/>
      <x:c r="Q124" s="24"/>
      <x:c r="R124" s="24"/>
      <x:c r="S124" s="24"/>
      <x:c r="T124" s="24"/>
      <x:c r="U124" s="24"/>
      <x:c r="V124" s="24"/>
      <x:c r="W124" s="24"/>
      <x:c r="X124" s="24"/>
      <x:c r="Y124" s="24"/>
      <x:c r="Z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  <x:c r="K125" s="24"/>
      <x:c r="L125" s="24"/>
      <x:c r="M125" s="24"/>
      <x:c r="N125" s="24"/>
      <x:c r="O125" s="24"/>
      <x:c r="P125" s="24"/>
      <x:c r="Q125" s="24"/>
      <x:c r="R125" s="24"/>
      <x:c r="S125" s="24"/>
      <x:c r="T125" s="24"/>
      <x:c r="U125" s="24"/>
      <x:c r="V125" s="24"/>
      <x:c r="W125" s="24"/>
      <x:c r="X125" s="24"/>
      <x:c r="Y125" s="24"/>
      <x:c r="Z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  <x:c r="K126" s="24"/>
      <x:c r="L126" s="24"/>
      <x:c r="M126" s="24"/>
      <x:c r="N126" s="24"/>
      <x:c r="O126" s="24"/>
      <x:c r="P126" s="24"/>
      <x:c r="Q126" s="24"/>
      <x:c r="R126" s="24"/>
      <x:c r="S126" s="24"/>
      <x:c r="T126" s="24"/>
      <x:c r="U126" s="24"/>
      <x:c r="V126" s="24"/>
      <x:c r="W126" s="24"/>
      <x:c r="X126" s="24"/>
      <x:c r="Y126" s="24"/>
      <x:c r="Z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  <x:c r="K127" s="24"/>
      <x:c r="L127" s="24"/>
      <x:c r="M127" s="24"/>
      <x:c r="N127" s="24"/>
      <x:c r="O127" s="24"/>
      <x:c r="P127" s="24"/>
      <x:c r="Q127" s="24"/>
      <x:c r="R127" s="24"/>
      <x:c r="S127" s="24"/>
      <x:c r="T127" s="24"/>
      <x:c r="U127" s="24"/>
      <x:c r="V127" s="24"/>
      <x:c r="W127" s="24"/>
      <x:c r="X127" s="24"/>
      <x:c r="Y127" s="24"/>
      <x:c r="Z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  <x:c r="K128" s="24"/>
      <x:c r="L128" s="24"/>
      <x:c r="M128" s="24"/>
      <x:c r="N128" s="24"/>
      <x:c r="O128" s="24"/>
      <x:c r="P128" s="24"/>
      <x:c r="Q128" s="24"/>
      <x:c r="R128" s="24"/>
      <x:c r="S128" s="24"/>
      <x:c r="T128" s="24"/>
      <x:c r="U128" s="24"/>
      <x:c r="V128" s="24"/>
      <x:c r="W128" s="24"/>
      <x:c r="X128" s="24"/>
      <x:c r="Y128" s="24"/>
      <x:c r="Z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  <x:c r="K129" s="24"/>
      <x:c r="L129" s="24"/>
      <x:c r="M129" s="24"/>
      <x:c r="N129" s="24"/>
      <x:c r="O129" s="24"/>
      <x:c r="P129" s="24"/>
      <x:c r="Q129" s="24"/>
      <x:c r="R129" s="24"/>
      <x:c r="S129" s="24"/>
      <x:c r="T129" s="24"/>
      <x:c r="U129" s="24"/>
      <x:c r="V129" s="24"/>
      <x:c r="W129" s="24"/>
      <x:c r="X129" s="24"/>
      <x:c r="Y129" s="24"/>
      <x:c r="Z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  <x:c r="K130" s="24"/>
      <x:c r="L130" s="24"/>
      <x:c r="M130" s="24"/>
      <x:c r="N130" s="24"/>
      <x:c r="O130" s="24"/>
      <x:c r="P130" s="24"/>
      <x:c r="Q130" s="24"/>
      <x:c r="R130" s="24"/>
      <x:c r="S130" s="24"/>
      <x:c r="T130" s="24"/>
      <x:c r="U130" s="24"/>
      <x:c r="V130" s="24"/>
      <x:c r="W130" s="24"/>
      <x:c r="X130" s="24"/>
      <x:c r="Y130" s="24"/>
      <x:c r="Z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  <x:c r="K131" s="24"/>
      <x:c r="L131" s="24"/>
      <x:c r="M131" s="24"/>
      <x:c r="N131" s="24"/>
      <x:c r="O131" s="24"/>
      <x:c r="P131" s="24"/>
      <x:c r="Q131" s="24"/>
      <x:c r="R131" s="24"/>
      <x:c r="S131" s="24"/>
      <x:c r="T131" s="24"/>
      <x:c r="U131" s="24"/>
      <x:c r="V131" s="24"/>
      <x:c r="W131" s="24"/>
      <x:c r="X131" s="24"/>
      <x:c r="Y131" s="24"/>
      <x:c r="Z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  <x:c r="K132" s="24"/>
      <x:c r="L132" s="24"/>
      <x:c r="M132" s="24"/>
      <x:c r="N132" s="24"/>
      <x:c r="O132" s="24"/>
      <x:c r="P132" s="24"/>
      <x:c r="Q132" s="24"/>
      <x:c r="R132" s="24"/>
      <x:c r="S132" s="24"/>
      <x:c r="T132" s="24"/>
      <x:c r="U132" s="24"/>
      <x:c r="V132" s="24"/>
      <x:c r="W132" s="24"/>
      <x:c r="X132" s="24"/>
      <x:c r="Y132" s="24"/>
      <x:c r="Z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  <x:c r="K133" s="24"/>
      <x:c r="L133" s="24"/>
      <x:c r="M133" s="24"/>
      <x:c r="N133" s="24"/>
      <x:c r="O133" s="24"/>
      <x:c r="P133" s="24"/>
      <x:c r="Q133" s="24"/>
      <x:c r="R133" s="24"/>
      <x:c r="S133" s="24"/>
      <x:c r="T133" s="24"/>
      <x:c r="U133" s="24"/>
      <x:c r="V133" s="24"/>
      <x:c r="W133" s="24"/>
      <x:c r="X133" s="24"/>
      <x:c r="Y133" s="24"/>
      <x:c r="Z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  <x:c r="K134" s="24"/>
      <x:c r="L134" s="24"/>
      <x:c r="M134" s="24"/>
      <x:c r="N134" s="24"/>
      <x:c r="O134" s="24"/>
      <x:c r="P134" s="24"/>
      <x:c r="Q134" s="24"/>
      <x:c r="R134" s="24"/>
      <x:c r="S134" s="24"/>
      <x:c r="T134" s="24"/>
      <x:c r="U134" s="24"/>
      <x:c r="V134" s="24"/>
      <x:c r="W134" s="24"/>
      <x:c r="X134" s="24"/>
      <x:c r="Y134" s="24"/>
      <x:c r="Z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  <x:c r="K135" s="24"/>
      <x:c r="L135" s="24"/>
      <x:c r="M135" s="24"/>
      <x:c r="N135" s="24"/>
      <x:c r="O135" s="24"/>
      <x:c r="P135" s="24"/>
      <x:c r="Q135" s="24"/>
      <x:c r="R135" s="24"/>
      <x:c r="S135" s="24"/>
      <x:c r="T135" s="24"/>
      <x:c r="U135" s="24"/>
      <x:c r="V135" s="24"/>
      <x:c r="W135" s="24"/>
      <x:c r="X135" s="24"/>
      <x:c r="Y135" s="24"/>
      <x:c r="Z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  <x:c r="K136" s="24"/>
      <x:c r="L136" s="24"/>
      <x:c r="M136" s="24"/>
      <x:c r="N136" s="24"/>
      <x:c r="O136" s="24"/>
      <x:c r="P136" s="24"/>
      <x:c r="Q136" s="24"/>
      <x:c r="R136" s="24"/>
      <x:c r="S136" s="24"/>
      <x:c r="T136" s="24"/>
      <x:c r="U136" s="24"/>
      <x:c r="V136" s="24"/>
      <x:c r="W136" s="24"/>
      <x:c r="X136" s="24"/>
      <x:c r="Y136" s="24"/>
      <x:c r="Z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  <x:c r="L137" s="24"/>
      <x:c r="M137" s="24"/>
      <x:c r="N137" s="24"/>
      <x:c r="O137" s="24"/>
      <x:c r="P137" s="24"/>
      <x:c r="Q137" s="24"/>
      <x:c r="R137" s="24"/>
      <x:c r="S137" s="24"/>
      <x:c r="T137" s="24"/>
      <x:c r="U137" s="24"/>
      <x:c r="V137" s="24"/>
      <x:c r="W137" s="24"/>
      <x:c r="X137" s="24"/>
      <x:c r="Y137" s="24"/>
      <x:c r="Z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  <x:c r="K138" s="24"/>
      <x:c r="L138" s="24"/>
      <x:c r="M138" s="24"/>
      <x:c r="N138" s="24"/>
      <x:c r="O138" s="24"/>
      <x:c r="P138" s="24"/>
      <x:c r="Q138" s="24"/>
      <x:c r="R138" s="24"/>
      <x:c r="S138" s="24"/>
      <x:c r="T138" s="24"/>
      <x:c r="U138" s="24"/>
      <x:c r="V138" s="24"/>
      <x:c r="W138" s="24"/>
      <x:c r="X138" s="24"/>
      <x:c r="Y138" s="24"/>
      <x:c r="Z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  <x:c r="K139" s="24"/>
      <x:c r="L139" s="24"/>
      <x:c r="M139" s="24"/>
      <x:c r="N139" s="24"/>
      <x:c r="O139" s="24"/>
      <x:c r="P139" s="24"/>
      <x:c r="Q139" s="24"/>
      <x:c r="R139" s="24"/>
      <x:c r="S139" s="24"/>
      <x:c r="T139" s="24"/>
      <x:c r="U139" s="24"/>
      <x:c r="V139" s="24"/>
      <x:c r="W139" s="24"/>
      <x:c r="X139" s="24"/>
      <x:c r="Y139" s="24"/>
      <x:c r="Z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  <x:c r="K140" s="24"/>
      <x:c r="L140" s="24"/>
      <x:c r="M140" s="24"/>
      <x:c r="N140" s="24"/>
      <x:c r="O140" s="24"/>
      <x:c r="P140" s="24"/>
      <x:c r="Q140" s="24"/>
      <x:c r="R140" s="24"/>
      <x:c r="S140" s="24"/>
      <x:c r="T140" s="24"/>
      <x:c r="U140" s="24"/>
      <x:c r="V140" s="24"/>
      <x:c r="W140" s="24"/>
      <x:c r="X140" s="24"/>
      <x:c r="Y140" s="24"/>
      <x:c r="Z140" s="24"/>
    </x:row>
    <x:row r="141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  <x:c r="K141" s="24"/>
      <x:c r="L141" s="24"/>
      <x:c r="M141" s="24"/>
      <x:c r="N141" s="24"/>
      <x:c r="O141" s="24"/>
      <x:c r="P141" s="24"/>
      <x:c r="Q141" s="24"/>
      <x:c r="R141" s="24"/>
      <x:c r="S141" s="24"/>
      <x:c r="T141" s="24"/>
      <x:c r="U141" s="24"/>
      <x:c r="V141" s="24"/>
      <x:c r="W141" s="24"/>
      <x:c r="X141" s="24"/>
      <x:c r="Y141" s="24"/>
      <x:c r="Z141" s="24"/>
    </x:row>
    <x:row r="142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  <x:c r="K142" s="24"/>
      <x:c r="L142" s="24"/>
      <x:c r="M142" s="24"/>
      <x:c r="N142" s="24"/>
      <x:c r="O142" s="24"/>
      <x:c r="P142" s="24"/>
      <x:c r="Q142" s="24"/>
      <x:c r="R142" s="24"/>
      <x:c r="S142" s="24"/>
      <x:c r="T142" s="24"/>
      <x:c r="U142" s="24"/>
      <x:c r="V142" s="24"/>
      <x:c r="W142" s="24"/>
      <x:c r="X142" s="24"/>
      <x:c r="Y142" s="24"/>
      <x:c r="Z142" s="24"/>
    </x:row>
    <x:row r="143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  <x:c r="K143" s="24"/>
      <x:c r="L143" s="24"/>
      <x:c r="M143" s="24"/>
      <x:c r="N143" s="24"/>
      <x:c r="O143" s="24"/>
      <x:c r="P143" s="24"/>
      <x:c r="Q143" s="24"/>
      <x:c r="R143" s="24"/>
      <x:c r="S143" s="24"/>
      <x:c r="T143" s="24"/>
      <x:c r="U143" s="24"/>
      <x:c r="V143" s="24"/>
      <x:c r="W143" s="24"/>
      <x:c r="X143" s="24"/>
      <x:c r="Y143" s="24"/>
      <x:c r="Z143" s="24"/>
    </x:row>
    <x:row r="144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  <x:c r="K144" s="24"/>
      <x:c r="L144" s="24"/>
      <x:c r="M144" s="24"/>
      <x:c r="N144" s="24"/>
      <x:c r="O144" s="24"/>
      <x:c r="P144" s="24"/>
      <x:c r="Q144" s="24"/>
      <x:c r="R144" s="24"/>
      <x:c r="S144" s="24"/>
      <x:c r="T144" s="24"/>
      <x:c r="U144" s="24"/>
      <x:c r="V144" s="24"/>
      <x:c r="W144" s="24"/>
      <x:c r="X144" s="24"/>
      <x:c r="Y144" s="24"/>
      <x:c r="Z144" s="24"/>
    </x:row>
    <x:row r="145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  <x:c r="K145" s="24"/>
      <x:c r="L145" s="24"/>
      <x:c r="M145" s="24"/>
      <x:c r="N145" s="24"/>
      <x:c r="O145" s="24"/>
      <x:c r="P145" s="24"/>
      <x:c r="Q145" s="24"/>
      <x:c r="R145" s="24"/>
      <x:c r="S145" s="24"/>
      <x:c r="T145" s="24"/>
      <x:c r="U145" s="24"/>
      <x:c r="V145" s="24"/>
      <x:c r="W145" s="24"/>
      <x:c r="X145" s="24"/>
      <x:c r="Y145" s="24"/>
      <x:c r="Z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  <x:c r="K146" s="24"/>
      <x:c r="L146" s="24"/>
      <x:c r="M146" s="24"/>
      <x:c r="N146" s="24"/>
      <x:c r="O146" s="24"/>
      <x:c r="P146" s="24"/>
      <x:c r="Q146" s="24"/>
      <x:c r="R146" s="24"/>
      <x:c r="S146" s="24"/>
      <x:c r="T146" s="24"/>
      <x:c r="U146" s="24"/>
      <x:c r="V146" s="24"/>
      <x:c r="W146" s="24"/>
      <x:c r="X146" s="24"/>
      <x:c r="Y146" s="24"/>
      <x:c r="Z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  <x:c r="K147" s="24"/>
      <x:c r="L147" s="24"/>
      <x:c r="M147" s="24"/>
      <x:c r="N147" s="24"/>
      <x:c r="O147" s="24"/>
      <x:c r="P147" s="24"/>
      <x:c r="Q147" s="24"/>
      <x:c r="R147" s="24"/>
      <x:c r="S147" s="24"/>
      <x:c r="T147" s="24"/>
      <x:c r="U147" s="24"/>
      <x:c r="V147" s="24"/>
      <x:c r="W147" s="24"/>
      <x:c r="X147" s="24"/>
      <x:c r="Y147" s="24"/>
      <x:c r="Z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  <x:c r="K148" s="24"/>
      <x:c r="L148" s="24"/>
      <x:c r="M148" s="24"/>
      <x:c r="N148" s="24"/>
      <x:c r="O148" s="24"/>
      <x:c r="P148" s="24"/>
      <x:c r="Q148" s="24"/>
      <x:c r="R148" s="24"/>
      <x:c r="S148" s="24"/>
      <x:c r="T148" s="24"/>
      <x:c r="U148" s="24"/>
      <x:c r="V148" s="24"/>
      <x:c r="W148" s="24"/>
      <x:c r="X148" s="24"/>
      <x:c r="Y148" s="24"/>
      <x:c r="Z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  <x:c r="K149" s="24"/>
      <x:c r="L149" s="24"/>
      <x:c r="M149" s="24"/>
      <x:c r="N149" s="24"/>
      <x:c r="O149" s="24"/>
      <x:c r="P149" s="24"/>
      <x:c r="Q149" s="24"/>
      <x:c r="R149" s="24"/>
      <x:c r="S149" s="24"/>
      <x:c r="T149" s="24"/>
      <x:c r="U149" s="24"/>
      <x:c r="V149" s="24"/>
      <x:c r="W149" s="24"/>
      <x:c r="X149" s="24"/>
      <x:c r="Y149" s="24"/>
      <x:c r="Z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  <x:c r="L150" s="24"/>
      <x:c r="M150" s="24"/>
      <x:c r="N150" s="24"/>
      <x:c r="O150" s="24"/>
      <x:c r="P150" s="24"/>
      <x:c r="Q150" s="24"/>
      <x:c r="R150" s="24"/>
      <x:c r="S150" s="24"/>
      <x:c r="T150" s="24"/>
      <x:c r="U150" s="24"/>
      <x:c r="V150" s="24"/>
      <x:c r="W150" s="24"/>
      <x:c r="X150" s="24"/>
      <x:c r="Y150" s="24"/>
      <x:c r="Z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  <x:c r="K151" s="24"/>
      <x:c r="L151" s="24"/>
      <x:c r="M151" s="24"/>
      <x:c r="N151" s="24"/>
      <x:c r="O151" s="24"/>
      <x:c r="P151" s="24"/>
      <x:c r="Q151" s="24"/>
      <x:c r="R151" s="24"/>
      <x:c r="S151" s="24"/>
      <x:c r="T151" s="24"/>
      <x:c r="U151" s="24"/>
      <x:c r="V151" s="24"/>
      <x:c r="W151" s="24"/>
      <x:c r="X151" s="24"/>
      <x:c r="Y151" s="24"/>
      <x:c r="Z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  <x:c r="K152" s="24"/>
      <x:c r="L152" s="24"/>
      <x:c r="M152" s="24"/>
      <x:c r="N152" s="24"/>
      <x:c r="O152" s="24"/>
      <x:c r="P152" s="24"/>
      <x:c r="Q152" s="24"/>
      <x:c r="R152" s="24"/>
      <x:c r="S152" s="24"/>
      <x:c r="T152" s="24"/>
      <x:c r="U152" s="24"/>
      <x:c r="V152" s="24"/>
      <x:c r="W152" s="24"/>
      <x:c r="X152" s="24"/>
      <x:c r="Y152" s="24"/>
      <x:c r="Z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  <x:c r="K153" s="24"/>
      <x:c r="L153" s="24"/>
      <x:c r="M153" s="24"/>
      <x:c r="N153" s="24"/>
      <x:c r="O153" s="24"/>
      <x:c r="P153" s="24"/>
      <x:c r="Q153" s="24"/>
      <x:c r="R153" s="24"/>
      <x:c r="S153" s="24"/>
      <x:c r="T153" s="24"/>
      <x:c r="U153" s="24"/>
      <x:c r="V153" s="24"/>
      <x:c r="W153" s="24"/>
      <x:c r="X153" s="24"/>
      <x:c r="Y153" s="24"/>
      <x:c r="Z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  <x:c r="K154" s="24"/>
      <x:c r="L154" s="24"/>
      <x:c r="M154" s="24"/>
      <x:c r="N154" s="24"/>
      <x:c r="O154" s="24"/>
      <x:c r="P154" s="24"/>
      <x:c r="Q154" s="24"/>
      <x:c r="R154" s="24"/>
      <x:c r="S154" s="24"/>
      <x:c r="T154" s="24"/>
      <x:c r="U154" s="24"/>
      <x:c r="V154" s="24"/>
      <x:c r="W154" s="24"/>
      <x:c r="X154" s="24"/>
      <x:c r="Y154" s="24"/>
      <x:c r="Z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  <x:c r="K155" s="24"/>
      <x:c r="L155" s="24"/>
      <x:c r="M155" s="24"/>
      <x:c r="N155" s="24"/>
      <x:c r="O155" s="24"/>
      <x:c r="P155" s="24"/>
      <x:c r="Q155" s="24"/>
      <x:c r="R155" s="24"/>
      <x:c r="S155" s="24"/>
      <x:c r="T155" s="24"/>
      <x:c r="U155" s="24"/>
      <x:c r="V155" s="24"/>
      <x:c r="W155" s="24"/>
      <x:c r="X155" s="24"/>
      <x:c r="Y155" s="24"/>
      <x:c r="Z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  <x:c r="K156" s="24"/>
      <x:c r="L156" s="24"/>
      <x:c r="M156" s="24"/>
      <x:c r="N156" s="24"/>
      <x:c r="O156" s="24"/>
      <x:c r="P156" s="24"/>
      <x:c r="Q156" s="24"/>
      <x:c r="R156" s="24"/>
      <x:c r="S156" s="24"/>
      <x:c r="T156" s="24"/>
      <x:c r="U156" s="24"/>
      <x:c r="V156" s="24"/>
      <x:c r="W156" s="24"/>
      <x:c r="X156" s="24"/>
      <x:c r="Y156" s="24"/>
      <x:c r="Z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  <x:c r="K157" s="24"/>
      <x:c r="L157" s="24"/>
      <x:c r="M157" s="24"/>
      <x:c r="N157" s="24"/>
      <x:c r="O157" s="24"/>
      <x:c r="P157" s="24"/>
      <x:c r="Q157" s="24"/>
      <x:c r="R157" s="24"/>
      <x:c r="S157" s="24"/>
      <x:c r="T157" s="24"/>
      <x:c r="U157" s="24"/>
      <x:c r="V157" s="24"/>
      <x:c r="W157" s="24"/>
      <x:c r="X157" s="24"/>
      <x:c r="Y157" s="24"/>
      <x:c r="Z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  <x:c r="K158" s="24"/>
      <x:c r="L158" s="24"/>
      <x:c r="M158" s="24"/>
      <x:c r="N158" s="24"/>
      <x:c r="O158" s="24"/>
      <x:c r="P158" s="24"/>
      <x:c r="Q158" s="24"/>
      <x:c r="R158" s="24"/>
      <x:c r="S158" s="24"/>
      <x:c r="T158" s="24"/>
      <x:c r="U158" s="24"/>
      <x:c r="V158" s="24"/>
      <x:c r="W158" s="24"/>
      <x:c r="X158" s="24"/>
      <x:c r="Y158" s="24"/>
      <x:c r="Z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  <x:c r="K159" s="24"/>
      <x:c r="L159" s="24"/>
      <x:c r="M159" s="24"/>
      <x:c r="N159" s="24"/>
      <x:c r="O159" s="24"/>
      <x:c r="P159" s="24"/>
      <x:c r="Q159" s="24"/>
      <x:c r="R159" s="24"/>
      <x:c r="S159" s="24"/>
      <x:c r="T159" s="24"/>
      <x:c r="U159" s="24"/>
      <x:c r="V159" s="24"/>
      <x:c r="W159" s="24"/>
      <x:c r="X159" s="24"/>
      <x:c r="Y159" s="24"/>
      <x:c r="Z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  <x:c r="K160" s="24"/>
      <x:c r="L160" s="24"/>
      <x:c r="M160" s="24"/>
      <x:c r="N160" s="24"/>
      <x:c r="O160" s="24"/>
      <x:c r="P160" s="24"/>
      <x:c r="Q160" s="24"/>
      <x:c r="R160" s="24"/>
      <x:c r="S160" s="24"/>
      <x:c r="T160" s="24"/>
      <x:c r="U160" s="24"/>
      <x:c r="V160" s="24"/>
      <x:c r="W160" s="24"/>
      <x:c r="X160" s="24"/>
      <x:c r="Y160" s="24"/>
      <x:c r="Z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  <x:c r="K161" s="24"/>
      <x:c r="L161" s="24"/>
      <x:c r="M161" s="24"/>
      <x:c r="N161" s="24"/>
      <x:c r="O161" s="24"/>
      <x:c r="P161" s="24"/>
      <x:c r="Q161" s="24"/>
      <x:c r="R161" s="24"/>
      <x:c r="S161" s="24"/>
      <x:c r="T161" s="24"/>
      <x:c r="U161" s="24"/>
      <x:c r="V161" s="24"/>
      <x:c r="W161" s="24"/>
      <x:c r="X161" s="24"/>
      <x:c r="Y161" s="24"/>
      <x:c r="Z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  <x:c r="K162" s="24"/>
      <x:c r="L162" s="24"/>
      <x:c r="M162" s="24"/>
      <x:c r="N162" s="24"/>
      <x:c r="O162" s="24"/>
      <x:c r="P162" s="24"/>
      <x:c r="Q162" s="24"/>
      <x:c r="R162" s="24"/>
      <x:c r="S162" s="24"/>
      <x:c r="T162" s="24"/>
      <x:c r="U162" s="24"/>
      <x:c r="V162" s="24"/>
      <x:c r="W162" s="24"/>
      <x:c r="X162" s="24"/>
      <x:c r="Y162" s="24"/>
      <x:c r="Z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  <x:c r="K163" s="24"/>
      <x:c r="L163" s="24"/>
      <x:c r="M163" s="24"/>
      <x:c r="N163" s="24"/>
      <x:c r="O163" s="24"/>
      <x:c r="P163" s="24"/>
      <x:c r="Q163" s="24"/>
      <x:c r="R163" s="24"/>
      <x:c r="S163" s="24"/>
      <x:c r="T163" s="24"/>
      <x:c r="U163" s="24"/>
      <x:c r="V163" s="24"/>
      <x:c r="W163" s="24"/>
      <x:c r="X163" s="24"/>
      <x:c r="Y163" s="24"/>
      <x:c r="Z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  <x:c r="K164" s="24"/>
      <x:c r="L164" s="24"/>
      <x:c r="M164" s="24"/>
      <x:c r="N164" s="24"/>
      <x:c r="O164" s="24"/>
      <x:c r="P164" s="24"/>
      <x:c r="Q164" s="24"/>
      <x:c r="R164" s="24"/>
      <x:c r="S164" s="24"/>
      <x:c r="T164" s="24"/>
      <x:c r="U164" s="24"/>
      <x:c r="V164" s="24"/>
      <x:c r="W164" s="24"/>
      <x:c r="X164" s="24"/>
      <x:c r="Y164" s="24"/>
      <x:c r="Z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  <x:c r="K165" s="24"/>
      <x:c r="L165" s="24"/>
      <x:c r="M165" s="24"/>
      <x:c r="N165" s="24"/>
      <x:c r="O165" s="24"/>
      <x:c r="P165" s="24"/>
      <x:c r="Q165" s="24"/>
      <x:c r="R165" s="24"/>
      <x:c r="S165" s="24"/>
      <x:c r="T165" s="24"/>
      <x:c r="U165" s="24"/>
      <x:c r="V165" s="24"/>
      <x:c r="W165" s="24"/>
      <x:c r="X165" s="24"/>
      <x:c r="Y165" s="24"/>
      <x:c r="Z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  <x:c r="K166" s="24"/>
      <x:c r="L166" s="24"/>
      <x:c r="M166" s="24"/>
      <x:c r="N166" s="24"/>
      <x:c r="O166" s="24"/>
      <x:c r="P166" s="24"/>
      <x:c r="Q166" s="24"/>
      <x:c r="R166" s="24"/>
      <x:c r="S166" s="24"/>
      <x:c r="T166" s="24"/>
      <x:c r="U166" s="24"/>
      <x:c r="V166" s="24"/>
      <x:c r="W166" s="24"/>
      <x:c r="X166" s="24"/>
      <x:c r="Y166" s="24"/>
      <x:c r="Z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  <x:c r="K167" s="24"/>
      <x:c r="L167" s="24"/>
      <x:c r="M167" s="24"/>
      <x:c r="N167" s="24"/>
      <x:c r="O167" s="24"/>
      <x:c r="P167" s="24"/>
      <x:c r="Q167" s="24"/>
      <x:c r="R167" s="24"/>
      <x:c r="S167" s="24"/>
      <x:c r="T167" s="24"/>
      <x:c r="U167" s="24"/>
      <x:c r="V167" s="24"/>
      <x:c r="W167" s="24"/>
      <x:c r="X167" s="24"/>
      <x:c r="Y167" s="24"/>
      <x:c r="Z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  <x:c r="K168" s="24"/>
      <x:c r="L168" s="24"/>
      <x:c r="M168" s="24"/>
      <x:c r="N168" s="24"/>
      <x:c r="O168" s="24"/>
      <x:c r="P168" s="24"/>
      <x:c r="Q168" s="24"/>
      <x:c r="R168" s="24"/>
      <x:c r="S168" s="24"/>
      <x:c r="T168" s="24"/>
      <x:c r="U168" s="24"/>
      <x:c r="V168" s="24"/>
      <x:c r="W168" s="24"/>
      <x:c r="X168" s="24"/>
      <x:c r="Y168" s="24"/>
      <x:c r="Z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  <x:c r="K169" s="24"/>
      <x:c r="L169" s="24"/>
      <x:c r="M169" s="24"/>
      <x:c r="N169" s="24"/>
      <x:c r="O169" s="24"/>
      <x:c r="P169" s="24"/>
      <x:c r="Q169" s="24"/>
      <x:c r="R169" s="24"/>
      <x:c r="S169" s="24"/>
      <x:c r="T169" s="24"/>
      <x:c r="U169" s="24"/>
      <x:c r="V169" s="24"/>
      <x:c r="W169" s="24"/>
      <x:c r="X169" s="24"/>
      <x:c r="Y169" s="24"/>
      <x:c r="Z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  <x:c r="K170" s="24"/>
      <x:c r="L170" s="24"/>
      <x:c r="M170" s="24"/>
      <x:c r="N170" s="24"/>
      <x:c r="O170" s="24"/>
      <x:c r="P170" s="24"/>
      <x:c r="Q170" s="24"/>
      <x:c r="R170" s="24"/>
      <x:c r="S170" s="24"/>
      <x:c r="T170" s="24"/>
      <x:c r="U170" s="24"/>
      <x:c r="V170" s="24"/>
      <x:c r="W170" s="24"/>
      <x:c r="X170" s="24"/>
      <x:c r="Y170" s="24"/>
      <x:c r="Z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  <x:c r="K171" s="24"/>
      <x:c r="L171" s="24"/>
      <x:c r="M171" s="24"/>
      <x:c r="N171" s="24"/>
      <x:c r="O171" s="24"/>
      <x:c r="P171" s="24"/>
      <x:c r="Q171" s="24"/>
      <x:c r="R171" s="24"/>
      <x:c r="S171" s="24"/>
      <x:c r="T171" s="24"/>
      <x:c r="U171" s="24"/>
      <x:c r="V171" s="24"/>
      <x:c r="W171" s="24"/>
      <x:c r="X171" s="24"/>
      <x:c r="Y171" s="24"/>
      <x:c r="Z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  <x:c r="K172" s="24"/>
      <x:c r="L172" s="24"/>
      <x:c r="M172" s="24"/>
      <x:c r="N172" s="24"/>
      <x:c r="O172" s="24"/>
      <x:c r="P172" s="24"/>
      <x:c r="Q172" s="24"/>
      <x:c r="R172" s="24"/>
      <x:c r="S172" s="24"/>
      <x:c r="T172" s="24"/>
      <x:c r="U172" s="24"/>
      <x:c r="V172" s="24"/>
      <x:c r="W172" s="24"/>
      <x:c r="X172" s="24"/>
      <x:c r="Y172" s="24"/>
      <x:c r="Z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  <x:c r="K173" s="24"/>
      <x:c r="L173" s="24"/>
      <x:c r="M173" s="24"/>
      <x:c r="N173" s="24"/>
      <x:c r="O173" s="24"/>
      <x:c r="P173" s="24"/>
      <x:c r="Q173" s="24"/>
      <x:c r="R173" s="24"/>
      <x:c r="S173" s="24"/>
      <x:c r="T173" s="24"/>
      <x:c r="U173" s="24"/>
      <x:c r="V173" s="24"/>
      <x:c r="W173" s="24"/>
      <x:c r="X173" s="24"/>
      <x:c r="Y173" s="24"/>
      <x:c r="Z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  <x:c r="K174" s="24"/>
      <x:c r="L174" s="24"/>
      <x:c r="M174" s="24"/>
      <x:c r="N174" s="24"/>
      <x:c r="O174" s="24"/>
      <x:c r="P174" s="24"/>
      <x:c r="Q174" s="24"/>
      <x:c r="R174" s="24"/>
      <x:c r="S174" s="24"/>
      <x:c r="T174" s="24"/>
      <x:c r="U174" s="24"/>
      <x:c r="V174" s="24"/>
      <x:c r="W174" s="24"/>
      <x:c r="X174" s="24"/>
      <x:c r="Y174" s="24"/>
      <x:c r="Z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  <x:c r="K175" s="24"/>
      <x:c r="L175" s="24"/>
      <x:c r="M175" s="24"/>
      <x:c r="N175" s="24"/>
      <x:c r="O175" s="24"/>
      <x:c r="P175" s="24"/>
      <x:c r="Q175" s="24"/>
      <x:c r="R175" s="24"/>
      <x:c r="S175" s="24"/>
      <x:c r="T175" s="24"/>
      <x:c r="U175" s="24"/>
      <x:c r="V175" s="24"/>
      <x:c r="W175" s="24"/>
      <x:c r="X175" s="24"/>
      <x:c r="Y175" s="24"/>
      <x:c r="Z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  <x:c r="K176" s="24"/>
      <x:c r="L176" s="24"/>
      <x:c r="M176" s="24"/>
      <x:c r="N176" s="24"/>
      <x:c r="O176" s="24"/>
      <x:c r="P176" s="24"/>
      <x:c r="Q176" s="24"/>
      <x:c r="R176" s="24"/>
      <x:c r="S176" s="24"/>
      <x:c r="T176" s="24"/>
      <x:c r="U176" s="24"/>
      <x:c r="V176" s="24"/>
      <x:c r="W176" s="24"/>
      <x:c r="X176" s="24"/>
      <x:c r="Y176" s="24"/>
      <x:c r="Z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  <x:c r="K177" s="24"/>
      <x:c r="L177" s="24"/>
      <x:c r="M177" s="24"/>
      <x:c r="N177" s="24"/>
      <x:c r="O177" s="24"/>
      <x:c r="P177" s="24"/>
      <x:c r="Q177" s="24"/>
      <x:c r="R177" s="24"/>
      <x:c r="S177" s="24"/>
      <x:c r="T177" s="24"/>
      <x:c r="U177" s="24"/>
      <x:c r="V177" s="24"/>
      <x:c r="W177" s="24"/>
      <x:c r="X177" s="24"/>
      <x:c r="Y177" s="24"/>
      <x:c r="Z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  <x:c r="K178" s="24"/>
      <x:c r="L178" s="24"/>
      <x:c r="M178" s="24"/>
      <x:c r="N178" s="24"/>
      <x:c r="O178" s="24"/>
      <x:c r="P178" s="24"/>
      <x:c r="Q178" s="24"/>
      <x:c r="R178" s="24"/>
      <x:c r="S178" s="24"/>
      <x:c r="T178" s="24"/>
      <x:c r="U178" s="24"/>
      <x:c r="V178" s="24"/>
      <x:c r="W178" s="24"/>
      <x:c r="X178" s="24"/>
      <x:c r="Y178" s="24"/>
      <x:c r="Z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  <x:c r="K179" s="24"/>
      <x:c r="L179" s="24"/>
      <x:c r="M179" s="24"/>
      <x:c r="N179" s="24"/>
      <x:c r="O179" s="24"/>
      <x:c r="P179" s="24"/>
      <x:c r="Q179" s="24"/>
      <x:c r="R179" s="24"/>
      <x:c r="S179" s="24"/>
      <x:c r="T179" s="24"/>
      <x:c r="U179" s="24"/>
      <x:c r="V179" s="24"/>
      <x:c r="W179" s="24"/>
      <x:c r="X179" s="24"/>
      <x:c r="Y179" s="24"/>
      <x:c r="Z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  <x:c r="K180" s="24"/>
      <x:c r="L180" s="24"/>
      <x:c r="M180" s="24"/>
      <x:c r="N180" s="24"/>
      <x:c r="O180" s="24"/>
      <x:c r="P180" s="24"/>
      <x:c r="Q180" s="24"/>
      <x:c r="R180" s="24"/>
      <x:c r="S180" s="24"/>
      <x:c r="T180" s="24"/>
      <x:c r="U180" s="24"/>
      <x:c r="V180" s="24"/>
      <x:c r="W180" s="24"/>
      <x:c r="X180" s="24"/>
      <x:c r="Y180" s="24"/>
      <x:c r="Z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  <x:c r="K181" s="24"/>
      <x:c r="L181" s="24"/>
      <x:c r="M181" s="24"/>
      <x:c r="N181" s="24"/>
      <x:c r="O181" s="24"/>
      <x:c r="P181" s="24"/>
      <x:c r="Q181" s="24"/>
      <x:c r="R181" s="24"/>
      <x:c r="S181" s="24"/>
      <x:c r="T181" s="24"/>
      <x:c r="U181" s="24"/>
      <x:c r="V181" s="24"/>
      <x:c r="W181" s="24"/>
      <x:c r="X181" s="24"/>
      <x:c r="Y181" s="24"/>
      <x:c r="Z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  <x:c r="K182" s="24"/>
      <x:c r="L182" s="24"/>
      <x:c r="M182" s="24"/>
      <x:c r="N182" s="24"/>
      <x:c r="O182" s="24"/>
      <x:c r="P182" s="24"/>
      <x:c r="Q182" s="24"/>
      <x:c r="R182" s="24"/>
      <x:c r="S182" s="24"/>
      <x:c r="T182" s="24"/>
      <x:c r="U182" s="24"/>
      <x:c r="V182" s="24"/>
      <x:c r="W182" s="24"/>
      <x:c r="X182" s="24"/>
      <x:c r="Y182" s="24"/>
      <x:c r="Z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  <x:c r="K183" s="24"/>
      <x:c r="L183" s="24"/>
      <x:c r="M183" s="24"/>
      <x:c r="N183" s="24"/>
      <x:c r="O183" s="24"/>
      <x:c r="P183" s="24"/>
      <x:c r="Q183" s="24"/>
      <x:c r="R183" s="24"/>
      <x:c r="S183" s="24"/>
      <x:c r="T183" s="24"/>
      <x:c r="U183" s="24"/>
      <x:c r="V183" s="24"/>
      <x:c r="W183" s="24"/>
      <x:c r="X183" s="24"/>
      <x:c r="Y183" s="24"/>
      <x:c r="Z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  <x:c r="K184" s="24"/>
      <x:c r="L184" s="24"/>
      <x:c r="M184" s="24"/>
      <x:c r="N184" s="24"/>
      <x:c r="O184" s="24"/>
      <x:c r="P184" s="24"/>
      <x:c r="Q184" s="24"/>
      <x:c r="R184" s="24"/>
      <x:c r="S184" s="24"/>
      <x:c r="T184" s="24"/>
      <x:c r="U184" s="24"/>
      <x:c r="V184" s="24"/>
      <x:c r="W184" s="24"/>
      <x:c r="X184" s="24"/>
      <x:c r="Y184" s="24"/>
      <x:c r="Z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  <x:c r="K185" s="24"/>
      <x:c r="L185" s="24"/>
      <x:c r="M185" s="24"/>
      <x:c r="N185" s="24"/>
      <x:c r="O185" s="24"/>
      <x:c r="P185" s="24"/>
      <x:c r="Q185" s="24"/>
      <x:c r="R185" s="24"/>
      <x:c r="S185" s="24"/>
      <x:c r="T185" s="24"/>
      <x:c r="U185" s="24"/>
      <x:c r="V185" s="24"/>
      <x:c r="W185" s="24"/>
      <x:c r="X185" s="24"/>
      <x:c r="Y185" s="24"/>
      <x:c r="Z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  <x:c r="K186" s="24"/>
      <x:c r="L186" s="24"/>
      <x:c r="M186" s="24"/>
      <x:c r="N186" s="24"/>
      <x:c r="O186" s="24"/>
      <x:c r="P186" s="24"/>
      <x:c r="Q186" s="24"/>
      <x:c r="R186" s="24"/>
      <x:c r="S186" s="24"/>
      <x:c r="T186" s="24"/>
      <x:c r="U186" s="24"/>
      <x:c r="V186" s="24"/>
      <x:c r="W186" s="24"/>
      <x:c r="X186" s="24"/>
      <x:c r="Y186" s="24"/>
      <x:c r="Z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  <x:c r="K187" s="24"/>
      <x:c r="L187" s="24"/>
      <x:c r="M187" s="24"/>
      <x:c r="N187" s="24"/>
      <x:c r="O187" s="24"/>
      <x:c r="P187" s="24"/>
      <x:c r="Q187" s="24"/>
      <x:c r="R187" s="24"/>
      <x:c r="S187" s="24"/>
      <x:c r="T187" s="24"/>
      <x:c r="U187" s="24"/>
      <x:c r="V187" s="24"/>
      <x:c r="W187" s="24"/>
      <x:c r="X187" s="24"/>
      <x:c r="Y187" s="24"/>
      <x:c r="Z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  <x:c r="K188" s="24"/>
      <x:c r="L188" s="24"/>
      <x:c r="M188" s="24"/>
      <x:c r="N188" s="24"/>
      <x:c r="O188" s="24"/>
      <x:c r="P188" s="24"/>
      <x:c r="Q188" s="24"/>
      <x:c r="R188" s="24"/>
      <x:c r="S188" s="24"/>
      <x:c r="T188" s="24"/>
      <x:c r="U188" s="24"/>
      <x:c r="V188" s="24"/>
      <x:c r="W188" s="24"/>
      <x:c r="X188" s="24"/>
      <x:c r="Y188" s="24"/>
      <x:c r="Z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  <x:c r="K189" s="24"/>
      <x:c r="L189" s="24"/>
      <x:c r="M189" s="24"/>
      <x:c r="N189" s="24"/>
      <x:c r="O189" s="24"/>
      <x:c r="P189" s="24"/>
      <x:c r="Q189" s="24"/>
      <x:c r="R189" s="24"/>
      <x:c r="S189" s="24"/>
      <x:c r="T189" s="24"/>
      <x:c r="U189" s="24"/>
      <x:c r="V189" s="24"/>
      <x:c r="W189" s="24"/>
      <x:c r="X189" s="24"/>
      <x:c r="Y189" s="24"/>
      <x:c r="Z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  <x:c r="K190" s="24"/>
      <x:c r="L190" s="24"/>
      <x:c r="M190" s="24"/>
      <x:c r="N190" s="24"/>
      <x:c r="O190" s="24"/>
      <x:c r="P190" s="24"/>
      <x:c r="Q190" s="24"/>
      <x:c r="R190" s="24"/>
      <x:c r="S190" s="24"/>
      <x:c r="T190" s="24"/>
      <x:c r="U190" s="24"/>
      <x:c r="V190" s="24"/>
      <x:c r="W190" s="24"/>
      <x:c r="X190" s="24"/>
      <x:c r="Y190" s="24"/>
      <x:c r="Z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  <x:c r="K191" s="24"/>
      <x:c r="L191" s="24"/>
      <x:c r="M191" s="24"/>
      <x:c r="N191" s="24"/>
      <x:c r="O191" s="24"/>
      <x:c r="P191" s="24"/>
      <x:c r="Q191" s="24"/>
      <x:c r="R191" s="24"/>
      <x:c r="S191" s="24"/>
      <x:c r="T191" s="24"/>
      <x:c r="U191" s="24"/>
      <x:c r="V191" s="24"/>
      <x:c r="W191" s="24"/>
      <x:c r="X191" s="24"/>
      <x:c r="Y191" s="24"/>
      <x:c r="Z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  <x:c r="K192" s="24"/>
      <x:c r="L192" s="24"/>
      <x:c r="M192" s="24"/>
      <x:c r="N192" s="24"/>
      <x:c r="O192" s="24"/>
      <x:c r="P192" s="24"/>
      <x:c r="Q192" s="24"/>
      <x:c r="R192" s="24"/>
      <x:c r="S192" s="24"/>
      <x:c r="T192" s="24"/>
      <x:c r="U192" s="24"/>
      <x:c r="V192" s="24"/>
      <x:c r="W192" s="24"/>
      <x:c r="X192" s="24"/>
      <x:c r="Y192" s="24"/>
      <x:c r="Z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  <x:c r="K193" s="24"/>
      <x:c r="L193" s="24"/>
      <x:c r="M193" s="24"/>
      <x:c r="N193" s="24"/>
      <x:c r="O193" s="24"/>
      <x:c r="P193" s="24"/>
      <x:c r="Q193" s="24"/>
      <x:c r="R193" s="24"/>
      <x:c r="S193" s="24"/>
      <x:c r="T193" s="24"/>
      <x:c r="U193" s="24"/>
      <x:c r="V193" s="24"/>
      <x:c r="W193" s="24"/>
      <x:c r="X193" s="24"/>
      <x:c r="Y193" s="24"/>
      <x:c r="Z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  <x:c r="K194" s="24"/>
      <x:c r="L194" s="24"/>
      <x:c r="M194" s="24"/>
      <x:c r="N194" s="24"/>
      <x:c r="O194" s="24"/>
      <x:c r="P194" s="24"/>
      <x:c r="Q194" s="24"/>
      <x:c r="R194" s="24"/>
      <x:c r="S194" s="24"/>
      <x:c r="T194" s="24"/>
      <x:c r="U194" s="24"/>
      <x:c r="V194" s="24"/>
      <x:c r="W194" s="24"/>
      <x:c r="X194" s="24"/>
      <x:c r="Y194" s="24"/>
      <x:c r="Z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  <x:c r="K195" s="24"/>
      <x:c r="L195" s="24"/>
      <x:c r="M195" s="24"/>
      <x:c r="N195" s="24"/>
      <x:c r="O195" s="24"/>
      <x:c r="P195" s="24"/>
      <x:c r="Q195" s="24"/>
      <x:c r="R195" s="24"/>
      <x:c r="S195" s="24"/>
      <x:c r="T195" s="24"/>
      <x:c r="U195" s="24"/>
      <x:c r="V195" s="24"/>
      <x:c r="W195" s="24"/>
      <x:c r="X195" s="24"/>
      <x:c r="Y195" s="24"/>
      <x:c r="Z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  <x:c r="K196" s="24"/>
      <x:c r="L196" s="24"/>
      <x:c r="M196" s="24"/>
      <x:c r="N196" s="24"/>
      <x:c r="O196" s="24"/>
      <x:c r="P196" s="24"/>
      <x:c r="Q196" s="24"/>
      <x:c r="R196" s="24"/>
      <x:c r="S196" s="24"/>
      <x:c r="T196" s="24"/>
      <x:c r="U196" s="24"/>
      <x:c r="V196" s="24"/>
      <x:c r="W196" s="24"/>
      <x:c r="X196" s="24"/>
      <x:c r="Y196" s="24"/>
      <x:c r="Z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  <x:c r="K197" s="24"/>
      <x:c r="L197" s="24"/>
      <x:c r="M197" s="24"/>
      <x:c r="N197" s="24"/>
      <x:c r="O197" s="24"/>
      <x:c r="P197" s="24"/>
      <x:c r="Q197" s="24"/>
      <x:c r="R197" s="24"/>
      <x:c r="S197" s="24"/>
      <x:c r="T197" s="24"/>
      <x:c r="U197" s="24"/>
      <x:c r="V197" s="24"/>
      <x:c r="W197" s="24"/>
      <x:c r="X197" s="24"/>
      <x:c r="Y197" s="24"/>
      <x:c r="Z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  <x:c r="K198" s="24"/>
      <x:c r="L198" s="24"/>
      <x:c r="M198" s="24"/>
      <x:c r="N198" s="24"/>
      <x:c r="O198" s="24"/>
      <x:c r="P198" s="24"/>
      <x:c r="Q198" s="24"/>
      <x:c r="R198" s="24"/>
      <x:c r="S198" s="24"/>
      <x:c r="T198" s="24"/>
      <x:c r="U198" s="24"/>
      <x:c r="V198" s="24"/>
      <x:c r="W198" s="24"/>
      <x:c r="X198" s="24"/>
      <x:c r="Y198" s="24"/>
      <x:c r="Z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  <x:c r="K199" s="24"/>
      <x:c r="L199" s="24"/>
      <x:c r="M199" s="24"/>
      <x:c r="N199" s="24"/>
      <x:c r="O199" s="24"/>
      <x:c r="P199" s="24"/>
      <x:c r="Q199" s="24"/>
      <x:c r="R199" s="24"/>
      <x:c r="S199" s="24"/>
      <x:c r="T199" s="24"/>
      <x:c r="U199" s="24"/>
      <x:c r="V199" s="24"/>
      <x:c r="W199" s="24"/>
      <x:c r="X199" s="24"/>
      <x:c r="Y199" s="24"/>
      <x:c r="Z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  <x:c r="K200" s="24"/>
      <x:c r="L200" s="24"/>
      <x:c r="M200" s="24"/>
      <x:c r="N200" s="24"/>
      <x:c r="O200" s="24"/>
      <x:c r="P200" s="24"/>
      <x:c r="Q200" s="24"/>
      <x:c r="R200" s="24"/>
      <x:c r="S200" s="24"/>
      <x:c r="T200" s="24"/>
      <x:c r="U200" s="24"/>
      <x:c r="V200" s="24"/>
      <x:c r="W200" s="24"/>
      <x:c r="X200" s="24"/>
      <x:c r="Y200" s="24"/>
      <x:c r="Z200" s="24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49aec297e4b34a47"/>
  </x:tableParts>
</x:worksheet>
</file>

<file path=xl/worksheets/sheet5.xml><?xml version="1.0" encoding="utf-8"?>
<x:worksheet xmlns:x="http://schemas.openxmlformats.org/spreadsheetml/2006/main">
  <x:sheetFormatPr defaultRowHeight="15"/>
  <x:cols>
    <x:col min="2" max="2" width="92" hidden="0" customWidth="1"/>
    <x:col min="1" max="1" width="18" hidden="0" customWidth="1"/>
  </x:cols>
  <x:sheetData>
    <x:row r="1">
      <x:c r="A1" s="22" t="str">
        <x:v>ANALYSIS — CURRENT → V2.1</x:v>
      </x:c>
      <x:c r="B1" s="22"/>
      <x:c r="C1" s="22"/>
      <x:c r="D1" s="22"/>
      <x:c r="E1" s="22"/>
      <x:c r="F1" s="22"/>
      <x:c r="G1" s="22"/>
      <x:c r="H1" s="22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>
      <x:c r="A2" s="24"/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  <x:c r="R2" s="24"/>
      <x:c r="S2" s="24"/>
      <x:c r="T2" s="24"/>
      <x:c r="U2" s="24"/>
      <x:c r="V2" s="24"/>
      <x:c r="W2" s="24"/>
      <x:c r="X2" s="24"/>
      <x:c r="Y2" s="24"/>
      <x:c r="Z2" s="24"/>
    </x:row>
    <x:row r="3">
      <x:c r="A3" s="81" t="str">
        <x:v>IDENTITY</x:v>
      </x:c>
      <x:c r="B3" s="81"/>
      <x:c r="C3" s="81"/>
      <x:c r="D3" s="81"/>
      <x:c r="E3" s="81"/>
      <x:c r="F3" s="81"/>
      <x:c r="G3" s="81"/>
      <x:c r="H3" s="81"/>
      <x:c r="I3" s="24"/>
      <x:c r="J3" s="24"/>
      <x:c r="K3" s="24"/>
      <x:c r="L3" s="24"/>
      <x:c r="M3" s="24"/>
      <x:c r="N3" s="24"/>
      <x:c r="O3" s="24"/>
      <x:c r="P3" s="24"/>
      <x:c r="Q3" s="24"/>
      <x:c r="R3" s="24"/>
      <x:c r="S3" s="24"/>
      <x:c r="T3" s="24"/>
      <x:c r="U3" s="24"/>
      <x:c r="V3" s="24"/>
      <x:c r="W3" s="24"/>
      <x:c r="X3" s="24"/>
      <x:c r="Y3" s="24"/>
      <x:c r="Z3" s="24"/>
    </x:row>
    <x:row r="4">
      <x:c r="A4" s="83" t="str">
        <x:v>Commander</x:v>
      </x:c>
      <x:c r="B4" s="84" t="str">
        <x:v>Lynde, Cheerful Tormentor</x:v>
      </x:c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4"/>
      <x:c r="Z4" s="24"/>
    </x:row>
    <x:row r="5">
      <x:c r="A5" s="83" t="str">
        <x:v>Identity</x:v>
      </x:c>
      <x:c r="B5" s="84" t="str">
        <x:v>Grixis Curses + Politics/Punisher + Enchantment Engine</x:v>
      </x:c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  <x:c r="N5" s="24"/>
      <x:c r="O5" s="24"/>
      <x:c r="P5" s="24"/>
      <x:c r="Q5" s="24"/>
      <x:c r="R5" s="24"/>
      <x:c r="S5" s="24"/>
      <x:c r="T5" s="24"/>
      <x:c r="U5" s="24"/>
      <x:c r="V5" s="24"/>
      <x:c r="W5" s="24"/>
      <x:c r="X5" s="24"/>
      <x:c r="Y5" s="24"/>
      <x:c r="Z5" s="24"/>
    </x:row>
    <x:row r="6">
      <x:c r="A6" s="83" t="str">
        <x:v>Primary Plan</x:v>
      </x:c>
      <x:c r="B6" s="84" t="str">
        <x:v>Recycle Curses, move them during upkeep, accumulate triggers and convert them into damage/card advantage.</x:v>
      </x:c>
      <x:c r="C6" s="24"/>
      <x:c r="D6" s="24"/>
      <x:c r="E6" s="24"/>
      <x:c r="F6" s="24"/>
      <x:c r="G6" s="24"/>
      <x:c r="H6" s="24"/>
      <x:c r="I6" s="24"/>
      <x:c r="J6" s="24"/>
      <x:c r="K6" s="24"/>
      <x:c r="L6" s="24"/>
      <x:c r="M6" s="24"/>
      <x:c r="N6" s="24"/>
      <x:c r="O6" s="24"/>
      <x:c r="P6" s="24"/>
      <x:c r="Q6" s="24"/>
      <x:c r="R6" s="24"/>
      <x:c r="S6" s="24"/>
      <x:c r="T6" s="24"/>
      <x:c r="U6" s="24"/>
      <x:c r="V6" s="24"/>
      <x:c r="W6" s="24"/>
      <x:c r="X6" s="24"/>
      <x:c r="Y6" s="24"/>
      <x:c r="Z6" s="24"/>
    </x:row>
    <x:row r="7">
      <x:c r="A7" s="83" t="str">
        <x:v>Secondary Plans</x:v>
      </x:c>
      <x:c r="B7" s="84" t="str">
        <x:v>Politics/forced combat; copy effects; enchantment ETB payoffs; sacrifice/recursion.</x:v>
      </x:c>
      <x:c r="C7" s="24"/>
      <x:c r="D7" s="24"/>
      <x:c r="E7" s="24"/>
      <x:c r="F7" s="24"/>
      <x:c r="G7" s="24"/>
      <x:c r="H7" s="24"/>
      <x:c r="I7" s="24"/>
      <x:c r="J7" s="24"/>
      <x:c r="K7" s="24"/>
      <x:c r="L7" s="24"/>
      <x:c r="M7" s="24"/>
      <x:c r="N7" s="24"/>
      <x:c r="O7" s="24"/>
      <x:c r="P7" s="24"/>
      <x:c r="Q7" s="24"/>
      <x:c r="R7" s="24"/>
      <x:c r="S7" s="24"/>
      <x:c r="T7" s="24"/>
      <x:c r="U7" s="24"/>
      <x:c r="V7" s="24"/>
      <x:c r="W7" s="24"/>
      <x:c r="X7" s="24"/>
      <x:c r="Y7" s="24"/>
      <x:c r="Z7" s="24"/>
    </x:row>
    <x:row r="8">
      <x:c r="A8" s="83" t="str">
        <x:v>Win Conditions</x:v>
      </x:c>
      <x:c r="B8" s="84" t="str">
        <x:v>Curse of Thirst; Curse of Fool's Wisdom; Curse damage/punisher accumulation; Grim Guardian/Doomwake Giant pressure.</x:v>
      </x:c>
      <x:c r="C8" s="24"/>
      <x:c r="D8" s="24"/>
      <x:c r="E8" s="24"/>
      <x:c r="F8" s="24"/>
      <x:c r="G8" s="24"/>
      <x:c r="H8" s="24"/>
      <x:c r="I8" s="24"/>
      <x:c r="J8" s="24"/>
      <x:c r="K8" s="24"/>
      <x:c r="L8" s="24"/>
      <x:c r="M8" s="24"/>
      <x:c r="N8" s="24"/>
      <x:c r="O8" s="24"/>
      <x:c r="P8" s="24"/>
      <x:c r="Q8" s="24"/>
      <x:c r="R8" s="24"/>
      <x:c r="S8" s="24"/>
      <x:c r="T8" s="24"/>
      <x:c r="U8" s="24"/>
      <x:c r="V8" s="24"/>
      <x:c r="W8" s="24"/>
      <x:c r="X8" s="24"/>
      <x:c r="Y8" s="24"/>
      <x:c r="Z8" s="24"/>
    </x:row>
    <x:row r="9">
      <x:c r="A9" s="24"/>
      <x:c r="B9" s="24"/>
      <x:c r="C9" s="24"/>
      <x:c r="D9" s="24"/>
      <x:c r="E9" s="24"/>
      <x:c r="F9" s="24"/>
      <x:c r="G9" s="24"/>
      <x:c r="H9" s="24"/>
      <x:c r="I9" s="24"/>
      <x:c r="J9" s="24"/>
      <x:c r="K9" s="24"/>
      <x:c r="L9" s="24"/>
      <x:c r="M9" s="24"/>
      <x:c r="N9" s="24"/>
      <x:c r="O9" s="24"/>
      <x:c r="P9" s="24"/>
      <x:c r="Q9" s="24"/>
      <x:c r="R9" s="24"/>
      <x:c r="S9" s="24"/>
      <x:c r="T9" s="24"/>
      <x:c r="U9" s="24"/>
      <x:c r="V9" s="24"/>
      <x:c r="W9" s="24"/>
      <x:c r="X9" s="24"/>
      <x:c r="Y9" s="24"/>
      <x:c r="Z9" s="24"/>
    </x:row>
    <x:row r="10">
      <x:c r="A10" s="81" t="str">
        <x:v>EARLY / MID / LATE GAME</x:v>
      </x:c>
      <x:c r="B10" s="81"/>
      <x:c r="C10" s="81"/>
      <x:c r="D10" s="81"/>
      <x:c r="E10" s="81"/>
      <x:c r="F10" s="81"/>
      <x:c r="G10" s="81"/>
      <x:c r="H10" s="81"/>
      <x:c r="I10" s="24"/>
      <x:c r="J10" s="24"/>
      <x:c r="K10" s="24"/>
      <x:c r="L10" s="24"/>
      <x:c r="M10" s="24"/>
      <x:c r="N10" s="24"/>
      <x:c r="O10" s="24"/>
      <x:c r="P10" s="24"/>
      <x:c r="Q10" s="24"/>
      <x:c r="R10" s="24"/>
      <x:c r="S10" s="24"/>
      <x:c r="T10" s="24"/>
      <x:c r="U10" s="24"/>
      <x:c r="V10" s="24"/>
      <x:c r="W10" s="24"/>
      <x:c r="X10" s="24"/>
      <x:c r="Y10" s="24"/>
      <x:c r="Z10" s="24"/>
    </x:row>
    <x:row r="11">
      <x:c r="A11" s="83" t="str">
        <x:v>Early</x:v>
      </x:c>
      <x:c r="B11" s="84" t="str">
        <x:v>Ramp, play 1–2 low-cost Curses/setup pieces, then land Lynde on curve.</x:v>
      </x:c>
      <x:c r="C11" s="24"/>
      <x:c r="D11" s="24"/>
      <x:c r="E11" s="24"/>
      <x:c r="F11" s="24"/>
      <x:c r="G11" s="24"/>
      <x:c r="H11" s="24"/>
      <x:c r="I11" s="24"/>
      <x:c r="J11" s="24"/>
      <x:c r="K11" s="24"/>
      <x:c r="L11" s="24"/>
      <x:c r="M11" s="24"/>
      <x:c r="N11" s="24"/>
      <x:c r="O11" s="24"/>
      <x:c r="P11" s="24"/>
      <x:c r="Q11" s="24"/>
      <x:c r="R11" s="24"/>
      <x:c r="S11" s="24"/>
      <x:c r="T11" s="24"/>
      <x:c r="U11" s="24"/>
      <x:c r="V11" s="24"/>
      <x:c r="W11" s="24"/>
      <x:c r="X11" s="24"/>
      <x:c r="Y11" s="24"/>
      <x:c r="Z11" s="24"/>
    </x:row>
    <x:row r="12">
      <x:c r="A12" s="83" t="str">
        <x:v>Mid</x:v>
      </x:c>
      <x:c r="B12" s="84" t="str">
        <x:v>Prioritize Bitterheart Witch, Entity Tracker, Curse of Misfortunes, Paradox Haze and efficient Curses.</x:v>
      </x:c>
      <x:c r="C12" s="24"/>
      <x:c r="D12" s="24"/>
      <x:c r="E12" s="24"/>
      <x:c r="F12" s="24"/>
      <x:c r="G12" s="24"/>
      <x:c r="H12" s="24"/>
      <x:c r="I12" s="24"/>
      <x:c r="J12" s="24"/>
      <x:c r="K12" s="24"/>
      <x:c r="L12" s="24"/>
      <x:c r="M12" s="24"/>
      <x:c r="N12" s="24"/>
      <x:c r="O12" s="24"/>
      <x:c r="P12" s="24"/>
      <x:c r="Q12" s="24"/>
      <x:c r="R12" s="24"/>
      <x:c r="S12" s="24"/>
      <x:c r="T12" s="24"/>
      <x:c r="U12" s="24"/>
      <x:c r="V12" s="24"/>
      <x:c r="W12" s="24"/>
      <x:c r="X12" s="24"/>
      <x:c r="Y12" s="24"/>
      <x:c r="Z12" s="24"/>
    </x:row>
    <x:row r="13">
      <x:c r="A13" s="83" t="str">
        <x:v>Late</x:v>
      </x:c>
      <x:c r="B13" s="84" t="str">
        <x:v>Stack Curses, copy the best ones, recycle through Lynde, and let Thirst/Fool's Wisdom/Guardian effects close.</x:v>
      </x:c>
      <x:c r="C13" s="24"/>
      <x:c r="D13" s="24"/>
      <x:c r="E13" s="24"/>
      <x:c r="F13" s="24"/>
      <x:c r="G13" s="24"/>
      <x:c r="H13" s="24"/>
      <x:c r="I13" s="24"/>
      <x:c r="J13" s="24"/>
      <x:c r="K13" s="24"/>
      <x:c r="L13" s="24"/>
      <x:c r="M13" s="24"/>
      <x:c r="N13" s="24"/>
      <x:c r="O13" s="24"/>
      <x:c r="P13" s="24"/>
      <x:c r="Q13" s="24"/>
      <x:c r="R13" s="24"/>
      <x:c r="S13" s="24"/>
      <x:c r="T13" s="24"/>
      <x:c r="U13" s="24"/>
      <x:c r="V13" s="24"/>
      <x:c r="W13" s="24"/>
      <x:c r="X13" s="24"/>
      <x:c r="Y13" s="24"/>
      <x:c r="Z13" s="24"/>
    </x:row>
    <x:row r="14">
      <x:c r="A14" s="24"/>
      <x:c r="B14" s="24"/>
      <x:c r="C14" s="24"/>
      <x:c r="D14" s="24"/>
      <x:c r="E14" s="24"/>
      <x:c r="F14" s="24"/>
      <x:c r="G14" s="24"/>
      <x:c r="H14" s="24"/>
      <x:c r="I14" s="24"/>
      <x:c r="J14" s="24"/>
      <x:c r="K14" s="24"/>
      <x:c r="L14" s="24"/>
      <x:c r="M14" s="24"/>
      <x:c r="N14" s="24"/>
      <x:c r="O14" s="24"/>
      <x:c r="P14" s="24"/>
      <x:c r="Q14" s="24"/>
      <x:c r="R14" s="24"/>
      <x:c r="S14" s="24"/>
      <x:c r="T14" s="24"/>
      <x:c r="U14" s="24"/>
      <x:c r="V14" s="24"/>
      <x:c r="W14" s="24"/>
      <x:c r="X14" s="24"/>
      <x:c r="Y14" s="24"/>
      <x:c r="Z14" s="24"/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  <x:c r="K15" s="24"/>
      <x:c r="L15" s="24"/>
      <x:c r="M15" s="24"/>
      <x:c r="N15" s="24"/>
      <x:c r="O15" s="24"/>
      <x:c r="P15" s="24"/>
      <x:c r="Q15" s="24"/>
      <x:c r="R15" s="24"/>
      <x:c r="S15" s="24"/>
      <x:c r="T15" s="24"/>
      <x:c r="U15" s="24"/>
      <x:c r="V15" s="24"/>
      <x:c r="W15" s="24"/>
      <x:c r="X15" s="24"/>
      <x:c r="Y15" s="24"/>
      <x:c r="Z15" s="24"/>
    </x:row>
    <x:row r="16">
      <x:c r="A16" s="81" t="str">
        <x:v>STRUCTURAL DIAGNOSIS</x:v>
      </x:c>
      <x:c r="B16" s="81"/>
      <x:c r="C16" s="81"/>
      <x:c r="D16" s="81"/>
      <x:c r="E16" s="81"/>
      <x:c r="F16" s="81"/>
      <x:c r="G16" s="81"/>
      <x:c r="H16" s="81"/>
      <x:c r="I16" s="24"/>
      <x:c r="J16" s="24"/>
      <x:c r="K16" s="24"/>
      <x:c r="L16" s="24"/>
      <x:c r="M16" s="24"/>
      <x:c r="N16" s="24"/>
      <x:c r="O16" s="24"/>
      <x:c r="P16" s="24"/>
      <x:c r="Q16" s="24"/>
      <x:c r="R16" s="24"/>
      <x:c r="S16" s="24"/>
      <x:c r="T16" s="24"/>
      <x:c r="U16" s="24"/>
      <x:c r="V16" s="24"/>
      <x:c r="W16" s="24"/>
      <x:c r="X16" s="24"/>
      <x:c r="Y16" s="24"/>
      <x:c r="Z16" s="24"/>
    </x:row>
    <x:row r="17">
      <x:c r="A17" s="83" t="str">
        <x:v>Strengths</x:v>
      </x:c>
      <x:c r="B17" s="84" t="str">
        <x:v>Very strong thematic fit; high Curse density; real recursion engine; copy redundancy; political identity.</x:v>
      </x:c>
      <x:c r="C17" s="24"/>
      <x:c r="D17" s="24"/>
      <x:c r="E17" s="24"/>
      <x:c r="F17" s="24"/>
      <x:c r="G17" s="24"/>
      <x:c r="H17" s="24"/>
      <x:c r="I17" s="24"/>
      <x:c r="J17" s="24"/>
      <x:c r="K17" s="24"/>
      <x:c r="L17" s="24"/>
      <x:c r="M17" s="24"/>
      <x:c r="N17" s="24"/>
      <x:c r="O17" s="24"/>
      <x:c r="P17" s="24"/>
      <x:c r="Q17" s="24"/>
      <x:c r="R17" s="24"/>
      <x:c r="S17" s="24"/>
      <x:c r="T17" s="24"/>
      <x:c r="U17" s="24"/>
      <x:c r="V17" s="24"/>
      <x:c r="W17" s="24"/>
      <x:c r="X17" s="24"/>
      <x:c r="Y17" s="24"/>
      <x:c r="Z17" s="24"/>
    </x:row>
    <x:row r="18">
      <x:c r="A18" s="83" t="str">
        <x:v>Bottleneck</x:v>
      </x:c>
      <x:c r="B18" s="84" t="str">
        <x:v>Commander protection is still the weakest structural area.</x:v>
      </x:c>
      <x:c r="C18" s="24"/>
      <x:c r="D18" s="24"/>
      <x:c r="E18" s="24"/>
      <x:c r="F18" s="24"/>
      <x:c r="G18" s="24"/>
      <x:c r="H18" s="24"/>
      <x:c r="I18" s="24"/>
      <x:c r="J18" s="24"/>
      <x:c r="K18" s="24"/>
      <x:c r="L18" s="24"/>
      <x:c r="M18" s="24"/>
      <x:c r="N18" s="24"/>
      <x:c r="O18" s="24"/>
      <x:c r="P18" s="24"/>
      <x:c r="Q18" s="24"/>
      <x:c r="R18" s="24"/>
      <x:c r="S18" s="24"/>
      <x:c r="T18" s="24"/>
      <x:c r="U18" s="24"/>
      <x:c r="V18" s="24"/>
      <x:c r="W18" s="24"/>
      <x:c r="X18" s="24"/>
      <x:c r="Y18" s="24"/>
      <x:c r="Z18" s="24"/>
    </x:row>
    <x:row r="19">
      <x:c r="A19" s="83" t="str">
        <x:v>Bottleneck</x:v>
      </x:c>
      <x:c r="B19" s="84" t="str">
        <x:v>Some draw/interaction slots remain generic and can be challenged after playtest.</x:v>
      </x:c>
      <x:c r="C19" s="24"/>
      <x:c r="D19" s="24"/>
      <x:c r="E19" s="24"/>
      <x:c r="F19" s="24"/>
      <x:c r="G19" s="24"/>
      <x:c r="H19" s="24"/>
      <x:c r="I19" s="24"/>
      <x:c r="J19" s="24"/>
      <x:c r="K19" s="24"/>
      <x:c r="L19" s="24"/>
      <x:c r="M19" s="24"/>
      <x:c r="N19" s="24"/>
      <x:c r="O19" s="24"/>
      <x:c r="P19" s="24"/>
      <x:c r="Q19" s="24"/>
      <x:c r="R19" s="24"/>
      <x:c r="S19" s="24"/>
      <x:c r="T19" s="24"/>
      <x:c r="U19" s="24"/>
      <x:c r="V19" s="24"/>
      <x:c r="W19" s="24"/>
      <x:c r="X19" s="24"/>
      <x:c r="Y19" s="24"/>
      <x:c r="Z19" s="24"/>
    </x:row>
    <x:row r="20">
      <x:c r="A20" s="83" t="str">
        <x:v>Mana</x:v>
      </x:c>
      <x:c r="B20" s="84" t="str">
        <x:v>34 land-functional cards: 31 physical lands + 3 MDFCs; ramp package is adequate.</x:v>
      </x:c>
      <x:c r="C20" s="24"/>
      <x:c r="D20" s="24"/>
      <x:c r="E20" s="24"/>
      <x:c r="F20" s="24"/>
      <x:c r="G20" s="24"/>
      <x:c r="H20" s="24"/>
      <x:c r="I20" s="24"/>
      <x:c r="J20" s="24"/>
      <x:c r="K20" s="24"/>
      <x:c r="L20" s="24"/>
      <x:c r="M20" s="24"/>
      <x:c r="N20" s="24"/>
      <x:c r="O20" s="24"/>
      <x:c r="P20" s="24"/>
      <x:c r="Q20" s="24"/>
      <x:c r="R20" s="24"/>
      <x:c r="S20" s="24"/>
      <x:c r="T20" s="24"/>
      <x:c r="U20" s="24"/>
      <x:c r="V20" s="24"/>
      <x:c r="W20" s="24"/>
      <x:c r="X20" s="24"/>
      <x:c r="Y20" s="24"/>
      <x:c r="Z20" s="24"/>
    </x:row>
    <x:row r="21">
      <x:c r="A21" s="83" t="str">
        <x:v>Consistency</x:v>
      </x:c>
      <x:c r="B21" s="84" t="str">
        <x:v>Better than Current, but still dependent on Lynde staying online for maximum engine performance.</x:v>
      </x:c>
      <x:c r="C21" s="24"/>
      <x:c r="D21" s="24"/>
      <x:c r="E21" s="24"/>
      <x:c r="F21" s="24"/>
      <x:c r="G21" s="24"/>
      <x:c r="H21" s="24"/>
      <x:c r="I21" s="24"/>
      <x:c r="J21" s="24"/>
      <x:c r="K21" s="24"/>
      <x:c r="L21" s="24"/>
      <x:c r="M21" s="24"/>
      <x:c r="N21" s="24"/>
      <x:c r="O21" s="24"/>
      <x:c r="P21" s="24"/>
      <x:c r="Q21" s="24"/>
      <x:c r="R21" s="24"/>
      <x:c r="S21" s="24"/>
      <x:c r="T21" s="24"/>
      <x:c r="U21" s="24"/>
      <x:c r="V21" s="24"/>
      <x:c r="W21" s="24"/>
      <x:c r="X21" s="24"/>
      <x:c r="Y21" s="24"/>
      <x:c r="Z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  <x:c r="L22" s="24"/>
      <x:c r="M22" s="24"/>
      <x:c r="N22" s="24"/>
      <x:c r="O22" s="24"/>
      <x:c r="P22" s="24"/>
      <x:c r="Q22" s="24"/>
      <x:c r="R22" s="24"/>
      <x:c r="S22" s="24"/>
      <x:c r="T22" s="24"/>
      <x:c r="U22" s="24"/>
      <x:c r="V22" s="24"/>
      <x:c r="W22" s="24"/>
      <x:c r="X22" s="24"/>
      <x:c r="Y22" s="24"/>
      <x:c r="Z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  <x:c r="L23" s="24"/>
      <x:c r="M23" s="24"/>
      <x:c r="N23" s="24"/>
      <x:c r="O23" s="24"/>
      <x:c r="P23" s="24"/>
      <x:c r="Q23" s="24"/>
      <x:c r="R23" s="24"/>
      <x:c r="S23" s="24"/>
      <x:c r="T23" s="24"/>
      <x:c r="U23" s="24"/>
      <x:c r="V23" s="24"/>
      <x:c r="W23" s="24"/>
      <x:c r="X23" s="24"/>
      <x:c r="Y23" s="24"/>
      <x:c r="Z23" s="24"/>
    </x:row>
    <x:row r="24">
      <x:c r="A24" s="81" t="str">
        <x:v>CURRENT vs PROJECTED</x:v>
      </x:c>
      <x:c r="B24" s="81"/>
      <x:c r="C24" s="81"/>
      <x:c r="D24" s="81"/>
      <x:c r="E24" s="81"/>
      <x:c r="F24" s="81"/>
      <x:c r="G24" s="81"/>
      <x:c r="H24" s="81"/>
      <x:c r="I24" s="24"/>
      <x:c r="J24" s="24"/>
      <x:c r="K24" s="24"/>
      <x:c r="L24" s="24"/>
      <x:c r="M24" s="24"/>
      <x:c r="N24" s="24"/>
      <x:c r="O24" s="24"/>
      <x:c r="P24" s="24"/>
      <x:c r="Q24" s="24"/>
      <x:c r="R24" s="24"/>
      <x:c r="S24" s="24"/>
      <x:c r="T24" s="24"/>
      <x:c r="U24" s="24"/>
      <x:c r="V24" s="24"/>
      <x:c r="W24" s="24"/>
      <x:c r="X24" s="24"/>
      <x:c r="Y24" s="24"/>
      <x:c r="Z24" s="24"/>
    </x:row>
    <x:row r="25">
      <x:c r="A25" s="83" t="str">
        <x:v>Current</x:v>
      </x:c>
      <x:c r="B25" s="84" t="str">
        <x:v>7.7 / 10 — source list as supplied, before V2 changes.</x:v>
      </x:c>
      <x:c r="C25" s="24"/>
      <x:c r="D25" s="24"/>
      <x:c r="E25" s="24"/>
      <x:c r="F25" s="24"/>
      <x:c r="G25" s="24"/>
      <x:c r="H25" s="24"/>
      <x:c r="I25" s="24"/>
      <x:c r="J25" s="24"/>
      <x:c r="K25" s="24"/>
      <x:c r="L25" s="24"/>
      <x:c r="M25" s="24"/>
      <x:c r="N25" s="24"/>
      <x:c r="O25" s="24"/>
      <x:c r="P25" s="24"/>
      <x:c r="Q25" s="24"/>
      <x:c r="R25" s="24"/>
      <x:c r="S25" s="24"/>
      <x:c r="T25" s="24"/>
      <x:c r="U25" s="24"/>
      <x:c r="V25" s="24"/>
      <x:c r="W25" s="24"/>
      <x:c r="X25" s="24"/>
      <x:c r="Y25" s="24"/>
      <x:c r="Z25" s="24"/>
    </x:row>
    <x:row r="26">
      <x:c r="A26" s="83" t="str">
        <x:v>Projected V2.0</x:v>
      </x:c>
      <x:c r="B26" s="84" t="str">
        <x:v>8.6 / 10 — after first 13 OUT → IN package.</x:v>
      </x:c>
      <x:c r="C26" s="24"/>
      <x:c r="D26" s="24"/>
      <x:c r="E26" s="24"/>
      <x:c r="F26" s="24"/>
      <x:c r="G26" s="24"/>
      <x:c r="H26" s="24"/>
      <x:c r="I26" s="24"/>
      <x:c r="J26" s="24"/>
      <x:c r="K26" s="24"/>
      <x:c r="L26" s="24"/>
      <x:c r="M26" s="24"/>
      <x:c r="N26" s="24"/>
      <x:c r="O26" s="24"/>
      <x:c r="P26" s="24"/>
      <x:c r="Q26" s="24"/>
      <x:c r="R26" s="24"/>
      <x:c r="S26" s="24"/>
      <x:c r="T26" s="24"/>
      <x:c r="U26" s="24"/>
      <x:c r="V26" s="24"/>
      <x:c r="W26" s="24"/>
      <x:c r="X26" s="24"/>
      <x:c r="Y26" s="24"/>
      <x:c r="Z26" s="24"/>
    </x:row>
    <x:row r="27">
      <x:c r="A27" s="83" t="str">
        <x:v>Projected V2.1</x:v>
      </x:c>
      <x:c r="B27" s="84" t="str">
        <x:v>8.9 / 10 — after five additional structural upgrades.</x:v>
      </x:c>
      <x:c r="C27" s="24"/>
      <x:c r="D27" s="24"/>
      <x:c r="E27" s="24"/>
      <x:c r="F27" s="24"/>
      <x:c r="G27" s="24"/>
      <x:c r="H27" s="24"/>
      <x:c r="I27" s="24"/>
      <x:c r="J27" s="24"/>
      <x:c r="K27" s="24"/>
      <x:c r="L27" s="24"/>
      <x:c r="M27" s="24"/>
      <x:c r="N27" s="24"/>
      <x:c r="O27" s="24"/>
      <x:c r="P27" s="24"/>
      <x:c r="Q27" s="24"/>
      <x:c r="R27" s="24"/>
      <x:c r="S27" s="24"/>
      <x:c r="T27" s="24"/>
      <x:c r="U27" s="24"/>
      <x:c r="V27" s="24"/>
      <x:c r="W27" s="24"/>
      <x:c r="X27" s="24"/>
      <x:c r="Y27" s="24"/>
      <x:c r="Z27" s="24"/>
    </x:row>
    <x:row r="28">
      <x:c r="A28" s="83" t="str">
        <x:v>Tested</x:v>
      </x:c>
      <x:c r="B28" s="84" t="str">
        <x:v>Not yet tested. Do not treat 8.9 as evidence.</x:v>
      </x:c>
      <x:c r="C28" s="24"/>
      <x:c r="D28" s="24"/>
      <x:c r="E28" s="24"/>
      <x:c r="F28" s="24"/>
      <x:c r="G28" s="24"/>
      <x:c r="H28" s="24"/>
      <x:c r="I28" s="24"/>
      <x:c r="J28" s="24"/>
      <x:c r="K28" s="24"/>
      <x:c r="L28" s="24"/>
      <x:c r="M28" s="24"/>
      <x:c r="N28" s="24"/>
      <x:c r="O28" s="24"/>
      <x:c r="P28" s="24"/>
      <x:c r="Q28" s="24"/>
      <x:c r="R28" s="24"/>
      <x:c r="S28" s="24"/>
      <x:c r="T28" s="24"/>
      <x:c r="U28" s="24"/>
      <x:c r="V28" s="24"/>
      <x:c r="W28" s="24"/>
      <x:c r="X28" s="24"/>
      <x:c r="Y28" s="24"/>
      <x:c r="Z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  <x:c r="K29" s="24"/>
      <x:c r="L29" s="24"/>
      <x:c r="M29" s="24"/>
      <x:c r="N29" s="24"/>
      <x:c r="O29" s="24"/>
      <x:c r="P29" s="24"/>
      <x:c r="Q29" s="24"/>
      <x:c r="R29" s="24"/>
      <x:c r="S29" s="24"/>
      <x:c r="T29" s="24"/>
      <x:c r="U29" s="24"/>
      <x:c r="V29" s="24"/>
      <x:c r="W29" s="24"/>
      <x:c r="X29" s="24"/>
      <x:c r="Y29" s="24"/>
      <x:c r="Z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  <x:c r="K30" s="24"/>
      <x:c r="L30" s="24"/>
      <x:c r="M30" s="24"/>
      <x:c r="N30" s="24"/>
      <x:c r="O30" s="24"/>
      <x:c r="P30" s="24"/>
      <x:c r="Q30" s="24"/>
      <x:c r="R30" s="24"/>
      <x:c r="S30" s="24"/>
      <x:c r="T30" s="24"/>
      <x:c r="U30" s="24"/>
      <x:c r="V30" s="24"/>
      <x:c r="W30" s="24"/>
      <x:c r="X30" s="24"/>
      <x:c r="Y30" s="24"/>
      <x:c r="Z30" s="24"/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  <x:c r="K31" s="24"/>
      <x:c r="L31" s="24"/>
      <x:c r="M31" s="24"/>
      <x:c r="N31" s="24"/>
      <x:c r="O31" s="24"/>
      <x:c r="P31" s="24"/>
      <x:c r="Q31" s="24"/>
      <x:c r="R31" s="24"/>
      <x:c r="S31" s="24"/>
      <x:c r="T31" s="24"/>
      <x:c r="U31" s="24"/>
      <x:c r="V31" s="24"/>
      <x:c r="W31" s="24"/>
      <x:c r="X31" s="24"/>
      <x:c r="Y31" s="24"/>
      <x:c r="Z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  <x:c r="K32" s="24"/>
      <x:c r="L32" s="24"/>
      <x:c r="M32" s="24"/>
      <x:c r="N32" s="24"/>
      <x:c r="O32" s="24"/>
      <x:c r="P32" s="24"/>
      <x:c r="Q32" s="24"/>
      <x:c r="R32" s="24"/>
      <x:c r="S32" s="24"/>
      <x:c r="T32" s="24"/>
      <x:c r="U32" s="24"/>
      <x:c r="V32" s="24"/>
      <x:c r="W32" s="24"/>
      <x:c r="X32" s="24"/>
      <x:c r="Y32" s="24"/>
      <x:c r="Z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  <x:c r="L33" s="24"/>
      <x:c r="M33" s="24"/>
      <x:c r="N33" s="24"/>
      <x:c r="O33" s="24"/>
      <x:c r="P33" s="24"/>
      <x:c r="Q33" s="24"/>
      <x:c r="R33" s="24"/>
      <x:c r="S33" s="24"/>
      <x:c r="T33" s="24"/>
      <x:c r="U33" s="24"/>
      <x:c r="V33" s="24"/>
      <x:c r="W33" s="24"/>
      <x:c r="X33" s="24"/>
      <x:c r="Y33" s="24"/>
      <x:c r="Z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  <x:c r="K34" s="24"/>
      <x:c r="L34" s="24"/>
      <x:c r="M34" s="24"/>
      <x:c r="N34" s="24"/>
      <x:c r="O34" s="24"/>
      <x:c r="P34" s="24"/>
      <x:c r="Q34" s="24"/>
      <x:c r="R34" s="24"/>
      <x:c r="S34" s="24"/>
      <x:c r="T34" s="24"/>
      <x:c r="U34" s="24"/>
      <x:c r="V34" s="24"/>
      <x:c r="W34" s="24"/>
      <x:c r="X34" s="24"/>
      <x:c r="Y34" s="24"/>
      <x:c r="Z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  <x:c r="L35" s="24"/>
      <x:c r="M35" s="24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4"/>
      <x:c r="Z35" s="24"/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  <x:c r="K36" s="24"/>
      <x:c r="L36" s="24"/>
      <x:c r="M36" s="24"/>
      <x:c r="N36" s="24"/>
      <x:c r="O36" s="24"/>
      <x:c r="P36" s="24"/>
      <x:c r="Q36" s="24"/>
      <x:c r="R36" s="24"/>
      <x:c r="S36" s="24"/>
      <x:c r="T36" s="24"/>
      <x:c r="U36" s="24"/>
      <x:c r="V36" s="24"/>
      <x:c r="W36" s="24"/>
      <x:c r="X36" s="24"/>
      <x:c r="Y36" s="24"/>
      <x:c r="Z36" s="24"/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  <x:c r="L37" s="24"/>
      <x:c r="M37" s="24"/>
      <x:c r="N37" s="24"/>
      <x:c r="O37" s="24"/>
      <x:c r="P37" s="24"/>
      <x:c r="Q37" s="24"/>
      <x:c r="R37" s="24"/>
      <x:c r="S37" s="24"/>
      <x:c r="T37" s="24"/>
      <x:c r="U37" s="24"/>
      <x:c r="V37" s="24"/>
      <x:c r="W37" s="24"/>
      <x:c r="X37" s="24"/>
      <x:c r="Y37" s="24"/>
      <x:c r="Z37" s="24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  <x:c r="K38" s="24"/>
      <x:c r="L38" s="24"/>
      <x:c r="M38" s="24"/>
      <x:c r="N38" s="24"/>
      <x:c r="O38" s="24"/>
      <x:c r="P38" s="24"/>
      <x:c r="Q38" s="24"/>
      <x:c r="R38" s="24"/>
      <x:c r="S38" s="24"/>
      <x:c r="T38" s="24"/>
      <x:c r="U38" s="24"/>
      <x:c r="V38" s="24"/>
      <x:c r="W38" s="24"/>
      <x:c r="X38" s="24"/>
      <x:c r="Y38" s="24"/>
      <x:c r="Z38" s="24"/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  <x:c r="K39" s="24"/>
      <x:c r="L39" s="24"/>
      <x:c r="M39" s="24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4"/>
      <x:c r="Z39" s="24"/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  <x:c r="L40" s="24"/>
      <x:c r="M40" s="24"/>
      <x:c r="N40" s="24"/>
      <x:c r="O40" s="24"/>
      <x:c r="P40" s="24"/>
      <x:c r="Q40" s="24"/>
      <x:c r="R40" s="24"/>
      <x:c r="S40" s="24"/>
      <x:c r="T40" s="24"/>
      <x:c r="U40" s="24"/>
      <x:c r="V40" s="24"/>
      <x:c r="W40" s="24"/>
      <x:c r="X40" s="24"/>
      <x:c r="Y40" s="24"/>
      <x:c r="Z40" s="24"/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  <x:c r="K41" s="24"/>
      <x:c r="L41" s="24"/>
      <x:c r="M41" s="24"/>
      <x:c r="N41" s="24"/>
      <x:c r="O41" s="24"/>
      <x:c r="P41" s="24"/>
      <x:c r="Q41" s="24"/>
      <x:c r="R41" s="24"/>
      <x:c r="S41" s="24"/>
      <x:c r="T41" s="24"/>
      <x:c r="U41" s="24"/>
      <x:c r="V41" s="24"/>
      <x:c r="W41" s="24"/>
      <x:c r="X41" s="24"/>
      <x:c r="Y41" s="24"/>
      <x:c r="Z41" s="24"/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  <x:c r="L42" s="24"/>
      <x:c r="M42" s="24"/>
      <x:c r="N42" s="24"/>
      <x:c r="O42" s="24"/>
      <x:c r="P42" s="24"/>
      <x:c r="Q42" s="24"/>
      <x:c r="R42" s="24"/>
      <x:c r="S42" s="24"/>
      <x:c r="T42" s="24"/>
      <x:c r="U42" s="24"/>
      <x:c r="V42" s="24"/>
      <x:c r="W42" s="24"/>
      <x:c r="X42" s="24"/>
      <x:c r="Y42" s="24"/>
      <x:c r="Z42" s="24"/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  <x:c r="L43" s="24"/>
      <x:c r="M43" s="24"/>
      <x:c r="N43" s="24"/>
      <x:c r="O43" s="24"/>
      <x:c r="P43" s="24"/>
      <x:c r="Q43" s="24"/>
      <x:c r="R43" s="24"/>
      <x:c r="S43" s="24"/>
      <x:c r="T43" s="24"/>
      <x:c r="U43" s="24"/>
      <x:c r="V43" s="24"/>
      <x:c r="W43" s="24"/>
      <x:c r="X43" s="24"/>
      <x:c r="Y43" s="24"/>
      <x:c r="Z43" s="24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  <x:c r="L44" s="24"/>
      <x:c r="M44" s="24"/>
      <x:c r="N44" s="24"/>
      <x:c r="O44" s="24"/>
      <x:c r="P44" s="24"/>
      <x:c r="Q44" s="24"/>
      <x:c r="R44" s="24"/>
      <x:c r="S44" s="24"/>
      <x:c r="T44" s="24"/>
      <x:c r="U44" s="24"/>
      <x:c r="V44" s="24"/>
      <x:c r="W44" s="24"/>
      <x:c r="X44" s="24"/>
      <x:c r="Y44" s="24"/>
      <x:c r="Z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  <x:c r="L45" s="24"/>
      <x:c r="M45" s="24"/>
      <x:c r="N45" s="24"/>
      <x:c r="O45" s="24"/>
      <x:c r="P45" s="24"/>
      <x:c r="Q45" s="24"/>
      <x:c r="R45" s="24"/>
      <x:c r="S45" s="24"/>
      <x:c r="T45" s="24"/>
      <x:c r="U45" s="24"/>
      <x:c r="V45" s="24"/>
      <x:c r="W45" s="24"/>
      <x:c r="X45" s="24"/>
      <x:c r="Y45" s="24"/>
      <x:c r="Z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  <x:c r="L46" s="24"/>
      <x:c r="M46" s="24"/>
      <x:c r="N46" s="24"/>
      <x:c r="O46" s="24"/>
      <x:c r="P46" s="24"/>
      <x:c r="Q46" s="24"/>
      <x:c r="R46" s="24"/>
      <x:c r="S46" s="24"/>
      <x:c r="T46" s="24"/>
      <x:c r="U46" s="24"/>
      <x:c r="V46" s="24"/>
      <x:c r="W46" s="24"/>
      <x:c r="X46" s="24"/>
      <x:c r="Y46" s="24"/>
      <x:c r="Z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  <x:c r="L47" s="24"/>
      <x:c r="M47" s="24"/>
      <x:c r="N47" s="24"/>
      <x:c r="O47" s="24"/>
      <x:c r="P47" s="24"/>
      <x:c r="Q47" s="24"/>
      <x:c r="R47" s="24"/>
      <x:c r="S47" s="24"/>
      <x:c r="T47" s="24"/>
      <x:c r="U47" s="24"/>
      <x:c r="V47" s="24"/>
      <x:c r="W47" s="24"/>
      <x:c r="X47" s="24"/>
      <x:c r="Y47" s="24"/>
      <x:c r="Z47" s="24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  <x:c r="L48" s="24"/>
      <x:c r="M48" s="24"/>
      <x:c r="N48" s="24"/>
      <x:c r="O48" s="24"/>
      <x:c r="P48" s="24"/>
      <x:c r="Q48" s="24"/>
      <x:c r="R48" s="24"/>
      <x:c r="S48" s="24"/>
      <x:c r="T48" s="24"/>
      <x:c r="U48" s="24"/>
      <x:c r="V48" s="24"/>
      <x:c r="W48" s="24"/>
      <x:c r="X48" s="24"/>
      <x:c r="Y48" s="24"/>
      <x:c r="Z48" s="24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  <x:c r="L49" s="24"/>
      <x:c r="M49" s="24"/>
      <x:c r="N49" s="24"/>
      <x:c r="O49" s="24"/>
      <x:c r="P49" s="24"/>
      <x:c r="Q49" s="24"/>
      <x:c r="R49" s="24"/>
      <x:c r="S49" s="24"/>
      <x:c r="T49" s="24"/>
      <x:c r="U49" s="24"/>
      <x:c r="V49" s="24"/>
      <x:c r="W49" s="24"/>
      <x:c r="X49" s="24"/>
      <x:c r="Y49" s="24"/>
      <x:c r="Z49" s="24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  <x:c r="L50" s="24"/>
      <x:c r="M50" s="24"/>
      <x:c r="N50" s="24"/>
      <x:c r="O50" s="24"/>
      <x:c r="P50" s="24"/>
      <x:c r="Q50" s="24"/>
      <x:c r="R50" s="24"/>
      <x:c r="S50" s="24"/>
      <x:c r="T50" s="24"/>
      <x:c r="U50" s="24"/>
      <x:c r="V50" s="24"/>
      <x:c r="W50" s="24"/>
      <x:c r="X50" s="24"/>
      <x:c r="Y50" s="24"/>
      <x:c r="Z50" s="24"/>
    </x:row>
    <x:row r="51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  <x:c r="K51" s="24"/>
      <x:c r="L51" s="24"/>
      <x:c r="M51" s="24"/>
      <x:c r="N51" s="24"/>
      <x:c r="O51" s="24"/>
      <x:c r="P51" s="24"/>
      <x:c r="Q51" s="24"/>
      <x:c r="R51" s="24"/>
      <x:c r="S51" s="24"/>
      <x:c r="T51" s="24"/>
      <x:c r="U51" s="24"/>
      <x:c r="V51" s="24"/>
      <x:c r="W51" s="24"/>
      <x:c r="X51" s="24"/>
      <x:c r="Y51" s="24"/>
      <x:c r="Z51" s="24"/>
    </x:row>
    <x:row r="52">
      <x:c r="A52" s="24"/>
      <x:c r="B52" s="24"/>
      <x:c r="C52" s="24"/>
      <x:c r="D52" s="24"/>
      <x:c r="E52" s="24"/>
      <x:c r="F52" s="24"/>
      <x:c r="G52" s="24"/>
      <x:c r="H52" s="24"/>
      <x:c r="I52" s="24"/>
      <x:c r="J52" s="24"/>
      <x:c r="K52" s="24"/>
      <x:c r="L52" s="24"/>
      <x:c r="M52" s="24"/>
      <x:c r="N52" s="24"/>
      <x:c r="O52" s="24"/>
      <x:c r="P52" s="24"/>
      <x:c r="Q52" s="24"/>
      <x:c r="R52" s="24"/>
      <x:c r="S52" s="24"/>
      <x:c r="T52" s="24"/>
      <x:c r="U52" s="24"/>
      <x:c r="V52" s="24"/>
      <x:c r="W52" s="24"/>
      <x:c r="X52" s="24"/>
      <x:c r="Y52" s="24"/>
      <x:c r="Z52" s="24"/>
    </x:row>
    <x:row r="53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  <x:c r="K53" s="24"/>
      <x:c r="L53" s="24"/>
      <x:c r="M53" s="24"/>
      <x:c r="N53" s="24"/>
      <x:c r="O53" s="24"/>
      <x:c r="P53" s="24"/>
      <x:c r="Q53" s="24"/>
      <x:c r="R53" s="24"/>
      <x:c r="S53" s="24"/>
      <x:c r="T53" s="24"/>
      <x:c r="U53" s="24"/>
      <x:c r="V53" s="24"/>
      <x:c r="W53" s="24"/>
      <x:c r="X53" s="24"/>
      <x:c r="Y53" s="24"/>
      <x:c r="Z53" s="24"/>
    </x:row>
    <x:row r="54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  <x:c r="K54" s="24"/>
      <x:c r="L54" s="24"/>
      <x:c r="M54" s="24"/>
      <x:c r="N54" s="24"/>
      <x:c r="O54" s="24"/>
      <x:c r="P54" s="24"/>
      <x:c r="Q54" s="24"/>
      <x:c r="R54" s="24"/>
      <x:c r="S54" s="24"/>
      <x:c r="T54" s="24"/>
      <x:c r="U54" s="24"/>
      <x:c r="V54" s="24"/>
      <x:c r="W54" s="24"/>
      <x:c r="X54" s="24"/>
      <x:c r="Y54" s="24"/>
      <x:c r="Z54" s="24"/>
    </x:row>
    <x:row r="55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  <x:c r="K55" s="24"/>
      <x:c r="L55" s="24"/>
      <x:c r="M55" s="24"/>
      <x:c r="N55" s="24"/>
      <x:c r="O55" s="24"/>
      <x:c r="P55" s="24"/>
      <x:c r="Q55" s="24"/>
      <x:c r="R55" s="24"/>
      <x:c r="S55" s="24"/>
      <x:c r="T55" s="24"/>
      <x:c r="U55" s="24"/>
      <x:c r="V55" s="24"/>
      <x:c r="W55" s="24"/>
      <x:c r="X55" s="24"/>
      <x:c r="Y55" s="24"/>
      <x:c r="Z55" s="24"/>
    </x:row>
    <x:row r="56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  <x:c r="K56" s="24"/>
      <x:c r="L56" s="24"/>
      <x:c r="M56" s="24"/>
      <x:c r="N56" s="24"/>
      <x:c r="O56" s="24"/>
      <x:c r="P56" s="24"/>
      <x:c r="Q56" s="24"/>
      <x:c r="R56" s="24"/>
      <x:c r="S56" s="24"/>
      <x:c r="T56" s="24"/>
      <x:c r="U56" s="24"/>
      <x:c r="V56" s="24"/>
      <x:c r="W56" s="24"/>
      <x:c r="X56" s="24"/>
      <x:c r="Y56" s="24"/>
      <x:c r="Z56" s="24"/>
    </x:row>
    <x:row r="57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  <x:c r="K57" s="24"/>
      <x:c r="L57" s="24"/>
      <x:c r="M57" s="24"/>
      <x:c r="N57" s="24"/>
      <x:c r="O57" s="24"/>
      <x:c r="P57" s="24"/>
      <x:c r="Q57" s="24"/>
      <x:c r="R57" s="24"/>
      <x:c r="S57" s="24"/>
      <x:c r="T57" s="24"/>
      <x:c r="U57" s="24"/>
      <x:c r="V57" s="24"/>
      <x:c r="W57" s="24"/>
      <x:c r="X57" s="24"/>
      <x:c r="Y57" s="24"/>
      <x:c r="Z57" s="24"/>
    </x:row>
    <x:row r="58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24"/>
      <x:c r="O58" s="24"/>
      <x:c r="P58" s="24"/>
      <x:c r="Q58" s="24"/>
      <x:c r="R58" s="24"/>
      <x:c r="S58" s="24"/>
      <x:c r="T58" s="24"/>
      <x:c r="U58" s="24"/>
      <x:c r="V58" s="24"/>
      <x:c r="W58" s="24"/>
      <x:c r="X58" s="24"/>
      <x:c r="Y58" s="24"/>
      <x:c r="Z58" s="24"/>
    </x:row>
    <x:row r="59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24"/>
      <x:c r="O59" s="24"/>
      <x:c r="P59" s="24"/>
      <x:c r="Q59" s="24"/>
      <x:c r="R59" s="24"/>
      <x:c r="S59" s="24"/>
      <x:c r="T59" s="24"/>
      <x:c r="U59" s="24"/>
      <x:c r="V59" s="24"/>
      <x:c r="W59" s="24"/>
      <x:c r="X59" s="24"/>
      <x:c r="Y59" s="24"/>
      <x:c r="Z59" s="24"/>
    </x:row>
    <x:row r="60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  <x:c r="K60" s="24"/>
      <x:c r="L60" s="24"/>
      <x:c r="M60" s="24"/>
      <x:c r="N60" s="24"/>
      <x:c r="O60" s="24"/>
      <x:c r="P60" s="24"/>
      <x:c r="Q60" s="24"/>
      <x:c r="R60" s="24"/>
      <x:c r="S60" s="24"/>
      <x:c r="T60" s="24"/>
      <x:c r="U60" s="24"/>
      <x:c r="V60" s="24"/>
      <x:c r="W60" s="24"/>
      <x:c r="X60" s="24"/>
      <x:c r="Y60" s="24"/>
      <x:c r="Z60" s="24"/>
    </x:row>
    <x:row r="6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  <x:c r="K61" s="24"/>
      <x:c r="L61" s="24"/>
      <x:c r="M61" s="24"/>
      <x:c r="N61" s="24"/>
      <x:c r="O61" s="24"/>
      <x:c r="P61" s="24"/>
      <x:c r="Q61" s="24"/>
      <x:c r="R61" s="24"/>
      <x:c r="S61" s="24"/>
      <x:c r="T61" s="24"/>
      <x:c r="U61" s="24"/>
      <x:c r="V61" s="24"/>
      <x:c r="W61" s="24"/>
      <x:c r="X61" s="24"/>
      <x:c r="Y61" s="24"/>
      <x:c r="Z61" s="24"/>
    </x:row>
    <x:row r="62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  <x:c r="K62" s="24"/>
      <x:c r="L62" s="24"/>
      <x:c r="M62" s="24"/>
      <x:c r="N62" s="24"/>
      <x:c r="O62" s="24"/>
      <x:c r="P62" s="24"/>
      <x:c r="Q62" s="24"/>
      <x:c r="R62" s="24"/>
      <x:c r="S62" s="24"/>
      <x:c r="T62" s="24"/>
      <x:c r="U62" s="24"/>
      <x:c r="V62" s="24"/>
      <x:c r="W62" s="24"/>
      <x:c r="X62" s="24"/>
      <x:c r="Y62" s="24"/>
      <x:c r="Z62" s="24"/>
    </x:row>
    <x:row r="63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  <x:c r="K63" s="24"/>
      <x:c r="L63" s="24"/>
      <x:c r="M63" s="24"/>
      <x:c r="N63" s="24"/>
      <x:c r="O63" s="24"/>
      <x:c r="P63" s="24"/>
      <x:c r="Q63" s="24"/>
      <x:c r="R63" s="24"/>
      <x:c r="S63" s="24"/>
      <x:c r="T63" s="24"/>
      <x:c r="U63" s="24"/>
      <x:c r="V63" s="24"/>
      <x:c r="W63" s="24"/>
      <x:c r="X63" s="24"/>
      <x:c r="Y63" s="24"/>
      <x:c r="Z63" s="24"/>
    </x:row>
    <x:row r="64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  <x:c r="K64" s="24"/>
      <x:c r="L64" s="24"/>
      <x:c r="M64" s="24"/>
      <x:c r="N64" s="24"/>
      <x:c r="O64" s="24"/>
      <x:c r="P64" s="24"/>
      <x:c r="Q64" s="24"/>
      <x:c r="R64" s="24"/>
      <x:c r="S64" s="24"/>
      <x:c r="T64" s="24"/>
      <x:c r="U64" s="24"/>
      <x:c r="V64" s="24"/>
      <x:c r="W64" s="24"/>
      <x:c r="X64" s="24"/>
      <x:c r="Y64" s="24"/>
      <x:c r="Z64" s="24"/>
    </x:row>
    <x:row r="65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  <x:c r="K65" s="24"/>
      <x:c r="L65" s="24"/>
      <x:c r="M65" s="24"/>
      <x:c r="N65" s="24"/>
      <x:c r="O65" s="24"/>
      <x:c r="P65" s="24"/>
      <x:c r="Q65" s="24"/>
      <x:c r="R65" s="24"/>
      <x:c r="S65" s="24"/>
      <x:c r="T65" s="24"/>
      <x:c r="U65" s="24"/>
      <x:c r="V65" s="24"/>
      <x:c r="W65" s="24"/>
      <x:c r="X65" s="24"/>
      <x:c r="Y65" s="24"/>
      <x:c r="Z65" s="24"/>
    </x:row>
    <x:row r="66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  <x:c r="K66" s="24"/>
      <x:c r="L66" s="24"/>
      <x:c r="M66" s="24"/>
      <x:c r="N66" s="24"/>
      <x:c r="O66" s="24"/>
      <x:c r="P66" s="24"/>
      <x:c r="Q66" s="24"/>
      <x:c r="R66" s="24"/>
      <x:c r="S66" s="24"/>
      <x:c r="T66" s="24"/>
      <x:c r="U66" s="24"/>
      <x:c r="V66" s="24"/>
      <x:c r="W66" s="24"/>
      <x:c r="X66" s="24"/>
      <x:c r="Y66" s="24"/>
      <x:c r="Z66" s="24"/>
    </x:row>
    <x:row r="67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  <x:c r="K67" s="24"/>
      <x:c r="L67" s="24"/>
      <x:c r="M67" s="24"/>
      <x:c r="N67" s="24"/>
      <x:c r="O67" s="24"/>
      <x:c r="P67" s="24"/>
      <x:c r="Q67" s="24"/>
      <x:c r="R67" s="24"/>
      <x:c r="S67" s="24"/>
      <x:c r="T67" s="24"/>
      <x:c r="U67" s="24"/>
      <x:c r="V67" s="24"/>
      <x:c r="W67" s="24"/>
      <x:c r="X67" s="24"/>
      <x:c r="Y67" s="24"/>
      <x:c r="Z67" s="24"/>
    </x:row>
    <x:row r="68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  <x:c r="K68" s="24"/>
      <x:c r="L68" s="24"/>
      <x:c r="M68" s="24"/>
      <x:c r="N68" s="24"/>
      <x:c r="O68" s="24"/>
      <x:c r="P68" s="24"/>
      <x:c r="Q68" s="24"/>
      <x:c r="R68" s="24"/>
      <x:c r="S68" s="24"/>
      <x:c r="T68" s="24"/>
      <x:c r="U68" s="24"/>
      <x:c r="V68" s="24"/>
      <x:c r="W68" s="24"/>
      <x:c r="X68" s="24"/>
      <x:c r="Y68" s="24"/>
      <x:c r="Z68" s="24"/>
    </x:row>
    <x:row r="69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  <x:c r="K69" s="24"/>
      <x:c r="L69" s="24"/>
      <x:c r="M69" s="24"/>
      <x:c r="N69" s="24"/>
      <x:c r="O69" s="24"/>
      <x:c r="P69" s="24"/>
      <x:c r="Q69" s="24"/>
      <x:c r="R69" s="24"/>
      <x:c r="S69" s="24"/>
      <x:c r="T69" s="24"/>
      <x:c r="U69" s="24"/>
      <x:c r="V69" s="24"/>
      <x:c r="W69" s="24"/>
      <x:c r="X69" s="24"/>
      <x:c r="Y69" s="24"/>
      <x:c r="Z69" s="24"/>
    </x:row>
    <x:row r="70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  <x:c r="K70" s="24"/>
      <x:c r="L70" s="24"/>
      <x:c r="M70" s="24"/>
      <x:c r="N70" s="24"/>
      <x:c r="O70" s="24"/>
      <x:c r="P70" s="24"/>
      <x:c r="Q70" s="24"/>
      <x:c r="R70" s="24"/>
      <x:c r="S70" s="24"/>
      <x:c r="T70" s="24"/>
      <x:c r="U70" s="24"/>
      <x:c r="V70" s="24"/>
      <x:c r="W70" s="24"/>
      <x:c r="X70" s="24"/>
      <x:c r="Y70" s="24"/>
      <x:c r="Z70" s="24"/>
    </x:row>
    <x:row r="71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24"/>
      <x:c r="O71" s="24"/>
      <x:c r="P71" s="24"/>
      <x:c r="Q71" s="24"/>
      <x:c r="R71" s="24"/>
      <x:c r="S71" s="24"/>
      <x:c r="T71" s="24"/>
      <x:c r="U71" s="24"/>
      <x:c r="V71" s="24"/>
      <x:c r="W71" s="24"/>
      <x:c r="X71" s="24"/>
      <x:c r="Y71" s="24"/>
      <x:c r="Z71" s="24"/>
    </x:row>
    <x:row r="72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24"/>
      <x:c r="O72" s="24"/>
      <x:c r="P72" s="24"/>
      <x:c r="Q72" s="24"/>
      <x:c r="R72" s="24"/>
      <x:c r="S72" s="24"/>
      <x:c r="T72" s="24"/>
      <x:c r="U72" s="24"/>
      <x:c r="V72" s="24"/>
      <x:c r="W72" s="24"/>
      <x:c r="X72" s="24"/>
      <x:c r="Y72" s="24"/>
      <x:c r="Z72" s="24"/>
    </x:row>
    <x:row r="73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  <x:c r="K73" s="24"/>
      <x:c r="L73" s="24"/>
      <x:c r="M73" s="24"/>
      <x:c r="N73" s="24"/>
      <x:c r="O73" s="24"/>
      <x:c r="P73" s="24"/>
      <x:c r="Q73" s="24"/>
      <x:c r="R73" s="24"/>
      <x:c r="S73" s="24"/>
      <x:c r="T73" s="24"/>
      <x:c r="U73" s="24"/>
      <x:c r="V73" s="24"/>
      <x:c r="W73" s="24"/>
      <x:c r="X73" s="24"/>
      <x:c r="Y73" s="24"/>
      <x:c r="Z73" s="24"/>
    </x:row>
    <x:row r="74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  <x:c r="K74" s="24"/>
      <x:c r="L74" s="24"/>
      <x:c r="M74" s="24"/>
      <x:c r="N74" s="24"/>
      <x:c r="O74" s="24"/>
      <x:c r="P74" s="24"/>
      <x:c r="Q74" s="24"/>
      <x:c r="R74" s="24"/>
      <x:c r="S74" s="24"/>
      <x:c r="T74" s="24"/>
      <x:c r="U74" s="24"/>
      <x:c r="V74" s="24"/>
      <x:c r="W74" s="24"/>
      <x:c r="X74" s="24"/>
      <x:c r="Y74" s="24"/>
      <x:c r="Z74" s="24"/>
    </x:row>
    <x:row r="75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  <x:c r="K75" s="24"/>
      <x:c r="L75" s="24"/>
      <x:c r="M75" s="24"/>
      <x:c r="N75" s="24"/>
      <x:c r="O75" s="24"/>
      <x:c r="P75" s="24"/>
      <x:c r="Q75" s="24"/>
      <x:c r="R75" s="24"/>
      <x:c r="S75" s="24"/>
      <x:c r="T75" s="24"/>
      <x:c r="U75" s="24"/>
      <x:c r="V75" s="24"/>
      <x:c r="W75" s="24"/>
      <x:c r="X75" s="24"/>
      <x:c r="Y75" s="24"/>
      <x:c r="Z75" s="24"/>
    </x:row>
    <x:row r="76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  <x:c r="K76" s="24"/>
      <x:c r="L76" s="24"/>
      <x:c r="M76" s="24"/>
      <x:c r="N76" s="24"/>
      <x:c r="O76" s="24"/>
      <x:c r="P76" s="24"/>
      <x:c r="Q76" s="24"/>
      <x:c r="R76" s="24"/>
      <x:c r="S76" s="24"/>
      <x:c r="T76" s="24"/>
      <x:c r="U76" s="24"/>
      <x:c r="V76" s="24"/>
      <x:c r="W76" s="24"/>
      <x:c r="X76" s="24"/>
      <x:c r="Y76" s="24"/>
      <x:c r="Z76" s="24"/>
    </x:row>
    <x:row r="77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  <x:c r="K77" s="24"/>
      <x:c r="L77" s="24"/>
      <x:c r="M77" s="24"/>
      <x:c r="N77" s="24"/>
      <x:c r="O77" s="24"/>
      <x:c r="P77" s="24"/>
      <x:c r="Q77" s="24"/>
      <x:c r="R77" s="24"/>
      <x:c r="S77" s="24"/>
      <x:c r="T77" s="24"/>
      <x:c r="U77" s="24"/>
      <x:c r="V77" s="24"/>
      <x:c r="W77" s="24"/>
      <x:c r="X77" s="24"/>
      <x:c r="Y77" s="24"/>
      <x:c r="Z77" s="24"/>
    </x:row>
    <x:row r="78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  <x:c r="K78" s="24"/>
      <x:c r="L78" s="24"/>
      <x:c r="M78" s="24"/>
      <x:c r="N78" s="24"/>
      <x:c r="O78" s="24"/>
      <x:c r="P78" s="24"/>
      <x:c r="Q78" s="24"/>
      <x:c r="R78" s="24"/>
      <x:c r="S78" s="24"/>
      <x:c r="T78" s="24"/>
      <x:c r="U78" s="24"/>
      <x:c r="V78" s="24"/>
      <x:c r="W78" s="24"/>
      <x:c r="X78" s="24"/>
      <x:c r="Y78" s="24"/>
      <x:c r="Z78" s="24"/>
    </x:row>
    <x:row r="79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  <x:c r="K79" s="24"/>
      <x:c r="L79" s="24"/>
      <x:c r="M79" s="24"/>
      <x:c r="N79" s="24"/>
      <x:c r="O79" s="24"/>
      <x:c r="P79" s="24"/>
      <x:c r="Q79" s="24"/>
      <x:c r="R79" s="24"/>
      <x:c r="S79" s="24"/>
      <x:c r="T79" s="24"/>
      <x:c r="U79" s="24"/>
      <x:c r="V79" s="24"/>
      <x:c r="W79" s="24"/>
      <x:c r="X79" s="24"/>
      <x:c r="Y79" s="24"/>
      <x:c r="Z79" s="24"/>
    </x:row>
    <x:row r="80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  <x:c r="K80" s="24"/>
      <x:c r="L80" s="24"/>
      <x:c r="M80" s="24"/>
      <x:c r="N80" s="24"/>
      <x:c r="O80" s="24"/>
      <x:c r="P80" s="24"/>
      <x:c r="Q80" s="24"/>
      <x:c r="R80" s="24"/>
      <x:c r="S80" s="24"/>
      <x:c r="T80" s="24"/>
      <x:c r="U80" s="24"/>
      <x:c r="V80" s="24"/>
      <x:c r="W80" s="24"/>
      <x:c r="X80" s="24"/>
      <x:c r="Y80" s="24"/>
      <x:c r="Z80" s="24"/>
    </x:row>
    <x:row r="81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  <x:c r="K81" s="24"/>
      <x:c r="L81" s="24"/>
      <x:c r="M81" s="24"/>
      <x:c r="N81" s="24"/>
      <x:c r="O81" s="24"/>
      <x:c r="P81" s="24"/>
      <x:c r="Q81" s="24"/>
      <x:c r="R81" s="24"/>
      <x:c r="S81" s="24"/>
      <x:c r="T81" s="24"/>
      <x:c r="U81" s="24"/>
      <x:c r="V81" s="24"/>
      <x:c r="W81" s="24"/>
      <x:c r="X81" s="24"/>
      <x:c r="Y81" s="24"/>
      <x:c r="Z81" s="24"/>
    </x:row>
    <x:row r="82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  <x:c r="K82" s="24"/>
      <x:c r="L82" s="24"/>
      <x:c r="M82" s="24"/>
      <x:c r="N82" s="24"/>
      <x:c r="O82" s="24"/>
      <x:c r="P82" s="24"/>
      <x:c r="Q82" s="24"/>
      <x:c r="R82" s="24"/>
      <x:c r="S82" s="24"/>
      <x:c r="T82" s="24"/>
      <x:c r="U82" s="24"/>
      <x:c r="V82" s="24"/>
      <x:c r="W82" s="24"/>
      <x:c r="X82" s="24"/>
      <x:c r="Y82" s="24"/>
      <x:c r="Z82" s="24"/>
    </x:row>
    <x:row r="83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  <x:c r="K83" s="24"/>
      <x:c r="L83" s="24"/>
      <x:c r="M83" s="24"/>
      <x:c r="N83" s="24"/>
      <x:c r="O83" s="24"/>
      <x:c r="P83" s="24"/>
      <x:c r="Q83" s="24"/>
      <x:c r="R83" s="24"/>
      <x:c r="S83" s="24"/>
      <x:c r="T83" s="24"/>
      <x:c r="U83" s="24"/>
      <x:c r="V83" s="24"/>
      <x:c r="W83" s="24"/>
      <x:c r="X83" s="24"/>
      <x:c r="Y83" s="24"/>
      <x:c r="Z83" s="24"/>
    </x:row>
    <x:row r="84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24"/>
      <x:c r="O84" s="24"/>
      <x:c r="P84" s="24"/>
      <x:c r="Q84" s="24"/>
      <x:c r="R84" s="24"/>
      <x:c r="S84" s="24"/>
      <x:c r="T84" s="24"/>
      <x:c r="U84" s="24"/>
      <x:c r="V84" s="24"/>
      <x:c r="W84" s="24"/>
      <x:c r="X84" s="24"/>
      <x:c r="Y84" s="24"/>
      <x:c r="Z84" s="24"/>
    </x:row>
    <x:row r="85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24"/>
      <x:c r="O85" s="24"/>
      <x:c r="P85" s="24"/>
      <x:c r="Q85" s="24"/>
      <x:c r="R85" s="24"/>
      <x:c r="S85" s="24"/>
      <x:c r="T85" s="24"/>
      <x:c r="U85" s="24"/>
      <x:c r="V85" s="24"/>
      <x:c r="W85" s="24"/>
      <x:c r="X85" s="24"/>
      <x:c r="Y85" s="24"/>
      <x:c r="Z85" s="24"/>
    </x:row>
    <x:row r="86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  <x:c r="K86" s="24"/>
      <x:c r="L86" s="24"/>
      <x:c r="M86" s="24"/>
      <x:c r="N86" s="24"/>
      <x:c r="O86" s="24"/>
      <x:c r="P86" s="24"/>
      <x:c r="Q86" s="24"/>
      <x:c r="R86" s="24"/>
      <x:c r="S86" s="24"/>
      <x:c r="T86" s="24"/>
      <x:c r="U86" s="24"/>
      <x:c r="V86" s="24"/>
      <x:c r="W86" s="24"/>
      <x:c r="X86" s="24"/>
      <x:c r="Y86" s="24"/>
      <x:c r="Z86" s="24"/>
    </x:row>
    <x:row r="87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  <x:c r="K87" s="24"/>
      <x:c r="L87" s="24"/>
      <x:c r="M87" s="24"/>
      <x:c r="N87" s="24"/>
      <x:c r="O87" s="24"/>
      <x:c r="P87" s="24"/>
      <x:c r="Q87" s="24"/>
      <x:c r="R87" s="24"/>
      <x:c r="S87" s="24"/>
      <x:c r="T87" s="24"/>
      <x:c r="U87" s="24"/>
      <x:c r="V87" s="24"/>
      <x:c r="W87" s="24"/>
      <x:c r="X87" s="24"/>
      <x:c r="Y87" s="24"/>
      <x:c r="Z87" s="24"/>
    </x:row>
    <x:row r="88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  <x:c r="K88" s="24"/>
      <x:c r="L88" s="24"/>
      <x:c r="M88" s="24"/>
      <x:c r="N88" s="24"/>
      <x:c r="O88" s="24"/>
      <x:c r="P88" s="24"/>
      <x:c r="Q88" s="24"/>
      <x:c r="R88" s="24"/>
      <x:c r="S88" s="24"/>
      <x:c r="T88" s="24"/>
      <x:c r="U88" s="24"/>
      <x:c r="V88" s="24"/>
      <x:c r="W88" s="24"/>
      <x:c r="X88" s="24"/>
      <x:c r="Y88" s="24"/>
      <x:c r="Z88" s="24"/>
    </x:row>
    <x:row r="89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  <x:c r="K89" s="24"/>
      <x:c r="L89" s="24"/>
      <x:c r="M89" s="24"/>
      <x:c r="N89" s="24"/>
      <x:c r="O89" s="24"/>
      <x:c r="P89" s="24"/>
      <x:c r="Q89" s="24"/>
      <x:c r="R89" s="24"/>
      <x:c r="S89" s="24"/>
      <x:c r="T89" s="24"/>
      <x:c r="U89" s="24"/>
      <x:c r="V89" s="24"/>
      <x:c r="W89" s="24"/>
      <x:c r="X89" s="24"/>
      <x:c r="Y89" s="24"/>
      <x:c r="Z89" s="24"/>
    </x:row>
    <x:row r="90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  <x:c r="K90" s="24"/>
      <x:c r="L90" s="24"/>
      <x:c r="M90" s="24"/>
      <x:c r="N90" s="24"/>
      <x:c r="O90" s="24"/>
      <x:c r="P90" s="24"/>
      <x:c r="Q90" s="24"/>
      <x:c r="R90" s="24"/>
      <x:c r="S90" s="24"/>
      <x:c r="T90" s="24"/>
      <x:c r="U90" s="24"/>
      <x:c r="V90" s="24"/>
      <x:c r="W90" s="24"/>
      <x:c r="X90" s="24"/>
      <x:c r="Y90" s="24"/>
      <x:c r="Z90" s="24"/>
    </x:row>
    <x:row r="91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  <x:c r="K91" s="24"/>
      <x:c r="L91" s="24"/>
      <x:c r="M91" s="24"/>
      <x:c r="N91" s="24"/>
      <x:c r="O91" s="24"/>
      <x:c r="P91" s="24"/>
      <x:c r="Q91" s="24"/>
      <x:c r="R91" s="24"/>
      <x:c r="S91" s="24"/>
      <x:c r="T91" s="24"/>
      <x:c r="U91" s="24"/>
      <x:c r="V91" s="24"/>
      <x:c r="W91" s="24"/>
      <x:c r="X91" s="24"/>
      <x:c r="Y91" s="24"/>
      <x:c r="Z91" s="24"/>
    </x:row>
    <x:row r="92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  <x:c r="K92" s="24"/>
      <x:c r="L92" s="24"/>
      <x:c r="M92" s="24"/>
      <x:c r="N92" s="24"/>
      <x:c r="O92" s="24"/>
      <x:c r="P92" s="24"/>
      <x:c r="Q92" s="24"/>
      <x:c r="R92" s="24"/>
      <x:c r="S92" s="24"/>
      <x:c r="T92" s="24"/>
      <x:c r="U92" s="24"/>
      <x:c r="V92" s="24"/>
      <x:c r="W92" s="24"/>
      <x:c r="X92" s="24"/>
      <x:c r="Y92" s="24"/>
      <x:c r="Z92" s="24"/>
    </x:row>
    <x:row r="93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  <x:c r="K93" s="24"/>
      <x:c r="L93" s="24"/>
      <x:c r="M93" s="24"/>
      <x:c r="N93" s="24"/>
      <x:c r="O93" s="24"/>
      <x:c r="P93" s="24"/>
      <x:c r="Q93" s="24"/>
      <x:c r="R93" s="24"/>
      <x:c r="S93" s="24"/>
      <x:c r="T93" s="24"/>
      <x:c r="U93" s="24"/>
      <x:c r="V93" s="24"/>
      <x:c r="W93" s="24"/>
      <x:c r="X93" s="24"/>
      <x:c r="Y93" s="24"/>
      <x:c r="Z93" s="24"/>
    </x:row>
    <x:row r="94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  <x:c r="K94" s="24"/>
      <x:c r="L94" s="24"/>
      <x:c r="M94" s="24"/>
      <x:c r="N94" s="24"/>
      <x:c r="O94" s="24"/>
      <x:c r="P94" s="24"/>
      <x:c r="Q94" s="24"/>
      <x:c r="R94" s="24"/>
      <x:c r="S94" s="24"/>
      <x:c r="T94" s="24"/>
      <x:c r="U94" s="24"/>
      <x:c r="V94" s="24"/>
      <x:c r="W94" s="24"/>
      <x:c r="X94" s="24"/>
      <x:c r="Y94" s="24"/>
      <x:c r="Z94" s="24"/>
    </x:row>
    <x:row r="95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  <x:c r="K95" s="24"/>
      <x:c r="L95" s="24"/>
      <x:c r="M95" s="24"/>
      <x:c r="N95" s="24"/>
      <x:c r="O95" s="24"/>
      <x:c r="P95" s="24"/>
      <x:c r="Q95" s="24"/>
      <x:c r="R95" s="24"/>
      <x:c r="S95" s="24"/>
      <x:c r="T95" s="24"/>
      <x:c r="U95" s="24"/>
      <x:c r="V95" s="24"/>
      <x:c r="W95" s="24"/>
      <x:c r="X95" s="24"/>
      <x:c r="Y95" s="24"/>
      <x:c r="Z95" s="24"/>
    </x:row>
    <x:row r="96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  <x:c r="K96" s="24"/>
      <x:c r="L96" s="24"/>
      <x:c r="M96" s="24"/>
      <x:c r="N96" s="24"/>
      <x:c r="O96" s="24"/>
      <x:c r="P96" s="24"/>
      <x:c r="Q96" s="24"/>
      <x:c r="R96" s="24"/>
      <x:c r="S96" s="24"/>
      <x:c r="T96" s="24"/>
      <x:c r="U96" s="24"/>
      <x:c r="V96" s="24"/>
      <x:c r="W96" s="24"/>
      <x:c r="X96" s="24"/>
      <x:c r="Y96" s="24"/>
      <x:c r="Z96" s="24"/>
    </x:row>
    <x:row r="97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24"/>
      <x:c r="O97" s="24"/>
      <x:c r="P97" s="24"/>
      <x:c r="Q97" s="24"/>
      <x:c r="R97" s="24"/>
      <x:c r="S97" s="24"/>
      <x:c r="T97" s="24"/>
      <x:c r="U97" s="24"/>
      <x:c r="V97" s="24"/>
      <x:c r="W97" s="24"/>
      <x:c r="X97" s="24"/>
      <x:c r="Y97" s="24"/>
      <x:c r="Z97" s="24"/>
    </x:row>
    <x:row r="98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24"/>
      <x:c r="O98" s="24"/>
      <x:c r="P98" s="24"/>
      <x:c r="Q98" s="24"/>
      <x:c r="R98" s="24"/>
      <x:c r="S98" s="24"/>
      <x:c r="T98" s="24"/>
      <x:c r="U98" s="24"/>
      <x:c r="V98" s="24"/>
      <x:c r="W98" s="24"/>
      <x:c r="X98" s="24"/>
      <x:c r="Y98" s="24"/>
      <x:c r="Z98" s="24"/>
    </x:row>
    <x:row r="99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  <x:c r="K99" s="24"/>
      <x:c r="L99" s="24"/>
      <x:c r="M99" s="24"/>
      <x:c r="N99" s="24"/>
      <x:c r="O99" s="24"/>
      <x:c r="P99" s="24"/>
      <x:c r="Q99" s="24"/>
      <x:c r="R99" s="24"/>
      <x:c r="S99" s="24"/>
      <x:c r="T99" s="24"/>
      <x:c r="U99" s="24"/>
      <x:c r="V99" s="24"/>
      <x:c r="W99" s="24"/>
      <x:c r="X99" s="24"/>
      <x:c r="Y99" s="24"/>
      <x:c r="Z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  <x:c r="L100" s="24"/>
      <x:c r="M100" s="24"/>
      <x:c r="N100" s="24"/>
      <x:c r="O100" s="24"/>
      <x:c r="P100" s="24"/>
      <x:c r="Q100" s="24"/>
      <x:c r="R100" s="24"/>
      <x:c r="S100" s="24"/>
      <x:c r="T100" s="24"/>
      <x:c r="U100" s="24"/>
      <x:c r="V100" s="24"/>
      <x:c r="W100" s="24"/>
      <x:c r="X100" s="24"/>
      <x:c r="Y100" s="24"/>
      <x:c r="Z100" s="24"/>
    </x:row>
    <x:row r="101">
      <x:c r="A101" s="24"/>
      <x:c r="B101" s="24"/>
      <x:c r="C101" s="24"/>
      <x:c r="D101" s="24"/>
      <x:c r="E101" s="24"/>
      <x:c r="F101" s="24"/>
      <x:c r="G101" s="24"/>
      <x:c r="H101" s="24"/>
      <x:c r="I101" s="24"/>
      <x:c r="J101" s="24"/>
      <x:c r="K101" s="24"/>
      <x:c r="L101" s="24"/>
      <x:c r="M101" s="24"/>
      <x:c r="N101" s="24"/>
      <x:c r="O101" s="24"/>
      <x:c r="P101" s="24"/>
      <x:c r="Q101" s="24"/>
      <x:c r="R101" s="24"/>
      <x:c r="S101" s="24"/>
      <x:c r="T101" s="24"/>
      <x:c r="U101" s="24"/>
      <x:c r="V101" s="24"/>
      <x:c r="W101" s="24"/>
      <x:c r="X101" s="24"/>
      <x:c r="Y101" s="24"/>
      <x:c r="Z101" s="24"/>
    </x:row>
    <x:row r="102">
      <x:c r="A102" s="24"/>
      <x:c r="B102" s="24"/>
      <x:c r="C102" s="24"/>
      <x:c r="D102" s="24"/>
      <x:c r="E102" s="24"/>
      <x:c r="F102" s="24"/>
      <x:c r="G102" s="24"/>
      <x:c r="H102" s="24"/>
      <x:c r="I102" s="24"/>
      <x:c r="J102" s="24"/>
      <x:c r="K102" s="24"/>
      <x:c r="L102" s="24"/>
      <x:c r="M102" s="24"/>
      <x:c r="N102" s="24"/>
      <x:c r="O102" s="24"/>
      <x:c r="P102" s="24"/>
      <x:c r="Q102" s="24"/>
      <x:c r="R102" s="24"/>
      <x:c r="S102" s="24"/>
      <x:c r="T102" s="24"/>
      <x:c r="U102" s="24"/>
      <x:c r="V102" s="24"/>
      <x:c r="W102" s="24"/>
      <x:c r="X102" s="24"/>
      <x:c r="Y102" s="24"/>
      <x:c r="Z102" s="24"/>
    </x:row>
    <x:row r="103">
      <x:c r="A103" s="24"/>
      <x:c r="B103" s="24"/>
      <x:c r="C103" s="24"/>
      <x:c r="D103" s="24"/>
      <x:c r="E103" s="24"/>
      <x:c r="F103" s="24"/>
      <x:c r="G103" s="24"/>
      <x:c r="H103" s="24"/>
      <x:c r="I103" s="24"/>
      <x:c r="J103" s="24"/>
      <x:c r="K103" s="24"/>
      <x:c r="L103" s="24"/>
      <x:c r="M103" s="24"/>
      <x:c r="N103" s="24"/>
      <x:c r="O103" s="24"/>
      <x:c r="P103" s="24"/>
      <x:c r="Q103" s="24"/>
      <x:c r="R103" s="24"/>
      <x:c r="S103" s="24"/>
      <x:c r="T103" s="24"/>
      <x:c r="U103" s="24"/>
      <x:c r="V103" s="24"/>
      <x:c r="W103" s="24"/>
      <x:c r="X103" s="24"/>
      <x:c r="Y103" s="24"/>
      <x:c r="Z103" s="24"/>
    </x:row>
    <x:row r="104">
      <x:c r="A104" s="24"/>
      <x:c r="B104" s="24"/>
      <x:c r="C104" s="24"/>
      <x:c r="D104" s="24"/>
      <x:c r="E104" s="24"/>
      <x:c r="F104" s="24"/>
      <x:c r="G104" s="24"/>
      <x:c r="H104" s="24"/>
      <x:c r="I104" s="24"/>
      <x:c r="J104" s="24"/>
      <x:c r="K104" s="24"/>
      <x:c r="L104" s="24"/>
      <x:c r="M104" s="24"/>
      <x:c r="N104" s="24"/>
      <x:c r="O104" s="24"/>
      <x:c r="P104" s="24"/>
      <x:c r="Q104" s="24"/>
      <x:c r="R104" s="24"/>
      <x:c r="S104" s="24"/>
      <x:c r="T104" s="24"/>
      <x:c r="U104" s="24"/>
      <x:c r="V104" s="24"/>
      <x:c r="W104" s="24"/>
      <x:c r="X104" s="24"/>
      <x:c r="Y104" s="24"/>
      <x:c r="Z104" s="24"/>
    </x:row>
    <x:row r="105">
      <x:c r="A105" s="24"/>
      <x:c r="B105" s="24"/>
      <x:c r="C105" s="24"/>
      <x:c r="D105" s="24"/>
      <x:c r="E105" s="24"/>
      <x:c r="F105" s="24"/>
      <x:c r="G105" s="24"/>
      <x:c r="H105" s="24"/>
      <x:c r="I105" s="24"/>
      <x:c r="J105" s="24"/>
      <x:c r="K105" s="24"/>
      <x:c r="L105" s="24"/>
      <x:c r="M105" s="24"/>
      <x:c r="N105" s="24"/>
      <x:c r="O105" s="24"/>
      <x:c r="P105" s="24"/>
      <x:c r="Q105" s="24"/>
      <x:c r="R105" s="24"/>
      <x:c r="S105" s="24"/>
      <x:c r="T105" s="24"/>
      <x:c r="U105" s="24"/>
      <x:c r="V105" s="24"/>
      <x:c r="W105" s="24"/>
      <x:c r="X105" s="24"/>
      <x:c r="Y105" s="24"/>
      <x:c r="Z105" s="24"/>
    </x:row>
    <x:row r="106">
      <x:c r="A106" s="24"/>
      <x:c r="B106" s="24"/>
      <x:c r="C106" s="24"/>
      <x:c r="D106" s="24"/>
      <x:c r="E106" s="24"/>
      <x:c r="F106" s="24"/>
      <x:c r="G106" s="24"/>
      <x:c r="H106" s="24"/>
      <x:c r="I106" s="24"/>
      <x:c r="J106" s="24"/>
      <x:c r="K106" s="24"/>
      <x:c r="L106" s="24"/>
      <x:c r="M106" s="24"/>
      <x:c r="N106" s="24"/>
      <x:c r="O106" s="24"/>
      <x:c r="P106" s="24"/>
      <x:c r="Q106" s="24"/>
      <x:c r="R106" s="24"/>
      <x:c r="S106" s="24"/>
      <x:c r="T106" s="24"/>
      <x:c r="U106" s="24"/>
      <x:c r="V106" s="24"/>
      <x:c r="W106" s="24"/>
      <x:c r="X106" s="24"/>
      <x:c r="Y106" s="24"/>
      <x:c r="Z106" s="24"/>
    </x:row>
    <x:row r="107">
      <x:c r="A107" s="24"/>
      <x:c r="B107" s="24"/>
      <x:c r="C107" s="24"/>
      <x:c r="D107" s="24"/>
      <x:c r="E107" s="24"/>
      <x:c r="F107" s="24"/>
      <x:c r="G107" s="24"/>
      <x:c r="H107" s="24"/>
      <x:c r="I107" s="24"/>
      <x:c r="J107" s="24"/>
      <x:c r="K107" s="24"/>
      <x:c r="L107" s="24"/>
      <x:c r="M107" s="24"/>
      <x:c r="N107" s="24"/>
      <x:c r="O107" s="24"/>
      <x:c r="P107" s="24"/>
      <x:c r="Q107" s="24"/>
      <x:c r="R107" s="24"/>
      <x:c r="S107" s="24"/>
      <x:c r="T107" s="24"/>
      <x:c r="U107" s="24"/>
      <x:c r="V107" s="24"/>
      <x:c r="W107" s="24"/>
      <x:c r="X107" s="24"/>
      <x:c r="Y107" s="24"/>
      <x:c r="Z107" s="24"/>
    </x:row>
    <x:row r="108">
      <x:c r="A108" s="24"/>
      <x:c r="B108" s="24"/>
      <x:c r="C108" s="24"/>
      <x:c r="D108" s="24"/>
      <x:c r="E108" s="24"/>
      <x:c r="F108" s="24"/>
      <x:c r="G108" s="24"/>
      <x:c r="H108" s="24"/>
      <x:c r="I108" s="24"/>
      <x:c r="J108" s="24"/>
      <x:c r="K108" s="24"/>
      <x:c r="L108" s="24"/>
      <x:c r="M108" s="24"/>
      <x:c r="N108" s="24"/>
      <x:c r="O108" s="24"/>
      <x:c r="P108" s="24"/>
      <x:c r="Q108" s="24"/>
      <x:c r="R108" s="24"/>
      <x:c r="S108" s="24"/>
      <x:c r="T108" s="24"/>
      <x:c r="U108" s="24"/>
      <x:c r="V108" s="24"/>
      <x:c r="W108" s="24"/>
      <x:c r="X108" s="24"/>
      <x:c r="Y108" s="24"/>
      <x:c r="Z108" s="24"/>
    </x:row>
    <x:row r="109">
      <x:c r="A109" s="24"/>
      <x:c r="B109" s="24"/>
      <x:c r="C109" s="24"/>
      <x:c r="D109" s="24"/>
      <x:c r="E109" s="24"/>
      <x:c r="F109" s="24"/>
      <x:c r="G109" s="24"/>
      <x:c r="H109" s="24"/>
      <x:c r="I109" s="24"/>
      <x:c r="J109" s="24"/>
      <x:c r="K109" s="24"/>
      <x:c r="L109" s="24"/>
      <x:c r="M109" s="24"/>
      <x:c r="N109" s="24"/>
      <x:c r="O109" s="24"/>
      <x:c r="P109" s="24"/>
      <x:c r="Q109" s="24"/>
      <x:c r="R109" s="24"/>
      <x:c r="S109" s="24"/>
      <x:c r="T109" s="24"/>
      <x:c r="U109" s="24"/>
      <x:c r="V109" s="24"/>
      <x:c r="W109" s="24"/>
      <x:c r="X109" s="24"/>
      <x:c r="Y109" s="24"/>
      <x:c r="Z109" s="24"/>
    </x:row>
    <x:row r="110">
      <x:c r="A110" s="24"/>
      <x:c r="B110" s="24"/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/>
      <x:c r="M110" s="24"/>
      <x:c r="N110" s="24"/>
      <x:c r="O110" s="24"/>
      <x:c r="P110" s="24"/>
      <x:c r="Q110" s="24"/>
      <x:c r="R110" s="24"/>
      <x:c r="S110" s="24"/>
      <x:c r="T110" s="24"/>
      <x:c r="U110" s="24"/>
      <x:c r="V110" s="24"/>
      <x:c r="W110" s="24"/>
      <x:c r="X110" s="24"/>
      <x:c r="Y110" s="24"/>
      <x:c r="Z110" s="24"/>
    </x:row>
    <x:row r="111">
      <x:c r="A111" s="24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P111" s="24"/>
      <x:c r="Q111" s="24"/>
      <x:c r="R111" s="24"/>
      <x:c r="S111" s="24"/>
      <x:c r="T111" s="24"/>
      <x:c r="U111" s="24"/>
      <x:c r="V111" s="24"/>
      <x:c r="W111" s="24"/>
      <x:c r="X111" s="24"/>
      <x:c r="Y111" s="24"/>
      <x:c r="Z111" s="24"/>
    </x:row>
    <x:row r="112">
      <x:c r="A112" s="24"/>
      <x:c r="B112" s="24"/>
      <x:c r="C112" s="24"/>
      <x:c r="D112" s="24"/>
      <x:c r="E112" s="24"/>
      <x:c r="F112" s="24"/>
      <x:c r="G112" s="24"/>
      <x:c r="H112" s="24"/>
      <x:c r="I112" s="24"/>
      <x:c r="J112" s="24"/>
      <x:c r="K112" s="24"/>
      <x:c r="L112" s="24"/>
      <x:c r="M112" s="24"/>
      <x:c r="N112" s="24"/>
      <x:c r="O112" s="24"/>
      <x:c r="P112" s="24"/>
      <x:c r="Q112" s="24"/>
      <x:c r="R112" s="24"/>
      <x:c r="S112" s="24"/>
      <x:c r="T112" s="24"/>
      <x:c r="U112" s="24"/>
      <x:c r="V112" s="24"/>
      <x:c r="W112" s="24"/>
      <x:c r="X112" s="24"/>
      <x:c r="Y112" s="24"/>
      <x:c r="Z112" s="24"/>
    </x:row>
    <x:row r="113">
      <x:c r="A113" s="24"/>
      <x:c r="B113" s="24"/>
      <x:c r="C113" s="24"/>
      <x:c r="D113" s="24"/>
      <x:c r="E113" s="24"/>
      <x:c r="F113" s="24"/>
      <x:c r="G113" s="24"/>
      <x:c r="H113" s="24"/>
      <x:c r="I113" s="24"/>
      <x:c r="J113" s="24"/>
      <x:c r="K113" s="24"/>
      <x:c r="L113" s="24"/>
      <x:c r="M113" s="24"/>
      <x:c r="N113" s="24"/>
      <x:c r="O113" s="24"/>
      <x:c r="P113" s="24"/>
      <x:c r="Q113" s="24"/>
      <x:c r="R113" s="24"/>
      <x:c r="S113" s="24"/>
      <x:c r="T113" s="24"/>
      <x:c r="U113" s="24"/>
      <x:c r="V113" s="24"/>
      <x:c r="W113" s="24"/>
      <x:c r="X113" s="24"/>
      <x:c r="Y113" s="24"/>
      <x:c r="Z113" s="24"/>
    </x:row>
    <x:row r="114">
      <x:c r="A114" s="24"/>
      <x:c r="B114" s="24"/>
      <x:c r="C114" s="24"/>
      <x:c r="D114" s="24"/>
      <x:c r="E114" s="24"/>
      <x:c r="F114" s="24"/>
      <x:c r="G114" s="24"/>
      <x:c r="H114" s="24"/>
      <x:c r="I114" s="24"/>
      <x:c r="J114" s="24"/>
      <x:c r="K114" s="24"/>
      <x:c r="L114" s="24"/>
      <x:c r="M114" s="24"/>
      <x:c r="N114" s="24"/>
      <x:c r="O114" s="24"/>
      <x:c r="P114" s="24"/>
      <x:c r="Q114" s="24"/>
      <x:c r="R114" s="24"/>
      <x:c r="S114" s="24"/>
      <x:c r="T114" s="24"/>
      <x:c r="U114" s="24"/>
      <x:c r="V114" s="24"/>
      <x:c r="W114" s="24"/>
      <x:c r="X114" s="24"/>
      <x:c r="Y114" s="24"/>
      <x:c r="Z114" s="24"/>
    </x:row>
    <x:row r="115">
      <x:c r="A115" s="24"/>
      <x:c r="B115" s="24"/>
      <x:c r="C115" s="24"/>
      <x:c r="D115" s="24"/>
      <x:c r="E115" s="24"/>
      <x:c r="F115" s="24"/>
      <x:c r="G115" s="24"/>
      <x:c r="H115" s="24"/>
      <x:c r="I115" s="24"/>
      <x:c r="J115" s="24"/>
      <x:c r="K115" s="24"/>
      <x:c r="L115" s="24"/>
      <x:c r="M115" s="24"/>
      <x:c r="N115" s="24"/>
      <x:c r="O115" s="24"/>
      <x:c r="P115" s="24"/>
      <x:c r="Q115" s="24"/>
      <x:c r="R115" s="24"/>
      <x:c r="S115" s="24"/>
      <x:c r="T115" s="24"/>
      <x:c r="U115" s="24"/>
      <x:c r="V115" s="24"/>
      <x:c r="W115" s="24"/>
      <x:c r="X115" s="24"/>
      <x:c r="Y115" s="24"/>
      <x:c r="Z115" s="24"/>
    </x:row>
    <x:row r="116">
      <x:c r="A116" s="24"/>
      <x:c r="B116" s="24"/>
      <x:c r="C116" s="24"/>
      <x:c r="D116" s="24"/>
      <x:c r="E116" s="24"/>
      <x:c r="F116" s="24"/>
      <x:c r="G116" s="24"/>
      <x:c r="H116" s="24"/>
      <x:c r="I116" s="24"/>
      <x:c r="J116" s="24"/>
      <x:c r="K116" s="24"/>
      <x:c r="L116" s="24"/>
      <x:c r="M116" s="24"/>
      <x:c r="N116" s="24"/>
      <x:c r="O116" s="24"/>
      <x:c r="P116" s="24"/>
      <x:c r="Q116" s="24"/>
      <x:c r="R116" s="24"/>
      <x:c r="S116" s="24"/>
      <x:c r="T116" s="24"/>
      <x:c r="U116" s="24"/>
      <x:c r="V116" s="24"/>
      <x:c r="W116" s="24"/>
      <x:c r="X116" s="24"/>
      <x:c r="Y116" s="24"/>
      <x:c r="Z116" s="24"/>
    </x:row>
    <x:row r="117">
      <x:c r="A117" s="24"/>
      <x:c r="B117" s="24"/>
      <x:c r="C117" s="24"/>
      <x:c r="D117" s="24"/>
      <x:c r="E117" s="24"/>
      <x:c r="F117" s="24"/>
      <x:c r="G117" s="24"/>
      <x:c r="H117" s="24"/>
      <x:c r="I117" s="24"/>
      <x:c r="J117" s="24"/>
      <x:c r="K117" s="24"/>
      <x:c r="L117" s="24"/>
      <x:c r="M117" s="24"/>
      <x:c r="N117" s="24"/>
      <x:c r="O117" s="24"/>
      <x:c r="P117" s="24"/>
      <x:c r="Q117" s="24"/>
      <x:c r="R117" s="24"/>
      <x:c r="S117" s="24"/>
      <x:c r="T117" s="24"/>
      <x:c r="U117" s="24"/>
      <x:c r="V117" s="24"/>
      <x:c r="W117" s="24"/>
      <x:c r="X117" s="24"/>
      <x:c r="Y117" s="24"/>
      <x:c r="Z117" s="24"/>
    </x:row>
    <x:row r="118">
      <x:c r="A118" s="24"/>
      <x:c r="B118" s="24"/>
      <x:c r="C118" s="24"/>
      <x:c r="D118" s="24"/>
      <x:c r="E118" s="24"/>
      <x:c r="F118" s="24"/>
      <x:c r="G118" s="24"/>
      <x:c r="H118" s="24"/>
      <x:c r="I118" s="24"/>
      <x:c r="J118" s="24"/>
      <x:c r="K118" s="24"/>
      <x:c r="L118" s="24"/>
      <x:c r="M118" s="24"/>
      <x:c r="N118" s="24"/>
      <x:c r="O118" s="24"/>
      <x:c r="P118" s="24"/>
      <x:c r="Q118" s="24"/>
      <x:c r="R118" s="24"/>
      <x:c r="S118" s="24"/>
      <x:c r="T118" s="24"/>
      <x:c r="U118" s="24"/>
      <x:c r="V118" s="24"/>
      <x:c r="W118" s="24"/>
      <x:c r="X118" s="24"/>
      <x:c r="Y118" s="24"/>
      <x:c r="Z118" s="24"/>
    </x:row>
    <x:row r="119">
      <x:c r="A119" s="24"/>
      <x:c r="B119" s="24"/>
      <x:c r="C119" s="24"/>
      <x:c r="D119" s="24"/>
      <x:c r="E119" s="24"/>
      <x:c r="F119" s="24"/>
      <x:c r="G119" s="24"/>
      <x:c r="H119" s="24"/>
      <x:c r="I119" s="24"/>
      <x:c r="J119" s="24"/>
      <x:c r="K119" s="24"/>
      <x:c r="L119" s="24"/>
      <x:c r="M119" s="24"/>
      <x:c r="N119" s="24"/>
      <x:c r="O119" s="24"/>
      <x:c r="P119" s="24"/>
      <x:c r="Q119" s="24"/>
      <x:c r="R119" s="24"/>
      <x:c r="S119" s="24"/>
      <x:c r="T119" s="24"/>
      <x:c r="U119" s="24"/>
      <x:c r="V119" s="24"/>
      <x:c r="W119" s="24"/>
      <x:c r="X119" s="24"/>
      <x:c r="Y119" s="24"/>
      <x:c r="Z119" s="24"/>
    </x:row>
    <x:row r="120">
      <x:c r="A120" s="24"/>
      <x:c r="B120" s="24"/>
      <x:c r="C120" s="24"/>
      <x:c r="D120" s="24"/>
      <x:c r="E120" s="24"/>
      <x:c r="F120" s="24"/>
      <x:c r="G120" s="24"/>
      <x:c r="H120" s="24"/>
      <x:c r="I120" s="24"/>
      <x:c r="J120" s="24"/>
      <x:c r="K120" s="24"/>
      <x:c r="L120" s="24"/>
      <x:c r="M120" s="24"/>
      <x:c r="N120" s="24"/>
      <x:c r="O120" s="24"/>
      <x:c r="P120" s="24"/>
      <x:c r="Q120" s="24"/>
      <x:c r="R120" s="24"/>
      <x:c r="S120" s="24"/>
      <x:c r="T120" s="24"/>
      <x:c r="U120" s="24"/>
      <x:c r="V120" s="24"/>
      <x:c r="W120" s="24"/>
      <x:c r="X120" s="24"/>
      <x:c r="Y120" s="24"/>
      <x:c r="Z120" s="24"/>
    </x:row>
    <x:row r="12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  <x:c r="K121" s="24"/>
      <x:c r="L121" s="24"/>
      <x:c r="M121" s="24"/>
      <x:c r="N121" s="24"/>
      <x:c r="O121" s="24"/>
      <x:c r="P121" s="24"/>
      <x:c r="Q121" s="24"/>
      <x:c r="R121" s="24"/>
      <x:c r="S121" s="24"/>
      <x:c r="T121" s="24"/>
      <x:c r="U121" s="24"/>
      <x:c r="V121" s="24"/>
      <x:c r="W121" s="24"/>
      <x:c r="X121" s="24"/>
      <x:c r="Y121" s="24"/>
      <x:c r="Z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  <x:c r="K122" s="24"/>
      <x:c r="L122" s="24"/>
      <x:c r="M122" s="24"/>
      <x:c r="N122" s="24"/>
      <x:c r="O122" s="24"/>
      <x:c r="P122" s="24"/>
      <x:c r="Q122" s="24"/>
      <x:c r="R122" s="24"/>
      <x:c r="S122" s="24"/>
      <x:c r="T122" s="24"/>
      <x:c r="U122" s="24"/>
      <x:c r="V122" s="24"/>
      <x:c r="W122" s="24"/>
      <x:c r="X122" s="24"/>
      <x:c r="Y122" s="24"/>
      <x:c r="Z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  <x:c r="M123" s="24"/>
      <x:c r="N123" s="24"/>
      <x:c r="O123" s="24"/>
      <x:c r="P123" s="24"/>
      <x:c r="Q123" s="24"/>
      <x:c r="R123" s="24"/>
      <x:c r="S123" s="24"/>
      <x:c r="T123" s="24"/>
      <x:c r="U123" s="24"/>
      <x:c r="V123" s="24"/>
      <x:c r="W123" s="24"/>
      <x:c r="X123" s="24"/>
      <x:c r="Y123" s="24"/>
      <x:c r="Z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  <x:c r="M124" s="24"/>
      <x:c r="N124" s="24"/>
      <x:c r="O124" s="24"/>
      <x:c r="P124" s="24"/>
      <x:c r="Q124" s="24"/>
      <x:c r="R124" s="24"/>
      <x:c r="S124" s="24"/>
      <x:c r="T124" s="24"/>
      <x:c r="U124" s="24"/>
      <x:c r="V124" s="24"/>
      <x:c r="W124" s="24"/>
      <x:c r="X124" s="24"/>
      <x:c r="Y124" s="24"/>
      <x:c r="Z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  <x:c r="K125" s="24"/>
      <x:c r="L125" s="24"/>
      <x:c r="M125" s="24"/>
      <x:c r="N125" s="24"/>
      <x:c r="O125" s="24"/>
      <x:c r="P125" s="24"/>
      <x:c r="Q125" s="24"/>
      <x:c r="R125" s="24"/>
      <x:c r="S125" s="24"/>
      <x:c r="T125" s="24"/>
      <x:c r="U125" s="24"/>
      <x:c r="V125" s="24"/>
      <x:c r="W125" s="24"/>
      <x:c r="X125" s="24"/>
      <x:c r="Y125" s="24"/>
      <x:c r="Z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  <x:c r="K126" s="24"/>
      <x:c r="L126" s="24"/>
      <x:c r="M126" s="24"/>
      <x:c r="N126" s="24"/>
      <x:c r="O126" s="24"/>
      <x:c r="P126" s="24"/>
      <x:c r="Q126" s="24"/>
      <x:c r="R126" s="24"/>
      <x:c r="S126" s="24"/>
      <x:c r="T126" s="24"/>
      <x:c r="U126" s="24"/>
      <x:c r="V126" s="24"/>
      <x:c r="W126" s="24"/>
      <x:c r="X126" s="24"/>
      <x:c r="Y126" s="24"/>
      <x:c r="Z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  <x:c r="K127" s="24"/>
      <x:c r="L127" s="24"/>
      <x:c r="M127" s="24"/>
      <x:c r="N127" s="24"/>
      <x:c r="O127" s="24"/>
      <x:c r="P127" s="24"/>
      <x:c r="Q127" s="24"/>
      <x:c r="R127" s="24"/>
      <x:c r="S127" s="24"/>
      <x:c r="T127" s="24"/>
      <x:c r="U127" s="24"/>
      <x:c r="V127" s="24"/>
      <x:c r="W127" s="24"/>
      <x:c r="X127" s="24"/>
      <x:c r="Y127" s="24"/>
      <x:c r="Z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  <x:c r="K128" s="24"/>
      <x:c r="L128" s="24"/>
      <x:c r="M128" s="24"/>
      <x:c r="N128" s="24"/>
      <x:c r="O128" s="24"/>
      <x:c r="P128" s="24"/>
      <x:c r="Q128" s="24"/>
      <x:c r="R128" s="24"/>
      <x:c r="S128" s="24"/>
      <x:c r="T128" s="24"/>
      <x:c r="U128" s="24"/>
      <x:c r="V128" s="24"/>
      <x:c r="W128" s="24"/>
      <x:c r="X128" s="24"/>
      <x:c r="Y128" s="24"/>
      <x:c r="Z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  <x:c r="K129" s="24"/>
      <x:c r="L129" s="24"/>
      <x:c r="M129" s="24"/>
      <x:c r="N129" s="24"/>
      <x:c r="O129" s="24"/>
      <x:c r="P129" s="24"/>
      <x:c r="Q129" s="24"/>
      <x:c r="R129" s="24"/>
      <x:c r="S129" s="24"/>
      <x:c r="T129" s="24"/>
      <x:c r="U129" s="24"/>
      <x:c r="V129" s="24"/>
      <x:c r="W129" s="24"/>
      <x:c r="X129" s="24"/>
      <x:c r="Y129" s="24"/>
      <x:c r="Z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  <x:c r="K130" s="24"/>
      <x:c r="L130" s="24"/>
      <x:c r="M130" s="24"/>
      <x:c r="N130" s="24"/>
      <x:c r="O130" s="24"/>
      <x:c r="P130" s="24"/>
      <x:c r="Q130" s="24"/>
      <x:c r="R130" s="24"/>
      <x:c r="S130" s="24"/>
      <x:c r="T130" s="24"/>
      <x:c r="U130" s="24"/>
      <x:c r="V130" s="24"/>
      <x:c r="W130" s="24"/>
      <x:c r="X130" s="24"/>
      <x:c r="Y130" s="24"/>
      <x:c r="Z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  <x:c r="K131" s="24"/>
      <x:c r="L131" s="24"/>
      <x:c r="M131" s="24"/>
      <x:c r="N131" s="24"/>
      <x:c r="O131" s="24"/>
      <x:c r="P131" s="24"/>
      <x:c r="Q131" s="24"/>
      <x:c r="R131" s="24"/>
      <x:c r="S131" s="24"/>
      <x:c r="T131" s="24"/>
      <x:c r="U131" s="24"/>
      <x:c r="V131" s="24"/>
      <x:c r="W131" s="24"/>
      <x:c r="X131" s="24"/>
      <x:c r="Y131" s="24"/>
      <x:c r="Z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  <x:c r="K132" s="24"/>
      <x:c r="L132" s="24"/>
      <x:c r="M132" s="24"/>
      <x:c r="N132" s="24"/>
      <x:c r="O132" s="24"/>
      <x:c r="P132" s="24"/>
      <x:c r="Q132" s="24"/>
      <x:c r="R132" s="24"/>
      <x:c r="S132" s="24"/>
      <x:c r="T132" s="24"/>
      <x:c r="U132" s="24"/>
      <x:c r="V132" s="24"/>
      <x:c r="W132" s="24"/>
      <x:c r="X132" s="24"/>
      <x:c r="Y132" s="24"/>
      <x:c r="Z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  <x:c r="K133" s="24"/>
      <x:c r="L133" s="24"/>
      <x:c r="M133" s="24"/>
      <x:c r="N133" s="24"/>
      <x:c r="O133" s="24"/>
      <x:c r="P133" s="24"/>
      <x:c r="Q133" s="24"/>
      <x:c r="R133" s="24"/>
      <x:c r="S133" s="24"/>
      <x:c r="T133" s="24"/>
      <x:c r="U133" s="24"/>
      <x:c r="V133" s="24"/>
      <x:c r="W133" s="24"/>
      <x:c r="X133" s="24"/>
      <x:c r="Y133" s="24"/>
      <x:c r="Z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  <x:c r="K134" s="24"/>
      <x:c r="L134" s="24"/>
      <x:c r="M134" s="24"/>
      <x:c r="N134" s="24"/>
      <x:c r="O134" s="24"/>
      <x:c r="P134" s="24"/>
      <x:c r="Q134" s="24"/>
      <x:c r="R134" s="24"/>
      <x:c r="S134" s="24"/>
      <x:c r="T134" s="24"/>
      <x:c r="U134" s="24"/>
      <x:c r="V134" s="24"/>
      <x:c r="W134" s="24"/>
      <x:c r="X134" s="24"/>
      <x:c r="Y134" s="24"/>
      <x:c r="Z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  <x:c r="K135" s="24"/>
      <x:c r="L135" s="24"/>
      <x:c r="M135" s="24"/>
      <x:c r="N135" s="24"/>
      <x:c r="O135" s="24"/>
      <x:c r="P135" s="24"/>
      <x:c r="Q135" s="24"/>
      <x:c r="R135" s="24"/>
      <x:c r="S135" s="24"/>
      <x:c r="T135" s="24"/>
      <x:c r="U135" s="24"/>
      <x:c r="V135" s="24"/>
      <x:c r="W135" s="24"/>
      <x:c r="X135" s="24"/>
      <x:c r="Y135" s="24"/>
      <x:c r="Z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  <x:c r="K136" s="24"/>
      <x:c r="L136" s="24"/>
      <x:c r="M136" s="24"/>
      <x:c r="N136" s="24"/>
      <x:c r="O136" s="24"/>
      <x:c r="P136" s="24"/>
      <x:c r="Q136" s="24"/>
      <x:c r="R136" s="24"/>
      <x:c r="S136" s="24"/>
      <x:c r="T136" s="24"/>
      <x:c r="U136" s="24"/>
      <x:c r="V136" s="24"/>
      <x:c r="W136" s="24"/>
      <x:c r="X136" s="24"/>
      <x:c r="Y136" s="24"/>
      <x:c r="Z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  <x:c r="L137" s="24"/>
      <x:c r="M137" s="24"/>
      <x:c r="N137" s="24"/>
      <x:c r="O137" s="24"/>
      <x:c r="P137" s="24"/>
      <x:c r="Q137" s="24"/>
      <x:c r="R137" s="24"/>
      <x:c r="S137" s="24"/>
      <x:c r="T137" s="24"/>
      <x:c r="U137" s="24"/>
      <x:c r="V137" s="24"/>
      <x:c r="W137" s="24"/>
      <x:c r="X137" s="24"/>
      <x:c r="Y137" s="24"/>
      <x:c r="Z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  <x:c r="K138" s="24"/>
      <x:c r="L138" s="24"/>
      <x:c r="M138" s="24"/>
      <x:c r="N138" s="24"/>
      <x:c r="O138" s="24"/>
      <x:c r="P138" s="24"/>
      <x:c r="Q138" s="24"/>
      <x:c r="R138" s="24"/>
      <x:c r="S138" s="24"/>
      <x:c r="T138" s="24"/>
      <x:c r="U138" s="24"/>
      <x:c r="V138" s="24"/>
      <x:c r="W138" s="24"/>
      <x:c r="X138" s="24"/>
      <x:c r="Y138" s="24"/>
      <x:c r="Z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  <x:c r="K139" s="24"/>
      <x:c r="L139" s="24"/>
      <x:c r="M139" s="24"/>
      <x:c r="N139" s="24"/>
      <x:c r="O139" s="24"/>
      <x:c r="P139" s="24"/>
      <x:c r="Q139" s="24"/>
      <x:c r="R139" s="24"/>
      <x:c r="S139" s="24"/>
      <x:c r="T139" s="24"/>
      <x:c r="U139" s="24"/>
      <x:c r="V139" s="24"/>
      <x:c r="W139" s="24"/>
      <x:c r="X139" s="24"/>
      <x:c r="Y139" s="24"/>
      <x:c r="Z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  <x:c r="K140" s="24"/>
      <x:c r="L140" s="24"/>
      <x:c r="M140" s="24"/>
      <x:c r="N140" s="24"/>
      <x:c r="O140" s="24"/>
      <x:c r="P140" s="24"/>
      <x:c r="Q140" s="24"/>
      <x:c r="R140" s="24"/>
      <x:c r="S140" s="24"/>
      <x:c r="T140" s="24"/>
      <x:c r="U140" s="24"/>
      <x:c r="V140" s="24"/>
      <x:c r="W140" s="24"/>
      <x:c r="X140" s="24"/>
      <x:c r="Y140" s="24"/>
      <x:c r="Z140" s="24"/>
    </x:row>
    <x:row r="141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  <x:c r="K141" s="24"/>
      <x:c r="L141" s="24"/>
      <x:c r="M141" s="24"/>
      <x:c r="N141" s="24"/>
      <x:c r="O141" s="24"/>
      <x:c r="P141" s="24"/>
      <x:c r="Q141" s="24"/>
      <x:c r="R141" s="24"/>
      <x:c r="S141" s="24"/>
      <x:c r="T141" s="24"/>
      <x:c r="U141" s="24"/>
      <x:c r="V141" s="24"/>
      <x:c r="W141" s="24"/>
      <x:c r="X141" s="24"/>
      <x:c r="Y141" s="24"/>
      <x:c r="Z141" s="24"/>
    </x:row>
    <x:row r="142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  <x:c r="K142" s="24"/>
      <x:c r="L142" s="24"/>
      <x:c r="M142" s="24"/>
      <x:c r="N142" s="24"/>
      <x:c r="O142" s="24"/>
      <x:c r="P142" s="24"/>
      <x:c r="Q142" s="24"/>
      <x:c r="R142" s="24"/>
      <x:c r="S142" s="24"/>
      <x:c r="T142" s="24"/>
      <x:c r="U142" s="24"/>
      <x:c r="V142" s="24"/>
      <x:c r="W142" s="24"/>
      <x:c r="X142" s="24"/>
      <x:c r="Y142" s="24"/>
      <x:c r="Z142" s="24"/>
    </x:row>
    <x:row r="143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  <x:c r="K143" s="24"/>
      <x:c r="L143" s="24"/>
      <x:c r="M143" s="24"/>
      <x:c r="N143" s="24"/>
      <x:c r="O143" s="24"/>
      <x:c r="P143" s="24"/>
      <x:c r="Q143" s="24"/>
      <x:c r="R143" s="24"/>
      <x:c r="S143" s="24"/>
      <x:c r="T143" s="24"/>
      <x:c r="U143" s="24"/>
      <x:c r="V143" s="24"/>
      <x:c r="W143" s="24"/>
      <x:c r="X143" s="24"/>
      <x:c r="Y143" s="24"/>
      <x:c r="Z143" s="24"/>
    </x:row>
    <x:row r="144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  <x:c r="K144" s="24"/>
      <x:c r="L144" s="24"/>
      <x:c r="M144" s="24"/>
      <x:c r="N144" s="24"/>
      <x:c r="O144" s="24"/>
      <x:c r="P144" s="24"/>
      <x:c r="Q144" s="24"/>
      <x:c r="R144" s="24"/>
      <x:c r="S144" s="24"/>
      <x:c r="T144" s="24"/>
      <x:c r="U144" s="24"/>
      <x:c r="V144" s="24"/>
      <x:c r="W144" s="24"/>
      <x:c r="X144" s="24"/>
      <x:c r="Y144" s="24"/>
      <x:c r="Z144" s="24"/>
    </x:row>
    <x:row r="145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  <x:c r="K145" s="24"/>
      <x:c r="L145" s="24"/>
      <x:c r="M145" s="24"/>
      <x:c r="N145" s="24"/>
      <x:c r="O145" s="24"/>
      <x:c r="P145" s="24"/>
      <x:c r="Q145" s="24"/>
      <x:c r="R145" s="24"/>
      <x:c r="S145" s="24"/>
      <x:c r="T145" s="24"/>
      <x:c r="U145" s="24"/>
      <x:c r="V145" s="24"/>
      <x:c r="W145" s="24"/>
      <x:c r="X145" s="24"/>
      <x:c r="Y145" s="24"/>
      <x:c r="Z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  <x:c r="K146" s="24"/>
      <x:c r="L146" s="24"/>
      <x:c r="M146" s="24"/>
      <x:c r="N146" s="24"/>
      <x:c r="O146" s="24"/>
      <x:c r="P146" s="24"/>
      <x:c r="Q146" s="24"/>
      <x:c r="R146" s="24"/>
      <x:c r="S146" s="24"/>
      <x:c r="T146" s="24"/>
      <x:c r="U146" s="24"/>
      <x:c r="V146" s="24"/>
      <x:c r="W146" s="24"/>
      <x:c r="X146" s="24"/>
      <x:c r="Y146" s="24"/>
      <x:c r="Z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  <x:c r="K147" s="24"/>
      <x:c r="L147" s="24"/>
      <x:c r="M147" s="24"/>
      <x:c r="N147" s="24"/>
      <x:c r="O147" s="24"/>
      <x:c r="P147" s="24"/>
      <x:c r="Q147" s="24"/>
      <x:c r="R147" s="24"/>
      <x:c r="S147" s="24"/>
      <x:c r="T147" s="24"/>
      <x:c r="U147" s="24"/>
      <x:c r="V147" s="24"/>
      <x:c r="W147" s="24"/>
      <x:c r="X147" s="24"/>
      <x:c r="Y147" s="24"/>
      <x:c r="Z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  <x:c r="K148" s="24"/>
      <x:c r="L148" s="24"/>
      <x:c r="M148" s="24"/>
      <x:c r="N148" s="24"/>
      <x:c r="O148" s="24"/>
      <x:c r="P148" s="24"/>
      <x:c r="Q148" s="24"/>
      <x:c r="R148" s="24"/>
      <x:c r="S148" s="24"/>
      <x:c r="T148" s="24"/>
      <x:c r="U148" s="24"/>
      <x:c r="V148" s="24"/>
      <x:c r="W148" s="24"/>
      <x:c r="X148" s="24"/>
      <x:c r="Y148" s="24"/>
      <x:c r="Z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  <x:c r="K149" s="24"/>
      <x:c r="L149" s="24"/>
      <x:c r="M149" s="24"/>
      <x:c r="N149" s="24"/>
      <x:c r="O149" s="24"/>
      <x:c r="P149" s="24"/>
      <x:c r="Q149" s="24"/>
      <x:c r="R149" s="24"/>
      <x:c r="S149" s="24"/>
      <x:c r="T149" s="24"/>
      <x:c r="U149" s="24"/>
      <x:c r="V149" s="24"/>
      <x:c r="W149" s="24"/>
      <x:c r="X149" s="24"/>
      <x:c r="Y149" s="24"/>
      <x:c r="Z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  <x:c r="L150" s="24"/>
      <x:c r="M150" s="24"/>
      <x:c r="N150" s="24"/>
      <x:c r="O150" s="24"/>
      <x:c r="P150" s="24"/>
      <x:c r="Q150" s="24"/>
      <x:c r="R150" s="24"/>
      <x:c r="S150" s="24"/>
      <x:c r="T150" s="24"/>
      <x:c r="U150" s="24"/>
      <x:c r="V150" s="24"/>
      <x:c r="W150" s="24"/>
      <x:c r="X150" s="24"/>
      <x:c r="Y150" s="24"/>
      <x:c r="Z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  <x:c r="K151" s="24"/>
      <x:c r="L151" s="24"/>
      <x:c r="M151" s="24"/>
      <x:c r="N151" s="24"/>
      <x:c r="O151" s="24"/>
      <x:c r="P151" s="24"/>
      <x:c r="Q151" s="24"/>
      <x:c r="R151" s="24"/>
      <x:c r="S151" s="24"/>
      <x:c r="T151" s="24"/>
      <x:c r="U151" s="24"/>
      <x:c r="V151" s="24"/>
      <x:c r="W151" s="24"/>
      <x:c r="X151" s="24"/>
      <x:c r="Y151" s="24"/>
      <x:c r="Z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  <x:c r="K152" s="24"/>
      <x:c r="L152" s="24"/>
      <x:c r="M152" s="24"/>
      <x:c r="N152" s="24"/>
      <x:c r="O152" s="24"/>
      <x:c r="P152" s="24"/>
      <x:c r="Q152" s="24"/>
      <x:c r="R152" s="24"/>
      <x:c r="S152" s="24"/>
      <x:c r="T152" s="24"/>
      <x:c r="U152" s="24"/>
      <x:c r="V152" s="24"/>
      <x:c r="W152" s="24"/>
      <x:c r="X152" s="24"/>
      <x:c r="Y152" s="24"/>
      <x:c r="Z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  <x:c r="K153" s="24"/>
      <x:c r="L153" s="24"/>
      <x:c r="M153" s="24"/>
      <x:c r="N153" s="24"/>
      <x:c r="O153" s="24"/>
      <x:c r="P153" s="24"/>
      <x:c r="Q153" s="24"/>
      <x:c r="R153" s="24"/>
      <x:c r="S153" s="24"/>
      <x:c r="T153" s="24"/>
      <x:c r="U153" s="24"/>
      <x:c r="V153" s="24"/>
      <x:c r="W153" s="24"/>
      <x:c r="X153" s="24"/>
      <x:c r="Y153" s="24"/>
      <x:c r="Z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  <x:c r="K154" s="24"/>
      <x:c r="L154" s="24"/>
      <x:c r="M154" s="24"/>
      <x:c r="N154" s="24"/>
      <x:c r="O154" s="24"/>
      <x:c r="P154" s="24"/>
      <x:c r="Q154" s="24"/>
      <x:c r="R154" s="24"/>
      <x:c r="S154" s="24"/>
      <x:c r="T154" s="24"/>
      <x:c r="U154" s="24"/>
      <x:c r="V154" s="24"/>
      <x:c r="W154" s="24"/>
      <x:c r="X154" s="24"/>
      <x:c r="Y154" s="24"/>
      <x:c r="Z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  <x:c r="K155" s="24"/>
      <x:c r="L155" s="24"/>
      <x:c r="M155" s="24"/>
      <x:c r="N155" s="24"/>
      <x:c r="O155" s="24"/>
      <x:c r="P155" s="24"/>
      <x:c r="Q155" s="24"/>
      <x:c r="R155" s="24"/>
      <x:c r="S155" s="24"/>
      <x:c r="T155" s="24"/>
      <x:c r="U155" s="24"/>
      <x:c r="V155" s="24"/>
      <x:c r="W155" s="24"/>
      <x:c r="X155" s="24"/>
      <x:c r="Y155" s="24"/>
      <x:c r="Z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  <x:c r="K156" s="24"/>
      <x:c r="L156" s="24"/>
      <x:c r="M156" s="24"/>
      <x:c r="N156" s="24"/>
      <x:c r="O156" s="24"/>
      <x:c r="P156" s="24"/>
      <x:c r="Q156" s="24"/>
      <x:c r="R156" s="24"/>
      <x:c r="S156" s="24"/>
      <x:c r="T156" s="24"/>
      <x:c r="U156" s="24"/>
      <x:c r="V156" s="24"/>
      <x:c r="W156" s="24"/>
      <x:c r="X156" s="24"/>
      <x:c r="Y156" s="24"/>
      <x:c r="Z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  <x:c r="K157" s="24"/>
      <x:c r="L157" s="24"/>
      <x:c r="M157" s="24"/>
      <x:c r="N157" s="24"/>
      <x:c r="O157" s="24"/>
      <x:c r="P157" s="24"/>
      <x:c r="Q157" s="24"/>
      <x:c r="R157" s="24"/>
      <x:c r="S157" s="24"/>
      <x:c r="T157" s="24"/>
      <x:c r="U157" s="24"/>
      <x:c r="V157" s="24"/>
      <x:c r="W157" s="24"/>
      <x:c r="X157" s="24"/>
      <x:c r="Y157" s="24"/>
      <x:c r="Z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  <x:c r="K158" s="24"/>
      <x:c r="L158" s="24"/>
      <x:c r="M158" s="24"/>
      <x:c r="N158" s="24"/>
      <x:c r="O158" s="24"/>
      <x:c r="P158" s="24"/>
      <x:c r="Q158" s="24"/>
      <x:c r="R158" s="24"/>
      <x:c r="S158" s="24"/>
      <x:c r="T158" s="24"/>
      <x:c r="U158" s="24"/>
      <x:c r="V158" s="24"/>
      <x:c r="W158" s="24"/>
      <x:c r="X158" s="24"/>
      <x:c r="Y158" s="24"/>
      <x:c r="Z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  <x:c r="K159" s="24"/>
      <x:c r="L159" s="24"/>
      <x:c r="M159" s="24"/>
      <x:c r="N159" s="24"/>
      <x:c r="O159" s="24"/>
      <x:c r="P159" s="24"/>
      <x:c r="Q159" s="24"/>
      <x:c r="R159" s="24"/>
      <x:c r="S159" s="24"/>
      <x:c r="T159" s="24"/>
      <x:c r="U159" s="24"/>
      <x:c r="V159" s="24"/>
      <x:c r="W159" s="24"/>
      <x:c r="X159" s="24"/>
      <x:c r="Y159" s="24"/>
      <x:c r="Z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  <x:c r="K160" s="24"/>
      <x:c r="L160" s="24"/>
      <x:c r="M160" s="24"/>
      <x:c r="N160" s="24"/>
      <x:c r="O160" s="24"/>
      <x:c r="P160" s="24"/>
      <x:c r="Q160" s="24"/>
      <x:c r="R160" s="24"/>
      <x:c r="S160" s="24"/>
      <x:c r="T160" s="24"/>
      <x:c r="U160" s="24"/>
      <x:c r="V160" s="24"/>
      <x:c r="W160" s="24"/>
      <x:c r="X160" s="24"/>
      <x:c r="Y160" s="24"/>
      <x:c r="Z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  <x:c r="K161" s="24"/>
      <x:c r="L161" s="24"/>
      <x:c r="M161" s="24"/>
      <x:c r="N161" s="24"/>
      <x:c r="O161" s="24"/>
      <x:c r="P161" s="24"/>
      <x:c r="Q161" s="24"/>
      <x:c r="R161" s="24"/>
      <x:c r="S161" s="24"/>
      <x:c r="T161" s="24"/>
      <x:c r="U161" s="24"/>
      <x:c r="V161" s="24"/>
      <x:c r="W161" s="24"/>
      <x:c r="X161" s="24"/>
      <x:c r="Y161" s="24"/>
      <x:c r="Z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  <x:c r="K162" s="24"/>
      <x:c r="L162" s="24"/>
      <x:c r="M162" s="24"/>
      <x:c r="N162" s="24"/>
      <x:c r="O162" s="24"/>
      <x:c r="P162" s="24"/>
      <x:c r="Q162" s="24"/>
      <x:c r="R162" s="24"/>
      <x:c r="S162" s="24"/>
      <x:c r="T162" s="24"/>
      <x:c r="U162" s="24"/>
      <x:c r="V162" s="24"/>
      <x:c r="W162" s="24"/>
      <x:c r="X162" s="24"/>
      <x:c r="Y162" s="24"/>
      <x:c r="Z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  <x:c r="K163" s="24"/>
      <x:c r="L163" s="24"/>
      <x:c r="M163" s="24"/>
      <x:c r="N163" s="24"/>
      <x:c r="O163" s="24"/>
      <x:c r="P163" s="24"/>
      <x:c r="Q163" s="24"/>
      <x:c r="R163" s="24"/>
      <x:c r="S163" s="24"/>
      <x:c r="T163" s="24"/>
      <x:c r="U163" s="24"/>
      <x:c r="V163" s="24"/>
      <x:c r="W163" s="24"/>
      <x:c r="X163" s="24"/>
      <x:c r="Y163" s="24"/>
      <x:c r="Z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  <x:c r="K164" s="24"/>
      <x:c r="L164" s="24"/>
      <x:c r="M164" s="24"/>
      <x:c r="N164" s="24"/>
      <x:c r="O164" s="24"/>
      <x:c r="P164" s="24"/>
      <x:c r="Q164" s="24"/>
      <x:c r="R164" s="24"/>
      <x:c r="S164" s="24"/>
      <x:c r="T164" s="24"/>
      <x:c r="U164" s="24"/>
      <x:c r="V164" s="24"/>
      <x:c r="W164" s="24"/>
      <x:c r="X164" s="24"/>
      <x:c r="Y164" s="24"/>
      <x:c r="Z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  <x:c r="K165" s="24"/>
      <x:c r="L165" s="24"/>
      <x:c r="M165" s="24"/>
      <x:c r="N165" s="24"/>
      <x:c r="O165" s="24"/>
      <x:c r="P165" s="24"/>
      <x:c r="Q165" s="24"/>
      <x:c r="R165" s="24"/>
      <x:c r="S165" s="24"/>
      <x:c r="T165" s="24"/>
      <x:c r="U165" s="24"/>
      <x:c r="V165" s="24"/>
      <x:c r="W165" s="24"/>
      <x:c r="X165" s="24"/>
      <x:c r="Y165" s="24"/>
      <x:c r="Z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  <x:c r="K166" s="24"/>
      <x:c r="L166" s="24"/>
      <x:c r="M166" s="24"/>
      <x:c r="N166" s="24"/>
      <x:c r="O166" s="24"/>
      <x:c r="P166" s="24"/>
      <x:c r="Q166" s="24"/>
      <x:c r="R166" s="24"/>
      <x:c r="S166" s="24"/>
      <x:c r="T166" s="24"/>
      <x:c r="U166" s="24"/>
      <x:c r="V166" s="24"/>
      <x:c r="W166" s="24"/>
      <x:c r="X166" s="24"/>
      <x:c r="Y166" s="24"/>
      <x:c r="Z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  <x:c r="K167" s="24"/>
      <x:c r="L167" s="24"/>
      <x:c r="M167" s="24"/>
      <x:c r="N167" s="24"/>
      <x:c r="O167" s="24"/>
      <x:c r="P167" s="24"/>
      <x:c r="Q167" s="24"/>
      <x:c r="R167" s="24"/>
      <x:c r="S167" s="24"/>
      <x:c r="T167" s="24"/>
      <x:c r="U167" s="24"/>
      <x:c r="V167" s="24"/>
      <x:c r="W167" s="24"/>
      <x:c r="X167" s="24"/>
      <x:c r="Y167" s="24"/>
      <x:c r="Z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  <x:c r="K168" s="24"/>
      <x:c r="L168" s="24"/>
      <x:c r="M168" s="24"/>
      <x:c r="N168" s="24"/>
      <x:c r="O168" s="24"/>
      <x:c r="P168" s="24"/>
      <x:c r="Q168" s="24"/>
      <x:c r="R168" s="24"/>
      <x:c r="S168" s="24"/>
      <x:c r="T168" s="24"/>
      <x:c r="U168" s="24"/>
      <x:c r="V168" s="24"/>
      <x:c r="W168" s="24"/>
      <x:c r="X168" s="24"/>
      <x:c r="Y168" s="24"/>
      <x:c r="Z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  <x:c r="K169" s="24"/>
      <x:c r="L169" s="24"/>
      <x:c r="M169" s="24"/>
      <x:c r="N169" s="24"/>
      <x:c r="O169" s="24"/>
      <x:c r="P169" s="24"/>
      <x:c r="Q169" s="24"/>
      <x:c r="R169" s="24"/>
      <x:c r="S169" s="24"/>
      <x:c r="T169" s="24"/>
      <x:c r="U169" s="24"/>
      <x:c r="V169" s="24"/>
      <x:c r="W169" s="24"/>
      <x:c r="X169" s="24"/>
      <x:c r="Y169" s="24"/>
      <x:c r="Z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  <x:c r="K170" s="24"/>
      <x:c r="L170" s="24"/>
      <x:c r="M170" s="24"/>
      <x:c r="N170" s="24"/>
      <x:c r="O170" s="24"/>
      <x:c r="P170" s="24"/>
      <x:c r="Q170" s="24"/>
      <x:c r="R170" s="24"/>
      <x:c r="S170" s="24"/>
      <x:c r="T170" s="24"/>
      <x:c r="U170" s="24"/>
      <x:c r="V170" s="24"/>
      <x:c r="W170" s="24"/>
      <x:c r="X170" s="24"/>
      <x:c r="Y170" s="24"/>
      <x:c r="Z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  <x:c r="K171" s="24"/>
      <x:c r="L171" s="24"/>
      <x:c r="M171" s="24"/>
      <x:c r="N171" s="24"/>
      <x:c r="O171" s="24"/>
      <x:c r="P171" s="24"/>
      <x:c r="Q171" s="24"/>
      <x:c r="R171" s="24"/>
      <x:c r="S171" s="24"/>
      <x:c r="T171" s="24"/>
      <x:c r="U171" s="24"/>
      <x:c r="V171" s="24"/>
      <x:c r="W171" s="24"/>
      <x:c r="X171" s="24"/>
      <x:c r="Y171" s="24"/>
      <x:c r="Z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  <x:c r="K172" s="24"/>
      <x:c r="L172" s="24"/>
      <x:c r="M172" s="24"/>
      <x:c r="N172" s="24"/>
      <x:c r="O172" s="24"/>
      <x:c r="P172" s="24"/>
      <x:c r="Q172" s="24"/>
      <x:c r="R172" s="24"/>
      <x:c r="S172" s="24"/>
      <x:c r="T172" s="24"/>
      <x:c r="U172" s="24"/>
      <x:c r="V172" s="24"/>
      <x:c r="W172" s="24"/>
      <x:c r="X172" s="24"/>
      <x:c r="Y172" s="24"/>
      <x:c r="Z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  <x:c r="K173" s="24"/>
      <x:c r="L173" s="24"/>
      <x:c r="M173" s="24"/>
      <x:c r="N173" s="24"/>
      <x:c r="O173" s="24"/>
      <x:c r="P173" s="24"/>
      <x:c r="Q173" s="24"/>
      <x:c r="R173" s="24"/>
      <x:c r="S173" s="24"/>
      <x:c r="T173" s="24"/>
      <x:c r="U173" s="24"/>
      <x:c r="V173" s="24"/>
      <x:c r="W173" s="24"/>
      <x:c r="X173" s="24"/>
      <x:c r="Y173" s="24"/>
      <x:c r="Z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  <x:c r="K174" s="24"/>
      <x:c r="L174" s="24"/>
      <x:c r="M174" s="24"/>
      <x:c r="N174" s="24"/>
      <x:c r="O174" s="24"/>
      <x:c r="P174" s="24"/>
      <x:c r="Q174" s="24"/>
      <x:c r="R174" s="24"/>
      <x:c r="S174" s="24"/>
      <x:c r="T174" s="24"/>
      <x:c r="U174" s="24"/>
      <x:c r="V174" s="24"/>
      <x:c r="W174" s="24"/>
      <x:c r="X174" s="24"/>
      <x:c r="Y174" s="24"/>
      <x:c r="Z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  <x:c r="K175" s="24"/>
      <x:c r="L175" s="24"/>
      <x:c r="M175" s="24"/>
      <x:c r="N175" s="24"/>
      <x:c r="O175" s="24"/>
      <x:c r="P175" s="24"/>
      <x:c r="Q175" s="24"/>
      <x:c r="R175" s="24"/>
      <x:c r="S175" s="24"/>
      <x:c r="T175" s="24"/>
      <x:c r="U175" s="24"/>
      <x:c r="V175" s="24"/>
      <x:c r="W175" s="24"/>
      <x:c r="X175" s="24"/>
      <x:c r="Y175" s="24"/>
      <x:c r="Z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  <x:c r="K176" s="24"/>
      <x:c r="L176" s="24"/>
      <x:c r="M176" s="24"/>
      <x:c r="N176" s="24"/>
      <x:c r="O176" s="24"/>
      <x:c r="P176" s="24"/>
      <x:c r="Q176" s="24"/>
      <x:c r="R176" s="24"/>
      <x:c r="S176" s="24"/>
      <x:c r="T176" s="24"/>
      <x:c r="U176" s="24"/>
      <x:c r="V176" s="24"/>
      <x:c r="W176" s="24"/>
      <x:c r="X176" s="24"/>
      <x:c r="Y176" s="24"/>
      <x:c r="Z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  <x:c r="K177" s="24"/>
      <x:c r="L177" s="24"/>
      <x:c r="M177" s="24"/>
      <x:c r="N177" s="24"/>
      <x:c r="O177" s="24"/>
      <x:c r="P177" s="24"/>
      <x:c r="Q177" s="24"/>
      <x:c r="R177" s="24"/>
      <x:c r="S177" s="24"/>
      <x:c r="T177" s="24"/>
      <x:c r="U177" s="24"/>
      <x:c r="V177" s="24"/>
      <x:c r="W177" s="24"/>
      <x:c r="X177" s="24"/>
      <x:c r="Y177" s="24"/>
      <x:c r="Z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  <x:c r="K178" s="24"/>
      <x:c r="L178" s="24"/>
      <x:c r="M178" s="24"/>
      <x:c r="N178" s="24"/>
      <x:c r="O178" s="24"/>
      <x:c r="P178" s="24"/>
      <x:c r="Q178" s="24"/>
      <x:c r="R178" s="24"/>
      <x:c r="S178" s="24"/>
      <x:c r="T178" s="24"/>
      <x:c r="U178" s="24"/>
      <x:c r="V178" s="24"/>
      <x:c r="W178" s="24"/>
      <x:c r="X178" s="24"/>
      <x:c r="Y178" s="24"/>
      <x:c r="Z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  <x:c r="K179" s="24"/>
      <x:c r="L179" s="24"/>
      <x:c r="M179" s="24"/>
      <x:c r="N179" s="24"/>
      <x:c r="O179" s="24"/>
      <x:c r="P179" s="24"/>
      <x:c r="Q179" s="24"/>
      <x:c r="R179" s="24"/>
      <x:c r="S179" s="24"/>
      <x:c r="T179" s="24"/>
      <x:c r="U179" s="24"/>
      <x:c r="V179" s="24"/>
      <x:c r="W179" s="24"/>
      <x:c r="X179" s="24"/>
      <x:c r="Y179" s="24"/>
      <x:c r="Z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  <x:c r="K180" s="24"/>
      <x:c r="L180" s="24"/>
      <x:c r="M180" s="24"/>
      <x:c r="N180" s="24"/>
      <x:c r="O180" s="24"/>
      <x:c r="P180" s="24"/>
      <x:c r="Q180" s="24"/>
      <x:c r="R180" s="24"/>
      <x:c r="S180" s="24"/>
      <x:c r="T180" s="24"/>
      <x:c r="U180" s="24"/>
      <x:c r="V180" s="24"/>
      <x:c r="W180" s="24"/>
      <x:c r="X180" s="24"/>
      <x:c r="Y180" s="24"/>
      <x:c r="Z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  <x:c r="K181" s="24"/>
      <x:c r="L181" s="24"/>
      <x:c r="M181" s="24"/>
      <x:c r="N181" s="24"/>
      <x:c r="O181" s="24"/>
      <x:c r="P181" s="24"/>
      <x:c r="Q181" s="24"/>
      <x:c r="R181" s="24"/>
      <x:c r="S181" s="24"/>
      <x:c r="T181" s="24"/>
      <x:c r="U181" s="24"/>
      <x:c r="V181" s="24"/>
      <x:c r="W181" s="24"/>
      <x:c r="X181" s="24"/>
      <x:c r="Y181" s="24"/>
      <x:c r="Z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  <x:c r="K182" s="24"/>
      <x:c r="L182" s="24"/>
      <x:c r="M182" s="24"/>
      <x:c r="N182" s="24"/>
      <x:c r="O182" s="24"/>
      <x:c r="P182" s="24"/>
      <x:c r="Q182" s="24"/>
      <x:c r="R182" s="24"/>
      <x:c r="S182" s="24"/>
      <x:c r="T182" s="24"/>
      <x:c r="U182" s="24"/>
      <x:c r="V182" s="24"/>
      <x:c r="W182" s="24"/>
      <x:c r="X182" s="24"/>
      <x:c r="Y182" s="24"/>
      <x:c r="Z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  <x:c r="K183" s="24"/>
      <x:c r="L183" s="24"/>
      <x:c r="M183" s="24"/>
      <x:c r="N183" s="24"/>
      <x:c r="O183" s="24"/>
      <x:c r="P183" s="24"/>
      <x:c r="Q183" s="24"/>
      <x:c r="R183" s="24"/>
      <x:c r="S183" s="24"/>
      <x:c r="T183" s="24"/>
      <x:c r="U183" s="24"/>
      <x:c r="V183" s="24"/>
      <x:c r="W183" s="24"/>
      <x:c r="X183" s="24"/>
      <x:c r="Y183" s="24"/>
      <x:c r="Z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  <x:c r="K184" s="24"/>
      <x:c r="L184" s="24"/>
      <x:c r="M184" s="24"/>
      <x:c r="N184" s="24"/>
      <x:c r="O184" s="24"/>
      <x:c r="P184" s="24"/>
      <x:c r="Q184" s="24"/>
      <x:c r="R184" s="24"/>
      <x:c r="S184" s="24"/>
      <x:c r="T184" s="24"/>
      <x:c r="U184" s="24"/>
      <x:c r="V184" s="24"/>
      <x:c r="W184" s="24"/>
      <x:c r="X184" s="24"/>
      <x:c r="Y184" s="24"/>
      <x:c r="Z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  <x:c r="K185" s="24"/>
      <x:c r="L185" s="24"/>
      <x:c r="M185" s="24"/>
      <x:c r="N185" s="24"/>
      <x:c r="O185" s="24"/>
      <x:c r="P185" s="24"/>
      <x:c r="Q185" s="24"/>
      <x:c r="R185" s="24"/>
      <x:c r="S185" s="24"/>
      <x:c r="T185" s="24"/>
      <x:c r="U185" s="24"/>
      <x:c r="V185" s="24"/>
      <x:c r="W185" s="24"/>
      <x:c r="X185" s="24"/>
      <x:c r="Y185" s="24"/>
      <x:c r="Z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  <x:c r="K186" s="24"/>
      <x:c r="L186" s="24"/>
      <x:c r="M186" s="24"/>
      <x:c r="N186" s="24"/>
      <x:c r="O186" s="24"/>
      <x:c r="P186" s="24"/>
      <x:c r="Q186" s="24"/>
      <x:c r="R186" s="24"/>
      <x:c r="S186" s="24"/>
      <x:c r="T186" s="24"/>
      <x:c r="U186" s="24"/>
      <x:c r="V186" s="24"/>
      <x:c r="W186" s="24"/>
      <x:c r="X186" s="24"/>
      <x:c r="Y186" s="24"/>
      <x:c r="Z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  <x:c r="K187" s="24"/>
      <x:c r="L187" s="24"/>
      <x:c r="M187" s="24"/>
      <x:c r="N187" s="24"/>
      <x:c r="O187" s="24"/>
      <x:c r="P187" s="24"/>
      <x:c r="Q187" s="24"/>
      <x:c r="R187" s="24"/>
      <x:c r="S187" s="24"/>
      <x:c r="T187" s="24"/>
      <x:c r="U187" s="24"/>
      <x:c r="V187" s="24"/>
      <x:c r="W187" s="24"/>
      <x:c r="X187" s="24"/>
      <x:c r="Y187" s="24"/>
      <x:c r="Z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  <x:c r="K188" s="24"/>
      <x:c r="L188" s="24"/>
      <x:c r="M188" s="24"/>
      <x:c r="N188" s="24"/>
      <x:c r="O188" s="24"/>
      <x:c r="P188" s="24"/>
      <x:c r="Q188" s="24"/>
      <x:c r="R188" s="24"/>
      <x:c r="S188" s="24"/>
      <x:c r="T188" s="24"/>
      <x:c r="U188" s="24"/>
      <x:c r="V188" s="24"/>
      <x:c r="W188" s="24"/>
      <x:c r="X188" s="24"/>
      <x:c r="Y188" s="24"/>
      <x:c r="Z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  <x:c r="K189" s="24"/>
      <x:c r="L189" s="24"/>
      <x:c r="M189" s="24"/>
      <x:c r="N189" s="24"/>
      <x:c r="O189" s="24"/>
      <x:c r="P189" s="24"/>
      <x:c r="Q189" s="24"/>
      <x:c r="R189" s="24"/>
      <x:c r="S189" s="24"/>
      <x:c r="T189" s="24"/>
      <x:c r="U189" s="24"/>
      <x:c r="V189" s="24"/>
      <x:c r="W189" s="24"/>
      <x:c r="X189" s="24"/>
      <x:c r="Y189" s="24"/>
      <x:c r="Z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  <x:c r="K190" s="24"/>
      <x:c r="L190" s="24"/>
      <x:c r="M190" s="24"/>
      <x:c r="N190" s="24"/>
      <x:c r="O190" s="24"/>
      <x:c r="P190" s="24"/>
      <x:c r="Q190" s="24"/>
      <x:c r="R190" s="24"/>
      <x:c r="S190" s="24"/>
      <x:c r="T190" s="24"/>
      <x:c r="U190" s="24"/>
      <x:c r="V190" s="24"/>
      <x:c r="W190" s="24"/>
      <x:c r="X190" s="24"/>
      <x:c r="Y190" s="24"/>
      <x:c r="Z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  <x:c r="K191" s="24"/>
      <x:c r="L191" s="24"/>
      <x:c r="M191" s="24"/>
      <x:c r="N191" s="24"/>
      <x:c r="O191" s="24"/>
      <x:c r="P191" s="24"/>
      <x:c r="Q191" s="24"/>
      <x:c r="R191" s="24"/>
      <x:c r="S191" s="24"/>
      <x:c r="T191" s="24"/>
      <x:c r="U191" s="24"/>
      <x:c r="V191" s="24"/>
      <x:c r="W191" s="24"/>
      <x:c r="X191" s="24"/>
      <x:c r="Y191" s="24"/>
      <x:c r="Z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  <x:c r="K192" s="24"/>
      <x:c r="L192" s="24"/>
      <x:c r="M192" s="24"/>
      <x:c r="N192" s="24"/>
      <x:c r="O192" s="24"/>
      <x:c r="P192" s="24"/>
      <x:c r="Q192" s="24"/>
      <x:c r="R192" s="24"/>
      <x:c r="S192" s="24"/>
      <x:c r="T192" s="24"/>
      <x:c r="U192" s="24"/>
      <x:c r="V192" s="24"/>
      <x:c r="W192" s="24"/>
      <x:c r="X192" s="24"/>
      <x:c r="Y192" s="24"/>
      <x:c r="Z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  <x:c r="K193" s="24"/>
      <x:c r="L193" s="24"/>
      <x:c r="M193" s="24"/>
      <x:c r="N193" s="24"/>
      <x:c r="O193" s="24"/>
      <x:c r="P193" s="24"/>
      <x:c r="Q193" s="24"/>
      <x:c r="R193" s="24"/>
      <x:c r="S193" s="24"/>
      <x:c r="T193" s="24"/>
      <x:c r="U193" s="24"/>
      <x:c r="V193" s="24"/>
      <x:c r="W193" s="24"/>
      <x:c r="X193" s="24"/>
      <x:c r="Y193" s="24"/>
      <x:c r="Z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  <x:c r="K194" s="24"/>
      <x:c r="L194" s="24"/>
      <x:c r="M194" s="24"/>
      <x:c r="N194" s="24"/>
      <x:c r="O194" s="24"/>
      <x:c r="P194" s="24"/>
      <x:c r="Q194" s="24"/>
      <x:c r="R194" s="24"/>
      <x:c r="S194" s="24"/>
      <x:c r="T194" s="24"/>
      <x:c r="U194" s="24"/>
      <x:c r="V194" s="24"/>
      <x:c r="W194" s="24"/>
      <x:c r="X194" s="24"/>
      <x:c r="Y194" s="24"/>
      <x:c r="Z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  <x:c r="K195" s="24"/>
      <x:c r="L195" s="24"/>
      <x:c r="M195" s="24"/>
      <x:c r="N195" s="24"/>
      <x:c r="O195" s="24"/>
      <x:c r="P195" s="24"/>
      <x:c r="Q195" s="24"/>
      <x:c r="R195" s="24"/>
      <x:c r="S195" s="24"/>
      <x:c r="T195" s="24"/>
      <x:c r="U195" s="24"/>
      <x:c r="V195" s="24"/>
      <x:c r="W195" s="24"/>
      <x:c r="X195" s="24"/>
      <x:c r="Y195" s="24"/>
      <x:c r="Z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  <x:c r="K196" s="24"/>
      <x:c r="L196" s="24"/>
      <x:c r="M196" s="24"/>
      <x:c r="N196" s="24"/>
      <x:c r="O196" s="24"/>
      <x:c r="P196" s="24"/>
      <x:c r="Q196" s="24"/>
      <x:c r="R196" s="24"/>
      <x:c r="S196" s="24"/>
      <x:c r="T196" s="24"/>
      <x:c r="U196" s="24"/>
      <x:c r="V196" s="24"/>
      <x:c r="W196" s="24"/>
      <x:c r="X196" s="24"/>
      <x:c r="Y196" s="24"/>
      <x:c r="Z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  <x:c r="K197" s="24"/>
      <x:c r="L197" s="24"/>
      <x:c r="M197" s="24"/>
      <x:c r="N197" s="24"/>
      <x:c r="O197" s="24"/>
      <x:c r="P197" s="24"/>
      <x:c r="Q197" s="24"/>
      <x:c r="R197" s="24"/>
      <x:c r="S197" s="24"/>
      <x:c r="T197" s="24"/>
      <x:c r="U197" s="24"/>
      <x:c r="V197" s="24"/>
      <x:c r="W197" s="24"/>
      <x:c r="X197" s="24"/>
      <x:c r="Y197" s="24"/>
      <x:c r="Z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  <x:c r="K198" s="24"/>
      <x:c r="L198" s="24"/>
      <x:c r="M198" s="24"/>
      <x:c r="N198" s="24"/>
      <x:c r="O198" s="24"/>
      <x:c r="P198" s="24"/>
      <x:c r="Q198" s="24"/>
      <x:c r="R198" s="24"/>
      <x:c r="S198" s="24"/>
      <x:c r="T198" s="24"/>
      <x:c r="U198" s="24"/>
      <x:c r="V198" s="24"/>
      <x:c r="W198" s="24"/>
      <x:c r="X198" s="24"/>
      <x:c r="Y198" s="24"/>
      <x:c r="Z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  <x:c r="K199" s="24"/>
      <x:c r="L199" s="24"/>
      <x:c r="M199" s="24"/>
      <x:c r="N199" s="24"/>
      <x:c r="O199" s="24"/>
      <x:c r="P199" s="24"/>
      <x:c r="Q199" s="24"/>
      <x:c r="R199" s="24"/>
      <x:c r="S199" s="24"/>
      <x:c r="T199" s="24"/>
      <x:c r="U199" s="24"/>
      <x:c r="V199" s="24"/>
      <x:c r="W199" s="24"/>
      <x:c r="X199" s="24"/>
      <x:c r="Y199" s="24"/>
      <x:c r="Z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  <x:c r="K200" s="24"/>
      <x:c r="L200" s="24"/>
      <x:c r="M200" s="24"/>
      <x:c r="N200" s="24"/>
      <x:c r="O200" s="24"/>
      <x:c r="P200" s="24"/>
      <x:c r="Q200" s="24"/>
      <x:c r="R200" s="24"/>
      <x:c r="S200" s="24"/>
      <x:c r="T200" s="24"/>
      <x:c r="U200" s="24"/>
      <x:c r="V200" s="24"/>
      <x:c r="W200" s="24"/>
      <x:c r="X200" s="24"/>
      <x:c r="Y200" s="24"/>
      <x:c r="Z200" s="24"/>
    </x:row>
  </x:sheetData>
  <x:mergeCells>
    <x:mergeCell ref="A1:H1"/>
    <x:mergeCell ref="A3:H3"/>
    <x:mergeCell ref="A10:H10"/>
    <x:mergeCell ref="A16:H16"/>
    <x:mergeCell ref="A24:H2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5" hidden="0" customWidth="1"/>
    <x:col min="3" max="3" width="11" hidden="0" customWidth="1"/>
    <x:col min="4" max="4" width="24" hidden="0" customWidth="1"/>
    <x:col min="5" max="5" width="12" hidden="0" customWidth="1"/>
    <x:col min="6" max="6" width="28" hidden="0" customWidth="1"/>
  </x:cols>
  <x:sheetData>
    <x:row r="1">
      <x:c r="A1" s="22" t="str">
        <x:v>CONTROL PANEL — DECISIONS &amp; CONSTRAINTS</x:v>
      </x:c>
      <x:c r="B1" s="22"/>
      <x:c r="C1" s="22"/>
      <x:c r="D1" s="22"/>
      <x:c r="E1" s="22"/>
      <x:c r="F1" s="22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>
      <x:c r="A2" s="24"/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  <x:c r="R2" s="24"/>
      <x:c r="S2" s="24"/>
      <x:c r="T2" s="24"/>
      <x:c r="U2" s="24"/>
      <x:c r="V2" s="24"/>
      <x:c r="W2" s="24"/>
      <x:c r="X2" s="24"/>
      <x:c r="Y2" s="24"/>
      <x:c r="Z2" s="24"/>
    </x:row>
    <x:row r="3">
      <x:c r="A3" s="25" t="str">
        <x:v>Locked Core</x:v>
      </x:c>
      <x:c r="B3" s="25" t="str">
        <x:v>Reason</x:v>
      </x:c>
      <x:c r="C3" s="25" t="str">
        <x:v>Status</x:v>
      </x:c>
      <x:c r="D3" s="25" t="str">
        <x:v>Priority</x:v>
      </x:c>
      <x:c r="E3" s="25" t="str">
        <x:v>Next Action</x:v>
      </x:c>
      <x:c r="F3" s="25" t="str">
        <x:v>Notes</x:v>
      </x:c>
      <x:c r="G3" s="24"/>
      <x:c r="H3" s="24"/>
      <x:c r="I3" s="24"/>
      <x:c r="J3" s="24"/>
      <x:c r="K3" s="24"/>
      <x:c r="L3" s="24"/>
      <x:c r="M3" s="24"/>
      <x:c r="N3" s="24"/>
      <x:c r="O3" s="24"/>
      <x:c r="P3" s="24"/>
      <x:c r="Q3" s="24"/>
      <x:c r="R3" s="24"/>
      <x:c r="S3" s="24"/>
      <x:c r="T3" s="24"/>
      <x:c r="U3" s="24"/>
      <x:c r="V3" s="24"/>
      <x:c r="W3" s="24"/>
      <x:c r="X3" s="24"/>
      <x:c r="Y3" s="24"/>
      <x:c r="Z3" s="24"/>
    </x:row>
    <x:row r="4">
      <x:c r="A4" s="84" t="str">
        <x:v>Lynde, Cheerful Tormentor</x:v>
      </x:c>
      <x:c r="B4" s="84" t="str">
        <x:v>Commander/engine</x:v>
      </x:c>
      <x:c r="C4" s="84" t="str">
        <x:v>LOCK</x:v>
      </x:c>
      <x:c r="D4" s="84" t="str">
        <x:v>S</x:v>
      </x:c>
      <x:c r="E4" s="84" t="str">
        <x:v>Protect + resolve on curve</x:v>
      </x:c>
      <x:c r="F4" s="84" t="str">
        <x:v>Central project identity.</x:v>
      </x:c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4"/>
      <x:c r="Z4" s="24"/>
    </x:row>
    <x:row r="5">
      <x:c r="A5" s="84" t="str">
        <x:v>Curse of Misfortunes</x:v>
      </x:c>
      <x:c r="B5" s="84" t="str">
        <x:v>Curse chain engine</x:v>
      </x:c>
      <x:c r="C5" s="84" t="str">
        <x:v>LOCK</x:v>
      </x:c>
      <x:c r="D5" s="84" t="str">
        <x:v>S</x:v>
      </x:c>
      <x:c r="E5" s="84" t="str">
        <x:v>Preserve</x:v>
      </x:c>
      <x:c r="F5" s="84" t="str">
        <x:v>High-fit thematic tutor.</x:v>
      </x:c>
      <x:c r="G5" s="24"/>
      <x:c r="H5" s="24"/>
      <x:c r="I5" s="24"/>
      <x:c r="J5" s="24"/>
      <x:c r="K5" s="24"/>
      <x:c r="L5" s="24"/>
      <x:c r="M5" s="24"/>
      <x:c r="N5" s="24"/>
      <x:c r="O5" s="24"/>
      <x:c r="P5" s="24"/>
      <x:c r="Q5" s="24"/>
      <x:c r="R5" s="24"/>
      <x:c r="S5" s="24"/>
      <x:c r="T5" s="24"/>
      <x:c r="U5" s="24"/>
      <x:c r="V5" s="24"/>
      <x:c r="W5" s="24"/>
      <x:c r="X5" s="24"/>
      <x:c r="Y5" s="24"/>
      <x:c r="Z5" s="24"/>
    </x:row>
    <x:row r="6">
      <x:c r="A6" s="84" t="str">
        <x:v>Curse of Surveillance</x:v>
      </x:c>
      <x:c r="B6" s="84" t="str">
        <x:v>Card engine</x:v>
      </x:c>
      <x:c r="C6" s="84" t="str">
        <x:v>LOCK</x:v>
      </x:c>
      <x:c r="D6" s="84" t="str">
        <x:v>S</x:v>
      </x:c>
      <x:c r="E6" s="84" t="str">
        <x:v>Preserve</x:v>
      </x:c>
      <x:c r="F6" s="84" t="str">
        <x:v>Scales with Curse count.</x:v>
      </x:c>
      <x:c r="G6" s="24"/>
      <x:c r="H6" s="24"/>
      <x:c r="I6" s="24"/>
      <x:c r="J6" s="24"/>
      <x:c r="K6" s="24"/>
      <x:c r="L6" s="24"/>
      <x:c r="M6" s="24"/>
      <x:c r="N6" s="24"/>
      <x:c r="O6" s="24"/>
      <x:c r="P6" s="24"/>
      <x:c r="Q6" s="24"/>
      <x:c r="R6" s="24"/>
      <x:c r="S6" s="24"/>
      <x:c r="T6" s="24"/>
      <x:c r="U6" s="24"/>
      <x:c r="V6" s="24"/>
      <x:c r="W6" s="24"/>
      <x:c r="X6" s="24"/>
      <x:c r="Y6" s="24"/>
      <x:c r="Z6" s="24"/>
    </x:row>
    <x:row r="7">
      <x:c r="A7" s="84" t="str">
        <x:v>Claws of Gix</x:v>
      </x:c>
      <x:c r="B7" s="84" t="str">
        <x:v>Sacrifice + recursion enabler</x:v>
      </x:c>
      <x:c r="C7" s="84" t="str">
        <x:v>LOCK</x:v>
      </x:c>
      <x:c r="D7" s="84" t="str">
        <x:v>S</x:v>
      </x:c>
      <x:c r="E7" s="84" t="str">
        <x:v>Preserve</x:v>
      </x:c>
      <x:c r="F7" s="84" t="str">
        <x:v>Feeds Lynde deliberately.</x:v>
      </x:c>
      <x:c r="G7" s="24"/>
      <x:c r="H7" s="24"/>
      <x:c r="I7" s="24"/>
      <x:c r="J7" s="24"/>
      <x:c r="K7" s="24"/>
      <x:c r="L7" s="24"/>
      <x:c r="M7" s="24"/>
      <x:c r="N7" s="24"/>
      <x:c r="O7" s="24"/>
      <x:c r="P7" s="24"/>
      <x:c r="Q7" s="24"/>
      <x:c r="R7" s="24"/>
      <x:c r="S7" s="24"/>
      <x:c r="T7" s="24"/>
      <x:c r="U7" s="24"/>
      <x:c r="V7" s="24"/>
      <x:c r="W7" s="24"/>
      <x:c r="X7" s="24"/>
      <x:c r="Y7" s="24"/>
      <x:c r="Z7" s="24"/>
    </x:row>
    <x:row r="8">
      <x:c r="A8" s="84" t="str">
        <x:v>Bitterheart Witch</x:v>
      </x:c>
      <x:c r="B8" s="84" t="str">
        <x:v>Curse tutor</x:v>
      </x:c>
      <x:c r="C8" s="84" t="str">
        <x:v>LOCK</x:v>
      </x:c>
      <x:c r="D8" s="84" t="str">
        <x:v>S</x:v>
      </x:c>
      <x:c r="E8" s="84" t="str">
        <x:v>Preserve</x:v>
      </x:c>
      <x:c r="F8" s="84" t="str">
        <x:v>Role compression.</x:v>
      </x:c>
      <x:c r="G8" s="24"/>
      <x:c r="H8" s="24"/>
      <x:c r="I8" s="24"/>
      <x:c r="J8" s="24"/>
      <x:c r="K8" s="24"/>
      <x:c r="L8" s="24"/>
      <x:c r="M8" s="24"/>
      <x:c r="N8" s="24"/>
      <x:c r="O8" s="24"/>
      <x:c r="P8" s="24"/>
      <x:c r="Q8" s="24"/>
      <x:c r="R8" s="24"/>
      <x:c r="S8" s="24"/>
      <x:c r="T8" s="24"/>
      <x:c r="U8" s="24"/>
      <x:c r="V8" s="24"/>
      <x:c r="W8" s="24"/>
      <x:c r="X8" s="24"/>
      <x:c r="Y8" s="24"/>
      <x:c r="Z8" s="24"/>
    </x:row>
    <x:row r="9">
      <x:c r="A9" s="84" t="str">
        <x:v>Entity Tracker</x:v>
      </x:c>
      <x:c r="B9" s="84" t="str">
        <x:v>Enchantments → draw</x:v>
      </x:c>
      <x:c r="C9" s="84" t="str">
        <x:v>LOCK</x:v>
      </x:c>
      <x:c r="D9" s="84" t="str">
        <x:v>S</x:v>
      </x:c>
      <x:c r="E9" s="84" t="str">
        <x:v>Test heavily</x:v>
      </x:c>
      <x:c r="F9" s="84" t="str">
        <x:v>Engine multiplier.</x:v>
      </x:c>
      <x:c r="G9" s="24"/>
      <x:c r="H9" s="24"/>
      <x:c r="I9" s="24"/>
      <x:c r="J9" s="24"/>
      <x:c r="K9" s="24"/>
      <x:c r="L9" s="24"/>
      <x:c r="M9" s="24"/>
      <x:c r="N9" s="24"/>
      <x:c r="O9" s="24"/>
      <x:c r="P9" s="24"/>
      <x:c r="Q9" s="24"/>
      <x:c r="R9" s="24"/>
      <x:c r="S9" s="24"/>
      <x:c r="T9" s="24"/>
      <x:c r="U9" s="24"/>
      <x:c r="V9" s="24"/>
      <x:c r="W9" s="24"/>
      <x:c r="X9" s="24"/>
      <x:c r="Y9" s="24"/>
      <x:c r="Z9" s="24"/>
    </x:row>
    <x:row r="10">
      <x:c r="A10" s="84" t="str">
        <x:v>Paradox Haze</x:v>
      </x:c>
      <x:c r="B10" s="84" t="str">
        <x:v>Additional upkeep</x:v>
      </x:c>
      <x:c r="C10" s="84" t="str">
        <x:v>LOCK</x:v>
      </x:c>
      <x:c r="D10" s="84" t="str">
        <x:v>S</x:v>
      </x:c>
      <x:c r="E10" s="84" t="str">
        <x:v>Test heavily</x:v>
      </x:c>
      <x:c r="F10" s="84" t="str">
        <x:v>Amplifies Lynde directly.</x:v>
      </x:c>
      <x:c r="G10" s="24"/>
      <x:c r="H10" s="24"/>
      <x:c r="I10" s="24"/>
      <x:c r="J10" s="24"/>
      <x:c r="K10" s="24"/>
      <x:c r="L10" s="24"/>
      <x:c r="M10" s="24"/>
      <x:c r="N10" s="24"/>
      <x:c r="O10" s="24"/>
      <x:c r="P10" s="24"/>
      <x:c r="Q10" s="24"/>
      <x:c r="R10" s="24"/>
      <x:c r="S10" s="24"/>
      <x:c r="T10" s="24"/>
      <x:c r="U10" s="24"/>
      <x:c r="V10" s="24"/>
      <x:c r="W10" s="24"/>
      <x:c r="X10" s="24"/>
      <x:c r="Y10" s="24"/>
      <x:c r="Z10" s="24"/>
    </x:row>
    <x:row r="11">
      <x:c r="A11" s="84" t="str">
        <x:v>Curse of Thirst</x:v>
      </x:c>
      <x:c r="B11" s="84" t="str">
        <x:v>Primary thematic finisher</x:v>
      </x:c>
      <x:c r="C11" s="84" t="str">
        <x:v>LOCK</x:v>
      </x:c>
      <x:c r="D11" s="84" t="str">
        <x:v>S</x:v>
      </x:c>
      <x:c r="E11" s="84" t="str">
        <x:v>Preserve</x:v>
      </x:c>
      <x:c r="F11" s="84" t="str">
        <x:v>Win condition.</x:v>
      </x:c>
      <x:c r="G11" s="24"/>
      <x:c r="H11" s="24"/>
      <x:c r="I11" s="24"/>
      <x:c r="J11" s="24"/>
      <x:c r="K11" s="24"/>
      <x:c r="L11" s="24"/>
      <x:c r="M11" s="24"/>
      <x:c r="N11" s="24"/>
      <x:c r="O11" s="24"/>
      <x:c r="P11" s="24"/>
      <x:c r="Q11" s="24"/>
      <x:c r="R11" s="24"/>
      <x:c r="S11" s="24"/>
      <x:c r="T11" s="24"/>
      <x:c r="U11" s="24"/>
      <x:c r="V11" s="24"/>
      <x:c r="W11" s="24"/>
      <x:c r="X11" s="24"/>
      <x:c r="Y11" s="24"/>
      <x:c r="Z11" s="24"/>
    </x:row>
    <x:row r="12">
      <x:c r="A12" s="24"/>
      <x:c r="B12" s="24"/>
      <x:c r="C12" s="24"/>
      <x:c r="D12" s="24"/>
      <x:c r="E12" s="24"/>
      <x:c r="F12" s="24"/>
      <x:c r="G12" s="24"/>
      <x:c r="H12" s="24"/>
      <x:c r="I12" s="24"/>
      <x:c r="J12" s="24"/>
      <x:c r="K12" s="24"/>
      <x:c r="L12" s="24"/>
      <x:c r="M12" s="24"/>
      <x:c r="N12" s="24"/>
      <x:c r="O12" s="24"/>
      <x:c r="P12" s="24"/>
      <x:c r="Q12" s="24"/>
      <x:c r="R12" s="24"/>
      <x:c r="S12" s="24"/>
      <x:c r="T12" s="24"/>
      <x:c r="U12" s="24"/>
      <x:c r="V12" s="24"/>
      <x:c r="W12" s="24"/>
      <x:c r="X12" s="24"/>
      <x:c r="Y12" s="24"/>
      <x:c r="Z12" s="24"/>
    </x:row>
    <x:row r="13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  <x:c r="L13" s="24"/>
      <x:c r="M13" s="24"/>
      <x:c r="N13" s="24"/>
      <x:c r="O13" s="24"/>
      <x:c r="P13" s="24"/>
      <x:c r="Q13" s="24"/>
      <x:c r="R13" s="24"/>
      <x:c r="S13" s="24"/>
      <x:c r="T13" s="24"/>
      <x:c r="U13" s="24"/>
      <x:c r="V13" s="24"/>
      <x:c r="W13" s="24"/>
      <x:c r="X13" s="24"/>
      <x:c r="Y13" s="24"/>
      <x:c r="Z13" s="24"/>
    </x:row>
    <x:row r="14">
      <x:c r="A14" s="25" t="str">
        <x:v>Watchlist</x:v>
      </x:c>
      <x:c r="B14" s="25" t="str">
        <x:v>Reason</x:v>
      </x:c>
      <x:c r="C14" s="25" t="str">
        <x:v>Priority</x:v>
      </x:c>
      <x:c r="D14" s="25" t="str">
        <x:v>Alternative</x:v>
      </x:c>
      <x:c r="E14" s="25" t="str">
        <x:v>Status</x:v>
      </x:c>
      <x:c r="F14" s="25" t="str">
        <x:v>Trigger</x:v>
      </x:c>
      <x:c r="G14" s="24"/>
      <x:c r="H14" s="24"/>
      <x:c r="I14" s="24"/>
      <x:c r="J14" s="24"/>
      <x:c r="K14" s="24"/>
      <x:c r="L14" s="24"/>
      <x:c r="M14" s="24"/>
      <x:c r="N14" s="24"/>
      <x:c r="O14" s="24"/>
      <x:c r="P14" s="24"/>
      <x:c r="Q14" s="24"/>
      <x:c r="R14" s="24"/>
      <x:c r="S14" s="24"/>
      <x:c r="T14" s="24"/>
      <x:c r="U14" s="24"/>
      <x:c r="V14" s="24"/>
      <x:c r="W14" s="24"/>
      <x:c r="X14" s="24"/>
      <x:c r="Y14" s="24"/>
      <x:c r="Z14" s="24"/>
    </x:row>
    <x:row r="15">
      <x:c r="A15" s="84" t="str">
        <x:v>Lightning Greaves</x:v>
      </x:c>
      <x:c r="B15" s="84" t="str">
        <x:v>Commander protection</x:v>
      </x:c>
      <x:c r="C15" s="84" t="str">
        <x:v>S</x:v>
      </x:c>
      <x:c r="D15" s="84" t="str">
        <x:v>Swiftfoot Boots</x:v>
      </x:c>
      <x:c r="E15" s="84" t="str">
        <x:v>NOT IN</x:v>
      </x:c>
      <x:c r="F15" s="84" t="str">
        <x:v>Test if Lynde dies too often</x:v>
      </x:c>
      <x:c r="G15" s="24"/>
      <x:c r="H15" s="24"/>
      <x:c r="I15" s="24"/>
      <x:c r="J15" s="24"/>
      <x:c r="K15" s="24"/>
      <x:c r="L15" s="24"/>
      <x:c r="M15" s="24"/>
      <x:c r="N15" s="24"/>
      <x:c r="O15" s="24"/>
      <x:c r="P15" s="24"/>
      <x:c r="Q15" s="24"/>
      <x:c r="R15" s="24"/>
      <x:c r="S15" s="24"/>
      <x:c r="T15" s="24"/>
      <x:c r="U15" s="24"/>
      <x:c r="V15" s="24"/>
      <x:c r="W15" s="24"/>
      <x:c r="X15" s="24"/>
      <x:c r="Y15" s="24"/>
      <x:c r="Z15" s="24"/>
    </x:row>
    <x:row r="16">
      <x:c r="A16" s="84" t="str">
        <x:v>Grim Guardian</x:v>
      </x:c>
      <x:c r="B16" s="84" t="str">
        <x:v>Added in V2.1; validate damage conversion</x:v>
      </x:c>
      <x:c r="C16" s="84" t="str">
        <x:v>A</x:v>
      </x:c>
      <x:c r="D16" s="84" t="str">
        <x:v>Wicked Visitor</x:v>
      </x:c>
      <x:c r="E16" s="84" t="str">
        <x:v>TEST</x:v>
      </x:c>
      <x:c r="F16" s="84" t="str">
        <x:v>If Curse ETB density is high</x:v>
      </x:c>
      <x:c r="G16" s="24"/>
      <x:c r="H16" s="24"/>
      <x:c r="I16" s="24"/>
      <x:c r="J16" s="24"/>
      <x:c r="K16" s="24"/>
      <x:c r="L16" s="24"/>
      <x:c r="M16" s="24"/>
      <x:c r="N16" s="24"/>
      <x:c r="O16" s="24"/>
      <x:c r="P16" s="24"/>
      <x:c r="Q16" s="24"/>
      <x:c r="R16" s="24"/>
      <x:c r="S16" s="24"/>
      <x:c r="T16" s="24"/>
      <x:c r="U16" s="24"/>
      <x:c r="V16" s="24"/>
      <x:c r="W16" s="24"/>
      <x:c r="X16" s="24"/>
      <x:c r="Y16" s="24"/>
      <x:c r="Z16" s="24"/>
    </x:row>
    <x:row r="17">
      <x:c r="A17" s="84" t="str">
        <x:v>Doomwake Giant</x:v>
      </x:c>
      <x:c r="B17" s="84" t="str">
        <x:v>Added in V2.1; validate board control</x:v>
      </x:c>
      <x:c r="C17" s="84" t="str">
        <x:v>A</x:v>
      </x:c>
      <x:c r="D17" s="84" t="str">
        <x:v>Ashiok's Reaper</x:v>
      </x:c>
      <x:c r="E17" s="84" t="str">
        <x:v>TEST</x:v>
      </x:c>
      <x:c r="F17" s="84" t="str">
        <x:v>If creatures overrun tables</x:v>
      </x:c>
      <x:c r="G17" s="24"/>
      <x:c r="H17" s="24"/>
      <x:c r="I17" s="24"/>
      <x:c r="J17" s="24"/>
      <x:c r="K17" s="24"/>
      <x:c r="L17" s="24"/>
      <x:c r="M17" s="24"/>
      <x:c r="N17" s="24"/>
      <x:c r="O17" s="24"/>
      <x:c r="P17" s="24"/>
      <x:c r="Q17" s="24"/>
      <x:c r="R17" s="24"/>
      <x:c r="S17" s="24"/>
      <x:c r="T17" s="24"/>
      <x:c r="U17" s="24"/>
      <x:c r="V17" s="24"/>
      <x:c r="W17" s="24"/>
      <x:c r="X17" s="24"/>
      <x:c r="Y17" s="24"/>
      <x:c r="Z17" s="24"/>
    </x:row>
    <x:row r="18">
      <x:c r="A18" s="84" t="str">
        <x:v>Curse of Echoes</x:v>
      </x:c>
      <x:c r="B18" s="84" t="str">
        <x:v>Added in V2.1; politics + Curse density</x:v>
      </x:c>
      <x:c r="C18" s="84" t="str">
        <x:v>A</x:v>
      </x:c>
      <x:c r="D18" s="84" t="str">
        <x:v>Curse of Shallow Graves</x:v>
      </x:c>
      <x:c r="E18" s="84" t="str">
        <x:v>TEST</x:v>
      </x:c>
      <x:c r="F18" s="84" t="str">
        <x:v>If spell-heavy pods</x:v>
      </x:c>
      <x:c r="G18" s="24"/>
      <x:c r="H18" s="24"/>
      <x:c r="I18" s="24"/>
      <x:c r="J18" s="24"/>
      <x:c r="K18" s="24"/>
      <x:c r="L18" s="24"/>
      <x:c r="M18" s="24"/>
      <x:c r="N18" s="24"/>
      <x:c r="O18" s="24"/>
      <x:c r="P18" s="24"/>
      <x:c r="Q18" s="24"/>
      <x:c r="R18" s="24"/>
      <x:c r="S18" s="24"/>
      <x:c r="T18" s="24"/>
      <x:c r="U18" s="24"/>
      <x:c r="V18" s="24"/>
      <x:c r="W18" s="24"/>
      <x:c r="X18" s="24"/>
      <x:c r="Y18" s="24"/>
      <x:c r="Z18" s="24"/>
    </x:row>
    <x:row r="19">
      <x:c r="A19" s="84" t="str">
        <x:v>Counterspell</x:v>
      </x:c>
      <x:c r="B19" s="84" t="str">
        <x:v>Stack interaction</x:v>
      </x:c>
      <x:c r="C19" s="84" t="str">
        <x:v>A</x:v>
      </x:c>
      <x:c r="D19" s="84" t="str">
        <x:v>Arcane Denial</x:v>
      </x:c>
      <x:c r="E19" s="84" t="str">
        <x:v>WATCH</x:v>
      </x:c>
      <x:c r="F19" s="84" t="str">
        <x:v>If combo/control dominates</x:v>
      </x:c>
      <x:c r="G19" s="24"/>
      <x:c r="H19" s="24"/>
      <x:c r="I19" s="24"/>
      <x:c r="J19" s="24"/>
      <x:c r="K19" s="24"/>
      <x:c r="L19" s="24"/>
      <x:c r="M19" s="24"/>
      <x:c r="N19" s="24"/>
      <x:c r="O19" s="24"/>
      <x:c r="P19" s="24"/>
      <x:c r="Q19" s="24"/>
      <x:c r="R19" s="24"/>
      <x:c r="S19" s="24"/>
      <x:c r="T19" s="24"/>
      <x:c r="U19" s="24"/>
      <x:c r="V19" s="24"/>
      <x:c r="W19" s="24"/>
      <x:c r="X19" s="24"/>
      <x:c r="Y19" s="24"/>
      <x:c r="Z19" s="24"/>
    </x:row>
    <x:row r="20">
      <x:c r="A20" s="84" t="str">
        <x:v>Vandalblast</x:v>
      </x:c>
      <x:c r="B20" s="84" t="str">
        <x:v>Artifact interaction</x:v>
      </x:c>
      <x:c r="C20" s="84" t="str">
        <x:v>B</x:v>
      </x:c>
      <x:c r="D20" s="84" t="str">
        <x:v>By Force</x:v>
      </x:c>
      <x:c r="E20" s="84" t="str">
        <x:v>WATCH</x:v>
      </x:c>
      <x:c r="F20" s="84" t="str">
        <x:v>If artifact-heavy meta</x:v>
      </x:c>
      <x:c r="G20" s="24"/>
      <x:c r="H20" s="24"/>
      <x:c r="I20" s="24"/>
      <x:c r="J20" s="24"/>
      <x:c r="K20" s="24"/>
      <x:c r="L20" s="24"/>
      <x:c r="M20" s="24"/>
      <x:c r="N20" s="24"/>
      <x:c r="O20" s="24"/>
      <x:c r="P20" s="24"/>
      <x:c r="Q20" s="24"/>
      <x:c r="R20" s="24"/>
      <x:c r="S20" s="24"/>
      <x:c r="T20" s="24"/>
      <x:c r="U20" s="24"/>
      <x:c r="V20" s="24"/>
      <x:c r="W20" s="24"/>
      <x:c r="X20" s="24"/>
      <x:c r="Y20" s="24"/>
      <x:c r="Z20" s="24"/>
    </x:row>
    <x:row r="21">
      <x:c r="A21" s="84" t="str">
        <x:v>Ashiok's Reaper</x:v>
      </x:c>
      <x:c r="B21" s="84" t="str">
        <x:v>Extra draw from enchantment sacrifice</x:v>
      </x:c>
      <x:c r="C21" s="84" t="str">
        <x:v>B</x:v>
      </x:c>
      <x:c r="D21" s="84" t="str">
        <x:v>Wicked Visitor</x:v>
      </x:c>
      <x:c r="E21" s="84" t="str">
        <x:v>WATCH</x:v>
      </x:c>
      <x:c r="F21" s="84" t="str">
        <x:v>If Claws/Despotic get frequent use</x:v>
      </x:c>
      <x:c r="G21" s="24"/>
      <x:c r="H21" s="24"/>
      <x:c r="I21" s="24"/>
      <x:c r="J21" s="24"/>
      <x:c r="K21" s="24"/>
      <x:c r="L21" s="24"/>
      <x:c r="M21" s="24"/>
      <x:c r="N21" s="24"/>
      <x:c r="O21" s="24"/>
      <x:c r="P21" s="24"/>
      <x:c r="Q21" s="24"/>
      <x:c r="R21" s="24"/>
      <x:c r="S21" s="24"/>
      <x:c r="T21" s="24"/>
      <x:c r="U21" s="24"/>
      <x:c r="V21" s="24"/>
      <x:c r="W21" s="24"/>
      <x:c r="X21" s="24"/>
      <x:c r="Y21" s="24"/>
      <x:c r="Z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  <x:c r="L22" s="24"/>
      <x:c r="M22" s="24"/>
      <x:c r="N22" s="24"/>
      <x:c r="O22" s="24"/>
      <x:c r="P22" s="24"/>
      <x:c r="Q22" s="24"/>
      <x:c r="R22" s="24"/>
      <x:c r="S22" s="24"/>
      <x:c r="T22" s="24"/>
      <x:c r="U22" s="24"/>
      <x:c r="V22" s="24"/>
      <x:c r="W22" s="24"/>
      <x:c r="X22" s="24"/>
      <x:c r="Y22" s="24"/>
      <x:c r="Z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  <x:c r="L23" s="24"/>
      <x:c r="M23" s="24"/>
      <x:c r="N23" s="24"/>
      <x:c r="O23" s="24"/>
      <x:c r="P23" s="24"/>
      <x:c r="Q23" s="24"/>
      <x:c r="R23" s="24"/>
      <x:c r="S23" s="24"/>
      <x:c r="T23" s="24"/>
      <x:c r="U23" s="24"/>
      <x:c r="V23" s="24"/>
      <x:c r="W23" s="24"/>
      <x:c r="X23" s="24"/>
      <x:c r="Y23" s="24"/>
      <x:c r="Z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  <x:c r="L24" s="24"/>
      <x:c r="M24" s="24"/>
      <x:c r="N24" s="24"/>
      <x:c r="O24" s="24"/>
      <x:c r="P24" s="24"/>
      <x:c r="Q24" s="24"/>
      <x:c r="R24" s="24"/>
      <x:c r="S24" s="24"/>
      <x:c r="T24" s="24"/>
      <x:c r="U24" s="24"/>
      <x:c r="V24" s="24"/>
      <x:c r="W24" s="24"/>
      <x:c r="X24" s="24"/>
      <x:c r="Y24" s="24"/>
      <x:c r="Z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  <x:c r="K25" s="24"/>
      <x:c r="L25" s="24"/>
      <x:c r="M25" s="24"/>
      <x:c r="N25" s="24"/>
      <x:c r="O25" s="24"/>
      <x:c r="P25" s="24"/>
      <x:c r="Q25" s="24"/>
      <x:c r="R25" s="24"/>
      <x:c r="S25" s="24"/>
      <x:c r="T25" s="24"/>
      <x:c r="U25" s="24"/>
      <x:c r="V25" s="24"/>
      <x:c r="W25" s="24"/>
      <x:c r="X25" s="24"/>
      <x:c r="Y25" s="24"/>
      <x:c r="Z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  <x:c r="L26" s="24"/>
      <x:c r="M26" s="24"/>
      <x:c r="N26" s="24"/>
      <x:c r="O26" s="24"/>
      <x:c r="P26" s="24"/>
      <x:c r="Q26" s="24"/>
      <x:c r="R26" s="24"/>
      <x:c r="S26" s="24"/>
      <x:c r="T26" s="24"/>
      <x:c r="U26" s="24"/>
      <x:c r="V26" s="24"/>
      <x:c r="W26" s="24"/>
      <x:c r="X26" s="24"/>
      <x:c r="Y26" s="24"/>
      <x:c r="Z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  <x:c r="K27" s="24"/>
      <x:c r="L27" s="24"/>
      <x:c r="M27" s="24"/>
      <x:c r="N27" s="24"/>
      <x:c r="O27" s="24"/>
      <x:c r="P27" s="24"/>
      <x:c r="Q27" s="24"/>
      <x:c r="R27" s="24"/>
      <x:c r="S27" s="24"/>
      <x:c r="T27" s="24"/>
      <x:c r="U27" s="24"/>
      <x:c r="V27" s="24"/>
      <x:c r="W27" s="24"/>
      <x:c r="X27" s="24"/>
      <x:c r="Y27" s="24"/>
      <x:c r="Z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  <x:c r="K28" s="24"/>
      <x:c r="L28" s="24"/>
      <x:c r="M28" s="24"/>
      <x:c r="N28" s="24"/>
      <x:c r="O28" s="24"/>
      <x:c r="P28" s="24"/>
      <x:c r="Q28" s="24"/>
      <x:c r="R28" s="24"/>
      <x:c r="S28" s="24"/>
      <x:c r="T28" s="24"/>
      <x:c r="U28" s="24"/>
      <x:c r="V28" s="24"/>
      <x:c r="W28" s="24"/>
      <x:c r="X28" s="24"/>
      <x:c r="Y28" s="24"/>
      <x:c r="Z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  <x:c r="K29" s="24"/>
      <x:c r="L29" s="24"/>
      <x:c r="M29" s="24"/>
      <x:c r="N29" s="24"/>
      <x:c r="O29" s="24"/>
      <x:c r="P29" s="24"/>
      <x:c r="Q29" s="24"/>
      <x:c r="R29" s="24"/>
      <x:c r="S29" s="24"/>
      <x:c r="T29" s="24"/>
      <x:c r="U29" s="24"/>
      <x:c r="V29" s="24"/>
      <x:c r="W29" s="24"/>
      <x:c r="X29" s="24"/>
      <x:c r="Y29" s="24"/>
      <x:c r="Z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  <x:c r="K30" s="24"/>
      <x:c r="L30" s="24"/>
      <x:c r="M30" s="24"/>
      <x:c r="N30" s="24"/>
      <x:c r="O30" s="24"/>
      <x:c r="P30" s="24"/>
      <x:c r="Q30" s="24"/>
      <x:c r="R30" s="24"/>
      <x:c r="S30" s="24"/>
      <x:c r="T30" s="24"/>
      <x:c r="U30" s="24"/>
      <x:c r="V30" s="24"/>
      <x:c r="W30" s="24"/>
      <x:c r="X30" s="24"/>
      <x:c r="Y30" s="24"/>
      <x:c r="Z30" s="24"/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  <x:c r="K31" s="24"/>
      <x:c r="L31" s="24"/>
      <x:c r="M31" s="24"/>
      <x:c r="N31" s="24"/>
      <x:c r="O31" s="24"/>
      <x:c r="P31" s="24"/>
      <x:c r="Q31" s="24"/>
      <x:c r="R31" s="24"/>
      <x:c r="S31" s="24"/>
      <x:c r="T31" s="24"/>
      <x:c r="U31" s="24"/>
      <x:c r="V31" s="24"/>
      <x:c r="W31" s="24"/>
      <x:c r="X31" s="24"/>
      <x:c r="Y31" s="24"/>
      <x:c r="Z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  <x:c r="K32" s="24"/>
      <x:c r="L32" s="24"/>
      <x:c r="M32" s="24"/>
      <x:c r="N32" s="24"/>
      <x:c r="O32" s="24"/>
      <x:c r="P32" s="24"/>
      <x:c r="Q32" s="24"/>
      <x:c r="R32" s="24"/>
      <x:c r="S32" s="24"/>
      <x:c r="T32" s="24"/>
      <x:c r="U32" s="24"/>
      <x:c r="V32" s="24"/>
      <x:c r="W32" s="24"/>
      <x:c r="X32" s="24"/>
      <x:c r="Y32" s="24"/>
      <x:c r="Z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  <x:c r="L33" s="24"/>
      <x:c r="M33" s="24"/>
      <x:c r="N33" s="24"/>
      <x:c r="O33" s="24"/>
      <x:c r="P33" s="24"/>
      <x:c r="Q33" s="24"/>
      <x:c r="R33" s="24"/>
      <x:c r="S33" s="24"/>
      <x:c r="T33" s="24"/>
      <x:c r="U33" s="24"/>
      <x:c r="V33" s="24"/>
      <x:c r="W33" s="24"/>
      <x:c r="X33" s="24"/>
      <x:c r="Y33" s="24"/>
      <x:c r="Z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  <x:c r="K34" s="24"/>
      <x:c r="L34" s="24"/>
      <x:c r="M34" s="24"/>
      <x:c r="N34" s="24"/>
      <x:c r="O34" s="24"/>
      <x:c r="P34" s="24"/>
      <x:c r="Q34" s="24"/>
      <x:c r="R34" s="24"/>
      <x:c r="S34" s="24"/>
      <x:c r="T34" s="24"/>
      <x:c r="U34" s="24"/>
      <x:c r="V34" s="24"/>
      <x:c r="W34" s="24"/>
      <x:c r="X34" s="24"/>
      <x:c r="Y34" s="24"/>
      <x:c r="Z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  <x:c r="L35" s="24"/>
      <x:c r="M35" s="24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4"/>
      <x:c r="Z35" s="24"/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  <x:c r="K36" s="24"/>
      <x:c r="L36" s="24"/>
      <x:c r="M36" s="24"/>
      <x:c r="N36" s="24"/>
      <x:c r="O36" s="24"/>
      <x:c r="P36" s="24"/>
      <x:c r="Q36" s="24"/>
      <x:c r="R36" s="24"/>
      <x:c r="S36" s="24"/>
      <x:c r="T36" s="24"/>
      <x:c r="U36" s="24"/>
      <x:c r="V36" s="24"/>
      <x:c r="W36" s="24"/>
      <x:c r="X36" s="24"/>
      <x:c r="Y36" s="24"/>
      <x:c r="Z36" s="24"/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  <x:c r="L37" s="24"/>
      <x:c r="M37" s="24"/>
      <x:c r="N37" s="24"/>
      <x:c r="O37" s="24"/>
      <x:c r="P37" s="24"/>
      <x:c r="Q37" s="24"/>
      <x:c r="R37" s="24"/>
      <x:c r="S37" s="24"/>
      <x:c r="T37" s="24"/>
      <x:c r="U37" s="24"/>
      <x:c r="V37" s="24"/>
      <x:c r="W37" s="24"/>
      <x:c r="X37" s="24"/>
      <x:c r="Y37" s="24"/>
      <x:c r="Z37" s="24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  <x:c r="K38" s="24"/>
      <x:c r="L38" s="24"/>
      <x:c r="M38" s="24"/>
      <x:c r="N38" s="24"/>
      <x:c r="O38" s="24"/>
      <x:c r="P38" s="24"/>
      <x:c r="Q38" s="24"/>
      <x:c r="R38" s="24"/>
      <x:c r="S38" s="24"/>
      <x:c r="T38" s="24"/>
      <x:c r="U38" s="24"/>
      <x:c r="V38" s="24"/>
      <x:c r="W38" s="24"/>
      <x:c r="X38" s="24"/>
      <x:c r="Y38" s="24"/>
      <x:c r="Z38" s="24"/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  <x:c r="K39" s="24"/>
      <x:c r="L39" s="24"/>
      <x:c r="M39" s="24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4"/>
      <x:c r="Z39" s="24"/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  <x:c r="L40" s="24"/>
      <x:c r="M40" s="24"/>
      <x:c r="N40" s="24"/>
      <x:c r="O40" s="24"/>
      <x:c r="P40" s="24"/>
      <x:c r="Q40" s="24"/>
      <x:c r="R40" s="24"/>
      <x:c r="S40" s="24"/>
      <x:c r="T40" s="24"/>
      <x:c r="U40" s="24"/>
      <x:c r="V40" s="24"/>
      <x:c r="W40" s="24"/>
      <x:c r="X40" s="24"/>
      <x:c r="Y40" s="24"/>
      <x:c r="Z40" s="24"/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  <x:c r="K41" s="24"/>
      <x:c r="L41" s="24"/>
      <x:c r="M41" s="24"/>
      <x:c r="N41" s="24"/>
      <x:c r="O41" s="24"/>
      <x:c r="P41" s="24"/>
      <x:c r="Q41" s="24"/>
      <x:c r="R41" s="24"/>
      <x:c r="S41" s="24"/>
      <x:c r="T41" s="24"/>
      <x:c r="U41" s="24"/>
      <x:c r="V41" s="24"/>
      <x:c r="W41" s="24"/>
      <x:c r="X41" s="24"/>
      <x:c r="Y41" s="24"/>
      <x:c r="Z41" s="24"/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  <x:c r="L42" s="24"/>
      <x:c r="M42" s="24"/>
      <x:c r="N42" s="24"/>
      <x:c r="O42" s="24"/>
      <x:c r="P42" s="24"/>
      <x:c r="Q42" s="24"/>
      <x:c r="R42" s="24"/>
      <x:c r="S42" s="24"/>
      <x:c r="T42" s="24"/>
      <x:c r="U42" s="24"/>
      <x:c r="V42" s="24"/>
      <x:c r="W42" s="24"/>
      <x:c r="X42" s="24"/>
      <x:c r="Y42" s="24"/>
      <x:c r="Z42" s="24"/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  <x:c r="L43" s="24"/>
      <x:c r="M43" s="24"/>
      <x:c r="N43" s="24"/>
      <x:c r="O43" s="24"/>
      <x:c r="P43" s="24"/>
      <x:c r="Q43" s="24"/>
      <x:c r="R43" s="24"/>
      <x:c r="S43" s="24"/>
      <x:c r="T43" s="24"/>
      <x:c r="U43" s="24"/>
      <x:c r="V43" s="24"/>
      <x:c r="W43" s="24"/>
      <x:c r="X43" s="24"/>
      <x:c r="Y43" s="24"/>
      <x:c r="Z43" s="24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  <x:c r="L44" s="24"/>
      <x:c r="M44" s="24"/>
      <x:c r="N44" s="24"/>
      <x:c r="O44" s="24"/>
      <x:c r="P44" s="24"/>
      <x:c r="Q44" s="24"/>
      <x:c r="R44" s="24"/>
      <x:c r="S44" s="24"/>
      <x:c r="T44" s="24"/>
      <x:c r="U44" s="24"/>
      <x:c r="V44" s="24"/>
      <x:c r="W44" s="24"/>
      <x:c r="X44" s="24"/>
      <x:c r="Y44" s="24"/>
      <x:c r="Z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  <x:c r="L45" s="24"/>
      <x:c r="M45" s="24"/>
      <x:c r="N45" s="24"/>
      <x:c r="O45" s="24"/>
      <x:c r="P45" s="24"/>
      <x:c r="Q45" s="24"/>
      <x:c r="R45" s="24"/>
      <x:c r="S45" s="24"/>
      <x:c r="T45" s="24"/>
      <x:c r="U45" s="24"/>
      <x:c r="V45" s="24"/>
      <x:c r="W45" s="24"/>
      <x:c r="X45" s="24"/>
      <x:c r="Y45" s="24"/>
      <x:c r="Z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  <x:c r="L46" s="24"/>
      <x:c r="M46" s="24"/>
      <x:c r="N46" s="24"/>
      <x:c r="O46" s="24"/>
      <x:c r="P46" s="24"/>
      <x:c r="Q46" s="24"/>
      <x:c r="R46" s="24"/>
      <x:c r="S46" s="24"/>
      <x:c r="T46" s="24"/>
      <x:c r="U46" s="24"/>
      <x:c r="V46" s="24"/>
      <x:c r="W46" s="24"/>
      <x:c r="X46" s="24"/>
      <x:c r="Y46" s="24"/>
      <x:c r="Z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  <x:c r="L47" s="24"/>
      <x:c r="M47" s="24"/>
      <x:c r="N47" s="24"/>
      <x:c r="O47" s="24"/>
      <x:c r="P47" s="24"/>
      <x:c r="Q47" s="24"/>
      <x:c r="R47" s="24"/>
      <x:c r="S47" s="24"/>
      <x:c r="T47" s="24"/>
      <x:c r="U47" s="24"/>
      <x:c r="V47" s="24"/>
      <x:c r="W47" s="24"/>
      <x:c r="X47" s="24"/>
      <x:c r="Y47" s="24"/>
      <x:c r="Z47" s="24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  <x:c r="L48" s="24"/>
      <x:c r="M48" s="24"/>
      <x:c r="N48" s="24"/>
      <x:c r="O48" s="24"/>
      <x:c r="P48" s="24"/>
      <x:c r="Q48" s="24"/>
      <x:c r="R48" s="24"/>
      <x:c r="S48" s="24"/>
      <x:c r="T48" s="24"/>
      <x:c r="U48" s="24"/>
      <x:c r="V48" s="24"/>
      <x:c r="W48" s="24"/>
      <x:c r="X48" s="24"/>
      <x:c r="Y48" s="24"/>
      <x:c r="Z48" s="24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  <x:c r="L49" s="24"/>
      <x:c r="M49" s="24"/>
      <x:c r="N49" s="24"/>
      <x:c r="O49" s="24"/>
      <x:c r="P49" s="24"/>
      <x:c r="Q49" s="24"/>
      <x:c r="R49" s="24"/>
      <x:c r="S49" s="24"/>
      <x:c r="T49" s="24"/>
      <x:c r="U49" s="24"/>
      <x:c r="V49" s="24"/>
      <x:c r="W49" s="24"/>
      <x:c r="X49" s="24"/>
      <x:c r="Y49" s="24"/>
      <x:c r="Z49" s="24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  <x:c r="L50" s="24"/>
      <x:c r="M50" s="24"/>
      <x:c r="N50" s="24"/>
      <x:c r="O50" s="24"/>
      <x:c r="P50" s="24"/>
      <x:c r="Q50" s="24"/>
      <x:c r="R50" s="24"/>
      <x:c r="S50" s="24"/>
      <x:c r="T50" s="24"/>
      <x:c r="U50" s="24"/>
      <x:c r="V50" s="24"/>
      <x:c r="W50" s="24"/>
      <x:c r="X50" s="24"/>
      <x:c r="Y50" s="24"/>
      <x:c r="Z50" s="24"/>
    </x:row>
    <x:row r="51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  <x:c r="K51" s="24"/>
      <x:c r="L51" s="24"/>
      <x:c r="M51" s="24"/>
      <x:c r="N51" s="24"/>
      <x:c r="O51" s="24"/>
      <x:c r="P51" s="24"/>
      <x:c r="Q51" s="24"/>
      <x:c r="R51" s="24"/>
      <x:c r="S51" s="24"/>
      <x:c r="T51" s="24"/>
      <x:c r="U51" s="24"/>
      <x:c r="V51" s="24"/>
      <x:c r="W51" s="24"/>
      <x:c r="X51" s="24"/>
      <x:c r="Y51" s="24"/>
      <x:c r="Z51" s="24"/>
    </x:row>
    <x:row r="52">
      <x:c r="A52" s="24"/>
      <x:c r="B52" s="24"/>
      <x:c r="C52" s="24"/>
      <x:c r="D52" s="24"/>
      <x:c r="E52" s="24"/>
      <x:c r="F52" s="24"/>
      <x:c r="G52" s="24"/>
      <x:c r="H52" s="24"/>
      <x:c r="I52" s="24"/>
      <x:c r="J52" s="24"/>
      <x:c r="K52" s="24"/>
      <x:c r="L52" s="24"/>
      <x:c r="M52" s="24"/>
      <x:c r="N52" s="24"/>
      <x:c r="O52" s="24"/>
      <x:c r="P52" s="24"/>
      <x:c r="Q52" s="24"/>
      <x:c r="R52" s="24"/>
      <x:c r="S52" s="24"/>
      <x:c r="T52" s="24"/>
      <x:c r="U52" s="24"/>
      <x:c r="V52" s="24"/>
      <x:c r="W52" s="24"/>
      <x:c r="X52" s="24"/>
      <x:c r="Y52" s="24"/>
      <x:c r="Z52" s="24"/>
    </x:row>
    <x:row r="53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  <x:c r="K53" s="24"/>
      <x:c r="L53" s="24"/>
      <x:c r="M53" s="24"/>
      <x:c r="N53" s="24"/>
      <x:c r="O53" s="24"/>
      <x:c r="P53" s="24"/>
      <x:c r="Q53" s="24"/>
      <x:c r="R53" s="24"/>
      <x:c r="S53" s="24"/>
      <x:c r="T53" s="24"/>
      <x:c r="U53" s="24"/>
      <x:c r="V53" s="24"/>
      <x:c r="W53" s="24"/>
      <x:c r="X53" s="24"/>
      <x:c r="Y53" s="24"/>
      <x:c r="Z53" s="24"/>
    </x:row>
    <x:row r="54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  <x:c r="K54" s="24"/>
      <x:c r="L54" s="24"/>
      <x:c r="M54" s="24"/>
      <x:c r="N54" s="24"/>
      <x:c r="O54" s="24"/>
      <x:c r="P54" s="24"/>
      <x:c r="Q54" s="24"/>
      <x:c r="R54" s="24"/>
      <x:c r="S54" s="24"/>
      <x:c r="T54" s="24"/>
      <x:c r="U54" s="24"/>
      <x:c r="V54" s="24"/>
      <x:c r="W54" s="24"/>
      <x:c r="X54" s="24"/>
      <x:c r="Y54" s="24"/>
      <x:c r="Z54" s="24"/>
    </x:row>
    <x:row r="55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  <x:c r="K55" s="24"/>
      <x:c r="L55" s="24"/>
      <x:c r="M55" s="24"/>
      <x:c r="N55" s="24"/>
      <x:c r="O55" s="24"/>
      <x:c r="P55" s="24"/>
      <x:c r="Q55" s="24"/>
      <x:c r="R55" s="24"/>
      <x:c r="S55" s="24"/>
      <x:c r="T55" s="24"/>
      <x:c r="U55" s="24"/>
      <x:c r="V55" s="24"/>
      <x:c r="W55" s="24"/>
      <x:c r="X55" s="24"/>
      <x:c r="Y55" s="24"/>
      <x:c r="Z55" s="24"/>
    </x:row>
    <x:row r="56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  <x:c r="K56" s="24"/>
      <x:c r="L56" s="24"/>
      <x:c r="M56" s="24"/>
      <x:c r="N56" s="24"/>
      <x:c r="O56" s="24"/>
      <x:c r="P56" s="24"/>
      <x:c r="Q56" s="24"/>
      <x:c r="R56" s="24"/>
      <x:c r="S56" s="24"/>
      <x:c r="T56" s="24"/>
      <x:c r="U56" s="24"/>
      <x:c r="V56" s="24"/>
      <x:c r="W56" s="24"/>
      <x:c r="X56" s="24"/>
      <x:c r="Y56" s="24"/>
      <x:c r="Z56" s="24"/>
    </x:row>
    <x:row r="57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  <x:c r="K57" s="24"/>
      <x:c r="L57" s="24"/>
      <x:c r="M57" s="24"/>
      <x:c r="N57" s="24"/>
      <x:c r="O57" s="24"/>
      <x:c r="P57" s="24"/>
      <x:c r="Q57" s="24"/>
      <x:c r="R57" s="24"/>
      <x:c r="S57" s="24"/>
      <x:c r="T57" s="24"/>
      <x:c r="U57" s="24"/>
      <x:c r="V57" s="24"/>
      <x:c r="W57" s="24"/>
      <x:c r="X57" s="24"/>
      <x:c r="Y57" s="24"/>
      <x:c r="Z57" s="24"/>
    </x:row>
    <x:row r="58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24"/>
      <x:c r="O58" s="24"/>
      <x:c r="P58" s="24"/>
      <x:c r="Q58" s="24"/>
      <x:c r="R58" s="24"/>
      <x:c r="S58" s="24"/>
      <x:c r="T58" s="24"/>
      <x:c r="U58" s="24"/>
      <x:c r="V58" s="24"/>
      <x:c r="W58" s="24"/>
      <x:c r="X58" s="24"/>
      <x:c r="Y58" s="24"/>
      <x:c r="Z58" s="24"/>
    </x:row>
    <x:row r="59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24"/>
      <x:c r="O59" s="24"/>
      <x:c r="P59" s="24"/>
      <x:c r="Q59" s="24"/>
      <x:c r="R59" s="24"/>
      <x:c r="S59" s="24"/>
      <x:c r="T59" s="24"/>
      <x:c r="U59" s="24"/>
      <x:c r="V59" s="24"/>
      <x:c r="W59" s="24"/>
      <x:c r="X59" s="24"/>
      <x:c r="Y59" s="24"/>
      <x:c r="Z59" s="24"/>
    </x:row>
    <x:row r="60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  <x:c r="K60" s="24"/>
      <x:c r="L60" s="24"/>
      <x:c r="M60" s="24"/>
      <x:c r="N60" s="24"/>
      <x:c r="O60" s="24"/>
      <x:c r="P60" s="24"/>
      <x:c r="Q60" s="24"/>
      <x:c r="R60" s="24"/>
      <x:c r="S60" s="24"/>
      <x:c r="T60" s="24"/>
      <x:c r="U60" s="24"/>
      <x:c r="V60" s="24"/>
      <x:c r="W60" s="24"/>
      <x:c r="X60" s="24"/>
      <x:c r="Y60" s="24"/>
      <x:c r="Z60" s="24"/>
    </x:row>
    <x:row r="6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  <x:c r="K61" s="24"/>
      <x:c r="L61" s="24"/>
      <x:c r="M61" s="24"/>
      <x:c r="N61" s="24"/>
      <x:c r="O61" s="24"/>
      <x:c r="P61" s="24"/>
      <x:c r="Q61" s="24"/>
      <x:c r="R61" s="24"/>
      <x:c r="S61" s="24"/>
      <x:c r="T61" s="24"/>
      <x:c r="U61" s="24"/>
      <x:c r="V61" s="24"/>
      <x:c r="W61" s="24"/>
      <x:c r="X61" s="24"/>
      <x:c r="Y61" s="24"/>
      <x:c r="Z61" s="24"/>
    </x:row>
    <x:row r="62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  <x:c r="K62" s="24"/>
      <x:c r="L62" s="24"/>
      <x:c r="M62" s="24"/>
      <x:c r="N62" s="24"/>
      <x:c r="O62" s="24"/>
      <x:c r="P62" s="24"/>
      <x:c r="Q62" s="24"/>
      <x:c r="R62" s="24"/>
      <x:c r="S62" s="24"/>
      <x:c r="T62" s="24"/>
      <x:c r="U62" s="24"/>
      <x:c r="V62" s="24"/>
      <x:c r="W62" s="24"/>
      <x:c r="X62" s="24"/>
      <x:c r="Y62" s="24"/>
      <x:c r="Z62" s="24"/>
    </x:row>
    <x:row r="63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  <x:c r="K63" s="24"/>
      <x:c r="L63" s="24"/>
      <x:c r="M63" s="24"/>
      <x:c r="N63" s="24"/>
      <x:c r="O63" s="24"/>
      <x:c r="P63" s="24"/>
      <x:c r="Q63" s="24"/>
      <x:c r="R63" s="24"/>
      <x:c r="S63" s="24"/>
      <x:c r="T63" s="24"/>
      <x:c r="U63" s="24"/>
      <x:c r="V63" s="24"/>
      <x:c r="W63" s="24"/>
      <x:c r="X63" s="24"/>
      <x:c r="Y63" s="24"/>
      <x:c r="Z63" s="24"/>
    </x:row>
    <x:row r="64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  <x:c r="K64" s="24"/>
      <x:c r="L64" s="24"/>
      <x:c r="M64" s="24"/>
      <x:c r="N64" s="24"/>
      <x:c r="O64" s="24"/>
      <x:c r="P64" s="24"/>
      <x:c r="Q64" s="24"/>
      <x:c r="R64" s="24"/>
      <x:c r="S64" s="24"/>
      <x:c r="T64" s="24"/>
      <x:c r="U64" s="24"/>
      <x:c r="V64" s="24"/>
      <x:c r="W64" s="24"/>
      <x:c r="X64" s="24"/>
      <x:c r="Y64" s="24"/>
      <x:c r="Z64" s="24"/>
    </x:row>
    <x:row r="65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  <x:c r="K65" s="24"/>
      <x:c r="L65" s="24"/>
      <x:c r="M65" s="24"/>
      <x:c r="N65" s="24"/>
      <x:c r="O65" s="24"/>
      <x:c r="P65" s="24"/>
      <x:c r="Q65" s="24"/>
      <x:c r="R65" s="24"/>
      <x:c r="S65" s="24"/>
      <x:c r="T65" s="24"/>
      <x:c r="U65" s="24"/>
      <x:c r="V65" s="24"/>
      <x:c r="W65" s="24"/>
      <x:c r="X65" s="24"/>
      <x:c r="Y65" s="24"/>
      <x:c r="Z65" s="24"/>
    </x:row>
    <x:row r="66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  <x:c r="K66" s="24"/>
      <x:c r="L66" s="24"/>
      <x:c r="M66" s="24"/>
      <x:c r="N66" s="24"/>
      <x:c r="O66" s="24"/>
      <x:c r="P66" s="24"/>
      <x:c r="Q66" s="24"/>
      <x:c r="R66" s="24"/>
      <x:c r="S66" s="24"/>
      <x:c r="T66" s="24"/>
      <x:c r="U66" s="24"/>
      <x:c r="V66" s="24"/>
      <x:c r="W66" s="24"/>
      <x:c r="X66" s="24"/>
      <x:c r="Y66" s="24"/>
      <x:c r="Z66" s="24"/>
    </x:row>
    <x:row r="67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  <x:c r="K67" s="24"/>
      <x:c r="L67" s="24"/>
      <x:c r="M67" s="24"/>
      <x:c r="N67" s="24"/>
      <x:c r="O67" s="24"/>
      <x:c r="P67" s="24"/>
      <x:c r="Q67" s="24"/>
      <x:c r="R67" s="24"/>
      <x:c r="S67" s="24"/>
      <x:c r="T67" s="24"/>
      <x:c r="U67" s="24"/>
      <x:c r="V67" s="24"/>
      <x:c r="W67" s="24"/>
      <x:c r="X67" s="24"/>
      <x:c r="Y67" s="24"/>
      <x:c r="Z67" s="24"/>
    </x:row>
    <x:row r="68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  <x:c r="K68" s="24"/>
      <x:c r="L68" s="24"/>
      <x:c r="M68" s="24"/>
      <x:c r="N68" s="24"/>
      <x:c r="O68" s="24"/>
      <x:c r="P68" s="24"/>
      <x:c r="Q68" s="24"/>
      <x:c r="R68" s="24"/>
      <x:c r="S68" s="24"/>
      <x:c r="T68" s="24"/>
      <x:c r="U68" s="24"/>
      <x:c r="V68" s="24"/>
      <x:c r="W68" s="24"/>
      <x:c r="X68" s="24"/>
      <x:c r="Y68" s="24"/>
      <x:c r="Z68" s="24"/>
    </x:row>
    <x:row r="69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  <x:c r="K69" s="24"/>
      <x:c r="L69" s="24"/>
      <x:c r="M69" s="24"/>
      <x:c r="N69" s="24"/>
      <x:c r="O69" s="24"/>
      <x:c r="P69" s="24"/>
      <x:c r="Q69" s="24"/>
      <x:c r="R69" s="24"/>
      <x:c r="S69" s="24"/>
      <x:c r="T69" s="24"/>
      <x:c r="U69" s="24"/>
      <x:c r="V69" s="24"/>
      <x:c r="W69" s="24"/>
      <x:c r="X69" s="24"/>
      <x:c r="Y69" s="24"/>
      <x:c r="Z69" s="24"/>
    </x:row>
    <x:row r="70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  <x:c r="K70" s="24"/>
      <x:c r="L70" s="24"/>
      <x:c r="M70" s="24"/>
      <x:c r="N70" s="24"/>
      <x:c r="O70" s="24"/>
      <x:c r="P70" s="24"/>
      <x:c r="Q70" s="24"/>
      <x:c r="R70" s="24"/>
      <x:c r="S70" s="24"/>
      <x:c r="T70" s="24"/>
      <x:c r="U70" s="24"/>
      <x:c r="V70" s="24"/>
      <x:c r="W70" s="24"/>
      <x:c r="X70" s="24"/>
      <x:c r="Y70" s="24"/>
      <x:c r="Z70" s="24"/>
    </x:row>
    <x:row r="71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24"/>
      <x:c r="O71" s="24"/>
      <x:c r="P71" s="24"/>
      <x:c r="Q71" s="24"/>
      <x:c r="R71" s="24"/>
      <x:c r="S71" s="24"/>
      <x:c r="T71" s="24"/>
      <x:c r="U71" s="24"/>
      <x:c r="V71" s="24"/>
      <x:c r="W71" s="24"/>
      <x:c r="X71" s="24"/>
      <x:c r="Y71" s="24"/>
      <x:c r="Z71" s="24"/>
    </x:row>
    <x:row r="72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24"/>
      <x:c r="O72" s="24"/>
      <x:c r="P72" s="24"/>
      <x:c r="Q72" s="24"/>
      <x:c r="R72" s="24"/>
      <x:c r="S72" s="24"/>
      <x:c r="T72" s="24"/>
      <x:c r="U72" s="24"/>
      <x:c r="V72" s="24"/>
      <x:c r="W72" s="24"/>
      <x:c r="X72" s="24"/>
      <x:c r="Y72" s="24"/>
      <x:c r="Z72" s="24"/>
    </x:row>
    <x:row r="73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  <x:c r="K73" s="24"/>
      <x:c r="L73" s="24"/>
      <x:c r="M73" s="24"/>
      <x:c r="N73" s="24"/>
      <x:c r="O73" s="24"/>
      <x:c r="P73" s="24"/>
      <x:c r="Q73" s="24"/>
      <x:c r="R73" s="24"/>
      <x:c r="S73" s="24"/>
      <x:c r="T73" s="24"/>
      <x:c r="U73" s="24"/>
      <x:c r="V73" s="24"/>
      <x:c r="W73" s="24"/>
      <x:c r="X73" s="24"/>
      <x:c r="Y73" s="24"/>
      <x:c r="Z73" s="24"/>
    </x:row>
    <x:row r="74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  <x:c r="K74" s="24"/>
      <x:c r="L74" s="24"/>
      <x:c r="M74" s="24"/>
      <x:c r="N74" s="24"/>
      <x:c r="O74" s="24"/>
      <x:c r="P74" s="24"/>
      <x:c r="Q74" s="24"/>
      <x:c r="R74" s="24"/>
      <x:c r="S74" s="24"/>
      <x:c r="T74" s="24"/>
      <x:c r="U74" s="24"/>
      <x:c r="V74" s="24"/>
      <x:c r="W74" s="24"/>
      <x:c r="X74" s="24"/>
      <x:c r="Y74" s="24"/>
      <x:c r="Z74" s="24"/>
    </x:row>
    <x:row r="75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  <x:c r="K75" s="24"/>
      <x:c r="L75" s="24"/>
      <x:c r="M75" s="24"/>
      <x:c r="N75" s="24"/>
      <x:c r="O75" s="24"/>
      <x:c r="P75" s="24"/>
      <x:c r="Q75" s="24"/>
      <x:c r="R75" s="24"/>
      <x:c r="S75" s="24"/>
      <x:c r="T75" s="24"/>
      <x:c r="U75" s="24"/>
      <x:c r="V75" s="24"/>
      <x:c r="W75" s="24"/>
      <x:c r="X75" s="24"/>
      <x:c r="Y75" s="24"/>
      <x:c r="Z75" s="24"/>
    </x:row>
    <x:row r="76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  <x:c r="K76" s="24"/>
      <x:c r="L76" s="24"/>
      <x:c r="M76" s="24"/>
      <x:c r="N76" s="24"/>
      <x:c r="O76" s="24"/>
      <x:c r="P76" s="24"/>
      <x:c r="Q76" s="24"/>
      <x:c r="R76" s="24"/>
      <x:c r="S76" s="24"/>
      <x:c r="T76" s="24"/>
      <x:c r="U76" s="24"/>
      <x:c r="V76" s="24"/>
      <x:c r="W76" s="24"/>
      <x:c r="X76" s="24"/>
      <x:c r="Y76" s="24"/>
      <x:c r="Z76" s="24"/>
    </x:row>
    <x:row r="77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  <x:c r="K77" s="24"/>
      <x:c r="L77" s="24"/>
      <x:c r="M77" s="24"/>
      <x:c r="N77" s="24"/>
      <x:c r="O77" s="24"/>
      <x:c r="P77" s="24"/>
      <x:c r="Q77" s="24"/>
      <x:c r="R77" s="24"/>
      <x:c r="S77" s="24"/>
      <x:c r="T77" s="24"/>
      <x:c r="U77" s="24"/>
      <x:c r="V77" s="24"/>
      <x:c r="W77" s="24"/>
      <x:c r="X77" s="24"/>
      <x:c r="Y77" s="24"/>
      <x:c r="Z77" s="24"/>
    </x:row>
    <x:row r="78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  <x:c r="K78" s="24"/>
      <x:c r="L78" s="24"/>
      <x:c r="M78" s="24"/>
      <x:c r="N78" s="24"/>
      <x:c r="O78" s="24"/>
      <x:c r="P78" s="24"/>
      <x:c r="Q78" s="24"/>
      <x:c r="R78" s="24"/>
      <x:c r="S78" s="24"/>
      <x:c r="T78" s="24"/>
      <x:c r="U78" s="24"/>
      <x:c r="V78" s="24"/>
      <x:c r="W78" s="24"/>
      <x:c r="X78" s="24"/>
      <x:c r="Y78" s="24"/>
      <x:c r="Z78" s="24"/>
    </x:row>
    <x:row r="79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  <x:c r="K79" s="24"/>
      <x:c r="L79" s="24"/>
      <x:c r="M79" s="24"/>
      <x:c r="N79" s="24"/>
      <x:c r="O79" s="24"/>
      <x:c r="P79" s="24"/>
      <x:c r="Q79" s="24"/>
      <x:c r="R79" s="24"/>
      <x:c r="S79" s="24"/>
      <x:c r="T79" s="24"/>
      <x:c r="U79" s="24"/>
      <x:c r="V79" s="24"/>
      <x:c r="W79" s="24"/>
      <x:c r="X79" s="24"/>
      <x:c r="Y79" s="24"/>
      <x:c r="Z79" s="24"/>
    </x:row>
    <x:row r="80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  <x:c r="K80" s="24"/>
      <x:c r="L80" s="24"/>
      <x:c r="M80" s="24"/>
      <x:c r="N80" s="24"/>
      <x:c r="O80" s="24"/>
      <x:c r="P80" s="24"/>
      <x:c r="Q80" s="24"/>
      <x:c r="R80" s="24"/>
      <x:c r="S80" s="24"/>
      <x:c r="T80" s="24"/>
      <x:c r="U80" s="24"/>
      <x:c r="V80" s="24"/>
      <x:c r="W80" s="24"/>
      <x:c r="X80" s="24"/>
      <x:c r="Y80" s="24"/>
      <x:c r="Z80" s="24"/>
    </x:row>
    <x:row r="81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  <x:c r="K81" s="24"/>
      <x:c r="L81" s="24"/>
      <x:c r="M81" s="24"/>
      <x:c r="N81" s="24"/>
      <x:c r="O81" s="24"/>
      <x:c r="P81" s="24"/>
      <x:c r="Q81" s="24"/>
      <x:c r="R81" s="24"/>
      <x:c r="S81" s="24"/>
      <x:c r="T81" s="24"/>
      <x:c r="U81" s="24"/>
      <x:c r="V81" s="24"/>
      <x:c r="W81" s="24"/>
      <x:c r="X81" s="24"/>
      <x:c r="Y81" s="24"/>
      <x:c r="Z81" s="24"/>
    </x:row>
    <x:row r="82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  <x:c r="K82" s="24"/>
      <x:c r="L82" s="24"/>
      <x:c r="M82" s="24"/>
      <x:c r="N82" s="24"/>
      <x:c r="O82" s="24"/>
      <x:c r="P82" s="24"/>
      <x:c r="Q82" s="24"/>
      <x:c r="R82" s="24"/>
      <x:c r="S82" s="24"/>
      <x:c r="T82" s="24"/>
      <x:c r="U82" s="24"/>
      <x:c r="V82" s="24"/>
      <x:c r="W82" s="24"/>
      <x:c r="X82" s="24"/>
      <x:c r="Y82" s="24"/>
      <x:c r="Z82" s="24"/>
    </x:row>
    <x:row r="83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  <x:c r="K83" s="24"/>
      <x:c r="L83" s="24"/>
      <x:c r="M83" s="24"/>
      <x:c r="N83" s="24"/>
      <x:c r="O83" s="24"/>
      <x:c r="P83" s="24"/>
      <x:c r="Q83" s="24"/>
      <x:c r="R83" s="24"/>
      <x:c r="S83" s="24"/>
      <x:c r="T83" s="24"/>
      <x:c r="U83" s="24"/>
      <x:c r="V83" s="24"/>
      <x:c r="W83" s="24"/>
      <x:c r="X83" s="24"/>
      <x:c r="Y83" s="24"/>
      <x:c r="Z83" s="24"/>
    </x:row>
    <x:row r="84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24"/>
      <x:c r="O84" s="24"/>
      <x:c r="P84" s="24"/>
      <x:c r="Q84" s="24"/>
      <x:c r="R84" s="24"/>
      <x:c r="S84" s="24"/>
      <x:c r="T84" s="24"/>
      <x:c r="U84" s="24"/>
      <x:c r="V84" s="24"/>
      <x:c r="W84" s="24"/>
      <x:c r="X84" s="24"/>
      <x:c r="Y84" s="24"/>
      <x:c r="Z84" s="24"/>
    </x:row>
    <x:row r="85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24"/>
      <x:c r="O85" s="24"/>
      <x:c r="P85" s="24"/>
      <x:c r="Q85" s="24"/>
      <x:c r="R85" s="24"/>
      <x:c r="S85" s="24"/>
      <x:c r="T85" s="24"/>
      <x:c r="U85" s="24"/>
      <x:c r="V85" s="24"/>
      <x:c r="W85" s="24"/>
      <x:c r="X85" s="24"/>
      <x:c r="Y85" s="24"/>
      <x:c r="Z85" s="24"/>
    </x:row>
    <x:row r="86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  <x:c r="K86" s="24"/>
      <x:c r="L86" s="24"/>
      <x:c r="M86" s="24"/>
      <x:c r="N86" s="24"/>
      <x:c r="O86" s="24"/>
      <x:c r="P86" s="24"/>
      <x:c r="Q86" s="24"/>
      <x:c r="R86" s="24"/>
      <x:c r="S86" s="24"/>
      <x:c r="T86" s="24"/>
      <x:c r="U86" s="24"/>
      <x:c r="V86" s="24"/>
      <x:c r="W86" s="24"/>
      <x:c r="X86" s="24"/>
      <x:c r="Y86" s="24"/>
      <x:c r="Z86" s="24"/>
    </x:row>
    <x:row r="87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  <x:c r="K87" s="24"/>
      <x:c r="L87" s="24"/>
      <x:c r="M87" s="24"/>
      <x:c r="N87" s="24"/>
      <x:c r="O87" s="24"/>
      <x:c r="P87" s="24"/>
      <x:c r="Q87" s="24"/>
      <x:c r="R87" s="24"/>
      <x:c r="S87" s="24"/>
      <x:c r="T87" s="24"/>
      <x:c r="U87" s="24"/>
      <x:c r="V87" s="24"/>
      <x:c r="W87" s="24"/>
      <x:c r="X87" s="24"/>
      <x:c r="Y87" s="24"/>
      <x:c r="Z87" s="24"/>
    </x:row>
    <x:row r="88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  <x:c r="K88" s="24"/>
      <x:c r="L88" s="24"/>
      <x:c r="M88" s="24"/>
      <x:c r="N88" s="24"/>
      <x:c r="O88" s="24"/>
      <x:c r="P88" s="24"/>
      <x:c r="Q88" s="24"/>
      <x:c r="R88" s="24"/>
      <x:c r="S88" s="24"/>
      <x:c r="T88" s="24"/>
      <x:c r="U88" s="24"/>
      <x:c r="V88" s="24"/>
      <x:c r="W88" s="24"/>
      <x:c r="X88" s="24"/>
      <x:c r="Y88" s="24"/>
      <x:c r="Z88" s="24"/>
    </x:row>
    <x:row r="89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  <x:c r="K89" s="24"/>
      <x:c r="L89" s="24"/>
      <x:c r="M89" s="24"/>
      <x:c r="N89" s="24"/>
      <x:c r="O89" s="24"/>
      <x:c r="P89" s="24"/>
      <x:c r="Q89" s="24"/>
      <x:c r="R89" s="24"/>
      <x:c r="S89" s="24"/>
      <x:c r="T89" s="24"/>
      <x:c r="U89" s="24"/>
      <x:c r="V89" s="24"/>
      <x:c r="W89" s="24"/>
      <x:c r="X89" s="24"/>
      <x:c r="Y89" s="24"/>
      <x:c r="Z89" s="24"/>
    </x:row>
    <x:row r="90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  <x:c r="K90" s="24"/>
      <x:c r="L90" s="24"/>
      <x:c r="M90" s="24"/>
      <x:c r="N90" s="24"/>
      <x:c r="O90" s="24"/>
      <x:c r="P90" s="24"/>
      <x:c r="Q90" s="24"/>
      <x:c r="R90" s="24"/>
      <x:c r="S90" s="24"/>
      <x:c r="T90" s="24"/>
      <x:c r="U90" s="24"/>
      <x:c r="V90" s="24"/>
      <x:c r="W90" s="24"/>
      <x:c r="X90" s="24"/>
      <x:c r="Y90" s="24"/>
      <x:c r="Z90" s="24"/>
    </x:row>
    <x:row r="91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  <x:c r="K91" s="24"/>
      <x:c r="L91" s="24"/>
      <x:c r="M91" s="24"/>
      <x:c r="N91" s="24"/>
      <x:c r="O91" s="24"/>
      <x:c r="P91" s="24"/>
      <x:c r="Q91" s="24"/>
      <x:c r="R91" s="24"/>
      <x:c r="S91" s="24"/>
      <x:c r="T91" s="24"/>
      <x:c r="U91" s="24"/>
      <x:c r="V91" s="24"/>
      <x:c r="W91" s="24"/>
      <x:c r="X91" s="24"/>
      <x:c r="Y91" s="24"/>
      <x:c r="Z91" s="24"/>
    </x:row>
    <x:row r="92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  <x:c r="K92" s="24"/>
      <x:c r="L92" s="24"/>
      <x:c r="M92" s="24"/>
      <x:c r="N92" s="24"/>
      <x:c r="O92" s="24"/>
      <x:c r="P92" s="24"/>
      <x:c r="Q92" s="24"/>
      <x:c r="R92" s="24"/>
      <x:c r="S92" s="24"/>
      <x:c r="T92" s="24"/>
      <x:c r="U92" s="24"/>
      <x:c r="V92" s="24"/>
      <x:c r="W92" s="24"/>
      <x:c r="X92" s="24"/>
      <x:c r="Y92" s="24"/>
      <x:c r="Z92" s="24"/>
    </x:row>
    <x:row r="93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  <x:c r="K93" s="24"/>
      <x:c r="L93" s="24"/>
      <x:c r="M93" s="24"/>
      <x:c r="N93" s="24"/>
      <x:c r="O93" s="24"/>
      <x:c r="P93" s="24"/>
      <x:c r="Q93" s="24"/>
      <x:c r="R93" s="24"/>
      <x:c r="S93" s="24"/>
      <x:c r="T93" s="24"/>
      <x:c r="U93" s="24"/>
      <x:c r="V93" s="24"/>
      <x:c r="W93" s="24"/>
      <x:c r="X93" s="24"/>
      <x:c r="Y93" s="24"/>
      <x:c r="Z93" s="24"/>
    </x:row>
    <x:row r="94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  <x:c r="K94" s="24"/>
      <x:c r="L94" s="24"/>
      <x:c r="M94" s="24"/>
      <x:c r="N94" s="24"/>
      <x:c r="O94" s="24"/>
      <x:c r="P94" s="24"/>
      <x:c r="Q94" s="24"/>
      <x:c r="R94" s="24"/>
      <x:c r="S94" s="24"/>
      <x:c r="T94" s="24"/>
      <x:c r="U94" s="24"/>
      <x:c r="V94" s="24"/>
      <x:c r="W94" s="24"/>
      <x:c r="X94" s="24"/>
      <x:c r="Y94" s="24"/>
      <x:c r="Z94" s="24"/>
    </x:row>
    <x:row r="95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  <x:c r="K95" s="24"/>
      <x:c r="L95" s="24"/>
      <x:c r="M95" s="24"/>
      <x:c r="N95" s="24"/>
      <x:c r="O95" s="24"/>
      <x:c r="P95" s="24"/>
      <x:c r="Q95" s="24"/>
      <x:c r="R95" s="24"/>
      <x:c r="S95" s="24"/>
      <x:c r="T95" s="24"/>
      <x:c r="U95" s="24"/>
      <x:c r="V95" s="24"/>
      <x:c r="W95" s="24"/>
      <x:c r="X95" s="24"/>
      <x:c r="Y95" s="24"/>
      <x:c r="Z95" s="24"/>
    </x:row>
    <x:row r="96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  <x:c r="K96" s="24"/>
      <x:c r="L96" s="24"/>
      <x:c r="M96" s="24"/>
      <x:c r="N96" s="24"/>
      <x:c r="O96" s="24"/>
      <x:c r="P96" s="24"/>
      <x:c r="Q96" s="24"/>
      <x:c r="R96" s="24"/>
      <x:c r="S96" s="24"/>
      <x:c r="T96" s="24"/>
      <x:c r="U96" s="24"/>
      <x:c r="V96" s="24"/>
      <x:c r="W96" s="24"/>
      <x:c r="X96" s="24"/>
      <x:c r="Y96" s="24"/>
      <x:c r="Z96" s="24"/>
    </x:row>
    <x:row r="97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24"/>
      <x:c r="O97" s="24"/>
      <x:c r="P97" s="24"/>
      <x:c r="Q97" s="24"/>
      <x:c r="R97" s="24"/>
      <x:c r="S97" s="24"/>
      <x:c r="T97" s="24"/>
      <x:c r="U97" s="24"/>
      <x:c r="V97" s="24"/>
      <x:c r="W97" s="24"/>
      <x:c r="X97" s="24"/>
      <x:c r="Y97" s="24"/>
      <x:c r="Z97" s="24"/>
    </x:row>
    <x:row r="98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24"/>
      <x:c r="O98" s="24"/>
      <x:c r="P98" s="24"/>
      <x:c r="Q98" s="24"/>
      <x:c r="R98" s="24"/>
      <x:c r="S98" s="24"/>
      <x:c r="T98" s="24"/>
      <x:c r="U98" s="24"/>
      <x:c r="V98" s="24"/>
      <x:c r="W98" s="24"/>
      <x:c r="X98" s="24"/>
      <x:c r="Y98" s="24"/>
      <x:c r="Z98" s="24"/>
    </x:row>
    <x:row r="99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  <x:c r="K99" s="24"/>
      <x:c r="L99" s="24"/>
      <x:c r="M99" s="24"/>
      <x:c r="N99" s="24"/>
      <x:c r="O99" s="24"/>
      <x:c r="P99" s="24"/>
      <x:c r="Q99" s="24"/>
      <x:c r="R99" s="24"/>
      <x:c r="S99" s="24"/>
      <x:c r="T99" s="24"/>
      <x:c r="U99" s="24"/>
      <x:c r="V99" s="24"/>
      <x:c r="W99" s="24"/>
      <x:c r="X99" s="24"/>
      <x:c r="Y99" s="24"/>
      <x:c r="Z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  <x:c r="L100" s="24"/>
      <x:c r="M100" s="24"/>
      <x:c r="N100" s="24"/>
      <x:c r="O100" s="24"/>
      <x:c r="P100" s="24"/>
      <x:c r="Q100" s="24"/>
      <x:c r="R100" s="24"/>
      <x:c r="S100" s="24"/>
      <x:c r="T100" s="24"/>
      <x:c r="U100" s="24"/>
      <x:c r="V100" s="24"/>
      <x:c r="W100" s="24"/>
      <x:c r="X100" s="24"/>
      <x:c r="Y100" s="24"/>
      <x:c r="Z100" s="24"/>
    </x:row>
    <x:row r="101">
      <x:c r="A101" s="24"/>
      <x:c r="B101" s="24"/>
      <x:c r="C101" s="24"/>
      <x:c r="D101" s="24"/>
      <x:c r="E101" s="24"/>
      <x:c r="F101" s="24"/>
      <x:c r="G101" s="24"/>
      <x:c r="H101" s="24"/>
      <x:c r="I101" s="24"/>
      <x:c r="J101" s="24"/>
      <x:c r="K101" s="24"/>
      <x:c r="L101" s="24"/>
      <x:c r="M101" s="24"/>
      <x:c r="N101" s="24"/>
      <x:c r="O101" s="24"/>
      <x:c r="P101" s="24"/>
      <x:c r="Q101" s="24"/>
      <x:c r="R101" s="24"/>
      <x:c r="S101" s="24"/>
      <x:c r="T101" s="24"/>
      <x:c r="U101" s="24"/>
      <x:c r="V101" s="24"/>
      <x:c r="W101" s="24"/>
      <x:c r="X101" s="24"/>
      <x:c r="Y101" s="24"/>
      <x:c r="Z101" s="24"/>
    </x:row>
    <x:row r="102">
      <x:c r="A102" s="24"/>
      <x:c r="B102" s="24"/>
      <x:c r="C102" s="24"/>
      <x:c r="D102" s="24"/>
      <x:c r="E102" s="24"/>
      <x:c r="F102" s="24"/>
      <x:c r="G102" s="24"/>
      <x:c r="H102" s="24"/>
      <x:c r="I102" s="24"/>
      <x:c r="J102" s="24"/>
      <x:c r="K102" s="24"/>
      <x:c r="L102" s="24"/>
      <x:c r="M102" s="24"/>
      <x:c r="N102" s="24"/>
      <x:c r="O102" s="24"/>
      <x:c r="P102" s="24"/>
      <x:c r="Q102" s="24"/>
      <x:c r="R102" s="24"/>
      <x:c r="S102" s="24"/>
      <x:c r="T102" s="24"/>
      <x:c r="U102" s="24"/>
      <x:c r="V102" s="24"/>
      <x:c r="W102" s="24"/>
      <x:c r="X102" s="24"/>
      <x:c r="Y102" s="24"/>
      <x:c r="Z102" s="24"/>
    </x:row>
    <x:row r="103">
      <x:c r="A103" s="24"/>
      <x:c r="B103" s="24"/>
      <x:c r="C103" s="24"/>
      <x:c r="D103" s="24"/>
      <x:c r="E103" s="24"/>
      <x:c r="F103" s="24"/>
      <x:c r="G103" s="24"/>
      <x:c r="H103" s="24"/>
      <x:c r="I103" s="24"/>
      <x:c r="J103" s="24"/>
      <x:c r="K103" s="24"/>
      <x:c r="L103" s="24"/>
      <x:c r="M103" s="24"/>
      <x:c r="N103" s="24"/>
      <x:c r="O103" s="24"/>
      <x:c r="P103" s="24"/>
      <x:c r="Q103" s="24"/>
      <x:c r="R103" s="24"/>
      <x:c r="S103" s="24"/>
      <x:c r="T103" s="24"/>
      <x:c r="U103" s="24"/>
      <x:c r="V103" s="24"/>
      <x:c r="W103" s="24"/>
      <x:c r="X103" s="24"/>
      <x:c r="Y103" s="24"/>
      <x:c r="Z103" s="24"/>
    </x:row>
    <x:row r="104">
      <x:c r="A104" s="24"/>
      <x:c r="B104" s="24"/>
      <x:c r="C104" s="24"/>
      <x:c r="D104" s="24"/>
      <x:c r="E104" s="24"/>
      <x:c r="F104" s="24"/>
      <x:c r="G104" s="24"/>
      <x:c r="H104" s="24"/>
      <x:c r="I104" s="24"/>
      <x:c r="J104" s="24"/>
      <x:c r="K104" s="24"/>
      <x:c r="L104" s="24"/>
      <x:c r="M104" s="24"/>
      <x:c r="N104" s="24"/>
      <x:c r="O104" s="24"/>
      <x:c r="P104" s="24"/>
      <x:c r="Q104" s="24"/>
      <x:c r="R104" s="24"/>
      <x:c r="S104" s="24"/>
      <x:c r="T104" s="24"/>
      <x:c r="U104" s="24"/>
      <x:c r="V104" s="24"/>
      <x:c r="W104" s="24"/>
      <x:c r="X104" s="24"/>
      <x:c r="Y104" s="24"/>
      <x:c r="Z104" s="24"/>
    </x:row>
    <x:row r="105">
      <x:c r="A105" s="24"/>
      <x:c r="B105" s="24"/>
      <x:c r="C105" s="24"/>
      <x:c r="D105" s="24"/>
      <x:c r="E105" s="24"/>
      <x:c r="F105" s="24"/>
      <x:c r="G105" s="24"/>
      <x:c r="H105" s="24"/>
      <x:c r="I105" s="24"/>
      <x:c r="J105" s="24"/>
      <x:c r="K105" s="24"/>
      <x:c r="L105" s="24"/>
      <x:c r="M105" s="24"/>
      <x:c r="N105" s="24"/>
      <x:c r="O105" s="24"/>
      <x:c r="P105" s="24"/>
      <x:c r="Q105" s="24"/>
      <x:c r="R105" s="24"/>
      <x:c r="S105" s="24"/>
      <x:c r="T105" s="24"/>
      <x:c r="U105" s="24"/>
      <x:c r="V105" s="24"/>
      <x:c r="W105" s="24"/>
      <x:c r="X105" s="24"/>
      <x:c r="Y105" s="24"/>
      <x:c r="Z105" s="24"/>
    </x:row>
    <x:row r="106">
      <x:c r="A106" s="24"/>
      <x:c r="B106" s="24"/>
      <x:c r="C106" s="24"/>
      <x:c r="D106" s="24"/>
      <x:c r="E106" s="24"/>
      <x:c r="F106" s="24"/>
      <x:c r="G106" s="24"/>
      <x:c r="H106" s="24"/>
      <x:c r="I106" s="24"/>
      <x:c r="J106" s="24"/>
      <x:c r="K106" s="24"/>
      <x:c r="L106" s="24"/>
      <x:c r="M106" s="24"/>
      <x:c r="N106" s="24"/>
      <x:c r="O106" s="24"/>
      <x:c r="P106" s="24"/>
      <x:c r="Q106" s="24"/>
      <x:c r="R106" s="24"/>
      <x:c r="S106" s="24"/>
      <x:c r="T106" s="24"/>
      <x:c r="U106" s="24"/>
      <x:c r="V106" s="24"/>
      <x:c r="W106" s="24"/>
      <x:c r="X106" s="24"/>
      <x:c r="Y106" s="24"/>
      <x:c r="Z106" s="24"/>
    </x:row>
    <x:row r="107">
      <x:c r="A107" s="24"/>
      <x:c r="B107" s="24"/>
      <x:c r="C107" s="24"/>
      <x:c r="D107" s="24"/>
      <x:c r="E107" s="24"/>
      <x:c r="F107" s="24"/>
      <x:c r="G107" s="24"/>
      <x:c r="H107" s="24"/>
      <x:c r="I107" s="24"/>
      <x:c r="J107" s="24"/>
      <x:c r="K107" s="24"/>
      <x:c r="L107" s="24"/>
      <x:c r="M107" s="24"/>
      <x:c r="N107" s="24"/>
      <x:c r="O107" s="24"/>
      <x:c r="P107" s="24"/>
      <x:c r="Q107" s="24"/>
      <x:c r="R107" s="24"/>
      <x:c r="S107" s="24"/>
      <x:c r="T107" s="24"/>
      <x:c r="U107" s="24"/>
      <x:c r="V107" s="24"/>
      <x:c r="W107" s="24"/>
      <x:c r="X107" s="24"/>
      <x:c r="Y107" s="24"/>
      <x:c r="Z107" s="24"/>
    </x:row>
    <x:row r="108">
      <x:c r="A108" s="24"/>
      <x:c r="B108" s="24"/>
      <x:c r="C108" s="24"/>
      <x:c r="D108" s="24"/>
      <x:c r="E108" s="24"/>
      <x:c r="F108" s="24"/>
      <x:c r="G108" s="24"/>
      <x:c r="H108" s="24"/>
      <x:c r="I108" s="24"/>
      <x:c r="J108" s="24"/>
      <x:c r="K108" s="24"/>
      <x:c r="L108" s="24"/>
      <x:c r="M108" s="24"/>
      <x:c r="N108" s="24"/>
      <x:c r="O108" s="24"/>
      <x:c r="P108" s="24"/>
      <x:c r="Q108" s="24"/>
      <x:c r="R108" s="24"/>
      <x:c r="S108" s="24"/>
      <x:c r="T108" s="24"/>
      <x:c r="U108" s="24"/>
      <x:c r="V108" s="24"/>
      <x:c r="W108" s="24"/>
      <x:c r="X108" s="24"/>
      <x:c r="Y108" s="24"/>
      <x:c r="Z108" s="24"/>
    </x:row>
    <x:row r="109">
      <x:c r="A109" s="24"/>
      <x:c r="B109" s="24"/>
      <x:c r="C109" s="24"/>
      <x:c r="D109" s="24"/>
      <x:c r="E109" s="24"/>
      <x:c r="F109" s="24"/>
      <x:c r="G109" s="24"/>
      <x:c r="H109" s="24"/>
      <x:c r="I109" s="24"/>
      <x:c r="J109" s="24"/>
      <x:c r="K109" s="24"/>
      <x:c r="L109" s="24"/>
      <x:c r="M109" s="24"/>
      <x:c r="N109" s="24"/>
      <x:c r="O109" s="24"/>
      <x:c r="P109" s="24"/>
      <x:c r="Q109" s="24"/>
      <x:c r="R109" s="24"/>
      <x:c r="S109" s="24"/>
      <x:c r="T109" s="24"/>
      <x:c r="U109" s="24"/>
      <x:c r="V109" s="24"/>
      <x:c r="W109" s="24"/>
      <x:c r="X109" s="24"/>
      <x:c r="Y109" s="24"/>
      <x:c r="Z109" s="24"/>
    </x:row>
    <x:row r="110">
      <x:c r="A110" s="24"/>
      <x:c r="B110" s="24"/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/>
      <x:c r="M110" s="24"/>
      <x:c r="N110" s="24"/>
      <x:c r="O110" s="24"/>
      <x:c r="P110" s="24"/>
      <x:c r="Q110" s="24"/>
      <x:c r="R110" s="24"/>
      <x:c r="S110" s="24"/>
      <x:c r="T110" s="24"/>
      <x:c r="U110" s="24"/>
      <x:c r="V110" s="24"/>
      <x:c r="W110" s="24"/>
      <x:c r="X110" s="24"/>
      <x:c r="Y110" s="24"/>
      <x:c r="Z110" s="24"/>
    </x:row>
    <x:row r="111">
      <x:c r="A111" s="24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P111" s="24"/>
      <x:c r="Q111" s="24"/>
      <x:c r="R111" s="24"/>
      <x:c r="S111" s="24"/>
      <x:c r="T111" s="24"/>
      <x:c r="U111" s="24"/>
      <x:c r="V111" s="24"/>
      <x:c r="W111" s="24"/>
      <x:c r="X111" s="24"/>
      <x:c r="Y111" s="24"/>
      <x:c r="Z111" s="24"/>
    </x:row>
    <x:row r="112">
      <x:c r="A112" s="24"/>
      <x:c r="B112" s="24"/>
      <x:c r="C112" s="24"/>
      <x:c r="D112" s="24"/>
      <x:c r="E112" s="24"/>
      <x:c r="F112" s="24"/>
      <x:c r="G112" s="24"/>
      <x:c r="H112" s="24"/>
      <x:c r="I112" s="24"/>
      <x:c r="J112" s="24"/>
      <x:c r="K112" s="24"/>
      <x:c r="L112" s="24"/>
      <x:c r="M112" s="24"/>
      <x:c r="N112" s="24"/>
      <x:c r="O112" s="24"/>
      <x:c r="P112" s="24"/>
      <x:c r="Q112" s="24"/>
      <x:c r="R112" s="24"/>
      <x:c r="S112" s="24"/>
      <x:c r="T112" s="24"/>
      <x:c r="U112" s="24"/>
      <x:c r="V112" s="24"/>
      <x:c r="W112" s="24"/>
      <x:c r="X112" s="24"/>
      <x:c r="Y112" s="24"/>
      <x:c r="Z112" s="24"/>
    </x:row>
    <x:row r="113">
      <x:c r="A113" s="24"/>
      <x:c r="B113" s="24"/>
      <x:c r="C113" s="24"/>
      <x:c r="D113" s="24"/>
      <x:c r="E113" s="24"/>
      <x:c r="F113" s="24"/>
      <x:c r="G113" s="24"/>
      <x:c r="H113" s="24"/>
      <x:c r="I113" s="24"/>
      <x:c r="J113" s="24"/>
      <x:c r="K113" s="24"/>
      <x:c r="L113" s="24"/>
      <x:c r="M113" s="24"/>
      <x:c r="N113" s="24"/>
      <x:c r="O113" s="24"/>
      <x:c r="P113" s="24"/>
      <x:c r="Q113" s="24"/>
      <x:c r="R113" s="24"/>
      <x:c r="S113" s="24"/>
      <x:c r="T113" s="24"/>
      <x:c r="U113" s="24"/>
      <x:c r="V113" s="24"/>
      <x:c r="W113" s="24"/>
      <x:c r="X113" s="24"/>
      <x:c r="Y113" s="24"/>
      <x:c r="Z113" s="24"/>
    </x:row>
    <x:row r="114">
      <x:c r="A114" s="24"/>
      <x:c r="B114" s="24"/>
      <x:c r="C114" s="24"/>
      <x:c r="D114" s="24"/>
      <x:c r="E114" s="24"/>
      <x:c r="F114" s="24"/>
      <x:c r="G114" s="24"/>
      <x:c r="H114" s="24"/>
      <x:c r="I114" s="24"/>
      <x:c r="J114" s="24"/>
      <x:c r="K114" s="24"/>
      <x:c r="L114" s="24"/>
      <x:c r="M114" s="24"/>
      <x:c r="N114" s="24"/>
      <x:c r="O114" s="24"/>
      <x:c r="P114" s="24"/>
      <x:c r="Q114" s="24"/>
      <x:c r="R114" s="24"/>
      <x:c r="S114" s="24"/>
      <x:c r="T114" s="24"/>
      <x:c r="U114" s="24"/>
      <x:c r="V114" s="24"/>
      <x:c r="W114" s="24"/>
      <x:c r="X114" s="24"/>
      <x:c r="Y114" s="24"/>
      <x:c r="Z114" s="24"/>
    </x:row>
    <x:row r="115">
      <x:c r="A115" s="24"/>
      <x:c r="B115" s="24"/>
      <x:c r="C115" s="24"/>
      <x:c r="D115" s="24"/>
      <x:c r="E115" s="24"/>
      <x:c r="F115" s="24"/>
      <x:c r="G115" s="24"/>
      <x:c r="H115" s="24"/>
      <x:c r="I115" s="24"/>
      <x:c r="J115" s="24"/>
      <x:c r="K115" s="24"/>
      <x:c r="L115" s="24"/>
      <x:c r="M115" s="24"/>
      <x:c r="N115" s="24"/>
      <x:c r="O115" s="24"/>
      <x:c r="P115" s="24"/>
      <x:c r="Q115" s="24"/>
      <x:c r="R115" s="24"/>
      <x:c r="S115" s="24"/>
      <x:c r="T115" s="24"/>
      <x:c r="U115" s="24"/>
      <x:c r="V115" s="24"/>
      <x:c r="W115" s="24"/>
      <x:c r="X115" s="24"/>
      <x:c r="Y115" s="24"/>
      <x:c r="Z115" s="24"/>
    </x:row>
    <x:row r="116">
      <x:c r="A116" s="24"/>
      <x:c r="B116" s="24"/>
      <x:c r="C116" s="24"/>
      <x:c r="D116" s="24"/>
      <x:c r="E116" s="24"/>
      <x:c r="F116" s="24"/>
      <x:c r="G116" s="24"/>
      <x:c r="H116" s="24"/>
      <x:c r="I116" s="24"/>
      <x:c r="J116" s="24"/>
      <x:c r="K116" s="24"/>
      <x:c r="L116" s="24"/>
      <x:c r="M116" s="24"/>
      <x:c r="N116" s="24"/>
      <x:c r="O116" s="24"/>
      <x:c r="P116" s="24"/>
      <x:c r="Q116" s="24"/>
      <x:c r="R116" s="24"/>
      <x:c r="S116" s="24"/>
      <x:c r="T116" s="24"/>
      <x:c r="U116" s="24"/>
      <x:c r="V116" s="24"/>
      <x:c r="W116" s="24"/>
      <x:c r="X116" s="24"/>
      <x:c r="Y116" s="24"/>
      <x:c r="Z116" s="24"/>
    </x:row>
    <x:row r="117">
      <x:c r="A117" s="24"/>
      <x:c r="B117" s="24"/>
      <x:c r="C117" s="24"/>
      <x:c r="D117" s="24"/>
      <x:c r="E117" s="24"/>
      <x:c r="F117" s="24"/>
      <x:c r="G117" s="24"/>
      <x:c r="H117" s="24"/>
      <x:c r="I117" s="24"/>
      <x:c r="J117" s="24"/>
      <x:c r="K117" s="24"/>
      <x:c r="L117" s="24"/>
      <x:c r="M117" s="24"/>
      <x:c r="N117" s="24"/>
      <x:c r="O117" s="24"/>
      <x:c r="P117" s="24"/>
      <x:c r="Q117" s="24"/>
      <x:c r="R117" s="24"/>
      <x:c r="S117" s="24"/>
      <x:c r="T117" s="24"/>
      <x:c r="U117" s="24"/>
      <x:c r="V117" s="24"/>
      <x:c r="W117" s="24"/>
      <x:c r="X117" s="24"/>
      <x:c r="Y117" s="24"/>
      <x:c r="Z117" s="24"/>
    </x:row>
    <x:row r="118">
      <x:c r="A118" s="24"/>
      <x:c r="B118" s="24"/>
      <x:c r="C118" s="24"/>
      <x:c r="D118" s="24"/>
      <x:c r="E118" s="24"/>
      <x:c r="F118" s="24"/>
      <x:c r="G118" s="24"/>
      <x:c r="H118" s="24"/>
      <x:c r="I118" s="24"/>
      <x:c r="J118" s="24"/>
      <x:c r="K118" s="24"/>
      <x:c r="L118" s="24"/>
      <x:c r="M118" s="24"/>
      <x:c r="N118" s="24"/>
      <x:c r="O118" s="24"/>
      <x:c r="P118" s="24"/>
      <x:c r="Q118" s="24"/>
      <x:c r="R118" s="24"/>
      <x:c r="S118" s="24"/>
      <x:c r="T118" s="24"/>
      <x:c r="U118" s="24"/>
      <x:c r="V118" s="24"/>
      <x:c r="W118" s="24"/>
      <x:c r="X118" s="24"/>
      <x:c r="Y118" s="24"/>
      <x:c r="Z118" s="24"/>
    </x:row>
    <x:row r="119">
      <x:c r="A119" s="24"/>
      <x:c r="B119" s="24"/>
      <x:c r="C119" s="24"/>
      <x:c r="D119" s="24"/>
      <x:c r="E119" s="24"/>
      <x:c r="F119" s="24"/>
      <x:c r="G119" s="24"/>
      <x:c r="H119" s="24"/>
      <x:c r="I119" s="24"/>
      <x:c r="J119" s="24"/>
      <x:c r="K119" s="24"/>
      <x:c r="L119" s="24"/>
      <x:c r="M119" s="24"/>
      <x:c r="N119" s="24"/>
      <x:c r="O119" s="24"/>
      <x:c r="P119" s="24"/>
      <x:c r="Q119" s="24"/>
      <x:c r="R119" s="24"/>
      <x:c r="S119" s="24"/>
      <x:c r="T119" s="24"/>
      <x:c r="U119" s="24"/>
      <x:c r="V119" s="24"/>
      <x:c r="W119" s="24"/>
      <x:c r="X119" s="24"/>
      <x:c r="Y119" s="24"/>
      <x:c r="Z119" s="24"/>
    </x:row>
    <x:row r="120">
      <x:c r="A120" s="24"/>
      <x:c r="B120" s="24"/>
      <x:c r="C120" s="24"/>
      <x:c r="D120" s="24"/>
      <x:c r="E120" s="24"/>
      <x:c r="F120" s="24"/>
      <x:c r="G120" s="24"/>
      <x:c r="H120" s="24"/>
      <x:c r="I120" s="24"/>
      <x:c r="J120" s="24"/>
      <x:c r="K120" s="24"/>
      <x:c r="L120" s="24"/>
      <x:c r="M120" s="24"/>
      <x:c r="N120" s="24"/>
      <x:c r="O120" s="24"/>
      <x:c r="P120" s="24"/>
      <x:c r="Q120" s="24"/>
      <x:c r="R120" s="24"/>
      <x:c r="S120" s="24"/>
      <x:c r="T120" s="24"/>
      <x:c r="U120" s="24"/>
      <x:c r="V120" s="24"/>
      <x:c r="W120" s="24"/>
      <x:c r="X120" s="24"/>
      <x:c r="Y120" s="24"/>
      <x:c r="Z120" s="24"/>
    </x:row>
    <x:row r="12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  <x:c r="K121" s="24"/>
      <x:c r="L121" s="24"/>
      <x:c r="M121" s="24"/>
      <x:c r="N121" s="24"/>
      <x:c r="O121" s="24"/>
      <x:c r="P121" s="24"/>
      <x:c r="Q121" s="24"/>
      <x:c r="R121" s="24"/>
      <x:c r="S121" s="24"/>
      <x:c r="T121" s="24"/>
      <x:c r="U121" s="24"/>
      <x:c r="V121" s="24"/>
      <x:c r="W121" s="24"/>
      <x:c r="X121" s="24"/>
      <x:c r="Y121" s="24"/>
      <x:c r="Z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  <x:c r="K122" s="24"/>
      <x:c r="L122" s="24"/>
      <x:c r="M122" s="24"/>
      <x:c r="N122" s="24"/>
      <x:c r="O122" s="24"/>
      <x:c r="P122" s="24"/>
      <x:c r="Q122" s="24"/>
      <x:c r="R122" s="24"/>
      <x:c r="S122" s="24"/>
      <x:c r="T122" s="24"/>
      <x:c r="U122" s="24"/>
      <x:c r="V122" s="24"/>
      <x:c r="W122" s="24"/>
      <x:c r="X122" s="24"/>
      <x:c r="Y122" s="24"/>
      <x:c r="Z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  <x:c r="M123" s="24"/>
      <x:c r="N123" s="24"/>
      <x:c r="O123" s="24"/>
      <x:c r="P123" s="24"/>
      <x:c r="Q123" s="24"/>
      <x:c r="R123" s="24"/>
      <x:c r="S123" s="24"/>
      <x:c r="T123" s="24"/>
      <x:c r="U123" s="24"/>
      <x:c r="V123" s="24"/>
      <x:c r="W123" s="24"/>
      <x:c r="X123" s="24"/>
      <x:c r="Y123" s="24"/>
      <x:c r="Z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  <x:c r="M124" s="24"/>
      <x:c r="N124" s="24"/>
      <x:c r="O124" s="24"/>
      <x:c r="P124" s="24"/>
      <x:c r="Q124" s="24"/>
      <x:c r="R124" s="24"/>
      <x:c r="S124" s="24"/>
      <x:c r="T124" s="24"/>
      <x:c r="U124" s="24"/>
      <x:c r="V124" s="24"/>
      <x:c r="W124" s="24"/>
      <x:c r="X124" s="24"/>
      <x:c r="Y124" s="24"/>
      <x:c r="Z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  <x:c r="K125" s="24"/>
      <x:c r="L125" s="24"/>
      <x:c r="M125" s="24"/>
      <x:c r="N125" s="24"/>
      <x:c r="O125" s="24"/>
      <x:c r="P125" s="24"/>
      <x:c r="Q125" s="24"/>
      <x:c r="R125" s="24"/>
      <x:c r="S125" s="24"/>
      <x:c r="T125" s="24"/>
      <x:c r="U125" s="24"/>
      <x:c r="V125" s="24"/>
      <x:c r="W125" s="24"/>
      <x:c r="X125" s="24"/>
      <x:c r="Y125" s="24"/>
      <x:c r="Z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  <x:c r="K126" s="24"/>
      <x:c r="L126" s="24"/>
      <x:c r="M126" s="24"/>
      <x:c r="N126" s="24"/>
      <x:c r="O126" s="24"/>
      <x:c r="P126" s="24"/>
      <x:c r="Q126" s="24"/>
      <x:c r="R126" s="24"/>
      <x:c r="S126" s="24"/>
      <x:c r="T126" s="24"/>
      <x:c r="U126" s="24"/>
      <x:c r="V126" s="24"/>
      <x:c r="W126" s="24"/>
      <x:c r="X126" s="24"/>
      <x:c r="Y126" s="24"/>
      <x:c r="Z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  <x:c r="K127" s="24"/>
      <x:c r="L127" s="24"/>
      <x:c r="M127" s="24"/>
      <x:c r="N127" s="24"/>
      <x:c r="O127" s="24"/>
      <x:c r="P127" s="24"/>
      <x:c r="Q127" s="24"/>
      <x:c r="R127" s="24"/>
      <x:c r="S127" s="24"/>
      <x:c r="T127" s="24"/>
      <x:c r="U127" s="24"/>
      <x:c r="V127" s="24"/>
      <x:c r="W127" s="24"/>
      <x:c r="X127" s="24"/>
      <x:c r="Y127" s="24"/>
      <x:c r="Z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  <x:c r="K128" s="24"/>
      <x:c r="L128" s="24"/>
      <x:c r="M128" s="24"/>
      <x:c r="N128" s="24"/>
      <x:c r="O128" s="24"/>
      <x:c r="P128" s="24"/>
      <x:c r="Q128" s="24"/>
      <x:c r="R128" s="24"/>
      <x:c r="S128" s="24"/>
      <x:c r="T128" s="24"/>
      <x:c r="U128" s="24"/>
      <x:c r="V128" s="24"/>
      <x:c r="W128" s="24"/>
      <x:c r="X128" s="24"/>
      <x:c r="Y128" s="24"/>
      <x:c r="Z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  <x:c r="K129" s="24"/>
      <x:c r="L129" s="24"/>
      <x:c r="M129" s="24"/>
      <x:c r="N129" s="24"/>
      <x:c r="O129" s="24"/>
      <x:c r="P129" s="24"/>
      <x:c r="Q129" s="24"/>
      <x:c r="R129" s="24"/>
      <x:c r="S129" s="24"/>
      <x:c r="T129" s="24"/>
      <x:c r="U129" s="24"/>
      <x:c r="V129" s="24"/>
      <x:c r="W129" s="24"/>
      <x:c r="X129" s="24"/>
      <x:c r="Y129" s="24"/>
      <x:c r="Z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  <x:c r="K130" s="24"/>
      <x:c r="L130" s="24"/>
      <x:c r="M130" s="24"/>
      <x:c r="N130" s="24"/>
      <x:c r="O130" s="24"/>
      <x:c r="P130" s="24"/>
      <x:c r="Q130" s="24"/>
      <x:c r="R130" s="24"/>
      <x:c r="S130" s="24"/>
      <x:c r="T130" s="24"/>
      <x:c r="U130" s="24"/>
      <x:c r="V130" s="24"/>
      <x:c r="W130" s="24"/>
      <x:c r="X130" s="24"/>
      <x:c r="Y130" s="24"/>
      <x:c r="Z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  <x:c r="K131" s="24"/>
      <x:c r="L131" s="24"/>
      <x:c r="M131" s="24"/>
      <x:c r="N131" s="24"/>
      <x:c r="O131" s="24"/>
      <x:c r="P131" s="24"/>
      <x:c r="Q131" s="24"/>
      <x:c r="R131" s="24"/>
      <x:c r="S131" s="24"/>
      <x:c r="T131" s="24"/>
      <x:c r="U131" s="24"/>
      <x:c r="V131" s="24"/>
      <x:c r="W131" s="24"/>
      <x:c r="X131" s="24"/>
      <x:c r="Y131" s="24"/>
      <x:c r="Z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  <x:c r="K132" s="24"/>
      <x:c r="L132" s="24"/>
      <x:c r="M132" s="24"/>
      <x:c r="N132" s="24"/>
      <x:c r="O132" s="24"/>
      <x:c r="P132" s="24"/>
      <x:c r="Q132" s="24"/>
      <x:c r="R132" s="24"/>
      <x:c r="S132" s="24"/>
      <x:c r="T132" s="24"/>
      <x:c r="U132" s="24"/>
      <x:c r="V132" s="24"/>
      <x:c r="W132" s="24"/>
      <x:c r="X132" s="24"/>
      <x:c r="Y132" s="24"/>
      <x:c r="Z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  <x:c r="K133" s="24"/>
      <x:c r="L133" s="24"/>
      <x:c r="M133" s="24"/>
      <x:c r="N133" s="24"/>
      <x:c r="O133" s="24"/>
      <x:c r="P133" s="24"/>
      <x:c r="Q133" s="24"/>
      <x:c r="R133" s="24"/>
      <x:c r="S133" s="24"/>
      <x:c r="T133" s="24"/>
      <x:c r="U133" s="24"/>
      <x:c r="V133" s="24"/>
      <x:c r="W133" s="24"/>
      <x:c r="X133" s="24"/>
      <x:c r="Y133" s="24"/>
      <x:c r="Z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  <x:c r="K134" s="24"/>
      <x:c r="L134" s="24"/>
      <x:c r="M134" s="24"/>
      <x:c r="N134" s="24"/>
      <x:c r="O134" s="24"/>
      <x:c r="P134" s="24"/>
      <x:c r="Q134" s="24"/>
      <x:c r="R134" s="24"/>
      <x:c r="S134" s="24"/>
      <x:c r="T134" s="24"/>
      <x:c r="U134" s="24"/>
      <x:c r="V134" s="24"/>
      <x:c r="W134" s="24"/>
      <x:c r="X134" s="24"/>
      <x:c r="Y134" s="24"/>
      <x:c r="Z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  <x:c r="K135" s="24"/>
      <x:c r="L135" s="24"/>
      <x:c r="M135" s="24"/>
      <x:c r="N135" s="24"/>
      <x:c r="O135" s="24"/>
      <x:c r="P135" s="24"/>
      <x:c r="Q135" s="24"/>
      <x:c r="R135" s="24"/>
      <x:c r="S135" s="24"/>
      <x:c r="T135" s="24"/>
      <x:c r="U135" s="24"/>
      <x:c r="V135" s="24"/>
      <x:c r="W135" s="24"/>
      <x:c r="X135" s="24"/>
      <x:c r="Y135" s="24"/>
      <x:c r="Z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  <x:c r="K136" s="24"/>
      <x:c r="L136" s="24"/>
      <x:c r="M136" s="24"/>
      <x:c r="N136" s="24"/>
      <x:c r="O136" s="24"/>
      <x:c r="P136" s="24"/>
      <x:c r="Q136" s="24"/>
      <x:c r="R136" s="24"/>
      <x:c r="S136" s="24"/>
      <x:c r="T136" s="24"/>
      <x:c r="U136" s="24"/>
      <x:c r="V136" s="24"/>
      <x:c r="W136" s="24"/>
      <x:c r="X136" s="24"/>
      <x:c r="Y136" s="24"/>
      <x:c r="Z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  <x:c r="L137" s="24"/>
      <x:c r="M137" s="24"/>
      <x:c r="N137" s="24"/>
      <x:c r="O137" s="24"/>
      <x:c r="P137" s="24"/>
      <x:c r="Q137" s="24"/>
      <x:c r="R137" s="24"/>
      <x:c r="S137" s="24"/>
      <x:c r="T137" s="24"/>
      <x:c r="U137" s="24"/>
      <x:c r="V137" s="24"/>
      <x:c r="W137" s="24"/>
      <x:c r="X137" s="24"/>
      <x:c r="Y137" s="24"/>
      <x:c r="Z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  <x:c r="K138" s="24"/>
      <x:c r="L138" s="24"/>
      <x:c r="M138" s="24"/>
      <x:c r="N138" s="24"/>
      <x:c r="O138" s="24"/>
      <x:c r="P138" s="24"/>
      <x:c r="Q138" s="24"/>
      <x:c r="R138" s="24"/>
      <x:c r="S138" s="24"/>
      <x:c r="T138" s="24"/>
      <x:c r="U138" s="24"/>
      <x:c r="V138" s="24"/>
      <x:c r="W138" s="24"/>
      <x:c r="X138" s="24"/>
      <x:c r="Y138" s="24"/>
      <x:c r="Z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  <x:c r="K139" s="24"/>
      <x:c r="L139" s="24"/>
      <x:c r="M139" s="24"/>
      <x:c r="N139" s="24"/>
      <x:c r="O139" s="24"/>
      <x:c r="P139" s="24"/>
      <x:c r="Q139" s="24"/>
      <x:c r="R139" s="24"/>
      <x:c r="S139" s="24"/>
      <x:c r="T139" s="24"/>
      <x:c r="U139" s="24"/>
      <x:c r="V139" s="24"/>
      <x:c r="W139" s="24"/>
      <x:c r="X139" s="24"/>
      <x:c r="Y139" s="24"/>
      <x:c r="Z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  <x:c r="K140" s="24"/>
      <x:c r="L140" s="24"/>
      <x:c r="M140" s="24"/>
      <x:c r="N140" s="24"/>
      <x:c r="O140" s="24"/>
      <x:c r="P140" s="24"/>
      <x:c r="Q140" s="24"/>
      <x:c r="R140" s="24"/>
      <x:c r="S140" s="24"/>
      <x:c r="T140" s="24"/>
      <x:c r="U140" s="24"/>
      <x:c r="V140" s="24"/>
      <x:c r="W140" s="24"/>
      <x:c r="X140" s="24"/>
      <x:c r="Y140" s="24"/>
      <x:c r="Z140" s="24"/>
    </x:row>
    <x:row r="141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  <x:c r="K141" s="24"/>
      <x:c r="L141" s="24"/>
      <x:c r="M141" s="24"/>
      <x:c r="N141" s="24"/>
      <x:c r="O141" s="24"/>
      <x:c r="P141" s="24"/>
      <x:c r="Q141" s="24"/>
      <x:c r="R141" s="24"/>
      <x:c r="S141" s="24"/>
      <x:c r="T141" s="24"/>
      <x:c r="U141" s="24"/>
      <x:c r="V141" s="24"/>
      <x:c r="W141" s="24"/>
      <x:c r="X141" s="24"/>
      <x:c r="Y141" s="24"/>
      <x:c r="Z141" s="24"/>
    </x:row>
    <x:row r="142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  <x:c r="K142" s="24"/>
      <x:c r="L142" s="24"/>
      <x:c r="M142" s="24"/>
      <x:c r="N142" s="24"/>
      <x:c r="O142" s="24"/>
      <x:c r="P142" s="24"/>
      <x:c r="Q142" s="24"/>
      <x:c r="R142" s="24"/>
      <x:c r="S142" s="24"/>
      <x:c r="T142" s="24"/>
      <x:c r="U142" s="24"/>
      <x:c r="V142" s="24"/>
      <x:c r="W142" s="24"/>
      <x:c r="X142" s="24"/>
      <x:c r="Y142" s="24"/>
      <x:c r="Z142" s="24"/>
    </x:row>
    <x:row r="143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  <x:c r="K143" s="24"/>
      <x:c r="L143" s="24"/>
      <x:c r="M143" s="24"/>
      <x:c r="N143" s="24"/>
      <x:c r="O143" s="24"/>
      <x:c r="P143" s="24"/>
      <x:c r="Q143" s="24"/>
      <x:c r="R143" s="24"/>
      <x:c r="S143" s="24"/>
      <x:c r="T143" s="24"/>
      <x:c r="U143" s="24"/>
      <x:c r="V143" s="24"/>
      <x:c r="W143" s="24"/>
      <x:c r="X143" s="24"/>
      <x:c r="Y143" s="24"/>
      <x:c r="Z143" s="24"/>
    </x:row>
    <x:row r="144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  <x:c r="K144" s="24"/>
      <x:c r="L144" s="24"/>
      <x:c r="M144" s="24"/>
      <x:c r="N144" s="24"/>
      <x:c r="O144" s="24"/>
      <x:c r="P144" s="24"/>
      <x:c r="Q144" s="24"/>
      <x:c r="R144" s="24"/>
      <x:c r="S144" s="24"/>
      <x:c r="T144" s="24"/>
      <x:c r="U144" s="24"/>
      <x:c r="V144" s="24"/>
      <x:c r="W144" s="24"/>
      <x:c r="X144" s="24"/>
      <x:c r="Y144" s="24"/>
      <x:c r="Z144" s="24"/>
    </x:row>
    <x:row r="145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  <x:c r="K145" s="24"/>
      <x:c r="L145" s="24"/>
      <x:c r="M145" s="24"/>
      <x:c r="N145" s="24"/>
      <x:c r="O145" s="24"/>
      <x:c r="P145" s="24"/>
      <x:c r="Q145" s="24"/>
      <x:c r="R145" s="24"/>
      <x:c r="S145" s="24"/>
      <x:c r="T145" s="24"/>
      <x:c r="U145" s="24"/>
      <x:c r="V145" s="24"/>
      <x:c r="W145" s="24"/>
      <x:c r="X145" s="24"/>
      <x:c r="Y145" s="24"/>
      <x:c r="Z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  <x:c r="K146" s="24"/>
      <x:c r="L146" s="24"/>
      <x:c r="M146" s="24"/>
      <x:c r="N146" s="24"/>
      <x:c r="O146" s="24"/>
      <x:c r="P146" s="24"/>
      <x:c r="Q146" s="24"/>
      <x:c r="R146" s="24"/>
      <x:c r="S146" s="24"/>
      <x:c r="T146" s="24"/>
      <x:c r="U146" s="24"/>
      <x:c r="V146" s="24"/>
      <x:c r="W146" s="24"/>
      <x:c r="X146" s="24"/>
      <x:c r="Y146" s="24"/>
      <x:c r="Z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  <x:c r="K147" s="24"/>
      <x:c r="L147" s="24"/>
      <x:c r="M147" s="24"/>
      <x:c r="N147" s="24"/>
      <x:c r="O147" s="24"/>
      <x:c r="P147" s="24"/>
      <x:c r="Q147" s="24"/>
      <x:c r="R147" s="24"/>
      <x:c r="S147" s="24"/>
      <x:c r="T147" s="24"/>
      <x:c r="U147" s="24"/>
      <x:c r="V147" s="24"/>
      <x:c r="W147" s="24"/>
      <x:c r="X147" s="24"/>
      <x:c r="Y147" s="24"/>
      <x:c r="Z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  <x:c r="K148" s="24"/>
      <x:c r="L148" s="24"/>
      <x:c r="M148" s="24"/>
      <x:c r="N148" s="24"/>
      <x:c r="O148" s="24"/>
      <x:c r="P148" s="24"/>
      <x:c r="Q148" s="24"/>
      <x:c r="R148" s="24"/>
      <x:c r="S148" s="24"/>
      <x:c r="T148" s="24"/>
      <x:c r="U148" s="24"/>
      <x:c r="V148" s="24"/>
      <x:c r="W148" s="24"/>
      <x:c r="X148" s="24"/>
      <x:c r="Y148" s="24"/>
      <x:c r="Z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  <x:c r="K149" s="24"/>
      <x:c r="L149" s="24"/>
      <x:c r="M149" s="24"/>
      <x:c r="N149" s="24"/>
      <x:c r="O149" s="24"/>
      <x:c r="P149" s="24"/>
      <x:c r="Q149" s="24"/>
      <x:c r="R149" s="24"/>
      <x:c r="S149" s="24"/>
      <x:c r="T149" s="24"/>
      <x:c r="U149" s="24"/>
      <x:c r="V149" s="24"/>
      <x:c r="W149" s="24"/>
      <x:c r="X149" s="24"/>
      <x:c r="Y149" s="24"/>
      <x:c r="Z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  <x:c r="L150" s="24"/>
      <x:c r="M150" s="24"/>
      <x:c r="N150" s="24"/>
      <x:c r="O150" s="24"/>
      <x:c r="P150" s="24"/>
      <x:c r="Q150" s="24"/>
      <x:c r="R150" s="24"/>
      <x:c r="S150" s="24"/>
      <x:c r="T150" s="24"/>
      <x:c r="U150" s="24"/>
      <x:c r="V150" s="24"/>
      <x:c r="W150" s="24"/>
      <x:c r="X150" s="24"/>
      <x:c r="Y150" s="24"/>
      <x:c r="Z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  <x:c r="K151" s="24"/>
      <x:c r="L151" s="24"/>
      <x:c r="M151" s="24"/>
      <x:c r="N151" s="24"/>
      <x:c r="O151" s="24"/>
      <x:c r="P151" s="24"/>
      <x:c r="Q151" s="24"/>
      <x:c r="R151" s="24"/>
      <x:c r="S151" s="24"/>
      <x:c r="T151" s="24"/>
      <x:c r="U151" s="24"/>
      <x:c r="V151" s="24"/>
      <x:c r="W151" s="24"/>
      <x:c r="X151" s="24"/>
      <x:c r="Y151" s="24"/>
      <x:c r="Z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  <x:c r="K152" s="24"/>
      <x:c r="L152" s="24"/>
      <x:c r="M152" s="24"/>
      <x:c r="N152" s="24"/>
      <x:c r="O152" s="24"/>
      <x:c r="P152" s="24"/>
      <x:c r="Q152" s="24"/>
      <x:c r="R152" s="24"/>
      <x:c r="S152" s="24"/>
      <x:c r="T152" s="24"/>
      <x:c r="U152" s="24"/>
      <x:c r="V152" s="24"/>
      <x:c r="W152" s="24"/>
      <x:c r="X152" s="24"/>
      <x:c r="Y152" s="24"/>
      <x:c r="Z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  <x:c r="K153" s="24"/>
      <x:c r="L153" s="24"/>
      <x:c r="M153" s="24"/>
      <x:c r="N153" s="24"/>
      <x:c r="O153" s="24"/>
      <x:c r="P153" s="24"/>
      <x:c r="Q153" s="24"/>
      <x:c r="R153" s="24"/>
      <x:c r="S153" s="24"/>
      <x:c r="T153" s="24"/>
      <x:c r="U153" s="24"/>
      <x:c r="V153" s="24"/>
      <x:c r="W153" s="24"/>
      <x:c r="X153" s="24"/>
      <x:c r="Y153" s="24"/>
      <x:c r="Z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  <x:c r="K154" s="24"/>
      <x:c r="L154" s="24"/>
      <x:c r="M154" s="24"/>
      <x:c r="N154" s="24"/>
      <x:c r="O154" s="24"/>
      <x:c r="P154" s="24"/>
      <x:c r="Q154" s="24"/>
      <x:c r="R154" s="24"/>
      <x:c r="S154" s="24"/>
      <x:c r="T154" s="24"/>
      <x:c r="U154" s="24"/>
      <x:c r="V154" s="24"/>
      <x:c r="W154" s="24"/>
      <x:c r="X154" s="24"/>
      <x:c r="Y154" s="24"/>
      <x:c r="Z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  <x:c r="K155" s="24"/>
      <x:c r="L155" s="24"/>
      <x:c r="M155" s="24"/>
      <x:c r="N155" s="24"/>
      <x:c r="O155" s="24"/>
      <x:c r="P155" s="24"/>
      <x:c r="Q155" s="24"/>
      <x:c r="R155" s="24"/>
      <x:c r="S155" s="24"/>
      <x:c r="T155" s="24"/>
      <x:c r="U155" s="24"/>
      <x:c r="V155" s="24"/>
      <x:c r="W155" s="24"/>
      <x:c r="X155" s="24"/>
      <x:c r="Y155" s="24"/>
      <x:c r="Z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  <x:c r="K156" s="24"/>
      <x:c r="L156" s="24"/>
      <x:c r="M156" s="24"/>
      <x:c r="N156" s="24"/>
      <x:c r="O156" s="24"/>
      <x:c r="P156" s="24"/>
      <x:c r="Q156" s="24"/>
      <x:c r="R156" s="24"/>
      <x:c r="S156" s="24"/>
      <x:c r="T156" s="24"/>
      <x:c r="U156" s="24"/>
      <x:c r="V156" s="24"/>
      <x:c r="W156" s="24"/>
      <x:c r="X156" s="24"/>
      <x:c r="Y156" s="24"/>
      <x:c r="Z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  <x:c r="K157" s="24"/>
      <x:c r="L157" s="24"/>
      <x:c r="M157" s="24"/>
      <x:c r="N157" s="24"/>
      <x:c r="O157" s="24"/>
      <x:c r="P157" s="24"/>
      <x:c r="Q157" s="24"/>
      <x:c r="R157" s="24"/>
      <x:c r="S157" s="24"/>
      <x:c r="T157" s="24"/>
      <x:c r="U157" s="24"/>
      <x:c r="V157" s="24"/>
      <x:c r="W157" s="24"/>
      <x:c r="X157" s="24"/>
      <x:c r="Y157" s="24"/>
      <x:c r="Z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  <x:c r="K158" s="24"/>
      <x:c r="L158" s="24"/>
      <x:c r="M158" s="24"/>
      <x:c r="N158" s="24"/>
      <x:c r="O158" s="24"/>
      <x:c r="P158" s="24"/>
      <x:c r="Q158" s="24"/>
      <x:c r="R158" s="24"/>
      <x:c r="S158" s="24"/>
      <x:c r="T158" s="24"/>
      <x:c r="U158" s="24"/>
      <x:c r="V158" s="24"/>
      <x:c r="W158" s="24"/>
      <x:c r="X158" s="24"/>
      <x:c r="Y158" s="24"/>
      <x:c r="Z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  <x:c r="K159" s="24"/>
      <x:c r="L159" s="24"/>
      <x:c r="M159" s="24"/>
      <x:c r="N159" s="24"/>
      <x:c r="O159" s="24"/>
      <x:c r="P159" s="24"/>
      <x:c r="Q159" s="24"/>
      <x:c r="R159" s="24"/>
      <x:c r="S159" s="24"/>
      <x:c r="T159" s="24"/>
      <x:c r="U159" s="24"/>
      <x:c r="V159" s="24"/>
      <x:c r="W159" s="24"/>
      <x:c r="X159" s="24"/>
      <x:c r="Y159" s="24"/>
      <x:c r="Z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  <x:c r="K160" s="24"/>
      <x:c r="L160" s="24"/>
      <x:c r="M160" s="24"/>
      <x:c r="N160" s="24"/>
      <x:c r="O160" s="24"/>
      <x:c r="P160" s="24"/>
      <x:c r="Q160" s="24"/>
      <x:c r="R160" s="24"/>
      <x:c r="S160" s="24"/>
      <x:c r="T160" s="24"/>
      <x:c r="U160" s="24"/>
      <x:c r="V160" s="24"/>
      <x:c r="W160" s="24"/>
      <x:c r="X160" s="24"/>
      <x:c r="Y160" s="24"/>
      <x:c r="Z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  <x:c r="K161" s="24"/>
      <x:c r="L161" s="24"/>
      <x:c r="M161" s="24"/>
      <x:c r="N161" s="24"/>
      <x:c r="O161" s="24"/>
      <x:c r="P161" s="24"/>
      <x:c r="Q161" s="24"/>
      <x:c r="R161" s="24"/>
      <x:c r="S161" s="24"/>
      <x:c r="T161" s="24"/>
      <x:c r="U161" s="24"/>
      <x:c r="V161" s="24"/>
      <x:c r="W161" s="24"/>
      <x:c r="X161" s="24"/>
      <x:c r="Y161" s="24"/>
      <x:c r="Z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  <x:c r="K162" s="24"/>
      <x:c r="L162" s="24"/>
      <x:c r="M162" s="24"/>
      <x:c r="N162" s="24"/>
      <x:c r="O162" s="24"/>
      <x:c r="P162" s="24"/>
      <x:c r="Q162" s="24"/>
      <x:c r="R162" s="24"/>
      <x:c r="S162" s="24"/>
      <x:c r="T162" s="24"/>
      <x:c r="U162" s="24"/>
      <x:c r="V162" s="24"/>
      <x:c r="W162" s="24"/>
      <x:c r="X162" s="24"/>
      <x:c r="Y162" s="24"/>
      <x:c r="Z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  <x:c r="K163" s="24"/>
      <x:c r="L163" s="24"/>
      <x:c r="M163" s="24"/>
      <x:c r="N163" s="24"/>
      <x:c r="O163" s="24"/>
      <x:c r="P163" s="24"/>
      <x:c r="Q163" s="24"/>
      <x:c r="R163" s="24"/>
      <x:c r="S163" s="24"/>
      <x:c r="T163" s="24"/>
      <x:c r="U163" s="24"/>
      <x:c r="V163" s="24"/>
      <x:c r="W163" s="24"/>
      <x:c r="X163" s="24"/>
      <x:c r="Y163" s="24"/>
      <x:c r="Z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  <x:c r="K164" s="24"/>
      <x:c r="L164" s="24"/>
      <x:c r="M164" s="24"/>
      <x:c r="N164" s="24"/>
      <x:c r="O164" s="24"/>
      <x:c r="P164" s="24"/>
      <x:c r="Q164" s="24"/>
      <x:c r="R164" s="24"/>
      <x:c r="S164" s="24"/>
      <x:c r="T164" s="24"/>
      <x:c r="U164" s="24"/>
      <x:c r="V164" s="24"/>
      <x:c r="W164" s="24"/>
      <x:c r="X164" s="24"/>
      <x:c r="Y164" s="24"/>
      <x:c r="Z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  <x:c r="K165" s="24"/>
      <x:c r="L165" s="24"/>
      <x:c r="M165" s="24"/>
      <x:c r="N165" s="24"/>
      <x:c r="O165" s="24"/>
      <x:c r="P165" s="24"/>
      <x:c r="Q165" s="24"/>
      <x:c r="R165" s="24"/>
      <x:c r="S165" s="24"/>
      <x:c r="T165" s="24"/>
      <x:c r="U165" s="24"/>
      <x:c r="V165" s="24"/>
      <x:c r="W165" s="24"/>
      <x:c r="X165" s="24"/>
      <x:c r="Y165" s="24"/>
      <x:c r="Z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  <x:c r="K166" s="24"/>
      <x:c r="L166" s="24"/>
      <x:c r="M166" s="24"/>
      <x:c r="N166" s="24"/>
      <x:c r="O166" s="24"/>
      <x:c r="P166" s="24"/>
      <x:c r="Q166" s="24"/>
      <x:c r="R166" s="24"/>
      <x:c r="S166" s="24"/>
      <x:c r="T166" s="24"/>
      <x:c r="U166" s="24"/>
      <x:c r="V166" s="24"/>
      <x:c r="W166" s="24"/>
      <x:c r="X166" s="24"/>
      <x:c r="Y166" s="24"/>
      <x:c r="Z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  <x:c r="K167" s="24"/>
      <x:c r="L167" s="24"/>
      <x:c r="M167" s="24"/>
      <x:c r="N167" s="24"/>
      <x:c r="O167" s="24"/>
      <x:c r="P167" s="24"/>
      <x:c r="Q167" s="24"/>
      <x:c r="R167" s="24"/>
      <x:c r="S167" s="24"/>
      <x:c r="T167" s="24"/>
      <x:c r="U167" s="24"/>
      <x:c r="V167" s="24"/>
      <x:c r="W167" s="24"/>
      <x:c r="X167" s="24"/>
      <x:c r="Y167" s="24"/>
      <x:c r="Z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  <x:c r="K168" s="24"/>
      <x:c r="L168" s="24"/>
      <x:c r="M168" s="24"/>
      <x:c r="N168" s="24"/>
      <x:c r="O168" s="24"/>
      <x:c r="P168" s="24"/>
      <x:c r="Q168" s="24"/>
      <x:c r="R168" s="24"/>
      <x:c r="S168" s="24"/>
      <x:c r="T168" s="24"/>
      <x:c r="U168" s="24"/>
      <x:c r="V168" s="24"/>
      <x:c r="W168" s="24"/>
      <x:c r="X168" s="24"/>
      <x:c r="Y168" s="24"/>
      <x:c r="Z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  <x:c r="K169" s="24"/>
      <x:c r="L169" s="24"/>
      <x:c r="M169" s="24"/>
      <x:c r="N169" s="24"/>
      <x:c r="O169" s="24"/>
      <x:c r="P169" s="24"/>
      <x:c r="Q169" s="24"/>
      <x:c r="R169" s="24"/>
      <x:c r="S169" s="24"/>
      <x:c r="T169" s="24"/>
      <x:c r="U169" s="24"/>
      <x:c r="V169" s="24"/>
      <x:c r="W169" s="24"/>
      <x:c r="X169" s="24"/>
      <x:c r="Y169" s="24"/>
      <x:c r="Z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  <x:c r="K170" s="24"/>
      <x:c r="L170" s="24"/>
      <x:c r="M170" s="24"/>
      <x:c r="N170" s="24"/>
      <x:c r="O170" s="24"/>
      <x:c r="P170" s="24"/>
      <x:c r="Q170" s="24"/>
      <x:c r="R170" s="24"/>
      <x:c r="S170" s="24"/>
      <x:c r="T170" s="24"/>
      <x:c r="U170" s="24"/>
      <x:c r="V170" s="24"/>
      <x:c r="W170" s="24"/>
      <x:c r="X170" s="24"/>
      <x:c r="Y170" s="24"/>
      <x:c r="Z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  <x:c r="K171" s="24"/>
      <x:c r="L171" s="24"/>
      <x:c r="M171" s="24"/>
      <x:c r="N171" s="24"/>
      <x:c r="O171" s="24"/>
      <x:c r="P171" s="24"/>
      <x:c r="Q171" s="24"/>
      <x:c r="R171" s="24"/>
      <x:c r="S171" s="24"/>
      <x:c r="T171" s="24"/>
      <x:c r="U171" s="24"/>
      <x:c r="V171" s="24"/>
      <x:c r="W171" s="24"/>
      <x:c r="X171" s="24"/>
      <x:c r="Y171" s="24"/>
      <x:c r="Z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  <x:c r="K172" s="24"/>
      <x:c r="L172" s="24"/>
      <x:c r="M172" s="24"/>
      <x:c r="N172" s="24"/>
      <x:c r="O172" s="24"/>
      <x:c r="P172" s="24"/>
      <x:c r="Q172" s="24"/>
      <x:c r="R172" s="24"/>
      <x:c r="S172" s="24"/>
      <x:c r="T172" s="24"/>
      <x:c r="U172" s="24"/>
      <x:c r="V172" s="24"/>
      <x:c r="W172" s="24"/>
      <x:c r="X172" s="24"/>
      <x:c r="Y172" s="24"/>
      <x:c r="Z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  <x:c r="K173" s="24"/>
      <x:c r="L173" s="24"/>
      <x:c r="M173" s="24"/>
      <x:c r="N173" s="24"/>
      <x:c r="O173" s="24"/>
      <x:c r="P173" s="24"/>
      <x:c r="Q173" s="24"/>
      <x:c r="R173" s="24"/>
      <x:c r="S173" s="24"/>
      <x:c r="T173" s="24"/>
      <x:c r="U173" s="24"/>
      <x:c r="V173" s="24"/>
      <x:c r="W173" s="24"/>
      <x:c r="X173" s="24"/>
      <x:c r="Y173" s="24"/>
      <x:c r="Z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  <x:c r="K174" s="24"/>
      <x:c r="L174" s="24"/>
      <x:c r="M174" s="24"/>
      <x:c r="N174" s="24"/>
      <x:c r="O174" s="24"/>
      <x:c r="P174" s="24"/>
      <x:c r="Q174" s="24"/>
      <x:c r="R174" s="24"/>
      <x:c r="S174" s="24"/>
      <x:c r="T174" s="24"/>
      <x:c r="U174" s="24"/>
      <x:c r="V174" s="24"/>
      <x:c r="W174" s="24"/>
      <x:c r="X174" s="24"/>
      <x:c r="Y174" s="24"/>
      <x:c r="Z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  <x:c r="K175" s="24"/>
      <x:c r="L175" s="24"/>
      <x:c r="M175" s="24"/>
      <x:c r="N175" s="24"/>
      <x:c r="O175" s="24"/>
      <x:c r="P175" s="24"/>
      <x:c r="Q175" s="24"/>
      <x:c r="R175" s="24"/>
      <x:c r="S175" s="24"/>
      <x:c r="T175" s="24"/>
      <x:c r="U175" s="24"/>
      <x:c r="V175" s="24"/>
      <x:c r="W175" s="24"/>
      <x:c r="X175" s="24"/>
      <x:c r="Y175" s="24"/>
      <x:c r="Z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  <x:c r="K176" s="24"/>
      <x:c r="L176" s="24"/>
      <x:c r="M176" s="24"/>
      <x:c r="N176" s="24"/>
      <x:c r="O176" s="24"/>
      <x:c r="P176" s="24"/>
      <x:c r="Q176" s="24"/>
      <x:c r="R176" s="24"/>
      <x:c r="S176" s="24"/>
      <x:c r="T176" s="24"/>
      <x:c r="U176" s="24"/>
      <x:c r="V176" s="24"/>
      <x:c r="W176" s="24"/>
      <x:c r="X176" s="24"/>
      <x:c r="Y176" s="24"/>
      <x:c r="Z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  <x:c r="K177" s="24"/>
      <x:c r="L177" s="24"/>
      <x:c r="M177" s="24"/>
      <x:c r="N177" s="24"/>
      <x:c r="O177" s="24"/>
      <x:c r="P177" s="24"/>
      <x:c r="Q177" s="24"/>
      <x:c r="R177" s="24"/>
      <x:c r="S177" s="24"/>
      <x:c r="T177" s="24"/>
      <x:c r="U177" s="24"/>
      <x:c r="V177" s="24"/>
      <x:c r="W177" s="24"/>
      <x:c r="X177" s="24"/>
      <x:c r="Y177" s="24"/>
      <x:c r="Z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  <x:c r="K178" s="24"/>
      <x:c r="L178" s="24"/>
      <x:c r="M178" s="24"/>
      <x:c r="N178" s="24"/>
      <x:c r="O178" s="24"/>
      <x:c r="P178" s="24"/>
      <x:c r="Q178" s="24"/>
      <x:c r="R178" s="24"/>
      <x:c r="S178" s="24"/>
      <x:c r="T178" s="24"/>
      <x:c r="U178" s="24"/>
      <x:c r="V178" s="24"/>
      <x:c r="W178" s="24"/>
      <x:c r="X178" s="24"/>
      <x:c r="Y178" s="24"/>
      <x:c r="Z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  <x:c r="K179" s="24"/>
      <x:c r="L179" s="24"/>
      <x:c r="M179" s="24"/>
      <x:c r="N179" s="24"/>
      <x:c r="O179" s="24"/>
      <x:c r="P179" s="24"/>
      <x:c r="Q179" s="24"/>
      <x:c r="R179" s="24"/>
      <x:c r="S179" s="24"/>
      <x:c r="T179" s="24"/>
      <x:c r="U179" s="24"/>
      <x:c r="V179" s="24"/>
      <x:c r="W179" s="24"/>
      <x:c r="X179" s="24"/>
      <x:c r="Y179" s="24"/>
      <x:c r="Z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  <x:c r="K180" s="24"/>
      <x:c r="L180" s="24"/>
      <x:c r="M180" s="24"/>
      <x:c r="N180" s="24"/>
      <x:c r="O180" s="24"/>
      <x:c r="P180" s="24"/>
      <x:c r="Q180" s="24"/>
      <x:c r="R180" s="24"/>
      <x:c r="S180" s="24"/>
      <x:c r="T180" s="24"/>
      <x:c r="U180" s="24"/>
      <x:c r="V180" s="24"/>
      <x:c r="W180" s="24"/>
      <x:c r="X180" s="24"/>
      <x:c r="Y180" s="24"/>
      <x:c r="Z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  <x:c r="K181" s="24"/>
      <x:c r="L181" s="24"/>
      <x:c r="M181" s="24"/>
      <x:c r="N181" s="24"/>
      <x:c r="O181" s="24"/>
      <x:c r="P181" s="24"/>
      <x:c r="Q181" s="24"/>
      <x:c r="R181" s="24"/>
      <x:c r="S181" s="24"/>
      <x:c r="T181" s="24"/>
      <x:c r="U181" s="24"/>
      <x:c r="V181" s="24"/>
      <x:c r="W181" s="24"/>
      <x:c r="X181" s="24"/>
      <x:c r="Y181" s="24"/>
      <x:c r="Z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  <x:c r="K182" s="24"/>
      <x:c r="L182" s="24"/>
      <x:c r="M182" s="24"/>
      <x:c r="N182" s="24"/>
      <x:c r="O182" s="24"/>
      <x:c r="P182" s="24"/>
      <x:c r="Q182" s="24"/>
      <x:c r="R182" s="24"/>
      <x:c r="S182" s="24"/>
      <x:c r="T182" s="24"/>
      <x:c r="U182" s="24"/>
      <x:c r="V182" s="24"/>
      <x:c r="W182" s="24"/>
      <x:c r="X182" s="24"/>
      <x:c r="Y182" s="24"/>
      <x:c r="Z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  <x:c r="K183" s="24"/>
      <x:c r="L183" s="24"/>
      <x:c r="M183" s="24"/>
      <x:c r="N183" s="24"/>
      <x:c r="O183" s="24"/>
      <x:c r="P183" s="24"/>
      <x:c r="Q183" s="24"/>
      <x:c r="R183" s="24"/>
      <x:c r="S183" s="24"/>
      <x:c r="T183" s="24"/>
      <x:c r="U183" s="24"/>
      <x:c r="V183" s="24"/>
      <x:c r="W183" s="24"/>
      <x:c r="X183" s="24"/>
      <x:c r="Y183" s="24"/>
      <x:c r="Z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  <x:c r="K184" s="24"/>
      <x:c r="L184" s="24"/>
      <x:c r="M184" s="24"/>
      <x:c r="N184" s="24"/>
      <x:c r="O184" s="24"/>
      <x:c r="P184" s="24"/>
      <x:c r="Q184" s="24"/>
      <x:c r="R184" s="24"/>
      <x:c r="S184" s="24"/>
      <x:c r="T184" s="24"/>
      <x:c r="U184" s="24"/>
      <x:c r="V184" s="24"/>
      <x:c r="W184" s="24"/>
      <x:c r="X184" s="24"/>
      <x:c r="Y184" s="24"/>
      <x:c r="Z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  <x:c r="K185" s="24"/>
      <x:c r="L185" s="24"/>
      <x:c r="M185" s="24"/>
      <x:c r="N185" s="24"/>
      <x:c r="O185" s="24"/>
      <x:c r="P185" s="24"/>
      <x:c r="Q185" s="24"/>
      <x:c r="R185" s="24"/>
      <x:c r="S185" s="24"/>
      <x:c r="T185" s="24"/>
      <x:c r="U185" s="24"/>
      <x:c r="V185" s="24"/>
      <x:c r="W185" s="24"/>
      <x:c r="X185" s="24"/>
      <x:c r="Y185" s="24"/>
      <x:c r="Z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  <x:c r="K186" s="24"/>
      <x:c r="L186" s="24"/>
      <x:c r="M186" s="24"/>
      <x:c r="N186" s="24"/>
      <x:c r="O186" s="24"/>
      <x:c r="P186" s="24"/>
      <x:c r="Q186" s="24"/>
      <x:c r="R186" s="24"/>
      <x:c r="S186" s="24"/>
      <x:c r="T186" s="24"/>
      <x:c r="U186" s="24"/>
      <x:c r="V186" s="24"/>
      <x:c r="W186" s="24"/>
      <x:c r="X186" s="24"/>
      <x:c r="Y186" s="24"/>
      <x:c r="Z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  <x:c r="K187" s="24"/>
      <x:c r="L187" s="24"/>
      <x:c r="M187" s="24"/>
      <x:c r="N187" s="24"/>
      <x:c r="O187" s="24"/>
      <x:c r="P187" s="24"/>
      <x:c r="Q187" s="24"/>
      <x:c r="R187" s="24"/>
      <x:c r="S187" s="24"/>
      <x:c r="T187" s="24"/>
      <x:c r="U187" s="24"/>
      <x:c r="V187" s="24"/>
      <x:c r="W187" s="24"/>
      <x:c r="X187" s="24"/>
      <x:c r="Y187" s="24"/>
      <x:c r="Z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  <x:c r="K188" s="24"/>
      <x:c r="L188" s="24"/>
      <x:c r="M188" s="24"/>
      <x:c r="N188" s="24"/>
      <x:c r="O188" s="24"/>
      <x:c r="P188" s="24"/>
      <x:c r="Q188" s="24"/>
      <x:c r="R188" s="24"/>
      <x:c r="S188" s="24"/>
      <x:c r="T188" s="24"/>
      <x:c r="U188" s="24"/>
      <x:c r="V188" s="24"/>
      <x:c r="W188" s="24"/>
      <x:c r="X188" s="24"/>
      <x:c r="Y188" s="24"/>
      <x:c r="Z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  <x:c r="K189" s="24"/>
      <x:c r="L189" s="24"/>
      <x:c r="M189" s="24"/>
      <x:c r="N189" s="24"/>
      <x:c r="O189" s="24"/>
      <x:c r="P189" s="24"/>
      <x:c r="Q189" s="24"/>
      <x:c r="R189" s="24"/>
      <x:c r="S189" s="24"/>
      <x:c r="T189" s="24"/>
      <x:c r="U189" s="24"/>
      <x:c r="V189" s="24"/>
      <x:c r="W189" s="24"/>
      <x:c r="X189" s="24"/>
      <x:c r="Y189" s="24"/>
      <x:c r="Z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  <x:c r="K190" s="24"/>
      <x:c r="L190" s="24"/>
      <x:c r="M190" s="24"/>
      <x:c r="N190" s="24"/>
      <x:c r="O190" s="24"/>
      <x:c r="P190" s="24"/>
      <x:c r="Q190" s="24"/>
      <x:c r="R190" s="24"/>
      <x:c r="S190" s="24"/>
      <x:c r="T190" s="24"/>
      <x:c r="U190" s="24"/>
      <x:c r="V190" s="24"/>
      <x:c r="W190" s="24"/>
      <x:c r="X190" s="24"/>
      <x:c r="Y190" s="24"/>
      <x:c r="Z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  <x:c r="K191" s="24"/>
      <x:c r="L191" s="24"/>
      <x:c r="M191" s="24"/>
      <x:c r="N191" s="24"/>
      <x:c r="O191" s="24"/>
      <x:c r="P191" s="24"/>
      <x:c r="Q191" s="24"/>
      <x:c r="R191" s="24"/>
      <x:c r="S191" s="24"/>
      <x:c r="T191" s="24"/>
      <x:c r="U191" s="24"/>
      <x:c r="V191" s="24"/>
      <x:c r="W191" s="24"/>
      <x:c r="X191" s="24"/>
      <x:c r="Y191" s="24"/>
      <x:c r="Z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  <x:c r="K192" s="24"/>
      <x:c r="L192" s="24"/>
      <x:c r="M192" s="24"/>
      <x:c r="N192" s="24"/>
      <x:c r="O192" s="24"/>
      <x:c r="P192" s="24"/>
      <x:c r="Q192" s="24"/>
      <x:c r="R192" s="24"/>
      <x:c r="S192" s="24"/>
      <x:c r="T192" s="24"/>
      <x:c r="U192" s="24"/>
      <x:c r="V192" s="24"/>
      <x:c r="W192" s="24"/>
      <x:c r="X192" s="24"/>
      <x:c r="Y192" s="24"/>
      <x:c r="Z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  <x:c r="K193" s="24"/>
      <x:c r="L193" s="24"/>
      <x:c r="M193" s="24"/>
      <x:c r="N193" s="24"/>
      <x:c r="O193" s="24"/>
      <x:c r="P193" s="24"/>
      <x:c r="Q193" s="24"/>
      <x:c r="R193" s="24"/>
      <x:c r="S193" s="24"/>
      <x:c r="T193" s="24"/>
      <x:c r="U193" s="24"/>
      <x:c r="V193" s="24"/>
      <x:c r="W193" s="24"/>
      <x:c r="X193" s="24"/>
      <x:c r="Y193" s="24"/>
      <x:c r="Z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  <x:c r="K194" s="24"/>
      <x:c r="L194" s="24"/>
      <x:c r="M194" s="24"/>
      <x:c r="N194" s="24"/>
      <x:c r="O194" s="24"/>
      <x:c r="P194" s="24"/>
      <x:c r="Q194" s="24"/>
      <x:c r="R194" s="24"/>
      <x:c r="S194" s="24"/>
      <x:c r="T194" s="24"/>
      <x:c r="U194" s="24"/>
      <x:c r="V194" s="24"/>
      <x:c r="W194" s="24"/>
      <x:c r="X194" s="24"/>
      <x:c r="Y194" s="24"/>
      <x:c r="Z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  <x:c r="K195" s="24"/>
      <x:c r="L195" s="24"/>
      <x:c r="M195" s="24"/>
      <x:c r="N195" s="24"/>
      <x:c r="O195" s="24"/>
      <x:c r="P195" s="24"/>
      <x:c r="Q195" s="24"/>
      <x:c r="R195" s="24"/>
      <x:c r="S195" s="24"/>
      <x:c r="T195" s="24"/>
      <x:c r="U195" s="24"/>
      <x:c r="V195" s="24"/>
      <x:c r="W195" s="24"/>
      <x:c r="X195" s="24"/>
      <x:c r="Y195" s="24"/>
      <x:c r="Z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  <x:c r="K196" s="24"/>
      <x:c r="L196" s="24"/>
      <x:c r="M196" s="24"/>
      <x:c r="N196" s="24"/>
      <x:c r="O196" s="24"/>
      <x:c r="P196" s="24"/>
      <x:c r="Q196" s="24"/>
      <x:c r="R196" s="24"/>
      <x:c r="S196" s="24"/>
      <x:c r="T196" s="24"/>
      <x:c r="U196" s="24"/>
      <x:c r="V196" s="24"/>
      <x:c r="W196" s="24"/>
      <x:c r="X196" s="24"/>
      <x:c r="Y196" s="24"/>
      <x:c r="Z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  <x:c r="K197" s="24"/>
      <x:c r="L197" s="24"/>
      <x:c r="M197" s="24"/>
      <x:c r="N197" s="24"/>
      <x:c r="O197" s="24"/>
      <x:c r="P197" s="24"/>
      <x:c r="Q197" s="24"/>
      <x:c r="R197" s="24"/>
      <x:c r="S197" s="24"/>
      <x:c r="T197" s="24"/>
      <x:c r="U197" s="24"/>
      <x:c r="V197" s="24"/>
      <x:c r="W197" s="24"/>
      <x:c r="X197" s="24"/>
      <x:c r="Y197" s="24"/>
      <x:c r="Z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  <x:c r="K198" s="24"/>
      <x:c r="L198" s="24"/>
      <x:c r="M198" s="24"/>
      <x:c r="N198" s="24"/>
      <x:c r="O198" s="24"/>
      <x:c r="P198" s="24"/>
      <x:c r="Q198" s="24"/>
      <x:c r="R198" s="24"/>
      <x:c r="S198" s="24"/>
      <x:c r="T198" s="24"/>
      <x:c r="U198" s="24"/>
      <x:c r="V198" s="24"/>
      <x:c r="W198" s="24"/>
      <x:c r="X198" s="24"/>
      <x:c r="Y198" s="24"/>
      <x:c r="Z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  <x:c r="K199" s="24"/>
      <x:c r="L199" s="24"/>
      <x:c r="M199" s="24"/>
      <x:c r="N199" s="24"/>
      <x:c r="O199" s="24"/>
      <x:c r="P199" s="24"/>
      <x:c r="Q199" s="24"/>
      <x:c r="R199" s="24"/>
      <x:c r="S199" s="24"/>
      <x:c r="T199" s="24"/>
      <x:c r="U199" s="24"/>
      <x:c r="V199" s="24"/>
      <x:c r="W199" s="24"/>
      <x:c r="X199" s="24"/>
      <x:c r="Y199" s="24"/>
      <x:c r="Z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  <x:c r="K200" s="24"/>
      <x:c r="L200" s="24"/>
      <x:c r="M200" s="24"/>
      <x:c r="N200" s="24"/>
      <x:c r="O200" s="24"/>
      <x:c r="P200" s="24"/>
      <x:c r="Q200" s="24"/>
      <x:c r="R200" s="24"/>
      <x:c r="S200" s="24"/>
      <x:c r="T200" s="24"/>
      <x:c r="U200" s="24"/>
      <x:c r="V200" s="24"/>
      <x:c r="W200" s="24"/>
      <x:c r="X200" s="24"/>
      <x:c r="Y200" s="24"/>
      <x:c r="Z200" s="24"/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0" hidden="0" customWidth="1"/>
    <x:col min="3" max="3" width="32" hidden="0" customWidth="1"/>
    <x:col min="4" max="4" width="46" hidden="0" customWidth="1"/>
    <x:col min="5" max="5" width="30" hidden="0" customWidth="1"/>
    <x:col min="6" max="6" width="30" hidden="0" customWidth="1"/>
    <x:col min="7" max="7" width="12" hidden="0" customWidth="1"/>
  </x:cols>
  <x:sheetData>
    <x:row r="1">
      <x:c r="A1" s="22" t="str">
        <x:v>WATCHLIST — NEXT EVOLUTION CANDIDATES</x:v>
      </x:c>
      <x:c r="B1" s="22"/>
      <x:c r="C1" s="22"/>
      <x:c r="D1" s="22"/>
      <x:c r="E1" s="22"/>
      <x:c r="F1" s="22"/>
      <x:c r="G1" s="22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>
      <x:c r="A2" s="24"/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  <x:c r="R2" s="24"/>
      <x:c r="S2" s="24"/>
      <x:c r="T2" s="24"/>
      <x:c r="U2" s="24"/>
      <x:c r="V2" s="24"/>
      <x:c r="W2" s="24"/>
      <x:c r="X2" s="24"/>
      <x:c r="Y2" s="24"/>
      <x:c r="Z2" s="24"/>
    </x:row>
    <x:row r="3">
      <x:c r="A3" s="25" t="str">
        <x:v>Card</x:v>
      </x:c>
      <x:c r="B3" s="25" t="str">
        <x:v>Priority</x:v>
      </x:c>
      <x:c r="C3" s="25" t="str">
        <x:v>Role</x:v>
      </x:c>
      <x:c r="D3" s="25" t="str">
        <x:v>Why Consider</x:v>
      </x:c>
      <x:c r="E3" s="25" t="str">
        <x:v>Potential OUT</x:v>
      </x:c>
      <x:c r="F3" s="25" t="str">
        <x:v>Trigger</x:v>
      </x:c>
      <x:c r="G3" s="25" t="str">
        <x:v>Status</x:v>
      </x:c>
      <x:c r="H3" s="24"/>
      <x:c r="I3" s="24"/>
      <x:c r="J3" s="24"/>
      <x:c r="K3" s="24"/>
      <x:c r="L3" s="24"/>
      <x:c r="M3" s="24"/>
      <x:c r="N3" s="24"/>
      <x:c r="O3" s="24"/>
      <x:c r="P3" s="24"/>
      <x:c r="Q3" s="24"/>
      <x:c r="R3" s="24"/>
      <x:c r="S3" s="24"/>
      <x:c r="T3" s="24"/>
      <x:c r="U3" s="24"/>
      <x:c r="V3" s="24"/>
      <x:c r="W3" s="24"/>
      <x:c r="X3" s="24"/>
      <x:c r="Y3" s="24"/>
      <x:c r="Z3" s="24"/>
    </x:row>
    <x:row r="4">
      <x:c r="A4" s="84" t="str">
        <x:v>Lightning Greaves</x:v>
      </x:c>
      <x:c r="B4" s="84" t="str">
        <x:v>S</x:v>
      </x:c>
      <x:c r="C4" s="84" t="str">
        <x:v>7. Protection / Resilience</x:v>
      </x:c>
      <x:c r="D4" s="84" t="str">
        <x:v>Directly protects Lynde and enables haste</x:v>
      </x:c>
      <x:c r="E4" s="84" t="str">
        <x:v>Lowest-value generic support slot</x:v>
      </x:c>
      <x:c r="F4" s="84" t="str">
        <x:v>Repeated commander removal</x:v>
      </x:c>
      <x:c r="G4" s="84" t="str">
        <x:v>WATCH</x:v>
      </x:c>
      <x:c r="H4" s="24"/>
      <x:c r="I4" s="24"/>
      <x:c r="J4" s="24"/>
      <x:c r="K4" s="24"/>
      <x:c r="L4" s="24"/>
      <x:c r="M4" s="24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4"/>
      <x:c r="Z4" s="24"/>
    </x:row>
    <x:row r="5">
      <x:c r="A5" s="84" t="str">
        <x:v>Ashiok's Reaper</x:v>
      </x:c>
      <x:c r="B5" s="84" t="str">
        <x:v>A</x:v>
      </x:c>
      <x:c r="C5" s="84" t="str">
        <x:v>2. Draw / Card Advantage</x:v>
      </x:c>
      <x:c r="D5" s="84" t="str">
        <x:v>Converts sacrificed enchantments into cards</x:v>
      </x:c>
      <x:c r="E5" s="84" t="str">
        <x:v>Generic draw spell/utility</x:v>
      </x:c>
      <x:c r="F5" s="84" t="str">
        <x:v>Frequent sac loops</x:v>
      </x:c>
      <x:c r="G5" s="84" t="str">
        <x:v>WATCH</x:v>
      </x:c>
      <x:c r="H5" s="24"/>
      <x:c r="I5" s="24"/>
      <x:c r="J5" s="24"/>
      <x:c r="K5" s="24"/>
      <x:c r="L5" s="24"/>
      <x:c r="M5" s="24"/>
      <x:c r="N5" s="24"/>
      <x:c r="O5" s="24"/>
      <x:c r="P5" s="24"/>
      <x:c r="Q5" s="24"/>
      <x:c r="R5" s="24"/>
      <x:c r="S5" s="24"/>
      <x:c r="T5" s="24"/>
      <x:c r="U5" s="24"/>
      <x:c r="V5" s="24"/>
      <x:c r="W5" s="24"/>
      <x:c r="X5" s="24"/>
      <x:c r="Y5" s="24"/>
      <x:c r="Z5" s="24"/>
    </x:row>
    <x:row r="6">
      <x:c r="A6" s="84" t="str">
        <x:v>Wicked Visitor</x:v>
      </x:c>
      <x:c r="B6" s="84" t="str">
        <x:v>A</x:v>
      </x:c>
      <x:c r="C6" s="84" t="str">
        <x:v>8. Finishers / Thematic Bombs</x:v>
      </x:c>
      <x:c r="D6" s="84" t="str">
        <x:v>Enchantment-heavy deck benefits from death triggers</x:v>
      </x:c>
      <x:c r="E6" s="84" t="str">
        <x:v>Generic creature slot</x:v>
      </x:c>
      <x:c r="F6" s="84" t="str">
        <x:v>Board is repeatedly cleared</x:v>
      </x:c>
      <x:c r="G6" s="84" t="str">
        <x:v>WATCH</x:v>
      </x:c>
      <x:c r="H6" s="24"/>
      <x:c r="I6" s="24"/>
      <x:c r="J6" s="24"/>
      <x:c r="K6" s="24"/>
      <x:c r="L6" s="24"/>
      <x:c r="M6" s="24"/>
      <x:c r="N6" s="24"/>
      <x:c r="O6" s="24"/>
      <x:c r="P6" s="24"/>
      <x:c r="Q6" s="24"/>
      <x:c r="R6" s="24"/>
      <x:c r="S6" s="24"/>
      <x:c r="T6" s="24"/>
      <x:c r="U6" s="24"/>
      <x:c r="V6" s="24"/>
      <x:c r="W6" s="24"/>
      <x:c r="X6" s="24"/>
      <x:c r="Y6" s="24"/>
      <x:c r="Z6" s="24"/>
    </x:row>
    <x:row r="7">
      <x:c r="A7" s="84" t="str">
        <x:v>Counterspell</x:v>
      </x:c>
      <x:c r="B7" s="84" t="str">
        <x:v>A</x:v>
      </x:c>
      <x:c r="C7" s="84" t="str">
        <x:v>3. Removal / Board Control</x:v>
      </x:c>
      <x:c r="D7" s="84" t="str">
        <x:v>Cheap stack interaction fills a current hole</x:v>
      </x:c>
      <x:c r="E7" s="84" t="str">
        <x:v>Situational sorcery/utility slot</x:v>
      </x:c>
      <x:c r="F7" s="84" t="str">
        <x:v>Combo-heavy meta</x:v>
      </x:c>
      <x:c r="G7" s="84" t="str">
        <x:v>WATCH</x:v>
      </x:c>
      <x:c r="H7" s="24"/>
      <x:c r="I7" s="24"/>
      <x:c r="J7" s="24"/>
      <x:c r="K7" s="24"/>
      <x:c r="L7" s="24"/>
      <x:c r="M7" s="24"/>
      <x:c r="N7" s="24"/>
      <x:c r="O7" s="24"/>
      <x:c r="P7" s="24"/>
      <x:c r="Q7" s="24"/>
      <x:c r="R7" s="24"/>
      <x:c r="S7" s="24"/>
      <x:c r="T7" s="24"/>
      <x:c r="U7" s="24"/>
      <x:c r="V7" s="24"/>
      <x:c r="W7" s="24"/>
      <x:c r="X7" s="24"/>
      <x:c r="Y7" s="24"/>
      <x:c r="Z7" s="24"/>
    </x:row>
    <x:row r="8">
      <x:c r="A8" s="84" t="str">
        <x:v>Vandalblast</x:v>
      </x:c>
      <x:c r="B8" s="84" t="str">
        <x:v>B</x:v>
      </x:c>
      <x:c r="C8" s="84" t="str">
        <x:v>3. Removal / Board Control</x:v>
      </x:c>
      <x:c r="D8" s="84" t="str">
        <x:v>Efficient artifact answer</x:v>
      </x:c>
      <x:c r="E8" s="84" t="str">
        <x:v>Narrower interaction slot</x:v>
      </x:c>
      <x:c r="F8" s="84" t="str">
        <x:v>Artifact-heavy meta</x:v>
      </x:c>
      <x:c r="G8" s="84" t="str">
        <x:v>WATCH</x:v>
      </x:c>
      <x:c r="H8" s="24"/>
      <x:c r="I8" s="24"/>
      <x:c r="J8" s="24"/>
      <x:c r="K8" s="24"/>
      <x:c r="L8" s="24"/>
      <x:c r="M8" s="24"/>
      <x:c r="N8" s="24"/>
      <x:c r="O8" s="24"/>
      <x:c r="P8" s="24"/>
      <x:c r="Q8" s="24"/>
      <x:c r="R8" s="24"/>
      <x:c r="S8" s="24"/>
      <x:c r="T8" s="24"/>
      <x:c r="U8" s="24"/>
      <x:c r="V8" s="24"/>
      <x:c r="W8" s="24"/>
      <x:c r="X8" s="24"/>
      <x:c r="Y8" s="24"/>
      <x:c r="Z8" s="24"/>
    </x:row>
    <x:row r="9">
      <x:c r="A9" s="84" t="str">
        <x:v>Curse of the Pierced Heart</x:v>
      </x:c>
      <x:c r="B9" s="84" t="str">
        <x:v>B</x:v>
      </x:c>
      <x:c r="C9" s="84" t="str">
        <x:v>4. Curses — Core</x:v>
      </x:c>
      <x:c r="D9" s="84" t="str">
        <x:v>Adds thematic density and cheap Curse count</x:v>
      </x:c>
      <x:c r="E9" s="84" t="str">
        <x:v>Lowest-impact Curse/support</x:v>
      </x:c>
      <x:c r="F9" s="84" t="str">
        <x:v>Theme-first build</x:v>
      </x:c>
      <x:c r="G9" s="84" t="str">
        <x:v>OPTION</x:v>
      </x:c>
      <x:c r="H9" s="24"/>
      <x:c r="I9" s="24"/>
      <x:c r="J9" s="24"/>
      <x:c r="K9" s="24"/>
      <x:c r="L9" s="24"/>
      <x:c r="M9" s="24"/>
      <x:c r="N9" s="24"/>
      <x:c r="O9" s="24"/>
      <x:c r="P9" s="24"/>
      <x:c r="Q9" s="24"/>
      <x:c r="R9" s="24"/>
      <x:c r="S9" s="24"/>
      <x:c r="T9" s="24"/>
      <x:c r="U9" s="24"/>
      <x:c r="V9" s="24"/>
      <x:c r="W9" s="24"/>
      <x:c r="X9" s="24"/>
      <x:c r="Y9" s="24"/>
      <x:c r="Z9" s="24"/>
    </x:row>
    <x:row r="10">
      <x:c r="A10" s="84" t="str">
        <x:v>Demon of Fate's Design</x:v>
      </x:c>
      <x:c r="B10" s="84" t="str">
        <x:v>B</x:v>
      </x:c>
      <x:c r="C10" s="84" t="str">
        <x:v>5. Curse Engines / Enchantment Support</x:v>
      </x:c>
      <x:c r="D10" s="84" t="str">
        <x:v>Late-game mana sink and enchantment synergy</x:v>
      </x:c>
      <x:c r="E10" s="84" t="str">
        <x:v>Generic high-cost card</x:v>
      </x:c>
      <x:c r="F10" s="84" t="str">
        <x:v>Longer games</x:v>
      </x:c>
      <x:c r="G10" s="84" t="str">
        <x:v>OPTION</x:v>
      </x:c>
      <x:c r="H10" s="24"/>
      <x:c r="I10" s="24"/>
      <x:c r="J10" s="24"/>
      <x:c r="K10" s="24"/>
      <x:c r="L10" s="24"/>
      <x:c r="M10" s="24"/>
      <x:c r="N10" s="24"/>
      <x:c r="O10" s="24"/>
      <x:c r="P10" s="24"/>
      <x:c r="Q10" s="24"/>
      <x:c r="R10" s="24"/>
      <x:c r="S10" s="24"/>
      <x:c r="T10" s="24"/>
      <x:c r="U10" s="24"/>
      <x:c r="V10" s="24"/>
      <x:c r="W10" s="24"/>
      <x:c r="X10" s="24"/>
      <x:c r="Y10" s="24"/>
      <x:c r="Z10" s="24"/>
    </x:row>
    <x:row r="11">
      <x:c r="A11" s="84" t="str">
        <x:v>Sphinx of the Second Sun</x:v>
      </x:c>
      <x:c r="B11" s="84" t="str">
        <x:v>B</x:v>
      </x:c>
      <x:c r="C11" s="84" t="str">
        <x:v>5. Curse Engines / Enchantment Support</x:v>
      </x:c>
      <x:c r="D11" s="84" t="str">
        <x:v>Additional upkeep/value engine</x:v>
      </x:c>
      <x:c r="E11" s="84" t="str">
        <x:v>High-cost support slot</x:v>
      </x:c>
      <x:c r="F11" s="84" t="str">
        <x:v>Value-oriented pod</x:v>
      </x:c>
      <x:c r="G11" s="84" t="str">
        <x:v>OPTION</x:v>
      </x:c>
      <x:c r="H11" s="24"/>
      <x:c r="I11" s="24"/>
      <x:c r="J11" s="24"/>
      <x:c r="K11" s="24"/>
      <x:c r="L11" s="24"/>
      <x:c r="M11" s="24"/>
      <x:c r="N11" s="24"/>
      <x:c r="O11" s="24"/>
      <x:c r="P11" s="24"/>
      <x:c r="Q11" s="24"/>
      <x:c r="R11" s="24"/>
      <x:c r="S11" s="24"/>
      <x:c r="T11" s="24"/>
      <x:c r="U11" s="24"/>
      <x:c r="V11" s="24"/>
      <x:c r="W11" s="24"/>
      <x:c r="X11" s="24"/>
      <x:c r="Y11" s="24"/>
      <x:c r="Z11" s="24"/>
    </x:row>
    <x:row r="12">
      <x:c r="A12" s="24"/>
      <x:c r="B12" s="24"/>
      <x:c r="C12" s="24"/>
      <x:c r="D12" s="24"/>
      <x:c r="E12" s="24"/>
      <x:c r="F12" s="24"/>
      <x:c r="G12" s="24"/>
      <x:c r="H12" s="24"/>
      <x:c r="I12" s="24"/>
      <x:c r="J12" s="24"/>
      <x:c r="K12" s="24"/>
      <x:c r="L12" s="24"/>
      <x:c r="M12" s="24"/>
      <x:c r="N12" s="24"/>
      <x:c r="O12" s="24"/>
      <x:c r="P12" s="24"/>
      <x:c r="Q12" s="24"/>
      <x:c r="R12" s="24"/>
      <x:c r="S12" s="24"/>
      <x:c r="T12" s="24"/>
      <x:c r="U12" s="24"/>
      <x:c r="V12" s="24"/>
      <x:c r="W12" s="24"/>
      <x:c r="X12" s="24"/>
      <x:c r="Y12" s="24"/>
      <x:c r="Z12" s="24"/>
    </x:row>
    <x:row r="13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  <x:c r="L13" s="24"/>
      <x:c r="M13" s="24"/>
      <x:c r="N13" s="24"/>
      <x:c r="O13" s="24"/>
      <x:c r="P13" s="24"/>
      <x:c r="Q13" s="24"/>
      <x:c r="R13" s="24"/>
      <x:c r="S13" s="24"/>
      <x:c r="T13" s="24"/>
      <x:c r="U13" s="24"/>
      <x:c r="V13" s="24"/>
      <x:c r="W13" s="24"/>
      <x:c r="X13" s="24"/>
      <x:c r="Y13" s="24"/>
      <x:c r="Z13" s="24"/>
    </x:row>
    <x:row r="14">
      <x:c r="A14" s="24"/>
      <x:c r="B14" s="24"/>
      <x:c r="C14" s="24"/>
      <x:c r="D14" s="24"/>
      <x:c r="E14" s="24"/>
      <x:c r="F14" s="24"/>
      <x:c r="G14" s="24"/>
      <x:c r="H14" s="24"/>
      <x:c r="I14" s="24"/>
      <x:c r="J14" s="24"/>
      <x:c r="K14" s="24"/>
      <x:c r="L14" s="24"/>
      <x:c r="M14" s="24"/>
      <x:c r="N14" s="24"/>
      <x:c r="O14" s="24"/>
      <x:c r="P14" s="24"/>
      <x:c r="Q14" s="24"/>
      <x:c r="R14" s="24"/>
      <x:c r="S14" s="24"/>
      <x:c r="T14" s="24"/>
      <x:c r="U14" s="24"/>
      <x:c r="V14" s="24"/>
      <x:c r="W14" s="24"/>
      <x:c r="X14" s="24"/>
      <x:c r="Y14" s="24"/>
      <x:c r="Z14" s="24"/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  <x:c r="K15" s="24"/>
      <x:c r="L15" s="24"/>
      <x:c r="M15" s="24"/>
      <x:c r="N15" s="24"/>
      <x:c r="O15" s="24"/>
      <x:c r="P15" s="24"/>
      <x:c r="Q15" s="24"/>
      <x:c r="R15" s="24"/>
      <x:c r="S15" s="24"/>
      <x:c r="T15" s="24"/>
      <x:c r="U15" s="24"/>
      <x:c r="V15" s="24"/>
      <x:c r="W15" s="24"/>
      <x:c r="X15" s="24"/>
      <x:c r="Y15" s="24"/>
      <x:c r="Z15" s="24"/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  <x:c r="K16" s="24"/>
      <x:c r="L16" s="24"/>
      <x:c r="M16" s="24"/>
      <x:c r="N16" s="24"/>
      <x:c r="O16" s="24"/>
      <x:c r="P16" s="24"/>
      <x:c r="Q16" s="24"/>
      <x:c r="R16" s="24"/>
      <x:c r="S16" s="24"/>
      <x:c r="T16" s="24"/>
      <x:c r="U16" s="24"/>
      <x:c r="V16" s="24"/>
      <x:c r="W16" s="24"/>
      <x:c r="X16" s="24"/>
      <x:c r="Y16" s="24"/>
      <x:c r="Z16" s="24"/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  <x:c r="K17" s="24"/>
      <x:c r="L17" s="24"/>
      <x:c r="M17" s="24"/>
      <x:c r="N17" s="24"/>
      <x:c r="O17" s="24"/>
      <x:c r="P17" s="24"/>
      <x:c r="Q17" s="24"/>
      <x:c r="R17" s="24"/>
      <x:c r="S17" s="24"/>
      <x:c r="T17" s="24"/>
      <x:c r="U17" s="24"/>
      <x:c r="V17" s="24"/>
      <x:c r="W17" s="24"/>
      <x:c r="X17" s="24"/>
      <x:c r="Y17" s="24"/>
      <x:c r="Z17" s="24"/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  <x:c r="L18" s="24"/>
      <x:c r="M18" s="24"/>
      <x:c r="N18" s="24"/>
      <x:c r="O18" s="24"/>
      <x:c r="P18" s="24"/>
      <x:c r="Q18" s="24"/>
      <x:c r="R18" s="24"/>
      <x:c r="S18" s="24"/>
      <x:c r="T18" s="24"/>
      <x:c r="U18" s="24"/>
      <x:c r="V18" s="24"/>
      <x:c r="W18" s="24"/>
      <x:c r="X18" s="24"/>
      <x:c r="Y18" s="24"/>
      <x:c r="Z18" s="24"/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  <x:c r="L19" s="24"/>
      <x:c r="M19" s="24"/>
      <x:c r="N19" s="24"/>
      <x:c r="O19" s="24"/>
      <x:c r="P19" s="24"/>
      <x:c r="Q19" s="24"/>
      <x:c r="R19" s="24"/>
      <x:c r="S19" s="24"/>
      <x:c r="T19" s="24"/>
      <x:c r="U19" s="24"/>
      <x:c r="V19" s="24"/>
      <x:c r="W19" s="24"/>
      <x:c r="X19" s="24"/>
      <x:c r="Y19" s="24"/>
      <x:c r="Z19" s="24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  <x:c r="L20" s="24"/>
      <x:c r="M20" s="24"/>
      <x:c r="N20" s="24"/>
      <x:c r="O20" s="24"/>
      <x:c r="P20" s="24"/>
      <x:c r="Q20" s="24"/>
      <x:c r="R20" s="24"/>
      <x:c r="S20" s="24"/>
      <x:c r="T20" s="24"/>
      <x:c r="U20" s="24"/>
      <x:c r="V20" s="24"/>
      <x:c r="W20" s="24"/>
      <x:c r="X20" s="24"/>
      <x:c r="Y20" s="24"/>
      <x:c r="Z20" s="24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  <x:c r="K21" s="24"/>
      <x:c r="L21" s="24"/>
      <x:c r="M21" s="24"/>
      <x:c r="N21" s="24"/>
      <x:c r="O21" s="24"/>
      <x:c r="P21" s="24"/>
      <x:c r="Q21" s="24"/>
      <x:c r="R21" s="24"/>
      <x:c r="S21" s="24"/>
      <x:c r="T21" s="24"/>
      <x:c r="U21" s="24"/>
      <x:c r="V21" s="24"/>
      <x:c r="W21" s="24"/>
      <x:c r="X21" s="24"/>
      <x:c r="Y21" s="24"/>
      <x:c r="Z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  <x:c r="L22" s="24"/>
      <x:c r="M22" s="24"/>
      <x:c r="N22" s="24"/>
      <x:c r="O22" s="24"/>
      <x:c r="P22" s="24"/>
      <x:c r="Q22" s="24"/>
      <x:c r="R22" s="24"/>
      <x:c r="S22" s="24"/>
      <x:c r="T22" s="24"/>
      <x:c r="U22" s="24"/>
      <x:c r="V22" s="24"/>
      <x:c r="W22" s="24"/>
      <x:c r="X22" s="24"/>
      <x:c r="Y22" s="24"/>
      <x:c r="Z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  <x:c r="L23" s="24"/>
      <x:c r="M23" s="24"/>
      <x:c r="N23" s="24"/>
      <x:c r="O23" s="24"/>
      <x:c r="P23" s="24"/>
      <x:c r="Q23" s="24"/>
      <x:c r="R23" s="24"/>
      <x:c r="S23" s="24"/>
      <x:c r="T23" s="24"/>
      <x:c r="U23" s="24"/>
      <x:c r="V23" s="24"/>
      <x:c r="W23" s="24"/>
      <x:c r="X23" s="24"/>
      <x:c r="Y23" s="24"/>
      <x:c r="Z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  <x:c r="L24" s="24"/>
      <x:c r="M24" s="24"/>
      <x:c r="N24" s="24"/>
      <x:c r="O24" s="24"/>
      <x:c r="P24" s="24"/>
      <x:c r="Q24" s="24"/>
      <x:c r="R24" s="24"/>
      <x:c r="S24" s="24"/>
      <x:c r="T24" s="24"/>
      <x:c r="U24" s="24"/>
      <x:c r="V24" s="24"/>
      <x:c r="W24" s="24"/>
      <x:c r="X24" s="24"/>
      <x:c r="Y24" s="24"/>
      <x:c r="Z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  <x:c r="K25" s="24"/>
      <x:c r="L25" s="24"/>
      <x:c r="M25" s="24"/>
      <x:c r="N25" s="24"/>
      <x:c r="O25" s="24"/>
      <x:c r="P25" s="24"/>
      <x:c r="Q25" s="24"/>
      <x:c r="R25" s="24"/>
      <x:c r="S25" s="24"/>
      <x:c r="T25" s="24"/>
      <x:c r="U25" s="24"/>
      <x:c r="V25" s="24"/>
      <x:c r="W25" s="24"/>
      <x:c r="X25" s="24"/>
      <x:c r="Y25" s="24"/>
      <x:c r="Z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  <x:c r="L26" s="24"/>
      <x:c r="M26" s="24"/>
      <x:c r="N26" s="24"/>
      <x:c r="O26" s="24"/>
      <x:c r="P26" s="24"/>
      <x:c r="Q26" s="24"/>
      <x:c r="R26" s="24"/>
      <x:c r="S26" s="24"/>
      <x:c r="T26" s="24"/>
      <x:c r="U26" s="24"/>
      <x:c r="V26" s="24"/>
      <x:c r="W26" s="24"/>
      <x:c r="X26" s="24"/>
      <x:c r="Y26" s="24"/>
      <x:c r="Z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  <x:c r="K27" s="24"/>
      <x:c r="L27" s="24"/>
      <x:c r="M27" s="24"/>
      <x:c r="N27" s="24"/>
      <x:c r="O27" s="24"/>
      <x:c r="P27" s="24"/>
      <x:c r="Q27" s="24"/>
      <x:c r="R27" s="24"/>
      <x:c r="S27" s="24"/>
      <x:c r="T27" s="24"/>
      <x:c r="U27" s="24"/>
      <x:c r="V27" s="24"/>
      <x:c r="W27" s="24"/>
      <x:c r="X27" s="24"/>
      <x:c r="Y27" s="24"/>
      <x:c r="Z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  <x:c r="K28" s="24"/>
      <x:c r="L28" s="24"/>
      <x:c r="M28" s="24"/>
      <x:c r="N28" s="24"/>
      <x:c r="O28" s="24"/>
      <x:c r="P28" s="24"/>
      <x:c r="Q28" s="24"/>
      <x:c r="R28" s="24"/>
      <x:c r="S28" s="24"/>
      <x:c r="T28" s="24"/>
      <x:c r="U28" s="24"/>
      <x:c r="V28" s="24"/>
      <x:c r="W28" s="24"/>
      <x:c r="X28" s="24"/>
      <x:c r="Y28" s="24"/>
      <x:c r="Z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  <x:c r="K29" s="24"/>
      <x:c r="L29" s="24"/>
      <x:c r="M29" s="24"/>
      <x:c r="N29" s="24"/>
      <x:c r="O29" s="24"/>
      <x:c r="P29" s="24"/>
      <x:c r="Q29" s="24"/>
      <x:c r="R29" s="24"/>
      <x:c r="S29" s="24"/>
      <x:c r="T29" s="24"/>
      <x:c r="U29" s="24"/>
      <x:c r="V29" s="24"/>
      <x:c r="W29" s="24"/>
      <x:c r="X29" s="24"/>
      <x:c r="Y29" s="24"/>
      <x:c r="Z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  <x:c r="K30" s="24"/>
      <x:c r="L30" s="24"/>
      <x:c r="M30" s="24"/>
      <x:c r="N30" s="24"/>
      <x:c r="O30" s="24"/>
      <x:c r="P30" s="24"/>
      <x:c r="Q30" s="24"/>
      <x:c r="R30" s="24"/>
      <x:c r="S30" s="24"/>
      <x:c r="T30" s="24"/>
      <x:c r="U30" s="24"/>
      <x:c r="V30" s="24"/>
      <x:c r="W30" s="24"/>
      <x:c r="X30" s="24"/>
      <x:c r="Y30" s="24"/>
      <x:c r="Z30" s="24"/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  <x:c r="K31" s="24"/>
      <x:c r="L31" s="24"/>
      <x:c r="M31" s="24"/>
      <x:c r="N31" s="24"/>
      <x:c r="O31" s="24"/>
      <x:c r="P31" s="24"/>
      <x:c r="Q31" s="24"/>
      <x:c r="R31" s="24"/>
      <x:c r="S31" s="24"/>
      <x:c r="T31" s="24"/>
      <x:c r="U31" s="24"/>
      <x:c r="V31" s="24"/>
      <x:c r="W31" s="24"/>
      <x:c r="X31" s="24"/>
      <x:c r="Y31" s="24"/>
      <x:c r="Z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  <x:c r="K32" s="24"/>
      <x:c r="L32" s="24"/>
      <x:c r="M32" s="24"/>
      <x:c r="N32" s="24"/>
      <x:c r="O32" s="24"/>
      <x:c r="P32" s="24"/>
      <x:c r="Q32" s="24"/>
      <x:c r="R32" s="24"/>
      <x:c r="S32" s="24"/>
      <x:c r="T32" s="24"/>
      <x:c r="U32" s="24"/>
      <x:c r="V32" s="24"/>
      <x:c r="W32" s="24"/>
      <x:c r="X32" s="24"/>
      <x:c r="Y32" s="24"/>
      <x:c r="Z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  <x:c r="L33" s="24"/>
      <x:c r="M33" s="24"/>
      <x:c r="N33" s="24"/>
      <x:c r="O33" s="24"/>
      <x:c r="P33" s="24"/>
      <x:c r="Q33" s="24"/>
      <x:c r="R33" s="24"/>
      <x:c r="S33" s="24"/>
      <x:c r="T33" s="24"/>
      <x:c r="U33" s="24"/>
      <x:c r="V33" s="24"/>
      <x:c r="W33" s="24"/>
      <x:c r="X33" s="24"/>
      <x:c r="Y33" s="24"/>
      <x:c r="Z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  <x:c r="K34" s="24"/>
      <x:c r="L34" s="24"/>
      <x:c r="M34" s="24"/>
      <x:c r="N34" s="24"/>
      <x:c r="O34" s="24"/>
      <x:c r="P34" s="24"/>
      <x:c r="Q34" s="24"/>
      <x:c r="R34" s="24"/>
      <x:c r="S34" s="24"/>
      <x:c r="T34" s="24"/>
      <x:c r="U34" s="24"/>
      <x:c r="V34" s="24"/>
      <x:c r="W34" s="24"/>
      <x:c r="X34" s="24"/>
      <x:c r="Y34" s="24"/>
      <x:c r="Z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  <x:c r="L35" s="24"/>
      <x:c r="M35" s="24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4"/>
      <x:c r="Z35" s="24"/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  <x:c r="K36" s="24"/>
      <x:c r="L36" s="24"/>
      <x:c r="M36" s="24"/>
      <x:c r="N36" s="24"/>
      <x:c r="O36" s="24"/>
      <x:c r="P36" s="24"/>
      <x:c r="Q36" s="24"/>
      <x:c r="R36" s="24"/>
      <x:c r="S36" s="24"/>
      <x:c r="T36" s="24"/>
      <x:c r="U36" s="24"/>
      <x:c r="V36" s="24"/>
      <x:c r="W36" s="24"/>
      <x:c r="X36" s="24"/>
      <x:c r="Y36" s="24"/>
      <x:c r="Z36" s="24"/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  <x:c r="L37" s="24"/>
      <x:c r="M37" s="24"/>
      <x:c r="N37" s="24"/>
      <x:c r="O37" s="24"/>
      <x:c r="P37" s="24"/>
      <x:c r="Q37" s="24"/>
      <x:c r="R37" s="24"/>
      <x:c r="S37" s="24"/>
      <x:c r="T37" s="24"/>
      <x:c r="U37" s="24"/>
      <x:c r="V37" s="24"/>
      <x:c r="W37" s="24"/>
      <x:c r="X37" s="24"/>
      <x:c r="Y37" s="24"/>
      <x:c r="Z37" s="24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  <x:c r="K38" s="24"/>
      <x:c r="L38" s="24"/>
      <x:c r="M38" s="24"/>
      <x:c r="N38" s="24"/>
      <x:c r="O38" s="24"/>
      <x:c r="P38" s="24"/>
      <x:c r="Q38" s="24"/>
      <x:c r="R38" s="24"/>
      <x:c r="S38" s="24"/>
      <x:c r="T38" s="24"/>
      <x:c r="U38" s="24"/>
      <x:c r="V38" s="24"/>
      <x:c r="W38" s="24"/>
      <x:c r="X38" s="24"/>
      <x:c r="Y38" s="24"/>
      <x:c r="Z38" s="24"/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  <x:c r="K39" s="24"/>
      <x:c r="L39" s="24"/>
      <x:c r="M39" s="24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4"/>
      <x:c r="Z39" s="24"/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  <x:c r="L40" s="24"/>
      <x:c r="M40" s="24"/>
      <x:c r="N40" s="24"/>
      <x:c r="O40" s="24"/>
      <x:c r="P40" s="24"/>
      <x:c r="Q40" s="24"/>
      <x:c r="R40" s="24"/>
      <x:c r="S40" s="24"/>
      <x:c r="T40" s="24"/>
      <x:c r="U40" s="24"/>
      <x:c r="V40" s="24"/>
      <x:c r="W40" s="24"/>
      <x:c r="X40" s="24"/>
      <x:c r="Y40" s="24"/>
      <x:c r="Z40" s="24"/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  <x:c r="K41" s="24"/>
      <x:c r="L41" s="24"/>
      <x:c r="M41" s="24"/>
      <x:c r="N41" s="24"/>
      <x:c r="O41" s="24"/>
      <x:c r="P41" s="24"/>
      <x:c r="Q41" s="24"/>
      <x:c r="R41" s="24"/>
      <x:c r="S41" s="24"/>
      <x:c r="T41" s="24"/>
      <x:c r="U41" s="24"/>
      <x:c r="V41" s="24"/>
      <x:c r="W41" s="24"/>
      <x:c r="X41" s="24"/>
      <x:c r="Y41" s="24"/>
      <x:c r="Z41" s="24"/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  <x:c r="L42" s="24"/>
      <x:c r="M42" s="24"/>
      <x:c r="N42" s="24"/>
      <x:c r="O42" s="24"/>
      <x:c r="P42" s="24"/>
      <x:c r="Q42" s="24"/>
      <x:c r="R42" s="24"/>
      <x:c r="S42" s="24"/>
      <x:c r="T42" s="24"/>
      <x:c r="U42" s="24"/>
      <x:c r="V42" s="24"/>
      <x:c r="W42" s="24"/>
      <x:c r="X42" s="24"/>
      <x:c r="Y42" s="24"/>
      <x:c r="Z42" s="24"/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  <x:c r="L43" s="24"/>
      <x:c r="M43" s="24"/>
      <x:c r="N43" s="24"/>
      <x:c r="O43" s="24"/>
      <x:c r="P43" s="24"/>
      <x:c r="Q43" s="24"/>
      <x:c r="R43" s="24"/>
      <x:c r="S43" s="24"/>
      <x:c r="T43" s="24"/>
      <x:c r="U43" s="24"/>
      <x:c r="V43" s="24"/>
      <x:c r="W43" s="24"/>
      <x:c r="X43" s="24"/>
      <x:c r="Y43" s="24"/>
      <x:c r="Z43" s="24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  <x:c r="L44" s="24"/>
      <x:c r="M44" s="24"/>
      <x:c r="N44" s="24"/>
      <x:c r="O44" s="24"/>
      <x:c r="P44" s="24"/>
      <x:c r="Q44" s="24"/>
      <x:c r="R44" s="24"/>
      <x:c r="S44" s="24"/>
      <x:c r="T44" s="24"/>
      <x:c r="U44" s="24"/>
      <x:c r="V44" s="24"/>
      <x:c r="W44" s="24"/>
      <x:c r="X44" s="24"/>
      <x:c r="Y44" s="24"/>
      <x:c r="Z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  <x:c r="L45" s="24"/>
      <x:c r="M45" s="24"/>
      <x:c r="N45" s="24"/>
      <x:c r="O45" s="24"/>
      <x:c r="P45" s="24"/>
      <x:c r="Q45" s="24"/>
      <x:c r="R45" s="24"/>
      <x:c r="S45" s="24"/>
      <x:c r="T45" s="24"/>
      <x:c r="U45" s="24"/>
      <x:c r="V45" s="24"/>
      <x:c r="W45" s="24"/>
      <x:c r="X45" s="24"/>
      <x:c r="Y45" s="24"/>
      <x:c r="Z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  <x:c r="L46" s="24"/>
      <x:c r="M46" s="24"/>
      <x:c r="N46" s="24"/>
      <x:c r="O46" s="24"/>
      <x:c r="P46" s="24"/>
      <x:c r="Q46" s="24"/>
      <x:c r="R46" s="24"/>
      <x:c r="S46" s="24"/>
      <x:c r="T46" s="24"/>
      <x:c r="U46" s="24"/>
      <x:c r="V46" s="24"/>
      <x:c r="W46" s="24"/>
      <x:c r="X46" s="24"/>
      <x:c r="Y46" s="24"/>
      <x:c r="Z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  <x:c r="L47" s="24"/>
      <x:c r="M47" s="24"/>
      <x:c r="N47" s="24"/>
      <x:c r="O47" s="24"/>
      <x:c r="P47" s="24"/>
      <x:c r="Q47" s="24"/>
      <x:c r="R47" s="24"/>
      <x:c r="S47" s="24"/>
      <x:c r="T47" s="24"/>
      <x:c r="U47" s="24"/>
      <x:c r="V47" s="24"/>
      <x:c r="W47" s="24"/>
      <x:c r="X47" s="24"/>
      <x:c r="Y47" s="24"/>
      <x:c r="Z47" s="24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  <x:c r="L48" s="24"/>
      <x:c r="M48" s="24"/>
      <x:c r="N48" s="24"/>
      <x:c r="O48" s="24"/>
      <x:c r="P48" s="24"/>
      <x:c r="Q48" s="24"/>
      <x:c r="R48" s="24"/>
      <x:c r="S48" s="24"/>
      <x:c r="T48" s="24"/>
      <x:c r="U48" s="24"/>
      <x:c r="V48" s="24"/>
      <x:c r="W48" s="24"/>
      <x:c r="X48" s="24"/>
      <x:c r="Y48" s="24"/>
      <x:c r="Z48" s="24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  <x:c r="L49" s="24"/>
      <x:c r="M49" s="24"/>
      <x:c r="N49" s="24"/>
      <x:c r="O49" s="24"/>
      <x:c r="P49" s="24"/>
      <x:c r="Q49" s="24"/>
      <x:c r="R49" s="24"/>
      <x:c r="S49" s="24"/>
      <x:c r="T49" s="24"/>
      <x:c r="U49" s="24"/>
      <x:c r="V49" s="24"/>
      <x:c r="W49" s="24"/>
      <x:c r="X49" s="24"/>
      <x:c r="Y49" s="24"/>
      <x:c r="Z49" s="24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  <x:c r="L50" s="24"/>
      <x:c r="M50" s="24"/>
      <x:c r="N50" s="24"/>
      <x:c r="O50" s="24"/>
      <x:c r="P50" s="24"/>
      <x:c r="Q50" s="24"/>
      <x:c r="R50" s="24"/>
      <x:c r="S50" s="24"/>
      <x:c r="T50" s="24"/>
      <x:c r="U50" s="24"/>
      <x:c r="V50" s="24"/>
      <x:c r="W50" s="24"/>
      <x:c r="X50" s="24"/>
      <x:c r="Y50" s="24"/>
      <x:c r="Z50" s="24"/>
    </x:row>
    <x:row r="51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  <x:c r="K51" s="24"/>
      <x:c r="L51" s="24"/>
      <x:c r="M51" s="24"/>
      <x:c r="N51" s="24"/>
      <x:c r="O51" s="24"/>
      <x:c r="P51" s="24"/>
      <x:c r="Q51" s="24"/>
      <x:c r="R51" s="24"/>
      <x:c r="S51" s="24"/>
      <x:c r="T51" s="24"/>
      <x:c r="U51" s="24"/>
      <x:c r="V51" s="24"/>
      <x:c r="W51" s="24"/>
      <x:c r="X51" s="24"/>
      <x:c r="Y51" s="24"/>
      <x:c r="Z51" s="24"/>
    </x:row>
    <x:row r="52">
      <x:c r="A52" s="24"/>
      <x:c r="B52" s="24"/>
      <x:c r="C52" s="24"/>
      <x:c r="D52" s="24"/>
      <x:c r="E52" s="24"/>
      <x:c r="F52" s="24"/>
      <x:c r="G52" s="24"/>
      <x:c r="H52" s="24"/>
      <x:c r="I52" s="24"/>
      <x:c r="J52" s="24"/>
      <x:c r="K52" s="24"/>
      <x:c r="L52" s="24"/>
      <x:c r="M52" s="24"/>
      <x:c r="N52" s="24"/>
      <x:c r="O52" s="24"/>
      <x:c r="P52" s="24"/>
      <x:c r="Q52" s="24"/>
      <x:c r="R52" s="24"/>
      <x:c r="S52" s="24"/>
      <x:c r="T52" s="24"/>
      <x:c r="U52" s="24"/>
      <x:c r="V52" s="24"/>
      <x:c r="W52" s="24"/>
      <x:c r="X52" s="24"/>
      <x:c r="Y52" s="24"/>
      <x:c r="Z52" s="24"/>
    </x:row>
    <x:row r="53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  <x:c r="K53" s="24"/>
      <x:c r="L53" s="24"/>
      <x:c r="M53" s="24"/>
      <x:c r="N53" s="24"/>
      <x:c r="O53" s="24"/>
      <x:c r="P53" s="24"/>
      <x:c r="Q53" s="24"/>
      <x:c r="R53" s="24"/>
      <x:c r="S53" s="24"/>
      <x:c r="T53" s="24"/>
      <x:c r="U53" s="24"/>
      <x:c r="V53" s="24"/>
      <x:c r="W53" s="24"/>
      <x:c r="X53" s="24"/>
      <x:c r="Y53" s="24"/>
      <x:c r="Z53" s="24"/>
    </x:row>
    <x:row r="54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  <x:c r="K54" s="24"/>
      <x:c r="L54" s="24"/>
      <x:c r="M54" s="24"/>
      <x:c r="N54" s="24"/>
      <x:c r="O54" s="24"/>
      <x:c r="P54" s="24"/>
      <x:c r="Q54" s="24"/>
      <x:c r="R54" s="24"/>
      <x:c r="S54" s="24"/>
      <x:c r="T54" s="24"/>
      <x:c r="U54" s="24"/>
      <x:c r="V54" s="24"/>
      <x:c r="W54" s="24"/>
      <x:c r="X54" s="24"/>
      <x:c r="Y54" s="24"/>
      <x:c r="Z54" s="24"/>
    </x:row>
    <x:row r="55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  <x:c r="K55" s="24"/>
      <x:c r="L55" s="24"/>
      <x:c r="M55" s="24"/>
      <x:c r="N55" s="24"/>
      <x:c r="O55" s="24"/>
      <x:c r="P55" s="24"/>
      <x:c r="Q55" s="24"/>
      <x:c r="R55" s="24"/>
      <x:c r="S55" s="24"/>
      <x:c r="T55" s="24"/>
      <x:c r="U55" s="24"/>
      <x:c r="V55" s="24"/>
      <x:c r="W55" s="24"/>
      <x:c r="X55" s="24"/>
      <x:c r="Y55" s="24"/>
      <x:c r="Z55" s="24"/>
    </x:row>
    <x:row r="56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  <x:c r="K56" s="24"/>
      <x:c r="L56" s="24"/>
      <x:c r="M56" s="24"/>
      <x:c r="N56" s="24"/>
      <x:c r="O56" s="24"/>
      <x:c r="P56" s="24"/>
      <x:c r="Q56" s="24"/>
      <x:c r="R56" s="24"/>
      <x:c r="S56" s="24"/>
      <x:c r="T56" s="24"/>
      <x:c r="U56" s="24"/>
      <x:c r="V56" s="24"/>
      <x:c r="W56" s="24"/>
      <x:c r="X56" s="24"/>
      <x:c r="Y56" s="24"/>
      <x:c r="Z56" s="24"/>
    </x:row>
    <x:row r="57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  <x:c r="K57" s="24"/>
      <x:c r="L57" s="24"/>
      <x:c r="M57" s="24"/>
      <x:c r="N57" s="24"/>
      <x:c r="O57" s="24"/>
      <x:c r="P57" s="24"/>
      <x:c r="Q57" s="24"/>
      <x:c r="R57" s="24"/>
      <x:c r="S57" s="24"/>
      <x:c r="T57" s="24"/>
      <x:c r="U57" s="24"/>
      <x:c r="V57" s="24"/>
      <x:c r="W57" s="24"/>
      <x:c r="X57" s="24"/>
      <x:c r="Y57" s="24"/>
      <x:c r="Z57" s="24"/>
    </x:row>
    <x:row r="58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24"/>
      <x:c r="O58" s="24"/>
      <x:c r="P58" s="24"/>
      <x:c r="Q58" s="24"/>
      <x:c r="R58" s="24"/>
      <x:c r="S58" s="24"/>
      <x:c r="T58" s="24"/>
      <x:c r="U58" s="24"/>
      <x:c r="V58" s="24"/>
      <x:c r="W58" s="24"/>
      <x:c r="X58" s="24"/>
      <x:c r="Y58" s="24"/>
      <x:c r="Z58" s="24"/>
    </x:row>
    <x:row r="59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24"/>
      <x:c r="O59" s="24"/>
      <x:c r="P59" s="24"/>
      <x:c r="Q59" s="24"/>
      <x:c r="R59" s="24"/>
      <x:c r="S59" s="24"/>
      <x:c r="T59" s="24"/>
      <x:c r="U59" s="24"/>
      <x:c r="V59" s="24"/>
      <x:c r="W59" s="24"/>
      <x:c r="X59" s="24"/>
      <x:c r="Y59" s="24"/>
      <x:c r="Z59" s="24"/>
    </x:row>
    <x:row r="60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  <x:c r="K60" s="24"/>
      <x:c r="L60" s="24"/>
      <x:c r="M60" s="24"/>
      <x:c r="N60" s="24"/>
      <x:c r="O60" s="24"/>
      <x:c r="P60" s="24"/>
      <x:c r="Q60" s="24"/>
      <x:c r="R60" s="24"/>
      <x:c r="S60" s="24"/>
      <x:c r="T60" s="24"/>
      <x:c r="U60" s="24"/>
      <x:c r="V60" s="24"/>
      <x:c r="W60" s="24"/>
      <x:c r="X60" s="24"/>
      <x:c r="Y60" s="24"/>
      <x:c r="Z60" s="24"/>
    </x:row>
    <x:row r="6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  <x:c r="K61" s="24"/>
      <x:c r="L61" s="24"/>
      <x:c r="M61" s="24"/>
      <x:c r="N61" s="24"/>
      <x:c r="O61" s="24"/>
      <x:c r="P61" s="24"/>
      <x:c r="Q61" s="24"/>
      <x:c r="R61" s="24"/>
      <x:c r="S61" s="24"/>
      <x:c r="T61" s="24"/>
      <x:c r="U61" s="24"/>
      <x:c r="V61" s="24"/>
      <x:c r="W61" s="24"/>
      <x:c r="X61" s="24"/>
      <x:c r="Y61" s="24"/>
      <x:c r="Z61" s="24"/>
    </x:row>
    <x:row r="62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  <x:c r="K62" s="24"/>
      <x:c r="L62" s="24"/>
      <x:c r="M62" s="24"/>
      <x:c r="N62" s="24"/>
      <x:c r="O62" s="24"/>
      <x:c r="P62" s="24"/>
      <x:c r="Q62" s="24"/>
      <x:c r="R62" s="24"/>
      <x:c r="S62" s="24"/>
      <x:c r="T62" s="24"/>
      <x:c r="U62" s="24"/>
      <x:c r="V62" s="24"/>
      <x:c r="W62" s="24"/>
      <x:c r="X62" s="24"/>
      <x:c r="Y62" s="24"/>
      <x:c r="Z62" s="24"/>
    </x:row>
    <x:row r="63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  <x:c r="K63" s="24"/>
      <x:c r="L63" s="24"/>
      <x:c r="M63" s="24"/>
      <x:c r="N63" s="24"/>
      <x:c r="O63" s="24"/>
      <x:c r="P63" s="24"/>
      <x:c r="Q63" s="24"/>
      <x:c r="R63" s="24"/>
      <x:c r="S63" s="24"/>
      <x:c r="T63" s="24"/>
      <x:c r="U63" s="24"/>
      <x:c r="V63" s="24"/>
      <x:c r="W63" s="24"/>
      <x:c r="X63" s="24"/>
      <x:c r="Y63" s="24"/>
      <x:c r="Z63" s="24"/>
    </x:row>
    <x:row r="64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  <x:c r="K64" s="24"/>
      <x:c r="L64" s="24"/>
      <x:c r="M64" s="24"/>
      <x:c r="N64" s="24"/>
      <x:c r="O64" s="24"/>
      <x:c r="P64" s="24"/>
      <x:c r="Q64" s="24"/>
      <x:c r="R64" s="24"/>
      <x:c r="S64" s="24"/>
      <x:c r="T64" s="24"/>
      <x:c r="U64" s="24"/>
      <x:c r="V64" s="24"/>
      <x:c r="W64" s="24"/>
      <x:c r="X64" s="24"/>
      <x:c r="Y64" s="24"/>
      <x:c r="Z64" s="24"/>
    </x:row>
    <x:row r="65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  <x:c r="K65" s="24"/>
      <x:c r="L65" s="24"/>
      <x:c r="M65" s="24"/>
      <x:c r="N65" s="24"/>
      <x:c r="O65" s="24"/>
      <x:c r="P65" s="24"/>
      <x:c r="Q65" s="24"/>
      <x:c r="R65" s="24"/>
      <x:c r="S65" s="24"/>
      <x:c r="T65" s="24"/>
      <x:c r="U65" s="24"/>
      <x:c r="V65" s="24"/>
      <x:c r="W65" s="24"/>
      <x:c r="X65" s="24"/>
      <x:c r="Y65" s="24"/>
      <x:c r="Z65" s="24"/>
    </x:row>
    <x:row r="66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  <x:c r="K66" s="24"/>
      <x:c r="L66" s="24"/>
      <x:c r="M66" s="24"/>
      <x:c r="N66" s="24"/>
      <x:c r="O66" s="24"/>
      <x:c r="P66" s="24"/>
      <x:c r="Q66" s="24"/>
      <x:c r="R66" s="24"/>
      <x:c r="S66" s="24"/>
      <x:c r="T66" s="24"/>
      <x:c r="U66" s="24"/>
      <x:c r="V66" s="24"/>
      <x:c r="W66" s="24"/>
      <x:c r="X66" s="24"/>
      <x:c r="Y66" s="24"/>
      <x:c r="Z66" s="24"/>
    </x:row>
    <x:row r="67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  <x:c r="K67" s="24"/>
      <x:c r="L67" s="24"/>
      <x:c r="M67" s="24"/>
      <x:c r="N67" s="24"/>
      <x:c r="O67" s="24"/>
      <x:c r="P67" s="24"/>
      <x:c r="Q67" s="24"/>
      <x:c r="R67" s="24"/>
      <x:c r="S67" s="24"/>
      <x:c r="T67" s="24"/>
      <x:c r="U67" s="24"/>
      <x:c r="V67" s="24"/>
      <x:c r="W67" s="24"/>
      <x:c r="X67" s="24"/>
      <x:c r="Y67" s="24"/>
      <x:c r="Z67" s="24"/>
    </x:row>
    <x:row r="68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  <x:c r="K68" s="24"/>
      <x:c r="L68" s="24"/>
      <x:c r="M68" s="24"/>
      <x:c r="N68" s="24"/>
      <x:c r="O68" s="24"/>
      <x:c r="P68" s="24"/>
      <x:c r="Q68" s="24"/>
      <x:c r="R68" s="24"/>
      <x:c r="S68" s="24"/>
      <x:c r="T68" s="24"/>
      <x:c r="U68" s="24"/>
      <x:c r="V68" s="24"/>
      <x:c r="W68" s="24"/>
      <x:c r="X68" s="24"/>
      <x:c r="Y68" s="24"/>
      <x:c r="Z68" s="24"/>
    </x:row>
    <x:row r="69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  <x:c r="K69" s="24"/>
      <x:c r="L69" s="24"/>
      <x:c r="M69" s="24"/>
      <x:c r="N69" s="24"/>
      <x:c r="O69" s="24"/>
      <x:c r="P69" s="24"/>
      <x:c r="Q69" s="24"/>
      <x:c r="R69" s="24"/>
      <x:c r="S69" s="24"/>
      <x:c r="T69" s="24"/>
      <x:c r="U69" s="24"/>
      <x:c r="V69" s="24"/>
      <x:c r="W69" s="24"/>
      <x:c r="X69" s="24"/>
      <x:c r="Y69" s="24"/>
      <x:c r="Z69" s="24"/>
    </x:row>
    <x:row r="70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  <x:c r="K70" s="24"/>
      <x:c r="L70" s="24"/>
      <x:c r="M70" s="24"/>
      <x:c r="N70" s="24"/>
      <x:c r="O70" s="24"/>
      <x:c r="P70" s="24"/>
      <x:c r="Q70" s="24"/>
      <x:c r="R70" s="24"/>
      <x:c r="S70" s="24"/>
      <x:c r="T70" s="24"/>
      <x:c r="U70" s="24"/>
      <x:c r="V70" s="24"/>
      <x:c r="W70" s="24"/>
      <x:c r="X70" s="24"/>
      <x:c r="Y70" s="24"/>
      <x:c r="Z70" s="24"/>
    </x:row>
    <x:row r="71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24"/>
      <x:c r="O71" s="24"/>
      <x:c r="P71" s="24"/>
      <x:c r="Q71" s="24"/>
      <x:c r="R71" s="24"/>
      <x:c r="S71" s="24"/>
      <x:c r="T71" s="24"/>
      <x:c r="U71" s="24"/>
      <x:c r="V71" s="24"/>
      <x:c r="W71" s="24"/>
      <x:c r="X71" s="24"/>
      <x:c r="Y71" s="24"/>
      <x:c r="Z71" s="24"/>
    </x:row>
    <x:row r="72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24"/>
      <x:c r="O72" s="24"/>
      <x:c r="P72" s="24"/>
      <x:c r="Q72" s="24"/>
      <x:c r="R72" s="24"/>
      <x:c r="S72" s="24"/>
      <x:c r="T72" s="24"/>
      <x:c r="U72" s="24"/>
      <x:c r="V72" s="24"/>
      <x:c r="W72" s="24"/>
      <x:c r="X72" s="24"/>
      <x:c r="Y72" s="24"/>
      <x:c r="Z72" s="24"/>
    </x:row>
    <x:row r="73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  <x:c r="K73" s="24"/>
      <x:c r="L73" s="24"/>
      <x:c r="M73" s="24"/>
      <x:c r="N73" s="24"/>
      <x:c r="O73" s="24"/>
      <x:c r="P73" s="24"/>
      <x:c r="Q73" s="24"/>
      <x:c r="R73" s="24"/>
      <x:c r="S73" s="24"/>
      <x:c r="T73" s="24"/>
      <x:c r="U73" s="24"/>
      <x:c r="V73" s="24"/>
      <x:c r="W73" s="24"/>
      <x:c r="X73" s="24"/>
      <x:c r="Y73" s="24"/>
      <x:c r="Z73" s="24"/>
    </x:row>
    <x:row r="74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  <x:c r="K74" s="24"/>
      <x:c r="L74" s="24"/>
      <x:c r="M74" s="24"/>
      <x:c r="N74" s="24"/>
      <x:c r="O74" s="24"/>
      <x:c r="P74" s="24"/>
      <x:c r="Q74" s="24"/>
      <x:c r="R74" s="24"/>
      <x:c r="S74" s="24"/>
      <x:c r="T74" s="24"/>
      <x:c r="U74" s="24"/>
      <x:c r="V74" s="24"/>
      <x:c r="W74" s="24"/>
      <x:c r="X74" s="24"/>
      <x:c r="Y74" s="24"/>
      <x:c r="Z74" s="24"/>
    </x:row>
    <x:row r="75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  <x:c r="K75" s="24"/>
      <x:c r="L75" s="24"/>
      <x:c r="M75" s="24"/>
      <x:c r="N75" s="24"/>
      <x:c r="O75" s="24"/>
      <x:c r="P75" s="24"/>
      <x:c r="Q75" s="24"/>
      <x:c r="R75" s="24"/>
      <x:c r="S75" s="24"/>
      <x:c r="T75" s="24"/>
      <x:c r="U75" s="24"/>
      <x:c r="V75" s="24"/>
      <x:c r="W75" s="24"/>
      <x:c r="X75" s="24"/>
      <x:c r="Y75" s="24"/>
      <x:c r="Z75" s="24"/>
    </x:row>
    <x:row r="76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  <x:c r="K76" s="24"/>
      <x:c r="L76" s="24"/>
      <x:c r="M76" s="24"/>
      <x:c r="N76" s="24"/>
      <x:c r="O76" s="24"/>
      <x:c r="P76" s="24"/>
      <x:c r="Q76" s="24"/>
      <x:c r="R76" s="24"/>
      <x:c r="S76" s="24"/>
      <x:c r="T76" s="24"/>
      <x:c r="U76" s="24"/>
      <x:c r="V76" s="24"/>
      <x:c r="W76" s="24"/>
      <x:c r="X76" s="24"/>
      <x:c r="Y76" s="24"/>
      <x:c r="Z76" s="24"/>
    </x:row>
    <x:row r="77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  <x:c r="K77" s="24"/>
      <x:c r="L77" s="24"/>
      <x:c r="M77" s="24"/>
      <x:c r="N77" s="24"/>
      <x:c r="O77" s="24"/>
      <x:c r="P77" s="24"/>
      <x:c r="Q77" s="24"/>
      <x:c r="R77" s="24"/>
      <x:c r="S77" s="24"/>
      <x:c r="T77" s="24"/>
      <x:c r="U77" s="24"/>
      <x:c r="V77" s="24"/>
      <x:c r="W77" s="24"/>
      <x:c r="X77" s="24"/>
      <x:c r="Y77" s="24"/>
      <x:c r="Z77" s="24"/>
    </x:row>
    <x:row r="78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  <x:c r="K78" s="24"/>
      <x:c r="L78" s="24"/>
      <x:c r="M78" s="24"/>
      <x:c r="N78" s="24"/>
      <x:c r="O78" s="24"/>
      <x:c r="P78" s="24"/>
      <x:c r="Q78" s="24"/>
      <x:c r="R78" s="24"/>
      <x:c r="S78" s="24"/>
      <x:c r="T78" s="24"/>
      <x:c r="U78" s="24"/>
      <x:c r="V78" s="24"/>
      <x:c r="W78" s="24"/>
      <x:c r="X78" s="24"/>
      <x:c r="Y78" s="24"/>
      <x:c r="Z78" s="24"/>
    </x:row>
    <x:row r="79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  <x:c r="K79" s="24"/>
      <x:c r="L79" s="24"/>
      <x:c r="M79" s="24"/>
      <x:c r="N79" s="24"/>
      <x:c r="O79" s="24"/>
      <x:c r="P79" s="24"/>
      <x:c r="Q79" s="24"/>
      <x:c r="R79" s="24"/>
      <x:c r="S79" s="24"/>
      <x:c r="T79" s="24"/>
      <x:c r="U79" s="24"/>
      <x:c r="V79" s="24"/>
      <x:c r="W79" s="24"/>
      <x:c r="X79" s="24"/>
      <x:c r="Y79" s="24"/>
      <x:c r="Z79" s="24"/>
    </x:row>
    <x:row r="80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  <x:c r="K80" s="24"/>
      <x:c r="L80" s="24"/>
      <x:c r="M80" s="24"/>
      <x:c r="N80" s="24"/>
      <x:c r="O80" s="24"/>
      <x:c r="P80" s="24"/>
      <x:c r="Q80" s="24"/>
      <x:c r="R80" s="24"/>
      <x:c r="S80" s="24"/>
      <x:c r="T80" s="24"/>
      <x:c r="U80" s="24"/>
      <x:c r="V80" s="24"/>
      <x:c r="W80" s="24"/>
      <x:c r="X80" s="24"/>
      <x:c r="Y80" s="24"/>
      <x:c r="Z80" s="24"/>
    </x:row>
    <x:row r="81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  <x:c r="K81" s="24"/>
      <x:c r="L81" s="24"/>
      <x:c r="M81" s="24"/>
      <x:c r="N81" s="24"/>
      <x:c r="O81" s="24"/>
      <x:c r="P81" s="24"/>
      <x:c r="Q81" s="24"/>
      <x:c r="R81" s="24"/>
      <x:c r="S81" s="24"/>
      <x:c r="T81" s="24"/>
      <x:c r="U81" s="24"/>
      <x:c r="V81" s="24"/>
      <x:c r="W81" s="24"/>
      <x:c r="X81" s="24"/>
      <x:c r="Y81" s="24"/>
      <x:c r="Z81" s="24"/>
    </x:row>
    <x:row r="82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  <x:c r="K82" s="24"/>
      <x:c r="L82" s="24"/>
      <x:c r="M82" s="24"/>
      <x:c r="N82" s="24"/>
      <x:c r="O82" s="24"/>
      <x:c r="P82" s="24"/>
      <x:c r="Q82" s="24"/>
      <x:c r="R82" s="24"/>
      <x:c r="S82" s="24"/>
      <x:c r="T82" s="24"/>
      <x:c r="U82" s="24"/>
      <x:c r="V82" s="24"/>
      <x:c r="W82" s="24"/>
      <x:c r="X82" s="24"/>
      <x:c r="Y82" s="24"/>
      <x:c r="Z82" s="24"/>
    </x:row>
    <x:row r="83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  <x:c r="K83" s="24"/>
      <x:c r="L83" s="24"/>
      <x:c r="M83" s="24"/>
      <x:c r="N83" s="24"/>
      <x:c r="O83" s="24"/>
      <x:c r="P83" s="24"/>
      <x:c r="Q83" s="24"/>
      <x:c r="R83" s="24"/>
      <x:c r="S83" s="24"/>
      <x:c r="T83" s="24"/>
      <x:c r="U83" s="24"/>
      <x:c r="V83" s="24"/>
      <x:c r="W83" s="24"/>
      <x:c r="X83" s="24"/>
      <x:c r="Y83" s="24"/>
      <x:c r="Z83" s="24"/>
    </x:row>
    <x:row r="84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24"/>
      <x:c r="O84" s="24"/>
      <x:c r="P84" s="24"/>
      <x:c r="Q84" s="24"/>
      <x:c r="R84" s="24"/>
      <x:c r="S84" s="24"/>
      <x:c r="T84" s="24"/>
      <x:c r="U84" s="24"/>
      <x:c r="V84" s="24"/>
      <x:c r="W84" s="24"/>
      <x:c r="X84" s="24"/>
      <x:c r="Y84" s="24"/>
      <x:c r="Z84" s="24"/>
    </x:row>
    <x:row r="85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24"/>
      <x:c r="O85" s="24"/>
      <x:c r="P85" s="24"/>
      <x:c r="Q85" s="24"/>
      <x:c r="R85" s="24"/>
      <x:c r="S85" s="24"/>
      <x:c r="T85" s="24"/>
      <x:c r="U85" s="24"/>
      <x:c r="V85" s="24"/>
      <x:c r="W85" s="24"/>
      <x:c r="X85" s="24"/>
      <x:c r="Y85" s="24"/>
      <x:c r="Z85" s="24"/>
    </x:row>
    <x:row r="86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  <x:c r="K86" s="24"/>
      <x:c r="L86" s="24"/>
      <x:c r="M86" s="24"/>
      <x:c r="N86" s="24"/>
      <x:c r="O86" s="24"/>
      <x:c r="P86" s="24"/>
      <x:c r="Q86" s="24"/>
      <x:c r="R86" s="24"/>
      <x:c r="S86" s="24"/>
      <x:c r="T86" s="24"/>
      <x:c r="U86" s="24"/>
      <x:c r="V86" s="24"/>
      <x:c r="W86" s="24"/>
      <x:c r="X86" s="24"/>
      <x:c r="Y86" s="24"/>
      <x:c r="Z86" s="24"/>
    </x:row>
    <x:row r="87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  <x:c r="K87" s="24"/>
      <x:c r="L87" s="24"/>
      <x:c r="M87" s="24"/>
      <x:c r="N87" s="24"/>
      <x:c r="O87" s="24"/>
      <x:c r="P87" s="24"/>
      <x:c r="Q87" s="24"/>
      <x:c r="R87" s="24"/>
      <x:c r="S87" s="24"/>
      <x:c r="T87" s="24"/>
      <x:c r="U87" s="24"/>
      <x:c r="V87" s="24"/>
      <x:c r="W87" s="24"/>
      <x:c r="X87" s="24"/>
      <x:c r="Y87" s="24"/>
      <x:c r="Z87" s="24"/>
    </x:row>
    <x:row r="88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  <x:c r="K88" s="24"/>
      <x:c r="L88" s="24"/>
      <x:c r="M88" s="24"/>
      <x:c r="N88" s="24"/>
      <x:c r="O88" s="24"/>
      <x:c r="P88" s="24"/>
      <x:c r="Q88" s="24"/>
      <x:c r="R88" s="24"/>
      <x:c r="S88" s="24"/>
      <x:c r="T88" s="24"/>
      <x:c r="U88" s="24"/>
      <x:c r="V88" s="24"/>
      <x:c r="W88" s="24"/>
      <x:c r="X88" s="24"/>
      <x:c r="Y88" s="24"/>
      <x:c r="Z88" s="24"/>
    </x:row>
    <x:row r="89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  <x:c r="K89" s="24"/>
      <x:c r="L89" s="24"/>
      <x:c r="M89" s="24"/>
      <x:c r="N89" s="24"/>
      <x:c r="O89" s="24"/>
      <x:c r="P89" s="24"/>
      <x:c r="Q89" s="24"/>
      <x:c r="R89" s="24"/>
      <x:c r="S89" s="24"/>
      <x:c r="T89" s="24"/>
      <x:c r="U89" s="24"/>
      <x:c r="V89" s="24"/>
      <x:c r="W89" s="24"/>
      <x:c r="X89" s="24"/>
      <x:c r="Y89" s="24"/>
      <x:c r="Z89" s="24"/>
    </x:row>
    <x:row r="90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  <x:c r="K90" s="24"/>
      <x:c r="L90" s="24"/>
      <x:c r="M90" s="24"/>
      <x:c r="N90" s="24"/>
      <x:c r="O90" s="24"/>
      <x:c r="P90" s="24"/>
      <x:c r="Q90" s="24"/>
      <x:c r="R90" s="24"/>
      <x:c r="S90" s="24"/>
      <x:c r="T90" s="24"/>
      <x:c r="U90" s="24"/>
      <x:c r="V90" s="24"/>
      <x:c r="W90" s="24"/>
      <x:c r="X90" s="24"/>
      <x:c r="Y90" s="24"/>
      <x:c r="Z90" s="24"/>
    </x:row>
    <x:row r="91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  <x:c r="K91" s="24"/>
      <x:c r="L91" s="24"/>
      <x:c r="M91" s="24"/>
      <x:c r="N91" s="24"/>
      <x:c r="O91" s="24"/>
      <x:c r="P91" s="24"/>
      <x:c r="Q91" s="24"/>
      <x:c r="R91" s="24"/>
      <x:c r="S91" s="24"/>
      <x:c r="T91" s="24"/>
      <x:c r="U91" s="24"/>
      <x:c r="V91" s="24"/>
      <x:c r="W91" s="24"/>
      <x:c r="X91" s="24"/>
      <x:c r="Y91" s="24"/>
      <x:c r="Z91" s="24"/>
    </x:row>
    <x:row r="92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  <x:c r="K92" s="24"/>
      <x:c r="L92" s="24"/>
      <x:c r="M92" s="24"/>
      <x:c r="N92" s="24"/>
      <x:c r="O92" s="24"/>
      <x:c r="P92" s="24"/>
      <x:c r="Q92" s="24"/>
      <x:c r="R92" s="24"/>
      <x:c r="S92" s="24"/>
      <x:c r="T92" s="24"/>
      <x:c r="U92" s="24"/>
      <x:c r="V92" s="24"/>
      <x:c r="W92" s="24"/>
      <x:c r="X92" s="24"/>
      <x:c r="Y92" s="24"/>
      <x:c r="Z92" s="24"/>
    </x:row>
    <x:row r="93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  <x:c r="K93" s="24"/>
      <x:c r="L93" s="24"/>
      <x:c r="M93" s="24"/>
      <x:c r="N93" s="24"/>
      <x:c r="O93" s="24"/>
      <x:c r="P93" s="24"/>
      <x:c r="Q93" s="24"/>
      <x:c r="R93" s="24"/>
      <x:c r="S93" s="24"/>
      <x:c r="T93" s="24"/>
      <x:c r="U93" s="24"/>
      <x:c r="V93" s="24"/>
      <x:c r="W93" s="24"/>
      <x:c r="X93" s="24"/>
      <x:c r="Y93" s="24"/>
      <x:c r="Z93" s="24"/>
    </x:row>
    <x:row r="94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  <x:c r="K94" s="24"/>
      <x:c r="L94" s="24"/>
      <x:c r="M94" s="24"/>
      <x:c r="N94" s="24"/>
      <x:c r="O94" s="24"/>
      <x:c r="P94" s="24"/>
      <x:c r="Q94" s="24"/>
      <x:c r="R94" s="24"/>
      <x:c r="S94" s="24"/>
      <x:c r="T94" s="24"/>
      <x:c r="U94" s="24"/>
      <x:c r="V94" s="24"/>
      <x:c r="W94" s="24"/>
      <x:c r="X94" s="24"/>
      <x:c r="Y94" s="24"/>
      <x:c r="Z94" s="24"/>
    </x:row>
    <x:row r="95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  <x:c r="K95" s="24"/>
      <x:c r="L95" s="24"/>
      <x:c r="M95" s="24"/>
      <x:c r="N95" s="24"/>
      <x:c r="O95" s="24"/>
      <x:c r="P95" s="24"/>
      <x:c r="Q95" s="24"/>
      <x:c r="R95" s="24"/>
      <x:c r="S95" s="24"/>
      <x:c r="T95" s="24"/>
      <x:c r="U95" s="24"/>
      <x:c r="V95" s="24"/>
      <x:c r="W95" s="24"/>
      <x:c r="X95" s="24"/>
      <x:c r="Y95" s="24"/>
      <x:c r="Z95" s="24"/>
    </x:row>
    <x:row r="96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  <x:c r="K96" s="24"/>
      <x:c r="L96" s="24"/>
      <x:c r="M96" s="24"/>
      <x:c r="N96" s="24"/>
      <x:c r="O96" s="24"/>
      <x:c r="P96" s="24"/>
      <x:c r="Q96" s="24"/>
      <x:c r="R96" s="24"/>
      <x:c r="S96" s="24"/>
      <x:c r="T96" s="24"/>
      <x:c r="U96" s="24"/>
      <x:c r="V96" s="24"/>
      <x:c r="W96" s="24"/>
      <x:c r="X96" s="24"/>
      <x:c r="Y96" s="24"/>
      <x:c r="Z96" s="24"/>
    </x:row>
    <x:row r="97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24"/>
      <x:c r="O97" s="24"/>
      <x:c r="P97" s="24"/>
      <x:c r="Q97" s="24"/>
      <x:c r="R97" s="24"/>
      <x:c r="S97" s="24"/>
      <x:c r="T97" s="24"/>
      <x:c r="U97" s="24"/>
      <x:c r="V97" s="24"/>
      <x:c r="W97" s="24"/>
      <x:c r="X97" s="24"/>
      <x:c r="Y97" s="24"/>
      <x:c r="Z97" s="24"/>
    </x:row>
    <x:row r="98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24"/>
      <x:c r="O98" s="24"/>
      <x:c r="P98" s="24"/>
      <x:c r="Q98" s="24"/>
      <x:c r="R98" s="24"/>
      <x:c r="S98" s="24"/>
      <x:c r="T98" s="24"/>
      <x:c r="U98" s="24"/>
      <x:c r="V98" s="24"/>
      <x:c r="W98" s="24"/>
      <x:c r="X98" s="24"/>
      <x:c r="Y98" s="24"/>
      <x:c r="Z98" s="24"/>
    </x:row>
    <x:row r="99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  <x:c r="K99" s="24"/>
      <x:c r="L99" s="24"/>
      <x:c r="M99" s="24"/>
      <x:c r="N99" s="24"/>
      <x:c r="O99" s="24"/>
      <x:c r="P99" s="24"/>
      <x:c r="Q99" s="24"/>
      <x:c r="R99" s="24"/>
      <x:c r="S99" s="24"/>
      <x:c r="T99" s="24"/>
      <x:c r="U99" s="24"/>
      <x:c r="V99" s="24"/>
      <x:c r="W99" s="24"/>
      <x:c r="X99" s="24"/>
      <x:c r="Y99" s="24"/>
      <x:c r="Z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  <x:c r="L100" s="24"/>
      <x:c r="M100" s="24"/>
      <x:c r="N100" s="24"/>
      <x:c r="O100" s="24"/>
      <x:c r="P100" s="24"/>
      <x:c r="Q100" s="24"/>
      <x:c r="R100" s="24"/>
      <x:c r="S100" s="24"/>
      <x:c r="T100" s="24"/>
      <x:c r="U100" s="24"/>
      <x:c r="V100" s="24"/>
      <x:c r="W100" s="24"/>
      <x:c r="X100" s="24"/>
      <x:c r="Y100" s="24"/>
      <x:c r="Z100" s="24"/>
    </x:row>
    <x:row r="101">
      <x:c r="A101" s="24"/>
      <x:c r="B101" s="24"/>
      <x:c r="C101" s="24"/>
      <x:c r="D101" s="24"/>
      <x:c r="E101" s="24"/>
      <x:c r="F101" s="24"/>
      <x:c r="G101" s="24"/>
      <x:c r="H101" s="24"/>
      <x:c r="I101" s="24"/>
      <x:c r="J101" s="24"/>
      <x:c r="K101" s="24"/>
      <x:c r="L101" s="24"/>
      <x:c r="M101" s="24"/>
      <x:c r="N101" s="24"/>
      <x:c r="O101" s="24"/>
      <x:c r="P101" s="24"/>
      <x:c r="Q101" s="24"/>
      <x:c r="R101" s="24"/>
      <x:c r="S101" s="24"/>
      <x:c r="T101" s="24"/>
      <x:c r="U101" s="24"/>
      <x:c r="V101" s="24"/>
      <x:c r="W101" s="24"/>
      <x:c r="X101" s="24"/>
      <x:c r="Y101" s="24"/>
      <x:c r="Z101" s="24"/>
    </x:row>
    <x:row r="102">
      <x:c r="A102" s="24"/>
      <x:c r="B102" s="24"/>
      <x:c r="C102" s="24"/>
      <x:c r="D102" s="24"/>
      <x:c r="E102" s="24"/>
      <x:c r="F102" s="24"/>
      <x:c r="G102" s="24"/>
      <x:c r="H102" s="24"/>
      <x:c r="I102" s="24"/>
      <x:c r="J102" s="24"/>
      <x:c r="K102" s="24"/>
      <x:c r="L102" s="24"/>
      <x:c r="M102" s="24"/>
      <x:c r="N102" s="24"/>
      <x:c r="O102" s="24"/>
      <x:c r="P102" s="24"/>
      <x:c r="Q102" s="24"/>
      <x:c r="R102" s="24"/>
      <x:c r="S102" s="24"/>
      <x:c r="T102" s="24"/>
      <x:c r="U102" s="24"/>
      <x:c r="V102" s="24"/>
      <x:c r="W102" s="24"/>
      <x:c r="X102" s="24"/>
      <x:c r="Y102" s="24"/>
      <x:c r="Z102" s="24"/>
    </x:row>
    <x:row r="103">
      <x:c r="A103" s="24"/>
      <x:c r="B103" s="24"/>
      <x:c r="C103" s="24"/>
      <x:c r="D103" s="24"/>
      <x:c r="E103" s="24"/>
      <x:c r="F103" s="24"/>
      <x:c r="G103" s="24"/>
      <x:c r="H103" s="24"/>
      <x:c r="I103" s="24"/>
      <x:c r="J103" s="24"/>
      <x:c r="K103" s="24"/>
      <x:c r="L103" s="24"/>
      <x:c r="M103" s="24"/>
      <x:c r="N103" s="24"/>
      <x:c r="O103" s="24"/>
      <x:c r="P103" s="24"/>
      <x:c r="Q103" s="24"/>
      <x:c r="R103" s="24"/>
      <x:c r="S103" s="24"/>
      <x:c r="T103" s="24"/>
      <x:c r="U103" s="24"/>
      <x:c r="V103" s="24"/>
      <x:c r="W103" s="24"/>
      <x:c r="X103" s="24"/>
      <x:c r="Y103" s="24"/>
      <x:c r="Z103" s="24"/>
    </x:row>
    <x:row r="104">
      <x:c r="A104" s="24"/>
      <x:c r="B104" s="24"/>
      <x:c r="C104" s="24"/>
      <x:c r="D104" s="24"/>
      <x:c r="E104" s="24"/>
      <x:c r="F104" s="24"/>
      <x:c r="G104" s="24"/>
      <x:c r="H104" s="24"/>
      <x:c r="I104" s="24"/>
      <x:c r="J104" s="24"/>
      <x:c r="K104" s="24"/>
      <x:c r="L104" s="24"/>
      <x:c r="M104" s="24"/>
      <x:c r="N104" s="24"/>
      <x:c r="O104" s="24"/>
      <x:c r="P104" s="24"/>
      <x:c r="Q104" s="24"/>
      <x:c r="R104" s="24"/>
      <x:c r="S104" s="24"/>
      <x:c r="T104" s="24"/>
      <x:c r="U104" s="24"/>
      <x:c r="V104" s="24"/>
      <x:c r="W104" s="24"/>
      <x:c r="X104" s="24"/>
      <x:c r="Y104" s="24"/>
      <x:c r="Z104" s="24"/>
    </x:row>
    <x:row r="105">
      <x:c r="A105" s="24"/>
      <x:c r="B105" s="24"/>
      <x:c r="C105" s="24"/>
      <x:c r="D105" s="24"/>
      <x:c r="E105" s="24"/>
      <x:c r="F105" s="24"/>
      <x:c r="G105" s="24"/>
      <x:c r="H105" s="24"/>
      <x:c r="I105" s="24"/>
      <x:c r="J105" s="24"/>
      <x:c r="K105" s="24"/>
      <x:c r="L105" s="24"/>
      <x:c r="M105" s="24"/>
      <x:c r="N105" s="24"/>
      <x:c r="O105" s="24"/>
      <x:c r="P105" s="24"/>
      <x:c r="Q105" s="24"/>
      <x:c r="R105" s="24"/>
      <x:c r="S105" s="24"/>
      <x:c r="T105" s="24"/>
      <x:c r="U105" s="24"/>
      <x:c r="V105" s="24"/>
      <x:c r="W105" s="24"/>
      <x:c r="X105" s="24"/>
      <x:c r="Y105" s="24"/>
      <x:c r="Z105" s="24"/>
    </x:row>
    <x:row r="106">
      <x:c r="A106" s="24"/>
      <x:c r="B106" s="24"/>
      <x:c r="C106" s="24"/>
      <x:c r="D106" s="24"/>
      <x:c r="E106" s="24"/>
      <x:c r="F106" s="24"/>
      <x:c r="G106" s="24"/>
      <x:c r="H106" s="24"/>
      <x:c r="I106" s="24"/>
      <x:c r="J106" s="24"/>
      <x:c r="K106" s="24"/>
      <x:c r="L106" s="24"/>
      <x:c r="M106" s="24"/>
      <x:c r="N106" s="24"/>
      <x:c r="O106" s="24"/>
      <x:c r="P106" s="24"/>
      <x:c r="Q106" s="24"/>
      <x:c r="R106" s="24"/>
      <x:c r="S106" s="24"/>
      <x:c r="T106" s="24"/>
      <x:c r="U106" s="24"/>
      <x:c r="V106" s="24"/>
      <x:c r="W106" s="24"/>
      <x:c r="X106" s="24"/>
      <x:c r="Y106" s="24"/>
      <x:c r="Z106" s="24"/>
    </x:row>
    <x:row r="107">
      <x:c r="A107" s="24"/>
      <x:c r="B107" s="24"/>
      <x:c r="C107" s="24"/>
      <x:c r="D107" s="24"/>
      <x:c r="E107" s="24"/>
      <x:c r="F107" s="24"/>
      <x:c r="G107" s="24"/>
      <x:c r="H107" s="24"/>
      <x:c r="I107" s="24"/>
      <x:c r="J107" s="24"/>
      <x:c r="K107" s="24"/>
      <x:c r="L107" s="24"/>
      <x:c r="M107" s="24"/>
      <x:c r="N107" s="24"/>
      <x:c r="O107" s="24"/>
      <x:c r="P107" s="24"/>
      <x:c r="Q107" s="24"/>
      <x:c r="R107" s="24"/>
      <x:c r="S107" s="24"/>
      <x:c r="T107" s="24"/>
      <x:c r="U107" s="24"/>
      <x:c r="V107" s="24"/>
      <x:c r="W107" s="24"/>
      <x:c r="X107" s="24"/>
      <x:c r="Y107" s="24"/>
      <x:c r="Z107" s="24"/>
    </x:row>
    <x:row r="108">
      <x:c r="A108" s="24"/>
      <x:c r="B108" s="24"/>
      <x:c r="C108" s="24"/>
      <x:c r="D108" s="24"/>
      <x:c r="E108" s="24"/>
      <x:c r="F108" s="24"/>
      <x:c r="G108" s="24"/>
      <x:c r="H108" s="24"/>
      <x:c r="I108" s="24"/>
      <x:c r="J108" s="24"/>
      <x:c r="K108" s="24"/>
      <x:c r="L108" s="24"/>
      <x:c r="M108" s="24"/>
      <x:c r="N108" s="24"/>
      <x:c r="O108" s="24"/>
      <x:c r="P108" s="24"/>
      <x:c r="Q108" s="24"/>
      <x:c r="R108" s="24"/>
      <x:c r="S108" s="24"/>
      <x:c r="T108" s="24"/>
      <x:c r="U108" s="24"/>
      <x:c r="V108" s="24"/>
      <x:c r="W108" s="24"/>
      <x:c r="X108" s="24"/>
      <x:c r="Y108" s="24"/>
      <x:c r="Z108" s="24"/>
    </x:row>
    <x:row r="109">
      <x:c r="A109" s="24"/>
      <x:c r="B109" s="24"/>
      <x:c r="C109" s="24"/>
      <x:c r="D109" s="24"/>
      <x:c r="E109" s="24"/>
      <x:c r="F109" s="24"/>
      <x:c r="G109" s="24"/>
      <x:c r="H109" s="24"/>
      <x:c r="I109" s="24"/>
      <x:c r="J109" s="24"/>
      <x:c r="K109" s="24"/>
      <x:c r="L109" s="24"/>
      <x:c r="M109" s="24"/>
      <x:c r="N109" s="24"/>
      <x:c r="O109" s="24"/>
      <x:c r="P109" s="24"/>
      <x:c r="Q109" s="24"/>
      <x:c r="R109" s="24"/>
      <x:c r="S109" s="24"/>
      <x:c r="T109" s="24"/>
      <x:c r="U109" s="24"/>
      <x:c r="V109" s="24"/>
      <x:c r="W109" s="24"/>
      <x:c r="X109" s="24"/>
      <x:c r="Y109" s="24"/>
      <x:c r="Z109" s="24"/>
    </x:row>
    <x:row r="110">
      <x:c r="A110" s="24"/>
      <x:c r="B110" s="24"/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/>
      <x:c r="M110" s="24"/>
      <x:c r="N110" s="24"/>
      <x:c r="O110" s="24"/>
      <x:c r="P110" s="24"/>
      <x:c r="Q110" s="24"/>
      <x:c r="R110" s="24"/>
      <x:c r="S110" s="24"/>
      <x:c r="T110" s="24"/>
      <x:c r="U110" s="24"/>
      <x:c r="V110" s="24"/>
      <x:c r="W110" s="24"/>
      <x:c r="X110" s="24"/>
      <x:c r="Y110" s="24"/>
      <x:c r="Z110" s="24"/>
    </x:row>
    <x:row r="111">
      <x:c r="A111" s="24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P111" s="24"/>
      <x:c r="Q111" s="24"/>
      <x:c r="R111" s="24"/>
      <x:c r="S111" s="24"/>
      <x:c r="T111" s="24"/>
      <x:c r="U111" s="24"/>
      <x:c r="V111" s="24"/>
      <x:c r="W111" s="24"/>
      <x:c r="X111" s="24"/>
      <x:c r="Y111" s="24"/>
      <x:c r="Z111" s="24"/>
    </x:row>
    <x:row r="112">
      <x:c r="A112" s="24"/>
      <x:c r="B112" s="24"/>
      <x:c r="C112" s="24"/>
      <x:c r="D112" s="24"/>
      <x:c r="E112" s="24"/>
      <x:c r="F112" s="24"/>
      <x:c r="G112" s="24"/>
      <x:c r="H112" s="24"/>
      <x:c r="I112" s="24"/>
      <x:c r="J112" s="24"/>
      <x:c r="K112" s="24"/>
      <x:c r="L112" s="24"/>
      <x:c r="M112" s="24"/>
      <x:c r="N112" s="24"/>
      <x:c r="O112" s="24"/>
      <x:c r="P112" s="24"/>
      <x:c r="Q112" s="24"/>
      <x:c r="R112" s="24"/>
      <x:c r="S112" s="24"/>
      <x:c r="T112" s="24"/>
      <x:c r="U112" s="24"/>
      <x:c r="V112" s="24"/>
      <x:c r="W112" s="24"/>
      <x:c r="X112" s="24"/>
      <x:c r="Y112" s="24"/>
      <x:c r="Z112" s="24"/>
    </x:row>
    <x:row r="113">
      <x:c r="A113" s="24"/>
      <x:c r="B113" s="24"/>
      <x:c r="C113" s="24"/>
      <x:c r="D113" s="24"/>
      <x:c r="E113" s="24"/>
      <x:c r="F113" s="24"/>
      <x:c r="G113" s="24"/>
      <x:c r="H113" s="24"/>
      <x:c r="I113" s="24"/>
      <x:c r="J113" s="24"/>
      <x:c r="K113" s="24"/>
      <x:c r="L113" s="24"/>
      <x:c r="M113" s="24"/>
      <x:c r="N113" s="24"/>
      <x:c r="O113" s="24"/>
      <x:c r="P113" s="24"/>
      <x:c r="Q113" s="24"/>
      <x:c r="R113" s="24"/>
      <x:c r="S113" s="24"/>
      <x:c r="T113" s="24"/>
      <x:c r="U113" s="24"/>
      <x:c r="V113" s="24"/>
      <x:c r="W113" s="24"/>
      <x:c r="X113" s="24"/>
      <x:c r="Y113" s="24"/>
      <x:c r="Z113" s="24"/>
    </x:row>
    <x:row r="114">
      <x:c r="A114" s="24"/>
      <x:c r="B114" s="24"/>
      <x:c r="C114" s="24"/>
      <x:c r="D114" s="24"/>
      <x:c r="E114" s="24"/>
      <x:c r="F114" s="24"/>
      <x:c r="G114" s="24"/>
      <x:c r="H114" s="24"/>
      <x:c r="I114" s="24"/>
      <x:c r="J114" s="24"/>
      <x:c r="K114" s="24"/>
      <x:c r="L114" s="24"/>
      <x:c r="M114" s="24"/>
      <x:c r="N114" s="24"/>
      <x:c r="O114" s="24"/>
      <x:c r="P114" s="24"/>
      <x:c r="Q114" s="24"/>
      <x:c r="R114" s="24"/>
      <x:c r="S114" s="24"/>
      <x:c r="T114" s="24"/>
      <x:c r="U114" s="24"/>
      <x:c r="V114" s="24"/>
      <x:c r="W114" s="24"/>
      <x:c r="X114" s="24"/>
      <x:c r="Y114" s="24"/>
      <x:c r="Z114" s="24"/>
    </x:row>
    <x:row r="115">
      <x:c r="A115" s="24"/>
      <x:c r="B115" s="24"/>
      <x:c r="C115" s="24"/>
      <x:c r="D115" s="24"/>
      <x:c r="E115" s="24"/>
      <x:c r="F115" s="24"/>
      <x:c r="G115" s="24"/>
      <x:c r="H115" s="24"/>
      <x:c r="I115" s="24"/>
      <x:c r="J115" s="24"/>
      <x:c r="K115" s="24"/>
      <x:c r="L115" s="24"/>
      <x:c r="M115" s="24"/>
      <x:c r="N115" s="24"/>
      <x:c r="O115" s="24"/>
      <x:c r="P115" s="24"/>
      <x:c r="Q115" s="24"/>
      <x:c r="R115" s="24"/>
      <x:c r="S115" s="24"/>
      <x:c r="T115" s="24"/>
      <x:c r="U115" s="24"/>
      <x:c r="V115" s="24"/>
      <x:c r="W115" s="24"/>
      <x:c r="X115" s="24"/>
      <x:c r="Y115" s="24"/>
      <x:c r="Z115" s="24"/>
    </x:row>
    <x:row r="116">
      <x:c r="A116" s="24"/>
      <x:c r="B116" s="24"/>
      <x:c r="C116" s="24"/>
      <x:c r="D116" s="24"/>
      <x:c r="E116" s="24"/>
      <x:c r="F116" s="24"/>
      <x:c r="G116" s="24"/>
      <x:c r="H116" s="24"/>
      <x:c r="I116" s="24"/>
      <x:c r="J116" s="24"/>
      <x:c r="K116" s="24"/>
      <x:c r="L116" s="24"/>
      <x:c r="M116" s="24"/>
      <x:c r="N116" s="24"/>
      <x:c r="O116" s="24"/>
      <x:c r="P116" s="24"/>
      <x:c r="Q116" s="24"/>
      <x:c r="R116" s="24"/>
      <x:c r="S116" s="24"/>
      <x:c r="T116" s="24"/>
      <x:c r="U116" s="24"/>
      <x:c r="V116" s="24"/>
      <x:c r="W116" s="24"/>
      <x:c r="X116" s="24"/>
      <x:c r="Y116" s="24"/>
      <x:c r="Z116" s="24"/>
    </x:row>
    <x:row r="117">
      <x:c r="A117" s="24"/>
      <x:c r="B117" s="24"/>
      <x:c r="C117" s="24"/>
      <x:c r="D117" s="24"/>
      <x:c r="E117" s="24"/>
      <x:c r="F117" s="24"/>
      <x:c r="G117" s="24"/>
      <x:c r="H117" s="24"/>
      <x:c r="I117" s="24"/>
      <x:c r="J117" s="24"/>
      <x:c r="K117" s="24"/>
      <x:c r="L117" s="24"/>
      <x:c r="M117" s="24"/>
      <x:c r="N117" s="24"/>
      <x:c r="O117" s="24"/>
      <x:c r="P117" s="24"/>
      <x:c r="Q117" s="24"/>
      <x:c r="R117" s="24"/>
      <x:c r="S117" s="24"/>
      <x:c r="T117" s="24"/>
      <x:c r="U117" s="24"/>
      <x:c r="V117" s="24"/>
      <x:c r="W117" s="24"/>
      <x:c r="X117" s="24"/>
      <x:c r="Y117" s="24"/>
      <x:c r="Z117" s="24"/>
    </x:row>
    <x:row r="118">
      <x:c r="A118" s="24"/>
      <x:c r="B118" s="24"/>
      <x:c r="C118" s="24"/>
      <x:c r="D118" s="24"/>
      <x:c r="E118" s="24"/>
      <x:c r="F118" s="24"/>
      <x:c r="G118" s="24"/>
      <x:c r="H118" s="24"/>
      <x:c r="I118" s="24"/>
      <x:c r="J118" s="24"/>
      <x:c r="K118" s="24"/>
      <x:c r="L118" s="24"/>
      <x:c r="M118" s="24"/>
      <x:c r="N118" s="24"/>
      <x:c r="O118" s="24"/>
      <x:c r="P118" s="24"/>
      <x:c r="Q118" s="24"/>
      <x:c r="R118" s="24"/>
      <x:c r="S118" s="24"/>
      <x:c r="T118" s="24"/>
      <x:c r="U118" s="24"/>
      <x:c r="V118" s="24"/>
      <x:c r="W118" s="24"/>
      <x:c r="X118" s="24"/>
      <x:c r="Y118" s="24"/>
      <x:c r="Z118" s="24"/>
    </x:row>
    <x:row r="119">
      <x:c r="A119" s="24"/>
      <x:c r="B119" s="24"/>
      <x:c r="C119" s="24"/>
      <x:c r="D119" s="24"/>
      <x:c r="E119" s="24"/>
      <x:c r="F119" s="24"/>
      <x:c r="G119" s="24"/>
      <x:c r="H119" s="24"/>
      <x:c r="I119" s="24"/>
      <x:c r="J119" s="24"/>
      <x:c r="K119" s="24"/>
      <x:c r="L119" s="24"/>
      <x:c r="M119" s="24"/>
      <x:c r="N119" s="24"/>
      <x:c r="O119" s="24"/>
      <x:c r="P119" s="24"/>
      <x:c r="Q119" s="24"/>
      <x:c r="R119" s="24"/>
      <x:c r="S119" s="24"/>
      <x:c r="T119" s="24"/>
      <x:c r="U119" s="24"/>
      <x:c r="V119" s="24"/>
      <x:c r="W119" s="24"/>
      <x:c r="X119" s="24"/>
      <x:c r="Y119" s="24"/>
      <x:c r="Z119" s="24"/>
    </x:row>
    <x:row r="120">
      <x:c r="A120" s="24"/>
      <x:c r="B120" s="24"/>
      <x:c r="C120" s="24"/>
      <x:c r="D120" s="24"/>
      <x:c r="E120" s="24"/>
      <x:c r="F120" s="24"/>
      <x:c r="G120" s="24"/>
      <x:c r="H120" s="24"/>
      <x:c r="I120" s="24"/>
      <x:c r="J120" s="24"/>
      <x:c r="K120" s="24"/>
      <x:c r="L120" s="24"/>
      <x:c r="M120" s="24"/>
      <x:c r="N120" s="24"/>
      <x:c r="O120" s="24"/>
      <x:c r="P120" s="24"/>
      <x:c r="Q120" s="24"/>
      <x:c r="R120" s="24"/>
      <x:c r="S120" s="24"/>
      <x:c r="T120" s="24"/>
      <x:c r="U120" s="24"/>
      <x:c r="V120" s="24"/>
      <x:c r="W120" s="24"/>
      <x:c r="X120" s="24"/>
      <x:c r="Y120" s="24"/>
      <x:c r="Z120" s="24"/>
    </x:row>
    <x:row r="12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  <x:c r="K121" s="24"/>
      <x:c r="L121" s="24"/>
      <x:c r="M121" s="24"/>
      <x:c r="N121" s="24"/>
      <x:c r="O121" s="24"/>
      <x:c r="P121" s="24"/>
      <x:c r="Q121" s="24"/>
      <x:c r="R121" s="24"/>
      <x:c r="S121" s="24"/>
      <x:c r="T121" s="24"/>
      <x:c r="U121" s="24"/>
      <x:c r="V121" s="24"/>
      <x:c r="W121" s="24"/>
      <x:c r="X121" s="24"/>
      <x:c r="Y121" s="24"/>
      <x:c r="Z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  <x:c r="K122" s="24"/>
      <x:c r="L122" s="24"/>
      <x:c r="M122" s="24"/>
      <x:c r="N122" s="24"/>
      <x:c r="O122" s="24"/>
      <x:c r="P122" s="24"/>
      <x:c r="Q122" s="24"/>
      <x:c r="R122" s="24"/>
      <x:c r="S122" s="24"/>
      <x:c r="T122" s="24"/>
      <x:c r="U122" s="24"/>
      <x:c r="V122" s="24"/>
      <x:c r="W122" s="24"/>
      <x:c r="X122" s="24"/>
      <x:c r="Y122" s="24"/>
      <x:c r="Z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  <x:c r="M123" s="24"/>
      <x:c r="N123" s="24"/>
      <x:c r="O123" s="24"/>
      <x:c r="P123" s="24"/>
      <x:c r="Q123" s="24"/>
      <x:c r="R123" s="24"/>
      <x:c r="S123" s="24"/>
      <x:c r="T123" s="24"/>
      <x:c r="U123" s="24"/>
      <x:c r="V123" s="24"/>
      <x:c r="W123" s="24"/>
      <x:c r="X123" s="24"/>
      <x:c r="Y123" s="24"/>
      <x:c r="Z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  <x:c r="M124" s="24"/>
      <x:c r="N124" s="24"/>
      <x:c r="O124" s="24"/>
      <x:c r="P124" s="24"/>
      <x:c r="Q124" s="24"/>
      <x:c r="R124" s="24"/>
      <x:c r="S124" s="24"/>
      <x:c r="T124" s="24"/>
      <x:c r="U124" s="24"/>
      <x:c r="V124" s="24"/>
      <x:c r="W124" s="24"/>
      <x:c r="X124" s="24"/>
      <x:c r="Y124" s="24"/>
      <x:c r="Z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  <x:c r="K125" s="24"/>
      <x:c r="L125" s="24"/>
      <x:c r="M125" s="24"/>
      <x:c r="N125" s="24"/>
      <x:c r="O125" s="24"/>
      <x:c r="P125" s="24"/>
      <x:c r="Q125" s="24"/>
      <x:c r="R125" s="24"/>
      <x:c r="S125" s="24"/>
      <x:c r="T125" s="24"/>
      <x:c r="U125" s="24"/>
      <x:c r="V125" s="24"/>
      <x:c r="W125" s="24"/>
      <x:c r="X125" s="24"/>
      <x:c r="Y125" s="24"/>
      <x:c r="Z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  <x:c r="K126" s="24"/>
      <x:c r="L126" s="24"/>
      <x:c r="M126" s="24"/>
      <x:c r="N126" s="24"/>
      <x:c r="O126" s="24"/>
      <x:c r="P126" s="24"/>
      <x:c r="Q126" s="24"/>
      <x:c r="R126" s="24"/>
      <x:c r="S126" s="24"/>
      <x:c r="T126" s="24"/>
      <x:c r="U126" s="24"/>
      <x:c r="V126" s="24"/>
      <x:c r="W126" s="24"/>
      <x:c r="X126" s="24"/>
      <x:c r="Y126" s="24"/>
      <x:c r="Z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  <x:c r="K127" s="24"/>
      <x:c r="L127" s="24"/>
      <x:c r="M127" s="24"/>
      <x:c r="N127" s="24"/>
      <x:c r="O127" s="24"/>
      <x:c r="P127" s="24"/>
      <x:c r="Q127" s="24"/>
      <x:c r="R127" s="24"/>
      <x:c r="S127" s="24"/>
      <x:c r="T127" s="24"/>
      <x:c r="U127" s="24"/>
      <x:c r="V127" s="24"/>
      <x:c r="W127" s="24"/>
      <x:c r="X127" s="24"/>
      <x:c r="Y127" s="24"/>
      <x:c r="Z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  <x:c r="K128" s="24"/>
      <x:c r="L128" s="24"/>
      <x:c r="M128" s="24"/>
      <x:c r="N128" s="24"/>
      <x:c r="O128" s="24"/>
      <x:c r="P128" s="24"/>
      <x:c r="Q128" s="24"/>
      <x:c r="R128" s="24"/>
      <x:c r="S128" s="24"/>
      <x:c r="T128" s="24"/>
      <x:c r="U128" s="24"/>
      <x:c r="V128" s="24"/>
      <x:c r="W128" s="24"/>
      <x:c r="X128" s="24"/>
      <x:c r="Y128" s="24"/>
      <x:c r="Z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  <x:c r="K129" s="24"/>
      <x:c r="L129" s="24"/>
      <x:c r="M129" s="24"/>
      <x:c r="N129" s="24"/>
      <x:c r="O129" s="24"/>
      <x:c r="P129" s="24"/>
      <x:c r="Q129" s="24"/>
      <x:c r="R129" s="24"/>
      <x:c r="S129" s="24"/>
      <x:c r="T129" s="24"/>
      <x:c r="U129" s="24"/>
      <x:c r="V129" s="24"/>
      <x:c r="W129" s="24"/>
      <x:c r="X129" s="24"/>
      <x:c r="Y129" s="24"/>
      <x:c r="Z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  <x:c r="K130" s="24"/>
      <x:c r="L130" s="24"/>
      <x:c r="M130" s="24"/>
      <x:c r="N130" s="24"/>
      <x:c r="O130" s="24"/>
      <x:c r="P130" s="24"/>
      <x:c r="Q130" s="24"/>
      <x:c r="R130" s="24"/>
      <x:c r="S130" s="24"/>
      <x:c r="T130" s="24"/>
      <x:c r="U130" s="24"/>
      <x:c r="V130" s="24"/>
      <x:c r="W130" s="24"/>
      <x:c r="X130" s="24"/>
      <x:c r="Y130" s="24"/>
      <x:c r="Z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  <x:c r="K131" s="24"/>
      <x:c r="L131" s="24"/>
      <x:c r="M131" s="24"/>
      <x:c r="N131" s="24"/>
      <x:c r="O131" s="24"/>
      <x:c r="P131" s="24"/>
      <x:c r="Q131" s="24"/>
      <x:c r="R131" s="24"/>
      <x:c r="S131" s="24"/>
      <x:c r="T131" s="24"/>
      <x:c r="U131" s="24"/>
      <x:c r="V131" s="24"/>
      <x:c r="W131" s="24"/>
      <x:c r="X131" s="24"/>
      <x:c r="Y131" s="24"/>
      <x:c r="Z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  <x:c r="K132" s="24"/>
      <x:c r="L132" s="24"/>
      <x:c r="M132" s="24"/>
      <x:c r="N132" s="24"/>
      <x:c r="O132" s="24"/>
      <x:c r="P132" s="24"/>
      <x:c r="Q132" s="24"/>
      <x:c r="R132" s="24"/>
      <x:c r="S132" s="24"/>
      <x:c r="T132" s="24"/>
      <x:c r="U132" s="24"/>
      <x:c r="V132" s="24"/>
      <x:c r="W132" s="24"/>
      <x:c r="X132" s="24"/>
      <x:c r="Y132" s="24"/>
      <x:c r="Z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  <x:c r="K133" s="24"/>
      <x:c r="L133" s="24"/>
      <x:c r="M133" s="24"/>
      <x:c r="N133" s="24"/>
      <x:c r="O133" s="24"/>
      <x:c r="P133" s="24"/>
      <x:c r="Q133" s="24"/>
      <x:c r="R133" s="24"/>
      <x:c r="S133" s="24"/>
      <x:c r="T133" s="24"/>
      <x:c r="U133" s="24"/>
      <x:c r="V133" s="24"/>
      <x:c r="W133" s="24"/>
      <x:c r="X133" s="24"/>
      <x:c r="Y133" s="24"/>
      <x:c r="Z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  <x:c r="K134" s="24"/>
      <x:c r="L134" s="24"/>
      <x:c r="M134" s="24"/>
      <x:c r="N134" s="24"/>
      <x:c r="O134" s="24"/>
      <x:c r="P134" s="24"/>
      <x:c r="Q134" s="24"/>
      <x:c r="R134" s="24"/>
      <x:c r="S134" s="24"/>
      <x:c r="T134" s="24"/>
      <x:c r="U134" s="24"/>
      <x:c r="V134" s="24"/>
      <x:c r="W134" s="24"/>
      <x:c r="X134" s="24"/>
      <x:c r="Y134" s="24"/>
      <x:c r="Z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  <x:c r="K135" s="24"/>
      <x:c r="L135" s="24"/>
      <x:c r="M135" s="24"/>
      <x:c r="N135" s="24"/>
      <x:c r="O135" s="24"/>
      <x:c r="P135" s="24"/>
      <x:c r="Q135" s="24"/>
      <x:c r="R135" s="24"/>
      <x:c r="S135" s="24"/>
      <x:c r="T135" s="24"/>
      <x:c r="U135" s="24"/>
      <x:c r="V135" s="24"/>
      <x:c r="W135" s="24"/>
      <x:c r="X135" s="24"/>
      <x:c r="Y135" s="24"/>
      <x:c r="Z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  <x:c r="K136" s="24"/>
      <x:c r="L136" s="24"/>
      <x:c r="M136" s="24"/>
      <x:c r="N136" s="24"/>
      <x:c r="O136" s="24"/>
      <x:c r="P136" s="24"/>
      <x:c r="Q136" s="24"/>
      <x:c r="R136" s="24"/>
      <x:c r="S136" s="24"/>
      <x:c r="T136" s="24"/>
      <x:c r="U136" s="24"/>
      <x:c r="V136" s="24"/>
      <x:c r="W136" s="24"/>
      <x:c r="X136" s="24"/>
      <x:c r="Y136" s="24"/>
      <x:c r="Z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  <x:c r="L137" s="24"/>
      <x:c r="M137" s="24"/>
      <x:c r="N137" s="24"/>
      <x:c r="O137" s="24"/>
      <x:c r="P137" s="24"/>
      <x:c r="Q137" s="24"/>
      <x:c r="R137" s="24"/>
      <x:c r="S137" s="24"/>
      <x:c r="T137" s="24"/>
      <x:c r="U137" s="24"/>
      <x:c r="V137" s="24"/>
      <x:c r="W137" s="24"/>
      <x:c r="X137" s="24"/>
      <x:c r="Y137" s="24"/>
      <x:c r="Z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  <x:c r="K138" s="24"/>
      <x:c r="L138" s="24"/>
      <x:c r="M138" s="24"/>
      <x:c r="N138" s="24"/>
      <x:c r="O138" s="24"/>
      <x:c r="P138" s="24"/>
      <x:c r="Q138" s="24"/>
      <x:c r="R138" s="24"/>
      <x:c r="S138" s="24"/>
      <x:c r="T138" s="24"/>
      <x:c r="U138" s="24"/>
      <x:c r="V138" s="24"/>
      <x:c r="W138" s="24"/>
      <x:c r="X138" s="24"/>
      <x:c r="Y138" s="24"/>
      <x:c r="Z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  <x:c r="K139" s="24"/>
      <x:c r="L139" s="24"/>
      <x:c r="M139" s="24"/>
      <x:c r="N139" s="24"/>
      <x:c r="O139" s="24"/>
      <x:c r="P139" s="24"/>
      <x:c r="Q139" s="24"/>
      <x:c r="R139" s="24"/>
      <x:c r="S139" s="24"/>
      <x:c r="T139" s="24"/>
      <x:c r="U139" s="24"/>
      <x:c r="V139" s="24"/>
      <x:c r="W139" s="24"/>
      <x:c r="X139" s="24"/>
      <x:c r="Y139" s="24"/>
      <x:c r="Z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  <x:c r="K140" s="24"/>
      <x:c r="L140" s="24"/>
      <x:c r="M140" s="24"/>
      <x:c r="N140" s="24"/>
      <x:c r="O140" s="24"/>
      <x:c r="P140" s="24"/>
      <x:c r="Q140" s="24"/>
      <x:c r="R140" s="24"/>
      <x:c r="S140" s="24"/>
      <x:c r="T140" s="24"/>
      <x:c r="U140" s="24"/>
      <x:c r="V140" s="24"/>
      <x:c r="W140" s="24"/>
      <x:c r="X140" s="24"/>
      <x:c r="Y140" s="24"/>
      <x:c r="Z140" s="24"/>
    </x:row>
    <x:row r="141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  <x:c r="K141" s="24"/>
      <x:c r="L141" s="24"/>
      <x:c r="M141" s="24"/>
      <x:c r="N141" s="24"/>
      <x:c r="O141" s="24"/>
      <x:c r="P141" s="24"/>
      <x:c r="Q141" s="24"/>
      <x:c r="R141" s="24"/>
      <x:c r="S141" s="24"/>
      <x:c r="T141" s="24"/>
      <x:c r="U141" s="24"/>
      <x:c r="V141" s="24"/>
      <x:c r="W141" s="24"/>
      <x:c r="X141" s="24"/>
      <x:c r="Y141" s="24"/>
      <x:c r="Z141" s="24"/>
    </x:row>
    <x:row r="142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  <x:c r="K142" s="24"/>
      <x:c r="L142" s="24"/>
      <x:c r="M142" s="24"/>
      <x:c r="N142" s="24"/>
      <x:c r="O142" s="24"/>
      <x:c r="P142" s="24"/>
      <x:c r="Q142" s="24"/>
      <x:c r="R142" s="24"/>
      <x:c r="S142" s="24"/>
      <x:c r="T142" s="24"/>
      <x:c r="U142" s="24"/>
      <x:c r="V142" s="24"/>
      <x:c r="W142" s="24"/>
      <x:c r="X142" s="24"/>
      <x:c r="Y142" s="24"/>
      <x:c r="Z142" s="24"/>
    </x:row>
    <x:row r="143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  <x:c r="K143" s="24"/>
      <x:c r="L143" s="24"/>
      <x:c r="M143" s="24"/>
      <x:c r="N143" s="24"/>
      <x:c r="O143" s="24"/>
      <x:c r="P143" s="24"/>
      <x:c r="Q143" s="24"/>
      <x:c r="R143" s="24"/>
      <x:c r="S143" s="24"/>
      <x:c r="T143" s="24"/>
      <x:c r="U143" s="24"/>
      <x:c r="V143" s="24"/>
      <x:c r="W143" s="24"/>
      <x:c r="X143" s="24"/>
      <x:c r="Y143" s="24"/>
      <x:c r="Z143" s="24"/>
    </x:row>
    <x:row r="144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  <x:c r="K144" s="24"/>
      <x:c r="L144" s="24"/>
      <x:c r="M144" s="24"/>
      <x:c r="N144" s="24"/>
      <x:c r="O144" s="24"/>
      <x:c r="P144" s="24"/>
      <x:c r="Q144" s="24"/>
      <x:c r="R144" s="24"/>
      <x:c r="S144" s="24"/>
      <x:c r="T144" s="24"/>
      <x:c r="U144" s="24"/>
      <x:c r="V144" s="24"/>
      <x:c r="W144" s="24"/>
      <x:c r="X144" s="24"/>
      <x:c r="Y144" s="24"/>
      <x:c r="Z144" s="24"/>
    </x:row>
    <x:row r="145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  <x:c r="K145" s="24"/>
      <x:c r="L145" s="24"/>
      <x:c r="M145" s="24"/>
      <x:c r="N145" s="24"/>
      <x:c r="O145" s="24"/>
      <x:c r="P145" s="24"/>
      <x:c r="Q145" s="24"/>
      <x:c r="R145" s="24"/>
      <x:c r="S145" s="24"/>
      <x:c r="T145" s="24"/>
      <x:c r="U145" s="24"/>
      <x:c r="V145" s="24"/>
      <x:c r="W145" s="24"/>
      <x:c r="X145" s="24"/>
      <x:c r="Y145" s="24"/>
      <x:c r="Z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  <x:c r="K146" s="24"/>
      <x:c r="L146" s="24"/>
      <x:c r="M146" s="24"/>
      <x:c r="N146" s="24"/>
      <x:c r="O146" s="24"/>
      <x:c r="P146" s="24"/>
      <x:c r="Q146" s="24"/>
      <x:c r="R146" s="24"/>
      <x:c r="S146" s="24"/>
      <x:c r="T146" s="24"/>
      <x:c r="U146" s="24"/>
      <x:c r="V146" s="24"/>
      <x:c r="W146" s="24"/>
      <x:c r="X146" s="24"/>
      <x:c r="Y146" s="24"/>
      <x:c r="Z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  <x:c r="K147" s="24"/>
      <x:c r="L147" s="24"/>
      <x:c r="M147" s="24"/>
      <x:c r="N147" s="24"/>
      <x:c r="O147" s="24"/>
      <x:c r="P147" s="24"/>
      <x:c r="Q147" s="24"/>
      <x:c r="R147" s="24"/>
      <x:c r="S147" s="24"/>
      <x:c r="T147" s="24"/>
      <x:c r="U147" s="24"/>
      <x:c r="V147" s="24"/>
      <x:c r="W147" s="24"/>
      <x:c r="X147" s="24"/>
      <x:c r="Y147" s="24"/>
      <x:c r="Z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  <x:c r="K148" s="24"/>
      <x:c r="L148" s="24"/>
      <x:c r="M148" s="24"/>
      <x:c r="N148" s="24"/>
      <x:c r="O148" s="24"/>
      <x:c r="P148" s="24"/>
      <x:c r="Q148" s="24"/>
      <x:c r="R148" s="24"/>
      <x:c r="S148" s="24"/>
      <x:c r="T148" s="24"/>
      <x:c r="U148" s="24"/>
      <x:c r="V148" s="24"/>
      <x:c r="W148" s="24"/>
      <x:c r="X148" s="24"/>
      <x:c r="Y148" s="24"/>
      <x:c r="Z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  <x:c r="K149" s="24"/>
      <x:c r="L149" s="24"/>
      <x:c r="M149" s="24"/>
      <x:c r="N149" s="24"/>
      <x:c r="O149" s="24"/>
      <x:c r="P149" s="24"/>
      <x:c r="Q149" s="24"/>
      <x:c r="R149" s="24"/>
      <x:c r="S149" s="24"/>
      <x:c r="T149" s="24"/>
      <x:c r="U149" s="24"/>
      <x:c r="V149" s="24"/>
      <x:c r="W149" s="24"/>
      <x:c r="X149" s="24"/>
      <x:c r="Y149" s="24"/>
      <x:c r="Z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  <x:c r="L150" s="24"/>
      <x:c r="M150" s="24"/>
      <x:c r="N150" s="24"/>
      <x:c r="O150" s="24"/>
      <x:c r="P150" s="24"/>
      <x:c r="Q150" s="24"/>
      <x:c r="R150" s="24"/>
      <x:c r="S150" s="24"/>
      <x:c r="T150" s="24"/>
      <x:c r="U150" s="24"/>
      <x:c r="V150" s="24"/>
      <x:c r="W150" s="24"/>
      <x:c r="X150" s="24"/>
      <x:c r="Y150" s="24"/>
      <x:c r="Z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  <x:c r="K151" s="24"/>
      <x:c r="L151" s="24"/>
      <x:c r="M151" s="24"/>
      <x:c r="N151" s="24"/>
      <x:c r="O151" s="24"/>
      <x:c r="P151" s="24"/>
      <x:c r="Q151" s="24"/>
      <x:c r="R151" s="24"/>
      <x:c r="S151" s="24"/>
      <x:c r="T151" s="24"/>
      <x:c r="U151" s="24"/>
      <x:c r="V151" s="24"/>
      <x:c r="W151" s="24"/>
      <x:c r="X151" s="24"/>
      <x:c r="Y151" s="24"/>
      <x:c r="Z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  <x:c r="K152" s="24"/>
      <x:c r="L152" s="24"/>
      <x:c r="M152" s="24"/>
      <x:c r="N152" s="24"/>
      <x:c r="O152" s="24"/>
      <x:c r="P152" s="24"/>
      <x:c r="Q152" s="24"/>
      <x:c r="R152" s="24"/>
      <x:c r="S152" s="24"/>
      <x:c r="T152" s="24"/>
      <x:c r="U152" s="24"/>
      <x:c r="V152" s="24"/>
      <x:c r="W152" s="24"/>
      <x:c r="X152" s="24"/>
      <x:c r="Y152" s="24"/>
      <x:c r="Z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  <x:c r="K153" s="24"/>
      <x:c r="L153" s="24"/>
      <x:c r="M153" s="24"/>
      <x:c r="N153" s="24"/>
      <x:c r="O153" s="24"/>
      <x:c r="P153" s="24"/>
      <x:c r="Q153" s="24"/>
      <x:c r="R153" s="24"/>
      <x:c r="S153" s="24"/>
      <x:c r="T153" s="24"/>
      <x:c r="U153" s="24"/>
      <x:c r="V153" s="24"/>
      <x:c r="W153" s="24"/>
      <x:c r="X153" s="24"/>
      <x:c r="Y153" s="24"/>
      <x:c r="Z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  <x:c r="K154" s="24"/>
      <x:c r="L154" s="24"/>
      <x:c r="M154" s="24"/>
      <x:c r="N154" s="24"/>
      <x:c r="O154" s="24"/>
      <x:c r="P154" s="24"/>
      <x:c r="Q154" s="24"/>
      <x:c r="R154" s="24"/>
      <x:c r="S154" s="24"/>
      <x:c r="T154" s="24"/>
      <x:c r="U154" s="24"/>
      <x:c r="V154" s="24"/>
      <x:c r="W154" s="24"/>
      <x:c r="X154" s="24"/>
      <x:c r="Y154" s="24"/>
      <x:c r="Z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  <x:c r="K155" s="24"/>
      <x:c r="L155" s="24"/>
      <x:c r="M155" s="24"/>
      <x:c r="N155" s="24"/>
      <x:c r="O155" s="24"/>
      <x:c r="P155" s="24"/>
      <x:c r="Q155" s="24"/>
      <x:c r="R155" s="24"/>
      <x:c r="S155" s="24"/>
      <x:c r="T155" s="24"/>
      <x:c r="U155" s="24"/>
      <x:c r="V155" s="24"/>
      <x:c r="W155" s="24"/>
      <x:c r="X155" s="24"/>
      <x:c r="Y155" s="24"/>
      <x:c r="Z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  <x:c r="K156" s="24"/>
      <x:c r="L156" s="24"/>
      <x:c r="M156" s="24"/>
      <x:c r="N156" s="24"/>
      <x:c r="O156" s="24"/>
      <x:c r="P156" s="24"/>
      <x:c r="Q156" s="24"/>
      <x:c r="R156" s="24"/>
      <x:c r="S156" s="24"/>
      <x:c r="T156" s="24"/>
      <x:c r="U156" s="24"/>
      <x:c r="V156" s="24"/>
      <x:c r="W156" s="24"/>
      <x:c r="X156" s="24"/>
      <x:c r="Y156" s="24"/>
      <x:c r="Z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  <x:c r="K157" s="24"/>
      <x:c r="L157" s="24"/>
      <x:c r="M157" s="24"/>
      <x:c r="N157" s="24"/>
      <x:c r="O157" s="24"/>
      <x:c r="P157" s="24"/>
      <x:c r="Q157" s="24"/>
      <x:c r="R157" s="24"/>
      <x:c r="S157" s="24"/>
      <x:c r="T157" s="24"/>
      <x:c r="U157" s="24"/>
      <x:c r="V157" s="24"/>
      <x:c r="W157" s="24"/>
      <x:c r="X157" s="24"/>
      <x:c r="Y157" s="24"/>
      <x:c r="Z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  <x:c r="K158" s="24"/>
      <x:c r="L158" s="24"/>
      <x:c r="M158" s="24"/>
      <x:c r="N158" s="24"/>
      <x:c r="O158" s="24"/>
      <x:c r="P158" s="24"/>
      <x:c r="Q158" s="24"/>
      <x:c r="R158" s="24"/>
      <x:c r="S158" s="24"/>
      <x:c r="T158" s="24"/>
      <x:c r="U158" s="24"/>
      <x:c r="V158" s="24"/>
      <x:c r="W158" s="24"/>
      <x:c r="X158" s="24"/>
      <x:c r="Y158" s="24"/>
      <x:c r="Z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  <x:c r="K159" s="24"/>
      <x:c r="L159" s="24"/>
      <x:c r="M159" s="24"/>
      <x:c r="N159" s="24"/>
      <x:c r="O159" s="24"/>
      <x:c r="P159" s="24"/>
      <x:c r="Q159" s="24"/>
      <x:c r="R159" s="24"/>
      <x:c r="S159" s="24"/>
      <x:c r="T159" s="24"/>
      <x:c r="U159" s="24"/>
      <x:c r="V159" s="24"/>
      <x:c r="W159" s="24"/>
      <x:c r="X159" s="24"/>
      <x:c r="Y159" s="24"/>
      <x:c r="Z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  <x:c r="K160" s="24"/>
      <x:c r="L160" s="24"/>
      <x:c r="M160" s="24"/>
      <x:c r="N160" s="24"/>
      <x:c r="O160" s="24"/>
      <x:c r="P160" s="24"/>
      <x:c r="Q160" s="24"/>
      <x:c r="R160" s="24"/>
      <x:c r="S160" s="24"/>
      <x:c r="T160" s="24"/>
      <x:c r="U160" s="24"/>
      <x:c r="V160" s="24"/>
      <x:c r="W160" s="24"/>
      <x:c r="X160" s="24"/>
      <x:c r="Y160" s="24"/>
      <x:c r="Z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  <x:c r="K161" s="24"/>
      <x:c r="L161" s="24"/>
      <x:c r="M161" s="24"/>
      <x:c r="N161" s="24"/>
      <x:c r="O161" s="24"/>
      <x:c r="P161" s="24"/>
      <x:c r="Q161" s="24"/>
      <x:c r="R161" s="24"/>
      <x:c r="S161" s="24"/>
      <x:c r="T161" s="24"/>
      <x:c r="U161" s="24"/>
      <x:c r="V161" s="24"/>
      <x:c r="W161" s="24"/>
      <x:c r="X161" s="24"/>
      <x:c r="Y161" s="24"/>
      <x:c r="Z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  <x:c r="K162" s="24"/>
      <x:c r="L162" s="24"/>
      <x:c r="M162" s="24"/>
      <x:c r="N162" s="24"/>
      <x:c r="O162" s="24"/>
      <x:c r="P162" s="24"/>
      <x:c r="Q162" s="24"/>
      <x:c r="R162" s="24"/>
      <x:c r="S162" s="24"/>
      <x:c r="T162" s="24"/>
      <x:c r="U162" s="24"/>
      <x:c r="V162" s="24"/>
      <x:c r="W162" s="24"/>
      <x:c r="X162" s="24"/>
      <x:c r="Y162" s="24"/>
      <x:c r="Z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  <x:c r="K163" s="24"/>
      <x:c r="L163" s="24"/>
      <x:c r="M163" s="24"/>
      <x:c r="N163" s="24"/>
      <x:c r="O163" s="24"/>
      <x:c r="P163" s="24"/>
      <x:c r="Q163" s="24"/>
      <x:c r="R163" s="24"/>
      <x:c r="S163" s="24"/>
      <x:c r="T163" s="24"/>
      <x:c r="U163" s="24"/>
      <x:c r="V163" s="24"/>
      <x:c r="W163" s="24"/>
      <x:c r="X163" s="24"/>
      <x:c r="Y163" s="24"/>
      <x:c r="Z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  <x:c r="K164" s="24"/>
      <x:c r="L164" s="24"/>
      <x:c r="M164" s="24"/>
      <x:c r="N164" s="24"/>
      <x:c r="O164" s="24"/>
      <x:c r="P164" s="24"/>
      <x:c r="Q164" s="24"/>
      <x:c r="R164" s="24"/>
      <x:c r="S164" s="24"/>
      <x:c r="T164" s="24"/>
      <x:c r="U164" s="24"/>
      <x:c r="V164" s="24"/>
      <x:c r="W164" s="24"/>
      <x:c r="X164" s="24"/>
      <x:c r="Y164" s="24"/>
      <x:c r="Z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  <x:c r="K165" s="24"/>
      <x:c r="L165" s="24"/>
      <x:c r="M165" s="24"/>
      <x:c r="N165" s="24"/>
      <x:c r="O165" s="24"/>
      <x:c r="P165" s="24"/>
      <x:c r="Q165" s="24"/>
      <x:c r="R165" s="24"/>
      <x:c r="S165" s="24"/>
      <x:c r="T165" s="24"/>
      <x:c r="U165" s="24"/>
      <x:c r="V165" s="24"/>
      <x:c r="W165" s="24"/>
      <x:c r="X165" s="24"/>
      <x:c r="Y165" s="24"/>
      <x:c r="Z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  <x:c r="K166" s="24"/>
      <x:c r="L166" s="24"/>
      <x:c r="M166" s="24"/>
      <x:c r="N166" s="24"/>
      <x:c r="O166" s="24"/>
      <x:c r="P166" s="24"/>
      <x:c r="Q166" s="24"/>
      <x:c r="R166" s="24"/>
      <x:c r="S166" s="24"/>
      <x:c r="T166" s="24"/>
      <x:c r="U166" s="24"/>
      <x:c r="V166" s="24"/>
      <x:c r="W166" s="24"/>
      <x:c r="X166" s="24"/>
      <x:c r="Y166" s="24"/>
      <x:c r="Z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  <x:c r="K167" s="24"/>
      <x:c r="L167" s="24"/>
      <x:c r="M167" s="24"/>
      <x:c r="N167" s="24"/>
      <x:c r="O167" s="24"/>
      <x:c r="P167" s="24"/>
      <x:c r="Q167" s="24"/>
      <x:c r="R167" s="24"/>
      <x:c r="S167" s="24"/>
      <x:c r="T167" s="24"/>
      <x:c r="U167" s="24"/>
      <x:c r="V167" s="24"/>
      <x:c r="W167" s="24"/>
      <x:c r="X167" s="24"/>
      <x:c r="Y167" s="24"/>
      <x:c r="Z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  <x:c r="K168" s="24"/>
      <x:c r="L168" s="24"/>
      <x:c r="M168" s="24"/>
      <x:c r="N168" s="24"/>
      <x:c r="O168" s="24"/>
      <x:c r="P168" s="24"/>
      <x:c r="Q168" s="24"/>
      <x:c r="R168" s="24"/>
      <x:c r="S168" s="24"/>
      <x:c r="T168" s="24"/>
      <x:c r="U168" s="24"/>
      <x:c r="V168" s="24"/>
      <x:c r="W168" s="24"/>
      <x:c r="X168" s="24"/>
      <x:c r="Y168" s="24"/>
      <x:c r="Z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  <x:c r="K169" s="24"/>
      <x:c r="L169" s="24"/>
      <x:c r="M169" s="24"/>
      <x:c r="N169" s="24"/>
      <x:c r="O169" s="24"/>
      <x:c r="P169" s="24"/>
      <x:c r="Q169" s="24"/>
      <x:c r="R169" s="24"/>
      <x:c r="S169" s="24"/>
      <x:c r="T169" s="24"/>
      <x:c r="U169" s="24"/>
      <x:c r="V169" s="24"/>
      <x:c r="W169" s="24"/>
      <x:c r="X169" s="24"/>
      <x:c r="Y169" s="24"/>
      <x:c r="Z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  <x:c r="K170" s="24"/>
      <x:c r="L170" s="24"/>
      <x:c r="M170" s="24"/>
      <x:c r="N170" s="24"/>
      <x:c r="O170" s="24"/>
      <x:c r="P170" s="24"/>
      <x:c r="Q170" s="24"/>
      <x:c r="R170" s="24"/>
      <x:c r="S170" s="24"/>
      <x:c r="T170" s="24"/>
      <x:c r="U170" s="24"/>
      <x:c r="V170" s="24"/>
      <x:c r="W170" s="24"/>
      <x:c r="X170" s="24"/>
      <x:c r="Y170" s="24"/>
      <x:c r="Z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  <x:c r="K171" s="24"/>
      <x:c r="L171" s="24"/>
      <x:c r="M171" s="24"/>
      <x:c r="N171" s="24"/>
      <x:c r="O171" s="24"/>
      <x:c r="P171" s="24"/>
      <x:c r="Q171" s="24"/>
      <x:c r="R171" s="24"/>
      <x:c r="S171" s="24"/>
      <x:c r="T171" s="24"/>
      <x:c r="U171" s="24"/>
      <x:c r="V171" s="24"/>
      <x:c r="W171" s="24"/>
      <x:c r="X171" s="24"/>
      <x:c r="Y171" s="24"/>
      <x:c r="Z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  <x:c r="K172" s="24"/>
      <x:c r="L172" s="24"/>
      <x:c r="M172" s="24"/>
      <x:c r="N172" s="24"/>
      <x:c r="O172" s="24"/>
      <x:c r="P172" s="24"/>
      <x:c r="Q172" s="24"/>
      <x:c r="R172" s="24"/>
      <x:c r="S172" s="24"/>
      <x:c r="T172" s="24"/>
      <x:c r="U172" s="24"/>
      <x:c r="V172" s="24"/>
      <x:c r="W172" s="24"/>
      <x:c r="X172" s="24"/>
      <x:c r="Y172" s="24"/>
      <x:c r="Z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  <x:c r="K173" s="24"/>
      <x:c r="L173" s="24"/>
      <x:c r="M173" s="24"/>
      <x:c r="N173" s="24"/>
      <x:c r="O173" s="24"/>
      <x:c r="P173" s="24"/>
      <x:c r="Q173" s="24"/>
      <x:c r="R173" s="24"/>
      <x:c r="S173" s="24"/>
      <x:c r="T173" s="24"/>
      <x:c r="U173" s="24"/>
      <x:c r="V173" s="24"/>
      <x:c r="W173" s="24"/>
      <x:c r="X173" s="24"/>
      <x:c r="Y173" s="24"/>
      <x:c r="Z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  <x:c r="K174" s="24"/>
      <x:c r="L174" s="24"/>
      <x:c r="M174" s="24"/>
      <x:c r="N174" s="24"/>
      <x:c r="O174" s="24"/>
      <x:c r="P174" s="24"/>
      <x:c r="Q174" s="24"/>
      <x:c r="R174" s="24"/>
      <x:c r="S174" s="24"/>
      <x:c r="T174" s="24"/>
      <x:c r="U174" s="24"/>
      <x:c r="V174" s="24"/>
      <x:c r="W174" s="24"/>
      <x:c r="X174" s="24"/>
      <x:c r="Y174" s="24"/>
      <x:c r="Z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  <x:c r="K175" s="24"/>
      <x:c r="L175" s="24"/>
      <x:c r="M175" s="24"/>
      <x:c r="N175" s="24"/>
      <x:c r="O175" s="24"/>
      <x:c r="P175" s="24"/>
      <x:c r="Q175" s="24"/>
      <x:c r="R175" s="24"/>
      <x:c r="S175" s="24"/>
      <x:c r="T175" s="24"/>
      <x:c r="U175" s="24"/>
      <x:c r="V175" s="24"/>
      <x:c r="W175" s="24"/>
      <x:c r="X175" s="24"/>
      <x:c r="Y175" s="24"/>
      <x:c r="Z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  <x:c r="K176" s="24"/>
      <x:c r="L176" s="24"/>
      <x:c r="M176" s="24"/>
      <x:c r="N176" s="24"/>
      <x:c r="O176" s="24"/>
      <x:c r="P176" s="24"/>
      <x:c r="Q176" s="24"/>
      <x:c r="R176" s="24"/>
      <x:c r="S176" s="24"/>
      <x:c r="T176" s="24"/>
      <x:c r="U176" s="24"/>
      <x:c r="V176" s="24"/>
      <x:c r="W176" s="24"/>
      <x:c r="X176" s="24"/>
      <x:c r="Y176" s="24"/>
      <x:c r="Z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  <x:c r="K177" s="24"/>
      <x:c r="L177" s="24"/>
      <x:c r="M177" s="24"/>
      <x:c r="N177" s="24"/>
      <x:c r="O177" s="24"/>
      <x:c r="P177" s="24"/>
      <x:c r="Q177" s="24"/>
      <x:c r="R177" s="24"/>
      <x:c r="S177" s="24"/>
      <x:c r="T177" s="24"/>
      <x:c r="U177" s="24"/>
      <x:c r="V177" s="24"/>
      <x:c r="W177" s="24"/>
      <x:c r="X177" s="24"/>
      <x:c r="Y177" s="24"/>
      <x:c r="Z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  <x:c r="K178" s="24"/>
      <x:c r="L178" s="24"/>
      <x:c r="M178" s="24"/>
      <x:c r="N178" s="24"/>
      <x:c r="O178" s="24"/>
      <x:c r="P178" s="24"/>
      <x:c r="Q178" s="24"/>
      <x:c r="R178" s="24"/>
      <x:c r="S178" s="24"/>
      <x:c r="T178" s="24"/>
      <x:c r="U178" s="24"/>
      <x:c r="V178" s="24"/>
      <x:c r="W178" s="24"/>
      <x:c r="X178" s="24"/>
      <x:c r="Y178" s="24"/>
      <x:c r="Z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  <x:c r="K179" s="24"/>
      <x:c r="L179" s="24"/>
      <x:c r="M179" s="24"/>
      <x:c r="N179" s="24"/>
      <x:c r="O179" s="24"/>
      <x:c r="P179" s="24"/>
      <x:c r="Q179" s="24"/>
      <x:c r="R179" s="24"/>
      <x:c r="S179" s="24"/>
      <x:c r="T179" s="24"/>
      <x:c r="U179" s="24"/>
      <x:c r="V179" s="24"/>
      <x:c r="W179" s="24"/>
      <x:c r="X179" s="24"/>
      <x:c r="Y179" s="24"/>
      <x:c r="Z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  <x:c r="K180" s="24"/>
      <x:c r="L180" s="24"/>
      <x:c r="M180" s="24"/>
      <x:c r="N180" s="24"/>
      <x:c r="O180" s="24"/>
      <x:c r="P180" s="24"/>
      <x:c r="Q180" s="24"/>
      <x:c r="R180" s="24"/>
      <x:c r="S180" s="24"/>
      <x:c r="T180" s="24"/>
      <x:c r="U180" s="24"/>
      <x:c r="V180" s="24"/>
      <x:c r="W180" s="24"/>
      <x:c r="X180" s="24"/>
      <x:c r="Y180" s="24"/>
      <x:c r="Z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  <x:c r="K181" s="24"/>
      <x:c r="L181" s="24"/>
      <x:c r="M181" s="24"/>
      <x:c r="N181" s="24"/>
      <x:c r="O181" s="24"/>
      <x:c r="P181" s="24"/>
      <x:c r="Q181" s="24"/>
      <x:c r="R181" s="24"/>
      <x:c r="S181" s="24"/>
      <x:c r="T181" s="24"/>
      <x:c r="U181" s="24"/>
      <x:c r="V181" s="24"/>
      <x:c r="W181" s="24"/>
      <x:c r="X181" s="24"/>
      <x:c r="Y181" s="24"/>
      <x:c r="Z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  <x:c r="K182" s="24"/>
      <x:c r="L182" s="24"/>
      <x:c r="M182" s="24"/>
      <x:c r="N182" s="24"/>
      <x:c r="O182" s="24"/>
      <x:c r="P182" s="24"/>
      <x:c r="Q182" s="24"/>
      <x:c r="R182" s="24"/>
      <x:c r="S182" s="24"/>
      <x:c r="T182" s="24"/>
      <x:c r="U182" s="24"/>
      <x:c r="V182" s="24"/>
      <x:c r="W182" s="24"/>
      <x:c r="X182" s="24"/>
      <x:c r="Y182" s="24"/>
      <x:c r="Z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  <x:c r="K183" s="24"/>
      <x:c r="L183" s="24"/>
      <x:c r="M183" s="24"/>
      <x:c r="N183" s="24"/>
      <x:c r="O183" s="24"/>
      <x:c r="P183" s="24"/>
      <x:c r="Q183" s="24"/>
      <x:c r="R183" s="24"/>
      <x:c r="S183" s="24"/>
      <x:c r="T183" s="24"/>
      <x:c r="U183" s="24"/>
      <x:c r="V183" s="24"/>
      <x:c r="W183" s="24"/>
      <x:c r="X183" s="24"/>
      <x:c r="Y183" s="24"/>
      <x:c r="Z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  <x:c r="K184" s="24"/>
      <x:c r="L184" s="24"/>
      <x:c r="M184" s="24"/>
      <x:c r="N184" s="24"/>
      <x:c r="O184" s="24"/>
      <x:c r="P184" s="24"/>
      <x:c r="Q184" s="24"/>
      <x:c r="R184" s="24"/>
      <x:c r="S184" s="24"/>
      <x:c r="T184" s="24"/>
      <x:c r="U184" s="24"/>
      <x:c r="V184" s="24"/>
      <x:c r="W184" s="24"/>
      <x:c r="X184" s="24"/>
      <x:c r="Y184" s="24"/>
      <x:c r="Z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  <x:c r="K185" s="24"/>
      <x:c r="L185" s="24"/>
      <x:c r="M185" s="24"/>
      <x:c r="N185" s="24"/>
      <x:c r="O185" s="24"/>
      <x:c r="P185" s="24"/>
      <x:c r="Q185" s="24"/>
      <x:c r="R185" s="24"/>
      <x:c r="S185" s="24"/>
      <x:c r="T185" s="24"/>
      <x:c r="U185" s="24"/>
      <x:c r="V185" s="24"/>
      <x:c r="W185" s="24"/>
      <x:c r="X185" s="24"/>
      <x:c r="Y185" s="24"/>
      <x:c r="Z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  <x:c r="K186" s="24"/>
      <x:c r="L186" s="24"/>
      <x:c r="M186" s="24"/>
      <x:c r="N186" s="24"/>
      <x:c r="O186" s="24"/>
      <x:c r="P186" s="24"/>
      <x:c r="Q186" s="24"/>
      <x:c r="R186" s="24"/>
      <x:c r="S186" s="24"/>
      <x:c r="T186" s="24"/>
      <x:c r="U186" s="24"/>
      <x:c r="V186" s="24"/>
      <x:c r="W186" s="24"/>
      <x:c r="X186" s="24"/>
      <x:c r="Y186" s="24"/>
      <x:c r="Z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  <x:c r="K187" s="24"/>
      <x:c r="L187" s="24"/>
      <x:c r="M187" s="24"/>
      <x:c r="N187" s="24"/>
      <x:c r="O187" s="24"/>
      <x:c r="P187" s="24"/>
      <x:c r="Q187" s="24"/>
      <x:c r="R187" s="24"/>
      <x:c r="S187" s="24"/>
      <x:c r="T187" s="24"/>
      <x:c r="U187" s="24"/>
      <x:c r="V187" s="24"/>
      <x:c r="W187" s="24"/>
      <x:c r="X187" s="24"/>
      <x:c r="Y187" s="24"/>
      <x:c r="Z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  <x:c r="K188" s="24"/>
      <x:c r="L188" s="24"/>
      <x:c r="M188" s="24"/>
      <x:c r="N188" s="24"/>
      <x:c r="O188" s="24"/>
      <x:c r="P188" s="24"/>
      <x:c r="Q188" s="24"/>
      <x:c r="R188" s="24"/>
      <x:c r="S188" s="24"/>
      <x:c r="T188" s="24"/>
      <x:c r="U188" s="24"/>
      <x:c r="V188" s="24"/>
      <x:c r="W188" s="24"/>
      <x:c r="X188" s="24"/>
      <x:c r="Y188" s="24"/>
      <x:c r="Z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  <x:c r="K189" s="24"/>
      <x:c r="L189" s="24"/>
      <x:c r="M189" s="24"/>
      <x:c r="N189" s="24"/>
      <x:c r="O189" s="24"/>
      <x:c r="P189" s="24"/>
      <x:c r="Q189" s="24"/>
      <x:c r="R189" s="24"/>
      <x:c r="S189" s="24"/>
      <x:c r="T189" s="24"/>
      <x:c r="U189" s="24"/>
      <x:c r="V189" s="24"/>
      <x:c r="W189" s="24"/>
      <x:c r="X189" s="24"/>
      <x:c r="Y189" s="24"/>
      <x:c r="Z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  <x:c r="K190" s="24"/>
      <x:c r="L190" s="24"/>
      <x:c r="M190" s="24"/>
      <x:c r="N190" s="24"/>
      <x:c r="O190" s="24"/>
      <x:c r="P190" s="24"/>
      <x:c r="Q190" s="24"/>
      <x:c r="R190" s="24"/>
      <x:c r="S190" s="24"/>
      <x:c r="T190" s="24"/>
      <x:c r="U190" s="24"/>
      <x:c r="V190" s="24"/>
      <x:c r="W190" s="24"/>
      <x:c r="X190" s="24"/>
      <x:c r="Y190" s="24"/>
      <x:c r="Z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  <x:c r="K191" s="24"/>
      <x:c r="L191" s="24"/>
      <x:c r="M191" s="24"/>
      <x:c r="N191" s="24"/>
      <x:c r="O191" s="24"/>
      <x:c r="P191" s="24"/>
      <x:c r="Q191" s="24"/>
      <x:c r="R191" s="24"/>
      <x:c r="S191" s="24"/>
      <x:c r="T191" s="24"/>
      <x:c r="U191" s="24"/>
      <x:c r="V191" s="24"/>
      <x:c r="W191" s="24"/>
      <x:c r="X191" s="24"/>
      <x:c r="Y191" s="24"/>
      <x:c r="Z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  <x:c r="K192" s="24"/>
      <x:c r="L192" s="24"/>
      <x:c r="M192" s="24"/>
      <x:c r="N192" s="24"/>
      <x:c r="O192" s="24"/>
      <x:c r="P192" s="24"/>
      <x:c r="Q192" s="24"/>
      <x:c r="R192" s="24"/>
      <x:c r="S192" s="24"/>
      <x:c r="T192" s="24"/>
      <x:c r="U192" s="24"/>
      <x:c r="V192" s="24"/>
      <x:c r="W192" s="24"/>
      <x:c r="X192" s="24"/>
      <x:c r="Y192" s="24"/>
      <x:c r="Z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  <x:c r="K193" s="24"/>
      <x:c r="L193" s="24"/>
      <x:c r="M193" s="24"/>
      <x:c r="N193" s="24"/>
      <x:c r="O193" s="24"/>
      <x:c r="P193" s="24"/>
      <x:c r="Q193" s="24"/>
      <x:c r="R193" s="24"/>
      <x:c r="S193" s="24"/>
      <x:c r="T193" s="24"/>
      <x:c r="U193" s="24"/>
      <x:c r="V193" s="24"/>
      <x:c r="W193" s="24"/>
      <x:c r="X193" s="24"/>
      <x:c r="Y193" s="24"/>
      <x:c r="Z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  <x:c r="K194" s="24"/>
      <x:c r="L194" s="24"/>
      <x:c r="M194" s="24"/>
      <x:c r="N194" s="24"/>
      <x:c r="O194" s="24"/>
      <x:c r="P194" s="24"/>
      <x:c r="Q194" s="24"/>
      <x:c r="R194" s="24"/>
      <x:c r="S194" s="24"/>
      <x:c r="T194" s="24"/>
      <x:c r="U194" s="24"/>
      <x:c r="V194" s="24"/>
      <x:c r="W194" s="24"/>
      <x:c r="X194" s="24"/>
      <x:c r="Y194" s="24"/>
      <x:c r="Z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  <x:c r="K195" s="24"/>
      <x:c r="L195" s="24"/>
      <x:c r="M195" s="24"/>
      <x:c r="N195" s="24"/>
      <x:c r="O195" s="24"/>
      <x:c r="P195" s="24"/>
      <x:c r="Q195" s="24"/>
      <x:c r="R195" s="24"/>
      <x:c r="S195" s="24"/>
      <x:c r="T195" s="24"/>
      <x:c r="U195" s="24"/>
      <x:c r="V195" s="24"/>
      <x:c r="W195" s="24"/>
      <x:c r="X195" s="24"/>
      <x:c r="Y195" s="24"/>
      <x:c r="Z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  <x:c r="K196" s="24"/>
      <x:c r="L196" s="24"/>
      <x:c r="M196" s="24"/>
      <x:c r="N196" s="24"/>
      <x:c r="O196" s="24"/>
      <x:c r="P196" s="24"/>
      <x:c r="Q196" s="24"/>
      <x:c r="R196" s="24"/>
      <x:c r="S196" s="24"/>
      <x:c r="T196" s="24"/>
      <x:c r="U196" s="24"/>
      <x:c r="V196" s="24"/>
      <x:c r="W196" s="24"/>
      <x:c r="X196" s="24"/>
      <x:c r="Y196" s="24"/>
      <x:c r="Z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  <x:c r="K197" s="24"/>
      <x:c r="L197" s="24"/>
      <x:c r="M197" s="24"/>
      <x:c r="N197" s="24"/>
      <x:c r="O197" s="24"/>
      <x:c r="P197" s="24"/>
      <x:c r="Q197" s="24"/>
      <x:c r="R197" s="24"/>
      <x:c r="S197" s="24"/>
      <x:c r="T197" s="24"/>
      <x:c r="U197" s="24"/>
      <x:c r="V197" s="24"/>
      <x:c r="W197" s="24"/>
      <x:c r="X197" s="24"/>
      <x:c r="Y197" s="24"/>
      <x:c r="Z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  <x:c r="K198" s="24"/>
      <x:c r="L198" s="24"/>
      <x:c r="M198" s="24"/>
      <x:c r="N198" s="24"/>
      <x:c r="O198" s="24"/>
      <x:c r="P198" s="24"/>
      <x:c r="Q198" s="24"/>
      <x:c r="R198" s="24"/>
      <x:c r="S198" s="24"/>
      <x:c r="T198" s="24"/>
      <x:c r="U198" s="24"/>
      <x:c r="V198" s="24"/>
      <x:c r="W198" s="24"/>
      <x:c r="X198" s="24"/>
      <x:c r="Y198" s="24"/>
      <x:c r="Z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  <x:c r="K199" s="24"/>
      <x:c r="L199" s="24"/>
      <x:c r="M199" s="24"/>
      <x:c r="N199" s="24"/>
      <x:c r="O199" s="24"/>
      <x:c r="P199" s="24"/>
      <x:c r="Q199" s="24"/>
      <x:c r="R199" s="24"/>
      <x:c r="S199" s="24"/>
      <x:c r="T199" s="24"/>
      <x:c r="U199" s="24"/>
      <x:c r="V199" s="24"/>
      <x:c r="W199" s="24"/>
      <x:c r="X199" s="24"/>
      <x:c r="Y199" s="24"/>
      <x:c r="Z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  <x:c r="K200" s="24"/>
      <x:c r="L200" s="24"/>
      <x:c r="M200" s="24"/>
      <x:c r="N200" s="24"/>
      <x:c r="O200" s="24"/>
      <x:c r="P200" s="24"/>
      <x:c r="Q200" s="24"/>
      <x:c r="R200" s="24"/>
      <x:c r="S200" s="24"/>
      <x:c r="T200" s="24"/>
      <x:c r="U200" s="24"/>
      <x:c r="V200" s="24"/>
      <x:c r="W200" s="24"/>
      <x:c r="X200" s="24"/>
      <x:c r="Y200" s="24"/>
      <x:c r="Z200" s="24"/>
    </x:row>
  </x:sheetData>
  <x:mergeCells>
    <x:mergeCell ref="A1:G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8" hidden="0" customWidth="1"/>
    <x:col min="4" max="4" width="15" hidden="0" customWidth="1"/>
    <x:col min="5" max="5" width="36" hidden="0" customWidth="1"/>
    <x:col min="6" max="6" width="40" hidden="0" customWidth="1"/>
    <x:col min="7" max="7" width="18" hidden="0" customWidth="1"/>
    <x:col min="8" max="8" width="23" hidden="0" customWidth="1"/>
    <x:col min="9" max="9" width="14" hidden="0" customWidth="1"/>
  </x:cols>
  <x:sheetData>
    <x:row r="1">
      <x:c r="A1" s="22" t="str">
        <x:v>UPGRADE MATRIX — V2.0 + V2.1</x:v>
      </x:c>
      <x:c r="B1" s="22"/>
      <x:c r="C1" s="22"/>
      <x:c r="D1" s="22"/>
      <x:c r="E1" s="22"/>
      <x:c r="F1" s="22"/>
      <x:c r="G1" s="22"/>
      <x:c r="H1" s="22"/>
      <x:c r="I1" s="22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>
      <x:c r="A2" s="24"/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  <x:c r="R2" s="24"/>
      <x:c r="S2" s="24"/>
      <x:c r="T2" s="24"/>
      <x:c r="U2" s="24"/>
      <x:c r="V2" s="24"/>
      <x:c r="W2" s="24"/>
      <x:c r="X2" s="24"/>
      <x:c r="Y2" s="24"/>
      <x:c r="Z2" s="24"/>
    </x:row>
    <x:row r="3">
      <x:c r="A3" s="25" t="str">
        <x:v>Version</x:v>
      </x:c>
      <x:c r="B3" s="25" t="str">
        <x:v>OUT</x:v>
      </x:c>
      <x:c r="C3" s="25" t="str">
        <x:v>IN</x:v>
      </x:c>
      <x:c r="D3" s="25" t="str">
        <x:v>Priority</x:v>
      </x:c>
      <x:c r="E3" s="25" t="str">
        <x:v>Function Gain</x:v>
      </x:c>
      <x:c r="F3" s="25" t="str">
        <x:v>Synergy Gain</x:v>
      </x:c>
      <x:c r="G3" s="25" t="str">
        <x:v>Curve Impact</x:v>
      </x:c>
      <x:c r="H3" s="25" t="str">
        <x:v>Theme Impact</x:v>
      </x:c>
      <x:c r="I3" s="25" t="str">
        <x:v>Confidence</x:v>
      </x:c>
      <x:c r="J3" s="24"/>
      <x:c r="K3" s="24"/>
      <x:c r="L3" s="24"/>
      <x:c r="M3" s="24"/>
      <x:c r="N3" s="24"/>
      <x:c r="O3" s="24"/>
      <x:c r="P3" s="24"/>
      <x:c r="Q3" s="24"/>
      <x:c r="R3" s="24"/>
      <x:c r="S3" s="24"/>
      <x:c r="T3" s="24"/>
      <x:c r="U3" s="24"/>
      <x:c r="V3" s="24"/>
      <x:c r="W3" s="24"/>
      <x:c r="X3" s="24"/>
      <x:c r="Y3" s="24"/>
      <x:c r="Z3" s="24"/>
    </x:row>
    <x:row r="4">
      <x:c r="A4" s="84" t="str">
        <x:v>V2.0</x:v>
      </x:c>
      <x:c r="B4" s="84" t="str">
        <x:v>Archfiend of Depravity</x:v>
      </x:c>
      <x:c r="C4" s="84" t="str">
        <x:v>Curse of Thirst</x:v>
      </x:c>
      <x:c r="D4" s="84" t="str">
        <x:v>A — Major</x:v>
      </x:c>
      <x:c r="E4" s="84" t="str">
        <x:v>Replace lower-fit slots with Curse density/engine/mana.</x:v>
      </x:c>
      <x:c r="F4" s="84" t="str">
        <x:v>Higher commander-specific fit.</x:v>
      </x:c>
      <x:c r="G4" s="84" t="str">
        <x:v>Mostly neutral / slightly improved.</x:v>
      </x:c>
      <x:c r="H4" s="84" t="str">
        <x:v>Strong positive</x:v>
      </x:c>
      <x:c r="I4" s="84" t="str">
        <x:v>High</x:v>
      </x:c>
      <x:c r="J4" s="24"/>
      <x:c r="K4" s="24"/>
      <x:c r="L4" s="24"/>
      <x:c r="M4" s="24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4"/>
      <x:c r="Z4" s="24"/>
    </x:row>
    <x:row r="5">
      <x:c r="A5" s="84" t="str">
        <x:v>V2.0</x:v>
      </x:c>
      <x:c r="B5" s="84" t="str">
        <x:v>Court of Vantress</x:v>
      </x:c>
      <x:c r="C5" s="84" t="str">
        <x:v>Curse of Fool's Wisdom</x:v>
      </x:c>
      <x:c r="D5" s="84" t="str">
        <x:v>A — Major</x:v>
      </x:c>
      <x:c r="E5" s="84" t="str">
        <x:v>Replace lower-fit slots with Curse density/engine/mana.</x:v>
      </x:c>
      <x:c r="F5" s="84" t="str">
        <x:v>Higher commander-specific fit.</x:v>
      </x:c>
      <x:c r="G5" s="84" t="str">
        <x:v>Mostly neutral / slightly improved.</x:v>
      </x:c>
      <x:c r="H5" s="84" t="str">
        <x:v>Strong positive</x:v>
      </x:c>
      <x:c r="I5" s="84" t="str">
        <x:v>High</x:v>
      </x:c>
      <x:c r="J5" s="24"/>
      <x:c r="K5" s="24"/>
      <x:c r="L5" s="24"/>
      <x:c r="M5" s="24"/>
      <x:c r="N5" s="24"/>
      <x:c r="O5" s="24"/>
      <x:c r="P5" s="24"/>
      <x:c r="Q5" s="24"/>
      <x:c r="R5" s="24"/>
      <x:c r="S5" s="24"/>
      <x:c r="T5" s="24"/>
      <x:c r="U5" s="24"/>
      <x:c r="V5" s="24"/>
      <x:c r="W5" s="24"/>
      <x:c r="X5" s="24"/>
      <x:c r="Y5" s="24"/>
      <x:c r="Z5" s="24"/>
    </x:row>
    <x:row r="6">
      <x:c r="A6" s="84" t="str">
        <x:v>V2.0</x:v>
      </x:c>
      <x:c r="B6" s="84" t="str">
        <x:v>Darkstar Augur</x:v>
      </x:c>
      <x:c r="C6" s="84" t="str">
        <x:v>Curse of Death's Hold</x:v>
      </x:c>
      <x:c r="D6" s="84" t="str">
        <x:v>A — Major</x:v>
      </x:c>
      <x:c r="E6" s="84" t="str">
        <x:v>Replace lower-fit slots with Curse density/engine/mana.</x:v>
      </x:c>
      <x:c r="F6" s="84" t="str">
        <x:v>Higher commander-specific fit.</x:v>
      </x:c>
      <x:c r="G6" s="84" t="str">
        <x:v>Mostly neutral / slightly improved.</x:v>
      </x:c>
      <x:c r="H6" s="84" t="str">
        <x:v>Strong positive</x:v>
      </x:c>
      <x:c r="I6" s="84" t="str">
        <x:v>High</x:v>
      </x:c>
      <x:c r="J6" s="24"/>
      <x:c r="K6" s="24"/>
      <x:c r="L6" s="24"/>
      <x:c r="M6" s="24"/>
      <x:c r="N6" s="24"/>
      <x:c r="O6" s="24"/>
      <x:c r="P6" s="24"/>
      <x:c r="Q6" s="24"/>
      <x:c r="R6" s="24"/>
      <x:c r="S6" s="24"/>
      <x:c r="T6" s="24"/>
      <x:c r="U6" s="24"/>
      <x:c r="V6" s="24"/>
      <x:c r="W6" s="24"/>
      <x:c r="X6" s="24"/>
      <x:c r="Y6" s="24"/>
      <x:c r="Z6" s="24"/>
    </x:row>
    <x:row r="7">
      <x:c r="A7" s="84" t="str">
        <x:v>V2.0</x:v>
      </x:c>
      <x:c r="B7" s="84" t="str">
        <x:v>Keen Duelist</x:v>
      </x:c>
      <x:c r="C7" s="84" t="str">
        <x:v>Curse of Obsession</x:v>
      </x:c>
      <x:c r="D7" s="84" t="str">
        <x:v>A — Major</x:v>
      </x:c>
      <x:c r="E7" s="84" t="str">
        <x:v>Replace lower-fit slots with Curse density/engine/mana.</x:v>
      </x:c>
      <x:c r="F7" s="84" t="str">
        <x:v>Higher commander-specific fit.</x:v>
      </x:c>
      <x:c r="G7" s="84" t="str">
        <x:v>Mostly neutral / slightly improved.</x:v>
      </x:c>
      <x:c r="H7" s="84" t="str">
        <x:v>Strong positive</x:v>
      </x:c>
      <x:c r="I7" s="84" t="str">
        <x:v>High</x:v>
      </x:c>
      <x:c r="J7" s="24"/>
      <x:c r="K7" s="24"/>
      <x:c r="L7" s="24"/>
      <x:c r="M7" s="24"/>
      <x:c r="N7" s="24"/>
      <x:c r="O7" s="24"/>
      <x:c r="P7" s="24"/>
      <x:c r="Q7" s="24"/>
      <x:c r="R7" s="24"/>
      <x:c r="S7" s="24"/>
      <x:c r="T7" s="24"/>
      <x:c r="U7" s="24"/>
      <x:c r="V7" s="24"/>
      <x:c r="W7" s="24"/>
      <x:c r="X7" s="24"/>
      <x:c r="Y7" s="24"/>
      <x:c r="Z7" s="24"/>
    </x:row>
    <x:row r="8">
      <x:c r="A8" s="84" t="str">
        <x:v>V2.0</x:v>
      </x:c>
      <x:c r="B8" s="84" t="str">
        <x:v>Lazav, Dimir Mastermind</x:v>
      </x:c>
      <x:c r="C8" s="84" t="str">
        <x:v>Curse of the Nightly Hunt</x:v>
      </x:c>
      <x:c r="D8" s="84" t="str">
        <x:v>A — Major</x:v>
      </x:c>
      <x:c r="E8" s="84" t="str">
        <x:v>Replace lower-fit slots with Curse density/engine/mana.</x:v>
      </x:c>
      <x:c r="F8" s="84" t="str">
        <x:v>Higher commander-specific fit.</x:v>
      </x:c>
      <x:c r="G8" s="84" t="str">
        <x:v>Mostly neutral / slightly improved.</x:v>
      </x:c>
      <x:c r="H8" s="84" t="str">
        <x:v>Strong positive</x:v>
      </x:c>
      <x:c r="I8" s="84" t="str">
        <x:v>High</x:v>
      </x:c>
      <x:c r="J8" s="24"/>
      <x:c r="K8" s="24"/>
      <x:c r="L8" s="24"/>
      <x:c r="M8" s="24"/>
      <x:c r="N8" s="24"/>
      <x:c r="O8" s="24"/>
      <x:c r="P8" s="24"/>
      <x:c r="Q8" s="24"/>
      <x:c r="R8" s="24"/>
      <x:c r="S8" s="24"/>
      <x:c r="T8" s="24"/>
      <x:c r="U8" s="24"/>
      <x:c r="V8" s="24"/>
      <x:c r="W8" s="24"/>
      <x:c r="X8" s="24"/>
      <x:c r="Y8" s="24"/>
      <x:c r="Z8" s="24"/>
    </x:row>
    <x:row r="9">
      <x:c r="A9" s="84" t="str">
        <x:v>V2.0</x:v>
      </x:c>
      <x:c r="B9" s="84" t="str">
        <x:v>Powerbalance</x:v>
      </x:c>
      <x:c r="C9" s="84" t="str">
        <x:v>Bitterheart Witch</x:v>
      </x:c>
      <x:c r="D9" s="84" t="str">
        <x:v>A — Major</x:v>
      </x:c>
      <x:c r="E9" s="84" t="str">
        <x:v>Replace lower-fit slots with Curse density/engine/mana.</x:v>
      </x:c>
      <x:c r="F9" s="84" t="str">
        <x:v>Higher commander-specific fit.</x:v>
      </x:c>
      <x:c r="G9" s="84" t="str">
        <x:v>Mostly neutral / slightly improved.</x:v>
      </x:c>
      <x:c r="H9" s="84" t="str">
        <x:v>Strong positive</x:v>
      </x:c>
      <x:c r="I9" s="84" t="str">
        <x:v>High</x:v>
      </x:c>
      <x:c r="J9" s="24"/>
      <x:c r="K9" s="24"/>
      <x:c r="L9" s="24"/>
      <x:c r="M9" s="24"/>
      <x:c r="N9" s="24"/>
      <x:c r="O9" s="24"/>
      <x:c r="P9" s="24"/>
      <x:c r="Q9" s="24"/>
      <x:c r="R9" s="24"/>
      <x:c r="S9" s="24"/>
      <x:c r="T9" s="24"/>
      <x:c r="U9" s="24"/>
      <x:c r="V9" s="24"/>
      <x:c r="W9" s="24"/>
      <x:c r="X9" s="24"/>
      <x:c r="Y9" s="24"/>
      <x:c r="Z9" s="24"/>
    </x:row>
    <x:row r="10">
      <x:c r="A10" s="84" t="str">
        <x:v>V2.0</x:v>
      </x:c>
      <x:c r="B10" s="84" t="str">
        <x:v>Relic of Sauron</x:v>
      </x:c>
      <x:c r="C10" s="84" t="str">
        <x:v>Entity Tracker</x:v>
      </x:c>
      <x:c r="D10" s="84" t="str">
        <x:v>A — Major</x:v>
      </x:c>
      <x:c r="E10" s="84" t="str">
        <x:v>Replace lower-fit slots with Curse density/engine/mana.</x:v>
      </x:c>
      <x:c r="F10" s="84" t="str">
        <x:v>Higher commander-specific fit.</x:v>
      </x:c>
      <x:c r="G10" s="84" t="str">
        <x:v>Mostly neutral / slightly improved.</x:v>
      </x:c>
      <x:c r="H10" s="84" t="str">
        <x:v>Strong positive</x:v>
      </x:c>
      <x:c r="I10" s="84" t="str">
        <x:v>High</x:v>
      </x:c>
      <x:c r="J10" s="24"/>
      <x:c r="K10" s="24"/>
      <x:c r="L10" s="24"/>
      <x:c r="M10" s="24"/>
      <x:c r="N10" s="24"/>
      <x:c r="O10" s="24"/>
      <x:c r="P10" s="24"/>
      <x:c r="Q10" s="24"/>
      <x:c r="R10" s="24"/>
      <x:c r="S10" s="24"/>
      <x:c r="T10" s="24"/>
      <x:c r="U10" s="24"/>
      <x:c r="V10" s="24"/>
      <x:c r="W10" s="24"/>
      <x:c r="X10" s="24"/>
      <x:c r="Y10" s="24"/>
      <x:c r="Z10" s="24"/>
    </x:row>
    <x:row r="11">
      <x:c r="A11" s="84" t="str">
        <x:v>V2.0</x:v>
      </x:c>
      <x:c r="B11" s="84" t="str">
        <x:v>Role Reversal</x:v>
      </x:c>
      <x:c r="C11" s="84" t="str">
        <x:v>Accursed Witch</x:v>
      </x:c>
      <x:c r="D11" s="84" t="str">
        <x:v>A — Major</x:v>
      </x:c>
      <x:c r="E11" s="84" t="str">
        <x:v>Replace lower-fit slots with Curse density/engine/mana.</x:v>
      </x:c>
      <x:c r="F11" s="84" t="str">
        <x:v>Higher commander-specific fit.</x:v>
      </x:c>
      <x:c r="G11" s="84" t="str">
        <x:v>Mostly neutral / slightly improved.</x:v>
      </x:c>
      <x:c r="H11" s="84" t="str">
        <x:v>Strong positive</x:v>
      </x:c>
      <x:c r="I11" s="84" t="str">
        <x:v>High</x:v>
      </x:c>
      <x:c r="J11" s="24"/>
      <x:c r="K11" s="24"/>
      <x:c r="L11" s="24"/>
      <x:c r="M11" s="24"/>
      <x:c r="N11" s="24"/>
      <x:c r="O11" s="24"/>
      <x:c r="P11" s="24"/>
      <x:c r="Q11" s="24"/>
      <x:c r="R11" s="24"/>
      <x:c r="S11" s="24"/>
      <x:c r="T11" s="24"/>
      <x:c r="U11" s="24"/>
      <x:c r="V11" s="24"/>
      <x:c r="W11" s="24"/>
      <x:c r="X11" s="24"/>
      <x:c r="Y11" s="24"/>
      <x:c r="Z11" s="24"/>
    </x:row>
    <x:row r="12">
      <x:c r="A12" s="84" t="str">
        <x:v>V2.0</x:v>
      </x:c>
      <x:c r="B12" s="84" t="str">
        <x:v>The Horus Heresy</x:v>
      </x:c>
      <x:c r="C12" s="84" t="str">
        <x:v>Paradox Haze</x:v>
      </x:c>
      <x:c r="D12" s="84" t="str">
        <x:v>A — Major</x:v>
      </x:c>
      <x:c r="E12" s="84" t="str">
        <x:v>Replace lower-fit slots with Curse density/engine/mana.</x:v>
      </x:c>
      <x:c r="F12" s="84" t="str">
        <x:v>Higher commander-specific fit.</x:v>
      </x:c>
      <x:c r="G12" s="84" t="str">
        <x:v>Mostly neutral / slightly improved.</x:v>
      </x:c>
      <x:c r="H12" s="84" t="str">
        <x:v>Strong positive</x:v>
      </x:c>
      <x:c r="I12" s="84" t="str">
        <x:v>High</x:v>
      </x:c>
      <x:c r="J12" s="24"/>
      <x:c r="K12" s="24"/>
      <x:c r="L12" s="24"/>
      <x:c r="M12" s="24"/>
      <x:c r="N12" s="24"/>
      <x:c r="O12" s="24"/>
      <x:c r="P12" s="24"/>
      <x:c r="Q12" s="24"/>
      <x:c r="R12" s="24"/>
      <x:c r="S12" s="24"/>
      <x:c r="T12" s="24"/>
      <x:c r="U12" s="24"/>
      <x:c r="V12" s="24"/>
      <x:c r="W12" s="24"/>
      <x:c r="X12" s="24"/>
      <x:c r="Y12" s="24"/>
      <x:c r="Z12" s="24"/>
    </x:row>
    <x:row r="13">
      <x:c r="A13" s="84" t="str">
        <x:v>V2.0</x:v>
      </x:c>
      <x:c r="B13" s="84" t="str">
        <x:v>Temple of the False God</x:v>
      </x:c>
      <x:c r="C13" s="84" t="str">
        <x:v>Morphic Pool</x:v>
      </x:c>
      <x:c r="D13" s="84" t="str">
        <x:v>A — Major</x:v>
      </x:c>
      <x:c r="E13" s="84" t="str">
        <x:v>Replace lower-fit slots with Curse density/engine/mana.</x:v>
      </x:c>
      <x:c r="F13" s="84" t="str">
        <x:v>Higher commander-specific fit.</x:v>
      </x:c>
      <x:c r="G13" s="84" t="str">
        <x:v>Mostly neutral / slightly improved.</x:v>
      </x:c>
      <x:c r="H13" s="84" t="str">
        <x:v>Strong positive</x:v>
      </x:c>
      <x:c r="I13" s="84" t="str">
        <x:v>High</x:v>
      </x:c>
      <x:c r="J13" s="24"/>
      <x:c r="K13" s="24"/>
      <x:c r="L13" s="24"/>
      <x:c r="M13" s="24"/>
      <x:c r="N13" s="24"/>
      <x:c r="O13" s="24"/>
      <x:c r="P13" s="24"/>
      <x:c r="Q13" s="24"/>
      <x:c r="R13" s="24"/>
      <x:c r="S13" s="24"/>
      <x:c r="T13" s="24"/>
      <x:c r="U13" s="24"/>
      <x:c r="V13" s="24"/>
      <x:c r="W13" s="24"/>
      <x:c r="X13" s="24"/>
      <x:c r="Y13" s="24"/>
      <x:c r="Z13" s="24"/>
    </x:row>
    <x:row r="14">
      <x:c r="A14" s="84" t="str">
        <x:v>V2.0</x:v>
      </x:c>
      <x:c r="B14" s="84" t="str">
        <x:v>Unknown Shores</x:v>
      </x:c>
      <x:c r="C14" s="84" t="str">
        <x:v>Training Center</x:v>
      </x:c>
      <x:c r="D14" s="84" t="str">
        <x:v>A — Major</x:v>
      </x:c>
      <x:c r="E14" s="84" t="str">
        <x:v>Replace lower-fit slots with Curse density/engine/mana.</x:v>
      </x:c>
      <x:c r="F14" s="84" t="str">
        <x:v>Higher commander-specific fit.</x:v>
      </x:c>
      <x:c r="G14" s="84" t="str">
        <x:v>Mostly neutral / slightly improved.</x:v>
      </x:c>
      <x:c r="H14" s="84" t="str">
        <x:v>Strong positive</x:v>
      </x:c>
      <x:c r="I14" s="84" t="str">
        <x:v>High</x:v>
      </x:c>
      <x:c r="J14" s="24"/>
      <x:c r="K14" s="24"/>
      <x:c r="L14" s="24"/>
      <x:c r="M14" s="24"/>
      <x:c r="N14" s="24"/>
      <x:c r="O14" s="24"/>
      <x:c r="P14" s="24"/>
      <x:c r="Q14" s="24"/>
      <x:c r="R14" s="24"/>
      <x:c r="S14" s="24"/>
      <x:c r="T14" s="24"/>
      <x:c r="U14" s="24"/>
      <x:c r="V14" s="24"/>
      <x:c r="W14" s="24"/>
      <x:c r="X14" s="24"/>
      <x:c r="Y14" s="24"/>
      <x:c r="Z14" s="24"/>
    </x:row>
    <x:row r="15">
      <x:c r="A15" s="84" t="str">
        <x:v>V2.0</x:v>
      </x:c>
      <x:c r="B15" s="84" t="str">
        <x:v>Dreadship Reef</x:v>
      </x:c>
      <x:c r="C15" s="84" t="str">
        <x:v>Blood Crypt</x:v>
      </x:c>
      <x:c r="D15" s="84" t="str">
        <x:v>A — Major</x:v>
      </x:c>
      <x:c r="E15" s="84" t="str">
        <x:v>Replace lower-fit slots with Curse density/engine/mana.</x:v>
      </x:c>
      <x:c r="F15" s="84" t="str">
        <x:v>Higher commander-specific fit.</x:v>
      </x:c>
      <x:c r="G15" s="84" t="str">
        <x:v>Mostly neutral / slightly improved.</x:v>
      </x:c>
      <x:c r="H15" s="84" t="str">
        <x:v>Strong positive</x:v>
      </x:c>
      <x:c r="I15" s="84" t="str">
        <x:v>High</x:v>
      </x:c>
      <x:c r="J15" s="24"/>
      <x:c r="K15" s="24"/>
      <x:c r="L15" s="24"/>
      <x:c r="M15" s="24"/>
      <x:c r="N15" s="24"/>
      <x:c r="O15" s="24"/>
      <x:c r="P15" s="24"/>
      <x:c r="Q15" s="24"/>
      <x:c r="R15" s="24"/>
      <x:c r="S15" s="24"/>
      <x:c r="T15" s="24"/>
      <x:c r="U15" s="24"/>
      <x:c r="V15" s="24"/>
      <x:c r="W15" s="24"/>
      <x:c r="X15" s="24"/>
      <x:c r="Y15" s="24"/>
      <x:c r="Z15" s="24"/>
    </x:row>
    <x:row r="16">
      <x:c r="A16" s="84" t="str">
        <x:v>V2.0</x:v>
      </x:c>
      <x:c r="B16" s="84" t="str">
        <x:v>Surtland Frostpyre</x:v>
      </x:c>
      <x:c r="C16" s="84" t="str">
        <x:v>Watery Grave</x:v>
      </x:c>
      <x:c r="D16" s="84" t="str">
        <x:v>A — Major</x:v>
      </x:c>
      <x:c r="E16" s="84" t="str">
        <x:v>Replace lower-fit slots with Curse density/engine/mana.</x:v>
      </x:c>
      <x:c r="F16" s="84" t="str">
        <x:v>Higher commander-specific fit.</x:v>
      </x:c>
      <x:c r="G16" s="84" t="str">
        <x:v>Mostly neutral / slightly improved.</x:v>
      </x:c>
      <x:c r="H16" s="84" t="str">
        <x:v>Strong positive</x:v>
      </x:c>
      <x:c r="I16" s="84" t="str">
        <x:v>High</x:v>
      </x:c>
      <x:c r="J16" s="24"/>
      <x:c r="K16" s="24"/>
      <x:c r="L16" s="24"/>
      <x:c r="M16" s="24"/>
      <x:c r="N16" s="24"/>
      <x:c r="O16" s="24"/>
      <x:c r="P16" s="24"/>
      <x:c r="Q16" s="24"/>
      <x:c r="R16" s="24"/>
      <x:c r="S16" s="24"/>
      <x:c r="T16" s="24"/>
      <x:c r="U16" s="24"/>
      <x:c r="V16" s="24"/>
      <x:c r="W16" s="24"/>
      <x:c r="X16" s="24"/>
      <x:c r="Y16" s="24"/>
      <x:c r="Z16" s="24"/>
    </x:row>
    <x:row r="17">
      <x:c r="A17" s="84" t="str">
        <x:v>V2.1</x:v>
      </x:c>
      <x:c r="B17" s="84" t="str">
        <x:v>Plargg and Nassari</x:v>
      </x:c>
      <x:c r="C17" s="84" t="str">
        <x:v>Grim Guardian</x:v>
      </x:c>
      <x:c r="D17" s="84" t="str">
        <x:v>A — Major</x:v>
      </x:c>
      <x:c r="E17" s="84" t="str">
        <x:v>Add enchantment payoff/copy/Curse density.</x:v>
      </x:c>
      <x:c r="F17" s="84" t="str">
        <x:v>Strong positive; more role compression.</x:v>
      </x:c>
      <x:c r="G17" s="84" t="str">
        <x:v>Neutral</x:v>
      </x:c>
      <x:c r="H17" s="84" t="str">
        <x:v>Strong positive</x:v>
      </x:c>
      <x:c r="I17" s="84" t="str">
        <x:v>High</x:v>
      </x:c>
      <x:c r="J17" s="24"/>
      <x:c r="K17" s="24"/>
      <x:c r="L17" s="24"/>
      <x:c r="M17" s="24"/>
      <x:c r="N17" s="24"/>
      <x:c r="O17" s="24"/>
      <x:c r="P17" s="24"/>
      <x:c r="Q17" s="24"/>
      <x:c r="R17" s="24"/>
      <x:c r="S17" s="24"/>
      <x:c r="T17" s="24"/>
      <x:c r="U17" s="24"/>
      <x:c r="V17" s="24"/>
      <x:c r="W17" s="24"/>
      <x:c r="X17" s="24"/>
      <x:c r="Y17" s="24"/>
      <x:c r="Z17" s="24"/>
    </x:row>
    <x:row r="18">
      <x:c r="A18" s="84" t="str">
        <x:v>V2.1</x:v>
      </x:c>
      <x:c r="B18" s="84" t="str">
        <x:v>Plea for Power</x:v>
      </x:c>
      <x:c r="C18" s="84" t="str">
        <x:v>Curse of Echoes</x:v>
      </x:c>
      <x:c r="D18" s="84" t="str">
        <x:v>A — Major</x:v>
      </x:c>
      <x:c r="E18" s="84" t="str">
        <x:v>Add enchantment payoff/copy/Curse density.</x:v>
      </x:c>
      <x:c r="F18" s="84" t="str">
        <x:v>Strong positive; more role compression.</x:v>
      </x:c>
      <x:c r="G18" s="84" t="str">
        <x:v>Neutral</x:v>
      </x:c>
      <x:c r="H18" s="84" t="str">
        <x:v>Strong positive</x:v>
      </x:c>
      <x:c r="I18" s="84" t="str">
        <x:v>High</x:v>
      </x:c>
      <x:c r="J18" s="24"/>
      <x:c r="K18" s="24"/>
      <x:c r="L18" s="24"/>
      <x:c r="M18" s="24"/>
      <x:c r="N18" s="24"/>
      <x:c r="O18" s="24"/>
      <x:c r="P18" s="24"/>
      <x:c r="Q18" s="24"/>
      <x:c r="R18" s="24"/>
      <x:c r="S18" s="24"/>
      <x:c r="T18" s="24"/>
      <x:c r="U18" s="24"/>
      <x:c r="V18" s="24"/>
      <x:c r="W18" s="24"/>
      <x:c r="X18" s="24"/>
      <x:c r="Y18" s="24"/>
      <x:c r="Z18" s="24"/>
    </x:row>
    <x:row r="19">
      <x:c r="A19" s="84" t="str">
        <x:v>V2.1</x:v>
      </x:c>
      <x:c r="B19" s="84" t="str">
        <x:v>Evil Twin</x:v>
      </x:c>
      <x:c r="C19" s="84" t="str">
        <x:v>Doomwake Giant</x:v>
      </x:c>
      <x:c r="D19" s="84" t="str">
        <x:v>A — Major</x:v>
      </x:c>
      <x:c r="E19" s="84" t="str">
        <x:v>Add enchantment payoff/copy/Curse density.</x:v>
      </x:c>
      <x:c r="F19" s="84" t="str">
        <x:v>Strong positive; more role compression.</x:v>
      </x:c>
      <x:c r="G19" s="84" t="str">
        <x:v>Neutral</x:v>
      </x:c>
      <x:c r="H19" s="84" t="str">
        <x:v>Strong positive</x:v>
      </x:c>
      <x:c r="I19" s="84" t="str">
        <x:v>High</x:v>
      </x:c>
      <x:c r="J19" s="24"/>
      <x:c r="K19" s="24"/>
      <x:c r="L19" s="24"/>
      <x:c r="M19" s="24"/>
      <x:c r="N19" s="24"/>
      <x:c r="O19" s="24"/>
      <x:c r="P19" s="24"/>
      <x:c r="Q19" s="24"/>
      <x:c r="R19" s="24"/>
      <x:c r="S19" s="24"/>
      <x:c r="T19" s="24"/>
      <x:c r="U19" s="24"/>
      <x:c r="V19" s="24"/>
      <x:c r="W19" s="24"/>
      <x:c r="X19" s="24"/>
      <x:c r="Y19" s="24"/>
      <x:c r="Z19" s="24"/>
    </x:row>
    <x:row r="20">
      <x:c r="A20" s="84" t="str">
        <x:v>V2.1</x:v>
      </x:c>
      <x:c r="B20" s="84" t="str">
        <x:v>Roadside Reliquary</x:v>
      </x:c>
      <x:c r="C20" s="84" t="str">
        <x:v>Mirrormade</x:v>
      </x:c>
      <x:c r="D20" s="84" t="str">
        <x:v>A — Major</x:v>
      </x:c>
      <x:c r="E20" s="84" t="str">
        <x:v>Add enchantment payoff/copy/Curse density.</x:v>
      </x:c>
      <x:c r="F20" s="84" t="str">
        <x:v>Strong positive; more role compression.</x:v>
      </x:c>
      <x:c r="G20" s="84" t="str">
        <x:v>Neutral</x:v>
      </x:c>
      <x:c r="H20" s="84" t="str">
        <x:v>Strong positive</x:v>
      </x:c>
      <x:c r="I20" s="84" t="str">
        <x:v>High</x:v>
      </x:c>
      <x:c r="J20" s="24"/>
      <x:c r="K20" s="24"/>
      <x:c r="L20" s="24"/>
      <x:c r="M20" s="24"/>
      <x:c r="N20" s="24"/>
      <x:c r="O20" s="24"/>
      <x:c r="P20" s="24"/>
      <x:c r="Q20" s="24"/>
      <x:c r="R20" s="24"/>
      <x:c r="S20" s="24"/>
      <x:c r="T20" s="24"/>
      <x:c r="U20" s="24"/>
      <x:c r="V20" s="24"/>
      <x:c r="W20" s="24"/>
      <x:c r="X20" s="24"/>
      <x:c r="Y20" s="24"/>
      <x:c r="Z20" s="24"/>
    </x:row>
    <x:row r="21">
      <x:c r="A21" s="84" t="str">
        <x:v>V2.1</x:v>
      </x:c>
      <x:c r="B21" s="84" t="str">
        <x:v>Ensnared by the Mara</x:v>
      </x:c>
      <x:c r="C21" s="84" t="str">
        <x:v>Curse of Shallow Graves</x:v>
      </x:c>
      <x:c r="D21" s="84" t="str">
        <x:v>A — Major</x:v>
      </x:c>
      <x:c r="E21" s="84" t="str">
        <x:v>Add enchantment payoff/copy/Curse density.</x:v>
      </x:c>
      <x:c r="F21" s="84" t="str">
        <x:v>Strong positive; more role compression.</x:v>
      </x:c>
      <x:c r="G21" s="84" t="str">
        <x:v>Neutral</x:v>
      </x:c>
      <x:c r="H21" s="84" t="str">
        <x:v>Strong positive</x:v>
      </x:c>
      <x:c r="I21" s="84" t="str">
        <x:v>High</x:v>
      </x:c>
      <x:c r="J21" s="24"/>
      <x:c r="K21" s="24"/>
      <x:c r="L21" s="24"/>
      <x:c r="M21" s="24"/>
      <x:c r="N21" s="24"/>
      <x:c r="O21" s="24"/>
      <x:c r="P21" s="24"/>
      <x:c r="Q21" s="24"/>
      <x:c r="R21" s="24"/>
      <x:c r="S21" s="24"/>
      <x:c r="T21" s="24"/>
      <x:c r="U21" s="24"/>
      <x:c r="V21" s="24"/>
      <x:c r="W21" s="24"/>
      <x:c r="X21" s="24"/>
      <x:c r="Y21" s="24"/>
      <x:c r="Z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  <x:c r="L22" s="24"/>
      <x:c r="M22" s="24"/>
      <x:c r="N22" s="24"/>
      <x:c r="O22" s="24"/>
      <x:c r="P22" s="24"/>
      <x:c r="Q22" s="24"/>
      <x:c r="R22" s="24"/>
      <x:c r="S22" s="24"/>
      <x:c r="T22" s="24"/>
      <x:c r="U22" s="24"/>
      <x:c r="V22" s="24"/>
      <x:c r="W22" s="24"/>
      <x:c r="X22" s="24"/>
      <x:c r="Y22" s="24"/>
      <x:c r="Z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  <x:c r="L23" s="24"/>
      <x:c r="M23" s="24"/>
      <x:c r="N23" s="24"/>
      <x:c r="O23" s="24"/>
      <x:c r="P23" s="24"/>
      <x:c r="Q23" s="24"/>
      <x:c r="R23" s="24"/>
      <x:c r="S23" s="24"/>
      <x:c r="T23" s="24"/>
      <x:c r="U23" s="24"/>
      <x:c r="V23" s="24"/>
      <x:c r="W23" s="24"/>
      <x:c r="X23" s="24"/>
      <x:c r="Y23" s="24"/>
      <x:c r="Z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  <x:c r="L24" s="24"/>
      <x:c r="M24" s="24"/>
      <x:c r="N24" s="24"/>
      <x:c r="O24" s="24"/>
      <x:c r="P24" s="24"/>
      <x:c r="Q24" s="24"/>
      <x:c r="R24" s="24"/>
      <x:c r="S24" s="24"/>
      <x:c r="T24" s="24"/>
      <x:c r="U24" s="24"/>
      <x:c r="V24" s="24"/>
      <x:c r="W24" s="24"/>
      <x:c r="X24" s="24"/>
      <x:c r="Y24" s="24"/>
      <x:c r="Z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  <x:c r="K25" s="24"/>
      <x:c r="L25" s="24"/>
      <x:c r="M25" s="24"/>
      <x:c r="N25" s="24"/>
      <x:c r="O25" s="24"/>
      <x:c r="P25" s="24"/>
      <x:c r="Q25" s="24"/>
      <x:c r="R25" s="24"/>
      <x:c r="S25" s="24"/>
      <x:c r="T25" s="24"/>
      <x:c r="U25" s="24"/>
      <x:c r="V25" s="24"/>
      <x:c r="W25" s="24"/>
      <x:c r="X25" s="24"/>
      <x:c r="Y25" s="24"/>
      <x:c r="Z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  <x:c r="L26" s="24"/>
      <x:c r="M26" s="24"/>
      <x:c r="N26" s="24"/>
      <x:c r="O26" s="24"/>
      <x:c r="P26" s="24"/>
      <x:c r="Q26" s="24"/>
      <x:c r="R26" s="24"/>
      <x:c r="S26" s="24"/>
      <x:c r="T26" s="24"/>
      <x:c r="U26" s="24"/>
      <x:c r="V26" s="24"/>
      <x:c r="W26" s="24"/>
      <x:c r="X26" s="24"/>
      <x:c r="Y26" s="24"/>
      <x:c r="Z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  <x:c r="K27" s="24"/>
      <x:c r="L27" s="24"/>
      <x:c r="M27" s="24"/>
      <x:c r="N27" s="24"/>
      <x:c r="O27" s="24"/>
      <x:c r="P27" s="24"/>
      <x:c r="Q27" s="24"/>
      <x:c r="R27" s="24"/>
      <x:c r="S27" s="24"/>
      <x:c r="T27" s="24"/>
      <x:c r="U27" s="24"/>
      <x:c r="V27" s="24"/>
      <x:c r="W27" s="24"/>
      <x:c r="X27" s="24"/>
      <x:c r="Y27" s="24"/>
      <x:c r="Z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  <x:c r="K28" s="24"/>
      <x:c r="L28" s="24"/>
      <x:c r="M28" s="24"/>
      <x:c r="N28" s="24"/>
      <x:c r="O28" s="24"/>
      <x:c r="P28" s="24"/>
      <x:c r="Q28" s="24"/>
      <x:c r="R28" s="24"/>
      <x:c r="S28" s="24"/>
      <x:c r="T28" s="24"/>
      <x:c r="U28" s="24"/>
      <x:c r="V28" s="24"/>
      <x:c r="W28" s="24"/>
      <x:c r="X28" s="24"/>
      <x:c r="Y28" s="24"/>
      <x:c r="Z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  <x:c r="K29" s="24"/>
      <x:c r="L29" s="24"/>
      <x:c r="M29" s="24"/>
      <x:c r="N29" s="24"/>
      <x:c r="O29" s="24"/>
      <x:c r="P29" s="24"/>
      <x:c r="Q29" s="24"/>
      <x:c r="R29" s="24"/>
      <x:c r="S29" s="24"/>
      <x:c r="T29" s="24"/>
      <x:c r="U29" s="24"/>
      <x:c r="V29" s="24"/>
      <x:c r="W29" s="24"/>
      <x:c r="X29" s="24"/>
      <x:c r="Y29" s="24"/>
      <x:c r="Z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  <x:c r="K30" s="24"/>
      <x:c r="L30" s="24"/>
      <x:c r="M30" s="24"/>
      <x:c r="N30" s="24"/>
      <x:c r="O30" s="24"/>
      <x:c r="P30" s="24"/>
      <x:c r="Q30" s="24"/>
      <x:c r="R30" s="24"/>
      <x:c r="S30" s="24"/>
      <x:c r="T30" s="24"/>
      <x:c r="U30" s="24"/>
      <x:c r="V30" s="24"/>
      <x:c r="W30" s="24"/>
      <x:c r="X30" s="24"/>
      <x:c r="Y30" s="24"/>
      <x:c r="Z30" s="24"/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  <x:c r="K31" s="24"/>
      <x:c r="L31" s="24"/>
      <x:c r="M31" s="24"/>
      <x:c r="N31" s="24"/>
      <x:c r="O31" s="24"/>
      <x:c r="P31" s="24"/>
      <x:c r="Q31" s="24"/>
      <x:c r="R31" s="24"/>
      <x:c r="S31" s="24"/>
      <x:c r="T31" s="24"/>
      <x:c r="U31" s="24"/>
      <x:c r="V31" s="24"/>
      <x:c r="W31" s="24"/>
      <x:c r="X31" s="24"/>
      <x:c r="Y31" s="24"/>
      <x:c r="Z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  <x:c r="K32" s="24"/>
      <x:c r="L32" s="24"/>
      <x:c r="M32" s="24"/>
      <x:c r="N32" s="24"/>
      <x:c r="O32" s="24"/>
      <x:c r="P32" s="24"/>
      <x:c r="Q32" s="24"/>
      <x:c r="R32" s="24"/>
      <x:c r="S32" s="24"/>
      <x:c r="T32" s="24"/>
      <x:c r="U32" s="24"/>
      <x:c r="V32" s="24"/>
      <x:c r="W32" s="24"/>
      <x:c r="X32" s="24"/>
      <x:c r="Y32" s="24"/>
      <x:c r="Z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  <x:c r="L33" s="24"/>
      <x:c r="M33" s="24"/>
      <x:c r="N33" s="24"/>
      <x:c r="O33" s="24"/>
      <x:c r="P33" s="24"/>
      <x:c r="Q33" s="24"/>
      <x:c r="R33" s="24"/>
      <x:c r="S33" s="24"/>
      <x:c r="T33" s="24"/>
      <x:c r="U33" s="24"/>
      <x:c r="V33" s="24"/>
      <x:c r="W33" s="24"/>
      <x:c r="X33" s="24"/>
      <x:c r="Y33" s="24"/>
      <x:c r="Z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  <x:c r="K34" s="24"/>
      <x:c r="L34" s="24"/>
      <x:c r="M34" s="24"/>
      <x:c r="N34" s="24"/>
      <x:c r="O34" s="24"/>
      <x:c r="P34" s="24"/>
      <x:c r="Q34" s="24"/>
      <x:c r="R34" s="24"/>
      <x:c r="S34" s="24"/>
      <x:c r="T34" s="24"/>
      <x:c r="U34" s="24"/>
      <x:c r="V34" s="24"/>
      <x:c r="W34" s="24"/>
      <x:c r="X34" s="24"/>
      <x:c r="Y34" s="24"/>
      <x:c r="Z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  <x:c r="L35" s="24"/>
      <x:c r="M35" s="24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4"/>
      <x:c r="Z35" s="24"/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  <x:c r="K36" s="24"/>
      <x:c r="L36" s="24"/>
      <x:c r="M36" s="24"/>
      <x:c r="N36" s="24"/>
      <x:c r="O36" s="24"/>
      <x:c r="P36" s="24"/>
      <x:c r="Q36" s="24"/>
      <x:c r="R36" s="24"/>
      <x:c r="S36" s="24"/>
      <x:c r="T36" s="24"/>
      <x:c r="U36" s="24"/>
      <x:c r="V36" s="24"/>
      <x:c r="W36" s="24"/>
      <x:c r="X36" s="24"/>
      <x:c r="Y36" s="24"/>
      <x:c r="Z36" s="24"/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  <x:c r="L37" s="24"/>
      <x:c r="M37" s="24"/>
      <x:c r="N37" s="24"/>
      <x:c r="O37" s="24"/>
      <x:c r="P37" s="24"/>
      <x:c r="Q37" s="24"/>
      <x:c r="R37" s="24"/>
      <x:c r="S37" s="24"/>
      <x:c r="T37" s="24"/>
      <x:c r="U37" s="24"/>
      <x:c r="V37" s="24"/>
      <x:c r="W37" s="24"/>
      <x:c r="X37" s="24"/>
      <x:c r="Y37" s="24"/>
      <x:c r="Z37" s="24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  <x:c r="K38" s="24"/>
      <x:c r="L38" s="24"/>
      <x:c r="M38" s="24"/>
      <x:c r="N38" s="24"/>
      <x:c r="O38" s="24"/>
      <x:c r="P38" s="24"/>
      <x:c r="Q38" s="24"/>
      <x:c r="R38" s="24"/>
      <x:c r="S38" s="24"/>
      <x:c r="T38" s="24"/>
      <x:c r="U38" s="24"/>
      <x:c r="V38" s="24"/>
      <x:c r="W38" s="24"/>
      <x:c r="X38" s="24"/>
      <x:c r="Y38" s="24"/>
      <x:c r="Z38" s="24"/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  <x:c r="K39" s="24"/>
      <x:c r="L39" s="24"/>
      <x:c r="M39" s="24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4"/>
      <x:c r="Z39" s="24"/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  <x:c r="L40" s="24"/>
      <x:c r="M40" s="24"/>
      <x:c r="N40" s="24"/>
      <x:c r="O40" s="24"/>
      <x:c r="P40" s="24"/>
      <x:c r="Q40" s="24"/>
      <x:c r="R40" s="24"/>
      <x:c r="S40" s="24"/>
      <x:c r="T40" s="24"/>
      <x:c r="U40" s="24"/>
      <x:c r="V40" s="24"/>
      <x:c r="W40" s="24"/>
      <x:c r="X40" s="24"/>
      <x:c r="Y40" s="24"/>
      <x:c r="Z40" s="24"/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  <x:c r="K41" s="24"/>
      <x:c r="L41" s="24"/>
      <x:c r="M41" s="24"/>
      <x:c r="N41" s="24"/>
      <x:c r="O41" s="24"/>
      <x:c r="P41" s="24"/>
      <x:c r="Q41" s="24"/>
      <x:c r="R41" s="24"/>
      <x:c r="S41" s="24"/>
      <x:c r="T41" s="24"/>
      <x:c r="U41" s="24"/>
      <x:c r="V41" s="24"/>
      <x:c r="W41" s="24"/>
      <x:c r="X41" s="24"/>
      <x:c r="Y41" s="24"/>
      <x:c r="Z41" s="24"/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  <x:c r="L42" s="24"/>
      <x:c r="M42" s="24"/>
      <x:c r="N42" s="24"/>
      <x:c r="O42" s="24"/>
      <x:c r="P42" s="24"/>
      <x:c r="Q42" s="24"/>
      <x:c r="R42" s="24"/>
      <x:c r="S42" s="24"/>
      <x:c r="T42" s="24"/>
      <x:c r="U42" s="24"/>
      <x:c r="V42" s="24"/>
      <x:c r="W42" s="24"/>
      <x:c r="X42" s="24"/>
      <x:c r="Y42" s="24"/>
      <x:c r="Z42" s="24"/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  <x:c r="L43" s="24"/>
      <x:c r="M43" s="24"/>
      <x:c r="N43" s="24"/>
      <x:c r="O43" s="24"/>
      <x:c r="P43" s="24"/>
      <x:c r="Q43" s="24"/>
      <x:c r="R43" s="24"/>
      <x:c r="S43" s="24"/>
      <x:c r="T43" s="24"/>
      <x:c r="U43" s="24"/>
      <x:c r="V43" s="24"/>
      <x:c r="W43" s="24"/>
      <x:c r="X43" s="24"/>
      <x:c r="Y43" s="24"/>
      <x:c r="Z43" s="24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  <x:c r="L44" s="24"/>
      <x:c r="M44" s="24"/>
      <x:c r="N44" s="24"/>
      <x:c r="O44" s="24"/>
      <x:c r="P44" s="24"/>
      <x:c r="Q44" s="24"/>
      <x:c r="R44" s="24"/>
      <x:c r="S44" s="24"/>
      <x:c r="T44" s="24"/>
      <x:c r="U44" s="24"/>
      <x:c r="V44" s="24"/>
      <x:c r="W44" s="24"/>
      <x:c r="X44" s="24"/>
      <x:c r="Y44" s="24"/>
      <x:c r="Z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  <x:c r="L45" s="24"/>
      <x:c r="M45" s="24"/>
      <x:c r="N45" s="24"/>
      <x:c r="O45" s="24"/>
      <x:c r="P45" s="24"/>
      <x:c r="Q45" s="24"/>
      <x:c r="R45" s="24"/>
      <x:c r="S45" s="24"/>
      <x:c r="T45" s="24"/>
      <x:c r="U45" s="24"/>
      <x:c r="V45" s="24"/>
      <x:c r="W45" s="24"/>
      <x:c r="X45" s="24"/>
      <x:c r="Y45" s="24"/>
      <x:c r="Z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  <x:c r="L46" s="24"/>
      <x:c r="M46" s="24"/>
      <x:c r="N46" s="24"/>
      <x:c r="O46" s="24"/>
      <x:c r="P46" s="24"/>
      <x:c r="Q46" s="24"/>
      <x:c r="R46" s="24"/>
      <x:c r="S46" s="24"/>
      <x:c r="T46" s="24"/>
      <x:c r="U46" s="24"/>
      <x:c r="V46" s="24"/>
      <x:c r="W46" s="24"/>
      <x:c r="X46" s="24"/>
      <x:c r="Y46" s="24"/>
      <x:c r="Z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  <x:c r="L47" s="24"/>
      <x:c r="M47" s="24"/>
      <x:c r="N47" s="24"/>
      <x:c r="O47" s="24"/>
      <x:c r="P47" s="24"/>
      <x:c r="Q47" s="24"/>
      <x:c r="R47" s="24"/>
      <x:c r="S47" s="24"/>
      <x:c r="T47" s="24"/>
      <x:c r="U47" s="24"/>
      <x:c r="V47" s="24"/>
      <x:c r="W47" s="24"/>
      <x:c r="X47" s="24"/>
      <x:c r="Y47" s="24"/>
      <x:c r="Z47" s="24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  <x:c r="L48" s="24"/>
      <x:c r="M48" s="24"/>
      <x:c r="N48" s="24"/>
      <x:c r="O48" s="24"/>
      <x:c r="P48" s="24"/>
      <x:c r="Q48" s="24"/>
      <x:c r="R48" s="24"/>
      <x:c r="S48" s="24"/>
      <x:c r="T48" s="24"/>
      <x:c r="U48" s="24"/>
      <x:c r="V48" s="24"/>
      <x:c r="W48" s="24"/>
      <x:c r="X48" s="24"/>
      <x:c r="Y48" s="24"/>
      <x:c r="Z48" s="24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  <x:c r="L49" s="24"/>
      <x:c r="M49" s="24"/>
      <x:c r="N49" s="24"/>
      <x:c r="O49" s="24"/>
      <x:c r="P49" s="24"/>
      <x:c r="Q49" s="24"/>
      <x:c r="R49" s="24"/>
      <x:c r="S49" s="24"/>
      <x:c r="T49" s="24"/>
      <x:c r="U49" s="24"/>
      <x:c r="V49" s="24"/>
      <x:c r="W49" s="24"/>
      <x:c r="X49" s="24"/>
      <x:c r="Y49" s="24"/>
      <x:c r="Z49" s="24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  <x:c r="L50" s="24"/>
      <x:c r="M50" s="24"/>
      <x:c r="N50" s="24"/>
      <x:c r="O50" s="24"/>
      <x:c r="P50" s="24"/>
      <x:c r="Q50" s="24"/>
      <x:c r="R50" s="24"/>
      <x:c r="S50" s="24"/>
      <x:c r="T50" s="24"/>
      <x:c r="U50" s="24"/>
      <x:c r="V50" s="24"/>
      <x:c r="W50" s="24"/>
      <x:c r="X50" s="24"/>
      <x:c r="Y50" s="24"/>
      <x:c r="Z50" s="24"/>
    </x:row>
    <x:row r="51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  <x:c r="K51" s="24"/>
      <x:c r="L51" s="24"/>
      <x:c r="M51" s="24"/>
      <x:c r="N51" s="24"/>
      <x:c r="O51" s="24"/>
      <x:c r="P51" s="24"/>
      <x:c r="Q51" s="24"/>
      <x:c r="R51" s="24"/>
      <x:c r="S51" s="24"/>
      <x:c r="T51" s="24"/>
      <x:c r="U51" s="24"/>
      <x:c r="V51" s="24"/>
      <x:c r="W51" s="24"/>
      <x:c r="X51" s="24"/>
      <x:c r="Y51" s="24"/>
      <x:c r="Z51" s="24"/>
    </x:row>
    <x:row r="52">
      <x:c r="A52" s="24"/>
      <x:c r="B52" s="24"/>
      <x:c r="C52" s="24"/>
      <x:c r="D52" s="24"/>
      <x:c r="E52" s="24"/>
      <x:c r="F52" s="24"/>
      <x:c r="G52" s="24"/>
      <x:c r="H52" s="24"/>
      <x:c r="I52" s="24"/>
      <x:c r="J52" s="24"/>
      <x:c r="K52" s="24"/>
      <x:c r="L52" s="24"/>
      <x:c r="M52" s="24"/>
      <x:c r="N52" s="24"/>
      <x:c r="O52" s="24"/>
      <x:c r="P52" s="24"/>
      <x:c r="Q52" s="24"/>
      <x:c r="R52" s="24"/>
      <x:c r="S52" s="24"/>
      <x:c r="T52" s="24"/>
      <x:c r="U52" s="24"/>
      <x:c r="V52" s="24"/>
      <x:c r="W52" s="24"/>
      <x:c r="X52" s="24"/>
      <x:c r="Y52" s="24"/>
      <x:c r="Z52" s="24"/>
    </x:row>
    <x:row r="53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  <x:c r="K53" s="24"/>
      <x:c r="L53" s="24"/>
      <x:c r="M53" s="24"/>
      <x:c r="N53" s="24"/>
      <x:c r="O53" s="24"/>
      <x:c r="P53" s="24"/>
      <x:c r="Q53" s="24"/>
      <x:c r="R53" s="24"/>
      <x:c r="S53" s="24"/>
      <x:c r="T53" s="24"/>
      <x:c r="U53" s="24"/>
      <x:c r="V53" s="24"/>
      <x:c r="W53" s="24"/>
      <x:c r="X53" s="24"/>
      <x:c r="Y53" s="24"/>
      <x:c r="Z53" s="24"/>
    </x:row>
    <x:row r="54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  <x:c r="K54" s="24"/>
      <x:c r="L54" s="24"/>
      <x:c r="M54" s="24"/>
      <x:c r="N54" s="24"/>
      <x:c r="O54" s="24"/>
      <x:c r="P54" s="24"/>
      <x:c r="Q54" s="24"/>
      <x:c r="R54" s="24"/>
      <x:c r="S54" s="24"/>
      <x:c r="T54" s="24"/>
      <x:c r="U54" s="24"/>
      <x:c r="V54" s="24"/>
      <x:c r="W54" s="24"/>
      <x:c r="X54" s="24"/>
      <x:c r="Y54" s="24"/>
      <x:c r="Z54" s="24"/>
    </x:row>
    <x:row r="55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  <x:c r="K55" s="24"/>
      <x:c r="L55" s="24"/>
      <x:c r="M55" s="24"/>
      <x:c r="N55" s="24"/>
      <x:c r="O55" s="24"/>
      <x:c r="P55" s="24"/>
      <x:c r="Q55" s="24"/>
      <x:c r="R55" s="24"/>
      <x:c r="S55" s="24"/>
      <x:c r="T55" s="24"/>
      <x:c r="U55" s="24"/>
      <x:c r="V55" s="24"/>
      <x:c r="W55" s="24"/>
      <x:c r="X55" s="24"/>
      <x:c r="Y55" s="24"/>
      <x:c r="Z55" s="24"/>
    </x:row>
    <x:row r="56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  <x:c r="K56" s="24"/>
      <x:c r="L56" s="24"/>
      <x:c r="M56" s="24"/>
      <x:c r="N56" s="24"/>
      <x:c r="O56" s="24"/>
      <x:c r="P56" s="24"/>
      <x:c r="Q56" s="24"/>
      <x:c r="R56" s="24"/>
      <x:c r="S56" s="24"/>
      <x:c r="T56" s="24"/>
      <x:c r="U56" s="24"/>
      <x:c r="V56" s="24"/>
      <x:c r="W56" s="24"/>
      <x:c r="X56" s="24"/>
      <x:c r="Y56" s="24"/>
      <x:c r="Z56" s="24"/>
    </x:row>
    <x:row r="57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  <x:c r="K57" s="24"/>
      <x:c r="L57" s="24"/>
      <x:c r="M57" s="24"/>
      <x:c r="N57" s="24"/>
      <x:c r="O57" s="24"/>
      <x:c r="P57" s="24"/>
      <x:c r="Q57" s="24"/>
      <x:c r="R57" s="24"/>
      <x:c r="S57" s="24"/>
      <x:c r="T57" s="24"/>
      <x:c r="U57" s="24"/>
      <x:c r="V57" s="24"/>
      <x:c r="W57" s="24"/>
      <x:c r="X57" s="24"/>
      <x:c r="Y57" s="24"/>
      <x:c r="Z57" s="24"/>
    </x:row>
    <x:row r="58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24"/>
      <x:c r="O58" s="24"/>
      <x:c r="P58" s="24"/>
      <x:c r="Q58" s="24"/>
      <x:c r="R58" s="24"/>
      <x:c r="S58" s="24"/>
      <x:c r="T58" s="24"/>
      <x:c r="U58" s="24"/>
      <x:c r="V58" s="24"/>
      <x:c r="W58" s="24"/>
      <x:c r="X58" s="24"/>
      <x:c r="Y58" s="24"/>
      <x:c r="Z58" s="24"/>
    </x:row>
    <x:row r="59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24"/>
      <x:c r="O59" s="24"/>
      <x:c r="P59" s="24"/>
      <x:c r="Q59" s="24"/>
      <x:c r="R59" s="24"/>
      <x:c r="S59" s="24"/>
      <x:c r="T59" s="24"/>
      <x:c r="U59" s="24"/>
      <x:c r="V59" s="24"/>
      <x:c r="W59" s="24"/>
      <x:c r="X59" s="24"/>
      <x:c r="Y59" s="24"/>
      <x:c r="Z59" s="24"/>
    </x:row>
    <x:row r="60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  <x:c r="K60" s="24"/>
      <x:c r="L60" s="24"/>
      <x:c r="M60" s="24"/>
      <x:c r="N60" s="24"/>
      <x:c r="O60" s="24"/>
      <x:c r="P60" s="24"/>
      <x:c r="Q60" s="24"/>
      <x:c r="R60" s="24"/>
      <x:c r="S60" s="24"/>
      <x:c r="T60" s="24"/>
      <x:c r="U60" s="24"/>
      <x:c r="V60" s="24"/>
      <x:c r="W60" s="24"/>
      <x:c r="X60" s="24"/>
      <x:c r="Y60" s="24"/>
      <x:c r="Z60" s="24"/>
    </x:row>
    <x:row r="6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  <x:c r="K61" s="24"/>
      <x:c r="L61" s="24"/>
      <x:c r="M61" s="24"/>
      <x:c r="N61" s="24"/>
      <x:c r="O61" s="24"/>
      <x:c r="P61" s="24"/>
      <x:c r="Q61" s="24"/>
      <x:c r="R61" s="24"/>
      <x:c r="S61" s="24"/>
      <x:c r="T61" s="24"/>
      <x:c r="U61" s="24"/>
      <x:c r="V61" s="24"/>
      <x:c r="W61" s="24"/>
      <x:c r="X61" s="24"/>
      <x:c r="Y61" s="24"/>
      <x:c r="Z61" s="24"/>
    </x:row>
    <x:row r="62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  <x:c r="K62" s="24"/>
      <x:c r="L62" s="24"/>
      <x:c r="M62" s="24"/>
      <x:c r="N62" s="24"/>
      <x:c r="O62" s="24"/>
      <x:c r="P62" s="24"/>
      <x:c r="Q62" s="24"/>
      <x:c r="R62" s="24"/>
      <x:c r="S62" s="24"/>
      <x:c r="T62" s="24"/>
      <x:c r="U62" s="24"/>
      <x:c r="V62" s="24"/>
      <x:c r="W62" s="24"/>
      <x:c r="X62" s="24"/>
      <x:c r="Y62" s="24"/>
      <x:c r="Z62" s="24"/>
    </x:row>
    <x:row r="63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  <x:c r="K63" s="24"/>
      <x:c r="L63" s="24"/>
      <x:c r="M63" s="24"/>
      <x:c r="N63" s="24"/>
      <x:c r="O63" s="24"/>
      <x:c r="P63" s="24"/>
      <x:c r="Q63" s="24"/>
      <x:c r="R63" s="24"/>
      <x:c r="S63" s="24"/>
      <x:c r="T63" s="24"/>
      <x:c r="U63" s="24"/>
      <x:c r="V63" s="24"/>
      <x:c r="W63" s="24"/>
      <x:c r="X63" s="24"/>
      <x:c r="Y63" s="24"/>
      <x:c r="Z63" s="24"/>
    </x:row>
    <x:row r="64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  <x:c r="K64" s="24"/>
      <x:c r="L64" s="24"/>
      <x:c r="M64" s="24"/>
      <x:c r="N64" s="24"/>
      <x:c r="O64" s="24"/>
      <x:c r="P64" s="24"/>
      <x:c r="Q64" s="24"/>
      <x:c r="R64" s="24"/>
      <x:c r="S64" s="24"/>
      <x:c r="T64" s="24"/>
      <x:c r="U64" s="24"/>
      <x:c r="V64" s="24"/>
      <x:c r="W64" s="24"/>
      <x:c r="X64" s="24"/>
      <x:c r="Y64" s="24"/>
      <x:c r="Z64" s="24"/>
    </x:row>
    <x:row r="65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  <x:c r="K65" s="24"/>
      <x:c r="L65" s="24"/>
      <x:c r="M65" s="24"/>
      <x:c r="N65" s="24"/>
      <x:c r="O65" s="24"/>
      <x:c r="P65" s="24"/>
      <x:c r="Q65" s="24"/>
      <x:c r="R65" s="24"/>
      <x:c r="S65" s="24"/>
      <x:c r="T65" s="24"/>
      <x:c r="U65" s="24"/>
      <x:c r="V65" s="24"/>
      <x:c r="W65" s="24"/>
      <x:c r="X65" s="24"/>
      <x:c r="Y65" s="24"/>
      <x:c r="Z65" s="24"/>
    </x:row>
    <x:row r="66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  <x:c r="K66" s="24"/>
      <x:c r="L66" s="24"/>
      <x:c r="M66" s="24"/>
      <x:c r="N66" s="24"/>
      <x:c r="O66" s="24"/>
      <x:c r="P66" s="24"/>
      <x:c r="Q66" s="24"/>
      <x:c r="R66" s="24"/>
      <x:c r="S66" s="24"/>
      <x:c r="T66" s="24"/>
      <x:c r="U66" s="24"/>
      <x:c r="V66" s="24"/>
      <x:c r="W66" s="24"/>
      <x:c r="X66" s="24"/>
      <x:c r="Y66" s="24"/>
      <x:c r="Z66" s="24"/>
    </x:row>
    <x:row r="67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  <x:c r="K67" s="24"/>
      <x:c r="L67" s="24"/>
      <x:c r="M67" s="24"/>
      <x:c r="N67" s="24"/>
      <x:c r="O67" s="24"/>
      <x:c r="P67" s="24"/>
      <x:c r="Q67" s="24"/>
      <x:c r="R67" s="24"/>
      <x:c r="S67" s="24"/>
      <x:c r="T67" s="24"/>
      <x:c r="U67" s="24"/>
      <x:c r="V67" s="24"/>
      <x:c r="W67" s="24"/>
      <x:c r="X67" s="24"/>
      <x:c r="Y67" s="24"/>
      <x:c r="Z67" s="24"/>
    </x:row>
    <x:row r="68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  <x:c r="K68" s="24"/>
      <x:c r="L68" s="24"/>
      <x:c r="M68" s="24"/>
      <x:c r="N68" s="24"/>
      <x:c r="O68" s="24"/>
      <x:c r="P68" s="24"/>
      <x:c r="Q68" s="24"/>
      <x:c r="R68" s="24"/>
      <x:c r="S68" s="24"/>
      <x:c r="T68" s="24"/>
      <x:c r="U68" s="24"/>
      <x:c r="V68" s="24"/>
      <x:c r="W68" s="24"/>
      <x:c r="X68" s="24"/>
      <x:c r="Y68" s="24"/>
      <x:c r="Z68" s="24"/>
    </x:row>
    <x:row r="69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  <x:c r="K69" s="24"/>
      <x:c r="L69" s="24"/>
      <x:c r="M69" s="24"/>
      <x:c r="N69" s="24"/>
      <x:c r="O69" s="24"/>
      <x:c r="P69" s="24"/>
      <x:c r="Q69" s="24"/>
      <x:c r="R69" s="24"/>
      <x:c r="S69" s="24"/>
      <x:c r="T69" s="24"/>
      <x:c r="U69" s="24"/>
      <x:c r="V69" s="24"/>
      <x:c r="W69" s="24"/>
      <x:c r="X69" s="24"/>
      <x:c r="Y69" s="24"/>
      <x:c r="Z69" s="24"/>
    </x:row>
    <x:row r="70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  <x:c r="K70" s="24"/>
      <x:c r="L70" s="24"/>
      <x:c r="M70" s="24"/>
      <x:c r="N70" s="24"/>
      <x:c r="O70" s="24"/>
      <x:c r="P70" s="24"/>
      <x:c r="Q70" s="24"/>
      <x:c r="R70" s="24"/>
      <x:c r="S70" s="24"/>
      <x:c r="T70" s="24"/>
      <x:c r="U70" s="24"/>
      <x:c r="V70" s="24"/>
      <x:c r="W70" s="24"/>
      <x:c r="X70" s="24"/>
      <x:c r="Y70" s="24"/>
      <x:c r="Z70" s="24"/>
    </x:row>
    <x:row r="71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24"/>
      <x:c r="O71" s="24"/>
      <x:c r="P71" s="24"/>
      <x:c r="Q71" s="24"/>
      <x:c r="R71" s="24"/>
      <x:c r="S71" s="24"/>
      <x:c r="T71" s="24"/>
      <x:c r="U71" s="24"/>
      <x:c r="V71" s="24"/>
      <x:c r="W71" s="24"/>
      <x:c r="X71" s="24"/>
      <x:c r="Y71" s="24"/>
      <x:c r="Z71" s="24"/>
    </x:row>
    <x:row r="72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24"/>
      <x:c r="O72" s="24"/>
      <x:c r="P72" s="24"/>
      <x:c r="Q72" s="24"/>
      <x:c r="R72" s="24"/>
      <x:c r="S72" s="24"/>
      <x:c r="T72" s="24"/>
      <x:c r="U72" s="24"/>
      <x:c r="V72" s="24"/>
      <x:c r="W72" s="24"/>
      <x:c r="X72" s="24"/>
      <x:c r="Y72" s="24"/>
      <x:c r="Z72" s="24"/>
    </x:row>
    <x:row r="73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  <x:c r="K73" s="24"/>
      <x:c r="L73" s="24"/>
      <x:c r="M73" s="24"/>
      <x:c r="N73" s="24"/>
      <x:c r="O73" s="24"/>
      <x:c r="P73" s="24"/>
      <x:c r="Q73" s="24"/>
      <x:c r="R73" s="24"/>
      <x:c r="S73" s="24"/>
      <x:c r="T73" s="24"/>
      <x:c r="U73" s="24"/>
      <x:c r="V73" s="24"/>
      <x:c r="W73" s="24"/>
      <x:c r="X73" s="24"/>
      <x:c r="Y73" s="24"/>
      <x:c r="Z73" s="24"/>
    </x:row>
    <x:row r="74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  <x:c r="K74" s="24"/>
      <x:c r="L74" s="24"/>
      <x:c r="M74" s="24"/>
      <x:c r="N74" s="24"/>
      <x:c r="O74" s="24"/>
      <x:c r="P74" s="24"/>
      <x:c r="Q74" s="24"/>
      <x:c r="R74" s="24"/>
      <x:c r="S74" s="24"/>
      <x:c r="T74" s="24"/>
      <x:c r="U74" s="24"/>
      <x:c r="V74" s="24"/>
      <x:c r="W74" s="24"/>
      <x:c r="X74" s="24"/>
      <x:c r="Y74" s="24"/>
      <x:c r="Z74" s="24"/>
    </x:row>
    <x:row r="75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  <x:c r="K75" s="24"/>
      <x:c r="L75" s="24"/>
      <x:c r="M75" s="24"/>
      <x:c r="N75" s="24"/>
      <x:c r="O75" s="24"/>
      <x:c r="P75" s="24"/>
      <x:c r="Q75" s="24"/>
      <x:c r="R75" s="24"/>
      <x:c r="S75" s="24"/>
      <x:c r="T75" s="24"/>
      <x:c r="U75" s="24"/>
      <x:c r="V75" s="24"/>
      <x:c r="W75" s="24"/>
      <x:c r="X75" s="24"/>
      <x:c r="Y75" s="24"/>
      <x:c r="Z75" s="24"/>
    </x:row>
    <x:row r="76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  <x:c r="K76" s="24"/>
      <x:c r="L76" s="24"/>
      <x:c r="M76" s="24"/>
      <x:c r="N76" s="24"/>
      <x:c r="O76" s="24"/>
      <x:c r="P76" s="24"/>
      <x:c r="Q76" s="24"/>
      <x:c r="R76" s="24"/>
      <x:c r="S76" s="24"/>
      <x:c r="T76" s="24"/>
      <x:c r="U76" s="24"/>
      <x:c r="V76" s="24"/>
      <x:c r="W76" s="24"/>
      <x:c r="X76" s="24"/>
      <x:c r="Y76" s="24"/>
      <x:c r="Z76" s="24"/>
    </x:row>
    <x:row r="77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  <x:c r="K77" s="24"/>
      <x:c r="L77" s="24"/>
      <x:c r="M77" s="24"/>
      <x:c r="N77" s="24"/>
      <x:c r="O77" s="24"/>
      <x:c r="P77" s="24"/>
      <x:c r="Q77" s="24"/>
      <x:c r="R77" s="24"/>
      <x:c r="S77" s="24"/>
      <x:c r="T77" s="24"/>
      <x:c r="U77" s="24"/>
      <x:c r="V77" s="24"/>
      <x:c r="W77" s="24"/>
      <x:c r="X77" s="24"/>
      <x:c r="Y77" s="24"/>
      <x:c r="Z77" s="24"/>
    </x:row>
    <x:row r="78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  <x:c r="K78" s="24"/>
      <x:c r="L78" s="24"/>
      <x:c r="M78" s="24"/>
      <x:c r="N78" s="24"/>
      <x:c r="O78" s="24"/>
      <x:c r="P78" s="24"/>
      <x:c r="Q78" s="24"/>
      <x:c r="R78" s="24"/>
      <x:c r="S78" s="24"/>
      <x:c r="T78" s="24"/>
      <x:c r="U78" s="24"/>
      <x:c r="V78" s="24"/>
      <x:c r="W78" s="24"/>
      <x:c r="X78" s="24"/>
      <x:c r="Y78" s="24"/>
      <x:c r="Z78" s="24"/>
    </x:row>
    <x:row r="79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  <x:c r="K79" s="24"/>
      <x:c r="L79" s="24"/>
      <x:c r="M79" s="24"/>
      <x:c r="N79" s="24"/>
      <x:c r="O79" s="24"/>
      <x:c r="P79" s="24"/>
      <x:c r="Q79" s="24"/>
      <x:c r="R79" s="24"/>
      <x:c r="S79" s="24"/>
      <x:c r="T79" s="24"/>
      <x:c r="U79" s="24"/>
      <x:c r="V79" s="24"/>
      <x:c r="W79" s="24"/>
      <x:c r="X79" s="24"/>
      <x:c r="Y79" s="24"/>
      <x:c r="Z79" s="24"/>
    </x:row>
    <x:row r="80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  <x:c r="K80" s="24"/>
      <x:c r="L80" s="24"/>
      <x:c r="M80" s="24"/>
      <x:c r="N80" s="24"/>
      <x:c r="O80" s="24"/>
      <x:c r="P80" s="24"/>
      <x:c r="Q80" s="24"/>
      <x:c r="R80" s="24"/>
      <x:c r="S80" s="24"/>
      <x:c r="T80" s="24"/>
      <x:c r="U80" s="24"/>
      <x:c r="V80" s="24"/>
      <x:c r="W80" s="24"/>
      <x:c r="X80" s="24"/>
      <x:c r="Y80" s="24"/>
      <x:c r="Z80" s="24"/>
    </x:row>
    <x:row r="81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  <x:c r="K81" s="24"/>
      <x:c r="L81" s="24"/>
      <x:c r="M81" s="24"/>
      <x:c r="N81" s="24"/>
      <x:c r="O81" s="24"/>
      <x:c r="P81" s="24"/>
      <x:c r="Q81" s="24"/>
      <x:c r="R81" s="24"/>
      <x:c r="S81" s="24"/>
      <x:c r="T81" s="24"/>
      <x:c r="U81" s="24"/>
      <x:c r="V81" s="24"/>
      <x:c r="W81" s="24"/>
      <x:c r="X81" s="24"/>
      <x:c r="Y81" s="24"/>
      <x:c r="Z81" s="24"/>
    </x:row>
    <x:row r="82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  <x:c r="K82" s="24"/>
      <x:c r="L82" s="24"/>
      <x:c r="M82" s="24"/>
      <x:c r="N82" s="24"/>
      <x:c r="O82" s="24"/>
      <x:c r="P82" s="24"/>
      <x:c r="Q82" s="24"/>
      <x:c r="R82" s="24"/>
      <x:c r="S82" s="24"/>
      <x:c r="T82" s="24"/>
      <x:c r="U82" s="24"/>
      <x:c r="V82" s="24"/>
      <x:c r="W82" s="24"/>
      <x:c r="X82" s="24"/>
      <x:c r="Y82" s="24"/>
      <x:c r="Z82" s="24"/>
    </x:row>
    <x:row r="83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  <x:c r="K83" s="24"/>
      <x:c r="L83" s="24"/>
      <x:c r="M83" s="24"/>
      <x:c r="N83" s="24"/>
      <x:c r="O83" s="24"/>
      <x:c r="P83" s="24"/>
      <x:c r="Q83" s="24"/>
      <x:c r="R83" s="24"/>
      <x:c r="S83" s="24"/>
      <x:c r="T83" s="24"/>
      <x:c r="U83" s="24"/>
      <x:c r="V83" s="24"/>
      <x:c r="W83" s="24"/>
      <x:c r="X83" s="24"/>
      <x:c r="Y83" s="24"/>
      <x:c r="Z83" s="24"/>
    </x:row>
    <x:row r="84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24"/>
      <x:c r="O84" s="24"/>
      <x:c r="P84" s="24"/>
      <x:c r="Q84" s="24"/>
      <x:c r="R84" s="24"/>
      <x:c r="S84" s="24"/>
      <x:c r="T84" s="24"/>
      <x:c r="U84" s="24"/>
      <x:c r="V84" s="24"/>
      <x:c r="W84" s="24"/>
      <x:c r="X84" s="24"/>
      <x:c r="Y84" s="24"/>
      <x:c r="Z84" s="24"/>
    </x:row>
    <x:row r="85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24"/>
      <x:c r="O85" s="24"/>
      <x:c r="P85" s="24"/>
      <x:c r="Q85" s="24"/>
      <x:c r="R85" s="24"/>
      <x:c r="S85" s="24"/>
      <x:c r="T85" s="24"/>
      <x:c r="U85" s="24"/>
      <x:c r="V85" s="24"/>
      <x:c r="W85" s="24"/>
      <x:c r="X85" s="24"/>
      <x:c r="Y85" s="24"/>
      <x:c r="Z85" s="24"/>
    </x:row>
    <x:row r="86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  <x:c r="K86" s="24"/>
      <x:c r="L86" s="24"/>
      <x:c r="M86" s="24"/>
      <x:c r="N86" s="24"/>
      <x:c r="O86" s="24"/>
      <x:c r="P86" s="24"/>
      <x:c r="Q86" s="24"/>
      <x:c r="R86" s="24"/>
      <x:c r="S86" s="24"/>
      <x:c r="T86" s="24"/>
      <x:c r="U86" s="24"/>
      <x:c r="V86" s="24"/>
      <x:c r="W86" s="24"/>
      <x:c r="X86" s="24"/>
      <x:c r="Y86" s="24"/>
      <x:c r="Z86" s="24"/>
    </x:row>
    <x:row r="87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  <x:c r="K87" s="24"/>
      <x:c r="L87" s="24"/>
      <x:c r="M87" s="24"/>
      <x:c r="N87" s="24"/>
      <x:c r="O87" s="24"/>
      <x:c r="P87" s="24"/>
      <x:c r="Q87" s="24"/>
      <x:c r="R87" s="24"/>
      <x:c r="S87" s="24"/>
      <x:c r="T87" s="24"/>
      <x:c r="U87" s="24"/>
      <x:c r="V87" s="24"/>
      <x:c r="W87" s="24"/>
      <x:c r="X87" s="24"/>
      <x:c r="Y87" s="24"/>
      <x:c r="Z87" s="24"/>
    </x:row>
    <x:row r="88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  <x:c r="K88" s="24"/>
      <x:c r="L88" s="24"/>
      <x:c r="M88" s="24"/>
      <x:c r="N88" s="24"/>
      <x:c r="O88" s="24"/>
      <x:c r="P88" s="24"/>
      <x:c r="Q88" s="24"/>
      <x:c r="R88" s="24"/>
      <x:c r="S88" s="24"/>
      <x:c r="T88" s="24"/>
      <x:c r="U88" s="24"/>
      <x:c r="V88" s="24"/>
      <x:c r="W88" s="24"/>
      <x:c r="X88" s="24"/>
      <x:c r="Y88" s="24"/>
      <x:c r="Z88" s="24"/>
    </x:row>
    <x:row r="89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  <x:c r="K89" s="24"/>
      <x:c r="L89" s="24"/>
      <x:c r="M89" s="24"/>
      <x:c r="N89" s="24"/>
      <x:c r="O89" s="24"/>
      <x:c r="P89" s="24"/>
      <x:c r="Q89" s="24"/>
      <x:c r="R89" s="24"/>
      <x:c r="S89" s="24"/>
      <x:c r="T89" s="24"/>
      <x:c r="U89" s="24"/>
      <x:c r="V89" s="24"/>
      <x:c r="W89" s="24"/>
      <x:c r="X89" s="24"/>
      <x:c r="Y89" s="24"/>
      <x:c r="Z89" s="24"/>
    </x:row>
    <x:row r="90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  <x:c r="K90" s="24"/>
      <x:c r="L90" s="24"/>
      <x:c r="M90" s="24"/>
      <x:c r="N90" s="24"/>
      <x:c r="O90" s="24"/>
      <x:c r="P90" s="24"/>
      <x:c r="Q90" s="24"/>
      <x:c r="R90" s="24"/>
      <x:c r="S90" s="24"/>
      <x:c r="T90" s="24"/>
      <x:c r="U90" s="24"/>
      <x:c r="V90" s="24"/>
      <x:c r="W90" s="24"/>
      <x:c r="X90" s="24"/>
      <x:c r="Y90" s="24"/>
      <x:c r="Z90" s="24"/>
    </x:row>
    <x:row r="91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  <x:c r="K91" s="24"/>
      <x:c r="L91" s="24"/>
      <x:c r="M91" s="24"/>
      <x:c r="N91" s="24"/>
      <x:c r="O91" s="24"/>
      <x:c r="P91" s="24"/>
      <x:c r="Q91" s="24"/>
      <x:c r="R91" s="24"/>
      <x:c r="S91" s="24"/>
      <x:c r="T91" s="24"/>
      <x:c r="U91" s="24"/>
      <x:c r="V91" s="24"/>
      <x:c r="W91" s="24"/>
      <x:c r="X91" s="24"/>
      <x:c r="Y91" s="24"/>
      <x:c r="Z91" s="24"/>
    </x:row>
    <x:row r="92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  <x:c r="K92" s="24"/>
      <x:c r="L92" s="24"/>
      <x:c r="M92" s="24"/>
      <x:c r="N92" s="24"/>
      <x:c r="O92" s="24"/>
      <x:c r="P92" s="24"/>
      <x:c r="Q92" s="24"/>
      <x:c r="R92" s="24"/>
      <x:c r="S92" s="24"/>
      <x:c r="T92" s="24"/>
      <x:c r="U92" s="24"/>
      <x:c r="V92" s="24"/>
      <x:c r="W92" s="24"/>
      <x:c r="X92" s="24"/>
      <x:c r="Y92" s="24"/>
      <x:c r="Z92" s="24"/>
    </x:row>
    <x:row r="93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  <x:c r="K93" s="24"/>
      <x:c r="L93" s="24"/>
      <x:c r="M93" s="24"/>
      <x:c r="N93" s="24"/>
      <x:c r="O93" s="24"/>
      <x:c r="P93" s="24"/>
      <x:c r="Q93" s="24"/>
      <x:c r="R93" s="24"/>
      <x:c r="S93" s="24"/>
      <x:c r="T93" s="24"/>
      <x:c r="U93" s="24"/>
      <x:c r="V93" s="24"/>
      <x:c r="W93" s="24"/>
      <x:c r="X93" s="24"/>
      <x:c r="Y93" s="24"/>
      <x:c r="Z93" s="24"/>
    </x:row>
    <x:row r="94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  <x:c r="K94" s="24"/>
      <x:c r="L94" s="24"/>
      <x:c r="M94" s="24"/>
      <x:c r="N94" s="24"/>
      <x:c r="O94" s="24"/>
      <x:c r="P94" s="24"/>
      <x:c r="Q94" s="24"/>
      <x:c r="R94" s="24"/>
      <x:c r="S94" s="24"/>
      <x:c r="T94" s="24"/>
      <x:c r="U94" s="24"/>
      <x:c r="V94" s="24"/>
      <x:c r="W94" s="24"/>
      <x:c r="X94" s="24"/>
      <x:c r="Y94" s="24"/>
      <x:c r="Z94" s="24"/>
    </x:row>
    <x:row r="95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  <x:c r="K95" s="24"/>
      <x:c r="L95" s="24"/>
      <x:c r="M95" s="24"/>
      <x:c r="N95" s="24"/>
      <x:c r="O95" s="24"/>
      <x:c r="P95" s="24"/>
      <x:c r="Q95" s="24"/>
      <x:c r="R95" s="24"/>
      <x:c r="S95" s="24"/>
      <x:c r="T95" s="24"/>
      <x:c r="U95" s="24"/>
      <x:c r="V95" s="24"/>
      <x:c r="W95" s="24"/>
      <x:c r="X95" s="24"/>
      <x:c r="Y95" s="24"/>
      <x:c r="Z95" s="24"/>
    </x:row>
    <x:row r="96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  <x:c r="K96" s="24"/>
      <x:c r="L96" s="24"/>
      <x:c r="M96" s="24"/>
      <x:c r="N96" s="24"/>
      <x:c r="O96" s="24"/>
      <x:c r="P96" s="24"/>
      <x:c r="Q96" s="24"/>
      <x:c r="R96" s="24"/>
      <x:c r="S96" s="24"/>
      <x:c r="T96" s="24"/>
      <x:c r="U96" s="24"/>
      <x:c r="V96" s="24"/>
      <x:c r="W96" s="24"/>
      <x:c r="X96" s="24"/>
      <x:c r="Y96" s="24"/>
      <x:c r="Z96" s="24"/>
    </x:row>
    <x:row r="97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24"/>
      <x:c r="O97" s="24"/>
      <x:c r="P97" s="24"/>
      <x:c r="Q97" s="24"/>
      <x:c r="R97" s="24"/>
      <x:c r="S97" s="24"/>
      <x:c r="T97" s="24"/>
      <x:c r="U97" s="24"/>
      <x:c r="V97" s="24"/>
      <x:c r="W97" s="24"/>
      <x:c r="X97" s="24"/>
      <x:c r="Y97" s="24"/>
      <x:c r="Z97" s="24"/>
    </x:row>
    <x:row r="98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24"/>
      <x:c r="O98" s="24"/>
      <x:c r="P98" s="24"/>
      <x:c r="Q98" s="24"/>
      <x:c r="R98" s="24"/>
      <x:c r="S98" s="24"/>
      <x:c r="T98" s="24"/>
      <x:c r="U98" s="24"/>
      <x:c r="V98" s="24"/>
      <x:c r="W98" s="24"/>
      <x:c r="X98" s="24"/>
      <x:c r="Y98" s="24"/>
      <x:c r="Z98" s="24"/>
    </x:row>
    <x:row r="99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  <x:c r="K99" s="24"/>
      <x:c r="L99" s="24"/>
      <x:c r="M99" s="24"/>
      <x:c r="N99" s="24"/>
      <x:c r="O99" s="24"/>
      <x:c r="P99" s="24"/>
      <x:c r="Q99" s="24"/>
      <x:c r="R99" s="24"/>
      <x:c r="S99" s="24"/>
      <x:c r="T99" s="24"/>
      <x:c r="U99" s="24"/>
      <x:c r="V99" s="24"/>
      <x:c r="W99" s="24"/>
      <x:c r="X99" s="24"/>
      <x:c r="Y99" s="24"/>
      <x:c r="Z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  <x:c r="L100" s="24"/>
      <x:c r="M100" s="24"/>
      <x:c r="N100" s="24"/>
      <x:c r="O100" s="24"/>
      <x:c r="P100" s="24"/>
      <x:c r="Q100" s="24"/>
      <x:c r="R100" s="24"/>
      <x:c r="S100" s="24"/>
      <x:c r="T100" s="24"/>
      <x:c r="U100" s="24"/>
      <x:c r="V100" s="24"/>
      <x:c r="W100" s="24"/>
      <x:c r="X100" s="24"/>
      <x:c r="Y100" s="24"/>
      <x:c r="Z100" s="24"/>
    </x:row>
    <x:row r="101">
      <x:c r="A101" s="24"/>
      <x:c r="B101" s="24"/>
      <x:c r="C101" s="24"/>
      <x:c r="D101" s="24"/>
      <x:c r="E101" s="24"/>
      <x:c r="F101" s="24"/>
      <x:c r="G101" s="24"/>
      <x:c r="H101" s="24"/>
      <x:c r="I101" s="24"/>
      <x:c r="J101" s="24"/>
      <x:c r="K101" s="24"/>
      <x:c r="L101" s="24"/>
      <x:c r="M101" s="24"/>
      <x:c r="N101" s="24"/>
      <x:c r="O101" s="24"/>
      <x:c r="P101" s="24"/>
      <x:c r="Q101" s="24"/>
      <x:c r="R101" s="24"/>
      <x:c r="S101" s="24"/>
      <x:c r="T101" s="24"/>
      <x:c r="U101" s="24"/>
      <x:c r="V101" s="24"/>
      <x:c r="W101" s="24"/>
      <x:c r="X101" s="24"/>
      <x:c r="Y101" s="24"/>
      <x:c r="Z101" s="24"/>
    </x:row>
    <x:row r="102">
      <x:c r="A102" s="24"/>
      <x:c r="B102" s="24"/>
      <x:c r="C102" s="24"/>
      <x:c r="D102" s="24"/>
      <x:c r="E102" s="24"/>
      <x:c r="F102" s="24"/>
      <x:c r="G102" s="24"/>
      <x:c r="H102" s="24"/>
      <x:c r="I102" s="24"/>
      <x:c r="J102" s="24"/>
      <x:c r="K102" s="24"/>
      <x:c r="L102" s="24"/>
      <x:c r="M102" s="24"/>
      <x:c r="N102" s="24"/>
      <x:c r="O102" s="24"/>
      <x:c r="P102" s="24"/>
      <x:c r="Q102" s="24"/>
      <x:c r="R102" s="24"/>
      <x:c r="S102" s="24"/>
      <x:c r="T102" s="24"/>
      <x:c r="U102" s="24"/>
      <x:c r="V102" s="24"/>
      <x:c r="W102" s="24"/>
      <x:c r="X102" s="24"/>
      <x:c r="Y102" s="24"/>
      <x:c r="Z102" s="24"/>
    </x:row>
    <x:row r="103">
      <x:c r="A103" s="24"/>
      <x:c r="B103" s="24"/>
      <x:c r="C103" s="24"/>
      <x:c r="D103" s="24"/>
      <x:c r="E103" s="24"/>
      <x:c r="F103" s="24"/>
      <x:c r="G103" s="24"/>
      <x:c r="H103" s="24"/>
      <x:c r="I103" s="24"/>
      <x:c r="J103" s="24"/>
      <x:c r="K103" s="24"/>
      <x:c r="L103" s="24"/>
      <x:c r="M103" s="24"/>
      <x:c r="N103" s="24"/>
      <x:c r="O103" s="24"/>
      <x:c r="P103" s="24"/>
      <x:c r="Q103" s="24"/>
      <x:c r="R103" s="24"/>
      <x:c r="S103" s="24"/>
      <x:c r="T103" s="24"/>
      <x:c r="U103" s="24"/>
      <x:c r="V103" s="24"/>
      <x:c r="W103" s="24"/>
      <x:c r="X103" s="24"/>
      <x:c r="Y103" s="24"/>
      <x:c r="Z103" s="24"/>
    </x:row>
    <x:row r="104">
      <x:c r="A104" s="24"/>
      <x:c r="B104" s="24"/>
      <x:c r="C104" s="24"/>
      <x:c r="D104" s="24"/>
      <x:c r="E104" s="24"/>
      <x:c r="F104" s="24"/>
      <x:c r="G104" s="24"/>
      <x:c r="H104" s="24"/>
      <x:c r="I104" s="24"/>
      <x:c r="J104" s="24"/>
      <x:c r="K104" s="24"/>
      <x:c r="L104" s="24"/>
      <x:c r="M104" s="24"/>
      <x:c r="N104" s="24"/>
      <x:c r="O104" s="24"/>
      <x:c r="P104" s="24"/>
      <x:c r="Q104" s="24"/>
      <x:c r="R104" s="24"/>
      <x:c r="S104" s="24"/>
      <x:c r="T104" s="24"/>
      <x:c r="U104" s="24"/>
      <x:c r="V104" s="24"/>
      <x:c r="W104" s="24"/>
      <x:c r="X104" s="24"/>
      <x:c r="Y104" s="24"/>
      <x:c r="Z104" s="24"/>
    </x:row>
    <x:row r="105">
      <x:c r="A105" s="24"/>
      <x:c r="B105" s="24"/>
      <x:c r="C105" s="24"/>
      <x:c r="D105" s="24"/>
      <x:c r="E105" s="24"/>
      <x:c r="F105" s="24"/>
      <x:c r="G105" s="24"/>
      <x:c r="H105" s="24"/>
      <x:c r="I105" s="24"/>
      <x:c r="J105" s="24"/>
      <x:c r="K105" s="24"/>
      <x:c r="L105" s="24"/>
      <x:c r="M105" s="24"/>
      <x:c r="N105" s="24"/>
      <x:c r="O105" s="24"/>
      <x:c r="P105" s="24"/>
      <x:c r="Q105" s="24"/>
      <x:c r="R105" s="24"/>
      <x:c r="S105" s="24"/>
      <x:c r="T105" s="24"/>
      <x:c r="U105" s="24"/>
      <x:c r="V105" s="24"/>
      <x:c r="W105" s="24"/>
      <x:c r="X105" s="24"/>
      <x:c r="Y105" s="24"/>
      <x:c r="Z105" s="24"/>
    </x:row>
    <x:row r="106">
      <x:c r="A106" s="24"/>
      <x:c r="B106" s="24"/>
      <x:c r="C106" s="24"/>
      <x:c r="D106" s="24"/>
      <x:c r="E106" s="24"/>
      <x:c r="F106" s="24"/>
      <x:c r="G106" s="24"/>
      <x:c r="H106" s="24"/>
      <x:c r="I106" s="24"/>
      <x:c r="J106" s="24"/>
      <x:c r="K106" s="24"/>
      <x:c r="L106" s="24"/>
      <x:c r="M106" s="24"/>
      <x:c r="N106" s="24"/>
      <x:c r="O106" s="24"/>
      <x:c r="P106" s="24"/>
      <x:c r="Q106" s="24"/>
      <x:c r="R106" s="24"/>
      <x:c r="S106" s="24"/>
      <x:c r="T106" s="24"/>
      <x:c r="U106" s="24"/>
      <x:c r="V106" s="24"/>
      <x:c r="W106" s="24"/>
      <x:c r="X106" s="24"/>
      <x:c r="Y106" s="24"/>
      <x:c r="Z106" s="24"/>
    </x:row>
    <x:row r="107">
      <x:c r="A107" s="24"/>
      <x:c r="B107" s="24"/>
      <x:c r="C107" s="24"/>
      <x:c r="D107" s="24"/>
      <x:c r="E107" s="24"/>
      <x:c r="F107" s="24"/>
      <x:c r="G107" s="24"/>
      <x:c r="H107" s="24"/>
      <x:c r="I107" s="24"/>
      <x:c r="J107" s="24"/>
      <x:c r="K107" s="24"/>
      <x:c r="L107" s="24"/>
      <x:c r="M107" s="24"/>
      <x:c r="N107" s="24"/>
      <x:c r="O107" s="24"/>
      <x:c r="P107" s="24"/>
      <x:c r="Q107" s="24"/>
      <x:c r="R107" s="24"/>
      <x:c r="S107" s="24"/>
      <x:c r="T107" s="24"/>
      <x:c r="U107" s="24"/>
      <x:c r="V107" s="24"/>
      <x:c r="W107" s="24"/>
      <x:c r="X107" s="24"/>
      <x:c r="Y107" s="24"/>
      <x:c r="Z107" s="24"/>
    </x:row>
    <x:row r="108">
      <x:c r="A108" s="24"/>
      <x:c r="B108" s="24"/>
      <x:c r="C108" s="24"/>
      <x:c r="D108" s="24"/>
      <x:c r="E108" s="24"/>
      <x:c r="F108" s="24"/>
      <x:c r="G108" s="24"/>
      <x:c r="H108" s="24"/>
      <x:c r="I108" s="24"/>
      <x:c r="J108" s="24"/>
      <x:c r="K108" s="24"/>
      <x:c r="L108" s="24"/>
      <x:c r="M108" s="24"/>
      <x:c r="N108" s="24"/>
      <x:c r="O108" s="24"/>
      <x:c r="P108" s="24"/>
      <x:c r="Q108" s="24"/>
      <x:c r="R108" s="24"/>
      <x:c r="S108" s="24"/>
      <x:c r="T108" s="24"/>
      <x:c r="U108" s="24"/>
      <x:c r="V108" s="24"/>
      <x:c r="W108" s="24"/>
      <x:c r="X108" s="24"/>
      <x:c r="Y108" s="24"/>
      <x:c r="Z108" s="24"/>
    </x:row>
    <x:row r="109">
      <x:c r="A109" s="24"/>
      <x:c r="B109" s="24"/>
      <x:c r="C109" s="24"/>
      <x:c r="D109" s="24"/>
      <x:c r="E109" s="24"/>
      <x:c r="F109" s="24"/>
      <x:c r="G109" s="24"/>
      <x:c r="H109" s="24"/>
      <x:c r="I109" s="24"/>
      <x:c r="J109" s="24"/>
      <x:c r="K109" s="24"/>
      <x:c r="L109" s="24"/>
      <x:c r="M109" s="24"/>
      <x:c r="N109" s="24"/>
      <x:c r="O109" s="24"/>
      <x:c r="P109" s="24"/>
      <x:c r="Q109" s="24"/>
      <x:c r="R109" s="24"/>
      <x:c r="S109" s="24"/>
      <x:c r="T109" s="24"/>
      <x:c r="U109" s="24"/>
      <x:c r="V109" s="24"/>
      <x:c r="W109" s="24"/>
      <x:c r="X109" s="24"/>
      <x:c r="Y109" s="24"/>
      <x:c r="Z109" s="24"/>
    </x:row>
    <x:row r="110">
      <x:c r="A110" s="24"/>
      <x:c r="B110" s="24"/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/>
      <x:c r="M110" s="24"/>
      <x:c r="N110" s="24"/>
      <x:c r="O110" s="24"/>
      <x:c r="P110" s="24"/>
      <x:c r="Q110" s="24"/>
      <x:c r="R110" s="24"/>
      <x:c r="S110" s="24"/>
      <x:c r="T110" s="24"/>
      <x:c r="U110" s="24"/>
      <x:c r="V110" s="24"/>
      <x:c r="W110" s="24"/>
      <x:c r="X110" s="24"/>
      <x:c r="Y110" s="24"/>
      <x:c r="Z110" s="24"/>
    </x:row>
    <x:row r="111">
      <x:c r="A111" s="24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P111" s="24"/>
      <x:c r="Q111" s="24"/>
      <x:c r="R111" s="24"/>
      <x:c r="S111" s="24"/>
      <x:c r="T111" s="24"/>
      <x:c r="U111" s="24"/>
      <x:c r="V111" s="24"/>
      <x:c r="W111" s="24"/>
      <x:c r="X111" s="24"/>
      <x:c r="Y111" s="24"/>
      <x:c r="Z111" s="24"/>
    </x:row>
    <x:row r="112">
      <x:c r="A112" s="24"/>
      <x:c r="B112" s="24"/>
      <x:c r="C112" s="24"/>
      <x:c r="D112" s="24"/>
      <x:c r="E112" s="24"/>
      <x:c r="F112" s="24"/>
      <x:c r="G112" s="24"/>
      <x:c r="H112" s="24"/>
      <x:c r="I112" s="24"/>
      <x:c r="J112" s="24"/>
      <x:c r="K112" s="24"/>
      <x:c r="L112" s="24"/>
      <x:c r="M112" s="24"/>
      <x:c r="N112" s="24"/>
      <x:c r="O112" s="24"/>
      <x:c r="P112" s="24"/>
      <x:c r="Q112" s="24"/>
      <x:c r="R112" s="24"/>
      <x:c r="S112" s="24"/>
      <x:c r="T112" s="24"/>
      <x:c r="U112" s="24"/>
      <x:c r="V112" s="24"/>
      <x:c r="W112" s="24"/>
      <x:c r="X112" s="24"/>
      <x:c r="Y112" s="24"/>
      <x:c r="Z112" s="24"/>
    </x:row>
    <x:row r="113">
      <x:c r="A113" s="24"/>
      <x:c r="B113" s="24"/>
      <x:c r="C113" s="24"/>
      <x:c r="D113" s="24"/>
      <x:c r="E113" s="24"/>
      <x:c r="F113" s="24"/>
      <x:c r="G113" s="24"/>
      <x:c r="H113" s="24"/>
      <x:c r="I113" s="24"/>
      <x:c r="J113" s="24"/>
      <x:c r="K113" s="24"/>
      <x:c r="L113" s="24"/>
      <x:c r="M113" s="24"/>
      <x:c r="N113" s="24"/>
      <x:c r="O113" s="24"/>
      <x:c r="P113" s="24"/>
      <x:c r="Q113" s="24"/>
      <x:c r="R113" s="24"/>
      <x:c r="S113" s="24"/>
      <x:c r="T113" s="24"/>
      <x:c r="U113" s="24"/>
      <x:c r="V113" s="24"/>
      <x:c r="W113" s="24"/>
      <x:c r="X113" s="24"/>
      <x:c r="Y113" s="24"/>
      <x:c r="Z113" s="24"/>
    </x:row>
    <x:row r="114">
      <x:c r="A114" s="24"/>
      <x:c r="B114" s="24"/>
      <x:c r="C114" s="24"/>
      <x:c r="D114" s="24"/>
      <x:c r="E114" s="24"/>
      <x:c r="F114" s="24"/>
      <x:c r="G114" s="24"/>
      <x:c r="H114" s="24"/>
      <x:c r="I114" s="24"/>
      <x:c r="J114" s="24"/>
      <x:c r="K114" s="24"/>
      <x:c r="L114" s="24"/>
      <x:c r="M114" s="24"/>
      <x:c r="N114" s="24"/>
      <x:c r="O114" s="24"/>
      <x:c r="P114" s="24"/>
      <x:c r="Q114" s="24"/>
      <x:c r="R114" s="24"/>
      <x:c r="S114" s="24"/>
      <x:c r="T114" s="24"/>
      <x:c r="U114" s="24"/>
      <x:c r="V114" s="24"/>
      <x:c r="W114" s="24"/>
      <x:c r="X114" s="24"/>
      <x:c r="Y114" s="24"/>
      <x:c r="Z114" s="24"/>
    </x:row>
    <x:row r="115">
      <x:c r="A115" s="24"/>
      <x:c r="B115" s="24"/>
      <x:c r="C115" s="24"/>
      <x:c r="D115" s="24"/>
      <x:c r="E115" s="24"/>
      <x:c r="F115" s="24"/>
      <x:c r="G115" s="24"/>
      <x:c r="H115" s="24"/>
      <x:c r="I115" s="24"/>
      <x:c r="J115" s="24"/>
      <x:c r="K115" s="24"/>
      <x:c r="L115" s="24"/>
      <x:c r="M115" s="24"/>
      <x:c r="N115" s="24"/>
      <x:c r="O115" s="24"/>
      <x:c r="P115" s="24"/>
      <x:c r="Q115" s="24"/>
      <x:c r="R115" s="24"/>
      <x:c r="S115" s="24"/>
      <x:c r="T115" s="24"/>
      <x:c r="U115" s="24"/>
      <x:c r="V115" s="24"/>
      <x:c r="W115" s="24"/>
      <x:c r="X115" s="24"/>
      <x:c r="Y115" s="24"/>
      <x:c r="Z115" s="24"/>
    </x:row>
    <x:row r="116">
      <x:c r="A116" s="24"/>
      <x:c r="B116" s="24"/>
      <x:c r="C116" s="24"/>
      <x:c r="D116" s="24"/>
      <x:c r="E116" s="24"/>
      <x:c r="F116" s="24"/>
      <x:c r="G116" s="24"/>
      <x:c r="H116" s="24"/>
      <x:c r="I116" s="24"/>
      <x:c r="J116" s="24"/>
      <x:c r="K116" s="24"/>
      <x:c r="L116" s="24"/>
      <x:c r="M116" s="24"/>
      <x:c r="N116" s="24"/>
      <x:c r="O116" s="24"/>
      <x:c r="P116" s="24"/>
      <x:c r="Q116" s="24"/>
      <x:c r="R116" s="24"/>
      <x:c r="S116" s="24"/>
      <x:c r="T116" s="24"/>
      <x:c r="U116" s="24"/>
      <x:c r="V116" s="24"/>
      <x:c r="W116" s="24"/>
      <x:c r="X116" s="24"/>
      <x:c r="Y116" s="24"/>
      <x:c r="Z116" s="24"/>
    </x:row>
    <x:row r="117">
      <x:c r="A117" s="24"/>
      <x:c r="B117" s="24"/>
      <x:c r="C117" s="24"/>
      <x:c r="D117" s="24"/>
      <x:c r="E117" s="24"/>
      <x:c r="F117" s="24"/>
      <x:c r="G117" s="24"/>
      <x:c r="H117" s="24"/>
      <x:c r="I117" s="24"/>
      <x:c r="J117" s="24"/>
      <x:c r="K117" s="24"/>
      <x:c r="L117" s="24"/>
      <x:c r="M117" s="24"/>
      <x:c r="N117" s="24"/>
      <x:c r="O117" s="24"/>
      <x:c r="P117" s="24"/>
      <x:c r="Q117" s="24"/>
      <x:c r="R117" s="24"/>
      <x:c r="S117" s="24"/>
      <x:c r="T117" s="24"/>
      <x:c r="U117" s="24"/>
      <x:c r="V117" s="24"/>
      <x:c r="W117" s="24"/>
      <x:c r="X117" s="24"/>
      <x:c r="Y117" s="24"/>
      <x:c r="Z117" s="24"/>
    </x:row>
    <x:row r="118">
      <x:c r="A118" s="24"/>
      <x:c r="B118" s="24"/>
      <x:c r="C118" s="24"/>
      <x:c r="D118" s="24"/>
      <x:c r="E118" s="24"/>
      <x:c r="F118" s="24"/>
      <x:c r="G118" s="24"/>
      <x:c r="H118" s="24"/>
      <x:c r="I118" s="24"/>
      <x:c r="J118" s="24"/>
      <x:c r="K118" s="24"/>
      <x:c r="L118" s="24"/>
      <x:c r="M118" s="24"/>
      <x:c r="N118" s="24"/>
      <x:c r="O118" s="24"/>
      <x:c r="P118" s="24"/>
      <x:c r="Q118" s="24"/>
      <x:c r="R118" s="24"/>
      <x:c r="S118" s="24"/>
      <x:c r="T118" s="24"/>
      <x:c r="U118" s="24"/>
      <x:c r="V118" s="24"/>
      <x:c r="W118" s="24"/>
      <x:c r="X118" s="24"/>
      <x:c r="Y118" s="24"/>
      <x:c r="Z118" s="24"/>
    </x:row>
    <x:row r="119">
      <x:c r="A119" s="24"/>
      <x:c r="B119" s="24"/>
      <x:c r="C119" s="24"/>
      <x:c r="D119" s="24"/>
      <x:c r="E119" s="24"/>
      <x:c r="F119" s="24"/>
      <x:c r="G119" s="24"/>
      <x:c r="H119" s="24"/>
      <x:c r="I119" s="24"/>
      <x:c r="J119" s="24"/>
      <x:c r="K119" s="24"/>
      <x:c r="L119" s="24"/>
      <x:c r="M119" s="24"/>
      <x:c r="N119" s="24"/>
      <x:c r="O119" s="24"/>
      <x:c r="P119" s="24"/>
      <x:c r="Q119" s="24"/>
      <x:c r="R119" s="24"/>
      <x:c r="S119" s="24"/>
      <x:c r="T119" s="24"/>
      <x:c r="U119" s="24"/>
      <x:c r="V119" s="24"/>
      <x:c r="W119" s="24"/>
      <x:c r="X119" s="24"/>
      <x:c r="Y119" s="24"/>
      <x:c r="Z119" s="24"/>
    </x:row>
    <x:row r="120">
      <x:c r="A120" s="24"/>
      <x:c r="B120" s="24"/>
      <x:c r="C120" s="24"/>
      <x:c r="D120" s="24"/>
      <x:c r="E120" s="24"/>
      <x:c r="F120" s="24"/>
      <x:c r="G120" s="24"/>
      <x:c r="H120" s="24"/>
      <x:c r="I120" s="24"/>
      <x:c r="J120" s="24"/>
      <x:c r="K120" s="24"/>
      <x:c r="L120" s="24"/>
      <x:c r="M120" s="24"/>
      <x:c r="N120" s="24"/>
      <x:c r="O120" s="24"/>
      <x:c r="P120" s="24"/>
      <x:c r="Q120" s="24"/>
      <x:c r="R120" s="24"/>
      <x:c r="S120" s="24"/>
      <x:c r="T120" s="24"/>
      <x:c r="U120" s="24"/>
      <x:c r="V120" s="24"/>
      <x:c r="W120" s="24"/>
      <x:c r="X120" s="24"/>
      <x:c r="Y120" s="24"/>
      <x:c r="Z120" s="24"/>
    </x:row>
    <x:row r="12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  <x:c r="K121" s="24"/>
      <x:c r="L121" s="24"/>
      <x:c r="M121" s="24"/>
      <x:c r="N121" s="24"/>
      <x:c r="O121" s="24"/>
      <x:c r="P121" s="24"/>
      <x:c r="Q121" s="24"/>
      <x:c r="R121" s="24"/>
      <x:c r="S121" s="24"/>
      <x:c r="T121" s="24"/>
      <x:c r="U121" s="24"/>
      <x:c r="V121" s="24"/>
      <x:c r="W121" s="24"/>
      <x:c r="X121" s="24"/>
      <x:c r="Y121" s="24"/>
      <x:c r="Z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  <x:c r="K122" s="24"/>
      <x:c r="L122" s="24"/>
      <x:c r="M122" s="24"/>
      <x:c r="N122" s="24"/>
      <x:c r="O122" s="24"/>
      <x:c r="P122" s="24"/>
      <x:c r="Q122" s="24"/>
      <x:c r="R122" s="24"/>
      <x:c r="S122" s="24"/>
      <x:c r="T122" s="24"/>
      <x:c r="U122" s="24"/>
      <x:c r="V122" s="24"/>
      <x:c r="W122" s="24"/>
      <x:c r="X122" s="24"/>
      <x:c r="Y122" s="24"/>
      <x:c r="Z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  <x:c r="M123" s="24"/>
      <x:c r="N123" s="24"/>
      <x:c r="O123" s="24"/>
      <x:c r="P123" s="24"/>
      <x:c r="Q123" s="24"/>
      <x:c r="R123" s="24"/>
      <x:c r="S123" s="24"/>
      <x:c r="T123" s="24"/>
      <x:c r="U123" s="24"/>
      <x:c r="V123" s="24"/>
      <x:c r="W123" s="24"/>
      <x:c r="X123" s="24"/>
      <x:c r="Y123" s="24"/>
      <x:c r="Z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  <x:c r="M124" s="24"/>
      <x:c r="N124" s="24"/>
      <x:c r="O124" s="24"/>
      <x:c r="P124" s="24"/>
      <x:c r="Q124" s="24"/>
      <x:c r="R124" s="24"/>
      <x:c r="S124" s="24"/>
      <x:c r="T124" s="24"/>
      <x:c r="U124" s="24"/>
      <x:c r="V124" s="24"/>
      <x:c r="W124" s="24"/>
      <x:c r="X124" s="24"/>
      <x:c r="Y124" s="24"/>
      <x:c r="Z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  <x:c r="K125" s="24"/>
      <x:c r="L125" s="24"/>
      <x:c r="M125" s="24"/>
      <x:c r="N125" s="24"/>
      <x:c r="O125" s="24"/>
      <x:c r="P125" s="24"/>
      <x:c r="Q125" s="24"/>
      <x:c r="R125" s="24"/>
      <x:c r="S125" s="24"/>
      <x:c r="T125" s="24"/>
      <x:c r="U125" s="24"/>
      <x:c r="V125" s="24"/>
      <x:c r="W125" s="24"/>
      <x:c r="X125" s="24"/>
      <x:c r="Y125" s="24"/>
      <x:c r="Z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  <x:c r="K126" s="24"/>
      <x:c r="L126" s="24"/>
      <x:c r="M126" s="24"/>
      <x:c r="N126" s="24"/>
      <x:c r="O126" s="24"/>
      <x:c r="P126" s="24"/>
      <x:c r="Q126" s="24"/>
      <x:c r="R126" s="24"/>
      <x:c r="S126" s="24"/>
      <x:c r="T126" s="24"/>
      <x:c r="U126" s="24"/>
      <x:c r="V126" s="24"/>
      <x:c r="W126" s="24"/>
      <x:c r="X126" s="24"/>
      <x:c r="Y126" s="24"/>
      <x:c r="Z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  <x:c r="K127" s="24"/>
      <x:c r="L127" s="24"/>
      <x:c r="M127" s="24"/>
      <x:c r="N127" s="24"/>
      <x:c r="O127" s="24"/>
      <x:c r="P127" s="24"/>
      <x:c r="Q127" s="24"/>
      <x:c r="R127" s="24"/>
      <x:c r="S127" s="24"/>
      <x:c r="T127" s="24"/>
      <x:c r="U127" s="24"/>
      <x:c r="V127" s="24"/>
      <x:c r="W127" s="24"/>
      <x:c r="X127" s="24"/>
      <x:c r="Y127" s="24"/>
      <x:c r="Z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  <x:c r="K128" s="24"/>
      <x:c r="L128" s="24"/>
      <x:c r="M128" s="24"/>
      <x:c r="N128" s="24"/>
      <x:c r="O128" s="24"/>
      <x:c r="P128" s="24"/>
      <x:c r="Q128" s="24"/>
      <x:c r="R128" s="24"/>
      <x:c r="S128" s="24"/>
      <x:c r="T128" s="24"/>
      <x:c r="U128" s="24"/>
      <x:c r="V128" s="24"/>
      <x:c r="W128" s="24"/>
      <x:c r="X128" s="24"/>
      <x:c r="Y128" s="24"/>
      <x:c r="Z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  <x:c r="K129" s="24"/>
      <x:c r="L129" s="24"/>
      <x:c r="M129" s="24"/>
      <x:c r="N129" s="24"/>
      <x:c r="O129" s="24"/>
      <x:c r="P129" s="24"/>
      <x:c r="Q129" s="24"/>
      <x:c r="R129" s="24"/>
      <x:c r="S129" s="24"/>
      <x:c r="T129" s="24"/>
      <x:c r="U129" s="24"/>
      <x:c r="V129" s="24"/>
      <x:c r="W129" s="24"/>
      <x:c r="X129" s="24"/>
      <x:c r="Y129" s="24"/>
      <x:c r="Z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  <x:c r="K130" s="24"/>
      <x:c r="L130" s="24"/>
      <x:c r="M130" s="24"/>
      <x:c r="N130" s="24"/>
      <x:c r="O130" s="24"/>
      <x:c r="P130" s="24"/>
      <x:c r="Q130" s="24"/>
      <x:c r="R130" s="24"/>
      <x:c r="S130" s="24"/>
      <x:c r="T130" s="24"/>
      <x:c r="U130" s="24"/>
      <x:c r="V130" s="24"/>
      <x:c r="W130" s="24"/>
      <x:c r="X130" s="24"/>
      <x:c r="Y130" s="24"/>
      <x:c r="Z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  <x:c r="K131" s="24"/>
      <x:c r="L131" s="24"/>
      <x:c r="M131" s="24"/>
      <x:c r="N131" s="24"/>
      <x:c r="O131" s="24"/>
      <x:c r="P131" s="24"/>
      <x:c r="Q131" s="24"/>
      <x:c r="R131" s="24"/>
      <x:c r="S131" s="24"/>
      <x:c r="T131" s="24"/>
      <x:c r="U131" s="24"/>
      <x:c r="V131" s="24"/>
      <x:c r="W131" s="24"/>
      <x:c r="X131" s="24"/>
      <x:c r="Y131" s="24"/>
      <x:c r="Z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  <x:c r="K132" s="24"/>
      <x:c r="L132" s="24"/>
      <x:c r="M132" s="24"/>
      <x:c r="N132" s="24"/>
      <x:c r="O132" s="24"/>
      <x:c r="P132" s="24"/>
      <x:c r="Q132" s="24"/>
      <x:c r="R132" s="24"/>
      <x:c r="S132" s="24"/>
      <x:c r="T132" s="24"/>
      <x:c r="U132" s="24"/>
      <x:c r="V132" s="24"/>
      <x:c r="W132" s="24"/>
      <x:c r="X132" s="24"/>
      <x:c r="Y132" s="24"/>
      <x:c r="Z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  <x:c r="K133" s="24"/>
      <x:c r="L133" s="24"/>
      <x:c r="M133" s="24"/>
      <x:c r="N133" s="24"/>
      <x:c r="O133" s="24"/>
      <x:c r="P133" s="24"/>
      <x:c r="Q133" s="24"/>
      <x:c r="R133" s="24"/>
      <x:c r="S133" s="24"/>
      <x:c r="T133" s="24"/>
      <x:c r="U133" s="24"/>
      <x:c r="V133" s="24"/>
      <x:c r="W133" s="24"/>
      <x:c r="X133" s="24"/>
      <x:c r="Y133" s="24"/>
      <x:c r="Z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  <x:c r="K134" s="24"/>
      <x:c r="L134" s="24"/>
      <x:c r="M134" s="24"/>
      <x:c r="N134" s="24"/>
      <x:c r="O134" s="24"/>
      <x:c r="P134" s="24"/>
      <x:c r="Q134" s="24"/>
      <x:c r="R134" s="24"/>
      <x:c r="S134" s="24"/>
      <x:c r="T134" s="24"/>
      <x:c r="U134" s="24"/>
      <x:c r="V134" s="24"/>
      <x:c r="W134" s="24"/>
      <x:c r="X134" s="24"/>
      <x:c r="Y134" s="24"/>
      <x:c r="Z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  <x:c r="K135" s="24"/>
      <x:c r="L135" s="24"/>
      <x:c r="M135" s="24"/>
      <x:c r="N135" s="24"/>
      <x:c r="O135" s="24"/>
      <x:c r="P135" s="24"/>
      <x:c r="Q135" s="24"/>
      <x:c r="R135" s="24"/>
      <x:c r="S135" s="24"/>
      <x:c r="T135" s="24"/>
      <x:c r="U135" s="24"/>
      <x:c r="V135" s="24"/>
      <x:c r="W135" s="24"/>
      <x:c r="X135" s="24"/>
      <x:c r="Y135" s="24"/>
      <x:c r="Z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  <x:c r="K136" s="24"/>
      <x:c r="L136" s="24"/>
      <x:c r="M136" s="24"/>
      <x:c r="N136" s="24"/>
      <x:c r="O136" s="24"/>
      <x:c r="P136" s="24"/>
      <x:c r="Q136" s="24"/>
      <x:c r="R136" s="24"/>
      <x:c r="S136" s="24"/>
      <x:c r="T136" s="24"/>
      <x:c r="U136" s="24"/>
      <x:c r="V136" s="24"/>
      <x:c r="W136" s="24"/>
      <x:c r="X136" s="24"/>
      <x:c r="Y136" s="24"/>
      <x:c r="Z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  <x:c r="L137" s="24"/>
      <x:c r="M137" s="24"/>
      <x:c r="N137" s="24"/>
      <x:c r="O137" s="24"/>
      <x:c r="P137" s="24"/>
      <x:c r="Q137" s="24"/>
      <x:c r="R137" s="24"/>
      <x:c r="S137" s="24"/>
      <x:c r="T137" s="24"/>
      <x:c r="U137" s="24"/>
      <x:c r="V137" s="24"/>
      <x:c r="W137" s="24"/>
      <x:c r="X137" s="24"/>
      <x:c r="Y137" s="24"/>
      <x:c r="Z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  <x:c r="K138" s="24"/>
      <x:c r="L138" s="24"/>
      <x:c r="M138" s="24"/>
      <x:c r="N138" s="24"/>
      <x:c r="O138" s="24"/>
      <x:c r="P138" s="24"/>
      <x:c r="Q138" s="24"/>
      <x:c r="R138" s="24"/>
      <x:c r="S138" s="24"/>
      <x:c r="T138" s="24"/>
      <x:c r="U138" s="24"/>
      <x:c r="V138" s="24"/>
      <x:c r="W138" s="24"/>
      <x:c r="X138" s="24"/>
      <x:c r="Y138" s="24"/>
      <x:c r="Z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  <x:c r="K139" s="24"/>
      <x:c r="L139" s="24"/>
      <x:c r="M139" s="24"/>
      <x:c r="N139" s="24"/>
      <x:c r="O139" s="24"/>
      <x:c r="P139" s="24"/>
      <x:c r="Q139" s="24"/>
      <x:c r="R139" s="24"/>
      <x:c r="S139" s="24"/>
      <x:c r="T139" s="24"/>
      <x:c r="U139" s="24"/>
      <x:c r="V139" s="24"/>
      <x:c r="W139" s="24"/>
      <x:c r="X139" s="24"/>
      <x:c r="Y139" s="24"/>
      <x:c r="Z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  <x:c r="K140" s="24"/>
      <x:c r="L140" s="24"/>
      <x:c r="M140" s="24"/>
      <x:c r="N140" s="24"/>
      <x:c r="O140" s="24"/>
      <x:c r="P140" s="24"/>
      <x:c r="Q140" s="24"/>
      <x:c r="R140" s="24"/>
      <x:c r="S140" s="24"/>
      <x:c r="T140" s="24"/>
      <x:c r="U140" s="24"/>
      <x:c r="V140" s="24"/>
      <x:c r="W140" s="24"/>
      <x:c r="X140" s="24"/>
      <x:c r="Y140" s="24"/>
      <x:c r="Z140" s="24"/>
    </x:row>
    <x:row r="141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  <x:c r="K141" s="24"/>
      <x:c r="L141" s="24"/>
      <x:c r="M141" s="24"/>
      <x:c r="N141" s="24"/>
      <x:c r="O141" s="24"/>
      <x:c r="P141" s="24"/>
      <x:c r="Q141" s="24"/>
      <x:c r="R141" s="24"/>
      <x:c r="S141" s="24"/>
      <x:c r="T141" s="24"/>
      <x:c r="U141" s="24"/>
      <x:c r="V141" s="24"/>
      <x:c r="W141" s="24"/>
      <x:c r="X141" s="24"/>
      <x:c r="Y141" s="24"/>
      <x:c r="Z141" s="24"/>
    </x:row>
    <x:row r="142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  <x:c r="K142" s="24"/>
      <x:c r="L142" s="24"/>
      <x:c r="M142" s="24"/>
      <x:c r="N142" s="24"/>
      <x:c r="O142" s="24"/>
      <x:c r="P142" s="24"/>
      <x:c r="Q142" s="24"/>
      <x:c r="R142" s="24"/>
      <x:c r="S142" s="24"/>
      <x:c r="T142" s="24"/>
      <x:c r="U142" s="24"/>
      <x:c r="V142" s="24"/>
      <x:c r="W142" s="24"/>
      <x:c r="X142" s="24"/>
      <x:c r="Y142" s="24"/>
      <x:c r="Z142" s="24"/>
    </x:row>
    <x:row r="143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  <x:c r="K143" s="24"/>
      <x:c r="L143" s="24"/>
      <x:c r="M143" s="24"/>
      <x:c r="N143" s="24"/>
      <x:c r="O143" s="24"/>
      <x:c r="P143" s="24"/>
      <x:c r="Q143" s="24"/>
      <x:c r="R143" s="24"/>
      <x:c r="S143" s="24"/>
      <x:c r="T143" s="24"/>
      <x:c r="U143" s="24"/>
      <x:c r="V143" s="24"/>
      <x:c r="W143" s="24"/>
      <x:c r="X143" s="24"/>
      <x:c r="Y143" s="24"/>
      <x:c r="Z143" s="24"/>
    </x:row>
    <x:row r="144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  <x:c r="K144" s="24"/>
      <x:c r="L144" s="24"/>
      <x:c r="M144" s="24"/>
      <x:c r="N144" s="24"/>
      <x:c r="O144" s="24"/>
      <x:c r="P144" s="24"/>
      <x:c r="Q144" s="24"/>
      <x:c r="R144" s="24"/>
      <x:c r="S144" s="24"/>
      <x:c r="T144" s="24"/>
      <x:c r="U144" s="24"/>
      <x:c r="V144" s="24"/>
      <x:c r="W144" s="24"/>
      <x:c r="X144" s="24"/>
      <x:c r="Y144" s="24"/>
      <x:c r="Z144" s="24"/>
    </x:row>
    <x:row r="145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  <x:c r="K145" s="24"/>
      <x:c r="L145" s="24"/>
      <x:c r="M145" s="24"/>
      <x:c r="N145" s="24"/>
      <x:c r="O145" s="24"/>
      <x:c r="P145" s="24"/>
      <x:c r="Q145" s="24"/>
      <x:c r="R145" s="24"/>
      <x:c r="S145" s="24"/>
      <x:c r="T145" s="24"/>
      <x:c r="U145" s="24"/>
      <x:c r="V145" s="24"/>
      <x:c r="W145" s="24"/>
      <x:c r="X145" s="24"/>
      <x:c r="Y145" s="24"/>
      <x:c r="Z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  <x:c r="K146" s="24"/>
      <x:c r="L146" s="24"/>
      <x:c r="M146" s="24"/>
      <x:c r="N146" s="24"/>
      <x:c r="O146" s="24"/>
      <x:c r="P146" s="24"/>
      <x:c r="Q146" s="24"/>
      <x:c r="R146" s="24"/>
      <x:c r="S146" s="24"/>
      <x:c r="T146" s="24"/>
      <x:c r="U146" s="24"/>
      <x:c r="V146" s="24"/>
      <x:c r="W146" s="24"/>
      <x:c r="X146" s="24"/>
      <x:c r="Y146" s="24"/>
      <x:c r="Z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  <x:c r="K147" s="24"/>
      <x:c r="L147" s="24"/>
      <x:c r="M147" s="24"/>
      <x:c r="N147" s="24"/>
      <x:c r="O147" s="24"/>
      <x:c r="P147" s="24"/>
      <x:c r="Q147" s="24"/>
      <x:c r="R147" s="24"/>
      <x:c r="S147" s="24"/>
      <x:c r="T147" s="24"/>
      <x:c r="U147" s="24"/>
      <x:c r="V147" s="24"/>
      <x:c r="W147" s="24"/>
      <x:c r="X147" s="24"/>
      <x:c r="Y147" s="24"/>
      <x:c r="Z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  <x:c r="K148" s="24"/>
      <x:c r="L148" s="24"/>
      <x:c r="M148" s="24"/>
      <x:c r="N148" s="24"/>
      <x:c r="O148" s="24"/>
      <x:c r="P148" s="24"/>
      <x:c r="Q148" s="24"/>
      <x:c r="R148" s="24"/>
      <x:c r="S148" s="24"/>
      <x:c r="T148" s="24"/>
      <x:c r="U148" s="24"/>
      <x:c r="V148" s="24"/>
      <x:c r="W148" s="24"/>
      <x:c r="X148" s="24"/>
      <x:c r="Y148" s="24"/>
      <x:c r="Z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  <x:c r="K149" s="24"/>
      <x:c r="L149" s="24"/>
      <x:c r="M149" s="24"/>
      <x:c r="N149" s="24"/>
      <x:c r="O149" s="24"/>
      <x:c r="P149" s="24"/>
      <x:c r="Q149" s="24"/>
      <x:c r="R149" s="24"/>
      <x:c r="S149" s="24"/>
      <x:c r="T149" s="24"/>
      <x:c r="U149" s="24"/>
      <x:c r="V149" s="24"/>
      <x:c r="W149" s="24"/>
      <x:c r="X149" s="24"/>
      <x:c r="Y149" s="24"/>
      <x:c r="Z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  <x:c r="L150" s="24"/>
      <x:c r="M150" s="24"/>
      <x:c r="N150" s="24"/>
      <x:c r="O150" s="24"/>
      <x:c r="P150" s="24"/>
      <x:c r="Q150" s="24"/>
      <x:c r="R150" s="24"/>
      <x:c r="S150" s="24"/>
      <x:c r="T150" s="24"/>
      <x:c r="U150" s="24"/>
      <x:c r="V150" s="24"/>
      <x:c r="W150" s="24"/>
      <x:c r="X150" s="24"/>
      <x:c r="Y150" s="24"/>
      <x:c r="Z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  <x:c r="K151" s="24"/>
      <x:c r="L151" s="24"/>
      <x:c r="M151" s="24"/>
      <x:c r="N151" s="24"/>
      <x:c r="O151" s="24"/>
      <x:c r="P151" s="24"/>
      <x:c r="Q151" s="24"/>
      <x:c r="R151" s="24"/>
      <x:c r="S151" s="24"/>
      <x:c r="T151" s="24"/>
      <x:c r="U151" s="24"/>
      <x:c r="V151" s="24"/>
      <x:c r="W151" s="24"/>
      <x:c r="X151" s="24"/>
      <x:c r="Y151" s="24"/>
      <x:c r="Z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  <x:c r="K152" s="24"/>
      <x:c r="L152" s="24"/>
      <x:c r="M152" s="24"/>
      <x:c r="N152" s="24"/>
      <x:c r="O152" s="24"/>
      <x:c r="P152" s="24"/>
      <x:c r="Q152" s="24"/>
      <x:c r="R152" s="24"/>
      <x:c r="S152" s="24"/>
      <x:c r="T152" s="24"/>
      <x:c r="U152" s="24"/>
      <x:c r="V152" s="24"/>
      <x:c r="W152" s="24"/>
      <x:c r="X152" s="24"/>
      <x:c r="Y152" s="24"/>
      <x:c r="Z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  <x:c r="K153" s="24"/>
      <x:c r="L153" s="24"/>
      <x:c r="M153" s="24"/>
      <x:c r="N153" s="24"/>
      <x:c r="O153" s="24"/>
      <x:c r="P153" s="24"/>
      <x:c r="Q153" s="24"/>
      <x:c r="R153" s="24"/>
      <x:c r="S153" s="24"/>
      <x:c r="T153" s="24"/>
      <x:c r="U153" s="24"/>
      <x:c r="V153" s="24"/>
      <x:c r="W153" s="24"/>
      <x:c r="X153" s="24"/>
      <x:c r="Y153" s="24"/>
      <x:c r="Z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  <x:c r="K154" s="24"/>
      <x:c r="L154" s="24"/>
      <x:c r="M154" s="24"/>
      <x:c r="N154" s="24"/>
      <x:c r="O154" s="24"/>
      <x:c r="P154" s="24"/>
      <x:c r="Q154" s="24"/>
      <x:c r="R154" s="24"/>
      <x:c r="S154" s="24"/>
      <x:c r="T154" s="24"/>
      <x:c r="U154" s="24"/>
      <x:c r="V154" s="24"/>
      <x:c r="W154" s="24"/>
      <x:c r="X154" s="24"/>
      <x:c r="Y154" s="24"/>
      <x:c r="Z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  <x:c r="K155" s="24"/>
      <x:c r="L155" s="24"/>
      <x:c r="M155" s="24"/>
      <x:c r="N155" s="24"/>
      <x:c r="O155" s="24"/>
      <x:c r="P155" s="24"/>
      <x:c r="Q155" s="24"/>
      <x:c r="R155" s="24"/>
      <x:c r="S155" s="24"/>
      <x:c r="T155" s="24"/>
      <x:c r="U155" s="24"/>
      <x:c r="V155" s="24"/>
      <x:c r="W155" s="24"/>
      <x:c r="X155" s="24"/>
      <x:c r="Y155" s="24"/>
      <x:c r="Z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  <x:c r="K156" s="24"/>
      <x:c r="L156" s="24"/>
      <x:c r="M156" s="24"/>
      <x:c r="N156" s="24"/>
      <x:c r="O156" s="24"/>
      <x:c r="P156" s="24"/>
      <x:c r="Q156" s="24"/>
      <x:c r="R156" s="24"/>
      <x:c r="S156" s="24"/>
      <x:c r="T156" s="24"/>
      <x:c r="U156" s="24"/>
      <x:c r="V156" s="24"/>
      <x:c r="W156" s="24"/>
      <x:c r="X156" s="24"/>
      <x:c r="Y156" s="24"/>
      <x:c r="Z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  <x:c r="K157" s="24"/>
      <x:c r="L157" s="24"/>
      <x:c r="M157" s="24"/>
      <x:c r="N157" s="24"/>
      <x:c r="O157" s="24"/>
      <x:c r="P157" s="24"/>
      <x:c r="Q157" s="24"/>
      <x:c r="R157" s="24"/>
      <x:c r="S157" s="24"/>
      <x:c r="T157" s="24"/>
      <x:c r="U157" s="24"/>
      <x:c r="V157" s="24"/>
      <x:c r="W157" s="24"/>
      <x:c r="X157" s="24"/>
      <x:c r="Y157" s="24"/>
      <x:c r="Z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  <x:c r="K158" s="24"/>
      <x:c r="L158" s="24"/>
      <x:c r="M158" s="24"/>
      <x:c r="N158" s="24"/>
      <x:c r="O158" s="24"/>
      <x:c r="P158" s="24"/>
      <x:c r="Q158" s="24"/>
      <x:c r="R158" s="24"/>
      <x:c r="S158" s="24"/>
      <x:c r="T158" s="24"/>
      <x:c r="U158" s="24"/>
      <x:c r="V158" s="24"/>
      <x:c r="W158" s="24"/>
      <x:c r="X158" s="24"/>
      <x:c r="Y158" s="24"/>
      <x:c r="Z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  <x:c r="K159" s="24"/>
      <x:c r="L159" s="24"/>
      <x:c r="M159" s="24"/>
      <x:c r="N159" s="24"/>
      <x:c r="O159" s="24"/>
      <x:c r="P159" s="24"/>
      <x:c r="Q159" s="24"/>
      <x:c r="R159" s="24"/>
      <x:c r="S159" s="24"/>
      <x:c r="T159" s="24"/>
      <x:c r="U159" s="24"/>
      <x:c r="V159" s="24"/>
      <x:c r="W159" s="24"/>
      <x:c r="X159" s="24"/>
      <x:c r="Y159" s="24"/>
      <x:c r="Z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  <x:c r="K160" s="24"/>
      <x:c r="L160" s="24"/>
      <x:c r="M160" s="24"/>
      <x:c r="N160" s="24"/>
      <x:c r="O160" s="24"/>
      <x:c r="P160" s="24"/>
      <x:c r="Q160" s="24"/>
      <x:c r="R160" s="24"/>
      <x:c r="S160" s="24"/>
      <x:c r="T160" s="24"/>
      <x:c r="U160" s="24"/>
      <x:c r="V160" s="24"/>
      <x:c r="W160" s="24"/>
      <x:c r="X160" s="24"/>
      <x:c r="Y160" s="24"/>
      <x:c r="Z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  <x:c r="K161" s="24"/>
      <x:c r="L161" s="24"/>
      <x:c r="M161" s="24"/>
      <x:c r="N161" s="24"/>
      <x:c r="O161" s="24"/>
      <x:c r="P161" s="24"/>
      <x:c r="Q161" s="24"/>
      <x:c r="R161" s="24"/>
      <x:c r="S161" s="24"/>
      <x:c r="T161" s="24"/>
      <x:c r="U161" s="24"/>
      <x:c r="V161" s="24"/>
      <x:c r="W161" s="24"/>
      <x:c r="X161" s="24"/>
      <x:c r="Y161" s="24"/>
      <x:c r="Z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  <x:c r="K162" s="24"/>
      <x:c r="L162" s="24"/>
      <x:c r="M162" s="24"/>
      <x:c r="N162" s="24"/>
      <x:c r="O162" s="24"/>
      <x:c r="P162" s="24"/>
      <x:c r="Q162" s="24"/>
      <x:c r="R162" s="24"/>
      <x:c r="S162" s="24"/>
      <x:c r="T162" s="24"/>
      <x:c r="U162" s="24"/>
      <x:c r="V162" s="24"/>
      <x:c r="W162" s="24"/>
      <x:c r="X162" s="24"/>
      <x:c r="Y162" s="24"/>
      <x:c r="Z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  <x:c r="K163" s="24"/>
      <x:c r="L163" s="24"/>
      <x:c r="M163" s="24"/>
      <x:c r="N163" s="24"/>
      <x:c r="O163" s="24"/>
      <x:c r="P163" s="24"/>
      <x:c r="Q163" s="24"/>
      <x:c r="R163" s="24"/>
      <x:c r="S163" s="24"/>
      <x:c r="T163" s="24"/>
      <x:c r="U163" s="24"/>
      <x:c r="V163" s="24"/>
      <x:c r="W163" s="24"/>
      <x:c r="X163" s="24"/>
      <x:c r="Y163" s="24"/>
      <x:c r="Z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  <x:c r="K164" s="24"/>
      <x:c r="L164" s="24"/>
      <x:c r="M164" s="24"/>
      <x:c r="N164" s="24"/>
      <x:c r="O164" s="24"/>
      <x:c r="P164" s="24"/>
      <x:c r="Q164" s="24"/>
      <x:c r="R164" s="24"/>
      <x:c r="S164" s="24"/>
      <x:c r="T164" s="24"/>
      <x:c r="U164" s="24"/>
      <x:c r="V164" s="24"/>
      <x:c r="W164" s="24"/>
      <x:c r="X164" s="24"/>
      <x:c r="Y164" s="24"/>
      <x:c r="Z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  <x:c r="K165" s="24"/>
      <x:c r="L165" s="24"/>
      <x:c r="M165" s="24"/>
      <x:c r="N165" s="24"/>
      <x:c r="O165" s="24"/>
      <x:c r="P165" s="24"/>
      <x:c r="Q165" s="24"/>
      <x:c r="R165" s="24"/>
      <x:c r="S165" s="24"/>
      <x:c r="T165" s="24"/>
      <x:c r="U165" s="24"/>
      <x:c r="V165" s="24"/>
      <x:c r="W165" s="24"/>
      <x:c r="X165" s="24"/>
      <x:c r="Y165" s="24"/>
      <x:c r="Z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  <x:c r="K166" s="24"/>
      <x:c r="L166" s="24"/>
      <x:c r="M166" s="24"/>
      <x:c r="N166" s="24"/>
      <x:c r="O166" s="24"/>
      <x:c r="P166" s="24"/>
      <x:c r="Q166" s="24"/>
      <x:c r="R166" s="24"/>
      <x:c r="S166" s="24"/>
      <x:c r="T166" s="24"/>
      <x:c r="U166" s="24"/>
      <x:c r="V166" s="24"/>
      <x:c r="W166" s="24"/>
      <x:c r="X166" s="24"/>
      <x:c r="Y166" s="24"/>
      <x:c r="Z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  <x:c r="K167" s="24"/>
      <x:c r="L167" s="24"/>
      <x:c r="M167" s="24"/>
      <x:c r="N167" s="24"/>
      <x:c r="O167" s="24"/>
      <x:c r="P167" s="24"/>
      <x:c r="Q167" s="24"/>
      <x:c r="R167" s="24"/>
      <x:c r="S167" s="24"/>
      <x:c r="T167" s="24"/>
      <x:c r="U167" s="24"/>
      <x:c r="V167" s="24"/>
      <x:c r="W167" s="24"/>
      <x:c r="X167" s="24"/>
      <x:c r="Y167" s="24"/>
      <x:c r="Z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  <x:c r="K168" s="24"/>
      <x:c r="L168" s="24"/>
      <x:c r="M168" s="24"/>
      <x:c r="N168" s="24"/>
      <x:c r="O168" s="24"/>
      <x:c r="P168" s="24"/>
      <x:c r="Q168" s="24"/>
      <x:c r="R168" s="24"/>
      <x:c r="S168" s="24"/>
      <x:c r="T168" s="24"/>
      <x:c r="U168" s="24"/>
      <x:c r="V168" s="24"/>
      <x:c r="W168" s="24"/>
      <x:c r="X168" s="24"/>
      <x:c r="Y168" s="24"/>
      <x:c r="Z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  <x:c r="K169" s="24"/>
      <x:c r="L169" s="24"/>
      <x:c r="M169" s="24"/>
      <x:c r="N169" s="24"/>
      <x:c r="O169" s="24"/>
      <x:c r="P169" s="24"/>
      <x:c r="Q169" s="24"/>
      <x:c r="R169" s="24"/>
      <x:c r="S169" s="24"/>
      <x:c r="T169" s="24"/>
      <x:c r="U169" s="24"/>
      <x:c r="V169" s="24"/>
      <x:c r="W169" s="24"/>
      <x:c r="X169" s="24"/>
      <x:c r="Y169" s="24"/>
      <x:c r="Z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  <x:c r="K170" s="24"/>
      <x:c r="L170" s="24"/>
      <x:c r="M170" s="24"/>
      <x:c r="N170" s="24"/>
      <x:c r="O170" s="24"/>
      <x:c r="P170" s="24"/>
      <x:c r="Q170" s="24"/>
      <x:c r="R170" s="24"/>
      <x:c r="S170" s="24"/>
      <x:c r="T170" s="24"/>
      <x:c r="U170" s="24"/>
      <x:c r="V170" s="24"/>
      <x:c r="W170" s="24"/>
      <x:c r="X170" s="24"/>
      <x:c r="Y170" s="24"/>
      <x:c r="Z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  <x:c r="K171" s="24"/>
      <x:c r="L171" s="24"/>
      <x:c r="M171" s="24"/>
      <x:c r="N171" s="24"/>
      <x:c r="O171" s="24"/>
      <x:c r="P171" s="24"/>
      <x:c r="Q171" s="24"/>
      <x:c r="R171" s="24"/>
      <x:c r="S171" s="24"/>
      <x:c r="T171" s="24"/>
      <x:c r="U171" s="24"/>
      <x:c r="V171" s="24"/>
      <x:c r="W171" s="24"/>
      <x:c r="X171" s="24"/>
      <x:c r="Y171" s="24"/>
      <x:c r="Z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  <x:c r="K172" s="24"/>
      <x:c r="L172" s="24"/>
      <x:c r="M172" s="24"/>
      <x:c r="N172" s="24"/>
      <x:c r="O172" s="24"/>
      <x:c r="P172" s="24"/>
      <x:c r="Q172" s="24"/>
      <x:c r="R172" s="24"/>
      <x:c r="S172" s="24"/>
      <x:c r="T172" s="24"/>
      <x:c r="U172" s="24"/>
      <x:c r="V172" s="24"/>
      <x:c r="W172" s="24"/>
      <x:c r="X172" s="24"/>
      <x:c r="Y172" s="24"/>
      <x:c r="Z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  <x:c r="K173" s="24"/>
      <x:c r="L173" s="24"/>
      <x:c r="M173" s="24"/>
      <x:c r="N173" s="24"/>
      <x:c r="O173" s="24"/>
      <x:c r="P173" s="24"/>
      <x:c r="Q173" s="24"/>
      <x:c r="R173" s="24"/>
      <x:c r="S173" s="24"/>
      <x:c r="T173" s="24"/>
      <x:c r="U173" s="24"/>
      <x:c r="V173" s="24"/>
      <x:c r="W173" s="24"/>
      <x:c r="X173" s="24"/>
      <x:c r="Y173" s="24"/>
      <x:c r="Z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  <x:c r="K174" s="24"/>
      <x:c r="L174" s="24"/>
      <x:c r="M174" s="24"/>
      <x:c r="N174" s="24"/>
      <x:c r="O174" s="24"/>
      <x:c r="P174" s="24"/>
      <x:c r="Q174" s="24"/>
      <x:c r="R174" s="24"/>
      <x:c r="S174" s="24"/>
      <x:c r="T174" s="24"/>
      <x:c r="U174" s="24"/>
      <x:c r="V174" s="24"/>
      <x:c r="W174" s="24"/>
      <x:c r="X174" s="24"/>
      <x:c r="Y174" s="24"/>
      <x:c r="Z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  <x:c r="K175" s="24"/>
      <x:c r="L175" s="24"/>
      <x:c r="M175" s="24"/>
      <x:c r="N175" s="24"/>
      <x:c r="O175" s="24"/>
      <x:c r="P175" s="24"/>
      <x:c r="Q175" s="24"/>
      <x:c r="R175" s="24"/>
      <x:c r="S175" s="24"/>
      <x:c r="T175" s="24"/>
      <x:c r="U175" s="24"/>
      <x:c r="V175" s="24"/>
      <x:c r="W175" s="24"/>
      <x:c r="X175" s="24"/>
      <x:c r="Y175" s="24"/>
      <x:c r="Z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  <x:c r="K176" s="24"/>
      <x:c r="L176" s="24"/>
      <x:c r="M176" s="24"/>
      <x:c r="N176" s="24"/>
      <x:c r="O176" s="24"/>
      <x:c r="P176" s="24"/>
      <x:c r="Q176" s="24"/>
      <x:c r="R176" s="24"/>
      <x:c r="S176" s="24"/>
      <x:c r="T176" s="24"/>
      <x:c r="U176" s="24"/>
      <x:c r="V176" s="24"/>
      <x:c r="W176" s="24"/>
      <x:c r="X176" s="24"/>
      <x:c r="Y176" s="24"/>
      <x:c r="Z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  <x:c r="K177" s="24"/>
      <x:c r="L177" s="24"/>
      <x:c r="M177" s="24"/>
      <x:c r="N177" s="24"/>
      <x:c r="O177" s="24"/>
      <x:c r="P177" s="24"/>
      <x:c r="Q177" s="24"/>
      <x:c r="R177" s="24"/>
      <x:c r="S177" s="24"/>
      <x:c r="T177" s="24"/>
      <x:c r="U177" s="24"/>
      <x:c r="V177" s="24"/>
      <x:c r="W177" s="24"/>
      <x:c r="X177" s="24"/>
      <x:c r="Y177" s="24"/>
      <x:c r="Z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  <x:c r="K178" s="24"/>
      <x:c r="L178" s="24"/>
      <x:c r="M178" s="24"/>
      <x:c r="N178" s="24"/>
      <x:c r="O178" s="24"/>
      <x:c r="P178" s="24"/>
      <x:c r="Q178" s="24"/>
      <x:c r="R178" s="24"/>
      <x:c r="S178" s="24"/>
      <x:c r="T178" s="24"/>
      <x:c r="U178" s="24"/>
      <x:c r="V178" s="24"/>
      <x:c r="W178" s="24"/>
      <x:c r="X178" s="24"/>
      <x:c r="Y178" s="24"/>
      <x:c r="Z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  <x:c r="K179" s="24"/>
      <x:c r="L179" s="24"/>
      <x:c r="M179" s="24"/>
      <x:c r="N179" s="24"/>
      <x:c r="O179" s="24"/>
      <x:c r="P179" s="24"/>
      <x:c r="Q179" s="24"/>
      <x:c r="R179" s="24"/>
      <x:c r="S179" s="24"/>
      <x:c r="T179" s="24"/>
      <x:c r="U179" s="24"/>
      <x:c r="V179" s="24"/>
      <x:c r="W179" s="24"/>
      <x:c r="X179" s="24"/>
      <x:c r="Y179" s="24"/>
      <x:c r="Z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  <x:c r="K180" s="24"/>
      <x:c r="L180" s="24"/>
      <x:c r="M180" s="24"/>
      <x:c r="N180" s="24"/>
      <x:c r="O180" s="24"/>
      <x:c r="P180" s="24"/>
      <x:c r="Q180" s="24"/>
      <x:c r="R180" s="24"/>
      <x:c r="S180" s="24"/>
      <x:c r="T180" s="24"/>
      <x:c r="U180" s="24"/>
      <x:c r="V180" s="24"/>
      <x:c r="W180" s="24"/>
      <x:c r="X180" s="24"/>
      <x:c r="Y180" s="24"/>
      <x:c r="Z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  <x:c r="K181" s="24"/>
      <x:c r="L181" s="24"/>
      <x:c r="M181" s="24"/>
      <x:c r="N181" s="24"/>
      <x:c r="O181" s="24"/>
      <x:c r="P181" s="24"/>
      <x:c r="Q181" s="24"/>
      <x:c r="R181" s="24"/>
      <x:c r="S181" s="24"/>
      <x:c r="T181" s="24"/>
      <x:c r="U181" s="24"/>
      <x:c r="V181" s="24"/>
      <x:c r="W181" s="24"/>
      <x:c r="X181" s="24"/>
      <x:c r="Y181" s="24"/>
      <x:c r="Z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  <x:c r="K182" s="24"/>
      <x:c r="L182" s="24"/>
      <x:c r="M182" s="24"/>
      <x:c r="N182" s="24"/>
      <x:c r="O182" s="24"/>
      <x:c r="P182" s="24"/>
      <x:c r="Q182" s="24"/>
      <x:c r="R182" s="24"/>
      <x:c r="S182" s="24"/>
      <x:c r="T182" s="24"/>
      <x:c r="U182" s="24"/>
      <x:c r="V182" s="24"/>
      <x:c r="W182" s="24"/>
      <x:c r="X182" s="24"/>
      <x:c r="Y182" s="24"/>
      <x:c r="Z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  <x:c r="K183" s="24"/>
      <x:c r="L183" s="24"/>
      <x:c r="M183" s="24"/>
      <x:c r="N183" s="24"/>
      <x:c r="O183" s="24"/>
      <x:c r="P183" s="24"/>
      <x:c r="Q183" s="24"/>
      <x:c r="R183" s="24"/>
      <x:c r="S183" s="24"/>
      <x:c r="T183" s="24"/>
      <x:c r="U183" s="24"/>
      <x:c r="V183" s="24"/>
      <x:c r="W183" s="24"/>
      <x:c r="X183" s="24"/>
      <x:c r="Y183" s="24"/>
      <x:c r="Z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  <x:c r="K184" s="24"/>
      <x:c r="L184" s="24"/>
      <x:c r="M184" s="24"/>
      <x:c r="N184" s="24"/>
      <x:c r="O184" s="24"/>
      <x:c r="P184" s="24"/>
      <x:c r="Q184" s="24"/>
      <x:c r="R184" s="24"/>
      <x:c r="S184" s="24"/>
      <x:c r="T184" s="24"/>
      <x:c r="U184" s="24"/>
      <x:c r="V184" s="24"/>
      <x:c r="W184" s="24"/>
      <x:c r="X184" s="24"/>
      <x:c r="Y184" s="24"/>
      <x:c r="Z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  <x:c r="K185" s="24"/>
      <x:c r="L185" s="24"/>
      <x:c r="M185" s="24"/>
      <x:c r="N185" s="24"/>
      <x:c r="O185" s="24"/>
      <x:c r="P185" s="24"/>
      <x:c r="Q185" s="24"/>
      <x:c r="R185" s="24"/>
      <x:c r="S185" s="24"/>
      <x:c r="T185" s="24"/>
      <x:c r="U185" s="24"/>
      <x:c r="V185" s="24"/>
      <x:c r="W185" s="24"/>
      <x:c r="X185" s="24"/>
      <x:c r="Y185" s="24"/>
      <x:c r="Z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  <x:c r="K186" s="24"/>
      <x:c r="L186" s="24"/>
      <x:c r="M186" s="24"/>
      <x:c r="N186" s="24"/>
      <x:c r="O186" s="24"/>
      <x:c r="P186" s="24"/>
      <x:c r="Q186" s="24"/>
      <x:c r="R186" s="24"/>
      <x:c r="S186" s="24"/>
      <x:c r="T186" s="24"/>
      <x:c r="U186" s="24"/>
      <x:c r="V186" s="24"/>
      <x:c r="W186" s="24"/>
      <x:c r="X186" s="24"/>
      <x:c r="Y186" s="24"/>
      <x:c r="Z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  <x:c r="K187" s="24"/>
      <x:c r="L187" s="24"/>
      <x:c r="M187" s="24"/>
      <x:c r="N187" s="24"/>
      <x:c r="O187" s="24"/>
      <x:c r="P187" s="24"/>
      <x:c r="Q187" s="24"/>
      <x:c r="R187" s="24"/>
      <x:c r="S187" s="24"/>
      <x:c r="T187" s="24"/>
      <x:c r="U187" s="24"/>
      <x:c r="V187" s="24"/>
      <x:c r="W187" s="24"/>
      <x:c r="X187" s="24"/>
      <x:c r="Y187" s="24"/>
      <x:c r="Z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  <x:c r="K188" s="24"/>
      <x:c r="L188" s="24"/>
      <x:c r="M188" s="24"/>
      <x:c r="N188" s="24"/>
      <x:c r="O188" s="24"/>
      <x:c r="P188" s="24"/>
      <x:c r="Q188" s="24"/>
      <x:c r="R188" s="24"/>
      <x:c r="S188" s="24"/>
      <x:c r="T188" s="24"/>
      <x:c r="U188" s="24"/>
      <x:c r="V188" s="24"/>
      <x:c r="W188" s="24"/>
      <x:c r="X188" s="24"/>
      <x:c r="Y188" s="24"/>
      <x:c r="Z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  <x:c r="K189" s="24"/>
      <x:c r="L189" s="24"/>
      <x:c r="M189" s="24"/>
      <x:c r="N189" s="24"/>
      <x:c r="O189" s="24"/>
      <x:c r="P189" s="24"/>
      <x:c r="Q189" s="24"/>
      <x:c r="R189" s="24"/>
      <x:c r="S189" s="24"/>
      <x:c r="T189" s="24"/>
      <x:c r="U189" s="24"/>
      <x:c r="V189" s="24"/>
      <x:c r="W189" s="24"/>
      <x:c r="X189" s="24"/>
      <x:c r="Y189" s="24"/>
      <x:c r="Z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  <x:c r="K190" s="24"/>
      <x:c r="L190" s="24"/>
      <x:c r="M190" s="24"/>
      <x:c r="N190" s="24"/>
      <x:c r="O190" s="24"/>
      <x:c r="P190" s="24"/>
      <x:c r="Q190" s="24"/>
      <x:c r="R190" s="24"/>
      <x:c r="S190" s="24"/>
      <x:c r="T190" s="24"/>
      <x:c r="U190" s="24"/>
      <x:c r="V190" s="24"/>
      <x:c r="W190" s="24"/>
      <x:c r="X190" s="24"/>
      <x:c r="Y190" s="24"/>
      <x:c r="Z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  <x:c r="K191" s="24"/>
      <x:c r="L191" s="24"/>
      <x:c r="M191" s="24"/>
      <x:c r="N191" s="24"/>
      <x:c r="O191" s="24"/>
      <x:c r="P191" s="24"/>
      <x:c r="Q191" s="24"/>
      <x:c r="R191" s="24"/>
      <x:c r="S191" s="24"/>
      <x:c r="T191" s="24"/>
      <x:c r="U191" s="24"/>
      <x:c r="V191" s="24"/>
      <x:c r="W191" s="24"/>
      <x:c r="X191" s="24"/>
      <x:c r="Y191" s="24"/>
      <x:c r="Z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  <x:c r="K192" s="24"/>
      <x:c r="L192" s="24"/>
      <x:c r="M192" s="24"/>
      <x:c r="N192" s="24"/>
      <x:c r="O192" s="24"/>
      <x:c r="P192" s="24"/>
      <x:c r="Q192" s="24"/>
      <x:c r="R192" s="24"/>
      <x:c r="S192" s="24"/>
      <x:c r="T192" s="24"/>
      <x:c r="U192" s="24"/>
      <x:c r="V192" s="24"/>
      <x:c r="W192" s="24"/>
      <x:c r="X192" s="24"/>
      <x:c r="Y192" s="24"/>
      <x:c r="Z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  <x:c r="K193" s="24"/>
      <x:c r="L193" s="24"/>
      <x:c r="M193" s="24"/>
      <x:c r="N193" s="24"/>
      <x:c r="O193" s="24"/>
      <x:c r="P193" s="24"/>
      <x:c r="Q193" s="24"/>
      <x:c r="R193" s="24"/>
      <x:c r="S193" s="24"/>
      <x:c r="T193" s="24"/>
      <x:c r="U193" s="24"/>
      <x:c r="V193" s="24"/>
      <x:c r="W193" s="24"/>
      <x:c r="X193" s="24"/>
      <x:c r="Y193" s="24"/>
      <x:c r="Z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  <x:c r="K194" s="24"/>
      <x:c r="L194" s="24"/>
      <x:c r="M194" s="24"/>
      <x:c r="N194" s="24"/>
      <x:c r="O194" s="24"/>
      <x:c r="P194" s="24"/>
      <x:c r="Q194" s="24"/>
      <x:c r="R194" s="24"/>
      <x:c r="S194" s="24"/>
      <x:c r="T194" s="24"/>
      <x:c r="U194" s="24"/>
      <x:c r="V194" s="24"/>
      <x:c r="W194" s="24"/>
      <x:c r="X194" s="24"/>
      <x:c r="Y194" s="24"/>
      <x:c r="Z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  <x:c r="K195" s="24"/>
      <x:c r="L195" s="24"/>
      <x:c r="M195" s="24"/>
      <x:c r="N195" s="24"/>
      <x:c r="O195" s="24"/>
      <x:c r="P195" s="24"/>
      <x:c r="Q195" s="24"/>
      <x:c r="R195" s="24"/>
      <x:c r="S195" s="24"/>
      <x:c r="T195" s="24"/>
      <x:c r="U195" s="24"/>
      <x:c r="V195" s="24"/>
      <x:c r="W195" s="24"/>
      <x:c r="X195" s="24"/>
      <x:c r="Y195" s="24"/>
      <x:c r="Z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  <x:c r="K196" s="24"/>
      <x:c r="L196" s="24"/>
      <x:c r="M196" s="24"/>
      <x:c r="N196" s="24"/>
      <x:c r="O196" s="24"/>
      <x:c r="P196" s="24"/>
      <x:c r="Q196" s="24"/>
      <x:c r="R196" s="24"/>
      <x:c r="S196" s="24"/>
      <x:c r="T196" s="24"/>
      <x:c r="U196" s="24"/>
      <x:c r="V196" s="24"/>
      <x:c r="W196" s="24"/>
      <x:c r="X196" s="24"/>
      <x:c r="Y196" s="24"/>
      <x:c r="Z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  <x:c r="K197" s="24"/>
      <x:c r="L197" s="24"/>
      <x:c r="M197" s="24"/>
      <x:c r="N197" s="24"/>
      <x:c r="O197" s="24"/>
      <x:c r="P197" s="24"/>
      <x:c r="Q197" s="24"/>
      <x:c r="R197" s="24"/>
      <x:c r="S197" s="24"/>
      <x:c r="T197" s="24"/>
      <x:c r="U197" s="24"/>
      <x:c r="V197" s="24"/>
      <x:c r="W197" s="24"/>
      <x:c r="X197" s="24"/>
      <x:c r="Y197" s="24"/>
      <x:c r="Z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  <x:c r="K198" s="24"/>
      <x:c r="L198" s="24"/>
      <x:c r="M198" s="24"/>
      <x:c r="N198" s="24"/>
      <x:c r="O198" s="24"/>
      <x:c r="P198" s="24"/>
      <x:c r="Q198" s="24"/>
      <x:c r="R198" s="24"/>
      <x:c r="S198" s="24"/>
      <x:c r="T198" s="24"/>
      <x:c r="U198" s="24"/>
      <x:c r="V198" s="24"/>
      <x:c r="W198" s="24"/>
      <x:c r="X198" s="24"/>
      <x:c r="Y198" s="24"/>
      <x:c r="Z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  <x:c r="K199" s="24"/>
      <x:c r="L199" s="24"/>
      <x:c r="M199" s="24"/>
      <x:c r="N199" s="24"/>
      <x:c r="O199" s="24"/>
      <x:c r="P199" s="24"/>
      <x:c r="Q199" s="24"/>
      <x:c r="R199" s="24"/>
      <x:c r="S199" s="24"/>
      <x:c r="T199" s="24"/>
      <x:c r="U199" s="24"/>
      <x:c r="V199" s="24"/>
      <x:c r="W199" s="24"/>
      <x:c r="X199" s="24"/>
      <x:c r="Y199" s="24"/>
      <x:c r="Z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  <x:c r="K200" s="24"/>
      <x:c r="L200" s="24"/>
      <x:c r="M200" s="24"/>
      <x:c r="N200" s="24"/>
      <x:c r="O200" s="24"/>
      <x:c r="P200" s="24"/>
      <x:c r="Q200" s="24"/>
      <x:c r="R200" s="24"/>
      <x:c r="S200" s="24"/>
      <x:c r="T200" s="24"/>
      <x:c r="U200" s="24"/>
      <x:c r="V200" s="24"/>
      <x:c r="W200" s="24"/>
      <x:c r="X200" s="24"/>
      <x:c r="Y200" s="24"/>
      <x:c r="Z200" s="24"/>
    </x:row>
  </x:sheetData>
  <x:mergeCells>
    <x:mergeCell ref="A1:I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7" hidden="0" customWidth="1"/>
    <x:col min="2" max="2" width="30" hidden="0" customWidth="1"/>
    <x:col min="3" max="3" width="24" hidden="0" customWidth="1"/>
    <x:col min="4" max="4" width="7" hidden="0" customWidth="1"/>
    <x:col min="5" max="5" width="35" hidden="0" customWidth="1"/>
    <x:col min="6" max="6" width="8" hidden="0" customWidth="1"/>
    <x:col min="7" max="7" width="14" hidden="0" customWidth="1"/>
  </x:cols>
  <x:sheetData>
    <x:row r="1">
      <x:c r="A1" s="22" t="str">
        <x:v>V2.1 — FINAL PROJECTED DECKLIST</x:v>
      </x:c>
      <x:c r="B1" s="22"/>
      <x:c r="C1" s="22"/>
      <x:c r="D1" s="22"/>
      <x:c r="E1" s="22"/>
      <x:c r="F1" s="22"/>
      <x:c r="G1" s="22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>
      <x:c r="A2" s="24"/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  <x:c r="R2" s="24"/>
      <x:c r="S2" s="24"/>
      <x:c r="T2" s="24"/>
      <x:c r="U2" s="24"/>
      <x:c r="V2" s="24"/>
      <x:c r="W2" s="24"/>
      <x:c r="X2" s="24"/>
      <x:c r="Y2" s="24"/>
      <x:c r="Z2" s="24"/>
    </x:row>
    <x:row r="3">
      <x:c r="A3" s="25" t="str">
        <x:v>Qty</x:v>
      </x:c>
      <x:c r="B3" s="25" t="str">
        <x:v>Card</x:v>
      </x:c>
      <x:c r="C3" s="25" t="str">
        <x:v>Type</x:v>
      </x:c>
      <x:c r="D3" s="25" t="str">
        <x:v>MV</x:v>
      </x:c>
      <x:c r="E3" s="25" t="str">
        <x:v>Role</x:v>
      </x:c>
      <x:c r="F3" s="25" t="str">
        <x:v>Score</x:v>
      </x:c>
      <x:c r="G3" s="25" t="str">
        <x:v>Status</x:v>
      </x:c>
      <x:c r="H3" s="24"/>
      <x:c r="I3" s="24"/>
      <x:c r="J3" s="24"/>
      <x:c r="K3" s="24"/>
      <x:c r="L3" s="24"/>
      <x:c r="M3" s="24"/>
      <x:c r="N3" s="24"/>
      <x:c r="O3" s="24"/>
      <x:c r="P3" s="24"/>
      <x:c r="Q3" s="24"/>
      <x:c r="R3" s="24"/>
      <x:c r="S3" s="24"/>
      <x:c r="T3" s="24"/>
      <x:c r="U3" s="24"/>
      <x:c r="V3" s="24"/>
      <x:c r="W3" s="24"/>
      <x:c r="X3" s="24"/>
      <x:c r="Y3" s="24"/>
      <x:c r="Z3" s="24"/>
    </x:row>
    <x:row r="4">
      <x:c r="A4" s="84" t="n">
        <x:v>1</x:v>
      </x:c>
      <x:c r="B4" s="84" t="str">
        <x:v>Lynde, Cheerful Tormentor</x:v>
      </x:c>
      <x:c r="C4" s="84" t="str">
        <x:v>Legendary Creature</x:v>
      </x:c>
      <x:c r="D4" s="84" t="n">
        <x:v>4</x:v>
      </x:c>
      <x:c r="E4" s="84" t="str">
        <x:v>4. Curse Engines / Enchantment Support</x:v>
      </x:c>
      <x:c r="F4" s="97" t="n">
        <x:v>10</x:v>
      </x:c>
      <x:c r="G4" s="84" t="str">
        <x:v>LOCK</x:v>
      </x:c>
      <x:c r="H4" s="24"/>
      <x:c r="I4" s="24"/>
      <x:c r="J4" s="24"/>
      <x:c r="K4" s="24"/>
      <x:c r="L4" s="24"/>
      <x:c r="M4" s="24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4"/>
      <x:c r="Z4" s="24"/>
    </x:row>
    <x:row r="5">
      <x:c r="A5" s="84" t="n">
        <x:v>1</x:v>
      </x:c>
      <x:c r="B5" s="84" t="str">
        <x:v>Accursed Witch</x:v>
      </x:c>
      <x:c r="C5" s="84" t="str">
        <x:v>Creature</x:v>
      </x:c>
      <x:c r="D5" s="84" t="n">
        <x:v>4</x:v>
      </x:c>
      <x:c r="E5" s="84" t="str">
        <x:v>4. Curses — Core</x:v>
      </x:c>
      <x:c r="F5" s="97" t="n">
        <x:v>8.4</x:v>
      </x:c>
      <x:c r="G5" s="84" t="str">
        <x:v>SUPPORT</x:v>
      </x:c>
      <x:c r="H5" s="24"/>
      <x:c r="I5" s="24"/>
      <x:c r="J5" s="24"/>
      <x:c r="K5" s="24"/>
      <x:c r="L5" s="24"/>
      <x:c r="M5" s="24"/>
      <x:c r="N5" s="24"/>
      <x:c r="O5" s="24"/>
      <x:c r="P5" s="24"/>
      <x:c r="Q5" s="24"/>
      <x:c r="R5" s="24"/>
      <x:c r="S5" s="24"/>
      <x:c r="T5" s="24"/>
      <x:c r="U5" s="24"/>
      <x:c r="V5" s="24"/>
      <x:c r="W5" s="24"/>
      <x:c r="X5" s="24"/>
      <x:c r="Y5" s="24"/>
      <x:c r="Z5" s="24"/>
    </x:row>
    <x:row r="6">
      <x:c r="A6" s="84" t="n">
        <x:v>1</x:v>
      </x:c>
      <x:c r="B6" s="84" t="str">
        <x:v>Alexios, Deimos of Kosmos</x:v>
      </x:c>
      <x:c r="C6" s="84" t="str">
        <x:v>Legendary Creature</x:v>
      </x:c>
      <x:c r="D6" s="84" t="n">
        <x:v>4</x:v>
      </x:c>
      <x:c r="E6" s="84" t="str">
        <x:v>6. Politics / Punisher / Pillow Fort</x:v>
      </x:c>
      <x:c r="F6" s="97" t="n">
        <x:v>7.9</x:v>
      </x:c>
      <x:c r="G6" s="84" t="str">
        <x:v>SUPPORT</x:v>
      </x:c>
      <x:c r="H6" s="24"/>
      <x:c r="I6" s="24"/>
      <x:c r="J6" s="24"/>
      <x:c r="K6" s="24"/>
      <x:c r="L6" s="24"/>
      <x:c r="M6" s="24"/>
      <x:c r="N6" s="24"/>
      <x:c r="O6" s="24"/>
      <x:c r="P6" s="24"/>
      <x:c r="Q6" s="24"/>
      <x:c r="R6" s="24"/>
      <x:c r="S6" s="24"/>
      <x:c r="T6" s="24"/>
      <x:c r="U6" s="24"/>
      <x:c r="V6" s="24"/>
      <x:c r="W6" s="24"/>
      <x:c r="X6" s="24"/>
      <x:c r="Y6" s="24"/>
      <x:c r="Z6" s="24"/>
    </x:row>
    <x:row r="7">
      <x:c r="A7" s="84" t="n">
        <x:v>1</x:v>
      </x:c>
      <x:c r="B7" s="84" t="str">
        <x:v>Arcane Signet</x:v>
      </x:c>
      <x:c r="C7" s="84" t="str">
        <x:v>Artifact</x:v>
      </x:c>
      <x:c r="D7" s="84" t="n">
        <x:v>2</x:v>
      </x:c>
      <x:c r="E7" s="84" t="str">
        <x:v>1. Ramp / Mana</x:v>
      </x:c>
      <x:c r="F7" s="97" t="n">
        <x:v>9</x:v>
      </x:c>
      <x:c r="G7" s="84" t="str">
        <x:v>CORE</x:v>
      </x:c>
      <x:c r="H7" s="24"/>
      <x:c r="I7" s="24"/>
      <x:c r="J7" s="24"/>
      <x:c r="K7" s="24"/>
      <x:c r="L7" s="24"/>
      <x:c r="M7" s="24"/>
      <x:c r="N7" s="24"/>
      <x:c r="O7" s="24"/>
      <x:c r="P7" s="24"/>
      <x:c r="Q7" s="24"/>
      <x:c r="R7" s="24"/>
      <x:c r="S7" s="24"/>
      <x:c r="T7" s="24"/>
      <x:c r="U7" s="24"/>
      <x:c r="V7" s="24"/>
      <x:c r="W7" s="24"/>
      <x:c r="X7" s="24"/>
      <x:c r="Y7" s="24"/>
      <x:c r="Z7" s="24"/>
    </x:row>
    <x:row r="8">
      <x:c r="A8" s="84" t="n">
        <x:v>1</x:v>
      </x:c>
      <x:c r="B8" s="84" t="str">
        <x:v>Baleful Strix</x:v>
      </x:c>
      <x:c r="C8" s="84" t="str">
        <x:v>Artifact Creature</x:v>
      </x:c>
      <x:c r="D8" s="84" t="n">
        <x:v>2</x:v>
      </x:c>
      <x:c r="E8" s="84" t="str">
        <x:v>2. Draw / Card Advantage</x:v>
      </x:c>
      <x:c r="F8" s="97" t="n">
        <x:v>8.1</x:v>
      </x:c>
      <x:c r="G8" s="84" t="str">
        <x:v>SUPPORT</x:v>
      </x:c>
      <x:c r="H8" s="24"/>
      <x:c r="I8" s="24"/>
      <x:c r="J8" s="24"/>
      <x:c r="K8" s="24"/>
      <x:c r="L8" s="24"/>
      <x:c r="M8" s="24"/>
      <x:c r="N8" s="24"/>
      <x:c r="O8" s="24"/>
      <x:c r="P8" s="24"/>
      <x:c r="Q8" s="24"/>
      <x:c r="R8" s="24"/>
      <x:c r="S8" s="24"/>
      <x:c r="T8" s="24"/>
      <x:c r="U8" s="24"/>
      <x:c r="V8" s="24"/>
      <x:c r="W8" s="24"/>
      <x:c r="X8" s="24"/>
      <x:c r="Y8" s="24"/>
      <x:c r="Z8" s="24"/>
    </x:row>
    <x:row r="9">
      <x:c r="A9" s="84" t="n">
        <x:v>1</x:v>
      </x:c>
      <x:c r="B9" s="84" t="str">
        <x:v>Bitterheart Witch</x:v>
      </x:c>
      <x:c r="C9" s="84" t="str">
        <x:v>Creature</x:v>
      </x:c>
      <x:c r="D9" s="84" t="n">
        <x:v>5</x:v>
      </x:c>
      <x:c r="E9" s="84" t="str">
        <x:v>5. Curse Engines / Enchantment Support</x:v>
      </x:c>
      <x:c r="F9" s="97" t="n">
        <x:v>9.7</x:v>
      </x:c>
      <x:c r="G9" s="84" t="str">
        <x:v>LOCK</x:v>
      </x:c>
      <x:c r="H9" s="24"/>
      <x:c r="I9" s="24"/>
      <x:c r="J9" s="24"/>
      <x:c r="K9" s="24"/>
      <x:c r="L9" s="24"/>
      <x:c r="M9" s="24"/>
      <x:c r="N9" s="24"/>
      <x:c r="O9" s="24"/>
      <x:c r="P9" s="24"/>
      <x:c r="Q9" s="24"/>
      <x:c r="R9" s="24"/>
      <x:c r="S9" s="24"/>
      <x:c r="T9" s="24"/>
      <x:c r="U9" s="24"/>
      <x:c r="V9" s="24"/>
      <x:c r="W9" s="24"/>
      <x:c r="X9" s="24"/>
      <x:c r="Y9" s="24"/>
      <x:c r="Z9" s="24"/>
    </x:row>
    <x:row r="10">
      <x:c r="A10" s="84" t="n">
        <x:v>1</x:v>
      </x:c>
      <x:c r="B10" s="84" t="str">
        <x:v>Blasphemous Act</x:v>
      </x:c>
      <x:c r="C10" s="84" t="str">
        <x:v>Sorcery</x:v>
      </x:c>
      <x:c r="D10" s="84" t="n">
        <x:v>9</x:v>
      </x:c>
      <x:c r="E10" s="84" t="str">
        <x:v>3. Removal / Board Control</x:v>
      </x:c>
      <x:c r="F10" s="97" t="n">
        <x:v>9</x:v>
      </x:c>
      <x:c r="G10" s="84" t="str">
        <x:v>CORE</x:v>
      </x:c>
      <x:c r="H10" s="24"/>
      <x:c r="I10" s="24"/>
      <x:c r="J10" s="24"/>
      <x:c r="K10" s="24"/>
      <x:c r="L10" s="24"/>
      <x:c r="M10" s="24"/>
      <x:c r="N10" s="24"/>
      <x:c r="O10" s="24"/>
      <x:c r="P10" s="24"/>
      <x:c r="Q10" s="24"/>
      <x:c r="R10" s="24"/>
      <x:c r="S10" s="24"/>
      <x:c r="T10" s="24"/>
      <x:c r="U10" s="24"/>
      <x:c r="V10" s="24"/>
      <x:c r="W10" s="24"/>
      <x:c r="X10" s="24"/>
      <x:c r="Y10" s="24"/>
      <x:c r="Z10" s="24"/>
    </x:row>
    <x:row r="11">
      <x:c r="A11" s="84" t="n">
        <x:v>1</x:v>
      </x:c>
      <x:c r="B11" s="84" t="str">
        <x:v>Blightstep Pathway</x:v>
      </x:c>
      <x:c r="C11" s="84" t="str">
        <x:v>Land</x:v>
      </x:c>
      <x:c r="D11" s="84" t="n">
        <x:v>0</x:v>
      </x:c>
      <x:c r="E11" s="84" t="str">
        <x:v>1. Ramp / Mana</x:v>
      </x:c>
      <x:c r="F11" s="97" t="n">
        <x:v>8.2</x:v>
      </x:c>
      <x:c r="G11" s="84" t="str">
        <x:v>SUPPORT</x:v>
      </x:c>
      <x:c r="H11" s="24"/>
      <x:c r="I11" s="24"/>
      <x:c r="J11" s="24"/>
      <x:c r="K11" s="24"/>
      <x:c r="L11" s="24"/>
      <x:c r="M11" s="24"/>
      <x:c r="N11" s="24"/>
      <x:c r="O11" s="24"/>
      <x:c r="P11" s="24"/>
      <x:c r="Q11" s="24"/>
      <x:c r="R11" s="24"/>
      <x:c r="S11" s="24"/>
      <x:c r="T11" s="24"/>
      <x:c r="U11" s="24"/>
      <x:c r="V11" s="24"/>
      <x:c r="W11" s="24"/>
      <x:c r="X11" s="24"/>
      <x:c r="Y11" s="24"/>
      <x:c r="Z11" s="24"/>
    </x:row>
    <x:row r="12">
      <x:c r="A12" s="84" t="n">
        <x:v>1</x:v>
      </x:c>
      <x:c r="B12" s="84" t="str">
        <x:v>Blood Crypt</x:v>
      </x:c>
      <x:c r="C12" s="84" t="str">
        <x:v>Land</x:v>
      </x:c>
      <x:c r="D12" s="84" t="n">
        <x:v>0</x:v>
      </x:c>
      <x:c r="E12" s="84" t="str">
        <x:v>1. Ramp / Mana</x:v>
      </x:c>
      <x:c r="F12" s="97" t="n">
        <x:v>8.9</x:v>
      </x:c>
      <x:c r="G12" s="84" t="str">
        <x:v>CORE</x:v>
      </x:c>
      <x:c r="H12" s="24"/>
      <x:c r="I12" s="24"/>
      <x:c r="J12" s="24"/>
      <x:c r="K12" s="24"/>
      <x:c r="L12" s="24"/>
      <x:c r="M12" s="24"/>
      <x:c r="N12" s="24"/>
      <x:c r="O12" s="24"/>
      <x:c r="P12" s="24"/>
      <x:c r="Q12" s="24"/>
      <x:c r="R12" s="24"/>
      <x:c r="S12" s="24"/>
      <x:c r="T12" s="24"/>
      <x:c r="U12" s="24"/>
      <x:c r="V12" s="24"/>
      <x:c r="W12" s="24"/>
      <x:c r="X12" s="24"/>
      <x:c r="Y12" s="24"/>
      <x:c r="Z12" s="24"/>
    </x:row>
    <x:row r="13">
      <x:c r="A13" s="84" t="n">
        <x:v>1</x:v>
      </x:c>
      <x:c r="B13" s="84" t="str">
        <x:v>Bojuka Bog</x:v>
      </x:c>
      <x:c r="C13" s="84" t="str">
        <x:v>Land</x:v>
      </x:c>
      <x:c r="D13" s="84" t="n">
        <x:v>0</x:v>
      </x:c>
      <x:c r="E13" s="84" t="str">
        <x:v>7. Protection / Resilience</x:v>
      </x:c>
      <x:c r="F13" s="97" t="n">
        <x:v>8</x:v>
      </x:c>
      <x:c r="G13" s="84" t="str">
        <x:v>SUPPORT</x:v>
      </x:c>
      <x:c r="H13" s="24"/>
      <x:c r="I13" s="24"/>
      <x:c r="J13" s="24"/>
      <x:c r="K13" s="24"/>
      <x:c r="L13" s="24"/>
      <x:c r="M13" s="24"/>
      <x:c r="N13" s="24"/>
      <x:c r="O13" s="24"/>
      <x:c r="P13" s="24"/>
      <x:c r="Q13" s="24"/>
      <x:c r="R13" s="24"/>
      <x:c r="S13" s="24"/>
      <x:c r="T13" s="24"/>
      <x:c r="U13" s="24"/>
      <x:c r="V13" s="24"/>
      <x:c r="W13" s="24"/>
      <x:c r="X13" s="24"/>
      <x:c r="Y13" s="24"/>
      <x:c r="Z13" s="24"/>
    </x:row>
    <x:row r="14">
      <x:c r="A14" s="84" t="n">
        <x:v>1</x:v>
      </x:c>
      <x:c r="B14" s="84" t="str">
        <x:v>Captive Audience</x:v>
      </x:c>
      <x:c r="C14" s="84" t="str">
        <x:v>Enchantment</x:v>
      </x:c>
      <x:c r="D14" s="84" t="n">
        <x:v>7</x:v>
      </x:c>
      <x:c r="E14" s="84" t="str">
        <x:v>6. Politics / Punisher / Pillow Fort</x:v>
      </x:c>
      <x:c r="F14" s="97" t="n">
        <x:v>8.5</x:v>
      </x:c>
      <x:c r="G14" s="84" t="str">
        <x:v>CORE</x:v>
      </x:c>
      <x:c r="H14" s="24"/>
      <x:c r="I14" s="24"/>
      <x:c r="J14" s="24"/>
      <x:c r="K14" s="24"/>
      <x:c r="L14" s="24"/>
      <x:c r="M14" s="24"/>
      <x:c r="N14" s="24"/>
      <x:c r="O14" s="24"/>
      <x:c r="P14" s="24"/>
      <x:c r="Q14" s="24"/>
      <x:c r="R14" s="24"/>
      <x:c r="S14" s="24"/>
      <x:c r="T14" s="24"/>
      <x:c r="U14" s="24"/>
      <x:c r="V14" s="24"/>
      <x:c r="W14" s="24"/>
      <x:c r="X14" s="24"/>
      <x:c r="Y14" s="24"/>
      <x:c r="Z14" s="24"/>
    </x:row>
    <x:row r="15">
      <x:c r="A15" s="84" t="n">
        <x:v>1</x:v>
      </x:c>
      <x:c r="B15" s="84" t="str">
        <x:v>Chain Reaction</x:v>
      </x:c>
      <x:c r="C15" s="84" t="str">
        <x:v>Sorcery</x:v>
      </x:c>
      <x:c r="D15" s="84" t="n">
        <x:v>4</x:v>
      </x:c>
      <x:c r="E15" s="84" t="str">
        <x:v>3. Removal / Board Control</x:v>
      </x:c>
      <x:c r="F15" s="97" t="n">
        <x:v>8.5</x:v>
      </x:c>
      <x:c r="G15" s="84" t="str">
        <x:v>CORE</x:v>
      </x:c>
      <x:c r="H15" s="24"/>
      <x:c r="I15" s="24"/>
      <x:c r="J15" s="24"/>
      <x:c r="K15" s="24"/>
      <x:c r="L15" s="24"/>
      <x:c r="M15" s="24"/>
      <x:c r="N15" s="24"/>
      <x:c r="O15" s="24"/>
      <x:c r="P15" s="24"/>
      <x:c r="Q15" s="24"/>
      <x:c r="R15" s="24"/>
      <x:c r="S15" s="24"/>
      <x:c r="T15" s="24"/>
      <x:c r="U15" s="24"/>
      <x:c r="V15" s="24"/>
      <x:c r="W15" s="24"/>
      <x:c r="X15" s="24"/>
      <x:c r="Y15" s="24"/>
      <x:c r="Z15" s="24"/>
    </x:row>
    <x:row r="16">
      <x:c r="A16" s="84" t="n">
        <x:v>1</x:v>
      </x:c>
      <x:c r="B16" s="84" t="str">
        <x:v>Chaos Warp</x:v>
      </x:c>
      <x:c r="C16" s="84" t="str">
        <x:v>Instant</x:v>
      </x:c>
      <x:c r="D16" s="84" t="n">
        <x:v>3</x:v>
      </x:c>
      <x:c r="E16" s="84" t="str">
        <x:v>3. Removal / Board Control</x:v>
      </x:c>
      <x:c r="F16" s="97" t="n">
        <x:v>8.9</x:v>
      </x:c>
      <x:c r="G16" s="84" t="str">
        <x:v>CORE</x:v>
      </x:c>
      <x:c r="H16" s="24"/>
      <x:c r="I16" s="24"/>
      <x:c r="J16" s="24"/>
      <x:c r="K16" s="24"/>
      <x:c r="L16" s="24"/>
      <x:c r="M16" s="24"/>
      <x:c r="N16" s="24"/>
      <x:c r="O16" s="24"/>
      <x:c r="P16" s="24"/>
      <x:c r="Q16" s="24"/>
      <x:c r="R16" s="24"/>
      <x:c r="S16" s="24"/>
      <x:c r="T16" s="24"/>
      <x:c r="U16" s="24"/>
      <x:c r="V16" s="24"/>
      <x:c r="W16" s="24"/>
      <x:c r="X16" s="24"/>
      <x:c r="Y16" s="24"/>
      <x:c r="Z16" s="24"/>
    </x:row>
    <x:row r="17">
      <x:c r="A17" s="84" t="n">
        <x:v>1</x:v>
      </x:c>
      <x:c r="B17" s="84" t="str">
        <x:v>Claws of Gix</x:v>
      </x:c>
      <x:c r="C17" s="84" t="str">
        <x:v>Artifact</x:v>
      </x:c>
      <x:c r="D17" s="84" t="n">
        <x:v>1</x:v>
      </x:c>
      <x:c r="E17" s="84" t="str">
        <x:v>7. Protection / Resilience</x:v>
      </x:c>
      <x:c r="F17" s="97" t="n">
        <x:v>9.4</x:v>
      </x:c>
      <x:c r="G17" s="84" t="str">
        <x:v>CORE</x:v>
      </x:c>
      <x:c r="H17" s="24"/>
      <x:c r="I17" s="24"/>
      <x:c r="J17" s="24"/>
      <x:c r="K17" s="24"/>
      <x:c r="L17" s="24"/>
      <x:c r="M17" s="24"/>
      <x:c r="N17" s="24"/>
      <x:c r="O17" s="24"/>
      <x:c r="P17" s="24"/>
      <x:c r="Q17" s="24"/>
      <x:c r="R17" s="24"/>
      <x:c r="S17" s="24"/>
      <x:c r="T17" s="24"/>
      <x:c r="U17" s="24"/>
      <x:c r="V17" s="24"/>
      <x:c r="W17" s="24"/>
      <x:c r="X17" s="24"/>
      <x:c r="Y17" s="24"/>
      <x:c r="Z17" s="24"/>
    </x:row>
    <x:row r="18">
      <x:c r="A18" s="84" t="n">
        <x:v>1</x:v>
      </x:c>
      <x:c r="B18" s="84" t="str">
        <x:v>Clearwater Pathway</x:v>
      </x:c>
      <x:c r="C18" s="84" t="str">
        <x:v>Land</x:v>
      </x:c>
      <x:c r="D18" s="84" t="n">
        <x:v>0</x:v>
      </x:c>
      <x:c r="E18" s="84" t="str">
        <x:v>1. Ramp / Mana</x:v>
      </x:c>
      <x:c r="F18" s="97" t="n">
        <x:v>8.2</x:v>
      </x:c>
      <x:c r="G18" s="84" t="str">
        <x:v>SUPPORT</x:v>
      </x:c>
      <x:c r="H18" s="24"/>
      <x:c r="I18" s="24"/>
      <x:c r="J18" s="24"/>
      <x:c r="K18" s="24"/>
      <x:c r="L18" s="24"/>
      <x:c r="M18" s="24"/>
      <x:c r="N18" s="24"/>
      <x:c r="O18" s="24"/>
      <x:c r="P18" s="24"/>
      <x:c r="Q18" s="24"/>
      <x:c r="R18" s="24"/>
      <x:c r="S18" s="24"/>
      <x:c r="T18" s="24"/>
      <x:c r="U18" s="24"/>
      <x:c r="V18" s="24"/>
      <x:c r="W18" s="24"/>
      <x:c r="X18" s="24"/>
      <x:c r="Y18" s="24"/>
      <x:c r="Z18" s="24"/>
    </x:row>
    <x:row r="19">
      <x:c r="A19" s="84" t="n">
        <x:v>1</x:v>
      </x:c>
      <x:c r="B19" s="84" t="str">
        <x:v>Clever Impersonator</x:v>
      </x:c>
      <x:c r="C19" s="84" t="str">
        <x:v>Creature</x:v>
      </x:c>
      <x:c r="D19" s="84" t="n">
        <x:v>4</x:v>
      </x:c>
      <x:c r="E19" s="84" t="str">
        <x:v>5. Curse Engines / Enchantment Support</x:v>
      </x:c>
      <x:c r="F19" s="97" t="n">
        <x:v>8.9</x:v>
      </x:c>
      <x:c r="G19" s="84" t="str">
        <x:v>CORE</x:v>
      </x:c>
      <x:c r="H19" s="24"/>
      <x:c r="I19" s="24"/>
      <x:c r="J19" s="24"/>
      <x:c r="K19" s="24"/>
      <x:c r="L19" s="24"/>
      <x:c r="M19" s="24"/>
      <x:c r="N19" s="24"/>
      <x:c r="O19" s="24"/>
      <x:c r="P19" s="24"/>
      <x:c r="Q19" s="24"/>
      <x:c r="R19" s="24"/>
      <x:c r="S19" s="24"/>
      <x:c r="T19" s="24"/>
      <x:c r="U19" s="24"/>
      <x:c r="V19" s="24"/>
      <x:c r="W19" s="24"/>
      <x:c r="X19" s="24"/>
      <x:c r="Y19" s="24"/>
      <x:c r="Z19" s="24"/>
    </x:row>
    <x:row r="20">
      <x:c r="A20" s="84" t="n">
        <x:v>1</x:v>
      </x:c>
      <x:c r="B20" s="84" t="str">
        <x:v>Command Tower</x:v>
      </x:c>
      <x:c r="C20" s="84" t="str">
        <x:v>Land</x:v>
      </x:c>
      <x:c r="D20" s="84" t="n">
        <x:v>0</x:v>
      </x:c>
      <x:c r="E20" s="84" t="str">
        <x:v>1. Ramp / Mana</x:v>
      </x:c>
      <x:c r="F20" s="97" t="n">
        <x:v>9.1</x:v>
      </x:c>
      <x:c r="G20" s="84" t="str">
        <x:v>CORE</x:v>
      </x:c>
      <x:c r="H20" s="24"/>
      <x:c r="I20" s="24"/>
      <x:c r="J20" s="24"/>
      <x:c r="K20" s="24"/>
      <x:c r="L20" s="24"/>
      <x:c r="M20" s="24"/>
      <x:c r="N20" s="24"/>
      <x:c r="O20" s="24"/>
      <x:c r="P20" s="24"/>
      <x:c r="Q20" s="24"/>
      <x:c r="R20" s="24"/>
      <x:c r="S20" s="24"/>
      <x:c r="T20" s="24"/>
      <x:c r="U20" s="24"/>
      <x:c r="V20" s="24"/>
      <x:c r="W20" s="24"/>
      <x:c r="X20" s="24"/>
      <x:c r="Y20" s="24"/>
      <x:c r="Z20" s="24"/>
    </x:row>
    <x:row r="21">
      <x:c r="A21" s="84" t="n">
        <x:v>1</x:v>
      </x:c>
      <x:c r="B21" s="84" t="str">
        <x:v>Copy Enchantment</x:v>
      </x:c>
      <x:c r="C21" s="84" t="str">
        <x:v>Enchantment</x:v>
      </x:c>
      <x:c r="D21" s="84" t="n">
        <x:v>3</x:v>
      </x:c>
      <x:c r="E21" s="84" t="str">
        <x:v>5. Curse Engines / Enchantment Support</x:v>
      </x:c>
      <x:c r="F21" s="97" t="n">
        <x:v>9.4</x:v>
      </x:c>
      <x:c r="G21" s="84" t="str">
        <x:v>CORE</x:v>
      </x:c>
      <x:c r="H21" s="24"/>
      <x:c r="I21" s="24"/>
      <x:c r="J21" s="24"/>
      <x:c r="K21" s="24"/>
      <x:c r="L21" s="24"/>
      <x:c r="M21" s="24"/>
      <x:c r="N21" s="24"/>
      <x:c r="O21" s="24"/>
      <x:c r="P21" s="24"/>
      <x:c r="Q21" s="24"/>
      <x:c r="R21" s="24"/>
      <x:c r="S21" s="24"/>
      <x:c r="T21" s="24"/>
      <x:c r="U21" s="24"/>
      <x:c r="V21" s="24"/>
      <x:c r="W21" s="24"/>
      <x:c r="X21" s="24"/>
      <x:c r="Y21" s="24"/>
      <x:c r="Z21" s="24"/>
    </x:row>
    <x:row r="22">
      <x:c r="A22" s="84" t="n">
        <x:v>1</x:v>
      </x:c>
      <x:c r="B22" s="84" t="str">
        <x:v>Cruel Reality</x:v>
      </x:c>
      <x:c r="C22" s="84" t="str">
        <x:v>Enchantment — Aura Curse</x:v>
      </x:c>
      <x:c r="D22" s="84" t="n">
        <x:v>7</x:v>
      </x:c>
      <x:c r="E22" s="84" t="str">
        <x:v>4. Curses — Core</x:v>
      </x:c>
      <x:c r="F22" s="97" t="n">
        <x:v>8.5</x:v>
      </x:c>
      <x:c r="G22" s="84" t="str">
        <x:v>CORE</x:v>
      </x:c>
      <x:c r="H22" s="24"/>
      <x:c r="I22" s="24"/>
      <x:c r="J22" s="24"/>
      <x:c r="K22" s="24"/>
      <x:c r="L22" s="24"/>
      <x:c r="M22" s="24"/>
      <x:c r="N22" s="24"/>
      <x:c r="O22" s="24"/>
      <x:c r="P22" s="24"/>
      <x:c r="Q22" s="24"/>
      <x:c r="R22" s="24"/>
      <x:c r="S22" s="24"/>
      <x:c r="T22" s="24"/>
      <x:c r="U22" s="24"/>
      <x:c r="V22" s="24"/>
      <x:c r="W22" s="24"/>
      <x:c r="X22" s="24"/>
      <x:c r="Y22" s="24"/>
      <x:c r="Z22" s="24"/>
    </x:row>
    <x:row r="23">
      <x:c r="A23" s="84" t="n">
        <x:v>1</x:v>
      </x:c>
      <x:c r="B23" s="84" t="str">
        <x:v>Crumbling Necropolis</x:v>
      </x:c>
      <x:c r="C23" s="84" t="str">
        <x:v>Land</x:v>
      </x:c>
      <x:c r="D23" s="84" t="n">
        <x:v>0</x:v>
      </x:c>
      <x:c r="E23" s="84" t="str">
        <x:v>1. Ramp / Mana</x:v>
      </x:c>
      <x:c r="F23" s="97" t="n">
        <x:v>8</x:v>
      </x:c>
      <x:c r="G23" s="84" t="str">
        <x:v>SUPPORT</x:v>
      </x:c>
      <x:c r="H23" s="24"/>
      <x:c r="I23" s="24"/>
      <x:c r="J23" s="24"/>
      <x:c r="K23" s="24"/>
      <x:c r="L23" s="24"/>
      <x:c r="M23" s="24"/>
      <x:c r="N23" s="24"/>
      <x:c r="O23" s="24"/>
      <x:c r="P23" s="24"/>
      <x:c r="Q23" s="24"/>
      <x:c r="R23" s="24"/>
      <x:c r="S23" s="24"/>
      <x:c r="T23" s="24"/>
      <x:c r="U23" s="24"/>
      <x:c r="V23" s="24"/>
      <x:c r="W23" s="24"/>
      <x:c r="X23" s="24"/>
      <x:c r="Y23" s="24"/>
      <x:c r="Z23" s="24"/>
    </x:row>
    <x:row r="24">
      <x:c r="A24" s="84" t="n">
        <x:v>1</x:v>
      </x:c>
      <x:c r="B24" s="84" t="str">
        <x:v>Crypt of the Eternals</x:v>
      </x:c>
      <x:c r="C24" s="84" t="str">
        <x:v>Land</x:v>
      </x:c>
      <x:c r="D24" s="84" t="n">
        <x:v>0</x:v>
      </x:c>
      <x:c r="E24" s="84" t="str">
        <x:v>1. Ramp / Mana</x:v>
      </x:c>
      <x:c r="F24" s="97" t="n">
        <x:v>7.2</x:v>
      </x:c>
      <x:c r="G24" s="84" t="str">
        <x:v>REVIEW</x:v>
      </x:c>
      <x:c r="H24" s="24"/>
      <x:c r="I24" s="24"/>
      <x:c r="J24" s="24"/>
      <x:c r="K24" s="24"/>
      <x:c r="L24" s="24"/>
      <x:c r="M24" s="24"/>
      <x:c r="N24" s="24"/>
      <x:c r="O24" s="24"/>
      <x:c r="P24" s="24"/>
      <x:c r="Q24" s="24"/>
      <x:c r="R24" s="24"/>
      <x:c r="S24" s="24"/>
      <x:c r="T24" s="24"/>
      <x:c r="U24" s="24"/>
      <x:c r="V24" s="24"/>
      <x:c r="W24" s="24"/>
      <x:c r="X24" s="24"/>
      <x:c r="Y24" s="24"/>
      <x:c r="Z24" s="24"/>
    </x:row>
    <x:row r="25">
      <x:c r="A25" s="84" t="n">
        <x:v>1</x:v>
      </x:c>
      <x:c r="B25" s="84" t="str">
        <x:v>Crystal Chimes</x:v>
      </x:c>
      <x:c r="C25" s="84" t="str">
        <x:v>Artifact</x:v>
      </x:c>
      <x:c r="D25" s="84" t="n">
        <x:v>4</x:v>
      </x:c>
      <x:c r="E25" s="84" t="str">
        <x:v>7. Protection / Resilience</x:v>
      </x:c>
      <x:c r="F25" s="97" t="n">
        <x:v>8.2</x:v>
      </x:c>
      <x:c r="G25" s="84" t="str">
        <x:v>SUPPORT</x:v>
      </x:c>
      <x:c r="H25" s="24"/>
      <x:c r="I25" s="24"/>
      <x:c r="J25" s="24"/>
      <x:c r="K25" s="24"/>
      <x:c r="L25" s="24"/>
      <x:c r="M25" s="24"/>
      <x:c r="N25" s="24"/>
      <x:c r="O25" s="24"/>
      <x:c r="P25" s="24"/>
      <x:c r="Q25" s="24"/>
      <x:c r="R25" s="24"/>
      <x:c r="S25" s="24"/>
      <x:c r="T25" s="24"/>
      <x:c r="U25" s="24"/>
      <x:c r="V25" s="24"/>
      <x:c r="W25" s="24"/>
      <x:c r="X25" s="24"/>
      <x:c r="Y25" s="24"/>
      <x:c r="Z25" s="24"/>
    </x:row>
    <x:row r="26">
      <x:c r="A26" s="84" t="n">
        <x:v>1</x:v>
      </x:c>
      <x:c r="B26" s="84" t="str">
        <x:v>Curse of Bloodletting</x:v>
      </x:c>
      <x:c r="C26" s="84" t="str">
        <x:v>Enchantment — Aura Curse</x:v>
      </x:c>
      <x:c r="D26" s="84" t="n">
        <x:v>3</x:v>
      </x:c>
      <x:c r="E26" s="84" t="str">
        <x:v>4. Curses — Core</x:v>
      </x:c>
      <x:c r="F26" s="97" t="n">
        <x:v>9.3</x:v>
      </x:c>
      <x:c r="G26" s="84" t="str">
        <x:v>CORE</x:v>
      </x:c>
      <x:c r="H26" s="24"/>
      <x:c r="I26" s="24"/>
      <x:c r="J26" s="24"/>
      <x:c r="K26" s="24"/>
      <x:c r="L26" s="24"/>
      <x:c r="M26" s="24"/>
      <x:c r="N26" s="24"/>
      <x:c r="O26" s="24"/>
      <x:c r="P26" s="24"/>
      <x:c r="Q26" s="24"/>
      <x:c r="R26" s="24"/>
      <x:c r="S26" s="24"/>
      <x:c r="T26" s="24"/>
      <x:c r="U26" s="24"/>
      <x:c r="V26" s="24"/>
      <x:c r="W26" s="24"/>
      <x:c r="X26" s="24"/>
      <x:c r="Y26" s="24"/>
      <x:c r="Z26" s="24"/>
    </x:row>
    <x:row r="27">
      <x:c r="A27" s="84" t="n">
        <x:v>1</x:v>
      </x:c>
      <x:c r="B27" s="84" t="str">
        <x:v>Curse of Death's Hold</x:v>
      </x:c>
      <x:c r="C27" s="84" t="str">
        <x:v>Enchantment — Aura Curse</x:v>
      </x:c>
      <x:c r="D27" s="84" t="n">
        <x:v>5</x:v>
      </x:c>
      <x:c r="E27" s="84" t="str">
        <x:v>4. Curses — Core</x:v>
      </x:c>
      <x:c r="F27" s="97" t="n">
        <x:v>9</x:v>
      </x:c>
      <x:c r="G27" s="84" t="str">
        <x:v>CORE</x:v>
      </x:c>
      <x:c r="H27" s="24"/>
      <x:c r="I27" s="24"/>
      <x:c r="J27" s="24"/>
      <x:c r="K27" s="24"/>
      <x:c r="L27" s="24"/>
      <x:c r="M27" s="24"/>
      <x:c r="N27" s="24"/>
      <x:c r="O27" s="24"/>
      <x:c r="P27" s="24"/>
      <x:c r="Q27" s="24"/>
      <x:c r="R27" s="24"/>
      <x:c r="S27" s="24"/>
      <x:c r="T27" s="24"/>
      <x:c r="U27" s="24"/>
      <x:c r="V27" s="24"/>
      <x:c r="W27" s="24"/>
      <x:c r="X27" s="24"/>
      <x:c r="Y27" s="24"/>
      <x:c r="Z27" s="24"/>
    </x:row>
    <x:row r="28">
      <x:c r="A28" s="84" t="n">
        <x:v>1</x:v>
      </x:c>
      <x:c r="B28" s="84" t="str">
        <x:v>Curse of Disturbance</x:v>
      </x:c>
      <x:c r="C28" s="84" t="str">
        <x:v>Enchantment — Aura Curse</x:v>
      </x:c>
      <x:c r="D28" s="84" t="n">
        <x:v>3</x:v>
      </x:c>
      <x:c r="E28" s="84" t="str">
        <x:v>4. Curses — Core</x:v>
      </x:c>
      <x:c r="F28" s="97" t="n">
        <x:v>8.8</x:v>
      </x:c>
      <x:c r="G28" s="84" t="str">
        <x:v>CORE</x:v>
      </x:c>
      <x:c r="H28" s="24"/>
      <x:c r="I28" s="24"/>
      <x:c r="J28" s="24"/>
      <x:c r="K28" s="24"/>
      <x:c r="L28" s="24"/>
      <x:c r="M28" s="24"/>
      <x:c r="N28" s="24"/>
      <x:c r="O28" s="24"/>
      <x:c r="P28" s="24"/>
      <x:c r="Q28" s="24"/>
      <x:c r="R28" s="24"/>
      <x:c r="S28" s="24"/>
      <x:c r="T28" s="24"/>
      <x:c r="U28" s="24"/>
      <x:c r="V28" s="24"/>
      <x:c r="W28" s="24"/>
      <x:c r="X28" s="24"/>
      <x:c r="Y28" s="24"/>
      <x:c r="Z28" s="24"/>
    </x:row>
    <x:row r="29">
      <x:c r="A29" s="84" t="n">
        <x:v>1</x:v>
      </x:c>
      <x:c r="B29" s="84" t="str">
        <x:v>Curse of Echoes</x:v>
      </x:c>
      <x:c r="C29" s="84" t="str">
        <x:v>Enchantment — Aura Curse</x:v>
      </x:c>
      <x:c r="D29" s="84" t="n">
        <x:v>5</x:v>
      </x:c>
      <x:c r="E29" s="84" t="str">
        <x:v>4. Curses — Core</x:v>
      </x:c>
      <x:c r="F29" s="97" t="n">
        <x:v>9</x:v>
      </x:c>
      <x:c r="G29" s="84" t="str">
        <x:v>CORE</x:v>
      </x:c>
      <x:c r="H29" s="24"/>
      <x:c r="I29" s="24"/>
      <x:c r="J29" s="24"/>
      <x:c r="K29" s="24"/>
      <x:c r="L29" s="24"/>
      <x:c r="M29" s="24"/>
      <x:c r="N29" s="24"/>
      <x:c r="O29" s="24"/>
      <x:c r="P29" s="24"/>
      <x:c r="Q29" s="24"/>
      <x:c r="R29" s="24"/>
      <x:c r="S29" s="24"/>
      <x:c r="T29" s="24"/>
      <x:c r="U29" s="24"/>
      <x:c r="V29" s="24"/>
      <x:c r="W29" s="24"/>
      <x:c r="X29" s="24"/>
      <x:c r="Y29" s="24"/>
      <x:c r="Z29" s="24"/>
    </x:row>
    <x:row r="30">
      <x:c r="A30" s="84" t="n">
        <x:v>1</x:v>
      </x:c>
      <x:c r="B30" s="84" t="str">
        <x:v>Curse of Fool's Wisdom</x:v>
      </x:c>
      <x:c r="C30" s="84" t="str">
        <x:v>Enchantment — Aura Curse</x:v>
      </x:c>
      <x:c r="D30" s="84" t="n">
        <x:v>6</x:v>
      </x:c>
      <x:c r="E30" s="84" t="str">
        <x:v>4. Curses — Core</x:v>
      </x:c>
      <x:c r="F30" s="97" t="n">
        <x:v>9.4</x:v>
      </x:c>
      <x:c r="G30" s="84" t="str">
        <x:v>CORE</x:v>
      </x:c>
      <x:c r="H30" s="24"/>
      <x:c r="I30" s="24"/>
      <x:c r="J30" s="24"/>
      <x:c r="K30" s="24"/>
      <x:c r="L30" s="24"/>
      <x:c r="M30" s="24"/>
      <x:c r="N30" s="24"/>
      <x:c r="O30" s="24"/>
      <x:c r="P30" s="24"/>
      <x:c r="Q30" s="24"/>
      <x:c r="R30" s="24"/>
      <x:c r="S30" s="24"/>
      <x:c r="T30" s="24"/>
      <x:c r="U30" s="24"/>
      <x:c r="V30" s="24"/>
      <x:c r="W30" s="24"/>
      <x:c r="X30" s="24"/>
      <x:c r="Y30" s="24"/>
      <x:c r="Z30" s="24"/>
    </x:row>
    <x:row r="31">
      <x:c r="A31" s="84" t="n">
        <x:v>1</x:v>
      </x:c>
      <x:c r="B31" s="84" t="str">
        <x:v>Curse of Hospitality</x:v>
      </x:c>
      <x:c r="C31" s="84" t="str">
        <x:v>Enchantment — Aura Curse</x:v>
      </x:c>
      <x:c r="D31" s="84" t="n">
        <x:v>3</x:v>
      </x:c>
      <x:c r="E31" s="84" t="str">
        <x:v>4. Curses — Core</x:v>
      </x:c>
      <x:c r="F31" s="97" t="n">
        <x:v>8.7</x:v>
      </x:c>
      <x:c r="G31" s="84" t="str">
        <x:v>CORE</x:v>
      </x:c>
      <x:c r="H31" s="24"/>
      <x:c r="I31" s="24"/>
      <x:c r="J31" s="24"/>
      <x:c r="K31" s="24"/>
      <x:c r="L31" s="24"/>
      <x:c r="M31" s="24"/>
      <x:c r="N31" s="24"/>
      <x:c r="O31" s="24"/>
      <x:c r="P31" s="24"/>
      <x:c r="Q31" s="24"/>
      <x:c r="R31" s="24"/>
      <x:c r="S31" s="24"/>
      <x:c r="T31" s="24"/>
      <x:c r="U31" s="24"/>
      <x:c r="V31" s="24"/>
      <x:c r="W31" s="24"/>
      <x:c r="X31" s="24"/>
      <x:c r="Y31" s="24"/>
      <x:c r="Z31" s="24"/>
    </x:row>
    <x:row r="32">
      <x:c r="A32" s="84" t="n">
        <x:v>1</x:v>
      </x:c>
      <x:c r="B32" s="84" t="str">
        <x:v>Curse of Leeches</x:v>
      </x:c>
      <x:c r="C32" s="84" t="str">
        <x:v>Enchantment — Aura Curse</x:v>
      </x:c>
      <x:c r="D32" s="84" t="n">
        <x:v>4</x:v>
      </x:c>
      <x:c r="E32" s="84" t="str">
        <x:v>4. Curses — Core</x:v>
      </x:c>
      <x:c r="F32" s="97" t="n">
        <x:v>7.5</x:v>
      </x:c>
      <x:c r="G32" s="84" t="str">
        <x:v>SUPPORT</x:v>
      </x:c>
      <x:c r="H32" s="24"/>
      <x:c r="I32" s="24"/>
      <x:c r="J32" s="24"/>
      <x:c r="K32" s="24"/>
      <x:c r="L32" s="24"/>
      <x:c r="M32" s="24"/>
      <x:c r="N32" s="24"/>
      <x:c r="O32" s="24"/>
      <x:c r="P32" s="24"/>
      <x:c r="Q32" s="24"/>
      <x:c r="R32" s="24"/>
      <x:c r="S32" s="24"/>
      <x:c r="T32" s="24"/>
      <x:c r="U32" s="24"/>
      <x:c r="V32" s="24"/>
      <x:c r="W32" s="24"/>
      <x:c r="X32" s="24"/>
      <x:c r="Y32" s="24"/>
      <x:c r="Z32" s="24"/>
    </x:row>
    <x:row r="33">
      <x:c r="A33" s="84" t="n">
        <x:v>1</x:v>
      </x:c>
      <x:c r="B33" s="84" t="str">
        <x:v>Curse of Misfortunes</x:v>
      </x:c>
      <x:c r="C33" s="84" t="str">
        <x:v>Enchantment — Aura Curse</x:v>
      </x:c>
      <x:c r="D33" s="84" t="n">
        <x:v>5</x:v>
      </x:c>
      <x:c r="E33" s="84" t="str">
        <x:v>4. Curses — Core</x:v>
      </x:c>
      <x:c r="F33" s="97" t="n">
        <x:v>9.9</x:v>
      </x:c>
      <x:c r="G33" s="84" t="str">
        <x:v>LOCK</x:v>
      </x:c>
      <x:c r="H33" s="24"/>
      <x:c r="I33" s="24"/>
      <x:c r="J33" s="24"/>
      <x:c r="K33" s="24"/>
      <x:c r="L33" s="24"/>
      <x:c r="M33" s="24"/>
      <x:c r="N33" s="24"/>
      <x:c r="O33" s="24"/>
      <x:c r="P33" s="24"/>
      <x:c r="Q33" s="24"/>
      <x:c r="R33" s="24"/>
      <x:c r="S33" s="24"/>
      <x:c r="T33" s="24"/>
      <x:c r="U33" s="24"/>
      <x:c r="V33" s="24"/>
      <x:c r="W33" s="24"/>
      <x:c r="X33" s="24"/>
      <x:c r="Y33" s="24"/>
      <x:c r="Z33" s="24"/>
    </x:row>
    <x:row r="34">
      <x:c r="A34" s="84" t="n">
        <x:v>1</x:v>
      </x:c>
      <x:c r="B34" s="84" t="str">
        <x:v>Curse of Obsession</x:v>
      </x:c>
      <x:c r="C34" s="84" t="str">
        <x:v>Enchantment — Aura Curse</x:v>
      </x:c>
      <x:c r="D34" s="84" t="n">
        <x:v>6</x:v>
      </x:c>
      <x:c r="E34" s="84" t="str">
        <x:v>4. Curses — Core</x:v>
      </x:c>
      <x:c r="F34" s="97" t="n">
        <x:v>9.3</x:v>
      </x:c>
      <x:c r="G34" s="84" t="str">
        <x:v>CORE</x:v>
      </x:c>
      <x:c r="H34" s="24"/>
      <x:c r="I34" s="24"/>
      <x:c r="J34" s="24"/>
      <x:c r="K34" s="24"/>
      <x:c r="L34" s="24"/>
      <x:c r="M34" s="24"/>
      <x:c r="N34" s="24"/>
      <x:c r="O34" s="24"/>
      <x:c r="P34" s="24"/>
      <x:c r="Q34" s="24"/>
      <x:c r="R34" s="24"/>
      <x:c r="S34" s="24"/>
      <x:c r="T34" s="24"/>
      <x:c r="U34" s="24"/>
      <x:c r="V34" s="24"/>
      <x:c r="W34" s="24"/>
      <x:c r="X34" s="24"/>
      <x:c r="Y34" s="24"/>
      <x:c r="Z34" s="24"/>
    </x:row>
    <x:row r="35">
      <x:c r="A35" s="84" t="n">
        <x:v>1</x:v>
      </x:c>
      <x:c r="B35" s="84" t="str">
        <x:v>Curse of Opulence</x:v>
      </x:c>
      <x:c r="C35" s="84" t="str">
        <x:v>Enchantment — Aura Curse</x:v>
      </x:c>
      <x:c r="D35" s="84" t="n">
        <x:v>1</x:v>
      </x:c>
      <x:c r="E35" s="84" t="str">
        <x:v>4. Curses — Core</x:v>
      </x:c>
      <x:c r="F35" s="97" t="n">
        <x:v>8.9</x:v>
      </x:c>
      <x:c r="G35" s="84" t="str">
        <x:v>CORE</x:v>
      </x:c>
      <x:c r="H35" s="24"/>
      <x:c r="I35" s="24"/>
      <x:c r="J35" s="24"/>
      <x:c r="K35" s="24"/>
      <x:c r="L35" s="24"/>
      <x:c r="M35" s="24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4"/>
      <x:c r="Z35" s="24"/>
    </x:row>
    <x:row r="36">
      <x:c r="A36" s="84" t="n">
        <x:v>1</x:v>
      </x:c>
      <x:c r="B36" s="84" t="str">
        <x:v>Curse of Shaken Faith</x:v>
      </x:c>
      <x:c r="C36" s="84" t="str">
        <x:v>Enchantment — Aura Curse</x:v>
      </x:c>
      <x:c r="D36" s="84" t="n">
        <x:v>3</x:v>
      </x:c>
      <x:c r="E36" s="84" t="str">
        <x:v>4. Curses — Core</x:v>
      </x:c>
      <x:c r="F36" s="97" t="n">
        <x:v>8.6</x:v>
      </x:c>
      <x:c r="G36" s="84" t="str">
        <x:v>CORE</x:v>
      </x:c>
      <x:c r="H36" s="24"/>
      <x:c r="I36" s="24"/>
      <x:c r="J36" s="24"/>
      <x:c r="K36" s="24"/>
      <x:c r="L36" s="24"/>
      <x:c r="M36" s="24"/>
      <x:c r="N36" s="24"/>
      <x:c r="O36" s="24"/>
      <x:c r="P36" s="24"/>
      <x:c r="Q36" s="24"/>
      <x:c r="R36" s="24"/>
      <x:c r="S36" s="24"/>
      <x:c r="T36" s="24"/>
      <x:c r="U36" s="24"/>
      <x:c r="V36" s="24"/>
      <x:c r="W36" s="24"/>
      <x:c r="X36" s="24"/>
      <x:c r="Y36" s="24"/>
      <x:c r="Z36" s="24"/>
    </x:row>
    <x:row r="37">
      <x:c r="A37" s="84" t="n">
        <x:v>1</x:v>
      </x:c>
      <x:c r="B37" s="84" t="str">
        <x:v>Curse of Shallow Graves</x:v>
      </x:c>
      <x:c r="C37" s="84" t="str">
        <x:v>Enchantment — Aura Curse</x:v>
      </x:c>
      <x:c r="D37" s="84" t="n">
        <x:v>3</x:v>
      </x:c>
      <x:c r="E37" s="84" t="str">
        <x:v>4. Curses — Core</x:v>
      </x:c>
      <x:c r="F37" s="97" t="n">
        <x:v>8.8</x:v>
      </x:c>
      <x:c r="G37" s="84" t="str">
        <x:v>CORE</x:v>
      </x:c>
      <x:c r="H37" s="24"/>
      <x:c r="I37" s="24"/>
      <x:c r="J37" s="24"/>
      <x:c r="K37" s="24"/>
      <x:c r="L37" s="24"/>
      <x:c r="M37" s="24"/>
      <x:c r="N37" s="24"/>
      <x:c r="O37" s="24"/>
      <x:c r="P37" s="24"/>
      <x:c r="Q37" s="24"/>
      <x:c r="R37" s="24"/>
      <x:c r="S37" s="24"/>
      <x:c r="T37" s="24"/>
      <x:c r="U37" s="24"/>
      <x:c r="V37" s="24"/>
      <x:c r="W37" s="24"/>
      <x:c r="X37" s="24"/>
      <x:c r="Y37" s="24"/>
      <x:c r="Z37" s="24"/>
    </x:row>
    <x:row r="38">
      <x:c r="A38" s="84" t="n">
        <x:v>1</x:v>
      </x:c>
      <x:c r="B38" s="84" t="str">
        <x:v>Curse of Surveillance</x:v>
      </x:c>
      <x:c r="C38" s="84" t="str">
        <x:v>Enchantment — Aura Curse</x:v>
      </x:c>
      <x:c r="D38" s="84" t="n">
        <x:v>5</x:v>
      </x:c>
      <x:c r="E38" s="84" t="str">
        <x:v>4. Curses — Core</x:v>
      </x:c>
      <x:c r="F38" s="97" t="n">
        <x:v>9.7</x:v>
      </x:c>
      <x:c r="G38" s="84" t="str">
        <x:v>LOCK</x:v>
      </x:c>
      <x:c r="H38" s="24"/>
      <x:c r="I38" s="24"/>
      <x:c r="J38" s="24"/>
      <x:c r="K38" s="24"/>
      <x:c r="L38" s="24"/>
      <x:c r="M38" s="24"/>
      <x:c r="N38" s="24"/>
      <x:c r="O38" s="24"/>
      <x:c r="P38" s="24"/>
      <x:c r="Q38" s="24"/>
      <x:c r="R38" s="24"/>
      <x:c r="S38" s="24"/>
      <x:c r="T38" s="24"/>
      <x:c r="U38" s="24"/>
      <x:c r="V38" s="24"/>
      <x:c r="W38" s="24"/>
      <x:c r="X38" s="24"/>
      <x:c r="Y38" s="24"/>
      <x:c r="Z38" s="24"/>
    </x:row>
    <x:row r="39">
      <x:c r="A39" s="84" t="n">
        <x:v>1</x:v>
      </x:c>
      <x:c r="B39" s="84" t="str">
        <x:v>Curse of the Nightly Hunt</x:v>
      </x:c>
      <x:c r="C39" s="84" t="str">
        <x:v>Enchantment — Aura Curse</x:v>
      </x:c>
      <x:c r="D39" s="84" t="n">
        <x:v>3</x:v>
      </x:c>
      <x:c r="E39" s="84" t="str">
        <x:v>6. Politics / Punisher / Pillow Fort</x:v>
      </x:c>
      <x:c r="F39" s="97" t="n">
        <x:v>8.8</x:v>
      </x:c>
      <x:c r="G39" s="84" t="str">
        <x:v>CORE</x:v>
      </x:c>
      <x:c r="H39" s="24"/>
      <x:c r="I39" s="24"/>
      <x:c r="J39" s="24"/>
      <x:c r="K39" s="24"/>
      <x:c r="L39" s="24"/>
      <x:c r="M39" s="24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4"/>
      <x:c r="Z39" s="24"/>
    </x:row>
    <x:row r="40">
      <x:c r="A40" s="84" t="n">
        <x:v>1</x:v>
      </x:c>
      <x:c r="B40" s="84" t="str">
        <x:v>Curse of the Restless Dead</x:v>
      </x:c>
      <x:c r="C40" s="84" t="str">
        <x:v>Enchantment — Aura Curse</x:v>
      </x:c>
      <x:c r="D40" s="84" t="n">
        <x:v>3</x:v>
      </x:c>
      <x:c r="E40" s="84" t="str">
        <x:v>4. Curses — Core</x:v>
      </x:c>
      <x:c r="F40" s="97" t="n">
        <x:v>8.5</x:v>
      </x:c>
      <x:c r="G40" s="84" t="str">
        <x:v>CORE</x:v>
      </x:c>
      <x:c r="H40" s="24"/>
      <x:c r="I40" s="24"/>
      <x:c r="J40" s="24"/>
      <x:c r="K40" s="24"/>
      <x:c r="L40" s="24"/>
      <x:c r="M40" s="24"/>
      <x:c r="N40" s="24"/>
      <x:c r="O40" s="24"/>
      <x:c r="P40" s="24"/>
      <x:c r="Q40" s="24"/>
      <x:c r="R40" s="24"/>
      <x:c r="S40" s="24"/>
      <x:c r="T40" s="24"/>
      <x:c r="U40" s="24"/>
      <x:c r="V40" s="24"/>
      <x:c r="W40" s="24"/>
      <x:c r="X40" s="24"/>
      <x:c r="Y40" s="24"/>
      <x:c r="Z40" s="24"/>
    </x:row>
    <x:row r="41">
      <x:c r="A41" s="84" t="n">
        <x:v>1</x:v>
      </x:c>
      <x:c r="B41" s="84" t="str">
        <x:v>Curse of Thirst</x:v>
      </x:c>
      <x:c r="C41" s="84" t="str">
        <x:v>Enchantment — Aura Curse</x:v>
      </x:c>
      <x:c r="D41" s="84" t="n">
        <x:v>5</x:v>
      </x:c>
      <x:c r="E41" s="84" t="str">
        <x:v>8. Finishers / Thematic Bombs</x:v>
      </x:c>
      <x:c r="F41" s="97" t="n">
        <x:v>9.7</x:v>
      </x:c>
      <x:c r="G41" s="84" t="str">
        <x:v>LOCK</x:v>
      </x:c>
      <x:c r="H41" s="24"/>
      <x:c r="I41" s="24"/>
      <x:c r="J41" s="24"/>
      <x:c r="K41" s="24"/>
      <x:c r="L41" s="24"/>
      <x:c r="M41" s="24"/>
      <x:c r="N41" s="24"/>
      <x:c r="O41" s="24"/>
      <x:c r="P41" s="24"/>
      <x:c r="Q41" s="24"/>
      <x:c r="R41" s="24"/>
      <x:c r="S41" s="24"/>
      <x:c r="T41" s="24"/>
      <x:c r="U41" s="24"/>
      <x:c r="V41" s="24"/>
      <x:c r="W41" s="24"/>
      <x:c r="X41" s="24"/>
      <x:c r="Y41" s="24"/>
      <x:c r="Z41" s="24"/>
    </x:row>
    <x:row r="42">
      <x:c r="A42" s="84" t="n">
        <x:v>1</x:v>
      </x:c>
      <x:c r="B42" s="84" t="str">
        <x:v>Curse of Unbinding</x:v>
      </x:c>
      <x:c r="C42" s="84" t="str">
        <x:v>Enchantment — Aura Curse</x:v>
      </x:c>
      <x:c r="D42" s="84" t="n">
        <x:v>4</x:v>
      </x:c>
      <x:c r="E42" s="84" t="str">
        <x:v>4. Curses — Core</x:v>
      </x:c>
      <x:c r="F42" s="97" t="n">
        <x:v>9</x:v>
      </x:c>
      <x:c r="G42" s="84" t="str">
        <x:v>CORE</x:v>
      </x:c>
      <x:c r="H42" s="24"/>
      <x:c r="I42" s="24"/>
      <x:c r="J42" s="24"/>
      <x:c r="K42" s="24"/>
      <x:c r="L42" s="24"/>
      <x:c r="M42" s="24"/>
      <x:c r="N42" s="24"/>
      <x:c r="O42" s="24"/>
      <x:c r="P42" s="24"/>
      <x:c r="Q42" s="24"/>
      <x:c r="R42" s="24"/>
      <x:c r="S42" s="24"/>
      <x:c r="T42" s="24"/>
      <x:c r="U42" s="24"/>
      <x:c r="V42" s="24"/>
      <x:c r="W42" s="24"/>
      <x:c r="X42" s="24"/>
      <x:c r="Y42" s="24"/>
      <x:c r="Z42" s="24"/>
    </x:row>
    <x:row r="43">
      <x:c r="A43" s="84" t="n">
        <x:v>1</x:v>
      </x:c>
      <x:c r="B43" s="84" t="str">
        <x:v>Curse of Vengeance</x:v>
      </x:c>
      <x:c r="C43" s="84" t="str">
        <x:v>Enchantment — Aura Curse</x:v>
      </x:c>
      <x:c r="D43" s="84" t="n">
        <x:v>3</x:v>
      </x:c>
      <x:c r="E43" s="84" t="str">
        <x:v>4. Curses — Core</x:v>
      </x:c>
      <x:c r="F43" s="97" t="n">
        <x:v>8.5</x:v>
      </x:c>
      <x:c r="G43" s="84" t="str">
        <x:v>CORE</x:v>
      </x:c>
      <x:c r="H43" s="24"/>
      <x:c r="I43" s="24"/>
      <x:c r="J43" s="24"/>
      <x:c r="K43" s="24"/>
      <x:c r="L43" s="24"/>
      <x:c r="M43" s="24"/>
      <x:c r="N43" s="24"/>
      <x:c r="O43" s="24"/>
      <x:c r="P43" s="24"/>
      <x:c r="Q43" s="24"/>
      <x:c r="R43" s="24"/>
      <x:c r="S43" s="24"/>
      <x:c r="T43" s="24"/>
      <x:c r="U43" s="24"/>
      <x:c r="V43" s="24"/>
      <x:c r="W43" s="24"/>
      <x:c r="X43" s="24"/>
      <x:c r="Y43" s="24"/>
      <x:c r="Z43" s="24"/>
    </x:row>
    <x:row r="44">
      <x:c r="A44" s="84" t="n">
        <x:v>1</x:v>
      </x:c>
      <x:c r="B44" s="84" t="str">
        <x:v>Curse of Verbosity</x:v>
      </x:c>
      <x:c r="C44" s="84" t="str">
        <x:v>Enchantment — Aura Curse</x:v>
      </x:c>
      <x:c r="D44" s="84" t="n">
        <x:v>3</x:v>
      </x:c>
      <x:c r="E44" s="84" t="str">
        <x:v>4. Curses — Core</x:v>
      </x:c>
      <x:c r="F44" s="97" t="n">
        <x:v>8.9</x:v>
      </x:c>
      <x:c r="G44" s="84" t="str">
        <x:v>CORE</x:v>
      </x:c>
      <x:c r="H44" s="24"/>
      <x:c r="I44" s="24"/>
      <x:c r="J44" s="24"/>
      <x:c r="K44" s="24"/>
      <x:c r="L44" s="24"/>
      <x:c r="M44" s="24"/>
      <x:c r="N44" s="24"/>
      <x:c r="O44" s="24"/>
      <x:c r="P44" s="24"/>
      <x:c r="Q44" s="24"/>
      <x:c r="R44" s="24"/>
      <x:c r="S44" s="24"/>
      <x:c r="T44" s="24"/>
      <x:c r="U44" s="24"/>
      <x:c r="V44" s="24"/>
      <x:c r="W44" s="24"/>
      <x:c r="X44" s="24"/>
      <x:c r="Y44" s="24"/>
      <x:c r="Z44" s="24"/>
    </x:row>
    <x:row r="45">
      <x:c r="A45" s="84" t="n">
        <x:v>1</x:v>
      </x:c>
      <x:c r="B45" s="84" t="str">
        <x:v>Cursed Mirror</x:v>
      </x:c>
      <x:c r="C45" s="84" t="str">
        <x:v>Artifact</x:v>
      </x:c>
      <x:c r="D45" s="84" t="n">
        <x:v>3</x:v>
      </x:c>
      <x:c r="E45" s="84" t="str">
        <x:v>1. Ramp / Mana</x:v>
      </x:c>
      <x:c r="F45" s="97" t="n">
        <x:v>9.2</x:v>
      </x:c>
      <x:c r="G45" s="84" t="str">
        <x:v>CORE</x:v>
      </x:c>
      <x:c r="H45" s="24"/>
      <x:c r="I45" s="24"/>
      <x:c r="J45" s="24"/>
      <x:c r="K45" s="24"/>
      <x:c r="L45" s="24"/>
      <x:c r="M45" s="24"/>
      <x:c r="N45" s="24"/>
      <x:c r="O45" s="24"/>
      <x:c r="P45" s="24"/>
      <x:c r="Q45" s="24"/>
      <x:c r="R45" s="24"/>
      <x:c r="S45" s="24"/>
      <x:c r="T45" s="24"/>
      <x:c r="U45" s="24"/>
      <x:c r="V45" s="24"/>
      <x:c r="W45" s="24"/>
      <x:c r="X45" s="24"/>
      <x:c r="Y45" s="24"/>
      <x:c r="Z45" s="24"/>
    </x:row>
    <x:row r="46">
      <x:c r="A46" s="84" t="n">
        <x:v>1</x:v>
      </x:c>
      <x:c r="B46" s="84" t="str">
        <x:v>Cyclonic Rift</x:v>
      </x:c>
      <x:c r="C46" s="84" t="str">
        <x:v>Instant</x:v>
      </x:c>
      <x:c r="D46" s="84" t="n">
        <x:v>2</x:v>
      </x:c>
      <x:c r="E46" s="84" t="str">
        <x:v>3. Removal / Board Control</x:v>
      </x:c>
      <x:c r="F46" s="97" t="n">
        <x:v>9.2</x:v>
      </x:c>
      <x:c r="G46" s="84" t="str">
        <x:v>CORE</x:v>
      </x:c>
      <x:c r="H46" s="24"/>
      <x:c r="I46" s="24"/>
      <x:c r="J46" s="24"/>
      <x:c r="K46" s="24"/>
      <x:c r="L46" s="24"/>
      <x:c r="M46" s="24"/>
      <x:c r="N46" s="24"/>
      <x:c r="O46" s="24"/>
      <x:c r="P46" s="24"/>
      <x:c r="Q46" s="24"/>
      <x:c r="R46" s="24"/>
      <x:c r="S46" s="24"/>
      <x:c r="T46" s="24"/>
      <x:c r="U46" s="24"/>
      <x:c r="V46" s="24"/>
      <x:c r="W46" s="24"/>
      <x:c r="X46" s="24"/>
      <x:c r="Y46" s="24"/>
      <x:c r="Z46" s="24"/>
    </x:row>
    <x:row r="47">
      <x:c r="A47" s="84" t="n">
        <x:v>1</x:v>
      </x:c>
      <x:c r="B47" s="84" t="str">
        <x:v>Despotic Scepter</x:v>
      </x:c>
      <x:c r="C47" s="84" t="str">
        <x:v>Artifact</x:v>
      </x:c>
      <x:c r="D47" s="84" t="n">
        <x:v>3</x:v>
      </x:c>
      <x:c r="E47" s="84" t="str">
        <x:v>7. Protection / Resilience</x:v>
      </x:c>
      <x:c r="F47" s="97" t="n">
        <x:v>9</x:v>
      </x:c>
      <x:c r="G47" s="84" t="str">
        <x:v>CORE</x:v>
      </x:c>
      <x:c r="H47" s="24"/>
      <x:c r="I47" s="24"/>
      <x:c r="J47" s="24"/>
      <x:c r="K47" s="24"/>
      <x:c r="L47" s="24"/>
      <x:c r="M47" s="24"/>
      <x:c r="N47" s="24"/>
      <x:c r="O47" s="24"/>
      <x:c r="P47" s="24"/>
      <x:c r="Q47" s="24"/>
      <x:c r="R47" s="24"/>
      <x:c r="S47" s="24"/>
      <x:c r="T47" s="24"/>
      <x:c r="U47" s="24"/>
      <x:c r="V47" s="24"/>
      <x:c r="W47" s="24"/>
      <x:c r="X47" s="24"/>
      <x:c r="Y47" s="24"/>
      <x:c r="Z47" s="24"/>
    </x:row>
    <x:row r="48">
      <x:c r="A48" s="84" t="n">
        <x:v>1</x:v>
      </x:c>
      <x:c r="B48" s="84" t="str">
        <x:v>Doomwake Giant</x:v>
      </x:c>
      <x:c r="C48" s="84" t="str">
        <x:v>Enchantment Creature</x:v>
      </x:c>
      <x:c r="D48" s="84" t="n">
        <x:v>5</x:v>
      </x:c>
      <x:c r="E48" s="84" t="str">
        <x:v>3. Removal / Board Control</x:v>
      </x:c>
      <x:c r="F48" s="97" t="n">
        <x:v>9.3</x:v>
      </x:c>
      <x:c r="G48" s="84" t="str">
        <x:v>CORE</x:v>
      </x:c>
      <x:c r="H48" s="24"/>
      <x:c r="I48" s="24"/>
      <x:c r="J48" s="24"/>
      <x:c r="K48" s="24"/>
      <x:c r="L48" s="24"/>
      <x:c r="M48" s="24"/>
      <x:c r="N48" s="24"/>
      <x:c r="O48" s="24"/>
      <x:c r="P48" s="24"/>
      <x:c r="Q48" s="24"/>
      <x:c r="R48" s="24"/>
      <x:c r="S48" s="24"/>
      <x:c r="T48" s="24"/>
      <x:c r="U48" s="24"/>
      <x:c r="V48" s="24"/>
      <x:c r="W48" s="24"/>
      <x:c r="X48" s="24"/>
      <x:c r="Y48" s="24"/>
      <x:c r="Z48" s="24"/>
    </x:row>
    <x:row r="49">
      <x:c r="A49" s="84" t="n">
        <x:v>1</x:v>
      </x:c>
      <x:c r="B49" s="84" t="str">
        <x:v>Drowned Catacomb</x:v>
      </x:c>
      <x:c r="C49" s="84" t="str">
        <x:v>Land</x:v>
      </x:c>
      <x:c r="D49" s="84" t="n">
        <x:v>0</x:v>
      </x:c>
      <x:c r="E49" s="84" t="str">
        <x:v>1. Ramp / Mana</x:v>
      </x:c>
      <x:c r="F49" s="97" t="n">
        <x:v>8.4</x:v>
      </x:c>
      <x:c r="G49" s="84" t="str">
        <x:v>SUPPORT</x:v>
      </x:c>
      <x:c r="H49" s="24"/>
      <x:c r="I49" s="24"/>
      <x:c r="J49" s="24"/>
      <x:c r="K49" s="24"/>
      <x:c r="L49" s="24"/>
      <x:c r="M49" s="24"/>
      <x:c r="N49" s="24"/>
      <x:c r="O49" s="24"/>
      <x:c r="P49" s="24"/>
      <x:c r="Q49" s="24"/>
      <x:c r="R49" s="24"/>
      <x:c r="S49" s="24"/>
      <x:c r="T49" s="24"/>
      <x:c r="U49" s="24"/>
      <x:c r="V49" s="24"/>
      <x:c r="W49" s="24"/>
      <x:c r="X49" s="24"/>
      <x:c r="Y49" s="24"/>
      <x:c r="Z49" s="24"/>
    </x:row>
    <x:row r="50">
      <x:c r="A50" s="84" t="n">
        <x:v>1</x:v>
      </x:c>
      <x:c r="B50" s="84" t="str">
        <x:v>Entity Tracker</x:v>
      </x:c>
      <x:c r="C50" s="84" t="str">
        <x:v>Creature</x:v>
      </x:c>
      <x:c r="D50" s="84" t="n">
        <x:v>3</x:v>
      </x:c>
      <x:c r="E50" s="84" t="str">
        <x:v>2. Draw / Card Advantage</x:v>
      </x:c>
      <x:c r="F50" s="97" t="n">
        <x:v>9.5</x:v>
      </x:c>
      <x:c r="G50" s="84" t="str">
        <x:v>LOCK</x:v>
      </x:c>
      <x:c r="H50" s="24"/>
      <x:c r="I50" s="24"/>
      <x:c r="J50" s="24"/>
      <x:c r="K50" s="24"/>
      <x:c r="L50" s="24"/>
      <x:c r="M50" s="24"/>
      <x:c r="N50" s="24"/>
      <x:c r="O50" s="24"/>
      <x:c r="P50" s="24"/>
      <x:c r="Q50" s="24"/>
      <x:c r="R50" s="24"/>
      <x:c r="S50" s="24"/>
      <x:c r="T50" s="24"/>
      <x:c r="U50" s="24"/>
      <x:c r="V50" s="24"/>
      <x:c r="W50" s="24"/>
      <x:c r="X50" s="24"/>
      <x:c r="Y50" s="24"/>
      <x:c r="Z50" s="24"/>
    </x:row>
    <x:row r="51">
      <x:c r="A51" s="84" t="n">
        <x:v>1</x:v>
      </x:c>
      <x:c r="B51" s="84" t="str">
        <x:v>Estrid's Invocation</x:v>
      </x:c>
      <x:c r="C51" s="84" t="str">
        <x:v>Enchantment</x:v>
      </x:c>
      <x:c r="D51" s="84" t="n">
        <x:v>3</x:v>
      </x:c>
      <x:c r="E51" s="84" t="str">
        <x:v>5. Curse Engines / Enchantment Support</x:v>
      </x:c>
      <x:c r="F51" s="97" t="n">
        <x:v>8.9</x:v>
      </x:c>
      <x:c r="G51" s="84" t="str">
        <x:v>CORE</x:v>
      </x:c>
      <x:c r="H51" s="24"/>
      <x:c r="I51" s="24"/>
      <x:c r="J51" s="24"/>
      <x:c r="K51" s="24"/>
      <x:c r="L51" s="24"/>
      <x:c r="M51" s="24"/>
      <x:c r="N51" s="24"/>
      <x:c r="O51" s="24"/>
      <x:c r="P51" s="24"/>
      <x:c r="Q51" s="24"/>
      <x:c r="R51" s="24"/>
      <x:c r="S51" s="24"/>
      <x:c r="T51" s="24"/>
      <x:c r="U51" s="24"/>
      <x:c r="V51" s="24"/>
      <x:c r="W51" s="24"/>
      <x:c r="X51" s="24"/>
      <x:c r="Y51" s="24"/>
      <x:c r="Z51" s="24"/>
    </x:row>
    <x:row r="52">
      <x:c r="A52" s="84" t="n">
        <x:v>1</x:v>
      </x:c>
      <x:c r="B52" s="84" t="str">
        <x:v>Exotic Orchard</x:v>
      </x:c>
      <x:c r="C52" s="84" t="str">
        <x:v>Land</x:v>
      </x:c>
      <x:c r="D52" s="84" t="n">
        <x:v>0</x:v>
      </x:c>
      <x:c r="E52" s="84" t="str">
        <x:v>1. Ramp / Mana</x:v>
      </x:c>
      <x:c r="F52" s="97" t="n">
        <x:v>8.8</x:v>
      </x:c>
      <x:c r="G52" s="84" t="str">
        <x:v>CORE</x:v>
      </x:c>
      <x:c r="H52" s="24"/>
      <x:c r="I52" s="24"/>
      <x:c r="J52" s="24"/>
      <x:c r="K52" s="24"/>
      <x:c r="L52" s="24"/>
      <x:c r="M52" s="24"/>
      <x:c r="N52" s="24"/>
      <x:c r="O52" s="24"/>
      <x:c r="P52" s="24"/>
      <x:c r="Q52" s="24"/>
      <x:c r="R52" s="24"/>
      <x:c r="S52" s="24"/>
      <x:c r="T52" s="24"/>
      <x:c r="U52" s="24"/>
      <x:c r="V52" s="24"/>
      <x:c r="W52" s="24"/>
      <x:c r="X52" s="24"/>
      <x:c r="Y52" s="24"/>
      <x:c r="Z52" s="24"/>
    </x:row>
    <x:row r="53">
      <x:c r="A53" s="84" t="n">
        <x:v>1</x:v>
      </x:c>
      <x:c r="B53" s="84" t="str">
        <x:v>Expressive Iteration</x:v>
      </x:c>
      <x:c r="C53" s="84" t="str">
        <x:v>Sorcery</x:v>
      </x:c>
      <x:c r="D53" s="84" t="n">
        <x:v>2</x:v>
      </x:c>
      <x:c r="E53" s="84" t="str">
        <x:v>2. Draw / Card Advantage</x:v>
      </x:c>
      <x:c r="F53" s="97" t="n">
        <x:v>7.9</x:v>
      </x:c>
      <x:c r="G53" s="84" t="str">
        <x:v>SUPPORT</x:v>
      </x:c>
      <x:c r="H53" s="24"/>
      <x:c r="I53" s="24"/>
      <x:c r="J53" s="24"/>
      <x:c r="K53" s="24"/>
      <x:c r="L53" s="24"/>
      <x:c r="M53" s="24"/>
      <x:c r="N53" s="24"/>
      <x:c r="O53" s="24"/>
      <x:c r="P53" s="24"/>
      <x:c r="Q53" s="24"/>
      <x:c r="R53" s="24"/>
      <x:c r="S53" s="24"/>
      <x:c r="T53" s="24"/>
      <x:c r="U53" s="24"/>
      <x:c r="V53" s="24"/>
      <x:c r="W53" s="24"/>
      <x:c r="X53" s="24"/>
      <x:c r="Y53" s="24"/>
      <x:c r="Z53" s="24"/>
    </x:row>
    <x:row r="54">
      <x:c r="A54" s="84" t="n">
        <x:v>1</x:v>
      </x:c>
      <x:c r="B54" s="84" t="str">
        <x:v>Extravagant Replication</x:v>
      </x:c>
      <x:c r="C54" s="84" t="str">
        <x:v>Enchantment</x:v>
      </x:c>
      <x:c r="D54" s="84" t="n">
        <x:v>5</x:v>
      </x:c>
      <x:c r="E54" s="84" t="str">
        <x:v>5. Curse Engines / Enchantment Support</x:v>
      </x:c>
      <x:c r="F54" s="97" t="n">
        <x:v>8.5</x:v>
      </x:c>
      <x:c r="G54" s="84" t="str">
        <x:v>CORE</x:v>
      </x:c>
      <x:c r="H54" s="24"/>
      <x:c r="I54" s="24"/>
      <x:c r="J54" s="24"/>
      <x:c r="K54" s="24"/>
      <x:c r="L54" s="24"/>
      <x:c r="M54" s="24"/>
      <x:c r="N54" s="24"/>
      <x:c r="O54" s="24"/>
      <x:c r="P54" s="24"/>
      <x:c r="Q54" s="24"/>
      <x:c r="R54" s="24"/>
      <x:c r="S54" s="24"/>
      <x:c r="T54" s="24"/>
      <x:c r="U54" s="24"/>
      <x:c r="V54" s="24"/>
      <x:c r="W54" s="24"/>
      <x:c r="X54" s="24"/>
      <x:c r="Y54" s="24"/>
      <x:c r="Z54" s="24"/>
    </x:row>
    <x:row r="55">
      <x:c r="A55" s="84" t="n">
        <x:v>1</x:v>
      </x:c>
      <x:c r="B55" s="84" t="str">
        <x:v>Fabled Passage</x:v>
      </x:c>
      <x:c r="C55" s="84" t="str">
        <x:v>Land</x:v>
      </x:c>
      <x:c r="D55" s="84" t="n">
        <x:v>0</x:v>
      </x:c>
      <x:c r="E55" s="84" t="str">
        <x:v>1. Ramp / Mana</x:v>
      </x:c>
      <x:c r="F55" s="97" t="n">
        <x:v>8.5</x:v>
      </x:c>
      <x:c r="G55" s="84" t="str">
        <x:v>CORE</x:v>
      </x:c>
      <x:c r="H55" s="24"/>
      <x:c r="I55" s="24"/>
      <x:c r="J55" s="24"/>
      <x:c r="K55" s="24"/>
      <x:c r="L55" s="24"/>
      <x:c r="M55" s="24"/>
      <x:c r="N55" s="24"/>
      <x:c r="O55" s="24"/>
      <x:c r="P55" s="24"/>
      <x:c r="Q55" s="24"/>
      <x:c r="R55" s="24"/>
      <x:c r="S55" s="24"/>
      <x:c r="T55" s="24"/>
      <x:c r="U55" s="24"/>
      <x:c r="V55" s="24"/>
      <x:c r="W55" s="24"/>
      <x:c r="X55" s="24"/>
      <x:c r="Y55" s="24"/>
      <x:c r="Z55" s="24"/>
    </x:row>
    <x:row r="56">
      <x:c r="A56" s="84" t="n">
        <x:v>1</x:v>
      </x:c>
      <x:c r="B56" s="84" t="str">
        <x:v>Feed the Swarm</x:v>
      </x:c>
      <x:c r="C56" s="84" t="str">
        <x:v>Sorcery</x:v>
      </x:c>
      <x:c r="D56" s="84" t="n">
        <x:v>2</x:v>
      </x:c>
      <x:c r="E56" s="84" t="str">
        <x:v>3. Removal / Board Control</x:v>
      </x:c>
      <x:c r="F56" s="97" t="n">
        <x:v>8.4</x:v>
      </x:c>
      <x:c r="G56" s="84" t="str">
        <x:v>SUPPORT</x:v>
      </x:c>
      <x:c r="H56" s="24"/>
      <x:c r="I56" s="24"/>
      <x:c r="J56" s="24"/>
      <x:c r="K56" s="24"/>
      <x:c r="L56" s="24"/>
      <x:c r="M56" s="24"/>
      <x:c r="N56" s="24"/>
      <x:c r="O56" s="24"/>
      <x:c r="P56" s="24"/>
      <x:c r="Q56" s="24"/>
      <x:c r="R56" s="24"/>
      <x:c r="S56" s="24"/>
      <x:c r="T56" s="24"/>
      <x:c r="U56" s="24"/>
      <x:c r="V56" s="24"/>
      <x:c r="W56" s="24"/>
      <x:c r="X56" s="24"/>
      <x:c r="Y56" s="24"/>
      <x:c r="Z56" s="24"/>
    </x:row>
    <x:row r="57">
      <x:c r="A57" s="84" t="n">
        <x:v>1</x:v>
      </x:c>
      <x:c r="B57" s="84" t="str">
        <x:v>Grim Guardian</x:v>
      </x:c>
      <x:c r="C57" s="84" t="str">
        <x:v>Enchantment Creature</x:v>
      </x:c>
      <x:c r="D57" s="84" t="n">
        <x:v>4</x:v>
      </x:c>
      <x:c r="E57" s="84" t="str">
        <x:v>8. Finishers / Thematic Bombs</x:v>
      </x:c>
      <x:c r="F57" s="97" t="n">
        <x:v>7.5</x:v>
      </x:c>
      <x:c r="G57" s="84" t="str">
        <x:v>SUPPORT</x:v>
      </x:c>
      <x:c r="H57" s="24"/>
      <x:c r="I57" s="24"/>
      <x:c r="J57" s="24"/>
      <x:c r="K57" s="24"/>
      <x:c r="L57" s="24"/>
      <x:c r="M57" s="24"/>
      <x:c r="N57" s="24"/>
      <x:c r="O57" s="24"/>
      <x:c r="P57" s="24"/>
      <x:c r="Q57" s="24"/>
      <x:c r="R57" s="24"/>
      <x:c r="S57" s="24"/>
      <x:c r="T57" s="24"/>
      <x:c r="U57" s="24"/>
      <x:c r="V57" s="24"/>
      <x:c r="W57" s="24"/>
      <x:c r="X57" s="24"/>
      <x:c r="Y57" s="24"/>
      <x:c r="Z57" s="24"/>
    </x:row>
    <x:row r="58">
      <x:c r="A58" s="84" t="n">
        <x:v>1</x:v>
      </x:c>
      <x:c r="B58" s="84" t="str">
        <x:v>Grixis Panorama</x:v>
      </x:c>
      <x:c r="C58" s="84" t="str">
        <x:v>Land</x:v>
      </x:c>
      <x:c r="D58" s="84" t="n">
        <x:v>0</x:v>
      </x:c>
      <x:c r="E58" s="84" t="str">
        <x:v>1. Ramp / Mana</x:v>
      </x:c>
      <x:c r="F58" s="97" t="n">
        <x:v>7.5</x:v>
      </x:c>
      <x:c r="G58" s="84" t="str">
        <x:v>SUPPORT</x:v>
      </x:c>
      <x:c r="H58" s="24"/>
      <x:c r="I58" s="24"/>
      <x:c r="J58" s="24"/>
      <x:c r="K58" s="24"/>
      <x:c r="L58" s="24"/>
      <x:c r="M58" s="24"/>
      <x:c r="N58" s="24"/>
      <x:c r="O58" s="24"/>
      <x:c r="P58" s="24"/>
      <x:c r="Q58" s="24"/>
      <x:c r="R58" s="24"/>
      <x:c r="S58" s="24"/>
      <x:c r="T58" s="24"/>
      <x:c r="U58" s="24"/>
      <x:c r="V58" s="24"/>
      <x:c r="W58" s="24"/>
      <x:c r="X58" s="24"/>
      <x:c r="Y58" s="24"/>
      <x:c r="Z58" s="24"/>
    </x:row>
    <x:row r="59">
      <x:c r="A59" s="84" t="n">
        <x:v>1</x:v>
      </x:c>
      <x:c r="B59" s="84" t="str">
        <x:v>Hydroelectric Specimen</x:v>
      </x:c>
      <x:c r="C59" s="84" t="str">
        <x:v>Creature // Land MDFC</x:v>
      </x:c>
      <x:c r="D59" s="84" t="n">
        <x:v>3</x:v>
      </x:c>
      <x:c r="E59" s="84" t="str">
        <x:v>7. Protection / Resilience</x:v>
      </x:c>
      <x:c r="F59" s="97" t="n">
        <x:v>7.6</x:v>
      </x:c>
      <x:c r="G59" s="84" t="str">
        <x:v>SUPPORT</x:v>
      </x:c>
      <x:c r="H59" s="24"/>
      <x:c r="I59" s="24"/>
      <x:c r="J59" s="24"/>
      <x:c r="K59" s="24"/>
      <x:c r="L59" s="24"/>
      <x:c r="M59" s="24"/>
      <x:c r="N59" s="24"/>
      <x:c r="O59" s="24"/>
      <x:c r="P59" s="24"/>
      <x:c r="Q59" s="24"/>
      <x:c r="R59" s="24"/>
      <x:c r="S59" s="24"/>
      <x:c r="T59" s="24"/>
      <x:c r="U59" s="24"/>
      <x:c r="V59" s="24"/>
      <x:c r="W59" s="24"/>
      <x:c r="X59" s="24"/>
      <x:c r="Y59" s="24"/>
      <x:c r="Z59" s="24"/>
    </x:row>
    <x:row r="60">
      <x:c r="A60" s="84" t="n">
        <x:v>3</x:v>
      </x:c>
      <x:c r="B60" s="84" t="str">
        <x:v>Island</x:v>
      </x:c>
      <x:c r="C60" s="84" t="str">
        <x:v>Basic Land</x:v>
      </x:c>
      <x:c r="D60" s="84" t="n">
        <x:v>0</x:v>
      </x:c>
      <x:c r="E60" s="84" t="str">
        <x:v>1. Ramp / Mana</x:v>
      </x:c>
      <x:c r="F60" s="97" t="n">
        <x:v>8</x:v>
      </x:c>
      <x:c r="G60" s="84" t="str">
        <x:v>SUPPORT</x:v>
      </x:c>
      <x:c r="H60" s="24"/>
      <x:c r="I60" s="24"/>
      <x:c r="J60" s="24"/>
      <x:c r="K60" s="24"/>
      <x:c r="L60" s="24"/>
      <x:c r="M60" s="24"/>
      <x:c r="N60" s="24"/>
      <x:c r="O60" s="24"/>
      <x:c r="P60" s="24"/>
      <x:c r="Q60" s="24"/>
      <x:c r="R60" s="24"/>
      <x:c r="S60" s="24"/>
      <x:c r="T60" s="24"/>
      <x:c r="U60" s="24"/>
      <x:c r="V60" s="24"/>
      <x:c r="W60" s="24"/>
      <x:c r="X60" s="24"/>
      <x:c r="Y60" s="24"/>
      <x:c r="Z60" s="24"/>
    </x:row>
    <x:row r="61">
      <x:c r="A61" s="84" t="n">
        <x:v>1</x:v>
      </x:c>
      <x:c r="B61" s="84" t="str">
        <x:v>Kazuul, Tyrant of the Cliffs</x:v>
      </x:c>
      <x:c r="C61" s="84" t="str">
        <x:v>Legendary Creature</x:v>
      </x:c>
      <x:c r="D61" s="84" t="n">
        <x:v>5</x:v>
      </x:c>
      <x:c r="E61" s="84" t="str">
        <x:v>6. Politics / Punisher / Pillow Fort</x:v>
      </x:c>
      <x:c r="F61" s="97" t="n">
        <x:v>8.8</x:v>
      </x:c>
      <x:c r="G61" s="84" t="str">
        <x:v>CORE</x:v>
      </x:c>
      <x:c r="H61" s="24"/>
      <x:c r="I61" s="24"/>
      <x:c r="J61" s="24"/>
      <x:c r="K61" s="24"/>
      <x:c r="L61" s="24"/>
      <x:c r="M61" s="24"/>
      <x:c r="N61" s="24"/>
      <x:c r="O61" s="24"/>
      <x:c r="P61" s="24"/>
      <x:c r="Q61" s="24"/>
      <x:c r="R61" s="24"/>
      <x:c r="S61" s="24"/>
      <x:c r="T61" s="24"/>
      <x:c r="U61" s="24"/>
      <x:c r="V61" s="24"/>
      <x:c r="W61" s="24"/>
      <x:c r="X61" s="24"/>
      <x:c r="Y61" s="24"/>
      <x:c r="Z61" s="24"/>
    </x:row>
    <x:row r="62">
      <x:c r="A62" s="84" t="n">
        <x:v>1</x:v>
      </x:c>
      <x:c r="B62" s="84" t="str">
        <x:v>Last One Standing</x:v>
      </x:c>
      <x:c r="C62" s="84" t="str">
        <x:v>Sorcery</x:v>
      </x:c>
      <x:c r="D62" s="84" t="n">
        <x:v>3</x:v>
      </x:c>
      <x:c r="E62" s="84" t="str">
        <x:v>3. Removal / Board Control</x:v>
      </x:c>
      <x:c r="F62" s="97" t="n">
        <x:v>8.2</x:v>
      </x:c>
      <x:c r="G62" s="84" t="str">
        <x:v>SUPPORT</x:v>
      </x:c>
      <x:c r="H62" s="24"/>
      <x:c r="I62" s="24"/>
      <x:c r="J62" s="24"/>
      <x:c r="K62" s="24"/>
      <x:c r="L62" s="24"/>
      <x:c r="M62" s="24"/>
      <x:c r="N62" s="24"/>
      <x:c r="O62" s="24"/>
      <x:c r="P62" s="24"/>
      <x:c r="Q62" s="24"/>
      <x:c r="R62" s="24"/>
      <x:c r="S62" s="24"/>
      <x:c r="T62" s="24"/>
      <x:c r="U62" s="24"/>
      <x:c r="V62" s="24"/>
      <x:c r="W62" s="24"/>
      <x:c r="X62" s="24"/>
      <x:c r="Y62" s="24"/>
      <x:c r="Z62" s="24"/>
    </x:row>
    <x:row r="63">
      <x:c r="A63" s="84" t="n">
        <x:v>1</x:v>
      </x:c>
      <x:c r="B63" s="84" t="str">
        <x:v>Luxury Suite</x:v>
      </x:c>
      <x:c r="C63" s="84" t="str">
        <x:v>Land</x:v>
      </x:c>
      <x:c r="D63" s="84" t="n">
        <x:v>0</x:v>
      </x:c>
      <x:c r="E63" s="84" t="str">
        <x:v>1. Ramp / Mana</x:v>
      </x:c>
      <x:c r="F63" s="97" t="n">
        <x:v>8.9</x:v>
      </x:c>
      <x:c r="G63" s="84" t="str">
        <x:v>CORE</x:v>
      </x:c>
      <x:c r="H63" s="24"/>
      <x:c r="I63" s="24"/>
      <x:c r="J63" s="24"/>
      <x:c r="K63" s="24"/>
      <x:c r="L63" s="24"/>
      <x:c r="M63" s="24"/>
      <x:c r="N63" s="24"/>
      <x:c r="O63" s="24"/>
      <x:c r="P63" s="24"/>
      <x:c r="Q63" s="24"/>
      <x:c r="R63" s="24"/>
      <x:c r="S63" s="24"/>
      <x:c r="T63" s="24"/>
      <x:c r="U63" s="24"/>
      <x:c r="V63" s="24"/>
      <x:c r="W63" s="24"/>
      <x:c r="X63" s="24"/>
      <x:c r="Y63" s="24"/>
      <x:c r="Z63" s="24"/>
    </x:row>
    <x:row r="64">
      <x:c r="A64" s="84" t="n">
        <x:v>1</x:v>
      </x:c>
      <x:c r="B64" s="84" t="str">
        <x:v>Maddening Hex</x:v>
      </x:c>
      <x:c r="C64" s="84" t="str">
        <x:v>Enchantment — Aura Curse</x:v>
      </x:c>
      <x:c r="D64" s="84" t="n">
        <x:v>5</x:v>
      </x:c>
      <x:c r="E64" s="84" t="str">
        <x:v>4. Curses — Core</x:v>
      </x:c>
      <x:c r="F64" s="97" t="n">
        <x:v>8.7</x:v>
      </x:c>
      <x:c r="G64" s="84" t="str">
        <x:v>CORE</x:v>
      </x:c>
      <x:c r="H64" s="24"/>
      <x:c r="I64" s="24"/>
      <x:c r="J64" s="24"/>
      <x:c r="K64" s="24"/>
      <x:c r="L64" s="24"/>
      <x:c r="M64" s="24"/>
      <x:c r="N64" s="24"/>
      <x:c r="O64" s="24"/>
      <x:c r="P64" s="24"/>
      <x:c r="Q64" s="24"/>
      <x:c r="R64" s="24"/>
      <x:c r="S64" s="24"/>
      <x:c r="T64" s="24"/>
      <x:c r="U64" s="24"/>
      <x:c r="V64" s="24"/>
      <x:c r="W64" s="24"/>
      <x:c r="X64" s="24"/>
      <x:c r="Y64" s="24"/>
      <x:c r="Z64" s="24"/>
    </x:row>
    <x:row r="65">
      <x:c r="A65" s="84" t="n">
        <x:v>1</x:v>
      </x:c>
      <x:c r="B65" s="84" t="str">
        <x:v>Malakir Rebirth</x:v>
      </x:c>
      <x:c r="C65" s="84" t="str">
        <x:v>Instant // Land MDFC</x:v>
      </x:c>
      <x:c r="D65" s="84" t="n">
        <x:v>3</x:v>
      </x:c>
      <x:c r="E65" s="84" t="str">
        <x:v>7. Protection / Resilience</x:v>
      </x:c>
      <x:c r="F65" s="97" t="n">
        <x:v>8.7</x:v>
      </x:c>
      <x:c r="G65" s="84" t="str">
        <x:v>CORE</x:v>
      </x:c>
      <x:c r="H65" s="24"/>
      <x:c r="I65" s="24"/>
      <x:c r="J65" s="24"/>
      <x:c r="K65" s="24"/>
      <x:c r="L65" s="24"/>
      <x:c r="M65" s="24"/>
      <x:c r="N65" s="24"/>
      <x:c r="O65" s="24"/>
      <x:c r="P65" s="24"/>
      <x:c r="Q65" s="24"/>
      <x:c r="R65" s="24"/>
      <x:c r="S65" s="24"/>
      <x:c r="T65" s="24"/>
      <x:c r="U65" s="24"/>
      <x:c r="V65" s="24"/>
      <x:c r="W65" s="24"/>
      <x:c r="X65" s="24"/>
      <x:c r="Y65" s="24"/>
      <x:c r="Z65" s="24"/>
    </x:row>
    <x:row r="66">
      <x:c r="A66" s="84" t="n">
        <x:v>1</x:v>
      </x:c>
      <x:c r="B66" s="84" t="str">
        <x:v>Midnight Clock</x:v>
      </x:c>
      <x:c r="C66" s="84" t="str">
        <x:v>Artifact</x:v>
      </x:c>
      <x:c r="D66" s="84" t="n">
        <x:v>3</x:v>
      </x:c>
      <x:c r="E66" s="84" t="str">
        <x:v>1. Ramp / Mana</x:v>
      </x:c>
      <x:c r="F66" s="97" t="n">
        <x:v>8.2</x:v>
      </x:c>
      <x:c r="G66" s="84" t="str">
        <x:v>SUPPORT</x:v>
      </x:c>
      <x:c r="H66" s="24"/>
      <x:c r="I66" s="24"/>
      <x:c r="J66" s="24"/>
      <x:c r="K66" s="24"/>
      <x:c r="L66" s="24"/>
      <x:c r="M66" s="24"/>
      <x:c r="N66" s="24"/>
      <x:c r="O66" s="24"/>
      <x:c r="P66" s="24"/>
      <x:c r="Q66" s="24"/>
      <x:c r="R66" s="24"/>
      <x:c r="S66" s="24"/>
      <x:c r="T66" s="24"/>
      <x:c r="U66" s="24"/>
      <x:c r="V66" s="24"/>
      <x:c r="W66" s="24"/>
      <x:c r="X66" s="24"/>
      <x:c r="Y66" s="24"/>
      <x:c r="Z66" s="24"/>
    </x:row>
    <x:row r="67">
      <x:c r="A67" s="84" t="n">
        <x:v>1</x:v>
      </x:c>
      <x:c r="B67" s="84" t="str">
        <x:v>Mirrormade</x:v>
      </x:c>
      <x:c r="C67" s="84" t="str">
        <x:v>Artifact Enchantment</x:v>
      </x:c>
      <x:c r="D67" s="84" t="n">
        <x:v>3</x:v>
      </x:c>
      <x:c r="E67" s="84" t="str">
        <x:v>5. Curse Engines / Enchantment Support</x:v>
      </x:c>
      <x:c r="F67" s="97" t="n">
        <x:v>9</x:v>
      </x:c>
      <x:c r="G67" s="84" t="str">
        <x:v>CORE</x:v>
      </x:c>
      <x:c r="H67" s="24"/>
      <x:c r="I67" s="24"/>
      <x:c r="J67" s="24"/>
      <x:c r="K67" s="24"/>
      <x:c r="L67" s="24"/>
      <x:c r="M67" s="24"/>
      <x:c r="N67" s="24"/>
      <x:c r="O67" s="24"/>
      <x:c r="P67" s="24"/>
      <x:c r="Q67" s="24"/>
      <x:c r="R67" s="24"/>
      <x:c r="S67" s="24"/>
      <x:c r="T67" s="24"/>
      <x:c r="U67" s="24"/>
      <x:c r="V67" s="24"/>
      <x:c r="W67" s="24"/>
      <x:c r="X67" s="24"/>
      <x:c r="Y67" s="24"/>
      <x:c r="Z67" s="24"/>
    </x:row>
    <x:row r="68">
      <x:c r="A68" s="84" t="n">
        <x:v>1</x:v>
      </x:c>
      <x:c r="B68" s="84" t="str">
        <x:v>Morphic Pool</x:v>
      </x:c>
      <x:c r="C68" s="84" t="str">
        <x:v>Land</x:v>
      </x:c>
      <x:c r="D68" s="84" t="n">
        <x:v>0</x:v>
      </x:c>
      <x:c r="E68" s="84" t="str">
        <x:v>1. Ramp / Mana</x:v>
      </x:c>
      <x:c r="F68" s="97" t="n">
        <x:v>9</x:v>
      </x:c>
      <x:c r="G68" s="84" t="str">
        <x:v>CORE</x:v>
      </x:c>
      <x:c r="H68" s="24"/>
      <x:c r="I68" s="24"/>
      <x:c r="J68" s="24"/>
      <x:c r="K68" s="24"/>
      <x:c r="L68" s="24"/>
      <x:c r="M68" s="24"/>
      <x:c r="N68" s="24"/>
      <x:c r="O68" s="24"/>
      <x:c r="P68" s="24"/>
      <x:c r="Q68" s="24"/>
      <x:c r="R68" s="24"/>
      <x:c r="S68" s="24"/>
      <x:c r="T68" s="24"/>
      <x:c r="U68" s="24"/>
      <x:c r="V68" s="24"/>
      <x:c r="W68" s="24"/>
      <x:c r="X68" s="24"/>
      <x:c r="Y68" s="24"/>
      <x:c r="Z68" s="24"/>
    </x:row>
    <x:row r="69">
      <x:c r="A69" s="84" t="n">
        <x:v>1</x:v>
      </x:c>
      <x:c r="B69" s="84" t="str">
        <x:v>Mortuary Mire</x:v>
      </x:c>
      <x:c r="C69" s="84" t="str">
        <x:v>Land</x:v>
      </x:c>
      <x:c r="D69" s="84" t="n">
        <x:v>0</x:v>
      </x:c>
      <x:c r="E69" s="84" t="str">
        <x:v>7. Protection / Resilience</x:v>
      </x:c>
      <x:c r="F69" s="97" t="n">
        <x:v>7.8</x:v>
      </x:c>
      <x:c r="G69" s="84" t="str">
        <x:v>SUPPORT</x:v>
      </x:c>
      <x:c r="H69" s="24"/>
      <x:c r="I69" s="24"/>
      <x:c r="J69" s="24"/>
      <x:c r="K69" s="24"/>
      <x:c r="L69" s="24"/>
      <x:c r="M69" s="24"/>
      <x:c r="N69" s="24"/>
      <x:c r="O69" s="24"/>
      <x:c r="P69" s="24"/>
      <x:c r="Q69" s="24"/>
      <x:c r="R69" s="24"/>
      <x:c r="S69" s="24"/>
      <x:c r="T69" s="24"/>
      <x:c r="U69" s="24"/>
      <x:c r="V69" s="24"/>
      <x:c r="W69" s="24"/>
      <x:c r="X69" s="24"/>
      <x:c r="Y69" s="24"/>
      <x:c r="Z69" s="24"/>
    </x:row>
    <x:row r="70">
      <x:c r="A70" s="84" t="n">
        <x:v>3</x:v>
      </x:c>
      <x:c r="B70" s="84" t="str">
        <x:v>Mountain</x:v>
      </x:c>
      <x:c r="C70" s="84" t="str">
        <x:v>Basic Land</x:v>
      </x:c>
      <x:c r="D70" s="84" t="n">
        <x:v>0</x:v>
      </x:c>
      <x:c r="E70" s="84" t="str">
        <x:v>1. Ramp / Mana</x:v>
      </x:c>
      <x:c r="F70" s="97" t="n">
        <x:v>8</x:v>
      </x:c>
      <x:c r="G70" s="84" t="str">
        <x:v>SUPPORT</x:v>
      </x:c>
      <x:c r="H70" s="24"/>
      <x:c r="I70" s="24"/>
      <x:c r="J70" s="24"/>
      <x:c r="K70" s="24"/>
      <x:c r="L70" s="24"/>
      <x:c r="M70" s="24"/>
      <x:c r="N70" s="24"/>
      <x:c r="O70" s="24"/>
      <x:c r="P70" s="24"/>
      <x:c r="Q70" s="24"/>
      <x:c r="R70" s="24"/>
      <x:c r="S70" s="24"/>
      <x:c r="T70" s="24"/>
      <x:c r="U70" s="24"/>
      <x:c r="V70" s="24"/>
      <x:c r="W70" s="24"/>
      <x:c r="X70" s="24"/>
      <x:c r="Y70" s="24"/>
      <x:c r="Z70" s="24"/>
    </x:row>
    <x:row r="71">
      <x:c r="A71" s="84" t="n">
        <x:v>1</x:v>
      </x:c>
      <x:c r="B71" s="84" t="str">
        <x:v>Nightscape Familiar</x:v>
      </x:c>
      <x:c r="C71" s="84" t="str">
        <x:v>Creature</x:v>
      </x:c>
      <x:c r="D71" s="84" t="n">
        <x:v>2</x:v>
      </x:c>
      <x:c r="E71" s="84" t="str">
        <x:v>1. Ramp / Mana</x:v>
      </x:c>
      <x:c r="F71" s="97" t="n">
        <x:v>9.3</x:v>
      </x:c>
      <x:c r="G71" s="84" t="str">
        <x:v>CORE</x:v>
      </x:c>
      <x:c r="H71" s="24"/>
      <x:c r="I71" s="24"/>
      <x:c r="J71" s="24"/>
      <x:c r="K71" s="24"/>
      <x:c r="L71" s="24"/>
      <x:c r="M71" s="24"/>
      <x:c r="N71" s="24"/>
      <x:c r="O71" s="24"/>
      <x:c r="P71" s="24"/>
      <x:c r="Q71" s="24"/>
      <x:c r="R71" s="24"/>
      <x:c r="S71" s="24"/>
      <x:c r="T71" s="24"/>
      <x:c r="U71" s="24"/>
      <x:c r="V71" s="24"/>
      <x:c r="W71" s="24"/>
      <x:c r="X71" s="24"/>
      <x:c r="Y71" s="24"/>
      <x:c r="Z71" s="24"/>
    </x:row>
    <x:row r="72">
      <x:c r="A72" s="84" t="n">
        <x:v>1</x:v>
      </x:c>
      <x:c r="B72" s="84" t="str">
        <x:v>Notion Thief</x:v>
      </x:c>
      <x:c r="C72" s="84" t="str">
        <x:v>Creature</x:v>
      </x:c>
      <x:c r="D72" s="84" t="n">
        <x:v>4</x:v>
      </x:c>
      <x:c r="E72" s="84" t="str">
        <x:v>2. Draw / Card Advantage</x:v>
      </x:c>
      <x:c r="F72" s="97" t="n">
        <x:v>8.8</x:v>
      </x:c>
      <x:c r="G72" s="84" t="str">
        <x:v>CORE</x:v>
      </x:c>
      <x:c r="H72" s="24"/>
      <x:c r="I72" s="24"/>
      <x:c r="J72" s="24"/>
      <x:c r="K72" s="24"/>
      <x:c r="L72" s="24"/>
      <x:c r="M72" s="24"/>
      <x:c r="N72" s="24"/>
      <x:c r="O72" s="24"/>
      <x:c r="P72" s="24"/>
      <x:c r="Q72" s="24"/>
      <x:c r="R72" s="24"/>
      <x:c r="S72" s="24"/>
      <x:c r="T72" s="24"/>
      <x:c r="U72" s="24"/>
      <x:c r="V72" s="24"/>
      <x:c r="W72" s="24"/>
      <x:c r="X72" s="24"/>
      <x:c r="Y72" s="24"/>
      <x:c r="Z72" s="24"/>
    </x:row>
    <x:row r="73">
      <x:c r="A73" s="84" t="n">
        <x:v>1</x:v>
      </x:c>
      <x:c r="B73" s="84" t="str">
        <x:v>Paradox Haze</x:v>
      </x:c>
      <x:c r="C73" s="84" t="str">
        <x:v>Enchantment — Aura</x:v>
      </x:c>
      <x:c r="D73" s="84" t="n">
        <x:v>4</x:v>
      </x:c>
      <x:c r="E73" s="84" t="str">
        <x:v>5. Curse Engines / Enchantment Support</x:v>
      </x:c>
      <x:c r="F73" s="97" t="n">
        <x:v>9.7</x:v>
      </x:c>
      <x:c r="G73" s="84" t="str">
        <x:v>LOCK</x:v>
      </x:c>
      <x:c r="H73" s="24"/>
      <x:c r="I73" s="24"/>
      <x:c r="J73" s="24"/>
      <x:c r="K73" s="24"/>
      <x:c r="L73" s="24"/>
      <x:c r="M73" s="24"/>
      <x:c r="N73" s="24"/>
      <x:c r="O73" s="24"/>
      <x:c r="P73" s="24"/>
      <x:c r="Q73" s="24"/>
      <x:c r="R73" s="24"/>
      <x:c r="S73" s="24"/>
      <x:c r="T73" s="24"/>
      <x:c r="U73" s="24"/>
      <x:c r="V73" s="24"/>
      <x:c r="W73" s="24"/>
      <x:c r="X73" s="24"/>
      <x:c r="Y73" s="24"/>
      <x:c r="Z73" s="24"/>
    </x:row>
    <x:row r="74">
      <x:c r="A74" s="84" t="n">
        <x:v>1</x:v>
      </x:c>
      <x:c r="B74" s="84" t="str">
        <x:v>Propaganda</x:v>
      </x:c>
      <x:c r="C74" s="84" t="str">
        <x:v>Enchantment</x:v>
      </x:c>
      <x:c r="D74" s="84" t="n">
        <x:v>3</x:v>
      </x:c>
      <x:c r="E74" s="84" t="str">
        <x:v>6. Politics / Punisher / Pillow Fort</x:v>
      </x:c>
      <x:c r="F74" s="97" t="n">
        <x:v>9.1</x:v>
      </x:c>
      <x:c r="G74" s="84" t="str">
        <x:v>CORE</x:v>
      </x:c>
      <x:c r="H74" s="24"/>
      <x:c r="I74" s="24"/>
      <x:c r="J74" s="24"/>
      <x:c r="K74" s="24"/>
      <x:c r="L74" s="24"/>
      <x:c r="M74" s="24"/>
      <x:c r="N74" s="24"/>
      <x:c r="O74" s="24"/>
      <x:c r="P74" s="24"/>
      <x:c r="Q74" s="24"/>
      <x:c r="R74" s="24"/>
      <x:c r="S74" s="24"/>
      <x:c r="T74" s="24"/>
      <x:c r="U74" s="24"/>
      <x:c r="V74" s="24"/>
      <x:c r="W74" s="24"/>
      <x:c r="X74" s="24"/>
      <x:c r="Y74" s="24"/>
      <x:c r="Z74" s="24"/>
    </x:row>
    <x:row r="75">
      <x:c r="A75" s="84" t="n">
        <x:v>1</x:v>
      </x:c>
      <x:c r="B75" s="84" t="str">
        <x:v>Protean Thaumaturge</x:v>
      </x:c>
      <x:c r="C75" s="84" t="str">
        <x:v>Creature</x:v>
      </x:c>
      <x:c r="D75" s="84" t="n">
        <x:v>3</x:v>
      </x:c>
      <x:c r="E75" s="84" t="str">
        <x:v>5. Curse Engines / Enchantment Support</x:v>
      </x:c>
      <x:c r="F75" s="97" t="n">
        <x:v>8.4</x:v>
      </x:c>
      <x:c r="G75" s="84" t="str">
        <x:v>SUPPORT</x:v>
      </x:c>
      <x:c r="H75" s="24"/>
      <x:c r="I75" s="24"/>
      <x:c r="J75" s="24"/>
      <x:c r="K75" s="24"/>
      <x:c r="L75" s="24"/>
      <x:c r="M75" s="24"/>
      <x:c r="N75" s="24"/>
      <x:c r="O75" s="24"/>
      <x:c r="P75" s="24"/>
      <x:c r="Q75" s="24"/>
      <x:c r="R75" s="24"/>
      <x:c r="S75" s="24"/>
      <x:c r="T75" s="24"/>
      <x:c r="U75" s="24"/>
      <x:c r="V75" s="24"/>
      <x:c r="W75" s="24"/>
      <x:c r="X75" s="24"/>
      <x:c r="Y75" s="24"/>
      <x:c r="Z75" s="24"/>
    </x:row>
    <x:row r="76">
      <x:c r="A76" s="84" t="n">
        <x:v>1</x:v>
      </x:c>
      <x:c r="B76" s="84" t="str">
        <x:v>Read the Runes</x:v>
      </x:c>
      <x:c r="C76" s="84" t="str">
        <x:v>Instant</x:v>
      </x:c>
      <x:c r="D76" s="84" t="n">
        <x:v>1</x:v>
      </x:c>
      <x:c r="E76" s="84" t="str">
        <x:v>2. Draw / Card Advantage</x:v>
      </x:c>
      <x:c r="F76" s="97" t="n">
        <x:v>7.7</x:v>
      </x:c>
      <x:c r="G76" s="84" t="str">
        <x:v>SUPPORT</x:v>
      </x:c>
      <x:c r="H76" s="24"/>
      <x:c r="I76" s="24"/>
      <x:c r="J76" s="24"/>
      <x:c r="K76" s="24"/>
      <x:c r="L76" s="24"/>
      <x:c r="M76" s="24"/>
      <x:c r="N76" s="24"/>
      <x:c r="O76" s="24"/>
      <x:c r="P76" s="24"/>
      <x:c r="Q76" s="24"/>
      <x:c r="R76" s="24"/>
      <x:c r="S76" s="24"/>
      <x:c r="T76" s="24"/>
      <x:c r="U76" s="24"/>
      <x:c r="V76" s="24"/>
      <x:c r="W76" s="24"/>
      <x:c r="X76" s="24"/>
      <x:c r="Y76" s="24"/>
      <x:c r="Z76" s="24"/>
    </x:row>
    <x:row r="77">
      <x:c r="A77" s="84" t="n">
        <x:v>1</x:v>
      </x:c>
      <x:c r="B77" s="84" t="str">
        <x:v>Reality Shift</x:v>
      </x:c>
      <x:c r="C77" s="84" t="str">
        <x:v>Instant</x:v>
      </x:c>
      <x:c r="D77" s="84" t="n">
        <x:v>2</x:v>
      </x:c>
      <x:c r="E77" s="84" t="str">
        <x:v>3. Removal / Board Control</x:v>
      </x:c>
      <x:c r="F77" s="97" t="n">
        <x:v>8.3</x:v>
      </x:c>
      <x:c r="G77" s="84" t="str">
        <x:v>SUPPORT</x:v>
      </x:c>
      <x:c r="H77" s="24"/>
      <x:c r="I77" s="24"/>
      <x:c r="J77" s="24"/>
      <x:c r="K77" s="24"/>
      <x:c r="L77" s="24"/>
      <x:c r="M77" s="24"/>
      <x:c r="N77" s="24"/>
      <x:c r="O77" s="24"/>
      <x:c r="P77" s="24"/>
      <x:c r="Q77" s="24"/>
      <x:c r="R77" s="24"/>
      <x:c r="S77" s="24"/>
      <x:c r="T77" s="24"/>
      <x:c r="U77" s="24"/>
      <x:c r="V77" s="24"/>
      <x:c r="W77" s="24"/>
      <x:c r="X77" s="24"/>
      <x:c r="Y77" s="24"/>
      <x:c r="Z77" s="24"/>
    </x:row>
    <x:row r="78">
      <x:c r="A78" s="84" t="n">
        <x:v>1</x:v>
      </x:c>
      <x:c r="B78" s="84" t="str">
        <x:v>Rivendell</x:v>
      </x:c>
      <x:c r="C78" s="84" t="str">
        <x:v>Legendary Land</x:v>
      </x:c>
      <x:c r="D78" s="84" t="n">
        <x:v>0</x:v>
      </x:c>
      <x:c r="E78" s="84" t="str">
        <x:v>1. Ramp / Mana</x:v>
      </x:c>
      <x:c r="F78" s="97" t="n">
        <x:v>7.5</x:v>
      </x:c>
      <x:c r="G78" s="84" t="str">
        <x:v>SUPPORT</x:v>
      </x:c>
      <x:c r="H78" s="24"/>
      <x:c r="I78" s="24"/>
      <x:c r="J78" s="24"/>
      <x:c r="K78" s="24"/>
      <x:c r="L78" s="24"/>
      <x:c r="M78" s="24"/>
      <x:c r="N78" s="24"/>
      <x:c r="O78" s="24"/>
      <x:c r="P78" s="24"/>
      <x:c r="Q78" s="24"/>
      <x:c r="R78" s="24"/>
      <x:c r="S78" s="24"/>
      <x:c r="T78" s="24"/>
      <x:c r="U78" s="24"/>
      <x:c r="V78" s="24"/>
      <x:c r="W78" s="24"/>
      <x:c r="X78" s="24"/>
      <x:c r="Y78" s="24"/>
      <x:c r="Z78" s="24"/>
    </x:row>
    <x:row r="79">
      <x:c r="A79" s="84" t="n">
        <x:v>1</x:v>
      </x:c>
      <x:c r="B79" s="84" t="str">
        <x:v>Riverglide Pathway</x:v>
      </x:c>
      <x:c r="C79" s="84" t="str">
        <x:v>Land</x:v>
      </x:c>
      <x:c r="D79" s="84" t="n">
        <x:v>0</x:v>
      </x:c>
      <x:c r="E79" s="84" t="str">
        <x:v>1. Ramp / Mana</x:v>
      </x:c>
      <x:c r="F79" s="97" t="n">
        <x:v>8.2</x:v>
      </x:c>
      <x:c r="G79" s="84" t="str">
        <x:v>SUPPORT</x:v>
      </x:c>
      <x:c r="H79" s="24"/>
      <x:c r="I79" s="24"/>
      <x:c r="J79" s="24"/>
      <x:c r="K79" s="24"/>
      <x:c r="L79" s="24"/>
      <x:c r="M79" s="24"/>
      <x:c r="N79" s="24"/>
      <x:c r="O79" s="24"/>
      <x:c r="P79" s="24"/>
      <x:c r="Q79" s="24"/>
      <x:c r="R79" s="24"/>
      <x:c r="S79" s="24"/>
      <x:c r="T79" s="24"/>
      <x:c r="U79" s="24"/>
      <x:c r="V79" s="24"/>
      <x:c r="W79" s="24"/>
      <x:c r="X79" s="24"/>
      <x:c r="Y79" s="24"/>
      <x:c r="Z79" s="24"/>
    </x:row>
    <x:row r="80">
      <x:c r="A80" s="84" t="n">
        <x:v>1</x:v>
      </x:c>
      <x:c r="B80" s="84" t="str">
        <x:v>Sauron's Ransom</x:v>
      </x:c>
      <x:c r="C80" s="84" t="str">
        <x:v>Instant</x:v>
      </x:c>
      <x:c r="D80" s="84" t="n">
        <x:v>3</x:v>
      </x:c>
      <x:c r="E80" s="84" t="str">
        <x:v>2. Draw / Card Advantage</x:v>
      </x:c>
      <x:c r="F80" s="97" t="n">
        <x:v>7.9</x:v>
      </x:c>
      <x:c r="G80" s="84" t="str">
        <x:v>SUPPORT</x:v>
      </x:c>
      <x:c r="H80" s="24"/>
      <x:c r="I80" s="24"/>
      <x:c r="J80" s="24"/>
      <x:c r="K80" s="24"/>
      <x:c r="L80" s="24"/>
      <x:c r="M80" s="24"/>
      <x:c r="N80" s="24"/>
      <x:c r="O80" s="24"/>
      <x:c r="P80" s="24"/>
      <x:c r="Q80" s="24"/>
      <x:c r="R80" s="24"/>
      <x:c r="S80" s="24"/>
      <x:c r="T80" s="24"/>
      <x:c r="U80" s="24"/>
      <x:c r="V80" s="24"/>
      <x:c r="W80" s="24"/>
      <x:c r="X80" s="24"/>
      <x:c r="Y80" s="24"/>
      <x:c r="Z80" s="24"/>
    </x:row>
    <x:row r="81">
      <x:c r="A81" s="84" t="n">
        <x:v>1</x:v>
      </x:c>
      <x:c r="B81" s="84" t="str">
        <x:v>Seething Landscape</x:v>
      </x:c>
      <x:c r="C81" s="84" t="str">
        <x:v>Land</x:v>
      </x:c>
      <x:c r="D81" s="84" t="n">
        <x:v>0</x:v>
      </x:c>
      <x:c r="E81" s="84" t="str">
        <x:v>1. Ramp / Mana</x:v>
      </x:c>
      <x:c r="F81" s="97" t="n">
        <x:v>8</x:v>
      </x:c>
      <x:c r="G81" s="84" t="str">
        <x:v>SUPPORT</x:v>
      </x:c>
      <x:c r="H81" s="24"/>
      <x:c r="I81" s="24"/>
      <x:c r="J81" s="24"/>
      <x:c r="K81" s="24"/>
      <x:c r="L81" s="24"/>
      <x:c r="M81" s="24"/>
      <x:c r="N81" s="24"/>
      <x:c r="O81" s="24"/>
      <x:c r="P81" s="24"/>
      <x:c r="Q81" s="24"/>
      <x:c r="R81" s="24"/>
      <x:c r="S81" s="24"/>
      <x:c r="T81" s="24"/>
      <x:c r="U81" s="24"/>
      <x:c r="V81" s="24"/>
      <x:c r="W81" s="24"/>
      <x:c r="X81" s="24"/>
      <x:c r="Y81" s="24"/>
      <x:c r="Z81" s="24"/>
    </x:row>
    <x:row r="82">
      <x:c r="A82" s="84" t="n">
        <x:v>1</x:v>
      </x:c>
      <x:c r="B82" s="84" t="str">
        <x:v>Sol Ring</x:v>
      </x:c>
      <x:c r="C82" s="84" t="str">
        <x:v>Artifact</x:v>
      </x:c>
      <x:c r="D82" s="84" t="n">
        <x:v>1</x:v>
      </x:c>
      <x:c r="E82" s="84" t="str">
        <x:v>1. Ramp / Mana</x:v>
      </x:c>
      <x:c r="F82" s="97" t="n">
        <x:v>9.4</x:v>
      </x:c>
      <x:c r="G82" s="84" t="str">
        <x:v>CORE</x:v>
      </x:c>
      <x:c r="H82" s="24"/>
      <x:c r="I82" s="24"/>
      <x:c r="J82" s="24"/>
      <x:c r="K82" s="24"/>
      <x:c r="L82" s="24"/>
      <x:c r="M82" s="24"/>
      <x:c r="N82" s="24"/>
      <x:c r="O82" s="24"/>
      <x:c r="P82" s="24"/>
      <x:c r="Q82" s="24"/>
      <x:c r="R82" s="24"/>
      <x:c r="S82" s="24"/>
      <x:c r="T82" s="24"/>
      <x:c r="U82" s="24"/>
      <x:c r="V82" s="24"/>
      <x:c r="W82" s="24"/>
      <x:c r="X82" s="24"/>
      <x:c r="Y82" s="24"/>
      <x:c r="Z82" s="24"/>
    </x:row>
    <x:row r="83">
      <x:c r="A83" s="84" t="n">
        <x:v>1</x:v>
      </x:c>
      <x:c r="B83" s="84" t="str">
        <x:v>Staff of Compleation</x:v>
      </x:c>
      <x:c r="C83" s="84" t="str">
        <x:v>Artifact</x:v>
      </x:c>
      <x:c r="D83" s="84" t="n">
        <x:v>2</x:v>
      </x:c>
      <x:c r="E83" s="84" t="str">
        <x:v>1. Ramp / Mana</x:v>
      </x:c>
      <x:c r="F83" s="97" t="n">
        <x:v>8</x:v>
      </x:c>
      <x:c r="G83" s="84" t="str">
        <x:v>SUPPORT</x:v>
      </x:c>
      <x:c r="H83" s="24"/>
      <x:c r="I83" s="24"/>
      <x:c r="J83" s="24"/>
      <x:c r="K83" s="24"/>
      <x:c r="L83" s="24"/>
      <x:c r="M83" s="24"/>
      <x:c r="N83" s="24"/>
      <x:c r="O83" s="24"/>
      <x:c r="P83" s="24"/>
      <x:c r="Q83" s="24"/>
      <x:c r="R83" s="24"/>
      <x:c r="S83" s="24"/>
      <x:c r="T83" s="24"/>
      <x:c r="U83" s="24"/>
      <x:c r="V83" s="24"/>
      <x:c r="W83" s="24"/>
      <x:c r="X83" s="24"/>
      <x:c r="Y83" s="24"/>
      <x:c r="Z83" s="24"/>
    </x:row>
    <x:row r="84">
      <x:c r="A84" s="84" t="n">
        <x:v>1</x:v>
      </x:c>
      <x:c r="B84" s="84" t="str">
        <x:v>Stormcarved Coast</x:v>
      </x:c>
      <x:c r="C84" s="84" t="str">
        <x:v>Land</x:v>
      </x:c>
      <x:c r="D84" s="84" t="n">
        <x:v>0</x:v>
      </x:c>
      <x:c r="E84" s="84" t="str">
        <x:v>1. Ramp / Mana</x:v>
      </x:c>
      <x:c r="F84" s="97" t="n">
        <x:v>8.3</x:v>
      </x:c>
      <x:c r="G84" s="84" t="str">
        <x:v>SUPPORT</x:v>
      </x:c>
      <x:c r="H84" s="24"/>
      <x:c r="I84" s="24"/>
      <x:c r="J84" s="24"/>
      <x:c r="K84" s="24"/>
      <x:c r="L84" s="24"/>
      <x:c r="M84" s="24"/>
      <x:c r="N84" s="24"/>
      <x:c r="O84" s="24"/>
      <x:c r="P84" s="24"/>
      <x:c r="Q84" s="24"/>
      <x:c r="R84" s="24"/>
      <x:c r="S84" s="24"/>
      <x:c r="T84" s="24"/>
      <x:c r="U84" s="24"/>
      <x:c r="V84" s="24"/>
      <x:c r="W84" s="24"/>
      <x:c r="X84" s="24"/>
      <x:c r="Y84" s="24"/>
      <x:c r="Z84" s="24"/>
    </x:row>
    <x:row r="85">
      <x:c r="A85" s="84" t="n">
        <x:v>1</x:v>
      </x:c>
      <x:c r="B85" s="84" t="str">
        <x:v>Sulfur Falls</x:v>
      </x:c>
      <x:c r="C85" s="84" t="str">
        <x:v>Land</x:v>
      </x:c>
      <x:c r="D85" s="84" t="n">
        <x:v>0</x:v>
      </x:c>
      <x:c r="E85" s="84" t="str">
        <x:v>1. Ramp / Mana</x:v>
      </x:c>
      <x:c r="F85" s="97" t="n">
        <x:v>8.3</x:v>
      </x:c>
      <x:c r="G85" s="84" t="str">
        <x:v>SUPPORT</x:v>
      </x:c>
      <x:c r="H85" s="24"/>
      <x:c r="I85" s="24"/>
      <x:c r="J85" s="24"/>
      <x:c r="K85" s="24"/>
      <x:c r="L85" s="24"/>
      <x:c r="M85" s="24"/>
      <x:c r="N85" s="24"/>
      <x:c r="O85" s="24"/>
      <x:c r="P85" s="24"/>
      <x:c r="Q85" s="24"/>
      <x:c r="R85" s="24"/>
      <x:c r="S85" s="24"/>
      <x:c r="T85" s="24"/>
      <x:c r="U85" s="24"/>
      <x:c r="V85" s="24"/>
      <x:c r="W85" s="24"/>
      <x:c r="X85" s="24"/>
      <x:c r="Y85" s="24"/>
      <x:c r="Z85" s="24"/>
    </x:row>
    <x:row r="86">
      <x:c r="A86" s="84" t="n">
        <x:v>1</x:v>
      </x:c>
      <x:c r="B86" s="84" t="str">
        <x:v>Sundering Eruption</x:v>
      </x:c>
      <x:c r="C86" s="84" t="str">
        <x:v>Sorcery // Land MDFC</x:v>
      </x:c>
      <x:c r="D86" s="84" t="n">
        <x:v>4</x:v>
      </x:c>
      <x:c r="E86" s="84" t="str">
        <x:v>3. Removal / Board Control</x:v>
      </x:c>
      <x:c r="F86" s="97" t="n">
        <x:v>7.8</x:v>
      </x:c>
      <x:c r="G86" s="84" t="str">
        <x:v>SUPPORT</x:v>
      </x:c>
      <x:c r="H86" s="24"/>
      <x:c r="I86" s="24"/>
      <x:c r="J86" s="24"/>
      <x:c r="K86" s="24"/>
      <x:c r="L86" s="24"/>
      <x:c r="M86" s="24"/>
      <x:c r="N86" s="24"/>
      <x:c r="O86" s="24"/>
      <x:c r="P86" s="24"/>
      <x:c r="Q86" s="24"/>
      <x:c r="R86" s="24"/>
      <x:c r="S86" s="24"/>
      <x:c r="T86" s="24"/>
      <x:c r="U86" s="24"/>
      <x:c r="V86" s="24"/>
      <x:c r="W86" s="24"/>
      <x:c r="X86" s="24"/>
      <x:c r="Y86" s="24"/>
      <x:c r="Z86" s="24"/>
    </x:row>
    <x:row r="87">
      <x:c r="A87" s="84" t="n">
        <x:v>2</x:v>
      </x:c>
      <x:c r="B87" s="84" t="str">
        <x:v>Swamp</x:v>
      </x:c>
      <x:c r="C87" s="84" t="str">
        <x:v>Basic Land</x:v>
      </x:c>
      <x:c r="D87" s="84" t="n">
        <x:v>0</x:v>
      </x:c>
      <x:c r="E87" s="84" t="str">
        <x:v>1. Ramp / Mana</x:v>
      </x:c>
      <x:c r="F87" s="97" t="n">
        <x:v>8</x:v>
      </x:c>
      <x:c r="G87" s="84" t="str">
        <x:v>SUPPORT</x:v>
      </x:c>
      <x:c r="H87" s="24"/>
      <x:c r="I87" s="24"/>
      <x:c r="J87" s="24"/>
      <x:c r="K87" s="24"/>
      <x:c r="L87" s="24"/>
      <x:c r="M87" s="24"/>
      <x:c r="N87" s="24"/>
      <x:c r="O87" s="24"/>
      <x:c r="P87" s="24"/>
      <x:c r="Q87" s="24"/>
      <x:c r="R87" s="24"/>
      <x:c r="S87" s="24"/>
      <x:c r="T87" s="24"/>
      <x:c r="U87" s="24"/>
      <x:c r="V87" s="24"/>
      <x:c r="W87" s="24"/>
      <x:c r="X87" s="24"/>
      <x:c r="Y87" s="24"/>
      <x:c r="Z87" s="24"/>
    </x:row>
    <x:row r="88">
      <x:c r="A88" s="84" t="n">
        <x:v>1</x:v>
      </x:c>
      <x:c r="B88" s="84" t="str">
        <x:v>Talisman of Creativity</x:v>
      </x:c>
      <x:c r="C88" s="84" t="str">
        <x:v>Artifact</x:v>
      </x:c>
      <x:c r="D88" s="84" t="n">
        <x:v>2</x:v>
      </x:c>
      <x:c r="E88" s="84" t="str">
        <x:v>1. Ramp / Mana</x:v>
      </x:c>
      <x:c r="F88" s="97" t="n">
        <x:v>8.8</x:v>
      </x:c>
      <x:c r="G88" s="84" t="str">
        <x:v>CORE</x:v>
      </x:c>
      <x:c r="H88" s="24"/>
      <x:c r="I88" s="24"/>
      <x:c r="J88" s="24"/>
      <x:c r="K88" s="24"/>
      <x:c r="L88" s="24"/>
      <x:c r="M88" s="24"/>
      <x:c r="N88" s="24"/>
      <x:c r="O88" s="24"/>
      <x:c r="P88" s="24"/>
      <x:c r="Q88" s="24"/>
      <x:c r="R88" s="24"/>
      <x:c r="S88" s="24"/>
      <x:c r="T88" s="24"/>
      <x:c r="U88" s="24"/>
      <x:c r="V88" s="24"/>
      <x:c r="W88" s="24"/>
      <x:c r="X88" s="24"/>
      <x:c r="Y88" s="24"/>
      <x:c r="Z88" s="24"/>
    </x:row>
    <x:row r="89">
      <x:c r="A89" s="84" t="n">
        <x:v>1</x:v>
      </x:c>
      <x:c r="B89" s="84" t="str">
        <x:v>Talisman of Dominance</x:v>
      </x:c>
      <x:c r="C89" s="84" t="str">
        <x:v>Artifact</x:v>
      </x:c>
      <x:c r="D89" s="84" t="n">
        <x:v>2</x:v>
      </x:c>
      <x:c r="E89" s="84" t="str">
        <x:v>1. Ramp / Mana</x:v>
      </x:c>
      <x:c r="F89" s="97" t="n">
        <x:v>8.9</x:v>
      </x:c>
      <x:c r="G89" s="84" t="str">
        <x:v>CORE</x:v>
      </x:c>
      <x:c r="H89" s="24"/>
      <x:c r="I89" s="24"/>
      <x:c r="J89" s="24"/>
      <x:c r="K89" s="24"/>
      <x:c r="L89" s="24"/>
      <x:c r="M89" s="24"/>
      <x:c r="N89" s="24"/>
      <x:c r="O89" s="24"/>
      <x:c r="P89" s="24"/>
      <x:c r="Q89" s="24"/>
      <x:c r="R89" s="24"/>
      <x:c r="S89" s="24"/>
      <x:c r="T89" s="24"/>
      <x:c r="U89" s="24"/>
      <x:c r="V89" s="24"/>
      <x:c r="W89" s="24"/>
      <x:c r="X89" s="24"/>
      <x:c r="Y89" s="24"/>
      <x:c r="Z89" s="24"/>
    </x:row>
    <x:row r="90">
      <x:c r="A90" s="84" t="n">
        <x:v>1</x:v>
      </x:c>
      <x:c r="B90" s="84" t="str">
        <x:v>Talisman of Indulgence</x:v>
      </x:c>
      <x:c r="C90" s="84" t="str">
        <x:v>Artifact</x:v>
      </x:c>
      <x:c r="D90" s="84" t="n">
        <x:v>2</x:v>
      </x:c>
      <x:c r="E90" s="84" t="str">
        <x:v>1. Ramp / Mana</x:v>
      </x:c>
      <x:c r="F90" s="97" t="n">
        <x:v>8.8</x:v>
      </x:c>
      <x:c r="G90" s="84" t="str">
        <x:v>CORE</x:v>
      </x:c>
      <x:c r="H90" s="24"/>
      <x:c r="I90" s="24"/>
      <x:c r="J90" s="24"/>
      <x:c r="K90" s="24"/>
      <x:c r="L90" s="24"/>
      <x:c r="M90" s="24"/>
      <x:c r="N90" s="24"/>
      <x:c r="O90" s="24"/>
      <x:c r="P90" s="24"/>
      <x:c r="Q90" s="24"/>
      <x:c r="R90" s="24"/>
      <x:c r="S90" s="24"/>
      <x:c r="T90" s="24"/>
      <x:c r="U90" s="24"/>
      <x:c r="V90" s="24"/>
      <x:c r="W90" s="24"/>
      <x:c r="X90" s="24"/>
      <x:c r="Y90" s="24"/>
      <x:c r="Z90" s="24"/>
    </x:row>
    <x:row r="91">
      <x:c r="A91" s="84" t="n">
        <x:v>1</x:v>
      </x:c>
      <x:c r="B91" s="84" t="str">
        <x:v>Torment of Scarabs</x:v>
      </x:c>
      <x:c r="C91" s="84" t="str">
        <x:v>Enchantment — Aura Curse</x:v>
      </x:c>
      <x:c r="D91" s="84" t="n">
        <x:v>4</x:v>
      </x:c>
      <x:c r="E91" s="84" t="str">
        <x:v>4. Curses — Core</x:v>
      </x:c>
      <x:c r="F91" s="97" t="n">
        <x:v>8.4</x:v>
      </x:c>
      <x:c r="G91" s="84" t="str">
        <x:v>SUPPORT</x:v>
      </x:c>
      <x:c r="H91" s="24"/>
      <x:c r="I91" s="24"/>
      <x:c r="J91" s="24"/>
      <x:c r="K91" s="24"/>
      <x:c r="L91" s="24"/>
      <x:c r="M91" s="24"/>
      <x:c r="N91" s="24"/>
      <x:c r="O91" s="24"/>
      <x:c r="P91" s="24"/>
      <x:c r="Q91" s="24"/>
      <x:c r="R91" s="24"/>
      <x:c r="S91" s="24"/>
      <x:c r="T91" s="24"/>
      <x:c r="U91" s="24"/>
      <x:c r="V91" s="24"/>
      <x:c r="W91" s="24"/>
      <x:c r="X91" s="24"/>
      <x:c r="Y91" s="24"/>
      <x:c r="Z91" s="24"/>
    </x:row>
    <x:row r="92">
      <x:c r="A92" s="84" t="n">
        <x:v>1</x:v>
      </x:c>
      <x:c r="B92" s="84" t="str">
        <x:v>Training Center</x:v>
      </x:c>
      <x:c r="C92" s="84" t="str">
        <x:v>Land</x:v>
      </x:c>
      <x:c r="D92" s="84" t="n">
        <x:v>0</x:v>
      </x:c>
      <x:c r="E92" s="84" t="str">
        <x:v>1. Ramp / Mana</x:v>
      </x:c>
      <x:c r="F92" s="97" t="n">
        <x:v>9</x:v>
      </x:c>
      <x:c r="G92" s="84" t="str">
        <x:v>CORE</x:v>
      </x:c>
      <x:c r="H92" s="24"/>
      <x:c r="I92" s="24"/>
      <x:c r="J92" s="24"/>
      <x:c r="K92" s="24"/>
      <x:c r="L92" s="24"/>
      <x:c r="M92" s="24"/>
      <x:c r="N92" s="24"/>
      <x:c r="O92" s="24"/>
      <x:c r="P92" s="24"/>
      <x:c r="Q92" s="24"/>
      <x:c r="R92" s="24"/>
      <x:c r="S92" s="24"/>
      <x:c r="T92" s="24"/>
      <x:c r="U92" s="24"/>
      <x:c r="V92" s="24"/>
      <x:c r="W92" s="24"/>
      <x:c r="X92" s="24"/>
      <x:c r="Y92" s="24"/>
      <x:c r="Z92" s="24"/>
    </x:row>
    <x:row r="93">
      <x:c r="A93" s="84" t="n">
        <x:v>1</x:v>
      </x:c>
      <x:c r="B93" s="84" t="str">
        <x:v>Trespasser's Curse</x:v>
      </x:c>
      <x:c r="C93" s="84" t="str">
        <x:v>Enchantment — Aura Curse</x:v>
      </x:c>
      <x:c r="D93" s="84" t="n">
        <x:v>3</x:v>
      </x:c>
      <x:c r="E93" s="84" t="str">
        <x:v>4. Curses — Core</x:v>
      </x:c>
      <x:c r="F93" s="97" t="n">
        <x:v>8</x:v>
      </x:c>
      <x:c r="G93" s="84" t="str">
        <x:v>SUPPORT</x:v>
      </x:c>
      <x:c r="H93" s="24"/>
      <x:c r="I93" s="24"/>
      <x:c r="J93" s="24"/>
      <x:c r="K93" s="24"/>
      <x:c r="L93" s="24"/>
      <x:c r="M93" s="24"/>
      <x:c r="N93" s="24"/>
      <x:c r="O93" s="24"/>
      <x:c r="P93" s="24"/>
      <x:c r="Q93" s="24"/>
      <x:c r="R93" s="24"/>
      <x:c r="S93" s="24"/>
      <x:c r="T93" s="24"/>
      <x:c r="U93" s="24"/>
      <x:c r="V93" s="24"/>
      <x:c r="W93" s="24"/>
      <x:c r="X93" s="24"/>
      <x:c r="Y93" s="24"/>
      <x:c r="Z93" s="24"/>
    </x:row>
    <x:row r="94">
      <x:c r="A94" s="84" t="n">
        <x:v>1</x:v>
      </x:c>
      <x:c r="B94" s="84" t="str">
        <x:v>Underground River</x:v>
      </x:c>
      <x:c r="C94" s="84" t="str">
        <x:v>Land</x:v>
      </x:c>
      <x:c r="D94" s="84" t="n">
        <x:v>0</x:v>
      </x:c>
      <x:c r="E94" s="84" t="str">
        <x:v>1. Ramp / Mana</x:v>
      </x:c>
      <x:c r="F94" s="97" t="n">
        <x:v>8</x:v>
      </x:c>
      <x:c r="G94" s="84" t="str">
        <x:v>SUPPORT</x:v>
      </x:c>
      <x:c r="H94" s="24"/>
      <x:c r="I94" s="24"/>
      <x:c r="J94" s="24"/>
      <x:c r="K94" s="24"/>
      <x:c r="L94" s="24"/>
      <x:c r="M94" s="24"/>
      <x:c r="N94" s="24"/>
      <x:c r="O94" s="24"/>
      <x:c r="P94" s="24"/>
      <x:c r="Q94" s="24"/>
      <x:c r="R94" s="24"/>
      <x:c r="S94" s="24"/>
      <x:c r="T94" s="24"/>
      <x:c r="U94" s="24"/>
      <x:c r="V94" s="24"/>
      <x:c r="W94" s="24"/>
      <x:c r="X94" s="24"/>
      <x:c r="Y94" s="24"/>
      <x:c r="Z94" s="24"/>
    </x:row>
    <x:row r="95">
      <x:c r="A95" s="84" t="n">
        <x:v>1</x:v>
      </x:c>
      <x:c r="B95" s="84" t="str">
        <x:v>Varragoth, Bloodsky Sire</x:v>
      </x:c>
      <x:c r="C95" s="84" t="str">
        <x:v>Legendary Creature</x:v>
      </x:c>
      <x:c r="D95" s="84" t="n">
        <x:v>3</x:v>
      </x:c>
      <x:c r="E95" s="84" t="str">
        <x:v>5. Curse Engines / Enchantment Support</x:v>
      </x:c>
      <x:c r="F95" s="97" t="n">
        <x:v>7.8</x:v>
      </x:c>
      <x:c r="G95" s="84" t="str">
        <x:v>SUPPORT</x:v>
      </x:c>
      <x:c r="H95" s="24"/>
      <x:c r="I95" s="24"/>
      <x:c r="J95" s="24"/>
      <x:c r="K95" s="24"/>
      <x:c r="L95" s="24"/>
      <x:c r="M95" s="24"/>
      <x:c r="N95" s="24"/>
      <x:c r="O95" s="24"/>
      <x:c r="P95" s="24"/>
      <x:c r="Q95" s="24"/>
      <x:c r="R95" s="24"/>
      <x:c r="S95" s="24"/>
      <x:c r="T95" s="24"/>
      <x:c r="U95" s="24"/>
      <x:c r="V95" s="24"/>
      <x:c r="W95" s="24"/>
      <x:c r="X95" s="24"/>
      <x:c r="Y95" s="24"/>
      <x:c r="Z95" s="24"/>
    </x:row>
    <x:row r="96">
      <x:c r="A96" s="84" t="n">
        <x:v>1</x:v>
      </x:c>
      <x:c r="B96" s="84" t="str">
        <x:v>Watery Grave</x:v>
      </x:c>
      <x:c r="C96" s="84" t="str">
        <x:v>Land</x:v>
      </x:c>
      <x:c r="D96" s="84" t="n">
        <x:v>0</x:v>
      </x:c>
      <x:c r="E96" s="84" t="str">
        <x:v>1. Ramp / Mana</x:v>
      </x:c>
      <x:c r="F96" s="97" t="n">
        <x:v>8.9</x:v>
      </x:c>
      <x:c r="G96" s="84" t="str">
        <x:v>CORE</x:v>
      </x:c>
      <x:c r="H96" s="24"/>
      <x:c r="I96" s="24"/>
      <x:c r="J96" s="24"/>
      <x:c r="K96" s="24"/>
      <x:c r="L96" s="24"/>
      <x:c r="M96" s="24"/>
      <x:c r="N96" s="24"/>
      <x:c r="O96" s="24"/>
      <x:c r="P96" s="24"/>
      <x:c r="Q96" s="24"/>
      <x:c r="R96" s="24"/>
      <x:c r="S96" s="24"/>
      <x:c r="T96" s="24"/>
      <x:c r="U96" s="24"/>
      <x:c r="V96" s="24"/>
      <x:c r="W96" s="24"/>
      <x:c r="X96" s="24"/>
      <x:c r="Y96" s="24"/>
      <x:c r="Z96" s="24"/>
    </x:row>
    <x:row r="97">
      <x:c r="A97" s="84" t="n">
        <x:v>1</x:v>
      </x:c>
      <x:c r="B97" s="84" t="str">
        <x:v>Windfall</x:v>
      </x:c>
      <x:c r="C97" s="84" t="str">
        <x:v>Sorcery</x:v>
      </x:c>
      <x:c r="D97" s="84" t="n">
        <x:v>3</x:v>
      </x:c>
      <x:c r="E97" s="84" t="str">
        <x:v>2. Draw / Card Advantage</x:v>
      </x:c>
      <x:c r="F97" s="97" t="n">
        <x:v>8.2</x:v>
      </x:c>
      <x:c r="G97" s="84" t="str">
        <x:v>SUPPORT</x:v>
      </x:c>
      <x:c r="H97" s="24"/>
      <x:c r="I97" s="24"/>
      <x:c r="J97" s="24"/>
      <x:c r="K97" s="24"/>
      <x:c r="L97" s="24"/>
      <x:c r="M97" s="24"/>
      <x:c r="N97" s="24"/>
      <x:c r="O97" s="24"/>
      <x:c r="P97" s="24"/>
      <x:c r="Q97" s="24"/>
      <x:c r="R97" s="24"/>
      <x:c r="S97" s="24"/>
      <x:c r="T97" s="24"/>
      <x:c r="U97" s="24"/>
      <x:c r="V97" s="24"/>
      <x:c r="W97" s="24"/>
      <x:c r="X97" s="24"/>
      <x:c r="Y97" s="24"/>
      <x:c r="Z97" s="24"/>
    </x:row>
    <x:row r="98">
      <x:c r="A98" s="84" t="n">
        <x:v>1</x:v>
      </x:c>
      <x:c r="B98" s="84" t="str">
        <x:v>Xander's Lounge</x:v>
      </x:c>
      <x:c r="C98" s="84" t="str">
        <x:v>Land</x:v>
      </x:c>
      <x:c r="D98" s="84" t="n">
        <x:v>0</x:v>
      </x:c>
      <x:c r="E98" s="84" t="str">
        <x:v>1. Ramp / Mana</x:v>
      </x:c>
      <x:c r="F98" s="97" t="n">
        <x:v>8.8</x:v>
      </x:c>
      <x:c r="G98" s="84" t="str">
        <x:v>CORE</x:v>
      </x:c>
      <x:c r="H98" s="24"/>
      <x:c r="I98" s="24"/>
      <x:c r="J98" s="24"/>
      <x:c r="K98" s="24"/>
      <x:c r="L98" s="24"/>
      <x:c r="M98" s="24"/>
      <x:c r="N98" s="24"/>
      <x:c r="O98" s="24"/>
      <x:c r="P98" s="24"/>
      <x:c r="Q98" s="24"/>
      <x:c r="R98" s="24"/>
      <x:c r="S98" s="24"/>
      <x:c r="T98" s="24"/>
      <x:c r="U98" s="24"/>
      <x:c r="V98" s="24"/>
      <x:c r="W98" s="24"/>
      <x:c r="X98" s="24"/>
      <x:c r="Y98" s="24"/>
      <x:c r="Z98" s="24"/>
    </x:row>
    <x:row r="99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  <x:c r="K99" s="24"/>
      <x:c r="L99" s="24"/>
      <x:c r="M99" s="24"/>
      <x:c r="N99" s="24"/>
      <x:c r="O99" s="24"/>
      <x:c r="P99" s="24"/>
      <x:c r="Q99" s="24"/>
      <x:c r="R99" s="24"/>
      <x:c r="S99" s="24"/>
      <x:c r="T99" s="24"/>
      <x:c r="U99" s="24"/>
      <x:c r="V99" s="24"/>
      <x:c r="W99" s="24"/>
      <x:c r="X99" s="24"/>
      <x:c r="Y99" s="24"/>
      <x:c r="Z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  <x:c r="L100" s="24"/>
      <x:c r="M100" s="24"/>
      <x:c r="N100" s="24"/>
      <x:c r="O100" s="24"/>
      <x:c r="P100" s="24"/>
      <x:c r="Q100" s="24"/>
      <x:c r="R100" s="24"/>
      <x:c r="S100" s="24"/>
      <x:c r="T100" s="24"/>
      <x:c r="U100" s="24"/>
      <x:c r="V100" s="24"/>
      <x:c r="W100" s="24"/>
      <x:c r="X100" s="24"/>
      <x:c r="Y100" s="24"/>
      <x:c r="Z100" s="24"/>
    </x:row>
    <x:row r="101">
      <x:c r="A101" s="24"/>
      <x:c r="B101" s="24"/>
      <x:c r="C101" s="24"/>
      <x:c r="D101" s="24"/>
      <x:c r="E101" s="24"/>
      <x:c r="F101" s="24"/>
      <x:c r="G101" s="24"/>
      <x:c r="H101" s="24"/>
      <x:c r="I101" s="24"/>
      <x:c r="J101" s="24"/>
      <x:c r="K101" s="24"/>
      <x:c r="L101" s="24"/>
      <x:c r="M101" s="24"/>
      <x:c r="N101" s="24"/>
      <x:c r="O101" s="24"/>
      <x:c r="P101" s="24"/>
      <x:c r="Q101" s="24"/>
      <x:c r="R101" s="24"/>
      <x:c r="S101" s="24"/>
      <x:c r="T101" s="24"/>
      <x:c r="U101" s="24"/>
      <x:c r="V101" s="24"/>
      <x:c r="W101" s="24"/>
      <x:c r="X101" s="24"/>
      <x:c r="Y101" s="24"/>
      <x:c r="Z101" s="24"/>
    </x:row>
    <x:row r="102">
      <x:c r="A102" s="24"/>
      <x:c r="B102" s="24"/>
      <x:c r="C102" s="24"/>
      <x:c r="D102" s="24"/>
      <x:c r="E102" s="24"/>
      <x:c r="F102" s="24"/>
      <x:c r="G102" s="24"/>
      <x:c r="H102" s="24"/>
      <x:c r="I102" s="24"/>
      <x:c r="J102" s="24"/>
      <x:c r="K102" s="24"/>
      <x:c r="L102" s="24"/>
      <x:c r="M102" s="24"/>
      <x:c r="N102" s="24"/>
      <x:c r="O102" s="24"/>
      <x:c r="P102" s="24"/>
      <x:c r="Q102" s="24"/>
      <x:c r="R102" s="24"/>
      <x:c r="S102" s="24"/>
      <x:c r="T102" s="24"/>
      <x:c r="U102" s="24"/>
      <x:c r="V102" s="24"/>
      <x:c r="W102" s="24"/>
      <x:c r="X102" s="24"/>
      <x:c r="Y102" s="24"/>
      <x:c r="Z102" s="24"/>
    </x:row>
    <x:row r="103">
      <x:c r="A103" s="24"/>
      <x:c r="B103" s="24"/>
      <x:c r="C103" s="24"/>
      <x:c r="D103" s="24"/>
      <x:c r="E103" s="24"/>
      <x:c r="F103" s="24"/>
      <x:c r="G103" s="24"/>
      <x:c r="H103" s="24"/>
      <x:c r="I103" s="24"/>
      <x:c r="J103" s="24"/>
      <x:c r="K103" s="24"/>
      <x:c r="L103" s="24"/>
      <x:c r="M103" s="24"/>
      <x:c r="N103" s="24"/>
      <x:c r="O103" s="24"/>
      <x:c r="P103" s="24"/>
      <x:c r="Q103" s="24"/>
      <x:c r="R103" s="24"/>
      <x:c r="S103" s="24"/>
      <x:c r="T103" s="24"/>
      <x:c r="U103" s="24"/>
      <x:c r="V103" s="24"/>
      <x:c r="W103" s="24"/>
      <x:c r="X103" s="24"/>
      <x:c r="Y103" s="24"/>
      <x:c r="Z103" s="24"/>
    </x:row>
    <x:row r="104">
      <x:c r="A104" s="24"/>
      <x:c r="B104" s="24"/>
      <x:c r="C104" s="24"/>
      <x:c r="D104" s="24"/>
      <x:c r="E104" s="24"/>
      <x:c r="F104" s="24"/>
      <x:c r="G104" s="24"/>
      <x:c r="H104" s="24"/>
      <x:c r="I104" s="24"/>
      <x:c r="J104" s="24"/>
      <x:c r="K104" s="24"/>
      <x:c r="L104" s="24"/>
      <x:c r="M104" s="24"/>
      <x:c r="N104" s="24"/>
      <x:c r="O104" s="24"/>
      <x:c r="P104" s="24"/>
      <x:c r="Q104" s="24"/>
      <x:c r="R104" s="24"/>
      <x:c r="S104" s="24"/>
      <x:c r="T104" s="24"/>
      <x:c r="U104" s="24"/>
      <x:c r="V104" s="24"/>
      <x:c r="W104" s="24"/>
      <x:c r="X104" s="24"/>
      <x:c r="Y104" s="24"/>
      <x:c r="Z104" s="24"/>
    </x:row>
    <x:row r="105">
      <x:c r="A105" s="24"/>
      <x:c r="B105" s="24"/>
      <x:c r="C105" s="24"/>
      <x:c r="D105" s="24"/>
      <x:c r="E105" s="24"/>
      <x:c r="F105" s="24"/>
      <x:c r="G105" s="24"/>
      <x:c r="H105" s="24"/>
      <x:c r="I105" s="24"/>
      <x:c r="J105" s="24"/>
      <x:c r="K105" s="24"/>
      <x:c r="L105" s="24"/>
      <x:c r="M105" s="24"/>
      <x:c r="N105" s="24"/>
      <x:c r="O105" s="24"/>
      <x:c r="P105" s="24"/>
      <x:c r="Q105" s="24"/>
      <x:c r="R105" s="24"/>
      <x:c r="S105" s="24"/>
      <x:c r="T105" s="24"/>
      <x:c r="U105" s="24"/>
      <x:c r="V105" s="24"/>
      <x:c r="W105" s="24"/>
      <x:c r="X105" s="24"/>
      <x:c r="Y105" s="24"/>
      <x:c r="Z105" s="24"/>
    </x:row>
    <x:row r="106">
      <x:c r="A106" s="24"/>
      <x:c r="B106" s="24"/>
      <x:c r="C106" s="24"/>
      <x:c r="D106" s="24"/>
      <x:c r="E106" s="24"/>
      <x:c r="F106" s="24"/>
      <x:c r="G106" s="24"/>
      <x:c r="H106" s="24"/>
      <x:c r="I106" s="24"/>
      <x:c r="J106" s="24"/>
      <x:c r="K106" s="24"/>
      <x:c r="L106" s="24"/>
      <x:c r="M106" s="24"/>
      <x:c r="N106" s="24"/>
      <x:c r="O106" s="24"/>
      <x:c r="P106" s="24"/>
      <x:c r="Q106" s="24"/>
      <x:c r="R106" s="24"/>
      <x:c r="S106" s="24"/>
      <x:c r="T106" s="24"/>
      <x:c r="U106" s="24"/>
      <x:c r="V106" s="24"/>
      <x:c r="W106" s="24"/>
      <x:c r="X106" s="24"/>
      <x:c r="Y106" s="24"/>
      <x:c r="Z106" s="24"/>
    </x:row>
    <x:row r="107">
      <x:c r="A107" s="24"/>
      <x:c r="B107" s="24"/>
      <x:c r="C107" s="24"/>
      <x:c r="D107" s="24"/>
      <x:c r="E107" s="24"/>
      <x:c r="F107" s="24"/>
      <x:c r="G107" s="24"/>
      <x:c r="H107" s="24"/>
      <x:c r="I107" s="24"/>
      <x:c r="J107" s="24"/>
      <x:c r="K107" s="24"/>
      <x:c r="L107" s="24"/>
      <x:c r="M107" s="24"/>
      <x:c r="N107" s="24"/>
      <x:c r="O107" s="24"/>
      <x:c r="P107" s="24"/>
      <x:c r="Q107" s="24"/>
      <x:c r="R107" s="24"/>
      <x:c r="S107" s="24"/>
      <x:c r="T107" s="24"/>
      <x:c r="U107" s="24"/>
      <x:c r="V107" s="24"/>
      <x:c r="W107" s="24"/>
      <x:c r="X107" s="24"/>
      <x:c r="Y107" s="24"/>
      <x:c r="Z107" s="24"/>
    </x:row>
    <x:row r="108">
      <x:c r="A108" s="24"/>
      <x:c r="B108" s="24"/>
      <x:c r="C108" s="24"/>
      <x:c r="D108" s="24"/>
      <x:c r="E108" s="24"/>
      <x:c r="F108" s="24"/>
      <x:c r="G108" s="24"/>
      <x:c r="H108" s="24"/>
      <x:c r="I108" s="24"/>
      <x:c r="J108" s="24"/>
      <x:c r="K108" s="24"/>
      <x:c r="L108" s="24"/>
      <x:c r="M108" s="24"/>
      <x:c r="N108" s="24"/>
      <x:c r="O108" s="24"/>
      <x:c r="P108" s="24"/>
      <x:c r="Q108" s="24"/>
      <x:c r="R108" s="24"/>
      <x:c r="S108" s="24"/>
      <x:c r="T108" s="24"/>
      <x:c r="U108" s="24"/>
      <x:c r="V108" s="24"/>
      <x:c r="W108" s="24"/>
      <x:c r="X108" s="24"/>
      <x:c r="Y108" s="24"/>
      <x:c r="Z108" s="24"/>
    </x:row>
    <x:row r="109">
      <x:c r="A109" s="24"/>
      <x:c r="B109" s="24"/>
      <x:c r="C109" s="24"/>
      <x:c r="D109" s="24"/>
      <x:c r="E109" s="24"/>
      <x:c r="F109" s="24"/>
      <x:c r="G109" s="24"/>
      <x:c r="H109" s="24"/>
      <x:c r="I109" s="24"/>
      <x:c r="J109" s="24"/>
      <x:c r="K109" s="24"/>
      <x:c r="L109" s="24"/>
      <x:c r="M109" s="24"/>
      <x:c r="N109" s="24"/>
      <x:c r="O109" s="24"/>
      <x:c r="P109" s="24"/>
      <x:c r="Q109" s="24"/>
      <x:c r="R109" s="24"/>
      <x:c r="S109" s="24"/>
      <x:c r="T109" s="24"/>
      <x:c r="U109" s="24"/>
      <x:c r="V109" s="24"/>
      <x:c r="W109" s="24"/>
      <x:c r="X109" s="24"/>
      <x:c r="Y109" s="24"/>
      <x:c r="Z109" s="24"/>
    </x:row>
    <x:row r="110">
      <x:c r="A110" s="24"/>
      <x:c r="B110" s="24"/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/>
      <x:c r="M110" s="24"/>
      <x:c r="N110" s="24"/>
      <x:c r="O110" s="24"/>
      <x:c r="P110" s="24"/>
      <x:c r="Q110" s="24"/>
      <x:c r="R110" s="24"/>
      <x:c r="S110" s="24"/>
      <x:c r="T110" s="24"/>
      <x:c r="U110" s="24"/>
      <x:c r="V110" s="24"/>
      <x:c r="W110" s="24"/>
      <x:c r="X110" s="24"/>
      <x:c r="Y110" s="24"/>
      <x:c r="Z110" s="24"/>
    </x:row>
    <x:row r="111">
      <x:c r="A111" s="24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P111" s="24"/>
      <x:c r="Q111" s="24"/>
      <x:c r="R111" s="24"/>
      <x:c r="S111" s="24"/>
      <x:c r="T111" s="24"/>
      <x:c r="U111" s="24"/>
      <x:c r="V111" s="24"/>
      <x:c r="W111" s="24"/>
      <x:c r="X111" s="24"/>
      <x:c r="Y111" s="24"/>
      <x:c r="Z111" s="24"/>
    </x:row>
    <x:row r="112">
      <x:c r="A112" s="24"/>
      <x:c r="B112" s="24"/>
      <x:c r="C112" s="24"/>
      <x:c r="D112" s="24"/>
      <x:c r="E112" s="24"/>
      <x:c r="F112" s="24"/>
      <x:c r="G112" s="24"/>
      <x:c r="H112" s="24"/>
      <x:c r="I112" s="24"/>
      <x:c r="J112" s="24"/>
      <x:c r="K112" s="24"/>
      <x:c r="L112" s="24"/>
      <x:c r="M112" s="24"/>
      <x:c r="N112" s="24"/>
      <x:c r="O112" s="24"/>
      <x:c r="P112" s="24"/>
      <x:c r="Q112" s="24"/>
      <x:c r="R112" s="24"/>
      <x:c r="S112" s="24"/>
      <x:c r="T112" s="24"/>
      <x:c r="U112" s="24"/>
      <x:c r="V112" s="24"/>
      <x:c r="W112" s="24"/>
      <x:c r="X112" s="24"/>
      <x:c r="Y112" s="24"/>
      <x:c r="Z112" s="24"/>
    </x:row>
    <x:row r="113">
      <x:c r="A113" s="24"/>
      <x:c r="B113" s="24"/>
      <x:c r="C113" s="24"/>
      <x:c r="D113" s="24"/>
      <x:c r="E113" s="24"/>
      <x:c r="F113" s="24"/>
      <x:c r="G113" s="24"/>
      <x:c r="H113" s="24"/>
      <x:c r="I113" s="24"/>
      <x:c r="J113" s="24"/>
      <x:c r="K113" s="24"/>
      <x:c r="L113" s="24"/>
      <x:c r="M113" s="24"/>
      <x:c r="N113" s="24"/>
      <x:c r="O113" s="24"/>
      <x:c r="P113" s="24"/>
      <x:c r="Q113" s="24"/>
      <x:c r="R113" s="24"/>
      <x:c r="S113" s="24"/>
      <x:c r="T113" s="24"/>
      <x:c r="U113" s="24"/>
      <x:c r="V113" s="24"/>
      <x:c r="W113" s="24"/>
      <x:c r="X113" s="24"/>
      <x:c r="Y113" s="24"/>
      <x:c r="Z113" s="24"/>
    </x:row>
    <x:row r="114">
      <x:c r="A114" s="24"/>
      <x:c r="B114" s="24"/>
      <x:c r="C114" s="24"/>
      <x:c r="D114" s="24"/>
      <x:c r="E114" s="24"/>
      <x:c r="F114" s="24"/>
      <x:c r="G114" s="24"/>
      <x:c r="H114" s="24"/>
      <x:c r="I114" s="24"/>
      <x:c r="J114" s="24"/>
      <x:c r="K114" s="24"/>
      <x:c r="L114" s="24"/>
      <x:c r="M114" s="24"/>
      <x:c r="N114" s="24"/>
      <x:c r="O114" s="24"/>
      <x:c r="P114" s="24"/>
      <x:c r="Q114" s="24"/>
      <x:c r="R114" s="24"/>
      <x:c r="S114" s="24"/>
      <x:c r="T114" s="24"/>
      <x:c r="U114" s="24"/>
      <x:c r="V114" s="24"/>
      <x:c r="W114" s="24"/>
      <x:c r="X114" s="24"/>
      <x:c r="Y114" s="24"/>
      <x:c r="Z114" s="24"/>
    </x:row>
    <x:row r="115">
      <x:c r="A115" s="24"/>
      <x:c r="B115" s="24"/>
      <x:c r="C115" s="24"/>
      <x:c r="D115" s="24"/>
      <x:c r="E115" s="24"/>
      <x:c r="F115" s="24"/>
      <x:c r="G115" s="24"/>
      <x:c r="H115" s="24"/>
      <x:c r="I115" s="24"/>
      <x:c r="J115" s="24"/>
      <x:c r="K115" s="24"/>
      <x:c r="L115" s="24"/>
      <x:c r="M115" s="24"/>
      <x:c r="N115" s="24"/>
      <x:c r="O115" s="24"/>
      <x:c r="P115" s="24"/>
      <x:c r="Q115" s="24"/>
      <x:c r="R115" s="24"/>
      <x:c r="S115" s="24"/>
      <x:c r="T115" s="24"/>
      <x:c r="U115" s="24"/>
      <x:c r="V115" s="24"/>
      <x:c r="W115" s="24"/>
      <x:c r="X115" s="24"/>
      <x:c r="Y115" s="24"/>
      <x:c r="Z115" s="24"/>
    </x:row>
    <x:row r="116">
      <x:c r="A116" s="24"/>
      <x:c r="B116" s="24"/>
      <x:c r="C116" s="24"/>
      <x:c r="D116" s="24"/>
      <x:c r="E116" s="24"/>
      <x:c r="F116" s="24"/>
      <x:c r="G116" s="24"/>
      <x:c r="H116" s="24"/>
      <x:c r="I116" s="24"/>
      <x:c r="J116" s="24"/>
      <x:c r="K116" s="24"/>
      <x:c r="L116" s="24"/>
      <x:c r="M116" s="24"/>
      <x:c r="N116" s="24"/>
      <x:c r="O116" s="24"/>
      <x:c r="P116" s="24"/>
      <x:c r="Q116" s="24"/>
      <x:c r="R116" s="24"/>
      <x:c r="S116" s="24"/>
      <x:c r="T116" s="24"/>
      <x:c r="U116" s="24"/>
      <x:c r="V116" s="24"/>
      <x:c r="W116" s="24"/>
      <x:c r="X116" s="24"/>
      <x:c r="Y116" s="24"/>
      <x:c r="Z116" s="24"/>
    </x:row>
    <x:row r="117">
      <x:c r="A117" s="24"/>
      <x:c r="B117" s="24"/>
      <x:c r="C117" s="24"/>
      <x:c r="D117" s="24"/>
      <x:c r="E117" s="24"/>
      <x:c r="F117" s="24"/>
      <x:c r="G117" s="24"/>
      <x:c r="H117" s="24"/>
      <x:c r="I117" s="24"/>
      <x:c r="J117" s="24"/>
      <x:c r="K117" s="24"/>
      <x:c r="L117" s="24"/>
      <x:c r="M117" s="24"/>
      <x:c r="N117" s="24"/>
      <x:c r="O117" s="24"/>
      <x:c r="P117" s="24"/>
      <x:c r="Q117" s="24"/>
      <x:c r="R117" s="24"/>
      <x:c r="S117" s="24"/>
      <x:c r="T117" s="24"/>
      <x:c r="U117" s="24"/>
      <x:c r="V117" s="24"/>
      <x:c r="W117" s="24"/>
      <x:c r="X117" s="24"/>
      <x:c r="Y117" s="24"/>
      <x:c r="Z117" s="24"/>
    </x:row>
    <x:row r="118">
      <x:c r="A118" s="24"/>
      <x:c r="B118" s="24"/>
      <x:c r="C118" s="24"/>
      <x:c r="D118" s="24"/>
      <x:c r="E118" s="24"/>
      <x:c r="F118" s="24"/>
      <x:c r="G118" s="24"/>
      <x:c r="H118" s="24"/>
      <x:c r="I118" s="24"/>
      <x:c r="J118" s="24"/>
      <x:c r="K118" s="24"/>
      <x:c r="L118" s="24"/>
      <x:c r="M118" s="24"/>
      <x:c r="N118" s="24"/>
      <x:c r="O118" s="24"/>
      <x:c r="P118" s="24"/>
      <x:c r="Q118" s="24"/>
      <x:c r="R118" s="24"/>
      <x:c r="S118" s="24"/>
      <x:c r="T118" s="24"/>
      <x:c r="U118" s="24"/>
      <x:c r="V118" s="24"/>
      <x:c r="W118" s="24"/>
      <x:c r="X118" s="24"/>
      <x:c r="Y118" s="24"/>
      <x:c r="Z118" s="24"/>
    </x:row>
    <x:row r="119">
      <x:c r="A119" s="24"/>
      <x:c r="B119" s="24"/>
      <x:c r="C119" s="24"/>
      <x:c r="D119" s="24"/>
      <x:c r="E119" s="24"/>
      <x:c r="F119" s="24"/>
      <x:c r="G119" s="24"/>
      <x:c r="H119" s="24"/>
      <x:c r="I119" s="24"/>
      <x:c r="J119" s="24"/>
      <x:c r="K119" s="24"/>
      <x:c r="L119" s="24"/>
      <x:c r="M119" s="24"/>
      <x:c r="N119" s="24"/>
      <x:c r="O119" s="24"/>
      <x:c r="P119" s="24"/>
      <x:c r="Q119" s="24"/>
      <x:c r="R119" s="24"/>
      <x:c r="S119" s="24"/>
      <x:c r="T119" s="24"/>
      <x:c r="U119" s="24"/>
      <x:c r="V119" s="24"/>
      <x:c r="W119" s="24"/>
      <x:c r="X119" s="24"/>
      <x:c r="Y119" s="24"/>
      <x:c r="Z119" s="24"/>
    </x:row>
    <x:row r="120">
      <x:c r="A120" s="24"/>
      <x:c r="B120" s="24"/>
      <x:c r="C120" s="24"/>
      <x:c r="D120" s="24"/>
      <x:c r="E120" s="24"/>
      <x:c r="F120" s="24"/>
      <x:c r="G120" s="24"/>
      <x:c r="H120" s="24"/>
      <x:c r="I120" s="24"/>
      <x:c r="J120" s="24"/>
      <x:c r="K120" s="24"/>
      <x:c r="L120" s="24"/>
      <x:c r="M120" s="24"/>
      <x:c r="N120" s="24"/>
      <x:c r="O120" s="24"/>
      <x:c r="P120" s="24"/>
      <x:c r="Q120" s="24"/>
      <x:c r="R120" s="24"/>
      <x:c r="S120" s="24"/>
      <x:c r="T120" s="24"/>
      <x:c r="U120" s="24"/>
      <x:c r="V120" s="24"/>
      <x:c r="W120" s="24"/>
      <x:c r="X120" s="24"/>
      <x:c r="Y120" s="24"/>
      <x:c r="Z120" s="24"/>
    </x:row>
    <x:row r="12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  <x:c r="K121" s="24"/>
      <x:c r="L121" s="24"/>
      <x:c r="M121" s="24"/>
      <x:c r="N121" s="24"/>
      <x:c r="O121" s="24"/>
      <x:c r="P121" s="24"/>
      <x:c r="Q121" s="24"/>
      <x:c r="R121" s="24"/>
      <x:c r="S121" s="24"/>
      <x:c r="T121" s="24"/>
      <x:c r="U121" s="24"/>
      <x:c r="V121" s="24"/>
      <x:c r="W121" s="24"/>
      <x:c r="X121" s="24"/>
      <x:c r="Y121" s="24"/>
      <x:c r="Z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  <x:c r="K122" s="24"/>
      <x:c r="L122" s="24"/>
      <x:c r="M122" s="24"/>
      <x:c r="N122" s="24"/>
      <x:c r="O122" s="24"/>
      <x:c r="P122" s="24"/>
      <x:c r="Q122" s="24"/>
      <x:c r="R122" s="24"/>
      <x:c r="S122" s="24"/>
      <x:c r="T122" s="24"/>
      <x:c r="U122" s="24"/>
      <x:c r="V122" s="24"/>
      <x:c r="W122" s="24"/>
      <x:c r="X122" s="24"/>
      <x:c r="Y122" s="24"/>
      <x:c r="Z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  <x:c r="M123" s="24"/>
      <x:c r="N123" s="24"/>
      <x:c r="O123" s="24"/>
      <x:c r="P123" s="24"/>
      <x:c r="Q123" s="24"/>
      <x:c r="R123" s="24"/>
      <x:c r="S123" s="24"/>
      <x:c r="T123" s="24"/>
      <x:c r="U123" s="24"/>
      <x:c r="V123" s="24"/>
      <x:c r="W123" s="24"/>
      <x:c r="X123" s="24"/>
      <x:c r="Y123" s="24"/>
      <x:c r="Z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  <x:c r="M124" s="24"/>
      <x:c r="N124" s="24"/>
      <x:c r="O124" s="24"/>
      <x:c r="P124" s="24"/>
      <x:c r="Q124" s="24"/>
      <x:c r="R124" s="24"/>
      <x:c r="S124" s="24"/>
      <x:c r="T124" s="24"/>
      <x:c r="U124" s="24"/>
      <x:c r="V124" s="24"/>
      <x:c r="W124" s="24"/>
      <x:c r="X124" s="24"/>
      <x:c r="Y124" s="24"/>
      <x:c r="Z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  <x:c r="K125" s="24"/>
      <x:c r="L125" s="24"/>
      <x:c r="M125" s="24"/>
      <x:c r="N125" s="24"/>
      <x:c r="O125" s="24"/>
      <x:c r="P125" s="24"/>
      <x:c r="Q125" s="24"/>
      <x:c r="R125" s="24"/>
      <x:c r="S125" s="24"/>
      <x:c r="T125" s="24"/>
      <x:c r="U125" s="24"/>
      <x:c r="V125" s="24"/>
      <x:c r="W125" s="24"/>
      <x:c r="X125" s="24"/>
      <x:c r="Y125" s="24"/>
      <x:c r="Z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  <x:c r="K126" s="24"/>
      <x:c r="L126" s="24"/>
      <x:c r="M126" s="24"/>
      <x:c r="N126" s="24"/>
      <x:c r="O126" s="24"/>
      <x:c r="P126" s="24"/>
      <x:c r="Q126" s="24"/>
      <x:c r="R126" s="24"/>
      <x:c r="S126" s="24"/>
      <x:c r="T126" s="24"/>
      <x:c r="U126" s="24"/>
      <x:c r="V126" s="24"/>
      <x:c r="W126" s="24"/>
      <x:c r="X126" s="24"/>
      <x:c r="Y126" s="24"/>
      <x:c r="Z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  <x:c r="K127" s="24"/>
      <x:c r="L127" s="24"/>
      <x:c r="M127" s="24"/>
      <x:c r="N127" s="24"/>
      <x:c r="O127" s="24"/>
      <x:c r="P127" s="24"/>
      <x:c r="Q127" s="24"/>
      <x:c r="R127" s="24"/>
      <x:c r="S127" s="24"/>
      <x:c r="T127" s="24"/>
      <x:c r="U127" s="24"/>
      <x:c r="V127" s="24"/>
      <x:c r="W127" s="24"/>
      <x:c r="X127" s="24"/>
      <x:c r="Y127" s="24"/>
      <x:c r="Z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  <x:c r="K128" s="24"/>
      <x:c r="L128" s="24"/>
      <x:c r="M128" s="24"/>
      <x:c r="N128" s="24"/>
      <x:c r="O128" s="24"/>
      <x:c r="P128" s="24"/>
      <x:c r="Q128" s="24"/>
      <x:c r="R128" s="24"/>
      <x:c r="S128" s="24"/>
      <x:c r="T128" s="24"/>
      <x:c r="U128" s="24"/>
      <x:c r="V128" s="24"/>
      <x:c r="W128" s="24"/>
      <x:c r="X128" s="24"/>
      <x:c r="Y128" s="24"/>
      <x:c r="Z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  <x:c r="K129" s="24"/>
      <x:c r="L129" s="24"/>
      <x:c r="M129" s="24"/>
      <x:c r="N129" s="24"/>
      <x:c r="O129" s="24"/>
      <x:c r="P129" s="24"/>
      <x:c r="Q129" s="24"/>
      <x:c r="R129" s="24"/>
      <x:c r="S129" s="24"/>
      <x:c r="T129" s="24"/>
      <x:c r="U129" s="24"/>
      <x:c r="V129" s="24"/>
      <x:c r="W129" s="24"/>
      <x:c r="X129" s="24"/>
      <x:c r="Y129" s="24"/>
      <x:c r="Z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  <x:c r="K130" s="24"/>
      <x:c r="L130" s="24"/>
      <x:c r="M130" s="24"/>
      <x:c r="N130" s="24"/>
      <x:c r="O130" s="24"/>
      <x:c r="P130" s="24"/>
      <x:c r="Q130" s="24"/>
      <x:c r="R130" s="24"/>
      <x:c r="S130" s="24"/>
      <x:c r="T130" s="24"/>
      <x:c r="U130" s="24"/>
      <x:c r="V130" s="24"/>
      <x:c r="W130" s="24"/>
      <x:c r="X130" s="24"/>
      <x:c r="Y130" s="24"/>
      <x:c r="Z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  <x:c r="K131" s="24"/>
      <x:c r="L131" s="24"/>
      <x:c r="M131" s="24"/>
      <x:c r="N131" s="24"/>
      <x:c r="O131" s="24"/>
      <x:c r="P131" s="24"/>
      <x:c r="Q131" s="24"/>
      <x:c r="R131" s="24"/>
      <x:c r="S131" s="24"/>
      <x:c r="T131" s="24"/>
      <x:c r="U131" s="24"/>
      <x:c r="V131" s="24"/>
      <x:c r="W131" s="24"/>
      <x:c r="X131" s="24"/>
      <x:c r="Y131" s="24"/>
      <x:c r="Z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  <x:c r="K132" s="24"/>
      <x:c r="L132" s="24"/>
      <x:c r="M132" s="24"/>
      <x:c r="N132" s="24"/>
      <x:c r="O132" s="24"/>
      <x:c r="P132" s="24"/>
      <x:c r="Q132" s="24"/>
      <x:c r="R132" s="24"/>
      <x:c r="S132" s="24"/>
      <x:c r="T132" s="24"/>
      <x:c r="U132" s="24"/>
      <x:c r="V132" s="24"/>
      <x:c r="W132" s="24"/>
      <x:c r="X132" s="24"/>
      <x:c r="Y132" s="24"/>
      <x:c r="Z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  <x:c r="K133" s="24"/>
      <x:c r="L133" s="24"/>
      <x:c r="M133" s="24"/>
      <x:c r="N133" s="24"/>
      <x:c r="O133" s="24"/>
      <x:c r="P133" s="24"/>
      <x:c r="Q133" s="24"/>
      <x:c r="R133" s="24"/>
      <x:c r="S133" s="24"/>
      <x:c r="T133" s="24"/>
      <x:c r="U133" s="24"/>
      <x:c r="V133" s="24"/>
      <x:c r="W133" s="24"/>
      <x:c r="X133" s="24"/>
      <x:c r="Y133" s="24"/>
      <x:c r="Z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  <x:c r="K134" s="24"/>
      <x:c r="L134" s="24"/>
      <x:c r="M134" s="24"/>
      <x:c r="N134" s="24"/>
      <x:c r="O134" s="24"/>
      <x:c r="P134" s="24"/>
      <x:c r="Q134" s="24"/>
      <x:c r="R134" s="24"/>
      <x:c r="S134" s="24"/>
      <x:c r="T134" s="24"/>
      <x:c r="U134" s="24"/>
      <x:c r="V134" s="24"/>
      <x:c r="W134" s="24"/>
      <x:c r="X134" s="24"/>
      <x:c r="Y134" s="24"/>
      <x:c r="Z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  <x:c r="K135" s="24"/>
      <x:c r="L135" s="24"/>
      <x:c r="M135" s="24"/>
      <x:c r="N135" s="24"/>
      <x:c r="O135" s="24"/>
      <x:c r="P135" s="24"/>
      <x:c r="Q135" s="24"/>
      <x:c r="R135" s="24"/>
      <x:c r="S135" s="24"/>
      <x:c r="T135" s="24"/>
      <x:c r="U135" s="24"/>
      <x:c r="V135" s="24"/>
      <x:c r="W135" s="24"/>
      <x:c r="X135" s="24"/>
      <x:c r="Y135" s="24"/>
      <x:c r="Z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  <x:c r="K136" s="24"/>
      <x:c r="L136" s="24"/>
      <x:c r="M136" s="24"/>
      <x:c r="N136" s="24"/>
      <x:c r="O136" s="24"/>
      <x:c r="P136" s="24"/>
      <x:c r="Q136" s="24"/>
      <x:c r="R136" s="24"/>
      <x:c r="S136" s="24"/>
      <x:c r="T136" s="24"/>
      <x:c r="U136" s="24"/>
      <x:c r="V136" s="24"/>
      <x:c r="W136" s="24"/>
      <x:c r="X136" s="24"/>
      <x:c r="Y136" s="24"/>
      <x:c r="Z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  <x:c r="L137" s="24"/>
      <x:c r="M137" s="24"/>
      <x:c r="N137" s="24"/>
      <x:c r="O137" s="24"/>
      <x:c r="P137" s="24"/>
      <x:c r="Q137" s="24"/>
      <x:c r="R137" s="24"/>
      <x:c r="S137" s="24"/>
      <x:c r="T137" s="24"/>
      <x:c r="U137" s="24"/>
      <x:c r="V137" s="24"/>
      <x:c r="W137" s="24"/>
      <x:c r="X137" s="24"/>
      <x:c r="Y137" s="24"/>
      <x:c r="Z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  <x:c r="K138" s="24"/>
      <x:c r="L138" s="24"/>
      <x:c r="M138" s="24"/>
      <x:c r="N138" s="24"/>
      <x:c r="O138" s="24"/>
      <x:c r="P138" s="24"/>
      <x:c r="Q138" s="24"/>
      <x:c r="R138" s="24"/>
      <x:c r="S138" s="24"/>
      <x:c r="T138" s="24"/>
      <x:c r="U138" s="24"/>
      <x:c r="V138" s="24"/>
      <x:c r="W138" s="24"/>
      <x:c r="X138" s="24"/>
      <x:c r="Y138" s="24"/>
      <x:c r="Z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  <x:c r="K139" s="24"/>
      <x:c r="L139" s="24"/>
      <x:c r="M139" s="24"/>
      <x:c r="N139" s="24"/>
      <x:c r="O139" s="24"/>
      <x:c r="P139" s="24"/>
      <x:c r="Q139" s="24"/>
      <x:c r="R139" s="24"/>
      <x:c r="S139" s="24"/>
      <x:c r="T139" s="24"/>
      <x:c r="U139" s="24"/>
      <x:c r="V139" s="24"/>
      <x:c r="W139" s="24"/>
      <x:c r="X139" s="24"/>
      <x:c r="Y139" s="24"/>
      <x:c r="Z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  <x:c r="K140" s="24"/>
      <x:c r="L140" s="24"/>
      <x:c r="M140" s="24"/>
      <x:c r="N140" s="24"/>
      <x:c r="O140" s="24"/>
      <x:c r="P140" s="24"/>
      <x:c r="Q140" s="24"/>
      <x:c r="R140" s="24"/>
      <x:c r="S140" s="24"/>
      <x:c r="T140" s="24"/>
      <x:c r="U140" s="24"/>
      <x:c r="V140" s="24"/>
      <x:c r="W140" s="24"/>
      <x:c r="X140" s="24"/>
      <x:c r="Y140" s="24"/>
      <x:c r="Z140" s="24"/>
    </x:row>
    <x:row r="141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  <x:c r="K141" s="24"/>
      <x:c r="L141" s="24"/>
      <x:c r="M141" s="24"/>
      <x:c r="N141" s="24"/>
      <x:c r="O141" s="24"/>
      <x:c r="P141" s="24"/>
      <x:c r="Q141" s="24"/>
      <x:c r="R141" s="24"/>
      <x:c r="S141" s="24"/>
      <x:c r="T141" s="24"/>
      <x:c r="U141" s="24"/>
      <x:c r="V141" s="24"/>
      <x:c r="W141" s="24"/>
      <x:c r="X141" s="24"/>
      <x:c r="Y141" s="24"/>
      <x:c r="Z141" s="24"/>
    </x:row>
    <x:row r="142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  <x:c r="K142" s="24"/>
      <x:c r="L142" s="24"/>
      <x:c r="M142" s="24"/>
      <x:c r="N142" s="24"/>
      <x:c r="O142" s="24"/>
      <x:c r="P142" s="24"/>
      <x:c r="Q142" s="24"/>
      <x:c r="R142" s="24"/>
      <x:c r="S142" s="24"/>
      <x:c r="T142" s="24"/>
      <x:c r="U142" s="24"/>
      <x:c r="V142" s="24"/>
      <x:c r="W142" s="24"/>
      <x:c r="X142" s="24"/>
      <x:c r="Y142" s="24"/>
      <x:c r="Z142" s="24"/>
    </x:row>
    <x:row r="143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  <x:c r="K143" s="24"/>
      <x:c r="L143" s="24"/>
      <x:c r="M143" s="24"/>
      <x:c r="N143" s="24"/>
      <x:c r="O143" s="24"/>
      <x:c r="P143" s="24"/>
      <x:c r="Q143" s="24"/>
      <x:c r="R143" s="24"/>
      <x:c r="S143" s="24"/>
      <x:c r="T143" s="24"/>
      <x:c r="U143" s="24"/>
      <x:c r="V143" s="24"/>
      <x:c r="W143" s="24"/>
      <x:c r="X143" s="24"/>
      <x:c r="Y143" s="24"/>
      <x:c r="Z143" s="24"/>
    </x:row>
    <x:row r="144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  <x:c r="K144" s="24"/>
      <x:c r="L144" s="24"/>
      <x:c r="M144" s="24"/>
      <x:c r="N144" s="24"/>
      <x:c r="O144" s="24"/>
      <x:c r="P144" s="24"/>
      <x:c r="Q144" s="24"/>
      <x:c r="R144" s="24"/>
      <x:c r="S144" s="24"/>
      <x:c r="T144" s="24"/>
      <x:c r="U144" s="24"/>
      <x:c r="V144" s="24"/>
      <x:c r="W144" s="24"/>
      <x:c r="X144" s="24"/>
      <x:c r="Y144" s="24"/>
      <x:c r="Z144" s="24"/>
    </x:row>
    <x:row r="145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  <x:c r="K145" s="24"/>
      <x:c r="L145" s="24"/>
      <x:c r="M145" s="24"/>
      <x:c r="N145" s="24"/>
      <x:c r="O145" s="24"/>
      <x:c r="P145" s="24"/>
      <x:c r="Q145" s="24"/>
      <x:c r="R145" s="24"/>
      <x:c r="S145" s="24"/>
      <x:c r="T145" s="24"/>
      <x:c r="U145" s="24"/>
      <x:c r="V145" s="24"/>
      <x:c r="W145" s="24"/>
      <x:c r="X145" s="24"/>
      <x:c r="Y145" s="24"/>
      <x:c r="Z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  <x:c r="K146" s="24"/>
      <x:c r="L146" s="24"/>
      <x:c r="M146" s="24"/>
      <x:c r="N146" s="24"/>
      <x:c r="O146" s="24"/>
      <x:c r="P146" s="24"/>
      <x:c r="Q146" s="24"/>
      <x:c r="R146" s="24"/>
      <x:c r="S146" s="24"/>
      <x:c r="T146" s="24"/>
      <x:c r="U146" s="24"/>
      <x:c r="V146" s="24"/>
      <x:c r="W146" s="24"/>
      <x:c r="X146" s="24"/>
      <x:c r="Y146" s="24"/>
      <x:c r="Z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  <x:c r="K147" s="24"/>
      <x:c r="L147" s="24"/>
      <x:c r="M147" s="24"/>
      <x:c r="N147" s="24"/>
      <x:c r="O147" s="24"/>
      <x:c r="P147" s="24"/>
      <x:c r="Q147" s="24"/>
      <x:c r="R147" s="24"/>
      <x:c r="S147" s="24"/>
      <x:c r="T147" s="24"/>
      <x:c r="U147" s="24"/>
      <x:c r="V147" s="24"/>
      <x:c r="W147" s="24"/>
      <x:c r="X147" s="24"/>
      <x:c r="Y147" s="24"/>
      <x:c r="Z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  <x:c r="K148" s="24"/>
      <x:c r="L148" s="24"/>
      <x:c r="M148" s="24"/>
      <x:c r="N148" s="24"/>
      <x:c r="O148" s="24"/>
      <x:c r="P148" s="24"/>
      <x:c r="Q148" s="24"/>
      <x:c r="R148" s="24"/>
      <x:c r="S148" s="24"/>
      <x:c r="T148" s="24"/>
      <x:c r="U148" s="24"/>
      <x:c r="V148" s="24"/>
      <x:c r="W148" s="24"/>
      <x:c r="X148" s="24"/>
      <x:c r="Y148" s="24"/>
      <x:c r="Z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  <x:c r="K149" s="24"/>
      <x:c r="L149" s="24"/>
      <x:c r="M149" s="24"/>
      <x:c r="N149" s="24"/>
      <x:c r="O149" s="24"/>
      <x:c r="P149" s="24"/>
      <x:c r="Q149" s="24"/>
      <x:c r="R149" s="24"/>
      <x:c r="S149" s="24"/>
      <x:c r="T149" s="24"/>
      <x:c r="U149" s="24"/>
      <x:c r="V149" s="24"/>
      <x:c r="W149" s="24"/>
      <x:c r="X149" s="24"/>
      <x:c r="Y149" s="24"/>
      <x:c r="Z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  <x:c r="L150" s="24"/>
      <x:c r="M150" s="24"/>
      <x:c r="N150" s="24"/>
      <x:c r="O150" s="24"/>
      <x:c r="P150" s="24"/>
      <x:c r="Q150" s="24"/>
      <x:c r="R150" s="24"/>
      <x:c r="S150" s="24"/>
      <x:c r="T150" s="24"/>
      <x:c r="U150" s="24"/>
      <x:c r="V150" s="24"/>
      <x:c r="W150" s="24"/>
      <x:c r="X150" s="24"/>
      <x:c r="Y150" s="24"/>
      <x:c r="Z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  <x:c r="K151" s="24"/>
      <x:c r="L151" s="24"/>
      <x:c r="M151" s="24"/>
      <x:c r="N151" s="24"/>
      <x:c r="O151" s="24"/>
      <x:c r="P151" s="24"/>
      <x:c r="Q151" s="24"/>
      <x:c r="R151" s="24"/>
      <x:c r="S151" s="24"/>
      <x:c r="T151" s="24"/>
      <x:c r="U151" s="24"/>
      <x:c r="V151" s="24"/>
      <x:c r="W151" s="24"/>
      <x:c r="X151" s="24"/>
      <x:c r="Y151" s="24"/>
      <x:c r="Z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  <x:c r="K152" s="24"/>
      <x:c r="L152" s="24"/>
      <x:c r="M152" s="24"/>
      <x:c r="N152" s="24"/>
      <x:c r="O152" s="24"/>
      <x:c r="P152" s="24"/>
      <x:c r="Q152" s="24"/>
      <x:c r="R152" s="24"/>
      <x:c r="S152" s="24"/>
      <x:c r="T152" s="24"/>
      <x:c r="U152" s="24"/>
      <x:c r="V152" s="24"/>
      <x:c r="W152" s="24"/>
      <x:c r="X152" s="24"/>
      <x:c r="Y152" s="24"/>
      <x:c r="Z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  <x:c r="K153" s="24"/>
      <x:c r="L153" s="24"/>
      <x:c r="M153" s="24"/>
      <x:c r="N153" s="24"/>
      <x:c r="O153" s="24"/>
      <x:c r="P153" s="24"/>
      <x:c r="Q153" s="24"/>
      <x:c r="R153" s="24"/>
      <x:c r="S153" s="24"/>
      <x:c r="T153" s="24"/>
      <x:c r="U153" s="24"/>
      <x:c r="V153" s="24"/>
      <x:c r="W153" s="24"/>
      <x:c r="X153" s="24"/>
      <x:c r="Y153" s="24"/>
      <x:c r="Z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  <x:c r="K154" s="24"/>
      <x:c r="L154" s="24"/>
      <x:c r="M154" s="24"/>
      <x:c r="N154" s="24"/>
      <x:c r="O154" s="24"/>
      <x:c r="P154" s="24"/>
      <x:c r="Q154" s="24"/>
      <x:c r="R154" s="24"/>
      <x:c r="S154" s="24"/>
      <x:c r="T154" s="24"/>
      <x:c r="U154" s="24"/>
      <x:c r="V154" s="24"/>
      <x:c r="W154" s="24"/>
      <x:c r="X154" s="24"/>
      <x:c r="Y154" s="24"/>
      <x:c r="Z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  <x:c r="K155" s="24"/>
      <x:c r="L155" s="24"/>
      <x:c r="M155" s="24"/>
      <x:c r="N155" s="24"/>
      <x:c r="O155" s="24"/>
      <x:c r="P155" s="24"/>
      <x:c r="Q155" s="24"/>
      <x:c r="R155" s="24"/>
      <x:c r="S155" s="24"/>
      <x:c r="T155" s="24"/>
      <x:c r="U155" s="24"/>
      <x:c r="V155" s="24"/>
      <x:c r="W155" s="24"/>
      <x:c r="X155" s="24"/>
      <x:c r="Y155" s="24"/>
      <x:c r="Z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  <x:c r="K156" s="24"/>
      <x:c r="L156" s="24"/>
      <x:c r="M156" s="24"/>
      <x:c r="N156" s="24"/>
      <x:c r="O156" s="24"/>
      <x:c r="P156" s="24"/>
      <x:c r="Q156" s="24"/>
      <x:c r="R156" s="24"/>
      <x:c r="S156" s="24"/>
      <x:c r="T156" s="24"/>
      <x:c r="U156" s="24"/>
      <x:c r="V156" s="24"/>
      <x:c r="W156" s="24"/>
      <x:c r="X156" s="24"/>
      <x:c r="Y156" s="24"/>
      <x:c r="Z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  <x:c r="K157" s="24"/>
      <x:c r="L157" s="24"/>
      <x:c r="M157" s="24"/>
      <x:c r="N157" s="24"/>
      <x:c r="O157" s="24"/>
      <x:c r="P157" s="24"/>
      <x:c r="Q157" s="24"/>
      <x:c r="R157" s="24"/>
      <x:c r="S157" s="24"/>
      <x:c r="T157" s="24"/>
      <x:c r="U157" s="24"/>
      <x:c r="V157" s="24"/>
      <x:c r="W157" s="24"/>
      <x:c r="X157" s="24"/>
      <x:c r="Y157" s="24"/>
      <x:c r="Z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  <x:c r="K158" s="24"/>
      <x:c r="L158" s="24"/>
      <x:c r="M158" s="24"/>
      <x:c r="N158" s="24"/>
      <x:c r="O158" s="24"/>
      <x:c r="P158" s="24"/>
      <x:c r="Q158" s="24"/>
      <x:c r="R158" s="24"/>
      <x:c r="S158" s="24"/>
      <x:c r="T158" s="24"/>
      <x:c r="U158" s="24"/>
      <x:c r="V158" s="24"/>
      <x:c r="W158" s="24"/>
      <x:c r="X158" s="24"/>
      <x:c r="Y158" s="24"/>
      <x:c r="Z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  <x:c r="K159" s="24"/>
      <x:c r="L159" s="24"/>
      <x:c r="M159" s="24"/>
      <x:c r="N159" s="24"/>
      <x:c r="O159" s="24"/>
      <x:c r="P159" s="24"/>
      <x:c r="Q159" s="24"/>
      <x:c r="R159" s="24"/>
      <x:c r="S159" s="24"/>
      <x:c r="T159" s="24"/>
      <x:c r="U159" s="24"/>
      <x:c r="V159" s="24"/>
      <x:c r="W159" s="24"/>
      <x:c r="X159" s="24"/>
      <x:c r="Y159" s="24"/>
      <x:c r="Z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  <x:c r="K160" s="24"/>
      <x:c r="L160" s="24"/>
      <x:c r="M160" s="24"/>
      <x:c r="N160" s="24"/>
      <x:c r="O160" s="24"/>
      <x:c r="P160" s="24"/>
      <x:c r="Q160" s="24"/>
      <x:c r="R160" s="24"/>
      <x:c r="S160" s="24"/>
      <x:c r="T160" s="24"/>
      <x:c r="U160" s="24"/>
      <x:c r="V160" s="24"/>
      <x:c r="W160" s="24"/>
      <x:c r="X160" s="24"/>
      <x:c r="Y160" s="24"/>
      <x:c r="Z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  <x:c r="K161" s="24"/>
      <x:c r="L161" s="24"/>
      <x:c r="M161" s="24"/>
      <x:c r="N161" s="24"/>
      <x:c r="O161" s="24"/>
      <x:c r="P161" s="24"/>
      <x:c r="Q161" s="24"/>
      <x:c r="R161" s="24"/>
      <x:c r="S161" s="24"/>
      <x:c r="T161" s="24"/>
      <x:c r="U161" s="24"/>
      <x:c r="V161" s="24"/>
      <x:c r="W161" s="24"/>
      <x:c r="X161" s="24"/>
      <x:c r="Y161" s="24"/>
      <x:c r="Z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  <x:c r="K162" s="24"/>
      <x:c r="L162" s="24"/>
      <x:c r="M162" s="24"/>
      <x:c r="N162" s="24"/>
      <x:c r="O162" s="24"/>
      <x:c r="P162" s="24"/>
      <x:c r="Q162" s="24"/>
      <x:c r="R162" s="24"/>
      <x:c r="S162" s="24"/>
      <x:c r="T162" s="24"/>
      <x:c r="U162" s="24"/>
      <x:c r="V162" s="24"/>
      <x:c r="W162" s="24"/>
      <x:c r="X162" s="24"/>
      <x:c r="Y162" s="24"/>
      <x:c r="Z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  <x:c r="K163" s="24"/>
      <x:c r="L163" s="24"/>
      <x:c r="M163" s="24"/>
      <x:c r="N163" s="24"/>
      <x:c r="O163" s="24"/>
      <x:c r="P163" s="24"/>
      <x:c r="Q163" s="24"/>
      <x:c r="R163" s="24"/>
      <x:c r="S163" s="24"/>
      <x:c r="T163" s="24"/>
      <x:c r="U163" s="24"/>
      <x:c r="V163" s="24"/>
      <x:c r="W163" s="24"/>
      <x:c r="X163" s="24"/>
      <x:c r="Y163" s="24"/>
      <x:c r="Z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  <x:c r="K164" s="24"/>
      <x:c r="L164" s="24"/>
      <x:c r="M164" s="24"/>
      <x:c r="N164" s="24"/>
      <x:c r="O164" s="24"/>
      <x:c r="P164" s="24"/>
      <x:c r="Q164" s="24"/>
      <x:c r="R164" s="24"/>
      <x:c r="S164" s="24"/>
      <x:c r="T164" s="24"/>
      <x:c r="U164" s="24"/>
      <x:c r="V164" s="24"/>
      <x:c r="W164" s="24"/>
      <x:c r="X164" s="24"/>
      <x:c r="Y164" s="24"/>
      <x:c r="Z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  <x:c r="K165" s="24"/>
      <x:c r="L165" s="24"/>
      <x:c r="M165" s="24"/>
      <x:c r="N165" s="24"/>
      <x:c r="O165" s="24"/>
      <x:c r="P165" s="24"/>
      <x:c r="Q165" s="24"/>
      <x:c r="R165" s="24"/>
      <x:c r="S165" s="24"/>
      <x:c r="T165" s="24"/>
      <x:c r="U165" s="24"/>
      <x:c r="V165" s="24"/>
      <x:c r="W165" s="24"/>
      <x:c r="X165" s="24"/>
      <x:c r="Y165" s="24"/>
      <x:c r="Z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  <x:c r="K166" s="24"/>
      <x:c r="L166" s="24"/>
      <x:c r="M166" s="24"/>
      <x:c r="N166" s="24"/>
      <x:c r="O166" s="24"/>
      <x:c r="P166" s="24"/>
      <x:c r="Q166" s="24"/>
      <x:c r="R166" s="24"/>
      <x:c r="S166" s="24"/>
      <x:c r="T166" s="24"/>
      <x:c r="U166" s="24"/>
      <x:c r="V166" s="24"/>
      <x:c r="W166" s="24"/>
      <x:c r="X166" s="24"/>
      <x:c r="Y166" s="24"/>
      <x:c r="Z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  <x:c r="K167" s="24"/>
      <x:c r="L167" s="24"/>
      <x:c r="M167" s="24"/>
      <x:c r="N167" s="24"/>
      <x:c r="O167" s="24"/>
      <x:c r="P167" s="24"/>
      <x:c r="Q167" s="24"/>
      <x:c r="R167" s="24"/>
      <x:c r="S167" s="24"/>
      <x:c r="T167" s="24"/>
      <x:c r="U167" s="24"/>
      <x:c r="V167" s="24"/>
      <x:c r="W167" s="24"/>
      <x:c r="X167" s="24"/>
      <x:c r="Y167" s="24"/>
      <x:c r="Z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  <x:c r="K168" s="24"/>
      <x:c r="L168" s="24"/>
      <x:c r="M168" s="24"/>
      <x:c r="N168" s="24"/>
      <x:c r="O168" s="24"/>
      <x:c r="P168" s="24"/>
      <x:c r="Q168" s="24"/>
      <x:c r="R168" s="24"/>
      <x:c r="S168" s="24"/>
      <x:c r="T168" s="24"/>
      <x:c r="U168" s="24"/>
      <x:c r="V168" s="24"/>
      <x:c r="W168" s="24"/>
      <x:c r="X168" s="24"/>
      <x:c r="Y168" s="24"/>
      <x:c r="Z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  <x:c r="K169" s="24"/>
      <x:c r="L169" s="24"/>
      <x:c r="M169" s="24"/>
      <x:c r="N169" s="24"/>
      <x:c r="O169" s="24"/>
      <x:c r="P169" s="24"/>
      <x:c r="Q169" s="24"/>
      <x:c r="R169" s="24"/>
      <x:c r="S169" s="24"/>
      <x:c r="T169" s="24"/>
      <x:c r="U169" s="24"/>
      <x:c r="V169" s="24"/>
      <x:c r="W169" s="24"/>
      <x:c r="X169" s="24"/>
      <x:c r="Y169" s="24"/>
      <x:c r="Z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  <x:c r="K170" s="24"/>
      <x:c r="L170" s="24"/>
      <x:c r="M170" s="24"/>
      <x:c r="N170" s="24"/>
      <x:c r="O170" s="24"/>
      <x:c r="P170" s="24"/>
      <x:c r="Q170" s="24"/>
      <x:c r="R170" s="24"/>
      <x:c r="S170" s="24"/>
      <x:c r="T170" s="24"/>
      <x:c r="U170" s="24"/>
      <x:c r="V170" s="24"/>
      <x:c r="W170" s="24"/>
      <x:c r="X170" s="24"/>
      <x:c r="Y170" s="24"/>
      <x:c r="Z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  <x:c r="K171" s="24"/>
      <x:c r="L171" s="24"/>
      <x:c r="M171" s="24"/>
      <x:c r="N171" s="24"/>
      <x:c r="O171" s="24"/>
      <x:c r="P171" s="24"/>
      <x:c r="Q171" s="24"/>
      <x:c r="R171" s="24"/>
      <x:c r="S171" s="24"/>
      <x:c r="T171" s="24"/>
      <x:c r="U171" s="24"/>
      <x:c r="V171" s="24"/>
      <x:c r="W171" s="24"/>
      <x:c r="X171" s="24"/>
      <x:c r="Y171" s="24"/>
      <x:c r="Z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  <x:c r="K172" s="24"/>
      <x:c r="L172" s="24"/>
      <x:c r="M172" s="24"/>
      <x:c r="N172" s="24"/>
      <x:c r="O172" s="24"/>
      <x:c r="P172" s="24"/>
      <x:c r="Q172" s="24"/>
      <x:c r="R172" s="24"/>
      <x:c r="S172" s="24"/>
      <x:c r="T172" s="24"/>
      <x:c r="U172" s="24"/>
      <x:c r="V172" s="24"/>
      <x:c r="W172" s="24"/>
      <x:c r="X172" s="24"/>
      <x:c r="Y172" s="24"/>
      <x:c r="Z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  <x:c r="K173" s="24"/>
      <x:c r="L173" s="24"/>
      <x:c r="M173" s="24"/>
      <x:c r="N173" s="24"/>
      <x:c r="O173" s="24"/>
      <x:c r="P173" s="24"/>
      <x:c r="Q173" s="24"/>
      <x:c r="R173" s="24"/>
      <x:c r="S173" s="24"/>
      <x:c r="T173" s="24"/>
      <x:c r="U173" s="24"/>
      <x:c r="V173" s="24"/>
      <x:c r="W173" s="24"/>
      <x:c r="X173" s="24"/>
      <x:c r="Y173" s="24"/>
      <x:c r="Z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  <x:c r="K174" s="24"/>
      <x:c r="L174" s="24"/>
      <x:c r="M174" s="24"/>
      <x:c r="N174" s="24"/>
      <x:c r="O174" s="24"/>
      <x:c r="P174" s="24"/>
      <x:c r="Q174" s="24"/>
      <x:c r="R174" s="24"/>
      <x:c r="S174" s="24"/>
      <x:c r="T174" s="24"/>
      <x:c r="U174" s="24"/>
      <x:c r="V174" s="24"/>
      <x:c r="W174" s="24"/>
      <x:c r="X174" s="24"/>
      <x:c r="Y174" s="24"/>
      <x:c r="Z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  <x:c r="K175" s="24"/>
      <x:c r="L175" s="24"/>
      <x:c r="M175" s="24"/>
      <x:c r="N175" s="24"/>
      <x:c r="O175" s="24"/>
      <x:c r="P175" s="24"/>
      <x:c r="Q175" s="24"/>
      <x:c r="R175" s="24"/>
      <x:c r="S175" s="24"/>
      <x:c r="T175" s="24"/>
      <x:c r="U175" s="24"/>
      <x:c r="V175" s="24"/>
      <x:c r="W175" s="24"/>
      <x:c r="X175" s="24"/>
      <x:c r="Y175" s="24"/>
      <x:c r="Z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  <x:c r="K176" s="24"/>
      <x:c r="L176" s="24"/>
      <x:c r="M176" s="24"/>
      <x:c r="N176" s="24"/>
      <x:c r="O176" s="24"/>
      <x:c r="P176" s="24"/>
      <x:c r="Q176" s="24"/>
      <x:c r="R176" s="24"/>
      <x:c r="S176" s="24"/>
      <x:c r="T176" s="24"/>
      <x:c r="U176" s="24"/>
      <x:c r="V176" s="24"/>
      <x:c r="W176" s="24"/>
      <x:c r="X176" s="24"/>
      <x:c r="Y176" s="24"/>
      <x:c r="Z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  <x:c r="K177" s="24"/>
      <x:c r="L177" s="24"/>
      <x:c r="M177" s="24"/>
      <x:c r="N177" s="24"/>
      <x:c r="O177" s="24"/>
      <x:c r="P177" s="24"/>
      <x:c r="Q177" s="24"/>
      <x:c r="R177" s="24"/>
      <x:c r="S177" s="24"/>
      <x:c r="T177" s="24"/>
      <x:c r="U177" s="24"/>
      <x:c r="V177" s="24"/>
      <x:c r="W177" s="24"/>
      <x:c r="X177" s="24"/>
      <x:c r="Y177" s="24"/>
      <x:c r="Z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  <x:c r="K178" s="24"/>
      <x:c r="L178" s="24"/>
      <x:c r="M178" s="24"/>
      <x:c r="N178" s="24"/>
      <x:c r="O178" s="24"/>
      <x:c r="P178" s="24"/>
      <x:c r="Q178" s="24"/>
      <x:c r="R178" s="24"/>
      <x:c r="S178" s="24"/>
      <x:c r="T178" s="24"/>
      <x:c r="U178" s="24"/>
      <x:c r="V178" s="24"/>
      <x:c r="W178" s="24"/>
      <x:c r="X178" s="24"/>
      <x:c r="Y178" s="24"/>
      <x:c r="Z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  <x:c r="K179" s="24"/>
      <x:c r="L179" s="24"/>
      <x:c r="M179" s="24"/>
      <x:c r="N179" s="24"/>
      <x:c r="O179" s="24"/>
      <x:c r="P179" s="24"/>
      <x:c r="Q179" s="24"/>
      <x:c r="R179" s="24"/>
      <x:c r="S179" s="24"/>
      <x:c r="T179" s="24"/>
      <x:c r="U179" s="24"/>
      <x:c r="V179" s="24"/>
      <x:c r="W179" s="24"/>
      <x:c r="X179" s="24"/>
      <x:c r="Y179" s="24"/>
      <x:c r="Z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  <x:c r="K180" s="24"/>
      <x:c r="L180" s="24"/>
      <x:c r="M180" s="24"/>
      <x:c r="N180" s="24"/>
      <x:c r="O180" s="24"/>
      <x:c r="P180" s="24"/>
      <x:c r="Q180" s="24"/>
      <x:c r="R180" s="24"/>
      <x:c r="S180" s="24"/>
      <x:c r="T180" s="24"/>
      <x:c r="U180" s="24"/>
      <x:c r="V180" s="24"/>
      <x:c r="W180" s="24"/>
      <x:c r="X180" s="24"/>
      <x:c r="Y180" s="24"/>
      <x:c r="Z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  <x:c r="K181" s="24"/>
      <x:c r="L181" s="24"/>
      <x:c r="M181" s="24"/>
      <x:c r="N181" s="24"/>
      <x:c r="O181" s="24"/>
      <x:c r="P181" s="24"/>
      <x:c r="Q181" s="24"/>
      <x:c r="R181" s="24"/>
      <x:c r="S181" s="24"/>
      <x:c r="T181" s="24"/>
      <x:c r="U181" s="24"/>
      <x:c r="V181" s="24"/>
      <x:c r="W181" s="24"/>
      <x:c r="X181" s="24"/>
      <x:c r="Y181" s="24"/>
      <x:c r="Z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  <x:c r="K182" s="24"/>
      <x:c r="L182" s="24"/>
      <x:c r="M182" s="24"/>
      <x:c r="N182" s="24"/>
      <x:c r="O182" s="24"/>
      <x:c r="P182" s="24"/>
      <x:c r="Q182" s="24"/>
      <x:c r="R182" s="24"/>
      <x:c r="S182" s="24"/>
      <x:c r="T182" s="24"/>
      <x:c r="U182" s="24"/>
      <x:c r="V182" s="24"/>
      <x:c r="W182" s="24"/>
      <x:c r="X182" s="24"/>
      <x:c r="Y182" s="24"/>
      <x:c r="Z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  <x:c r="K183" s="24"/>
      <x:c r="L183" s="24"/>
      <x:c r="M183" s="24"/>
      <x:c r="N183" s="24"/>
      <x:c r="O183" s="24"/>
      <x:c r="P183" s="24"/>
      <x:c r="Q183" s="24"/>
      <x:c r="R183" s="24"/>
      <x:c r="S183" s="24"/>
      <x:c r="T183" s="24"/>
      <x:c r="U183" s="24"/>
      <x:c r="V183" s="24"/>
      <x:c r="W183" s="24"/>
      <x:c r="X183" s="24"/>
      <x:c r="Y183" s="24"/>
      <x:c r="Z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  <x:c r="K184" s="24"/>
      <x:c r="L184" s="24"/>
      <x:c r="M184" s="24"/>
      <x:c r="N184" s="24"/>
      <x:c r="O184" s="24"/>
      <x:c r="P184" s="24"/>
      <x:c r="Q184" s="24"/>
      <x:c r="R184" s="24"/>
      <x:c r="S184" s="24"/>
      <x:c r="T184" s="24"/>
      <x:c r="U184" s="24"/>
      <x:c r="V184" s="24"/>
      <x:c r="W184" s="24"/>
      <x:c r="X184" s="24"/>
      <x:c r="Y184" s="24"/>
      <x:c r="Z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  <x:c r="K185" s="24"/>
      <x:c r="L185" s="24"/>
      <x:c r="M185" s="24"/>
      <x:c r="N185" s="24"/>
      <x:c r="O185" s="24"/>
      <x:c r="P185" s="24"/>
      <x:c r="Q185" s="24"/>
      <x:c r="R185" s="24"/>
      <x:c r="S185" s="24"/>
      <x:c r="T185" s="24"/>
      <x:c r="U185" s="24"/>
      <x:c r="V185" s="24"/>
      <x:c r="W185" s="24"/>
      <x:c r="X185" s="24"/>
      <x:c r="Y185" s="24"/>
      <x:c r="Z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  <x:c r="K186" s="24"/>
      <x:c r="L186" s="24"/>
      <x:c r="M186" s="24"/>
      <x:c r="N186" s="24"/>
      <x:c r="O186" s="24"/>
      <x:c r="P186" s="24"/>
      <x:c r="Q186" s="24"/>
      <x:c r="R186" s="24"/>
      <x:c r="S186" s="24"/>
      <x:c r="T186" s="24"/>
      <x:c r="U186" s="24"/>
      <x:c r="V186" s="24"/>
      <x:c r="W186" s="24"/>
      <x:c r="X186" s="24"/>
      <x:c r="Y186" s="24"/>
      <x:c r="Z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  <x:c r="K187" s="24"/>
      <x:c r="L187" s="24"/>
      <x:c r="M187" s="24"/>
      <x:c r="N187" s="24"/>
      <x:c r="O187" s="24"/>
      <x:c r="P187" s="24"/>
      <x:c r="Q187" s="24"/>
      <x:c r="R187" s="24"/>
      <x:c r="S187" s="24"/>
      <x:c r="T187" s="24"/>
      <x:c r="U187" s="24"/>
      <x:c r="V187" s="24"/>
      <x:c r="W187" s="24"/>
      <x:c r="X187" s="24"/>
      <x:c r="Y187" s="24"/>
      <x:c r="Z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  <x:c r="K188" s="24"/>
      <x:c r="L188" s="24"/>
      <x:c r="M188" s="24"/>
      <x:c r="N188" s="24"/>
      <x:c r="O188" s="24"/>
      <x:c r="P188" s="24"/>
      <x:c r="Q188" s="24"/>
      <x:c r="R188" s="24"/>
      <x:c r="S188" s="24"/>
      <x:c r="T188" s="24"/>
      <x:c r="U188" s="24"/>
      <x:c r="V188" s="24"/>
      <x:c r="W188" s="24"/>
      <x:c r="X188" s="24"/>
      <x:c r="Y188" s="24"/>
      <x:c r="Z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  <x:c r="K189" s="24"/>
      <x:c r="L189" s="24"/>
      <x:c r="M189" s="24"/>
      <x:c r="N189" s="24"/>
      <x:c r="O189" s="24"/>
      <x:c r="P189" s="24"/>
      <x:c r="Q189" s="24"/>
      <x:c r="R189" s="24"/>
      <x:c r="S189" s="24"/>
      <x:c r="T189" s="24"/>
      <x:c r="U189" s="24"/>
      <x:c r="V189" s="24"/>
      <x:c r="W189" s="24"/>
      <x:c r="X189" s="24"/>
      <x:c r="Y189" s="24"/>
      <x:c r="Z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  <x:c r="K190" s="24"/>
      <x:c r="L190" s="24"/>
      <x:c r="M190" s="24"/>
      <x:c r="N190" s="24"/>
      <x:c r="O190" s="24"/>
      <x:c r="P190" s="24"/>
      <x:c r="Q190" s="24"/>
      <x:c r="R190" s="24"/>
      <x:c r="S190" s="24"/>
      <x:c r="T190" s="24"/>
      <x:c r="U190" s="24"/>
      <x:c r="V190" s="24"/>
      <x:c r="W190" s="24"/>
      <x:c r="X190" s="24"/>
      <x:c r="Y190" s="24"/>
      <x:c r="Z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  <x:c r="K191" s="24"/>
      <x:c r="L191" s="24"/>
      <x:c r="M191" s="24"/>
      <x:c r="N191" s="24"/>
      <x:c r="O191" s="24"/>
      <x:c r="P191" s="24"/>
      <x:c r="Q191" s="24"/>
      <x:c r="R191" s="24"/>
      <x:c r="S191" s="24"/>
      <x:c r="T191" s="24"/>
      <x:c r="U191" s="24"/>
      <x:c r="V191" s="24"/>
      <x:c r="W191" s="24"/>
      <x:c r="X191" s="24"/>
      <x:c r="Y191" s="24"/>
      <x:c r="Z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  <x:c r="K192" s="24"/>
      <x:c r="L192" s="24"/>
      <x:c r="M192" s="24"/>
      <x:c r="N192" s="24"/>
      <x:c r="O192" s="24"/>
      <x:c r="P192" s="24"/>
      <x:c r="Q192" s="24"/>
      <x:c r="R192" s="24"/>
      <x:c r="S192" s="24"/>
      <x:c r="T192" s="24"/>
      <x:c r="U192" s="24"/>
      <x:c r="V192" s="24"/>
      <x:c r="W192" s="24"/>
      <x:c r="X192" s="24"/>
      <x:c r="Y192" s="24"/>
      <x:c r="Z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  <x:c r="K193" s="24"/>
      <x:c r="L193" s="24"/>
      <x:c r="M193" s="24"/>
      <x:c r="N193" s="24"/>
      <x:c r="O193" s="24"/>
      <x:c r="P193" s="24"/>
      <x:c r="Q193" s="24"/>
      <x:c r="R193" s="24"/>
      <x:c r="S193" s="24"/>
      <x:c r="T193" s="24"/>
      <x:c r="U193" s="24"/>
      <x:c r="V193" s="24"/>
      <x:c r="W193" s="24"/>
      <x:c r="X193" s="24"/>
      <x:c r="Y193" s="24"/>
      <x:c r="Z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  <x:c r="K194" s="24"/>
      <x:c r="L194" s="24"/>
      <x:c r="M194" s="24"/>
      <x:c r="N194" s="24"/>
      <x:c r="O194" s="24"/>
      <x:c r="P194" s="24"/>
      <x:c r="Q194" s="24"/>
      <x:c r="R194" s="24"/>
      <x:c r="S194" s="24"/>
      <x:c r="T194" s="24"/>
      <x:c r="U194" s="24"/>
      <x:c r="V194" s="24"/>
      <x:c r="W194" s="24"/>
      <x:c r="X194" s="24"/>
      <x:c r="Y194" s="24"/>
      <x:c r="Z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  <x:c r="K195" s="24"/>
      <x:c r="L195" s="24"/>
      <x:c r="M195" s="24"/>
      <x:c r="N195" s="24"/>
      <x:c r="O195" s="24"/>
      <x:c r="P195" s="24"/>
      <x:c r="Q195" s="24"/>
      <x:c r="R195" s="24"/>
      <x:c r="S195" s="24"/>
      <x:c r="T195" s="24"/>
      <x:c r="U195" s="24"/>
      <x:c r="V195" s="24"/>
      <x:c r="W195" s="24"/>
      <x:c r="X195" s="24"/>
      <x:c r="Y195" s="24"/>
      <x:c r="Z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  <x:c r="K196" s="24"/>
      <x:c r="L196" s="24"/>
      <x:c r="M196" s="24"/>
      <x:c r="N196" s="24"/>
      <x:c r="O196" s="24"/>
      <x:c r="P196" s="24"/>
      <x:c r="Q196" s="24"/>
      <x:c r="R196" s="24"/>
      <x:c r="S196" s="24"/>
      <x:c r="T196" s="24"/>
      <x:c r="U196" s="24"/>
      <x:c r="V196" s="24"/>
      <x:c r="W196" s="24"/>
      <x:c r="X196" s="24"/>
      <x:c r="Y196" s="24"/>
      <x:c r="Z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  <x:c r="K197" s="24"/>
      <x:c r="L197" s="24"/>
      <x:c r="M197" s="24"/>
      <x:c r="N197" s="24"/>
      <x:c r="O197" s="24"/>
      <x:c r="P197" s="24"/>
      <x:c r="Q197" s="24"/>
      <x:c r="R197" s="24"/>
      <x:c r="S197" s="24"/>
      <x:c r="T197" s="24"/>
      <x:c r="U197" s="24"/>
      <x:c r="V197" s="24"/>
      <x:c r="W197" s="24"/>
      <x:c r="X197" s="24"/>
      <x:c r="Y197" s="24"/>
      <x:c r="Z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  <x:c r="K198" s="24"/>
      <x:c r="L198" s="24"/>
      <x:c r="M198" s="24"/>
      <x:c r="N198" s="24"/>
      <x:c r="O198" s="24"/>
      <x:c r="P198" s="24"/>
      <x:c r="Q198" s="24"/>
      <x:c r="R198" s="24"/>
      <x:c r="S198" s="24"/>
      <x:c r="T198" s="24"/>
      <x:c r="U198" s="24"/>
      <x:c r="V198" s="24"/>
      <x:c r="W198" s="24"/>
      <x:c r="X198" s="24"/>
      <x:c r="Y198" s="24"/>
      <x:c r="Z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  <x:c r="K199" s="24"/>
      <x:c r="L199" s="24"/>
      <x:c r="M199" s="24"/>
      <x:c r="N199" s="24"/>
      <x:c r="O199" s="24"/>
      <x:c r="P199" s="24"/>
      <x:c r="Q199" s="24"/>
      <x:c r="R199" s="24"/>
      <x:c r="S199" s="24"/>
      <x:c r="T199" s="24"/>
      <x:c r="U199" s="24"/>
      <x:c r="V199" s="24"/>
      <x:c r="W199" s="24"/>
      <x:c r="X199" s="24"/>
      <x:c r="Y199" s="24"/>
      <x:c r="Z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  <x:c r="K200" s="24"/>
      <x:c r="L200" s="24"/>
      <x:c r="M200" s="24"/>
      <x:c r="N200" s="24"/>
      <x:c r="O200" s="24"/>
      <x:c r="P200" s="24"/>
      <x:c r="Q200" s="24"/>
      <x:c r="R200" s="24"/>
      <x:c r="S200" s="24"/>
      <x:c r="T200" s="24"/>
      <x:c r="U200" s="24"/>
      <x:c r="V200" s="24"/>
      <x:c r="W200" s="24"/>
      <x:c r="X200" s="24"/>
      <x:c r="Y200" s="24"/>
      <x:c r="Z200" s="24"/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f9c3767f143a4859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60" hidden="0" customWidth="1"/>
    <x:col min="3" max="3" width="28" hidden="0" customWidth="1"/>
    <x:col min="4" max="4" width="16" hidden="0" customWidth="1"/>
    <x:col min="5" max="5" width="64" hidden="0" customWidth="1"/>
  </x:cols>
  <x:sheetData>
    <x:row r="1">
      <x:c r="A1" s="22" t="str">
        <x:v>SOURCES — PURPOSE &amp; VERIFICATION</x:v>
      </x:c>
      <x:c r="B1" s="22"/>
      <x:c r="C1" s="22"/>
      <x:c r="D1" s="22"/>
      <x:c r="E1" s="22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>
      <x:c r="A2" s="24"/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  <x:c r="R2" s="24"/>
      <x:c r="S2" s="24"/>
      <x:c r="T2" s="24"/>
      <x:c r="U2" s="24"/>
      <x:c r="V2" s="24"/>
      <x:c r="W2" s="24"/>
      <x:c r="X2" s="24"/>
      <x:c r="Y2" s="24"/>
      <x:c r="Z2" s="24"/>
    </x:row>
    <x:row r="3">
      <x:c r="A3" s="25" t="str">
        <x:v>Source</x:v>
      </x:c>
      <x:c r="B3" s="25" t="str">
        <x:v>URL</x:v>
      </x:c>
      <x:c r="C3" s="25" t="str">
        <x:v>Use</x:v>
      </x:c>
      <x:c r="D3" s="25" t="str">
        <x:v>Verification</x:v>
      </x:c>
      <x:c r="E3" s="25" t="str">
        <x:v>Notes</x:v>
      </x:c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  <x:c r="Q3" s="24"/>
      <x:c r="R3" s="24"/>
      <x:c r="S3" s="24"/>
      <x:c r="T3" s="24"/>
      <x:c r="U3" s="24"/>
      <x:c r="V3" s="24"/>
      <x:c r="W3" s="24"/>
      <x:c r="X3" s="24"/>
      <x:c r="Y3" s="24"/>
      <x:c r="Z3" s="24"/>
    </x:row>
    <x:row r="4">
      <x:c r="A4" s="84" t="str">
        <x:v>User-provided Handover Master</x:v>
      </x:c>
      <x:c r="B4" s="84" t="str">
        <x:v>file:///mnt/data/Handover_Master_Commander_ANALISE_OTIMIZACAO_v2.0(1).md</x:v>
      </x:c>
      <x:c r="C4" s="84" t="str">
        <x:v>Framework</x:v>
      </x:c>
      <x:c r="D4" s="84" t="str">
        <x:v>2026-10-08</x:v>
      </x:c>
      <x:c r="E4" s="84" t="str">
        <x:v>Local project framework; governs Current/Projected/Tested separation and role-fit methodology.</x:v>
      </x:c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4"/>
      <x:c r="Z4" s="24"/>
    </x:row>
    <x:row r="5">
      <x:c r="A5" s="84" t="str">
        <x:v>User-provided Original Decklist</x:v>
      </x:c>
      <x:c r="B5" s="84" t="str">
        <x:v>Conversation input</x:v>
      </x:c>
      <x:c r="C5" s="84" t="str">
        <x:v>Current list</x:v>
      </x:c>
      <x:c r="D5" s="84" t="str">
        <x:v>2026-10-08</x:v>
      </x:c>
      <x:c r="E5" s="84" t="str">
        <x:v>Original 100-card list used as the immutable baseline.</x:v>
      </x:c>
      <x:c r="F5" s="24"/>
      <x:c r="G5" s="24"/>
      <x:c r="H5" s="24"/>
      <x:c r="I5" s="24"/>
      <x:c r="J5" s="24"/>
      <x:c r="K5" s="24"/>
      <x:c r="L5" s="24"/>
      <x:c r="M5" s="24"/>
      <x:c r="N5" s="24"/>
      <x:c r="O5" s="24"/>
      <x:c r="P5" s="24"/>
      <x:c r="Q5" s="24"/>
      <x:c r="R5" s="24"/>
      <x:c r="S5" s="24"/>
      <x:c r="T5" s="24"/>
      <x:c r="U5" s="24"/>
      <x:c r="V5" s="24"/>
      <x:c r="W5" s="24"/>
      <x:c r="X5" s="24"/>
      <x:c r="Y5" s="24"/>
      <x:c r="Z5" s="24"/>
    </x:row>
    <x:row r="6">
      <x:c r="A6" s="84" t="str">
        <x:v>EDH.Wiki — Lynde</x:v>
      </x:c>
      <x:c r="B6" s="84" t="str">
        <x:v>https://edh.wiki/commanders/lynde-cheerful-tormentor/</x:v>
      </x:c>
      <x:c r="C6" s="84" t="str">
        <x:v>Commander strategy / theme</x:v>
      </x:c>
      <x:c r="D6" s="84" t="str">
        <x:v>2026-10-08</x:v>
      </x:c>
      <x:c r="E6" s="84" t="str">
        <x:v>Supports the slow attrition/Curses framing.</x:v>
      </x:c>
      <x:c r="F6" s="24"/>
      <x:c r="G6" s="24"/>
      <x:c r="H6" s="24"/>
      <x:c r="I6" s="24"/>
      <x:c r="J6" s="24"/>
      <x:c r="K6" s="24"/>
      <x:c r="L6" s="24"/>
      <x:c r="M6" s="24"/>
      <x:c r="N6" s="24"/>
      <x:c r="O6" s="24"/>
      <x:c r="P6" s="24"/>
      <x:c r="Q6" s="24"/>
      <x:c r="R6" s="24"/>
      <x:c r="S6" s="24"/>
      <x:c r="T6" s="24"/>
      <x:c r="U6" s="24"/>
      <x:c r="V6" s="24"/>
      <x:c r="W6" s="24"/>
      <x:c r="X6" s="24"/>
      <x:c r="Y6" s="24"/>
      <x:c r="Z6" s="24"/>
    </x:row>
    <x:row r="7">
      <x:c r="A7" s="84" t="str">
        <x:v>EDH.Wiki — Lynde Curses</x:v>
      </x:c>
      <x:c r="B7" s="84" t="str">
        <x:v>https://edh.wiki/commanders/lynde-cheerful-tormentor/curses/</x:v>
      </x:c>
      <x:c r="C7" s="84" t="str">
        <x:v>Theme/card patterns</x:v>
      </x:c>
      <x:c r="D7" s="84" t="str">
        <x:v>2026-10-08</x:v>
      </x:c>
      <x:c r="E7" s="84" t="str">
        <x:v>User-supplied target page; used as theme benchmark.</x:v>
      </x:c>
      <x:c r="F7" s="24"/>
      <x:c r="G7" s="24"/>
      <x:c r="H7" s="24"/>
      <x:c r="I7" s="24"/>
      <x:c r="J7" s="24"/>
      <x:c r="K7" s="24"/>
      <x:c r="L7" s="24"/>
      <x:c r="M7" s="24"/>
      <x:c r="N7" s="24"/>
      <x:c r="O7" s="24"/>
      <x:c r="P7" s="24"/>
      <x:c r="Q7" s="24"/>
      <x:c r="R7" s="24"/>
      <x:c r="S7" s="24"/>
      <x:c r="T7" s="24"/>
      <x:c r="U7" s="24"/>
      <x:c r="V7" s="24"/>
      <x:c r="W7" s="24"/>
      <x:c r="X7" s="24"/>
      <x:c r="Y7" s="24"/>
      <x:c r="Z7" s="24"/>
    </x:row>
    <x:row r="8">
      <x:c r="A8" s="84" t="str">
        <x:v>EDHREC — Lynde Curses</x:v>
      </x:c>
      <x:c r="B8" s="84" t="str">
        <x:v>https://edhrec.com/commanders/lynde-cheerful-tormentor/curses</x:v>
      </x:c>
      <x:c r="C8" s="84" t="str">
        <x:v>Community build patterns</x:v>
      </x:c>
      <x:c r="D8" s="84" t="str">
        <x:v>2026-10-08</x:v>
      </x:c>
      <x:c r="E8" s="84" t="str">
        <x:v>Used to cross-check Curses, Bitterheart Witch, Entity Tracker, Doomwake Giant, Grim Guardian, Mirrormade and Paradox Haze.</x:v>
      </x:c>
      <x:c r="F8" s="24"/>
      <x:c r="G8" s="24"/>
      <x:c r="H8" s="24"/>
      <x:c r="I8" s="24"/>
      <x:c r="J8" s="24"/>
      <x:c r="K8" s="24"/>
      <x:c r="L8" s="24"/>
      <x:c r="M8" s="24"/>
      <x:c r="N8" s="24"/>
      <x:c r="O8" s="24"/>
      <x:c r="P8" s="24"/>
      <x:c r="Q8" s="24"/>
      <x:c r="R8" s="24"/>
      <x:c r="S8" s="24"/>
      <x:c r="T8" s="24"/>
      <x:c r="U8" s="24"/>
      <x:c r="V8" s="24"/>
      <x:c r="W8" s="24"/>
      <x:c r="X8" s="24"/>
      <x:c r="Y8" s="24"/>
      <x:c r="Z8" s="24"/>
    </x:row>
    <x:row r="9">
      <x:c r="A9" s="84" t="str">
        <x:v>EDHREC — Core Curses</x:v>
      </x:c>
      <x:c r="B9" s="84" t="str">
        <x:v>https://edhrec.com/commanders/lynde-cheerful-tormentor/core/curses</x:v>
      </x:c>
      <x:c r="C9" s="84" t="str">
        <x:v>High-synergy/core patterns</x:v>
      </x:c>
      <x:c r="D9" s="84" t="str">
        <x:v>2026-10-08</x:v>
      </x:c>
      <x:c r="E9" s="84" t="str">
        <x:v>Supports prioritizing Curse-specific engines.</x:v>
      </x:c>
      <x:c r="F9" s="24"/>
      <x:c r="G9" s="24"/>
      <x:c r="H9" s="24"/>
      <x:c r="I9" s="24"/>
      <x:c r="J9" s="24"/>
      <x:c r="K9" s="24"/>
      <x:c r="L9" s="24"/>
      <x:c r="M9" s="24"/>
      <x:c r="N9" s="24"/>
      <x:c r="O9" s="24"/>
      <x:c r="P9" s="24"/>
      <x:c r="Q9" s="24"/>
      <x:c r="R9" s="24"/>
      <x:c r="S9" s="24"/>
      <x:c r="T9" s="24"/>
      <x:c r="U9" s="24"/>
      <x:c r="V9" s="24"/>
      <x:c r="W9" s="24"/>
      <x:c r="X9" s="24"/>
      <x:c r="Y9" s="24"/>
      <x:c r="Z9" s="24"/>
    </x:row>
    <x:row r="10">
      <x:c r="A10" s="84" t="str">
        <x:v>Wizards — Innistrad: Midnight Hunt Release Notes</x:v>
      </x:c>
      <x:c r="B10" s="84" t="str">
        <x:v>https://magic.wizards.com/en/news/feature/innistrad-midnight-hunt-release-notes</x:v>
      </x:c>
      <x:c r="C10" s="84" t="str">
        <x:v>Rules / Oracle interpretation</x:v>
      </x:c>
      <x:c r="D10" s="84" t="str">
        <x:v>2026-10-08</x:v>
      </x:c>
      <x:c r="E10" s="84" t="str">
        <x:v>Official Lynde rules text and relevant rulings.</x:v>
      </x:c>
      <x:c r="F10" s="24"/>
      <x:c r="G10" s="24"/>
      <x:c r="H10" s="24"/>
      <x:c r="I10" s="24"/>
      <x:c r="J10" s="24"/>
      <x:c r="K10" s="24"/>
      <x:c r="L10" s="24"/>
      <x:c r="M10" s="24"/>
      <x:c r="N10" s="24"/>
      <x:c r="O10" s="24"/>
      <x:c r="P10" s="24"/>
      <x:c r="Q10" s="24"/>
      <x:c r="R10" s="24"/>
      <x:c r="S10" s="24"/>
      <x:c r="T10" s="24"/>
      <x:c r="U10" s="24"/>
      <x:c r="V10" s="24"/>
      <x:c r="W10" s="24"/>
      <x:c r="X10" s="24"/>
      <x:c r="Y10" s="24"/>
      <x:c r="Z10" s="24"/>
    </x:row>
    <x:row r="11">
      <x:c r="A11" s="84" t="str">
        <x:v>Wizards — Commander Format</x:v>
      </x:c>
      <x:c r="B11" s="84" t="str">
        <x:v>https://magic.wizards.com/en/formats/commander</x:v>
      </x:c>
      <x:c r="C11" s="84" t="str">
        <x:v>Current format / brackets</x:v>
      </x:c>
      <x:c r="D11" s="84" t="str">
        <x:v>2026-10-08</x:v>
      </x:c>
      <x:c r="E11" s="84" t="str">
        <x:v>100-card size, 99+1 construction and bracket overview.</x:v>
      </x:c>
      <x:c r="F11" s="24"/>
      <x:c r="G11" s="24"/>
      <x:c r="H11" s="24"/>
      <x:c r="I11" s="24"/>
      <x:c r="J11" s="24"/>
      <x:c r="K11" s="24"/>
      <x:c r="L11" s="24"/>
      <x:c r="M11" s="24"/>
      <x:c r="N11" s="24"/>
      <x:c r="O11" s="24"/>
      <x:c r="P11" s="24"/>
      <x:c r="Q11" s="24"/>
      <x:c r="R11" s="24"/>
      <x:c r="S11" s="24"/>
      <x:c r="T11" s="24"/>
      <x:c r="U11" s="24"/>
      <x:c r="V11" s="24"/>
      <x:c r="W11" s="24"/>
      <x:c r="X11" s="24"/>
      <x:c r="Y11" s="24"/>
      <x:c r="Z11" s="24"/>
    </x:row>
    <x:row r="12">
      <x:c r="A12" s="84" t="str">
        <x:v>Wizards — Commander Brackets Beta Update Feb 2026</x:v>
      </x:c>
      <x:c r="B12" s="84" t="str">
        <x:v>https://magic.wizards.com/en/news/announcements/commander-brackets-beta-update-february-9-2026</x:v>
      </x:c>
      <x:c r="C12" s="84" t="str">
        <x:v>Bracket status</x:v>
      </x:c>
      <x:c r="D12" s="84" t="str">
        <x:v>2026-10-08</x:v>
      </x:c>
      <x:c r="E12" s="84" t="str">
        <x:v>Current 2026 bracket framework remains in beta; Bracket 3 is Upgraded.</x:v>
      </x:c>
      <x:c r="F12" s="24"/>
      <x:c r="G12" s="24"/>
      <x:c r="H12" s="24"/>
      <x:c r="I12" s="24"/>
      <x:c r="J12" s="24"/>
      <x:c r="K12" s="24"/>
      <x:c r="L12" s="24"/>
      <x:c r="M12" s="24"/>
      <x:c r="N12" s="24"/>
      <x:c r="O12" s="24"/>
      <x:c r="P12" s="24"/>
      <x:c r="Q12" s="24"/>
      <x:c r="R12" s="24"/>
      <x:c r="S12" s="24"/>
      <x:c r="T12" s="24"/>
      <x:c r="U12" s="24"/>
      <x:c r="V12" s="24"/>
      <x:c r="W12" s="24"/>
      <x:c r="X12" s="24"/>
      <x:c r="Y12" s="24"/>
      <x:c r="Z12" s="24"/>
    </x:row>
    <x:row r="13">
      <x:c r="A13" s="84" t="str">
        <x:v>Manaplane — Curse of Fool's Wisdom</x:v>
      </x:c>
      <x:c r="B13" s="84" t="str">
        <x:v>https://manaplane.com/cards/15863/</x:v>
      </x:c>
      <x:c r="C13" s="84" t="str">
        <x:v>Mana value / Oracle cross-check</x:v>
      </x:c>
      <x:c r="D13" s="84" t="str">
        <x:v>2026-10-08</x:v>
      </x:c>
      <x:c r="E13" s="84" t="str">
        <x:v>Confirms MV 6 and card text.</x:v>
      </x:c>
      <x:c r="F13" s="24"/>
      <x:c r="G13" s="24"/>
      <x:c r="H13" s="24"/>
      <x:c r="I13" s="24"/>
      <x:c r="J13" s="24"/>
      <x:c r="K13" s="24"/>
      <x:c r="L13" s="24"/>
      <x:c r="M13" s="24"/>
      <x:c r="N13" s="24"/>
      <x:c r="O13" s="24"/>
      <x:c r="P13" s="24"/>
      <x:c r="Q13" s="24"/>
      <x:c r="R13" s="24"/>
      <x:c r="S13" s="24"/>
      <x:c r="T13" s="24"/>
      <x:c r="U13" s="24"/>
      <x:c r="V13" s="24"/>
      <x:c r="W13" s="24"/>
      <x:c r="X13" s="24"/>
      <x:c r="Y13" s="24"/>
      <x:c r="Z13" s="24"/>
    </x:row>
    <x:row r="14">
      <x:c r="A14" s="84" t="str">
        <x:v>MTG Database — Curse of Surveillance</x:v>
      </x:c>
      <x:c r="B14" s="84" t="str">
        <x:v>https://www.mtgdatabase.com/en/archive/697-Innistrad-Midnight-Hunt</x:v>
      </x:c>
      <x:c r="C14" s="84" t="str">
        <x:v>Mana value / text cross-check</x:v>
      </x:c>
      <x:c r="D14" s="84" t="str">
        <x:v>2026-10-08</x:v>
      </x:c>
      <x:c r="E14" s="84" t="str">
        <x:v>Confirms MV 5.</x:v>
      </x:c>
      <x:c r="F14" s="24"/>
      <x:c r="G14" s="24"/>
      <x:c r="H14" s="24"/>
      <x:c r="I14" s="24"/>
      <x:c r="J14" s="24"/>
      <x:c r="K14" s="24"/>
      <x:c r="L14" s="24"/>
      <x:c r="M14" s="24"/>
      <x:c r="N14" s="24"/>
      <x:c r="O14" s="24"/>
      <x:c r="P14" s="24"/>
      <x:c r="Q14" s="24"/>
      <x:c r="R14" s="24"/>
      <x:c r="S14" s="24"/>
      <x:c r="T14" s="24"/>
      <x:c r="U14" s="24"/>
      <x:c r="V14" s="24"/>
      <x:c r="W14" s="24"/>
      <x:c r="X14" s="24"/>
      <x:c r="Y14" s="24"/>
      <x:c r="Z14" s="24"/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  <x:c r="K15" s="24"/>
      <x:c r="L15" s="24"/>
      <x:c r="M15" s="24"/>
      <x:c r="N15" s="24"/>
      <x:c r="O15" s="24"/>
      <x:c r="P15" s="24"/>
      <x:c r="Q15" s="24"/>
      <x:c r="R15" s="24"/>
      <x:c r="S15" s="24"/>
      <x:c r="T15" s="24"/>
      <x:c r="U15" s="24"/>
      <x:c r="V15" s="24"/>
      <x:c r="W15" s="24"/>
      <x:c r="X15" s="24"/>
      <x:c r="Y15" s="24"/>
      <x:c r="Z15" s="24"/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  <x:c r="K16" s="24"/>
      <x:c r="L16" s="24"/>
      <x:c r="M16" s="24"/>
      <x:c r="N16" s="24"/>
      <x:c r="O16" s="24"/>
      <x:c r="P16" s="24"/>
      <x:c r="Q16" s="24"/>
      <x:c r="R16" s="24"/>
      <x:c r="S16" s="24"/>
      <x:c r="T16" s="24"/>
      <x:c r="U16" s="24"/>
      <x:c r="V16" s="24"/>
      <x:c r="W16" s="24"/>
      <x:c r="X16" s="24"/>
      <x:c r="Y16" s="24"/>
      <x:c r="Z16" s="24"/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  <x:c r="K17" s="24"/>
      <x:c r="L17" s="24"/>
      <x:c r="M17" s="24"/>
      <x:c r="N17" s="24"/>
      <x:c r="O17" s="24"/>
      <x:c r="P17" s="24"/>
      <x:c r="Q17" s="24"/>
      <x:c r="R17" s="24"/>
      <x:c r="S17" s="24"/>
      <x:c r="T17" s="24"/>
      <x:c r="U17" s="24"/>
      <x:c r="V17" s="24"/>
      <x:c r="W17" s="24"/>
      <x:c r="X17" s="24"/>
      <x:c r="Y17" s="24"/>
      <x:c r="Z17" s="24"/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  <x:c r="L18" s="24"/>
      <x:c r="M18" s="24"/>
      <x:c r="N18" s="24"/>
      <x:c r="O18" s="24"/>
      <x:c r="P18" s="24"/>
      <x:c r="Q18" s="24"/>
      <x:c r="R18" s="24"/>
      <x:c r="S18" s="24"/>
      <x:c r="T18" s="24"/>
      <x:c r="U18" s="24"/>
      <x:c r="V18" s="24"/>
      <x:c r="W18" s="24"/>
      <x:c r="X18" s="24"/>
      <x:c r="Y18" s="24"/>
      <x:c r="Z18" s="24"/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  <x:c r="L19" s="24"/>
      <x:c r="M19" s="24"/>
      <x:c r="N19" s="24"/>
      <x:c r="O19" s="24"/>
      <x:c r="P19" s="24"/>
      <x:c r="Q19" s="24"/>
      <x:c r="R19" s="24"/>
      <x:c r="S19" s="24"/>
      <x:c r="T19" s="24"/>
      <x:c r="U19" s="24"/>
      <x:c r="V19" s="24"/>
      <x:c r="W19" s="24"/>
      <x:c r="X19" s="24"/>
      <x:c r="Y19" s="24"/>
      <x:c r="Z19" s="24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  <x:c r="L20" s="24"/>
      <x:c r="M20" s="24"/>
      <x:c r="N20" s="24"/>
      <x:c r="O20" s="24"/>
      <x:c r="P20" s="24"/>
      <x:c r="Q20" s="24"/>
      <x:c r="R20" s="24"/>
      <x:c r="S20" s="24"/>
      <x:c r="T20" s="24"/>
      <x:c r="U20" s="24"/>
      <x:c r="V20" s="24"/>
      <x:c r="W20" s="24"/>
      <x:c r="X20" s="24"/>
      <x:c r="Y20" s="24"/>
      <x:c r="Z20" s="24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  <x:c r="K21" s="24"/>
      <x:c r="L21" s="24"/>
      <x:c r="M21" s="24"/>
      <x:c r="N21" s="24"/>
      <x:c r="O21" s="24"/>
      <x:c r="P21" s="24"/>
      <x:c r="Q21" s="24"/>
      <x:c r="R21" s="24"/>
      <x:c r="S21" s="24"/>
      <x:c r="T21" s="24"/>
      <x:c r="U21" s="24"/>
      <x:c r="V21" s="24"/>
      <x:c r="W21" s="24"/>
      <x:c r="X21" s="24"/>
      <x:c r="Y21" s="24"/>
      <x:c r="Z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  <x:c r="L22" s="24"/>
      <x:c r="M22" s="24"/>
      <x:c r="N22" s="24"/>
      <x:c r="O22" s="24"/>
      <x:c r="P22" s="24"/>
      <x:c r="Q22" s="24"/>
      <x:c r="R22" s="24"/>
      <x:c r="S22" s="24"/>
      <x:c r="T22" s="24"/>
      <x:c r="U22" s="24"/>
      <x:c r="V22" s="24"/>
      <x:c r="W22" s="24"/>
      <x:c r="X22" s="24"/>
      <x:c r="Y22" s="24"/>
      <x:c r="Z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  <x:c r="L23" s="24"/>
      <x:c r="M23" s="24"/>
      <x:c r="N23" s="24"/>
      <x:c r="O23" s="24"/>
      <x:c r="P23" s="24"/>
      <x:c r="Q23" s="24"/>
      <x:c r="R23" s="24"/>
      <x:c r="S23" s="24"/>
      <x:c r="T23" s="24"/>
      <x:c r="U23" s="24"/>
      <x:c r="V23" s="24"/>
      <x:c r="W23" s="24"/>
      <x:c r="X23" s="24"/>
      <x:c r="Y23" s="24"/>
      <x:c r="Z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  <x:c r="L24" s="24"/>
      <x:c r="M24" s="24"/>
      <x:c r="N24" s="24"/>
      <x:c r="O24" s="24"/>
      <x:c r="P24" s="24"/>
      <x:c r="Q24" s="24"/>
      <x:c r="R24" s="24"/>
      <x:c r="S24" s="24"/>
      <x:c r="T24" s="24"/>
      <x:c r="U24" s="24"/>
      <x:c r="V24" s="24"/>
      <x:c r="W24" s="24"/>
      <x:c r="X24" s="24"/>
      <x:c r="Y24" s="24"/>
      <x:c r="Z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  <x:c r="K25" s="24"/>
      <x:c r="L25" s="24"/>
      <x:c r="M25" s="24"/>
      <x:c r="N25" s="24"/>
      <x:c r="O25" s="24"/>
      <x:c r="P25" s="24"/>
      <x:c r="Q25" s="24"/>
      <x:c r="R25" s="24"/>
      <x:c r="S25" s="24"/>
      <x:c r="T25" s="24"/>
      <x:c r="U25" s="24"/>
      <x:c r="V25" s="24"/>
      <x:c r="W25" s="24"/>
      <x:c r="X25" s="24"/>
      <x:c r="Y25" s="24"/>
      <x:c r="Z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  <x:c r="L26" s="24"/>
      <x:c r="M26" s="24"/>
      <x:c r="N26" s="24"/>
      <x:c r="O26" s="24"/>
      <x:c r="P26" s="24"/>
      <x:c r="Q26" s="24"/>
      <x:c r="R26" s="24"/>
      <x:c r="S26" s="24"/>
      <x:c r="T26" s="24"/>
      <x:c r="U26" s="24"/>
      <x:c r="V26" s="24"/>
      <x:c r="W26" s="24"/>
      <x:c r="X26" s="24"/>
      <x:c r="Y26" s="24"/>
      <x:c r="Z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  <x:c r="K27" s="24"/>
      <x:c r="L27" s="24"/>
      <x:c r="M27" s="24"/>
      <x:c r="N27" s="24"/>
      <x:c r="O27" s="24"/>
      <x:c r="P27" s="24"/>
      <x:c r="Q27" s="24"/>
      <x:c r="R27" s="24"/>
      <x:c r="S27" s="24"/>
      <x:c r="T27" s="24"/>
      <x:c r="U27" s="24"/>
      <x:c r="V27" s="24"/>
      <x:c r="W27" s="24"/>
      <x:c r="X27" s="24"/>
      <x:c r="Y27" s="24"/>
      <x:c r="Z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  <x:c r="K28" s="24"/>
      <x:c r="L28" s="24"/>
      <x:c r="M28" s="24"/>
      <x:c r="N28" s="24"/>
      <x:c r="O28" s="24"/>
      <x:c r="P28" s="24"/>
      <x:c r="Q28" s="24"/>
      <x:c r="R28" s="24"/>
      <x:c r="S28" s="24"/>
      <x:c r="T28" s="24"/>
      <x:c r="U28" s="24"/>
      <x:c r="V28" s="24"/>
      <x:c r="W28" s="24"/>
      <x:c r="X28" s="24"/>
      <x:c r="Y28" s="24"/>
      <x:c r="Z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  <x:c r="K29" s="24"/>
      <x:c r="L29" s="24"/>
      <x:c r="M29" s="24"/>
      <x:c r="N29" s="24"/>
      <x:c r="O29" s="24"/>
      <x:c r="P29" s="24"/>
      <x:c r="Q29" s="24"/>
      <x:c r="R29" s="24"/>
      <x:c r="S29" s="24"/>
      <x:c r="T29" s="24"/>
      <x:c r="U29" s="24"/>
      <x:c r="V29" s="24"/>
      <x:c r="W29" s="24"/>
      <x:c r="X29" s="24"/>
      <x:c r="Y29" s="24"/>
      <x:c r="Z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  <x:c r="K30" s="24"/>
      <x:c r="L30" s="24"/>
      <x:c r="M30" s="24"/>
      <x:c r="N30" s="24"/>
      <x:c r="O30" s="24"/>
      <x:c r="P30" s="24"/>
      <x:c r="Q30" s="24"/>
      <x:c r="R30" s="24"/>
      <x:c r="S30" s="24"/>
      <x:c r="T30" s="24"/>
      <x:c r="U30" s="24"/>
      <x:c r="V30" s="24"/>
      <x:c r="W30" s="24"/>
      <x:c r="X30" s="24"/>
      <x:c r="Y30" s="24"/>
      <x:c r="Z30" s="24"/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  <x:c r="K31" s="24"/>
      <x:c r="L31" s="24"/>
      <x:c r="M31" s="24"/>
      <x:c r="N31" s="24"/>
      <x:c r="O31" s="24"/>
      <x:c r="P31" s="24"/>
      <x:c r="Q31" s="24"/>
      <x:c r="R31" s="24"/>
      <x:c r="S31" s="24"/>
      <x:c r="T31" s="24"/>
      <x:c r="U31" s="24"/>
      <x:c r="V31" s="24"/>
      <x:c r="W31" s="24"/>
      <x:c r="X31" s="24"/>
      <x:c r="Y31" s="24"/>
      <x:c r="Z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  <x:c r="K32" s="24"/>
      <x:c r="L32" s="24"/>
      <x:c r="M32" s="24"/>
      <x:c r="N32" s="24"/>
      <x:c r="O32" s="24"/>
      <x:c r="P32" s="24"/>
      <x:c r="Q32" s="24"/>
      <x:c r="R32" s="24"/>
      <x:c r="S32" s="24"/>
      <x:c r="T32" s="24"/>
      <x:c r="U32" s="24"/>
      <x:c r="V32" s="24"/>
      <x:c r="W32" s="24"/>
      <x:c r="X32" s="24"/>
      <x:c r="Y32" s="24"/>
      <x:c r="Z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  <x:c r="L33" s="24"/>
      <x:c r="M33" s="24"/>
      <x:c r="N33" s="24"/>
      <x:c r="O33" s="24"/>
      <x:c r="P33" s="24"/>
      <x:c r="Q33" s="24"/>
      <x:c r="R33" s="24"/>
      <x:c r="S33" s="24"/>
      <x:c r="T33" s="24"/>
      <x:c r="U33" s="24"/>
      <x:c r="V33" s="24"/>
      <x:c r="W33" s="24"/>
      <x:c r="X33" s="24"/>
      <x:c r="Y33" s="24"/>
      <x:c r="Z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  <x:c r="K34" s="24"/>
      <x:c r="L34" s="24"/>
      <x:c r="M34" s="24"/>
      <x:c r="N34" s="24"/>
      <x:c r="O34" s="24"/>
      <x:c r="P34" s="24"/>
      <x:c r="Q34" s="24"/>
      <x:c r="R34" s="24"/>
      <x:c r="S34" s="24"/>
      <x:c r="T34" s="24"/>
      <x:c r="U34" s="24"/>
      <x:c r="V34" s="24"/>
      <x:c r="W34" s="24"/>
      <x:c r="X34" s="24"/>
      <x:c r="Y34" s="24"/>
      <x:c r="Z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  <x:c r="L35" s="24"/>
      <x:c r="M35" s="24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4"/>
      <x:c r="Z35" s="24"/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  <x:c r="K36" s="24"/>
      <x:c r="L36" s="24"/>
      <x:c r="M36" s="24"/>
      <x:c r="N36" s="24"/>
      <x:c r="O36" s="24"/>
      <x:c r="P36" s="24"/>
      <x:c r="Q36" s="24"/>
      <x:c r="R36" s="24"/>
      <x:c r="S36" s="24"/>
      <x:c r="T36" s="24"/>
      <x:c r="U36" s="24"/>
      <x:c r="V36" s="24"/>
      <x:c r="W36" s="24"/>
      <x:c r="X36" s="24"/>
      <x:c r="Y36" s="24"/>
      <x:c r="Z36" s="24"/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  <x:c r="L37" s="24"/>
      <x:c r="M37" s="24"/>
      <x:c r="N37" s="24"/>
      <x:c r="O37" s="24"/>
      <x:c r="P37" s="24"/>
      <x:c r="Q37" s="24"/>
      <x:c r="R37" s="24"/>
      <x:c r="S37" s="24"/>
      <x:c r="T37" s="24"/>
      <x:c r="U37" s="24"/>
      <x:c r="V37" s="24"/>
      <x:c r="W37" s="24"/>
      <x:c r="X37" s="24"/>
      <x:c r="Y37" s="24"/>
      <x:c r="Z37" s="24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  <x:c r="K38" s="24"/>
      <x:c r="L38" s="24"/>
      <x:c r="M38" s="24"/>
      <x:c r="N38" s="24"/>
      <x:c r="O38" s="24"/>
      <x:c r="P38" s="24"/>
      <x:c r="Q38" s="24"/>
      <x:c r="R38" s="24"/>
      <x:c r="S38" s="24"/>
      <x:c r="T38" s="24"/>
      <x:c r="U38" s="24"/>
      <x:c r="V38" s="24"/>
      <x:c r="W38" s="24"/>
      <x:c r="X38" s="24"/>
      <x:c r="Y38" s="24"/>
      <x:c r="Z38" s="24"/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  <x:c r="K39" s="24"/>
      <x:c r="L39" s="24"/>
      <x:c r="M39" s="24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4"/>
      <x:c r="Z39" s="24"/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  <x:c r="L40" s="24"/>
      <x:c r="M40" s="24"/>
      <x:c r="N40" s="24"/>
      <x:c r="O40" s="24"/>
      <x:c r="P40" s="24"/>
      <x:c r="Q40" s="24"/>
      <x:c r="R40" s="24"/>
      <x:c r="S40" s="24"/>
      <x:c r="T40" s="24"/>
      <x:c r="U40" s="24"/>
      <x:c r="V40" s="24"/>
      <x:c r="W40" s="24"/>
      <x:c r="X40" s="24"/>
      <x:c r="Y40" s="24"/>
      <x:c r="Z40" s="24"/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  <x:c r="K41" s="24"/>
      <x:c r="L41" s="24"/>
      <x:c r="M41" s="24"/>
      <x:c r="N41" s="24"/>
      <x:c r="O41" s="24"/>
      <x:c r="P41" s="24"/>
      <x:c r="Q41" s="24"/>
      <x:c r="R41" s="24"/>
      <x:c r="S41" s="24"/>
      <x:c r="T41" s="24"/>
      <x:c r="U41" s="24"/>
      <x:c r="V41" s="24"/>
      <x:c r="W41" s="24"/>
      <x:c r="X41" s="24"/>
      <x:c r="Y41" s="24"/>
      <x:c r="Z41" s="24"/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  <x:c r="L42" s="24"/>
      <x:c r="M42" s="24"/>
      <x:c r="N42" s="24"/>
      <x:c r="O42" s="24"/>
      <x:c r="P42" s="24"/>
      <x:c r="Q42" s="24"/>
      <x:c r="R42" s="24"/>
      <x:c r="S42" s="24"/>
      <x:c r="T42" s="24"/>
      <x:c r="U42" s="24"/>
      <x:c r="V42" s="24"/>
      <x:c r="W42" s="24"/>
      <x:c r="X42" s="24"/>
      <x:c r="Y42" s="24"/>
      <x:c r="Z42" s="24"/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  <x:c r="L43" s="24"/>
      <x:c r="M43" s="24"/>
      <x:c r="N43" s="24"/>
      <x:c r="O43" s="24"/>
      <x:c r="P43" s="24"/>
      <x:c r="Q43" s="24"/>
      <x:c r="R43" s="24"/>
      <x:c r="S43" s="24"/>
      <x:c r="T43" s="24"/>
      <x:c r="U43" s="24"/>
      <x:c r="V43" s="24"/>
      <x:c r="W43" s="24"/>
      <x:c r="X43" s="24"/>
      <x:c r="Y43" s="24"/>
      <x:c r="Z43" s="24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  <x:c r="L44" s="24"/>
      <x:c r="M44" s="24"/>
      <x:c r="N44" s="24"/>
      <x:c r="O44" s="24"/>
      <x:c r="P44" s="24"/>
      <x:c r="Q44" s="24"/>
      <x:c r="R44" s="24"/>
      <x:c r="S44" s="24"/>
      <x:c r="T44" s="24"/>
      <x:c r="U44" s="24"/>
      <x:c r="V44" s="24"/>
      <x:c r="W44" s="24"/>
      <x:c r="X44" s="24"/>
      <x:c r="Y44" s="24"/>
      <x:c r="Z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  <x:c r="L45" s="24"/>
      <x:c r="M45" s="24"/>
      <x:c r="N45" s="24"/>
      <x:c r="O45" s="24"/>
      <x:c r="P45" s="24"/>
      <x:c r="Q45" s="24"/>
      <x:c r="R45" s="24"/>
      <x:c r="S45" s="24"/>
      <x:c r="T45" s="24"/>
      <x:c r="U45" s="24"/>
      <x:c r="V45" s="24"/>
      <x:c r="W45" s="24"/>
      <x:c r="X45" s="24"/>
      <x:c r="Y45" s="24"/>
      <x:c r="Z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  <x:c r="L46" s="24"/>
      <x:c r="M46" s="24"/>
      <x:c r="N46" s="24"/>
      <x:c r="O46" s="24"/>
      <x:c r="P46" s="24"/>
      <x:c r="Q46" s="24"/>
      <x:c r="R46" s="24"/>
      <x:c r="S46" s="24"/>
      <x:c r="T46" s="24"/>
      <x:c r="U46" s="24"/>
      <x:c r="V46" s="24"/>
      <x:c r="W46" s="24"/>
      <x:c r="X46" s="24"/>
      <x:c r="Y46" s="24"/>
      <x:c r="Z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  <x:c r="L47" s="24"/>
      <x:c r="M47" s="24"/>
      <x:c r="N47" s="24"/>
      <x:c r="O47" s="24"/>
      <x:c r="P47" s="24"/>
      <x:c r="Q47" s="24"/>
      <x:c r="R47" s="24"/>
      <x:c r="S47" s="24"/>
      <x:c r="T47" s="24"/>
      <x:c r="U47" s="24"/>
      <x:c r="V47" s="24"/>
      <x:c r="W47" s="24"/>
      <x:c r="X47" s="24"/>
      <x:c r="Y47" s="24"/>
      <x:c r="Z47" s="24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  <x:c r="L48" s="24"/>
      <x:c r="M48" s="24"/>
      <x:c r="N48" s="24"/>
      <x:c r="O48" s="24"/>
      <x:c r="P48" s="24"/>
      <x:c r="Q48" s="24"/>
      <x:c r="R48" s="24"/>
      <x:c r="S48" s="24"/>
      <x:c r="T48" s="24"/>
      <x:c r="U48" s="24"/>
      <x:c r="V48" s="24"/>
      <x:c r="W48" s="24"/>
      <x:c r="X48" s="24"/>
      <x:c r="Y48" s="24"/>
      <x:c r="Z48" s="24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  <x:c r="L49" s="24"/>
      <x:c r="M49" s="24"/>
      <x:c r="N49" s="24"/>
      <x:c r="O49" s="24"/>
      <x:c r="P49" s="24"/>
      <x:c r="Q49" s="24"/>
      <x:c r="R49" s="24"/>
      <x:c r="S49" s="24"/>
      <x:c r="T49" s="24"/>
      <x:c r="U49" s="24"/>
      <x:c r="V49" s="24"/>
      <x:c r="W49" s="24"/>
      <x:c r="X49" s="24"/>
      <x:c r="Y49" s="24"/>
      <x:c r="Z49" s="24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  <x:c r="L50" s="24"/>
      <x:c r="M50" s="24"/>
      <x:c r="N50" s="24"/>
      <x:c r="O50" s="24"/>
      <x:c r="P50" s="24"/>
      <x:c r="Q50" s="24"/>
      <x:c r="R50" s="24"/>
      <x:c r="S50" s="24"/>
      <x:c r="T50" s="24"/>
      <x:c r="U50" s="24"/>
      <x:c r="V50" s="24"/>
      <x:c r="W50" s="24"/>
      <x:c r="X50" s="24"/>
      <x:c r="Y50" s="24"/>
      <x:c r="Z50" s="24"/>
    </x:row>
    <x:row r="51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  <x:c r="K51" s="24"/>
      <x:c r="L51" s="24"/>
      <x:c r="M51" s="24"/>
      <x:c r="N51" s="24"/>
      <x:c r="O51" s="24"/>
      <x:c r="P51" s="24"/>
      <x:c r="Q51" s="24"/>
      <x:c r="R51" s="24"/>
      <x:c r="S51" s="24"/>
      <x:c r="T51" s="24"/>
      <x:c r="U51" s="24"/>
      <x:c r="V51" s="24"/>
      <x:c r="W51" s="24"/>
      <x:c r="X51" s="24"/>
      <x:c r="Y51" s="24"/>
      <x:c r="Z51" s="24"/>
    </x:row>
    <x:row r="52">
      <x:c r="A52" s="24"/>
      <x:c r="B52" s="24"/>
      <x:c r="C52" s="24"/>
      <x:c r="D52" s="24"/>
      <x:c r="E52" s="24"/>
      <x:c r="F52" s="24"/>
      <x:c r="G52" s="24"/>
      <x:c r="H52" s="24"/>
      <x:c r="I52" s="24"/>
      <x:c r="J52" s="24"/>
      <x:c r="K52" s="24"/>
      <x:c r="L52" s="24"/>
      <x:c r="M52" s="24"/>
      <x:c r="N52" s="24"/>
      <x:c r="O52" s="24"/>
      <x:c r="P52" s="24"/>
      <x:c r="Q52" s="24"/>
      <x:c r="R52" s="24"/>
      <x:c r="S52" s="24"/>
      <x:c r="T52" s="24"/>
      <x:c r="U52" s="24"/>
      <x:c r="V52" s="24"/>
      <x:c r="W52" s="24"/>
      <x:c r="X52" s="24"/>
      <x:c r="Y52" s="24"/>
      <x:c r="Z52" s="24"/>
    </x:row>
    <x:row r="53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  <x:c r="K53" s="24"/>
      <x:c r="L53" s="24"/>
      <x:c r="M53" s="24"/>
      <x:c r="N53" s="24"/>
      <x:c r="O53" s="24"/>
      <x:c r="P53" s="24"/>
      <x:c r="Q53" s="24"/>
      <x:c r="R53" s="24"/>
      <x:c r="S53" s="24"/>
      <x:c r="T53" s="24"/>
      <x:c r="U53" s="24"/>
      <x:c r="V53" s="24"/>
      <x:c r="W53" s="24"/>
      <x:c r="X53" s="24"/>
      <x:c r="Y53" s="24"/>
      <x:c r="Z53" s="24"/>
    </x:row>
    <x:row r="54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  <x:c r="K54" s="24"/>
      <x:c r="L54" s="24"/>
      <x:c r="M54" s="24"/>
      <x:c r="N54" s="24"/>
      <x:c r="O54" s="24"/>
      <x:c r="P54" s="24"/>
      <x:c r="Q54" s="24"/>
      <x:c r="R54" s="24"/>
      <x:c r="S54" s="24"/>
      <x:c r="T54" s="24"/>
      <x:c r="U54" s="24"/>
      <x:c r="V54" s="24"/>
      <x:c r="W54" s="24"/>
      <x:c r="X54" s="24"/>
      <x:c r="Y54" s="24"/>
      <x:c r="Z54" s="24"/>
    </x:row>
    <x:row r="55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  <x:c r="K55" s="24"/>
      <x:c r="L55" s="24"/>
      <x:c r="M55" s="24"/>
      <x:c r="N55" s="24"/>
      <x:c r="O55" s="24"/>
      <x:c r="P55" s="24"/>
      <x:c r="Q55" s="24"/>
      <x:c r="R55" s="24"/>
      <x:c r="S55" s="24"/>
      <x:c r="T55" s="24"/>
      <x:c r="U55" s="24"/>
      <x:c r="V55" s="24"/>
      <x:c r="W55" s="24"/>
      <x:c r="X55" s="24"/>
      <x:c r="Y55" s="24"/>
      <x:c r="Z55" s="24"/>
    </x:row>
    <x:row r="56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  <x:c r="K56" s="24"/>
      <x:c r="L56" s="24"/>
      <x:c r="M56" s="24"/>
      <x:c r="N56" s="24"/>
      <x:c r="O56" s="24"/>
      <x:c r="P56" s="24"/>
      <x:c r="Q56" s="24"/>
      <x:c r="R56" s="24"/>
      <x:c r="S56" s="24"/>
      <x:c r="T56" s="24"/>
      <x:c r="U56" s="24"/>
      <x:c r="V56" s="24"/>
      <x:c r="W56" s="24"/>
      <x:c r="X56" s="24"/>
      <x:c r="Y56" s="24"/>
      <x:c r="Z56" s="24"/>
    </x:row>
    <x:row r="57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  <x:c r="K57" s="24"/>
      <x:c r="L57" s="24"/>
      <x:c r="M57" s="24"/>
      <x:c r="N57" s="24"/>
      <x:c r="O57" s="24"/>
      <x:c r="P57" s="24"/>
      <x:c r="Q57" s="24"/>
      <x:c r="R57" s="24"/>
      <x:c r="S57" s="24"/>
      <x:c r="T57" s="24"/>
      <x:c r="U57" s="24"/>
      <x:c r="V57" s="24"/>
      <x:c r="W57" s="24"/>
      <x:c r="X57" s="24"/>
      <x:c r="Y57" s="24"/>
      <x:c r="Z57" s="24"/>
    </x:row>
    <x:row r="58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24"/>
      <x:c r="O58" s="24"/>
      <x:c r="P58" s="24"/>
      <x:c r="Q58" s="24"/>
      <x:c r="R58" s="24"/>
      <x:c r="S58" s="24"/>
      <x:c r="T58" s="24"/>
      <x:c r="U58" s="24"/>
      <x:c r="V58" s="24"/>
      <x:c r="W58" s="24"/>
      <x:c r="X58" s="24"/>
      <x:c r="Y58" s="24"/>
      <x:c r="Z58" s="24"/>
    </x:row>
    <x:row r="59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24"/>
      <x:c r="O59" s="24"/>
      <x:c r="P59" s="24"/>
      <x:c r="Q59" s="24"/>
      <x:c r="R59" s="24"/>
      <x:c r="S59" s="24"/>
      <x:c r="T59" s="24"/>
      <x:c r="U59" s="24"/>
      <x:c r="V59" s="24"/>
      <x:c r="W59" s="24"/>
      <x:c r="X59" s="24"/>
      <x:c r="Y59" s="24"/>
      <x:c r="Z59" s="24"/>
    </x:row>
    <x:row r="60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  <x:c r="K60" s="24"/>
      <x:c r="L60" s="24"/>
      <x:c r="M60" s="24"/>
      <x:c r="N60" s="24"/>
      <x:c r="O60" s="24"/>
      <x:c r="P60" s="24"/>
      <x:c r="Q60" s="24"/>
      <x:c r="R60" s="24"/>
      <x:c r="S60" s="24"/>
      <x:c r="T60" s="24"/>
      <x:c r="U60" s="24"/>
      <x:c r="V60" s="24"/>
      <x:c r="W60" s="24"/>
      <x:c r="X60" s="24"/>
      <x:c r="Y60" s="24"/>
      <x:c r="Z60" s="24"/>
    </x:row>
    <x:row r="6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  <x:c r="K61" s="24"/>
      <x:c r="L61" s="24"/>
      <x:c r="M61" s="24"/>
      <x:c r="N61" s="24"/>
      <x:c r="O61" s="24"/>
      <x:c r="P61" s="24"/>
      <x:c r="Q61" s="24"/>
      <x:c r="R61" s="24"/>
      <x:c r="S61" s="24"/>
      <x:c r="T61" s="24"/>
      <x:c r="U61" s="24"/>
      <x:c r="V61" s="24"/>
      <x:c r="W61" s="24"/>
      <x:c r="X61" s="24"/>
      <x:c r="Y61" s="24"/>
      <x:c r="Z61" s="24"/>
    </x:row>
    <x:row r="62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  <x:c r="K62" s="24"/>
      <x:c r="L62" s="24"/>
      <x:c r="M62" s="24"/>
      <x:c r="N62" s="24"/>
      <x:c r="O62" s="24"/>
      <x:c r="P62" s="24"/>
      <x:c r="Q62" s="24"/>
      <x:c r="R62" s="24"/>
      <x:c r="S62" s="24"/>
      <x:c r="T62" s="24"/>
      <x:c r="U62" s="24"/>
      <x:c r="V62" s="24"/>
      <x:c r="W62" s="24"/>
      <x:c r="X62" s="24"/>
      <x:c r="Y62" s="24"/>
      <x:c r="Z62" s="24"/>
    </x:row>
    <x:row r="63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  <x:c r="K63" s="24"/>
      <x:c r="L63" s="24"/>
      <x:c r="M63" s="24"/>
      <x:c r="N63" s="24"/>
      <x:c r="O63" s="24"/>
      <x:c r="P63" s="24"/>
      <x:c r="Q63" s="24"/>
      <x:c r="R63" s="24"/>
      <x:c r="S63" s="24"/>
      <x:c r="T63" s="24"/>
      <x:c r="U63" s="24"/>
      <x:c r="V63" s="24"/>
      <x:c r="W63" s="24"/>
      <x:c r="X63" s="24"/>
      <x:c r="Y63" s="24"/>
      <x:c r="Z63" s="24"/>
    </x:row>
    <x:row r="64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  <x:c r="K64" s="24"/>
      <x:c r="L64" s="24"/>
      <x:c r="M64" s="24"/>
      <x:c r="N64" s="24"/>
      <x:c r="O64" s="24"/>
      <x:c r="P64" s="24"/>
      <x:c r="Q64" s="24"/>
      <x:c r="R64" s="24"/>
      <x:c r="S64" s="24"/>
      <x:c r="T64" s="24"/>
      <x:c r="U64" s="24"/>
      <x:c r="V64" s="24"/>
      <x:c r="W64" s="24"/>
      <x:c r="X64" s="24"/>
      <x:c r="Y64" s="24"/>
      <x:c r="Z64" s="24"/>
    </x:row>
    <x:row r="65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  <x:c r="K65" s="24"/>
      <x:c r="L65" s="24"/>
      <x:c r="M65" s="24"/>
      <x:c r="N65" s="24"/>
      <x:c r="O65" s="24"/>
      <x:c r="P65" s="24"/>
      <x:c r="Q65" s="24"/>
      <x:c r="R65" s="24"/>
      <x:c r="S65" s="24"/>
      <x:c r="T65" s="24"/>
      <x:c r="U65" s="24"/>
      <x:c r="V65" s="24"/>
      <x:c r="W65" s="24"/>
      <x:c r="X65" s="24"/>
      <x:c r="Y65" s="24"/>
      <x:c r="Z65" s="24"/>
    </x:row>
    <x:row r="66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  <x:c r="K66" s="24"/>
      <x:c r="L66" s="24"/>
      <x:c r="M66" s="24"/>
      <x:c r="N66" s="24"/>
      <x:c r="O66" s="24"/>
      <x:c r="P66" s="24"/>
      <x:c r="Q66" s="24"/>
      <x:c r="R66" s="24"/>
      <x:c r="S66" s="24"/>
      <x:c r="T66" s="24"/>
      <x:c r="U66" s="24"/>
      <x:c r="V66" s="24"/>
      <x:c r="W66" s="24"/>
      <x:c r="X66" s="24"/>
      <x:c r="Y66" s="24"/>
      <x:c r="Z66" s="24"/>
    </x:row>
    <x:row r="67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  <x:c r="K67" s="24"/>
      <x:c r="L67" s="24"/>
      <x:c r="M67" s="24"/>
      <x:c r="N67" s="24"/>
      <x:c r="O67" s="24"/>
      <x:c r="P67" s="24"/>
      <x:c r="Q67" s="24"/>
      <x:c r="R67" s="24"/>
      <x:c r="S67" s="24"/>
      <x:c r="T67" s="24"/>
      <x:c r="U67" s="24"/>
      <x:c r="V67" s="24"/>
      <x:c r="W67" s="24"/>
      <x:c r="X67" s="24"/>
      <x:c r="Y67" s="24"/>
      <x:c r="Z67" s="24"/>
    </x:row>
    <x:row r="68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  <x:c r="K68" s="24"/>
      <x:c r="L68" s="24"/>
      <x:c r="M68" s="24"/>
      <x:c r="N68" s="24"/>
      <x:c r="O68" s="24"/>
      <x:c r="P68" s="24"/>
      <x:c r="Q68" s="24"/>
      <x:c r="R68" s="24"/>
      <x:c r="S68" s="24"/>
      <x:c r="T68" s="24"/>
      <x:c r="U68" s="24"/>
      <x:c r="V68" s="24"/>
      <x:c r="W68" s="24"/>
      <x:c r="X68" s="24"/>
      <x:c r="Y68" s="24"/>
      <x:c r="Z68" s="24"/>
    </x:row>
    <x:row r="69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  <x:c r="K69" s="24"/>
      <x:c r="L69" s="24"/>
      <x:c r="M69" s="24"/>
      <x:c r="N69" s="24"/>
      <x:c r="O69" s="24"/>
      <x:c r="P69" s="24"/>
      <x:c r="Q69" s="24"/>
      <x:c r="R69" s="24"/>
      <x:c r="S69" s="24"/>
      <x:c r="T69" s="24"/>
      <x:c r="U69" s="24"/>
      <x:c r="V69" s="24"/>
      <x:c r="W69" s="24"/>
      <x:c r="X69" s="24"/>
      <x:c r="Y69" s="24"/>
      <x:c r="Z69" s="24"/>
    </x:row>
    <x:row r="70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  <x:c r="K70" s="24"/>
      <x:c r="L70" s="24"/>
      <x:c r="M70" s="24"/>
      <x:c r="N70" s="24"/>
      <x:c r="O70" s="24"/>
      <x:c r="P70" s="24"/>
      <x:c r="Q70" s="24"/>
      <x:c r="R70" s="24"/>
      <x:c r="S70" s="24"/>
      <x:c r="T70" s="24"/>
      <x:c r="U70" s="24"/>
      <x:c r="V70" s="24"/>
      <x:c r="W70" s="24"/>
      <x:c r="X70" s="24"/>
      <x:c r="Y70" s="24"/>
      <x:c r="Z70" s="24"/>
    </x:row>
    <x:row r="71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24"/>
      <x:c r="O71" s="24"/>
      <x:c r="P71" s="24"/>
      <x:c r="Q71" s="24"/>
      <x:c r="R71" s="24"/>
      <x:c r="S71" s="24"/>
      <x:c r="T71" s="24"/>
      <x:c r="U71" s="24"/>
      <x:c r="V71" s="24"/>
      <x:c r="W71" s="24"/>
      <x:c r="X71" s="24"/>
      <x:c r="Y71" s="24"/>
      <x:c r="Z71" s="24"/>
    </x:row>
    <x:row r="72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24"/>
      <x:c r="O72" s="24"/>
      <x:c r="P72" s="24"/>
      <x:c r="Q72" s="24"/>
      <x:c r="R72" s="24"/>
      <x:c r="S72" s="24"/>
      <x:c r="T72" s="24"/>
      <x:c r="U72" s="24"/>
      <x:c r="V72" s="24"/>
      <x:c r="W72" s="24"/>
      <x:c r="X72" s="24"/>
      <x:c r="Y72" s="24"/>
      <x:c r="Z72" s="24"/>
    </x:row>
    <x:row r="73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  <x:c r="K73" s="24"/>
      <x:c r="L73" s="24"/>
      <x:c r="M73" s="24"/>
      <x:c r="N73" s="24"/>
      <x:c r="O73" s="24"/>
      <x:c r="P73" s="24"/>
      <x:c r="Q73" s="24"/>
      <x:c r="R73" s="24"/>
      <x:c r="S73" s="24"/>
      <x:c r="T73" s="24"/>
      <x:c r="U73" s="24"/>
      <x:c r="V73" s="24"/>
      <x:c r="W73" s="24"/>
      <x:c r="X73" s="24"/>
      <x:c r="Y73" s="24"/>
      <x:c r="Z73" s="24"/>
    </x:row>
    <x:row r="74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  <x:c r="K74" s="24"/>
      <x:c r="L74" s="24"/>
      <x:c r="M74" s="24"/>
      <x:c r="N74" s="24"/>
      <x:c r="O74" s="24"/>
      <x:c r="P74" s="24"/>
      <x:c r="Q74" s="24"/>
      <x:c r="R74" s="24"/>
      <x:c r="S74" s="24"/>
      <x:c r="T74" s="24"/>
      <x:c r="U74" s="24"/>
      <x:c r="V74" s="24"/>
      <x:c r="W74" s="24"/>
      <x:c r="X74" s="24"/>
      <x:c r="Y74" s="24"/>
      <x:c r="Z74" s="24"/>
    </x:row>
    <x:row r="75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  <x:c r="K75" s="24"/>
      <x:c r="L75" s="24"/>
      <x:c r="M75" s="24"/>
      <x:c r="N75" s="24"/>
      <x:c r="O75" s="24"/>
      <x:c r="P75" s="24"/>
      <x:c r="Q75" s="24"/>
      <x:c r="R75" s="24"/>
      <x:c r="S75" s="24"/>
      <x:c r="T75" s="24"/>
      <x:c r="U75" s="24"/>
      <x:c r="V75" s="24"/>
      <x:c r="W75" s="24"/>
      <x:c r="X75" s="24"/>
      <x:c r="Y75" s="24"/>
      <x:c r="Z75" s="24"/>
    </x:row>
    <x:row r="76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  <x:c r="K76" s="24"/>
      <x:c r="L76" s="24"/>
      <x:c r="M76" s="24"/>
      <x:c r="N76" s="24"/>
      <x:c r="O76" s="24"/>
      <x:c r="P76" s="24"/>
      <x:c r="Q76" s="24"/>
      <x:c r="R76" s="24"/>
      <x:c r="S76" s="24"/>
      <x:c r="T76" s="24"/>
      <x:c r="U76" s="24"/>
      <x:c r="V76" s="24"/>
      <x:c r="W76" s="24"/>
      <x:c r="X76" s="24"/>
      <x:c r="Y76" s="24"/>
      <x:c r="Z76" s="24"/>
    </x:row>
    <x:row r="77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  <x:c r="K77" s="24"/>
      <x:c r="L77" s="24"/>
      <x:c r="M77" s="24"/>
      <x:c r="N77" s="24"/>
      <x:c r="O77" s="24"/>
      <x:c r="P77" s="24"/>
      <x:c r="Q77" s="24"/>
      <x:c r="R77" s="24"/>
      <x:c r="S77" s="24"/>
      <x:c r="T77" s="24"/>
      <x:c r="U77" s="24"/>
      <x:c r="V77" s="24"/>
      <x:c r="W77" s="24"/>
      <x:c r="X77" s="24"/>
      <x:c r="Y77" s="24"/>
      <x:c r="Z77" s="24"/>
    </x:row>
    <x:row r="78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  <x:c r="K78" s="24"/>
      <x:c r="L78" s="24"/>
      <x:c r="M78" s="24"/>
      <x:c r="N78" s="24"/>
      <x:c r="O78" s="24"/>
      <x:c r="P78" s="24"/>
      <x:c r="Q78" s="24"/>
      <x:c r="R78" s="24"/>
      <x:c r="S78" s="24"/>
      <x:c r="T78" s="24"/>
      <x:c r="U78" s="24"/>
      <x:c r="V78" s="24"/>
      <x:c r="W78" s="24"/>
      <x:c r="X78" s="24"/>
      <x:c r="Y78" s="24"/>
      <x:c r="Z78" s="24"/>
    </x:row>
    <x:row r="79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  <x:c r="K79" s="24"/>
      <x:c r="L79" s="24"/>
      <x:c r="M79" s="24"/>
      <x:c r="N79" s="24"/>
      <x:c r="O79" s="24"/>
      <x:c r="P79" s="24"/>
      <x:c r="Q79" s="24"/>
      <x:c r="R79" s="24"/>
      <x:c r="S79" s="24"/>
      <x:c r="T79" s="24"/>
      <x:c r="U79" s="24"/>
      <x:c r="V79" s="24"/>
      <x:c r="W79" s="24"/>
      <x:c r="X79" s="24"/>
      <x:c r="Y79" s="24"/>
      <x:c r="Z79" s="24"/>
    </x:row>
    <x:row r="80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  <x:c r="K80" s="24"/>
      <x:c r="L80" s="24"/>
      <x:c r="M80" s="24"/>
      <x:c r="N80" s="24"/>
      <x:c r="O80" s="24"/>
      <x:c r="P80" s="24"/>
      <x:c r="Q80" s="24"/>
      <x:c r="R80" s="24"/>
      <x:c r="S80" s="24"/>
      <x:c r="T80" s="24"/>
      <x:c r="U80" s="24"/>
      <x:c r="V80" s="24"/>
      <x:c r="W80" s="24"/>
      <x:c r="X80" s="24"/>
      <x:c r="Y80" s="24"/>
      <x:c r="Z80" s="24"/>
    </x:row>
    <x:row r="81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  <x:c r="K81" s="24"/>
      <x:c r="L81" s="24"/>
      <x:c r="M81" s="24"/>
      <x:c r="N81" s="24"/>
      <x:c r="O81" s="24"/>
      <x:c r="P81" s="24"/>
      <x:c r="Q81" s="24"/>
      <x:c r="R81" s="24"/>
      <x:c r="S81" s="24"/>
      <x:c r="T81" s="24"/>
      <x:c r="U81" s="24"/>
      <x:c r="V81" s="24"/>
      <x:c r="W81" s="24"/>
      <x:c r="X81" s="24"/>
      <x:c r="Y81" s="24"/>
      <x:c r="Z81" s="24"/>
    </x:row>
    <x:row r="82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  <x:c r="K82" s="24"/>
      <x:c r="L82" s="24"/>
      <x:c r="M82" s="24"/>
      <x:c r="N82" s="24"/>
      <x:c r="O82" s="24"/>
      <x:c r="P82" s="24"/>
      <x:c r="Q82" s="24"/>
      <x:c r="R82" s="24"/>
      <x:c r="S82" s="24"/>
      <x:c r="T82" s="24"/>
      <x:c r="U82" s="24"/>
      <x:c r="V82" s="24"/>
      <x:c r="W82" s="24"/>
      <x:c r="X82" s="24"/>
      <x:c r="Y82" s="24"/>
      <x:c r="Z82" s="24"/>
    </x:row>
    <x:row r="83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  <x:c r="K83" s="24"/>
      <x:c r="L83" s="24"/>
      <x:c r="M83" s="24"/>
      <x:c r="N83" s="24"/>
      <x:c r="O83" s="24"/>
      <x:c r="P83" s="24"/>
      <x:c r="Q83" s="24"/>
      <x:c r="R83" s="24"/>
      <x:c r="S83" s="24"/>
      <x:c r="T83" s="24"/>
      <x:c r="U83" s="24"/>
      <x:c r="V83" s="24"/>
      <x:c r="W83" s="24"/>
      <x:c r="X83" s="24"/>
      <x:c r="Y83" s="24"/>
      <x:c r="Z83" s="24"/>
    </x:row>
    <x:row r="84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24"/>
      <x:c r="O84" s="24"/>
      <x:c r="P84" s="24"/>
      <x:c r="Q84" s="24"/>
      <x:c r="R84" s="24"/>
      <x:c r="S84" s="24"/>
      <x:c r="T84" s="24"/>
      <x:c r="U84" s="24"/>
      <x:c r="V84" s="24"/>
      <x:c r="W84" s="24"/>
      <x:c r="X84" s="24"/>
      <x:c r="Y84" s="24"/>
      <x:c r="Z84" s="24"/>
    </x:row>
    <x:row r="85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24"/>
      <x:c r="O85" s="24"/>
      <x:c r="P85" s="24"/>
      <x:c r="Q85" s="24"/>
      <x:c r="R85" s="24"/>
      <x:c r="S85" s="24"/>
      <x:c r="T85" s="24"/>
      <x:c r="U85" s="24"/>
      <x:c r="V85" s="24"/>
      <x:c r="W85" s="24"/>
      <x:c r="X85" s="24"/>
      <x:c r="Y85" s="24"/>
      <x:c r="Z85" s="24"/>
    </x:row>
    <x:row r="86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  <x:c r="K86" s="24"/>
      <x:c r="L86" s="24"/>
      <x:c r="M86" s="24"/>
      <x:c r="N86" s="24"/>
      <x:c r="O86" s="24"/>
      <x:c r="P86" s="24"/>
      <x:c r="Q86" s="24"/>
      <x:c r="R86" s="24"/>
      <x:c r="S86" s="24"/>
      <x:c r="T86" s="24"/>
      <x:c r="U86" s="24"/>
      <x:c r="V86" s="24"/>
      <x:c r="W86" s="24"/>
      <x:c r="X86" s="24"/>
      <x:c r="Y86" s="24"/>
      <x:c r="Z86" s="24"/>
    </x:row>
    <x:row r="87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  <x:c r="K87" s="24"/>
      <x:c r="L87" s="24"/>
      <x:c r="M87" s="24"/>
      <x:c r="N87" s="24"/>
      <x:c r="O87" s="24"/>
      <x:c r="P87" s="24"/>
      <x:c r="Q87" s="24"/>
      <x:c r="R87" s="24"/>
      <x:c r="S87" s="24"/>
      <x:c r="T87" s="24"/>
      <x:c r="U87" s="24"/>
      <x:c r="V87" s="24"/>
      <x:c r="W87" s="24"/>
      <x:c r="X87" s="24"/>
      <x:c r="Y87" s="24"/>
      <x:c r="Z87" s="24"/>
    </x:row>
    <x:row r="88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  <x:c r="K88" s="24"/>
      <x:c r="L88" s="24"/>
      <x:c r="M88" s="24"/>
      <x:c r="N88" s="24"/>
      <x:c r="O88" s="24"/>
      <x:c r="P88" s="24"/>
      <x:c r="Q88" s="24"/>
      <x:c r="R88" s="24"/>
      <x:c r="S88" s="24"/>
      <x:c r="T88" s="24"/>
      <x:c r="U88" s="24"/>
      <x:c r="V88" s="24"/>
      <x:c r="W88" s="24"/>
      <x:c r="X88" s="24"/>
      <x:c r="Y88" s="24"/>
      <x:c r="Z88" s="24"/>
    </x:row>
    <x:row r="89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  <x:c r="K89" s="24"/>
      <x:c r="L89" s="24"/>
      <x:c r="M89" s="24"/>
      <x:c r="N89" s="24"/>
      <x:c r="O89" s="24"/>
      <x:c r="P89" s="24"/>
      <x:c r="Q89" s="24"/>
      <x:c r="R89" s="24"/>
      <x:c r="S89" s="24"/>
      <x:c r="T89" s="24"/>
      <x:c r="U89" s="24"/>
      <x:c r="V89" s="24"/>
      <x:c r="W89" s="24"/>
      <x:c r="X89" s="24"/>
      <x:c r="Y89" s="24"/>
      <x:c r="Z89" s="24"/>
    </x:row>
    <x:row r="90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  <x:c r="K90" s="24"/>
      <x:c r="L90" s="24"/>
      <x:c r="M90" s="24"/>
      <x:c r="N90" s="24"/>
      <x:c r="O90" s="24"/>
      <x:c r="P90" s="24"/>
      <x:c r="Q90" s="24"/>
      <x:c r="R90" s="24"/>
      <x:c r="S90" s="24"/>
      <x:c r="T90" s="24"/>
      <x:c r="U90" s="24"/>
      <x:c r="V90" s="24"/>
      <x:c r="W90" s="24"/>
      <x:c r="X90" s="24"/>
      <x:c r="Y90" s="24"/>
      <x:c r="Z90" s="24"/>
    </x:row>
    <x:row r="91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  <x:c r="K91" s="24"/>
      <x:c r="L91" s="24"/>
      <x:c r="M91" s="24"/>
      <x:c r="N91" s="24"/>
      <x:c r="O91" s="24"/>
      <x:c r="P91" s="24"/>
      <x:c r="Q91" s="24"/>
      <x:c r="R91" s="24"/>
      <x:c r="S91" s="24"/>
      <x:c r="T91" s="24"/>
      <x:c r="U91" s="24"/>
      <x:c r="V91" s="24"/>
      <x:c r="W91" s="24"/>
      <x:c r="X91" s="24"/>
      <x:c r="Y91" s="24"/>
      <x:c r="Z91" s="24"/>
    </x:row>
    <x:row r="92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  <x:c r="K92" s="24"/>
      <x:c r="L92" s="24"/>
      <x:c r="M92" s="24"/>
      <x:c r="N92" s="24"/>
      <x:c r="O92" s="24"/>
      <x:c r="P92" s="24"/>
      <x:c r="Q92" s="24"/>
      <x:c r="R92" s="24"/>
      <x:c r="S92" s="24"/>
      <x:c r="T92" s="24"/>
      <x:c r="U92" s="24"/>
      <x:c r="V92" s="24"/>
      <x:c r="W92" s="24"/>
      <x:c r="X92" s="24"/>
      <x:c r="Y92" s="24"/>
      <x:c r="Z92" s="24"/>
    </x:row>
    <x:row r="93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  <x:c r="K93" s="24"/>
      <x:c r="L93" s="24"/>
      <x:c r="M93" s="24"/>
      <x:c r="N93" s="24"/>
      <x:c r="O93" s="24"/>
      <x:c r="P93" s="24"/>
      <x:c r="Q93" s="24"/>
      <x:c r="R93" s="24"/>
      <x:c r="S93" s="24"/>
      <x:c r="T93" s="24"/>
      <x:c r="U93" s="24"/>
      <x:c r="V93" s="24"/>
      <x:c r="W93" s="24"/>
      <x:c r="X93" s="24"/>
      <x:c r="Y93" s="24"/>
      <x:c r="Z93" s="24"/>
    </x:row>
    <x:row r="94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  <x:c r="K94" s="24"/>
      <x:c r="L94" s="24"/>
      <x:c r="M94" s="24"/>
      <x:c r="N94" s="24"/>
      <x:c r="O94" s="24"/>
      <x:c r="P94" s="24"/>
      <x:c r="Q94" s="24"/>
      <x:c r="R94" s="24"/>
      <x:c r="S94" s="24"/>
      <x:c r="T94" s="24"/>
      <x:c r="U94" s="24"/>
      <x:c r="V94" s="24"/>
      <x:c r="W94" s="24"/>
      <x:c r="X94" s="24"/>
      <x:c r="Y94" s="24"/>
      <x:c r="Z94" s="24"/>
    </x:row>
    <x:row r="95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  <x:c r="K95" s="24"/>
      <x:c r="L95" s="24"/>
      <x:c r="M95" s="24"/>
      <x:c r="N95" s="24"/>
      <x:c r="O95" s="24"/>
      <x:c r="P95" s="24"/>
      <x:c r="Q95" s="24"/>
      <x:c r="R95" s="24"/>
      <x:c r="S95" s="24"/>
      <x:c r="T95" s="24"/>
      <x:c r="U95" s="24"/>
      <x:c r="V95" s="24"/>
      <x:c r="W95" s="24"/>
      <x:c r="X95" s="24"/>
      <x:c r="Y95" s="24"/>
      <x:c r="Z95" s="24"/>
    </x:row>
    <x:row r="96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  <x:c r="K96" s="24"/>
      <x:c r="L96" s="24"/>
      <x:c r="M96" s="24"/>
      <x:c r="N96" s="24"/>
      <x:c r="O96" s="24"/>
      <x:c r="P96" s="24"/>
      <x:c r="Q96" s="24"/>
      <x:c r="R96" s="24"/>
      <x:c r="S96" s="24"/>
      <x:c r="T96" s="24"/>
      <x:c r="U96" s="24"/>
      <x:c r="V96" s="24"/>
      <x:c r="W96" s="24"/>
      <x:c r="X96" s="24"/>
      <x:c r="Y96" s="24"/>
      <x:c r="Z96" s="24"/>
    </x:row>
    <x:row r="97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24"/>
      <x:c r="O97" s="24"/>
      <x:c r="P97" s="24"/>
      <x:c r="Q97" s="24"/>
      <x:c r="R97" s="24"/>
      <x:c r="S97" s="24"/>
      <x:c r="T97" s="24"/>
      <x:c r="U97" s="24"/>
      <x:c r="V97" s="24"/>
      <x:c r="W97" s="24"/>
      <x:c r="X97" s="24"/>
      <x:c r="Y97" s="24"/>
      <x:c r="Z97" s="24"/>
    </x:row>
    <x:row r="98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24"/>
      <x:c r="O98" s="24"/>
      <x:c r="P98" s="24"/>
      <x:c r="Q98" s="24"/>
      <x:c r="R98" s="24"/>
      <x:c r="S98" s="24"/>
      <x:c r="T98" s="24"/>
      <x:c r="U98" s="24"/>
      <x:c r="V98" s="24"/>
      <x:c r="W98" s="24"/>
      <x:c r="X98" s="24"/>
      <x:c r="Y98" s="24"/>
      <x:c r="Z98" s="24"/>
    </x:row>
    <x:row r="99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  <x:c r="K99" s="24"/>
      <x:c r="L99" s="24"/>
      <x:c r="M99" s="24"/>
      <x:c r="N99" s="24"/>
      <x:c r="O99" s="24"/>
      <x:c r="P99" s="24"/>
      <x:c r="Q99" s="24"/>
      <x:c r="R99" s="24"/>
      <x:c r="S99" s="24"/>
      <x:c r="T99" s="24"/>
      <x:c r="U99" s="24"/>
      <x:c r="V99" s="24"/>
      <x:c r="W99" s="24"/>
      <x:c r="X99" s="24"/>
      <x:c r="Y99" s="24"/>
      <x:c r="Z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  <x:c r="L100" s="24"/>
      <x:c r="M100" s="24"/>
      <x:c r="N100" s="24"/>
      <x:c r="O100" s="24"/>
      <x:c r="P100" s="24"/>
      <x:c r="Q100" s="24"/>
      <x:c r="R100" s="24"/>
      <x:c r="S100" s="24"/>
      <x:c r="T100" s="24"/>
      <x:c r="U100" s="24"/>
      <x:c r="V100" s="24"/>
      <x:c r="W100" s="24"/>
      <x:c r="X100" s="24"/>
      <x:c r="Y100" s="24"/>
      <x:c r="Z100" s="24"/>
    </x:row>
    <x:row r="101">
      <x:c r="A101" s="24"/>
      <x:c r="B101" s="24"/>
      <x:c r="C101" s="24"/>
      <x:c r="D101" s="24"/>
      <x:c r="E101" s="24"/>
      <x:c r="F101" s="24"/>
      <x:c r="G101" s="24"/>
      <x:c r="H101" s="24"/>
      <x:c r="I101" s="24"/>
      <x:c r="J101" s="24"/>
      <x:c r="K101" s="24"/>
      <x:c r="L101" s="24"/>
      <x:c r="M101" s="24"/>
      <x:c r="N101" s="24"/>
      <x:c r="O101" s="24"/>
      <x:c r="P101" s="24"/>
      <x:c r="Q101" s="24"/>
      <x:c r="R101" s="24"/>
      <x:c r="S101" s="24"/>
      <x:c r="T101" s="24"/>
      <x:c r="U101" s="24"/>
      <x:c r="V101" s="24"/>
      <x:c r="W101" s="24"/>
      <x:c r="X101" s="24"/>
      <x:c r="Y101" s="24"/>
      <x:c r="Z101" s="24"/>
    </x:row>
    <x:row r="102">
      <x:c r="A102" s="24"/>
      <x:c r="B102" s="24"/>
      <x:c r="C102" s="24"/>
      <x:c r="D102" s="24"/>
      <x:c r="E102" s="24"/>
      <x:c r="F102" s="24"/>
      <x:c r="G102" s="24"/>
      <x:c r="H102" s="24"/>
      <x:c r="I102" s="24"/>
      <x:c r="J102" s="24"/>
      <x:c r="K102" s="24"/>
      <x:c r="L102" s="24"/>
      <x:c r="M102" s="24"/>
      <x:c r="N102" s="24"/>
      <x:c r="O102" s="24"/>
      <x:c r="P102" s="24"/>
      <x:c r="Q102" s="24"/>
      <x:c r="R102" s="24"/>
      <x:c r="S102" s="24"/>
      <x:c r="T102" s="24"/>
      <x:c r="U102" s="24"/>
      <x:c r="V102" s="24"/>
      <x:c r="W102" s="24"/>
      <x:c r="X102" s="24"/>
      <x:c r="Y102" s="24"/>
      <x:c r="Z102" s="24"/>
    </x:row>
    <x:row r="103">
      <x:c r="A103" s="24"/>
      <x:c r="B103" s="24"/>
      <x:c r="C103" s="24"/>
      <x:c r="D103" s="24"/>
      <x:c r="E103" s="24"/>
      <x:c r="F103" s="24"/>
      <x:c r="G103" s="24"/>
      <x:c r="H103" s="24"/>
      <x:c r="I103" s="24"/>
      <x:c r="J103" s="24"/>
      <x:c r="K103" s="24"/>
      <x:c r="L103" s="24"/>
      <x:c r="M103" s="24"/>
      <x:c r="N103" s="24"/>
      <x:c r="O103" s="24"/>
      <x:c r="P103" s="24"/>
      <x:c r="Q103" s="24"/>
      <x:c r="R103" s="24"/>
      <x:c r="S103" s="24"/>
      <x:c r="T103" s="24"/>
      <x:c r="U103" s="24"/>
      <x:c r="V103" s="24"/>
      <x:c r="W103" s="24"/>
      <x:c r="X103" s="24"/>
      <x:c r="Y103" s="24"/>
      <x:c r="Z103" s="24"/>
    </x:row>
    <x:row r="104">
      <x:c r="A104" s="24"/>
      <x:c r="B104" s="24"/>
      <x:c r="C104" s="24"/>
      <x:c r="D104" s="24"/>
      <x:c r="E104" s="24"/>
      <x:c r="F104" s="24"/>
      <x:c r="G104" s="24"/>
      <x:c r="H104" s="24"/>
      <x:c r="I104" s="24"/>
      <x:c r="J104" s="24"/>
      <x:c r="K104" s="24"/>
      <x:c r="L104" s="24"/>
      <x:c r="M104" s="24"/>
      <x:c r="N104" s="24"/>
      <x:c r="O104" s="24"/>
      <x:c r="P104" s="24"/>
      <x:c r="Q104" s="24"/>
      <x:c r="R104" s="24"/>
      <x:c r="S104" s="24"/>
      <x:c r="T104" s="24"/>
      <x:c r="U104" s="24"/>
      <x:c r="V104" s="24"/>
      <x:c r="W104" s="24"/>
      <x:c r="X104" s="24"/>
      <x:c r="Y104" s="24"/>
      <x:c r="Z104" s="24"/>
    </x:row>
    <x:row r="105">
      <x:c r="A105" s="24"/>
      <x:c r="B105" s="24"/>
      <x:c r="C105" s="24"/>
      <x:c r="D105" s="24"/>
      <x:c r="E105" s="24"/>
      <x:c r="F105" s="24"/>
      <x:c r="G105" s="24"/>
      <x:c r="H105" s="24"/>
      <x:c r="I105" s="24"/>
      <x:c r="J105" s="24"/>
      <x:c r="K105" s="24"/>
      <x:c r="L105" s="24"/>
      <x:c r="M105" s="24"/>
      <x:c r="N105" s="24"/>
      <x:c r="O105" s="24"/>
      <x:c r="P105" s="24"/>
      <x:c r="Q105" s="24"/>
      <x:c r="R105" s="24"/>
      <x:c r="S105" s="24"/>
      <x:c r="T105" s="24"/>
      <x:c r="U105" s="24"/>
      <x:c r="V105" s="24"/>
      <x:c r="W105" s="24"/>
      <x:c r="X105" s="24"/>
      <x:c r="Y105" s="24"/>
      <x:c r="Z105" s="24"/>
    </x:row>
    <x:row r="106">
      <x:c r="A106" s="24"/>
      <x:c r="B106" s="24"/>
      <x:c r="C106" s="24"/>
      <x:c r="D106" s="24"/>
      <x:c r="E106" s="24"/>
      <x:c r="F106" s="24"/>
      <x:c r="G106" s="24"/>
      <x:c r="H106" s="24"/>
      <x:c r="I106" s="24"/>
      <x:c r="J106" s="24"/>
      <x:c r="K106" s="24"/>
      <x:c r="L106" s="24"/>
      <x:c r="M106" s="24"/>
      <x:c r="N106" s="24"/>
      <x:c r="O106" s="24"/>
      <x:c r="P106" s="24"/>
      <x:c r="Q106" s="24"/>
      <x:c r="R106" s="24"/>
      <x:c r="S106" s="24"/>
      <x:c r="T106" s="24"/>
      <x:c r="U106" s="24"/>
      <x:c r="V106" s="24"/>
      <x:c r="W106" s="24"/>
      <x:c r="X106" s="24"/>
      <x:c r="Y106" s="24"/>
      <x:c r="Z106" s="24"/>
    </x:row>
    <x:row r="107">
      <x:c r="A107" s="24"/>
      <x:c r="B107" s="24"/>
      <x:c r="C107" s="24"/>
      <x:c r="D107" s="24"/>
      <x:c r="E107" s="24"/>
      <x:c r="F107" s="24"/>
      <x:c r="G107" s="24"/>
      <x:c r="H107" s="24"/>
      <x:c r="I107" s="24"/>
      <x:c r="J107" s="24"/>
      <x:c r="K107" s="24"/>
      <x:c r="L107" s="24"/>
      <x:c r="M107" s="24"/>
      <x:c r="N107" s="24"/>
      <x:c r="O107" s="24"/>
      <x:c r="P107" s="24"/>
      <x:c r="Q107" s="24"/>
      <x:c r="R107" s="24"/>
      <x:c r="S107" s="24"/>
      <x:c r="T107" s="24"/>
      <x:c r="U107" s="24"/>
      <x:c r="V107" s="24"/>
      <x:c r="W107" s="24"/>
      <x:c r="X107" s="24"/>
      <x:c r="Y107" s="24"/>
      <x:c r="Z107" s="24"/>
    </x:row>
    <x:row r="108">
      <x:c r="A108" s="24"/>
      <x:c r="B108" s="24"/>
      <x:c r="C108" s="24"/>
      <x:c r="D108" s="24"/>
      <x:c r="E108" s="24"/>
      <x:c r="F108" s="24"/>
      <x:c r="G108" s="24"/>
      <x:c r="H108" s="24"/>
      <x:c r="I108" s="24"/>
      <x:c r="J108" s="24"/>
      <x:c r="K108" s="24"/>
      <x:c r="L108" s="24"/>
      <x:c r="M108" s="24"/>
      <x:c r="N108" s="24"/>
      <x:c r="O108" s="24"/>
      <x:c r="P108" s="24"/>
      <x:c r="Q108" s="24"/>
      <x:c r="R108" s="24"/>
      <x:c r="S108" s="24"/>
      <x:c r="T108" s="24"/>
      <x:c r="U108" s="24"/>
      <x:c r="V108" s="24"/>
      <x:c r="W108" s="24"/>
      <x:c r="X108" s="24"/>
      <x:c r="Y108" s="24"/>
      <x:c r="Z108" s="24"/>
    </x:row>
    <x:row r="109">
      <x:c r="A109" s="24"/>
      <x:c r="B109" s="24"/>
      <x:c r="C109" s="24"/>
      <x:c r="D109" s="24"/>
      <x:c r="E109" s="24"/>
      <x:c r="F109" s="24"/>
      <x:c r="G109" s="24"/>
      <x:c r="H109" s="24"/>
      <x:c r="I109" s="24"/>
      <x:c r="J109" s="24"/>
      <x:c r="K109" s="24"/>
      <x:c r="L109" s="24"/>
      <x:c r="M109" s="24"/>
      <x:c r="N109" s="24"/>
      <x:c r="O109" s="24"/>
      <x:c r="P109" s="24"/>
      <x:c r="Q109" s="24"/>
      <x:c r="R109" s="24"/>
      <x:c r="S109" s="24"/>
      <x:c r="T109" s="24"/>
      <x:c r="U109" s="24"/>
      <x:c r="V109" s="24"/>
      <x:c r="W109" s="24"/>
      <x:c r="X109" s="24"/>
      <x:c r="Y109" s="24"/>
      <x:c r="Z109" s="24"/>
    </x:row>
    <x:row r="110">
      <x:c r="A110" s="24"/>
      <x:c r="B110" s="24"/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/>
      <x:c r="M110" s="24"/>
      <x:c r="N110" s="24"/>
      <x:c r="O110" s="24"/>
      <x:c r="P110" s="24"/>
      <x:c r="Q110" s="24"/>
      <x:c r="R110" s="24"/>
      <x:c r="S110" s="24"/>
      <x:c r="T110" s="24"/>
      <x:c r="U110" s="24"/>
      <x:c r="V110" s="24"/>
      <x:c r="W110" s="24"/>
      <x:c r="X110" s="24"/>
      <x:c r="Y110" s="24"/>
      <x:c r="Z110" s="24"/>
    </x:row>
    <x:row r="111">
      <x:c r="A111" s="24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P111" s="24"/>
      <x:c r="Q111" s="24"/>
      <x:c r="R111" s="24"/>
      <x:c r="S111" s="24"/>
      <x:c r="T111" s="24"/>
      <x:c r="U111" s="24"/>
      <x:c r="V111" s="24"/>
      <x:c r="W111" s="24"/>
      <x:c r="X111" s="24"/>
      <x:c r="Y111" s="24"/>
      <x:c r="Z111" s="24"/>
    </x:row>
    <x:row r="112">
      <x:c r="A112" s="24"/>
      <x:c r="B112" s="24"/>
      <x:c r="C112" s="24"/>
      <x:c r="D112" s="24"/>
      <x:c r="E112" s="24"/>
      <x:c r="F112" s="24"/>
      <x:c r="G112" s="24"/>
      <x:c r="H112" s="24"/>
      <x:c r="I112" s="24"/>
      <x:c r="J112" s="24"/>
      <x:c r="K112" s="24"/>
      <x:c r="L112" s="24"/>
      <x:c r="M112" s="24"/>
      <x:c r="N112" s="24"/>
      <x:c r="O112" s="24"/>
      <x:c r="P112" s="24"/>
      <x:c r="Q112" s="24"/>
      <x:c r="R112" s="24"/>
      <x:c r="S112" s="24"/>
      <x:c r="T112" s="24"/>
      <x:c r="U112" s="24"/>
      <x:c r="V112" s="24"/>
      <x:c r="W112" s="24"/>
      <x:c r="X112" s="24"/>
      <x:c r="Y112" s="24"/>
      <x:c r="Z112" s="24"/>
    </x:row>
    <x:row r="113">
      <x:c r="A113" s="24"/>
      <x:c r="B113" s="24"/>
      <x:c r="C113" s="24"/>
      <x:c r="D113" s="24"/>
      <x:c r="E113" s="24"/>
      <x:c r="F113" s="24"/>
      <x:c r="G113" s="24"/>
      <x:c r="H113" s="24"/>
      <x:c r="I113" s="24"/>
      <x:c r="J113" s="24"/>
      <x:c r="K113" s="24"/>
      <x:c r="L113" s="24"/>
      <x:c r="M113" s="24"/>
      <x:c r="N113" s="24"/>
      <x:c r="O113" s="24"/>
      <x:c r="P113" s="24"/>
      <x:c r="Q113" s="24"/>
      <x:c r="R113" s="24"/>
      <x:c r="S113" s="24"/>
      <x:c r="T113" s="24"/>
      <x:c r="U113" s="24"/>
      <x:c r="V113" s="24"/>
      <x:c r="W113" s="24"/>
      <x:c r="X113" s="24"/>
      <x:c r="Y113" s="24"/>
      <x:c r="Z113" s="24"/>
    </x:row>
    <x:row r="114">
      <x:c r="A114" s="24"/>
      <x:c r="B114" s="24"/>
      <x:c r="C114" s="24"/>
      <x:c r="D114" s="24"/>
      <x:c r="E114" s="24"/>
      <x:c r="F114" s="24"/>
      <x:c r="G114" s="24"/>
      <x:c r="H114" s="24"/>
      <x:c r="I114" s="24"/>
      <x:c r="J114" s="24"/>
      <x:c r="K114" s="24"/>
      <x:c r="L114" s="24"/>
      <x:c r="M114" s="24"/>
      <x:c r="N114" s="24"/>
      <x:c r="O114" s="24"/>
      <x:c r="P114" s="24"/>
      <x:c r="Q114" s="24"/>
      <x:c r="R114" s="24"/>
      <x:c r="S114" s="24"/>
      <x:c r="T114" s="24"/>
      <x:c r="U114" s="24"/>
      <x:c r="V114" s="24"/>
      <x:c r="W114" s="24"/>
      <x:c r="X114" s="24"/>
      <x:c r="Y114" s="24"/>
      <x:c r="Z114" s="24"/>
    </x:row>
    <x:row r="115">
      <x:c r="A115" s="24"/>
      <x:c r="B115" s="24"/>
      <x:c r="C115" s="24"/>
      <x:c r="D115" s="24"/>
      <x:c r="E115" s="24"/>
      <x:c r="F115" s="24"/>
      <x:c r="G115" s="24"/>
      <x:c r="H115" s="24"/>
      <x:c r="I115" s="24"/>
      <x:c r="J115" s="24"/>
      <x:c r="K115" s="24"/>
      <x:c r="L115" s="24"/>
      <x:c r="M115" s="24"/>
      <x:c r="N115" s="24"/>
      <x:c r="O115" s="24"/>
      <x:c r="P115" s="24"/>
      <x:c r="Q115" s="24"/>
      <x:c r="R115" s="24"/>
      <x:c r="S115" s="24"/>
      <x:c r="T115" s="24"/>
      <x:c r="U115" s="24"/>
      <x:c r="V115" s="24"/>
      <x:c r="W115" s="24"/>
      <x:c r="X115" s="24"/>
      <x:c r="Y115" s="24"/>
      <x:c r="Z115" s="24"/>
    </x:row>
    <x:row r="116">
      <x:c r="A116" s="24"/>
      <x:c r="B116" s="24"/>
      <x:c r="C116" s="24"/>
      <x:c r="D116" s="24"/>
      <x:c r="E116" s="24"/>
      <x:c r="F116" s="24"/>
      <x:c r="G116" s="24"/>
      <x:c r="H116" s="24"/>
      <x:c r="I116" s="24"/>
      <x:c r="J116" s="24"/>
      <x:c r="K116" s="24"/>
      <x:c r="L116" s="24"/>
      <x:c r="M116" s="24"/>
      <x:c r="N116" s="24"/>
      <x:c r="O116" s="24"/>
      <x:c r="P116" s="24"/>
      <x:c r="Q116" s="24"/>
      <x:c r="R116" s="24"/>
      <x:c r="S116" s="24"/>
      <x:c r="T116" s="24"/>
      <x:c r="U116" s="24"/>
      <x:c r="V116" s="24"/>
      <x:c r="W116" s="24"/>
      <x:c r="X116" s="24"/>
      <x:c r="Y116" s="24"/>
      <x:c r="Z116" s="24"/>
    </x:row>
    <x:row r="117">
      <x:c r="A117" s="24"/>
      <x:c r="B117" s="24"/>
      <x:c r="C117" s="24"/>
      <x:c r="D117" s="24"/>
      <x:c r="E117" s="24"/>
      <x:c r="F117" s="24"/>
      <x:c r="G117" s="24"/>
      <x:c r="H117" s="24"/>
      <x:c r="I117" s="24"/>
      <x:c r="J117" s="24"/>
      <x:c r="K117" s="24"/>
      <x:c r="L117" s="24"/>
      <x:c r="M117" s="24"/>
      <x:c r="N117" s="24"/>
      <x:c r="O117" s="24"/>
      <x:c r="P117" s="24"/>
      <x:c r="Q117" s="24"/>
      <x:c r="R117" s="24"/>
      <x:c r="S117" s="24"/>
      <x:c r="T117" s="24"/>
      <x:c r="U117" s="24"/>
      <x:c r="V117" s="24"/>
      <x:c r="W117" s="24"/>
      <x:c r="X117" s="24"/>
      <x:c r="Y117" s="24"/>
      <x:c r="Z117" s="24"/>
    </x:row>
    <x:row r="118">
      <x:c r="A118" s="24"/>
      <x:c r="B118" s="24"/>
      <x:c r="C118" s="24"/>
      <x:c r="D118" s="24"/>
      <x:c r="E118" s="24"/>
      <x:c r="F118" s="24"/>
      <x:c r="G118" s="24"/>
      <x:c r="H118" s="24"/>
      <x:c r="I118" s="24"/>
      <x:c r="J118" s="24"/>
      <x:c r="K118" s="24"/>
      <x:c r="L118" s="24"/>
      <x:c r="M118" s="24"/>
      <x:c r="N118" s="24"/>
      <x:c r="O118" s="24"/>
      <x:c r="P118" s="24"/>
      <x:c r="Q118" s="24"/>
      <x:c r="R118" s="24"/>
      <x:c r="S118" s="24"/>
      <x:c r="T118" s="24"/>
      <x:c r="U118" s="24"/>
      <x:c r="V118" s="24"/>
      <x:c r="W118" s="24"/>
      <x:c r="X118" s="24"/>
      <x:c r="Y118" s="24"/>
      <x:c r="Z118" s="24"/>
    </x:row>
    <x:row r="119">
      <x:c r="A119" s="24"/>
      <x:c r="B119" s="24"/>
      <x:c r="C119" s="24"/>
      <x:c r="D119" s="24"/>
      <x:c r="E119" s="24"/>
      <x:c r="F119" s="24"/>
      <x:c r="G119" s="24"/>
      <x:c r="H119" s="24"/>
      <x:c r="I119" s="24"/>
      <x:c r="J119" s="24"/>
      <x:c r="K119" s="24"/>
      <x:c r="L119" s="24"/>
      <x:c r="M119" s="24"/>
      <x:c r="N119" s="24"/>
      <x:c r="O119" s="24"/>
      <x:c r="P119" s="24"/>
      <x:c r="Q119" s="24"/>
      <x:c r="R119" s="24"/>
      <x:c r="S119" s="24"/>
      <x:c r="T119" s="24"/>
      <x:c r="U119" s="24"/>
      <x:c r="V119" s="24"/>
      <x:c r="W119" s="24"/>
      <x:c r="X119" s="24"/>
      <x:c r="Y119" s="24"/>
      <x:c r="Z119" s="24"/>
    </x:row>
    <x:row r="120">
      <x:c r="A120" s="24"/>
      <x:c r="B120" s="24"/>
      <x:c r="C120" s="24"/>
      <x:c r="D120" s="24"/>
      <x:c r="E120" s="24"/>
      <x:c r="F120" s="24"/>
      <x:c r="G120" s="24"/>
      <x:c r="H120" s="24"/>
      <x:c r="I120" s="24"/>
      <x:c r="J120" s="24"/>
      <x:c r="K120" s="24"/>
      <x:c r="L120" s="24"/>
      <x:c r="M120" s="24"/>
      <x:c r="N120" s="24"/>
      <x:c r="O120" s="24"/>
      <x:c r="P120" s="24"/>
      <x:c r="Q120" s="24"/>
      <x:c r="R120" s="24"/>
      <x:c r="S120" s="24"/>
      <x:c r="T120" s="24"/>
      <x:c r="U120" s="24"/>
      <x:c r="V120" s="24"/>
      <x:c r="W120" s="24"/>
      <x:c r="X120" s="24"/>
      <x:c r="Y120" s="24"/>
      <x:c r="Z120" s="24"/>
    </x:row>
    <x:row r="12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  <x:c r="K121" s="24"/>
      <x:c r="L121" s="24"/>
      <x:c r="M121" s="24"/>
      <x:c r="N121" s="24"/>
      <x:c r="O121" s="24"/>
      <x:c r="P121" s="24"/>
      <x:c r="Q121" s="24"/>
      <x:c r="R121" s="24"/>
      <x:c r="S121" s="24"/>
      <x:c r="T121" s="24"/>
      <x:c r="U121" s="24"/>
      <x:c r="V121" s="24"/>
      <x:c r="W121" s="24"/>
      <x:c r="X121" s="24"/>
      <x:c r="Y121" s="24"/>
      <x:c r="Z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  <x:c r="K122" s="24"/>
      <x:c r="L122" s="24"/>
      <x:c r="M122" s="24"/>
      <x:c r="N122" s="24"/>
      <x:c r="O122" s="24"/>
      <x:c r="P122" s="24"/>
      <x:c r="Q122" s="24"/>
      <x:c r="R122" s="24"/>
      <x:c r="S122" s="24"/>
      <x:c r="T122" s="24"/>
      <x:c r="U122" s="24"/>
      <x:c r="V122" s="24"/>
      <x:c r="W122" s="24"/>
      <x:c r="X122" s="24"/>
      <x:c r="Y122" s="24"/>
      <x:c r="Z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  <x:c r="M123" s="24"/>
      <x:c r="N123" s="24"/>
      <x:c r="O123" s="24"/>
      <x:c r="P123" s="24"/>
      <x:c r="Q123" s="24"/>
      <x:c r="R123" s="24"/>
      <x:c r="S123" s="24"/>
      <x:c r="T123" s="24"/>
      <x:c r="U123" s="24"/>
      <x:c r="V123" s="24"/>
      <x:c r="W123" s="24"/>
      <x:c r="X123" s="24"/>
      <x:c r="Y123" s="24"/>
      <x:c r="Z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  <x:c r="M124" s="24"/>
      <x:c r="N124" s="24"/>
      <x:c r="O124" s="24"/>
      <x:c r="P124" s="24"/>
      <x:c r="Q124" s="24"/>
      <x:c r="R124" s="24"/>
      <x:c r="S124" s="24"/>
      <x:c r="T124" s="24"/>
      <x:c r="U124" s="24"/>
      <x:c r="V124" s="24"/>
      <x:c r="W124" s="24"/>
      <x:c r="X124" s="24"/>
      <x:c r="Y124" s="24"/>
      <x:c r="Z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  <x:c r="K125" s="24"/>
      <x:c r="L125" s="24"/>
      <x:c r="M125" s="24"/>
      <x:c r="N125" s="24"/>
      <x:c r="O125" s="24"/>
      <x:c r="P125" s="24"/>
      <x:c r="Q125" s="24"/>
      <x:c r="R125" s="24"/>
      <x:c r="S125" s="24"/>
      <x:c r="T125" s="24"/>
      <x:c r="U125" s="24"/>
      <x:c r="V125" s="24"/>
      <x:c r="W125" s="24"/>
      <x:c r="X125" s="24"/>
      <x:c r="Y125" s="24"/>
      <x:c r="Z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  <x:c r="K126" s="24"/>
      <x:c r="L126" s="24"/>
      <x:c r="M126" s="24"/>
      <x:c r="N126" s="24"/>
      <x:c r="O126" s="24"/>
      <x:c r="P126" s="24"/>
      <x:c r="Q126" s="24"/>
      <x:c r="R126" s="24"/>
      <x:c r="S126" s="24"/>
      <x:c r="T126" s="24"/>
      <x:c r="U126" s="24"/>
      <x:c r="V126" s="24"/>
      <x:c r="W126" s="24"/>
      <x:c r="X126" s="24"/>
      <x:c r="Y126" s="24"/>
      <x:c r="Z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  <x:c r="K127" s="24"/>
      <x:c r="L127" s="24"/>
      <x:c r="M127" s="24"/>
      <x:c r="N127" s="24"/>
      <x:c r="O127" s="24"/>
      <x:c r="P127" s="24"/>
      <x:c r="Q127" s="24"/>
      <x:c r="R127" s="24"/>
      <x:c r="S127" s="24"/>
      <x:c r="T127" s="24"/>
      <x:c r="U127" s="24"/>
      <x:c r="V127" s="24"/>
      <x:c r="W127" s="24"/>
      <x:c r="X127" s="24"/>
      <x:c r="Y127" s="24"/>
      <x:c r="Z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  <x:c r="K128" s="24"/>
      <x:c r="L128" s="24"/>
      <x:c r="M128" s="24"/>
      <x:c r="N128" s="24"/>
      <x:c r="O128" s="24"/>
      <x:c r="P128" s="24"/>
      <x:c r="Q128" s="24"/>
      <x:c r="R128" s="24"/>
      <x:c r="S128" s="24"/>
      <x:c r="T128" s="24"/>
      <x:c r="U128" s="24"/>
      <x:c r="V128" s="24"/>
      <x:c r="W128" s="24"/>
      <x:c r="X128" s="24"/>
      <x:c r="Y128" s="24"/>
      <x:c r="Z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  <x:c r="K129" s="24"/>
      <x:c r="L129" s="24"/>
      <x:c r="M129" s="24"/>
      <x:c r="N129" s="24"/>
      <x:c r="O129" s="24"/>
      <x:c r="P129" s="24"/>
      <x:c r="Q129" s="24"/>
      <x:c r="R129" s="24"/>
      <x:c r="S129" s="24"/>
      <x:c r="T129" s="24"/>
      <x:c r="U129" s="24"/>
      <x:c r="V129" s="24"/>
      <x:c r="W129" s="24"/>
      <x:c r="X129" s="24"/>
      <x:c r="Y129" s="24"/>
      <x:c r="Z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  <x:c r="K130" s="24"/>
      <x:c r="L130" s="24"/>
      <x:c r="M130" s="24"/>
      <x:c r="N130" s="24"/>
      <x:c r="O130" s="24"/>
      <x:c r="P130" s="24"/>
      <x:c r="Q130" s="24"/>
      <x:c r="R130" s="24"/>
      <x:c r="S130" s="24"/>
      <x:c r="T130" s="24"/>
      <x:c r="U130" s="24"/>
      <x:c r="V130" s="24"/>
      <x:c r="W130" s="24"/>
      <x:c r="X130" s="24"/>
      <x:c r="Y130" s="24"/>
      <x:c r="Z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  <x:c r="K131" s="24"/>
      <x:c r="L131" s="24"/>
      <x:c r="M131" s="24"/>
      <x:c r="N131" s="24"/>
      <x:c r="O131" s="24"/>
      <x:c r="P131" s="24"/>
      <x:c r="Q131" s="24"/>
      <x:c r="R131" s="24"/>
      <x:c r="S131" s="24"/>
      <x:c r="T131" s="24"/>
      <x:c r="U131" s="24"/>
      <x:c r="V131" s="24"/>
      <x:c r="W131" s="24"/>
      <x:c r="X131" s="24"/>
      <x:c r="Y131" s="24"/>
      <x:c r="Z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  <x:c r="K132" s="24"/>
      <x:c r="L132" s="24"/>
      <x:c r="M132" s="24"/>
      <x:c r="N132" s="24"/>
      <x:c r="O132" s="24"/>
      <x:c r="P132" s="24"/>
      <x:c r="Q132" s="24"/>
      <x:c r="R132" s="24"/>
      <x:c r="S132" s="24"/>
      <x:c r="T132" s="24"/>
      <x:c r="U132" s="24"/>
      <x:c r="V132" s="24"/>
      <x:c r="W132" s="24"/>
      <x:c r="X132" s="24"/>
      <x:c r="Y132" s="24"/>
      <x:c r="Z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  <x:c r="K133" s="24"/>
      <x:c r="L133" s="24"/>
      <x:c r="M133" s="24"/>
      <x:c r="N133" s="24"/>
      <x:c r="O133" s="24"/>
      <x:c r="P133" s="24"/>
      <x:c r="Q133" s="24"/>
      <x:c r="R133" s="24"/>
      <x:c r="S133" s="24"/>
      <x:c r="T133" s="24"/>
      <x:c r="U133" s="24"/>
      <x:c r="V133" s="24"/>
      <x:c r="W133" s="24"/>
      <x:c r="X133" s="24"/>
      <x:c r="Y133" s="24"/>
      <x:c r="Z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  <x:c r="K134" s="24"/>
      <x:c r="L134" s="24"/>
      <x:c r="M134" s="24"/>
      <x:c r="N134" s="24"/>
      <x:c r="O134" s="24"/>
      <x:c r="P134" s="24"/>
      <x:c r="Q134" s="24"/>
      <x:c r="R134" s="24"/>
      <x:c r="S134" s="24"/>
      <x:c r="T134" s="24"/>
      <x:c r="U134" s="24"/>
      <x:c r="V134" s="24"/>
      <x:c r="W134" s="24"/>
      <x:c r="X134" s="24"/>
      <x:c r="Y134" s="24"/>
      <x:c r="Z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  <x:c r="K135" s="24"/>
      <x:c r="L135" s="24"/>
      <x:c r="M135" s="24"/>
      <x:c r="N135" s="24"/>
      <x:c r="O135" s="24"/>
      <x:c r="P135" s="24"/>
      <x:c r="Q135" s="24"/>
      <x:c r="R135" s="24"/>
      <x:c r="S135" s="24"/>
      <x:c r="T135" s="24"/>
      <x:c r="U135" s="24"/>
      <x:c r="V135" s="24"/>
      <x:c r="W135" s="24"/>
      <x:c r="X135" s="24"/>
      <x:c r="Y135" s="24"/>
      <x:c r="Z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  <x:c r="K136" s="24"/>
      <x:c r="L136" s="24"/>
      <x:c r="M136" s="24"/>
      <x:c r="N136" s="24"/>
      <x:c r="O136" s="24"/>
      <x:c r="P136" s="24"/>
      <x:c r="Q136" s="24"/>
      <x:c r="R136" s="24"/>
      <x:c r="S136" s="24"/>
      <x:c r="T136" s="24"/>
      <x:c r="U136" s="24"/>
      <x:c r="V136" s="24"/>
      <x:c r="W136" s="24"/>
      <x:c r="X136" s="24"/>
      <x:c r="Y136" s="24"/>
      <x:c r="Z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  <x:c r="L137" s="24"/>
      <x:c r="M137" s="24"/>
      <x:c r="N137" s="24"/>
      <x:c r="O137" s="24"/>
      <x:c r="P137" s="24"/>
      <x:c r="Q137" s="24"/>
      <x:c r="R137" s="24"/>
      <x:c r="S137" s="24"/>
      <x:c r="T137" s="24"/>
      <x:c r="U137" s="24"/>
      <x:c r="V137" s="24"/>
      <x:c r="W137" s="24"/>
      <x:c r="X137" s="24"/>
      <x:c r="Y137" s="24"/>
      <x:c r="Z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  <x:c r="K138" s="24"/>
      <x:c r="L138" s="24"/>
      <x:c r="M138" s="24"/>
      <x:c r="N138" s="24"/>
      <x:c r="O138" s="24"/>
      <x:c r="P138" s="24"/>
      <x:c r="Q138" s="24"/>
      <x:c r="R138" s="24"/>
      <x:c r="S138" s="24"/>
      <x:c r="T138" s="24"/>
      <x:c r="U138" s="24"/>
      <x:c r="V138" s="24"/>
      <x:c r="W138" s="24"/>
      <x:c r="X138" s="24"/>
      <x:c r="Y138" s="24"/>
      <x:c r="Z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  <x:c r="K139" s="24"/>
      <x:c r="L139" s="24"/>
      <x:c r="M139" s="24"/>
      <x:c r="N139" s="24"/>
      <x:c r="O139" s="24"/>
      <x:c r="P139" s="24"/>
      <x:c r="Q139" s="24"/>
      <x:c r="R139" s="24"/>
      <x:c r="S139" s="24"/>
      <x:c r="T139" s="24"/>
      <x:c r="U139" s="24"/>
      <x:c r="V139" s="24"/>
      <x:c r="W139" s="24"/>
      <x:c r="X139" s="24"/>
      <x:c r="Y139" s="24"/>
      <x:c r="Z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  <x:c r="K140" s="24"/>
      <x:c r="L140" s="24"/>
      <x:c r="M140" s="24"/>
      <x:c r="N140" s="24"/>
      <x:c r="O140" s="24"/>
      <x:c r="P140" s="24"/>
      <x:c r="Q140" s="24"/>
      <x:c r="R140" s="24"/>
      <x:c r="S140" s="24"/>
      <x:c r="T140" s="24"/>
      <x:c r="U140" s="24"/>
      <x:c r="V140" s="24"/>
      <x:c r="W140" s="24"/>
      <x:c r="X140" s="24"/>
      <x:c r="Y140" s="24"/>
      <x:c r="Z140" s="24"/>
    </x:row>
    <x:row r="141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  <x:c r="K141" s="24"/>
      <x:c r="L141" s="24"/>
      <x:c r="M141" s="24"/>
      <x:c r="N141" s="24"/>
      <x:c r="O141" s="24"/>
      <x:c r="P141" s="24"/>
      <x:c r="Q141" s="24"/>
      <x:c r="R141" s="24"/>
      <x:c r="S141" s="24"/>
      <x:c r="T141" s="24"/>
      <x:c r="U141" s="24"/>
      <x:c r="V141" s="24"/>
      <x:c r="W141" s="24"/>
      <x:c r="X141" s="24"/>
      <x:c r="Y141" s="24"/>
      <x:c r="Z141" s="24"/>
    </x:row>
    <x:row r="142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  <x:c r="K142" s="24"/>
      <x:c r="L142" s="24"/>
      <x:c r="M142" s="24"/>
      <x:c r="N142" s="24"/>
      <x:c r="O142" s="24"/>
      <x:c r="P142" s="24"/>
      <x:c r="Q142" s="24"/>
      <x:c r="R142" s="24"/>
      <x:c r="S142" s="24"/>
      <x:c r="T142" s="24"/>
      <x:c r="U142" s="24"/>
      <x:c r="V142" s="24"/>
      <x:c r="W142" s="24"/>
      <x:c r="X142" s="24"/>
      <x:c r="Y142" s="24"/>
      <x:c r="Z142" s="24"/>
    </x:row>
    <x:row r="143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  <x:c r="K143" s="24"/>
      <x:c r="L143" s="24"/>
      <x:c r="M143" s="24"/>
      <x:c r="N143" s="24"/>
      <x:c r="O143" s="24"/>
      <x:c r="P143" s="24"/>
      <x:c r="Q143" s="24"/>
      <x:c r="R143" s="24"/>
      <x:c r="S143" s="24"/>
      <x:c r="T143" s="24"/>
      <x:c r="U143" s="24"/>
      <x:c r="V143" s="24"/>
      <x:c r="W143" s="24"/>
      <x:c r="X143" s="24"/>
      <x:c r="Y143" s="24"/>
      <x:c r="Z143" s="24"/>
    </x:row>
    <x:row r="144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  <x:c r="K144" s="24"/>
      <x:c r="L144" s="24"/>
      <x:c r="M144" s="24"/>
      <x:c r="N144" s="24"/>
      <x:c r="O144" s="24"/>
      <x:c r="P144" s="24"/>
      <x:c r="Q144" s="24"/>
      <x:c r="R144" s="24"/>
      <x:c r="S144" s="24"/>
      <x:c r="T144" s="24"/>
      <x:c r="U144" s="24"/>
      <x:c r="V144" s="24"/>
      <x:c r="W144" s="24"/>
      <x:c r="X144" s="24"/>
      <x:c r="Y144" s="24"/>
      <x:c r="Z144" s="24"/>
    </x:row>
    <x:row r="145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  <x:c r="K145" s="24"/>
      <x:c r="L145" s="24"/>
      <x:c r="M145" s="24"/>
      <x:c r="N145" s="24"/>
      <x:c r="O145" s="24"/>
      <x:c r="P145" s="24"/>
      <x:c r="Q145" s="24"/>
      <x:c r="R145" s="24"/>
      <x:c r="S145" s="24"/>
      <x:c r="T145" s="24"/>
      <x:c r="U145" s="24"/>
      <x:c r="V145" s="24"/>
      <x:c r="W145" s="24"/>
      <x:c r="X145" s="24"/>
      <x:c r="Y145" s="24"/>
      <x:c r="Z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  <x:c r="K146" s="24"/>
      <x:c r="L146" s="24"/>
      <x:c r="M146" s="24"/>
      <x:c r="N146" s="24"/>
      <x:c r="O146" s="24"/>
      <x:c r="P146" s="24"/>
      <x:c r="Q146" s="24"/>
      <x:c r="R146" s="24"/>
      <x:c r="S146" s="24"/>
      <x:c r="T146" s="24"/>
      <x:c r="U146" s="24"/>
      <x:c r="V146" s="24"/>
      <x:c r="W146" s="24"/>
      <x:c r="X146" s="24"/>
      <x:c r="Y146" s="24"/>
      <x:c r="Z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  <x:c r="K147" s="24"/>
      <x:c r="L147" s="24"/>
      <x:c r="M147" s="24"/>
      <x:c r="N147" s="24"/>
      <x:c r="O147" s="24"/>
      <x:c r="P147" s="24"/>
      <x:c r="Q147" s="24"/>
      <x:c r="R147" s="24"/>
      <x:c r="S147" s="24"/>
      <x:c r="T147" s="24"/>
      <x:c r="U147" s="24"/>
      <x:c r="V147" s="24"/>
      <x:c r="W147" s="24"/>
      <x:c r="X147" s="24"/>
      <x:c r="Y147" s="24"/>
      <x:c r="Z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  <x:c r="K148" s="24"/>
      <x:c r="L148" s="24"/>
      <x:c r="M148" s="24"/>
      <x:c r="N148" s="24"/>
      <x:c r="O148" s="24"/>
      <x:c r="P148" s="24"/>
      <x:c r="Q148" s="24"/>
      <x:c r="R148" s="24"/>
      <x:c r="S148" s="24"/>
      <x:c r="T148" s="24"/>
      <x:c r="U148" s="24"/>
      <x:c r="V148" s="24"/>
      <x:c r="W148" s="24"/>
      <x:c r="X148" s="24"/>
      <x:c r="Y148" s="24"/>
      <x:c r="Z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  <x:c r="K149" s="24"/>
      <x:c r="L149" s="24"/>
      <x:c r="M149" s="24"/>
      <x:c r="N149" s="24"/>
      <x:c r="O149" s="24"/>
      <x:c r="P149" s="24"/>
      <x:c r="Q149" s="24"/>
      <x:c r="R149" s="24"/>
      <x:c r="S149" s="24"/>
      <x:c r="T149" s="24"/>
      <x:c r="U149" s="24"/>
      <x:c r="V149" s="24"/>
      <x:c r="W149" s="24"/>
      <x:c r="X149" s="24"/>
      <x:c r="Y149" s="24"/>
      <x:c r="Z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  <x:c r="L150" s="24"/>
      <x:c r="M150" s="24"/>
      <x:c r="N150" s="24"/>
      <x:c r="O150" s="24"/>
      <x:c r="P150" s="24"/>
      <x:c r="Q150" s="24"/>
      <x:c r="R150" s="24"/>
      <x:c r="S150" s="24"/>
      <x:c r="T150" s="24"/>
      <x:c r="U150" s="24"/>
      <x:c r="V150" s="24"/>
      <x:c r="W150" s="24"/>
      <x:c r="X150" s="24"/>
      <x:c r="Y150" s="24"/>
      <x:c r="Z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  <x:c r="K151" s="24"/>
      <x:c r="L151" s="24"/>
      <x:c r="M151" s="24"/>
      <x:c r="N151" s="24"/>
      <x:c r="O151" s="24"/>
      <x:c r="P151" s="24"/>
      <x:c r="Q151" s="24"/>
      <x:c r="R151" s="24"/>
      <x:c r="S151" s="24"/>
      <x:c r="T151" s="24"/>
      <x:c r="U151" s="24"/>
      <x:c r="V151" s="24"/>
      <x:c r="W151" s="24"/>
      <x:c r="X151" s="24"/>
      <x:c r="Y151" s="24"/>
      <x:c r="Z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  <x:c r="K152" s="24"/>
      <x:c r="L152" s="24"/>
      <x:c r="M152" s="24"/>
      <x:c r="N152" s="24"/>
      <x:c r="O152" s="24"/>
      <x:c r="P152" s="24"/>
      <x:c r="Q152" s="24"/>
      <x:c r="R152" s="24"/>
      <x:c r="S152" s="24"/>
      <x:c r="T152" s="24"/>
      <x:c r="U152" s="24"/>
      <x:c r="V152" s="24"/>
      <x:c r="W152" s="24"/>
      <x:c r="X152" s="24"/>
      <x:c r="Y152" s="24"/>
      <x:c r="Z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  <x:c r="K153" s="24"/>
      <x:c r="L153" s="24"/>
      <x:c r="M153" s="24"/>
      <x:c r="N153" s="24"/>
      <x:c r="O153" s="24"/>
      <x:c r="P153" s="24"/>
      <x:c r="Q153" s="24"/>
      <x:c r="R153" s="24"/>
      <x:c r="S153" s="24"/>
      <x:c r="T153" s="24"/>
      <x:c r="U153" s="24"/>
      <x:c r="V153" s="24"/>
      <x:c r="W153" s="24"/>
      <x:c r="X153" s="24"/>
      <x:c r="Y153" s="24"/>
      <x:c r="Z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  <x:c r="K154" s="24"/>
      <x:c r="L154" s="24"/>
      <x:c r="M154" s="24"/>
      <x:c r="N154" s="24"/>
      <x:c r="O154" s="24"/>
      <x:c r="P154" s="24"/>
      <x:c r="Q154" s="24"/>
      <x:c r="R154" s="24"/>
      <x:c r="S154" s="24"/>
      <x:c r="T154" s="24"/>
      <x:c r="U154" s="24"/>
      <x:c r="V154" s="24"/>
      <x:c r="W154" s="24"/>
      <x:c r="X154" s="24"/>
      <x:c r="Y154" s="24"/>
      <x:c r="Z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  <x:c r="K155" s="24"/>
      <x:c r="L155" s="24"/>
      <x:c r="M155" s="24"/>
      <x:c r="N155" s="24"/>
      <x:c r="O155" s="24"/>
      <x:c r="P155" s="24"/>
      <x:c r="Q155" s="24"/>
      <x:c r="R155" s="24"/>
      <x:c r="S155" s="24"/>
      <x:c r="T155" s="24"/>
      <x:c r="U155" s="24"/>
      <x:c r="V155" s="24"/>
      <x:c r="W155" s="24"/>
      <x:c r="X155" s="24"/>
      <x:c r="Y155" s="24"/>
      <x:c r="Z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  <x:c r="K156" s="24"/>
      <x:c r="L156" s="24"/>
      <x:c r="M156" s="24"/>
      <x:c r="N156" s="24"/>
      <x:c r="O156" s="24"/>
      <x:c r="P156" s="24"/>
      <x:c r="Q156" s="24"/>
      <x:c r="R156" s="24"/>
      <x:c r="S156" s="24"/>
      <x:c r="T156" s="24"/>
      <x:c r="U156" s="24"/>
      <x:c r="V156" s="24"/>
      <x:c r="W156" s="24"/>
      <x:c r="X156" s="24"/>
      <x:c r="Y156" s="24"/>
      <x:c r="Z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  <x:c r="K157" s="24"/>
      <x:c r="L157" s="24"/>
      <x:c r="M157" s="24"/>
      <x:c r="N157" s="24"/>
      <x:c r="O157" s="24"/>
      <x:c r="P157" s="24"/>
      <x:c r="Q157" s="24"/>
      <x:c r="R157" s="24"/>
      <x:c r="S157" s="24"/>
      <x:c r="T157" s="24"/>
      <x:c r="U157" s="24"/>
      <x:c r="V157" s="24"/>
      <x:c r="W157" s="24"/>
      <x:c r="X157" s="24"/>
      <x:c r="Y157" s="24"/>
      <x:c r="Z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  <x:c r="K158" s="24"/>
      <x:c r="L158" s="24"/>
      <x:c r="M158" s="24"/>
      <x:c r="N158" s="24"/>
      <x:c r="O158" s="24"/>
      <x:c r="P158" s="24"/>
      <x:c r="Q158" s="24"/>
      <x:c r="R158" s="24"/>
      <x:c r="S158" s="24"/>
      <x:c r="T158" s="24"/>
      <x:c r="U158" s="24"/>
      <x:c r="V158" s="24"/>
      <x:c r="W158" s="24"/>
      <x:c r="X158" s="24"/>
      <x:c r="Y158" s="24"/>
      <x:c r="Z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  <x:c r="K159" s="24"/>
      <x:c r="L159" s="24"/>
      <x:c r="M159" s="24"/>
      <x:c r="N159" s="24"/>
      <x:c r="O159" s="24"/>
      <x:c r="P159" s="24"/>
      <x:c r="Q159" s="24"/>
      <x:c r="R159" s="24"/>
      <x:c r="S159" s="24"/>
      <x:c r="T159" s="24"/>
      <x:c r="U159" s="24"/>
      <x:c r="V159" s="24"/>
      <x:c r="W159" s="24"/>
      <x:c r="X159" s="24"/>
      <x:c r="Y159" s="24"/>
      <x:c r="Z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  <x:c r="K160" s="24"/>
      <x:c r="L160" s="24"/>
      <x:c r="M160" s="24"/>
      <x:c r="N160" s="24"/>
      <x:c r="O160" s="24"/>
      <x:c r="P160" s="24"/>
      <x:c r="Q160" s="24"/>
      <x:c r="R160" s="24"/>
      <x:c r="S160" s="24"/>
      <x:c r="T160" s="24"/>
      <x:c r="U160" s="24"/>
      <x:c r="V160" s="24"/>
      <x:c r="W160" s="24"/>
      <x:c r="X160" s="24"/>
      <x:c r="Y160" s="24"/>
      <x:c r="Z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  <x:c r="K161" s="24"/>
      <x:c r="L161" s="24"/>
      <x:c r="M161" s="24"/>
      <x:c r="N161" s="24"/>
      <x:c r="O161" s="24"/>
      <x:c r="P161" s="24"/>
      <x:c r="Q161" s="24"/>
      <x:c r="R161" s="24"/>
      <x:c r="S161" s="24"/>
      <x:c r="T161" s="24"/>
      <x:c r="U161" s="24"/>
      <x:c r="V161" s="24"/>
      <x:c r="W161" s="24"/>
      <x:c r="X161" s="24"/>
      <x:c r="Y161" s="24"/>
      <x:c r="Z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  <x:c r="K162" s="24"/>
      <x:c r="L162" s="24"/>
      <x:c r="M162" s="24"/>
      <x:c r="N162" s="24"/>
      <x:c r="O162" s="24"/>
      <x:c r="P162" s="24"/>
      <x:c r="Q162" s="24"/>
      <x:c r="R162" s="24"/>
      <x:c r="S162" s="24"/>
      <x:c r="T162" s="24"/>
      <x:c r="U162" s="24"/>
      <x:c r="V162" s="24"/>
      <x:c r="W162" s="24"/>
      <x:c r="X162" s="24"/>
      <x:c r="Y162" s="24"/>
      <x:c r="Z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  <x:c r="K163" s="24"/>
      <x:c r="L163" s="24"/>
      <x:c r="M163" s="24"/>
      <x:c r="N163" s="24"/>
      <x:c r="O163" s="24"/>
      <x:c r="P163" s="24"/>
      <x:c r="Q163" s="24"/>
      <x:c r="R163" s="24"/>
      <x:c r="S163" s="24"/>
      <x:c r="T163" s="24"/>
      <x:c r="U163" s="24"/>
      <x:c r="V163" s="24"/>
      <x:c r="W163" s="24"/>
      <x:c r="X163" s="24"/>
      <x:c r="Y163" s="24"/>
      <x:c r="Z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  <x:c r="K164" s="24"/>
      <x:c r="L164" s="24"/>
      <x:c r="M164" s="24"/>
      <x:c r="N164" s="24"/>
      <x:c r="O164" s="24"/>
      <x:c r="P164" s="24"/>
      <x:c r="Q164" s="24"/>
      <x:c r="R164" s="24"/>
      <x:c r="S164" s="24"/>
      <x:c r="T164" s="24"/>
      <x:c r="U164" s="24"/>
      <x:c r="V164" s="24"/>
      <x:c r="W164" s="24"/>
      <x:c r="X164" s="24"/>
      <x:c r="Y164" s="24"/>
      <x:c r="Z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  <x:c r="K165" s="24"/>
      <x:c r="L165" s="24"/>
      <x:c r="M165" s="24"/>
      <x:c r="N165" s="24"/>
      <x:c r="O165" s="24"/>
      <x:c r="P165" s="24"/>
      <x:c r="Q165" s="24"/>
      <x:c r="R165" s="24"/>
      <x:c r="S165" s="24"/>
      <x:c r="T165" s="24"/>
      <x:c r="U165" s="24"/>
      <x:c r="V165" s="24"/>
      <x:c r="W165" s="24"/>
      <x:c r="X165" s="24"/>
      <x:c r="Y165" s="24"/>
      <x:c r="Z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  <x:c r="K166" s="24"/>
      <x:c r="L166" s="24"/>
      <x:c r="M166" s="24"/>
      <x:c r="N166" s="24"/>
      <x:c r="O166" s="24"/>
      <x:c r="P166" s="24"/>
      <x:c r="Q166" s="24"/>
      <x:c r="R166" s="24"/>
      <x:c r="S166" s="24"/>
      <x:c r="T166" s="24"/>
      <x:c r="U166" s="24"/>
      <x:c r="V166" s="24"/>
      <x:c r="W166" s="24"/>
      <x:c r="X166" s="24"/>
      <x:c r="Y166" s="24"/>
      <x:c r="Z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  <x:c r="K167" s="24"/>
      <x:c r="L167" s="24"/>
      <x:c r="M167" s="24"/>
      <x:c r="N167" s="24"/>
      <x:c r="O167" s="24"/>
      <x:c r="P167" s="24"/>
      <x:c r="Q167" s="24"/>
      <x:c r="R167" s="24"/>
      <x:c r="S167" s="24"/>
      <x:c r="T167" s="24"/>
      <x:c r="U167" s="24"/>
      <x:c r="V167" s="24"/>
      <x:c r="W167" s="24"/>
      <x:c r="X167" s="24"/>
      <x:c r="Y167" s="24"/>
      <x:c r="Z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  <x:c r="K168" s="24"/>
      <x:c r="L168" s="24"/>
      <x:c r="M168" s="24"/>
      <x:c r="N168" s="24"/>
      <x:c r="O168" s="24"/>
      <x:c r="P168" s="24"/>
      <x:c r="Q168" s="24"/>
      <x:c r="R168" s="24"/>
      <x:c r="S168" s="24"/>
      <x:c r="T168" s="24"/>
      <x:c r="U168" s="24"/>
      <x:c r="V168" s="24"/>
      <x:c r="W168" s="24"/>
      <x:c r="X168" s="24"/>
      <x:c r="Y168" s="24"/>
      <x:c r="Z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  <x:c r="K169" s="24"/>
      <x:c r="L169" s="24"/>
      <x:c r="M169" s="24"/>
      <x:c r="N169" s="24"/>
      <x:c r="O169" s="24"/>
      <x:c r="P169" s="24"/>
      <x:c r="Q169" s="24"/>
      <x:c r="R169" s="24"/>
      <x:c r="S169" s="24"/>
      <x:c r="T169" s="24"/>
      <x:c r="U169" s="24"/>
      <x:c r="V169" s="24"/>
      <x:c r="W169" s="24"/>
      <x:c r="X169" s="24"/>
      <x:c r="Y169" s="24"/>
      <x:c r="Z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  <x:c r="K170" s="24"/>
      <x:c r="L170" s="24"/>
      <x:c r="M170" s="24"/>
      <x:c r="N170" s="24"/>
      <x:c r="O170" s="24"/>
      <x:c r="P170" s="24"/>
      <x:c r="Q170" s="24"/>
      <x:c r="R170" s="24"/>
      <x:c r="S170" s="24"/>
      <x:c r="T170" s="24"/>
      <x:c r="U170" s="24"/>
      <x:c r="V170" s="24"/>
      <x:c r="W170" s="24"/>
      <x:c r="X170" s="24"/>
      <x:c r="Y170" s="24"/>
      <x:c r="Z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  <x:c r="K171" s="24"/>
      <x:c r="L171" s="24"/>
      <x:c r="M171" s="24"/>
      <x:c r="N171" s="24"/>
      <x:c r="O171" s="24"/>
      <x:c r="P171" s="24"/>
      <x:c r="Q171" s="24"/>
      <x:c r="R171" s="24"/>
      <x:c r="S171" s="24"/>
      <x:c r="T171" s="24"/>
      <x:c r="U171" s="24"/>
      <x:c r="V171" s="24"/>
      <x:c r="W171" s="24"/>
      <x:c r="X171" s="24"/>
      <x:c r="Y171" s="24"/>
      <x:c r="Z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  <x:c r="K172" s="24"/>
      <x:c r="L172" s="24"/>
      <x:c r="M172" s="24"/>
      <x:c r="N172" s="24"/>
      <x:c r="O172" s="24"/>
      <x:c r="P172" s="24"/>
      <x:c r="Q172" s="24"/>
      <x:c r="R172" s="24"/>
      <x:c r="S172" s="24"/>
      <x:c r="T172" s="24"/>
      <x:c r="U172" s="24"/>
      <x:c r="V172" s="24"/>
      <x:c r="W172" s="24"/>
      <x:c r="X172" s="24"/>
      <x:c r="Y172" s="24"/>
      <x:c r="Z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  <x:c r="K173" s="24"/>
      <x:c r="L173" s="24"/>
      <x:c r="M173" s="24"/>
      <x:c r="N173" s="24"/>
      <x:c r="O173" s="24"/>
      <x:c r="P173" s="24"/>
      <x:c r="Q173" s="24"/>
      <x:c r="R173" s="24"/>
      <x:c r="S173" s="24"/>
      <x:c r="T173" s="24"/>
      <x:c r="U173" s="24"/>
      <x:c r="V173" s="24"/>
      <x:c r="W173" s="24"/>
      <x:c r="X173" s="24"/>
      <x:c r="Y173" s="24"/>
      <x:c r="Z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  <x:c r="K174" s="24"/>
      <x:c r="L174" s="24"/>
      <x:c r="M174" s="24"/>
      <x:c r="N174" s="24"/>
      <x:c r="O174" s="24"/>
      <x:c r="P174" s="24"/>
      <x:c r="Q174" s="24"/>
      <x:c r="R174" s="24"/>
      <x:c r="S174" s="24"/>
      <x:c r="T174" s="24"/>
      <x:c r="U174" s="24"/>
      <x:c r="V174" s="24"/>
      <x:c r="W174" s="24"/>
      <x:c r="X174" s="24"/>
      <x:c r="Y174" s="24"/>
      <x:c r="Z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  <x:c r="K175" s="24"/>
      <x:c r="L175" s="24"/>
      <x:c r="M175" s="24"/>
      <x:c r="N175" s="24"/>
      <x:c r="O175" s="24"/>
      <x:c r="P175" s="24"/>
      <x:c r="Q175" s="24"/>
      <x:c r="R175" s="24"/>
      <x:c r="S175" s="24"/>
      <x:c r="T175" s="24"/>
      <x:c r="U175" s="24"/>
      <x:c r="V175" s="24"/>
      <x:c r="W175" s="24"/>
      <x:c r="X175" s="24"/>
      <x:c r="Y175" s="24"/>
      <x:c r="Z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  <x:c r="K176" s="24"/>
      <x:c r="L176" s="24"/>
      <x:c r="M176" s="24"/>
      <x:c r="N176" s="24"/>
      <x:c r="O176" s="24"/>
      <x:c r="P176" s="24"/>
      <x:c r="Q176" s="24"/>
      <x:c r="R176" s="24"/>
      <x:c r="S176" s="24"/>
      <x:c r="T176" s="24"/>
      <x:c r="U176" s="24"/>
      <x:c r="V176" s="24"/>
      <x:c r="W176" s="24"/>
      <x:c r="X176" s="24"/>
      <x:c r="Y176" s="24"/>
      <x:c r="Z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  <x:c r="K177" s="24"/>
      <x:c r="L177" s="24"/>
      <x:c r="M177" s="24"/>
      <x:c r="N177" s="24"/>
      <x:c r="O177" s="24"/>
      <x:c r="P177" s="24"/>
      <x:c r="Q177" s="24"/>
      <x:c r="R177" s="24"/>
      <x:c r="S177" s="24"/>
      <x:c r="T177" s="24"/>
      <x:c r="U177" s="24"/>
      <x:c r="V177" s="24"/>
      <x:c r="W177" s="24"/>
      <x:c r="X177" s="24"/>
      <x:c r="Y177" s="24"/>
      <x:c r="Z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  <x:c r="K178" s="24"/>
      <x:c r="L178" s="24"/>
      <x:c r="M178" s="24"/>
      <x:c r="N178" s="24"/>
      <x:c r="O178" s="24"/>
      <x:c r="P178" s="24"/>
      <x:c r="Q178" s="24"/>
      <x:c r="R178" s="24"/>
      <x:c r="S178" s="24"/>
      <x:c r="T178" s="24"/>
      <x:c r="U178" s="24"/>
      <x:c r="V178" s="24"/>
      <x:c r="W178" s="24"/>
      <x:c r="X178" s="24"/>
      <x:c r="Y178" s="24"/>
      <x:c r="Z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  <x:c r="K179" s="24"/>
      <x:c r="L179" s="24"/>
      <x:c r="M179" s="24"/>
      <x:c r="N179" s="24"/>
      <x:c r="O179" s="24"/>
      <x:c r="P179" s="24"/>
      <x:c r="Q179" s="24"/>
      <x:c r="R179" s="24"/>
      <x:c r="S179" s="24"/>
      <x:c r="T179" s="24"/>
      <x:c r="U179" s="24"/>
      <x:c r="V179" s="24"/>
      <x:c r="W179" s="24"/>
      <x:c r="X179" s="24"/>
      <x:c r="Y179" s="24"/>
      <x:c r="Z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  <x:c r="K180" s="24"/>
      <x:c r="L180" s="24"/>
      <x:c r="M180" s="24"/>
      <x:c r="N180" s="24"/>
      <x:c r="O180" s="24"/>
      <x:c r="P180" s="24"/>
      <x:c r="Q180" s="24"/>
      <x:c r="R180" s="24"/>
      <x:c r="S180" s="24"/>
      <x:c r="T180" s="24"/>
      <x:c r="U180" s="24"/>
      <x:c r="V180" s="24"/>
      <x:c r="W180" s="24"/>
      <x:c r="X180" s="24"/>
      <x:c r="Y180" s="24"/>
      <x:c r="Z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  <x:c r="K181" s="24"/>
      <x:c r="L181" s="24"/>
      <x:c r="M181" s="24"/>
      <x:c r="N181" s="24"/>
      <x:c r="O181" s="24"/>
      <x:c r="P181" s="24"/>
      <x:c r="Q181" s="24"/>
      <x:c r="R181" s="24"/>
      <x:c r="S181" s="24"/>
      <x:c r="T181" s="24"/>
      <x:c r="U181" s="24"/>
      <x:c r="V181" s="24"/>
      <x:c r="W181" s="24"/>
      <x:c r="X181" s="24"/>
      <x:c r="Y181" s="24"/>
      <x:c r="Z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  <x:c r="K182" s="24"/>
      <x:c r="L182" s="24"/>
      <x:c r="M182" s="24"/>
      <x:c r="N182" s="24"/>
      <x:c r="O182" s="24"/>
      <x:c r="P182" s="24"/>
      <x:c r="Q182" s="24"/>
      <x:c r="R182" s="24"/>
      <x:c r="S182" s="24"/>
      <x:c r="T182" s="24"/>
      <x:c r="U182" s="24"/>
      <x:c r="V182" s="24"/>
      <x:c r="W182" s="24"/>
      <x:c r="X182" s="24"/>
      <x:c r="Y182" s="24"/>
      <x:c r="Z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  <x:c r="K183" s="24"/>
      <x:c r="L183" s="24"/>
      <x:c r="M183" s="24"/>
      <x:c r="N183" s="24"/>
      <x:c r="O183" s="24"/>
      <x:c r="P183" s="24"/>
      <x:c r="Q183" s="24"/>
      <x:c r="R183" s="24"/>
      <x:c r="S183" s="24"/>
      <x:c r="T183" s="24"/>
      <x:c r="U183" s="24"/>
      <x:c r="V183" s="24"/>
      <x:c r="W183" s="24"/>
      <x:c r="X183" s="24"/>
      <x:c r="Y183" s="24"/>
      <x:c r="Z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  <x:c r="K184" s="24"/>
      <x:c r="L184" s="24"/>
      <x:c r="M184" s="24"/>
      <x:c r="N184" s="24"/>
      <x:c r="O184" s="24"/>
      <x:c r="P184" s="24"/>
      <x:c r="Q184" s="24"/>
      <x:c r="R184" s="24"/>
      <x:c r="S184" s="24"/>
      <x:c r="T184" s="24"/>
      <x:c r="U184" s="24"/>
      <x:c r="V184" s="24"/>
      <x:c r="W184" s="24"/>
      <x:c r="X184" s="24"/>
      <x:c r="Y184" s="24"/>
      <x:c r="Z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  <x:c r="K185" s="24"/>
      <x:c r="L185" s="24"/>
      <x:c r="M185" s="24"/>
      <x:c r="N185" s="24"/>
      <x:c r="O185" s="24"/>
      <x:c r="P185" s="24"/>
      <x:c r="Q185" s="24"/>
      <x:c r="R185" s="24"/>
      <x:c r="S185" s="24"/>
      <x:c r="T185" s="24"/>
      <x:c r="U185" s="24"/>
      <x:c r="V185" s="24"/>
      <x:c r="W185" s="24"/>
      <x:c r="X185" s="24"/>
      <x:c r="Y185" s="24"/>
      <x:c r="Z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  <x:c r="K186" s="24"/>
      <x:c r="L186" s="24"/>
      <x:c r="M186" s="24"/>
      <x:c r="N186" s="24"/>
      <x:c r="O186" s="24"/>
      <x:c r="P186" s="24"/>
      <x:c r="Q186" s="24"/>
      <x:c r="R186" s="24"/>
      <x:c r="S186" s="24"/>
      <x:c r="T186" s="24"/>
      <x:c r="U186" s="24"/>
      <x:c r="V186" s="24"/>
      <x:c r="W186" s="24"/>
      <x:c r="X186" s="24"/>
      <x:c r="Y186" s="24"/>
      <x:c r="Z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  <x:c r="K187" s="24"/>
      <x:c r="L187" s="24"/>
      <x:c r="M187" s="24"/>
      <x:c r="N187" s="24"/>
      <x:c r="O187" s="24"/>
      <x:c r="P187" s="24"/>
      <x:c r="Q187" s="24"/>
      <x:c r="R187" s="24"/>
      <x:c r="S187" s="24"/>
      <x:c r="T187" s="24"/>
      <x:c r="U187" s="24"/>
      <x:c r="V187" s="24"/>
      <x:c r="W187" s="24"/>
      <x:c r="X187" s="24"/>
      <x:c r="Y187" s="24"/>
      <x:c r="Z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  <x:c r="K188" s="24"/>
      <x:c r="L188" s="24"/>
      <x:c r="M188" s="24"/>
      <x:c r="N188" s="24"/>
      <x:c r="O188" s="24"/>
      <x:c r="P188" s="24"/>
      <x:c r="Q188" s="24"/>
      <x:c r="R188" s="24"/>
      <x:c r="S188" s="24"/>
      <x:c r="T188" s="24"/>
      <x:c r="U188" s="24"/>
      <x:c r="V188" s="24"/>
      <x:c r="W188" s="24"/>
      <x:c r="X188" s="24"/>
      <x:c r="Y188" s="24"/>
      <x:c r="Z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  <x:c r="K189" s="24"/>
      <x:c r="L189" s="24"/>
      <x:c r="M189" s="24"/>
      <x:c r="N189" s="24"/>
      <x:c r="O189" s="24"/>
      <x:c r="P189" s="24"/>
      <x:c r="Q189" s="24"/>
      <x:c r="R189" s="24"/>
      <x:c r="S189" s="24"/>
      <x:c r="T189" s="24"/>
      <x:c r="U189" s="24"/>
      <x:c r="V189" s="24"/>
      <x:c r="W189" s="24"/>
      <x:c r="X189" s="24"/>
      <x:c r="Y189" s="24"/>
      <x:c r="Z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  <x:c r="K190" s="24"/>
      <x:c r="L190" s="24"/>
      <x:c r="M190" s="24"/>
      <x:c r="N190" s="24"/>
      <x:c r="O190" s="24"/>
      <x:c r="P190" s="24"/>
      <x:c r="Q190" s="24"/>
      <x:c r="R190" s="24"/>
      <x:c r="S190" s="24"/>
      <x:c r="T190" s="24"/>
      <x:c r="U190" s="24"/>
      <x:c r="V190" s="24"/>
      <x:c r="W190" s="24"/>
      <x:c r="X190" s="24"/>
      <x:c r="Y190" s="24"/>
      <x:c r="Z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  <x:c r="K191" s="24"/>
      <x:c r="L191" s="24"/>
      <x:c r="M191" s="24"/>
      <x:c r="N191" s="24"/>
      <x:c r="O191" s="24"/>
      <x:c r="P191" s="24"/>
      <x:c r="Q191" s="24"/>
      <x:c r="R191" s="24"/>
      <x:c r="S191" s="24"/>
      <x:c r="T191" s="24"/>
      <x:c r="U191" s="24"/>
      <x:c r="V191" s="24"/>
      <x:c r="W191" s="24"/>
      <x:c r="X191" s="24"/>
      <x:c r="Y191" s="24"/>
      <x:c r="Z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  <x:c r="K192" s="24"/>
      <x:c r="L192" s="24"/>
      <x:c r="M192" s="24"/>
      <x:c r="N192" s="24"/>
      <x:c r="O192" s="24"/>
      <x:c r="P192" s="24"/>
      <x:c r="Q192" s="24"/>
      <x:c r="R192" s="24"/>
      <x:c r="S192" s="24"/>
      <x:c r="T192" s="24"/>
      <x:c r="U192" s="24"/>
      <x:c r="V192" s="24"/>
      <x:c r="W192" s="24"/>
      <x:c r="X192" s="24"/>
      <x:c r="Y192" s="24"/>
      <x:c r="Z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  <x:c r="K193" s="24"/>
      <x:c r="L193" s="24"/>
      <x:c r="M193" s="24"/>
      <x:c r="N193" s="24"/>
      <x:c r="O193" s="24"/>
      <x:c r="P193" s="24"/>
      <x:c r="Q193" s="24"/>
      <x:c r="R193" s="24"/>
      <x:c r="S193" s="24"/>
      <x:c r="T193" s="24"/>
      <x:c r="U193" s="24"/>
      <x:c r="V193" s="24"/>
      <x:c r="W193" s="24"/>
      <x:c r="X193" s="24"/>
      <x:c r="Y193" s="24"/>
      <x:c r="Z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  <x:c r="K194" s="24"/>
      <x:c r="L194" s="24"/>
      <x:c r="M194" s="24"/>
      <x:c r="N194" s="24"/>
      <x:c r="O194" s="24"/>
      <x:c r="P194" s="24"/>
      <x:c r="Q194" s="24"/>
      <x:c r="R194" s="24"/>
      <x:c r="S194" s="24"/>
      <x:c r="T194" s="24"/>
      <x:c r="U194" s="24"/>
      <x:c r="V194" s="24"/>
      <x:c r="W194" s="24"/>
      <x:c r="X194" s="24"/>
      <x:c r="Y194" s="24"/>
      <x:c r="Z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  <x:c r="K195" s="24"/>
      <x:c r="L195" s="24"/>
      <x:c r="M195" s="24"/>
      <x:c r="N195" s="24"/>
      <x:c r="O195" s="24"/>
      <x:c r="P195" s="24"/>
      <x:c r="Q195" s="24"/>
      <x:c r="R195" s="24"/>
      <x:c r="S195" s="24"/>
      <x:c r="T195" s="24"/>
      <x:c r="U195" s="24"/>
      <x:c r="V195" s="24"/>
      <x:c r="W195" s="24"/>
      <x:c r="X195" s="24"/>
      <x:c r="Y195" s="24"/>
      <x:c r="Z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  <x:c r="K196" s="24"/>
      <x:c r="L196" s="24"/>
      <x:c r="M196" s="24"/>
      <x:c r="N196" s="24"/>
      <x:c r="O196" s="24"/>
      <x:c r="P196" s="24"/>
      <x:c r="Q196" s="24"/>
      <x:c r="R196" s="24"/>
      <x:c r="S196" s="24"/>
      <x:c r="T196" s="24"/>
      <x:c r="U196" s="24"/>
      <x:c r="V196" s="24"/>
      <x:c r="W196" s="24"/>
      <x:c r="X196" s="24"/>
      <x:c r="Y196" s="24"/>
      <x:c r="Z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  <x:c r="K197" s="24"/>
      <x:c r="L197" s="24"/>
      <x:c r="M197" s="24"/>
      <x:c r="N197" s="24"/>
      <x:c r="O197" s="24"/>
      <x:c r="P197" s="24"/>
      <x:c r="Q197" s="24"/>
      <x:c r="R197" s="24"/>
      <x:c r="S197" s="24"/>
      <x:c r="T197" s="24"/>
      <x:c r="U197" s="24"/>
      <x:c r="V197" s="24"/>
      <x:c r="W197" s="24"/>
      <x:c r="X197" s="24"/>
      <x:c r="Y197" s="24"/>
      <x:c r="Z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  <x:c r="K198" s="24"/>
      <x:c r="L198" s="24"/>
      <x:c r="M198" s="24"/>
      <x:c r="N198" s="24"/>
      <x:c r="O198" s="24"/>
      <x:c r="P198" s="24"/>
      <x:c r="Q198" s="24"/>
      <x:c r="R198" s="24"/>
      <x:c r="S198" s="24"/>
      <x:c r="T198" s="24"/>
      <x:c r="U198" s="24"/>
      <x:c r="V198" s="24"/>
      <x:c r="W198" s="24"/>
      <x:c r="X198" s="24"/>
      <x:c r="Y198" s="24"/>
      <x:c r="Z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  <x:c r="K199" s="24"/>
      <x:c r="L199" s="24"/>
      <x:c r="M199" s="24"/>
      <x:c r="N199" s="24"/>
      <x:c r="O199" s="24"/>
      <x:c r="P199" s="24"/>
      <x:c r="Q199" s="24"/>
      <x:c r="R199" s="24"/>
      <x:c r="S199" s="24"/>
      <x:c r="T199" s="24"/>
      <x:c r="U199" s="24"/>
      <x:c r="V199" s="24"/>
      <x:c r="W199" s="24"/>
      <x:c r="X199" s="24"/>
      <x:c r="Y199" s="24"/>
      <x:c r="Z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  <x:c r="K200" s="24"/>
      <x:c r="L200" s="24"/>
      <x:c r="M200" s="24"/>
      <x:c r="N200" s="24"/>
      <x:c r="O200" s="24"/>
      <x:c r="P200" s="24"/>
      <x:c r="Q200" s="24"/>
      <x:c r="R200" s="24"/>
      <x:c r="S200" s="24"/>
      <x:c r="T200" s="24"/>
      <x:c r="U200" s="24"/>
      <x:c r="V200" s="24"/>
      <x:c r="W200" s="24"/>
      <x:c r="X200" s="24"/>
      <x:c r="Y200" s="24"/>
      <x:c r="Z200" s="24"/>
    </x:row>
  </x:sheetData>
  <x:mergeCells>
    <x:mergeCell ref="A1:E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22" t="str">
        <x:v>READ ME — HOW TO USE THIS WORKBOOK</x:v>
      </x:c>
      <x:c r="B1" s="22"/>
      <x:c r="C1" s="22"/>
      <x:c r="D1" s="22"/>
      <x:c r="E1" s="22"/>
      <x:c r="F1" s="22"/>
      <x:c r="G1" s="22"/>
      <x:c r="H1" s="22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>
      <x:c r="A2" s="24"/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  <x:c r="R2" s="24"/>
      <x:c r="S2" s="24"/>
      <x:c r="T2" s="24"/>
      <x:c r="U2" s="24"/>
      <x:c r="V2" s="24"/>
      <x:c r="W2" s="24"/>
      <x:c r="X2" s="24"/>
      <x:c r="Y2" s="24"/>
      <x:c r="Z2" s="24"/>
    </x:row>
    <x:row r="3">
      <x:c r="A3" s="83" t="str">
        <x:v>Purpose</x:v>
      </x:c>
      <x:c r="B3" s="84" t="str">
        <x:v>This workbook documents Lynde V2.1 as a Projected, not Tested, deck.</x:v>
      </x:c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  <x:c r="Q3" s="24"/>
      <x:c r="R3" s="24"/>
      <x:c r="S3" s="24"/>
      <x:c r="T3" s="24"/>
      <x:c r="U3" s="24"/>
      <x:c r="V3" s="24"/>
      <x:c r="W3" s="24"/>
      <x:c r="X3" s="24"/>
      <x:c r="Y3" s="24"/>
      <x:c r="Z3" s="24"/>
    </x:row>
    <x:row r="4">
      <x:c r="A4" s="83" t="str">
        <x:v>Current vs Projected</x:v>
      </x:c>
      <x:c r="B4" s="84" t="str">
        <x:v>Current = original user list. V2.0/V2.1 = proposed upgrades. No playtest results have been fabricated.</x:v>
      </x:c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4"/>
      <x:c r="Z4" s="24"/>
    </x:row>
    <x:row r="5">
      <x:c r="A5" s="83" t="str">
        <x:v>8 Role Groups</x:v>
      </x:c>
      <x:c r="B5" s="84" t="str">
        <x:v>1 Ramp/Mana • 2 Draw • 3 Removal • 4 Curses • 5 Curse Engines • 6 Politics/Punisher • 7 Protection/Resilience • 8 Finishers.</x:v>
      </x:c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  <x:c r="N5" s="24"/>
      <x:c r="O5" s="24"/>
      <x:c r="P5" s="24"/>
      <x:c r="Q5" s="24"/>
      <x:c r="R5" s="24"/>
      <x:c r="S5" s="24"/>
      <x:c r="T5" s="24"/>
      <x:c r="U5" s="24"/>
      <x:c r="V5" s="24"/>
      <x:c r="W5" s="24"/>
      <x:c r="X5" s="24"/>
      <x:c r="Y5" s="24"/>
      <x:c r="Z5" s="24"/>
    </x:row>
    <x:row r="6">
      <x:c r="A6" s="83" t="str">
        <x:v>Land accounting</x:v>
      </x:c>
      <x:c r="B6" s="84" t="str">
        <x:v>31 physical lands + 3 MDFCs = 34 land-functional cards.</x:v>
      </x:c>
      <x:c r="C6" s="24"/>
      <x:c r="D6" s="24"/>
      <x:c r="E6" s="24"/>
      <x:c r="F6" s="24"/>
      <x:c r="G6" s="24"/>
      <x:c r="H6" s="24"/>
      <x:c r="I6" s="24"/>
      <x:c r="J6" s="24"/>
      <x:c r="K6" s="24"/>
      <x:c r="L6" s="24"/>
      <x:c r="M6" s="24"/>
      <x:c r="N6" s="24"/>
      <x:c r="O6" s="24"/>
      <x:c r="P6" s="24"/>
      <x:c r="Q6" s="24"/>
      <x:c r="R6" s="24"/>
      <x:c r="S6" s="24"/>
      <x:c r="T6" s="24"/>
      <x:c r="U6" s="24"/>
      <x:c r="V6" s="24"/>
      <x:c r="W6" s="24"/>
      <x:c r="X6" s="24"/>
      <x:c r="Y6" s="24"/>
      <x:c r="Z6" s="24"/>
    </x:row>
    <x:row r="7">
      <x:c r="A7" s="83" t="str">
        <x:v>Curve note</x:v>
      </x:c>
      <x:c r="B7" s="84" t="str">
        <x:v>MVs are recorded for the front/castable face; lands are MV 0. Variable-cost cards are labeled in Notes where relevant.</x:v>
      </x:c>
      <x:c r="C7" s="24"/>
      <x:c r="D7" s="24"/>
      <x:c r="E7" s="24"/>
      <x:c r="F7" s="24"/>
      <x:c r="G7" s="24"/>
      <x:c r="H7" s="24"/>
      <x:c r="I7" s="24"/>
      <x:c r="J7" s="24"/>
      <x:c r="K7" s="24"/>
      <x:c r="L7" s="24"/>
      <x:c r="M7" s="24"/>
      <x:c r="N7" s="24"/>
      <x:c r="O7" s="24"/>
      <x:c r="P7" s="24"/>
      <x:c r="Q7" s="24"/>
      <x:c r="R7" s="24"/>
      <x:c r="S7" s="24"/>
      <x:c r="T7" s="24"/>
      <x:c r="U7" s="24"/>
      <x:c r="V7" s="24"/>
      <x:c r="W7" s="24"/>
      <x:c r="X7" s="24"/>
      <x:c r="Y7" s="24"/>
      <x:c r="Z7" s="24"/>
    </x:row>
    <x:row r="8">
      <x:c r="A8" s="83" t="str">
        <x:v>Score model</x:v>
      </x:c>
      <x:c r="B8" s="84" t="str">
        <x:v>Scores reflect deck fit, synergy, efficiency, speed, reliability, resilience and win contribution — not generic power alone.</x:v>
      </x:c>
      <x:c r="C8" s="24"/>
      <x:c r="D8" s="24"/>
      <x:c r="E8" s="24"/>
      <x:c r="F8" s="24"/>
      <x:c r="G8" s="24"/>
      <x:c r="H8" s="24"/>
      <x:c r="I8" s="24"/>
      <x:c r="J8" s="24"/>
      <x:c r="K8" s="24"/>
      <x:c r="L8" s="24"/>
      <x:c r="M8" s="24"/>
      <x:c r="N8" s="24"/>
      <x:c r="O8" s="24"/>
      <x:c r="P8" s="24"/>
      <x:c r="Q8" s="24"/>
      <x:c r="R8" s="24"/>
      <x:c r="S8" s="24"/>
      <x:c r="T8" s="24"/>
      <x:c r="U8" s="24"/>
      <x:c r="V8" s="24"/>
      <x:c r="W8" s="24"/>
      <x:c r="X8" s="24"/>
      <x:c r="Y8" s="24"/>
      <x:c r="Z8" s="24"/>
    </x:row>
    <x:row r="9">
      <x:c r="A9" s="83" t="str">
        <x:v>Next step</x:v>
      </x:c>
      <x:c r="B9" s="84" t="str">
        <x:v>Playtest V2.1, fill 13_Playtest Log, then move to V2.2 Tested and revise only where evidence supports it.</x:v>
      </x:c>
      <x:c r="C9" s="24"/>
      <x:c r="D9" s="24"/>
      <x:c r="E9" s="24"/>
      <x:c r="F9" s="24"/>
      <x:c r="G9" s="24"/>
      <x:c r="H9" s="24"/>
      <x:c r="I9" s="24"/>
      <x:c r="J9" s="24"/>
      <x:c r="K9" s="24"/>
      <x:c r="L9" s="24"/>
      <x:c r="M9" s="24"/>
      <x:c r="N9" s="24"/>
      <x:c r="O9" s="24"/>
      <x:c r="P9" s="24"/>
      <x:c r="Q9" s="24"/>
      <x:c r="R9" s="24"/>
      <x:c r="S9" s="24"/>
      <x:c r="T9" s="24"/>
      <x:c r="U9" s="24"/>
      <x:c r="V9" s="24"/>
      <x:c r="W9" s="24"/>
      <x:c r="X9" s="24"/>
      <x:c r="Y9" s="24"/>
      <x:c r="Z9" s="24"/>
    </x:row>
    <x:row r="10">
      <x:c r="A10" s="24"/>
      <x:c r="B10" s="24"/>
      <x:c r="C10" s="24"/>
      <x:c r="D10" s="24"/>
      <x:c r="E10" s="24"/>
      <x:c r="F10" s="24"/>
      <x:c r="G10" s="24"/>
      <x:c r="H10" s="24"/>
      <x:c r="I10" s="24"/>
      <x:c r="J10" s="24"/>
      <x:c r="K10" s="24"/>
      <x:c r="L10" s="24"/>
      <x:c r="M10" s="24"/>
      <x:c r="N10" s="24"/>
      <x:c r="O10" s="24"/>
      <x:c r="P10" s="24"/>
      <x:c r="Q10" s="24"/>
      <x:c r="R10" s="24"/>
      <x:c r="S10" s="24"/>
      <x:c r="T10" s="24"/>
      <x:c r="U10" s="24"/>
      <x:c r="V10" s="24"/>
      <x:c r="W10" s="24"/>
      <x:c r="X10" s="24"/>
      <x:c r="Y10" s="24"/>
      <x:c r="Z10" s="24"/>
    </x:row>
    <x:row r="11">
      <x:c r="A11" s="24"/>
      <x:c r="B11" s="24"/>
      <x:c r="C11" s="24"/>
      <x:c r="D11" s="24"/>
      <x:c r="E11" s="24"/>
      <x:c r="F11" s="24"/>
      <x:c r="G11" s="24"/>
      <x:c r="H11" s="24"/>
      <x:c r="I11" s="24"/>
      <x:c r="J11" s="24"/>
      <x:c r="K11" s="24"/>
      <x:c r="L11" s="24"/>
      <x:c r="M11" s="24"/>
      <x:c r="N11" s="24"/>
      <x:c r="O11" s="24"/>
      <x:c r="P11" s="24"/>
      <x:c r="Q11" s="24"/>
      <x:c r="R11" s="24"/>
      <x:c r="S11" s="24"/>
      <x:c r="T11" s="24"/>
      <x:c r="U11" s="24"/>
      <x:c r="V11" s="24"/>
      <x:c r="W11" s="24"/>
      <x:c r="X11" s="24"/>
      <x:c r="Y11" s="24"/>
      <x:c r="Z11" s="24"/>
    </x:row>
    <x:row r="12">
      <x:c r="A12" s="24"/>
      <x:c r="B12" s="24"/>
      <x:c r="C12" s="24"/>
      <x:c r="D12" s="24"/>
      <x:c r="E12" s="24"/>
      <x:c r="F12" s="24"/>
      <x:c r="G12" s="24"/>
      <x:c r="H12" s="24"/>
      <x:c r="I12" s="24"/>
      <x:c r="J12" s="24"/>
      <x:c r="K12" s="24"/>
      <x:c r="L12" s="24"/>
      <x:c r="M12" s="24"/>
      <x:c r="N12" s="24"/>
      <x:c r="O12" s="24"/>
      <x:c r="P12" s="24"/>
      <x:c r="Q12" s="24"/>
      <x:c r="R12" s="24"/>
      <x:c r="S12" s="24"/>
      <x:c r="T12" s="24"/>
      <x:c r="U12" s="24"/>
      <x:c r="V12" s="24"/>
      <x:c r="W12" s="24"/>
      <x:c r="X12" s="24"/>
      <x:c r="Y12" s="24"/>
      <x:c r="Z12" s="24"/>
    </x:row>
    <x:row r="13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  <x:c r="L13" s="24"/>
      <x:c r="M13" s="24"/>
      <x:c r="N13" s="24"/>
      <x:c r="O13" s="24"/>
      <x:c r="P13" s="24"/>
      <x:c r="Q13" s="24"/>
      <x:c r="R13" s="24"/>
      <x:c r="S13" s="24"/>
      <x:c r="T13" s="24"/>
      <x:c r="U13" s="24"/>
      <x:c r="V13" s="24"/>
      <x:c r="W13" s="24"/>
      <x:c r="X13" s="24"/>
      <x:c r="Y13" s="24"/>
      <x:c r="Z13" s="24"/>
    </x:row>
    <x:row r="14">
      <x:c r="A14" s="24"/>
      <x:c r="B14" s="24"/>
      <x:c r="C14" s="24"/>
      <x:c r="D14" s="24"/>
      <x:c r="E14" s="24"/>
      <x:c r="F14" s="24"/>
      <x:c r="G14" s="24"/>
      <x:c r="H14" s="24"/>
      <x:c r="I14" s="24"/>
      <x:c r="J14" s="24"/>
      <x:c r="K14" s="24"/>
      <x:c r="L14" s="24"/>
      <x:c r="M14" s="24"/>
      <x:c r="N14" s="24"/>
      <x:c r="O14" s="24"/>
      <x:c r="P14" s="24"/>
      <x:c r="Q14" s="24"/>
      <x:c r="R14" s="24"/>
      <x:c r="S14" s="24"/>
      <x:c r="T14" s="24"/>
      <x:c r="U14" s="24"/>
      <x:c r="V14" s="24"/>
      <x:c r="W14" s="24"/>
      <x:c r="X14" s="24"/>
      <x:c r="Y14" s="24"/>
      <x:c r="Z14" s="24"/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  <x:c r="K15" s="24"/>
      <x:c r="L15" s="24"/>
      <x:c r="M15" s="24"/>
      <x:c r="N15" s="24"/>
      <x:c r="O15" s="24"/>
      <x:c r="P15" s="24"/>
      <x:c r="Q15" s="24"/>
      <x:c r="R15" s="24"/>
      <x:c r="S15" s="24"/>
      <x:c r="T15" s="24"/>
      <x:c r="U15" s="24"/>
      <x:c r="V15" s="24"/>
      <x:c r="W15" s="24"/>
      <x:c r="X15" s="24"/>
      <x:c r="Y15" s="24"/>
      <x:c r="Z15" s="24"/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  <x:c r="K16" s="24"/>
      <x:c r="L16" s="24"/>
      <x:c r="M16" s="24"/>
      <x:c r="N16" s="24"/>
      <x:c r="O16" s="24"/>
      <x:c r="P16" s="24"/>
      <x:c r="Q16" s="24"/>
      <x:c r="R16" s="24"/>
      <x:c r="S16" s="24"/>
      <x:c r="T16" s="24"/>
      <x:c r="U16" s="24"/>
      <x:c r="V16" s="24"/>
      <x:c r="W16" s="24"/>
      <x:c r="X16" s="24"/>
      <x:c r="Y16" s="24"/>
      <x:c r="Z16" s="24"/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  <x:c r="K17" s="24"/>
      <x:c r="L17" s="24"/>
      <x:c r="M17" s="24"/>
      <x:c r="N17" s="24"/>
      <x:c r="O17" s="24"/>
      <x:c r="P17" s="24"/>
      <x:c r="Q17" s="24"/>
      <x:c r="R17" s="24"/>
      <x:c r="S17" s="24"/>
      <x:c r="T17" s="24"/>
      <x:c r="U17" s="24"/>
      <x:c r="V17" s="24"/>
      <x:c r="W17" s="24"/>
      <x:c r="X17" s="24"/>
      <x:c r="Y17" s="24"/>
      <x:c r="Z17" s="24"/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  <x:c r="L18" s="24"/>
      <x:c r="M18" s="24"/>
      <x:c r="N18" s="24"/>
      <x:c r="O18" s="24"/>
      <x:c r="P18" s="24"/>
      <x:c r="Q18" s="24"/>
      <x:c r="R18" s="24"/>
      <x:c r="S18" s="24"/>
      <x:c r="T18" s="24"/>
      <x:c r="U18" s="24"/>
      <x:c r="V18" s="24"/>
      <x:c r="W18" s="24"/>
      <x:c r="X18" s="24"/>
      <x:c r="Y18" s="24"/>
      <x:c r="Z18" s="24"/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  <x:c r="L19" s="24"/>
      <x:c r="M19" s="24"/>
      <x:c r="N19" s="24"/>
      <x:c r="O19" s="24"/>
      <x:c r="P19" s="24"/>
      <x:c r="Q19" s="24"/>
      <x:c r="R19" s="24"/>
      <x:c r="S19" s="24"/>
      <x:c r="T19" s="24"/>
      <x:c r="U19" s="24"/>
      <x:c r="V19" s="24"/>
      <x:c r="W19" s="24"/>
      <x:c r="X19" s="24"/>
      <x:c r="Y19" s="24"/>
      <x:c r="Z19" s="24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  <x:c r="L20" s="24"/>
      <x:c r="M20" s="24"/>
      <x:c r="N20" s="24"/>
      <x:c r="O20" s="24"/>
      <x:c r="P20" s="24"/>
      <x:c r="Q20" s="24"/>
      <x:c r="R20" s="24"/>
      <x:c r="S20" s="24"/>
      <x:c r="T20" s="24"/>
      <x:c r="U20" s="24"/>
      <x:c r="V20" s="24"/>
      <x:c r="W20" s="24"/>
      <x:c r="X20" s="24"/>
      <x:c r="Y20" s="24"/>
      <x:c r="Z20" s="24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  <x:c r="K21" s="24"/>
      <x:c r="L21" s="24"/>
      <x:c r="M21" s="24"/>
      <x:c r="N21" s="24"/>
      <x:c r="O21" s="24"/>
      <x:c r="P21" s="24"/>
      <x:c r="Q21" s="24"/>
      <x:c r="R21" s="24"/>
      <x:c r="S21" s="24"/>
      <x:c r="T21" s="24"/>
      <x:c r="U21" s="24"/>
      <x:c r="V21" s="24"/>
      <x:c r="W21" s="24"/>
      <x:c r="X21" s="24"/>
      <x:c r="Y21" s="24"/>
      <x:c r="Z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  <x:c r="L22" s="24"/>
      <x:c r="M22" s="24"/>
      <x:c r="N22" s="24"/>
      <x:c r="O22" s="24"/>
      <x:c r="P22" s="24"/>
      <x:c r="Q22" s="24"/>
      <x:c r="R22" s="24"/>
      <x:c r="S22" s="24"/>
      <x:c r="T22" s="24"/>
      <x:c r="U22" s="24"/>
      <x:c r="V22" s="24"/>
      <x:c r="W22" s="24"/>
      <x:c r="X22" s="24"/>
      <x:c r="Y22" s="24"/>
      <x:c r="Z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  <x:c r="L23" s="24"/>
      <x:c r="M23" s="24"/>
      <x:c r="N23" s="24"/>
      <x:c r="O23" s="24"/>
      <x:c r="P23" s="24"/>
      <x:c r="Q23" s="24"/>
      <x:c r="R23" s="24"/>
      <x:c r="S23" s="24"/>
      <x:c r="T23" s="24"/>
      <x:c r="U23" s="24"/>
      <x:c r="V23" s="24"/>
      <x:c r="W23" s="24"/>
      <x:c r="X23" s="24"/>
      <x:c r="Y23" s="24"/>
      <x:c r="Z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  <x:c r="L24" s="24"/>
      <x:c r="M24" s="24"/>
      <x:c r="N24" s="24"/>
      <x:c r="O24" s="24"/>
      <x:c r="P24" s="24"/>
      <x:c r="Q24" s="24"/>
      <x:c r="R24" s="24"/>
      <x:c r="S24" s="24"/>
      <x:c r="T24" s="24"/>
      <x:c r="U24" s="24"/>
      <x:c r="V24" s="24"/>
      <x:c r="W24" s="24"/>
      <x:c r="X24" s="24"/>
      <x:c r="Y24" s="24"/>
      <x:c r="Z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  <x:c r="K25" s="24"/>
      <x:c r="L25" s="24"/>
      <x:c r="M25" s="24"/>
      <x:c r="N25" s="24"/>
      <x:c r="O25" s="24"/>
      <x:c r="P25" s="24"/>
      <x:c r="Q25" s="24"/>
      <x:c r="R25" s="24"/>
      <x:c r="S25" s="24"/>
      <x:c r="T25" s="24"/>
      <x:c r="U25" s="24"/>
      <x:c r="V25" s="24"/>
      <x:c r="W25" s="24"/>
      <x:c r="X25" s="24"/>
      <x:c r="Y25" s="24"/>
      <x:c r="Z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  <x:c r="L26" s="24"/>
      <x:c r="M26" s="24"/>
      <x:c r="N26" s="24"/>
      <x:c r="O26" s="24"/>
      <x:c r="P26" s="24"/>
      <x:c r="Q26" s="24"/>
      <x:c r="R26" s="24"/>
      <x:c r="S26" s="24"/>
      <x:c r="T26" s="24"/>
      <x:c r="U26" s="24"/>
      <x:c r="V26" s="24"/>
      <x:c r="W26" s="24"/>
      <x:c r="X26" s="24"/>
      <x:c r="Y26" s="24"/>
      <x:c r="Z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  <x:c r="K27" s="24"/>
      <x:c r="L27" s="24"/>
      <x:c r="M27" s="24"/>
      <x:c r="N27" s="24"/>
      <x:c r="O27" s="24"/>
      <x:c r="P27" s="24"/>
      <x:c r="Q27" s="24"/>
      <x:c r="R27" s="24"/>
      <x:c r="S27" s="24"/>
      <x:c r="T27" s="24"/>
      <x:c r="U27" s="24"/>
      <x:c r="V27" s="24"/>
      <x:c r="W27" s="24"/>
      <x:c r="X27" s="24"/>
      <x:c r="Y27" s="24"/>
      <x:c r="Z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  <x:c r="K28" s="24"/>
      <x:c r="L28" s="24"/>
      <x:c r="M28" s="24"/>
      <x:c r="N28" s="24"/>
      <x:c r="O28" s="24"/>
      <x:c r="P28" s="24"/>
      <x:c r="Q28" s="24"/>
      <x:c r="R28" s="24"/>
      <x:c r="S28" s="24"/>
      <x:c r="T28" s="24"/>
      <x:c r="U28" s="24"/>
      <x:c r="V28" s="24"/>
      <x:c r="W28" s="24"/>
      <x:c r="X28" s="24"/>
      <x:c r="Y28" s="24"/>
      <x:c r="Z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  <x:c r="K29" s="24"/>
      <x:c r="L29" s="24"/>
      <x:c r="M29" s="24"/>
      <x:c r="N29" s="24"/>
      <x:c r="O29" s="24"/>
      <x:c r="P29" s="24"/>
      <x:c r="Q29" s="24"/>
      <x:c r="R29" s="24"/>
      <x:c r="S29" s="24"/>
      <x:c r="T29" s="24"/>
      <x:c r="U29" s="24"/>
      <x:c r="V29" s="24"/>
      <x:c r="W29" s="24"/>
      <x:c r="X29" s="24"/>
      <x:c r="Y29" s="24"/>
      <x:c r="Z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  <x:c r="K30" s="24"/>
      <x:c r="L30" s="24"/>
      <x:c r="M30" s="24"/>
      <x:c r="N30" s="24"/>
      <x:c r="O30" s="24"/>
      <x:c r="P30" s="24"/>
      <x:c r="Q30" s="24"/>
      <x:c r="R30" s="24"/>
      <x:c r="S30" s="24"/>
      <x:c r="T30" s="24"/>
      <x:c r="U30" s="24"/>
      <x:c r="V30" s="24"/>
      <x:c r="W30" s="24"/>
      <x:c r="X30" s="24"/>
      <x:c r="Y30" s="24"/>
      <x:c r="Z30" s="24"/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  <x:c r="K31" s="24"/>
      <x:c r="L31" s="24"/>
      <x:c r="M31" s="24"/>
      <x:c r="N31" s="24"/>
      <x:c r="O31" s="24"/>
      <x:c r="P31" s="24"/>
      <x:c r="Q31" s="24"/>
      <x:c r="R31" s="24"/>
      <x:c r="S31" s="24"/>
      <x:c r="T31" s="24"/>
      <x:c r="U31" s="24"/>
      <x:c r="V31" s="24"/>
      <x:c r="W31" s="24"/>
      <x:c r="X31" s="24"/>
      <x:c r="Y31" s="24"/>
      <x:c r="Z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  <x:c r="K32" s="24"/>
      <x:c r="L32" s="24"/>
      <x:c r="M32" s="24"/>
      <x:c r="N32" s="24"/>
      <x:c r="O32" s="24"/>
      <x:c r="P32" s="24"/>
      <x:c r="Q32" s="24"/>
      <x:c r="R32" s="24"/>
      <x:c r="S32" s="24"/>
      <x:c r="T32" s="24"/>
      <x:c r="U32" s="24"/>
      <x:c r="V32" s="24"/>
      <x:c r="W32" s="24"/>
      <x:c r="X32" s="24"/>
      <x:c r="Y32" s="24"/>
      <x:c r="Z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  <x:c r="L33" s="24"/>
      <x:c r="M33" s="24"/>
      <x:c r="N33" s="24"/>
      <x:c r="O33" s="24"/>
      <x:c r="P33" s="24"/>
      <x:c r="Q33" s="24"/>
      <x:c r="R33" s="24"/>
      <x:c r="S33" s="24"/>
      <x:c r="T33" s="24"/>
      <x:c r="U33" s="24"/>
      <x:c r="V33" s="24"/>
      <x:c r="W33" s="24"/>
      <x:c r="X33" s="24"/>
      <x:c r="Y33" s="24"/>
      <x:c r="Z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  <x:c r="K34" s="24"/>
      <x:c r="L34" s="24"/>
      <x:c r="M34" s="24"/>
      <x:c r="N34" s="24"/>
      <x:c r="O34" s="24"/>
      <x:c r="P34" s="24"/>
      <x:c r="Q34" s="24"/>
      <x:c r="R34" s="24"/>
      <x:c r="S34" s="24"/>
      <x:c r="T34" s="24"/>
      <x:c r="U34" s="24"/>
      <x:c r="V34" s="24"/>
      <x:c r="W34" s="24"/>
      <x:c r="X34" s="24"/>
      <x:c r="Y34" s="24"/>
      <x:c r="Z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  <x:c r="L35" s="24"/>
      <x:c r="M35" s="24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4"/>
      <x:c r="Z35" s="24"/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  <x:c r="K36" s="24"/>
      <x:c r="L36" s="24"/>
      <x:c r="M36" s="24"/>
      <x:c r="N36" s="24"/>
      <x:c r="O36" s="24"/>
      <x:c r="P36" s="24"/>
      <x:c r="Q36" s="24"/>
      <x:c r="R36" s="24"/>
      <x:c r="S36" s="24"/>
      <x:c r="T36" s="24"/>
      <x:c r="U36" s="24"/>
      <x:c r="V36" s="24"/>
      <x:c r="W36" s="24"/>
      <x:c r="X36" s="24"/>
      <x:c r="Y36" s="24"/>
      <x:c r="Z36" s="24"/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  <x:c r="L37" s="24"/>
      <x:c r="M37" s="24"/>
      <x:c r="N37" s="24"/>
      <x:c r="O37" s="24"/>
      <x:c r="P37" s="24"/>
      <x:c r="Q37" s="24"/>
      <x:c r="R37" s="24"/>
      <x:c r="S37" s="24"/>
      <x:c r="T37" s="24"/>
      <x:c r="U37" s="24"/>
      <x:c r="V37" s="24"/>
      <x:c r="W37" s="24"/>
      <x:c r="X37" s="24"/>
      <x:c r="Y37" s="24"/>
      <x:c r="Z37" s="24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  <x:c r="K38" s="24"/>
      <x:c r="L38" s="24"/>
      <x:c r="M38" s="24"/>
      <x:c r="N38" s="24"/>
      <x:c r="O38" s="24"/>
      <x:c r="P38" s="24"/>
      <x:c r="Q38" s="24"/>
      <x:c r="R38" s="24"/>
      <x:c r="S38" s="24"/>
      <x:c r="T38" s="24"/>
      <x:c r="U38" s="24"/>
      <x:c r="V38" s="24"/>
      <x:c r="W38" s="24"/>
      <x:c r="X38" s="24"/>
      <x:c r="Y38" s="24"/>
      <x:c r="Z38" s="24"/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  <x:c r="K39" s="24"/>
      <x:c r="L39" s="24"/>
      <x:c r="M39" s="24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4"/>
      <x:c r="Z39" s="24"/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  <x:c r="L40" s="24"/>
      <x:c r="M40" s="24"/>
      <x:c r="N40" s="24"/>
      <x:c r="O40" s="24"/>
      <x:c r="P40" s="24"/>
      <x:c r="Q40" s="24"/>
      <x:c r="R40" s="24"/>
      <x:c r="S40" s="24"/>
      <x:c r="T40" s="24"/>
      <x:c r="U40" s="24"/>
      <x:c r="V40" s="24"/>
      <x:c r="W40" s="24"/>
      <x:c r="X40" s="24"/>
      <x:c r="Y40" s="24"/>
      <x:c r="Z40" s="24"/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  <x:c r="K41" s="24"/>
      <x:c r="L41" s="24"/>
      <x:c r="M41" s="24"/>
      <x:c r="N41" s="24"/>
      <x:c r="O41" s="24"/>
      <x:c r="P41" s="24"/>
      <x:c r="Q41" s="24"/>
      <x:c r="R41" s="24"/>
      <x:c r="S41" s="24"/>
      <x:c r="T41" s="24"/>
      <x:c r="U41" s="24"/>
      <x:c r="V41" s="24"/>
      <x:c r="W41" s="24"/>
      <x:c r="X41" s="24"/>
      <x:c r="Y41" s="24"/>
      <x:c r="Z41" s="24"/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  <x:c r="L42" s="24"/>
      <x:c r="M42" s="24"/>
      <x:c r="N42" s="24"/>
      <x:c r="O42" s="24"/>
      <x:c r="P42" s="24"/>
      <x:c r="Q42" s="24"/>
      <x:c r="R42" s="24"/>
      <x:c r="S42" s="24"/>
      <x:c r="T42" s="24"/>
      <x:c r="U42" s="24"/>
      <x:c r="V42" s="24"/>
      <x:c r="W42" s="24"/>
      <x:c r="X42" s="24"/>
      <x:c r="Y42" s="24"/>
      <x:c r="Z42" s="24"/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  <x:c r="L43" s="24"/>
      <x:c r="M43" s="24"/>
      <x:c r="N43" s="24"/>
      <x:c r="O43" s="24"/>
      <x:c r="P43" s="24"/>
      <x:c r="Q43" s="24"/>
      <x:c r="R43" s="24"/>
      <x:c r="S43" s="24"/>
      <x:c r="T43" s="24"/>
      <x:c r="U43" s="24"/>
      <x:c r="V43" s="24"/>
      <x:c r="W43" s="24"/>
      <x:c r="X43" s="24"/>
      <x:c r="Y43" s="24"/>
      <x:c r="Z43" s="24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  <x:c r="L44" s="24"/>
      <x:c r="M44" s="24"/>
      <x:c r="N44" s="24"/>
      <x:c r="O44" s="24"/>
      <x:c r="P44" s="24"/>
      <x:c r="Q44" s="24"/>
      <x:c r="R44" s="24"/>
      <x:c r="S44" s="24"/>
      <x:c r="T44" s="24"/>
      <x:c r="U44" s="24"/>
      <x:c r="V44" s="24"/>
      <x:c r="W44" s="24"/>
      <x:c r="X44" s="24"/>
      <x:c r="Y44" s="24"/>
      <x:c r="Z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  <x:c r="L45" s="24"/>
      <x:c r="M45" s="24"/>
      <x:c r="N45" s="24"/>
      <x:c r="O45" s="24"/>
      <x:c r="P45" s="24"/>
      <x:c r="Q45" s="24"/>
      <x:c r="R45" s="24"/>
      <x:c r="S45" s="24"/>
      <x:c r="T45" s="24"/>
      <x:c r="U45" s="24"/>
      <x:c r="V45" s="24"/>
      <x:c r="W45" s="24"/>
      <x:c r="X45" s="24"/>
      <x:c r="Y45" s="24"/>
      <x:c r="Z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  <x:c r="L46" s="24"/>
      <x:c r="M46" s="24"/>
      <x:c r="N46" s="24"/>
      <x:c r="O46" s="24"/>
      <x:c r="P46" s="24"/>
      <x:c r="Q46" s="24"/>
      <x:c r="R46" s="24"/>
      <x:c r="S46" s="24"/>
      <x:c r="T46" s="24"/>
      <x:c r="U46" s="24"/>
      <x:c r="V46" s="24"/>
      <x:c r="W46" s="24"/>
      <x:c r="X46" s="24"/>
      <x:c r="Y46" s="24"/>
      <x:c r="Z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  <x:c r="L47" s="24"/>
      <x:c r="M47" s="24"/>
      <x:c r="N47" s="24"/>
      <x:c r="O47" s="24"/>
      <x:c r="P47" s="24"/>
      <x:c r="Q47" s="24"/>
      <x:c r="R47" s="24"/>
      <x:c r="S47" s="24"/>
      <x:c r="T47" s="24"/>
      <x:c r="U47" s="24"/>
      <x:c r="V47" s="24"/>
      <x:c r="W47" s="24"/>
      <x:c r="X47" s="24"/>
      <x:c r="Y47" s="24"/>
      <x:c r="Z47" s="24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  <x:c r="L48" s="24"/>
      <x:c r="M48" s="24"/>
      <x:c r="N48" s="24"/>
      <x:c r="O48" s="24"/>
      <x:c r="P48" s="24"/>
      <x:c r="Q48" s="24"/>
      <x:c r="R48" s="24"/>
      <x:c r="S48" s="24"/>
      <x:c r="T48" s="24"/>
      <x:c r="U48" s="24"/>
      <x:c r="V48" s="24"/>
      <x:c r="W48" s="24"/>
      <x:c r="X48" s="24"/>
      <x:c r="Y48" s="24"/>
      <x:c r="Z48" s="24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  <x:c r="L49" s="24"/>
      <x:c r="M49" s="24"/>
      <x:c r="N49" s="24"/>
      <x:c r="O49" s="24"/>
      <x:c r="P49" s="24"/>
      <x:c r="Q49" s="24"/>
      <x:c r="R49" s="24"/>
      <x:c r="S49" s="24"/>
      <x:c r="T49" s="24"/>
      <x:c r="U49" s="24"/>
      <x:c r="V49" s="24"/>
      <x:c r="W49" s="24"/>
      <x:c r="X49" s="24"/>
      <x:c r="Y49" s="24"/>
      <x:c r="Z49" s="24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  <x:c r="L50" s="24"/>
      <x:c r="M50" s="24"/>
      <x:c r="N50" s="24"/>
      <x:c r="O50" s="24"/>
      <x:c r="P50" s="24"/>
      <x:c r="Q50" s="24"/>
      <x:c r="R50" s="24"/>
      <x:c r="S50" s="24"/>
      <x:c r="T50" s="24"/>
      <x:c r="U50" s="24"/>
      <x:c r="V50" s="24"/>
      <x:c r="W50" s="24"/>
      <x:c r="X50" s="24"/>
      <x:c r="Y50" s="24"/>
      <x:c r="Z50" s="24"/>
    </x:row>
    <x:row r="51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  <x:c r="K51" s="24"/>
      <x:c r="L51" s="24"/>
      <x:c r="M51" s="24"/>
      <x:c r="N51" s="24"/>
      <x:c r="O51" s="24"/>
      <x:c r="P51" s="24"/>
      <x:c r="Q51" s="24"/>
      <x:c r="R51" s="24"/>
      <x:c r="S51" s="24"/>
      <x:c r="T51" s="24"/>
      <x:c r="U51" s="24"/>
      <x:c r="V51" s="24"/>
      <x:c r="W51" s="24"/>
      <x:c r="X51" s="24"/>
      <x:c r="Y51" s="24"/>
      <x:c r="Z51" s="24"/>
    </x:row>
    <x:row r="52">
      <x:c r="A52" s="24"/>
      <x:c r="B52" s="24"/>
      <x:c r="C52" s="24"/>
      <x:c r="D52" s="24"/>
      <x:c r="E52" s="24"/>
      <x:c r="F52" s="24"/>
      <x:c r="G52" s="24"/>
      <x:c r="H52" s="24"/>
      <x:c r="I52" s="24"/>
      <x:c r="J52" s="24"/>
      <x:c r="K52" s="24"/>
      <x:c r="L52" s="24"/>
      <x:c r="M52" s="24"/>
      <x:c r="N52" s="24"/>
      <x:c r="O52" s="24"/>
      <x:c r="P52" s="24"/>
      <x:c r="Q52" s="24"/>
      <x:c r="R52" s="24"/>
      <x:c r="S52" s="24"/>
      <x:c r="T52" s="24"/>
      <x:c r="U52" s="24"/>
      <x:c r="V52" s="24"/>
      <x:c r="W52" s="24"/>
      <x:c r="X52" s="24"/>
      <x:c r="Y52" s="24"/>
      <x:c r="Z52" s="24"/>
    </x:row>
    <x:row r="53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  <x:c r="K53" s="24"/>
      <x:c r="L53" s="24"/>
      <x:c r="M53" s="24"/>
      <x:c r="N53" s="24"/>
      <x:c r="O53" s="24"/>
      <x:c r="P53" s="24"/>
      <x:c r="Q53" s="24"/>
      <x:c r="R53" s="24"/>
      <x:c r="S53" s="24"/>
      <x:c r="T53" s="24"/>
      <x:c r="U53" s="24"/>
      <x:c r="V53" s="24"/>
      <x:c r="W53" s="24"/>
      <x:c r="X53" s="24"/>
      <x:c r="Y53" s="24"/>
      <x:c r="Z53" s="24"/>
    </x:row>
    <x:row r="54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  <x:c r="K54" s="24"/>
      <x:c r="L54" s="24"/>
      <x:c r="M54" s="24"/>
      <x:c r="N54" s="24"/>
      <x:c r="O54" s="24"/>
      <x:c r="P54" s="24"/>
      <x:c r="Q54" s="24"/>
      <x:c r="R54" s="24"/>
      <x:c r="S54" s="24"/>
      <x:c r="T54" s="24"/>
      <x:c r="U54" s="24"/>
      <x:c r="V54" s="24"/>
      <x:c r="W54" s="24"/>
      <x:c r="X54" s="24"/>
      <x:c r="Y54" s="24"/>
      <x:c r="Z54" s="24"/>
    </x:row>
    <x:row r="55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  <x:c r="K55" s="24"/>
      <x:c r="L55" s="24"/>
      <x:c r="M55" s="24"/>
      <x:c r="N55" s="24"/>
      <x:c r="O55" s="24"/>
      <x:c r="P55" s="24"/>
      <x:c r="Q55" s="24"/>
      <x:c r="R55" s="24"/>
      <x:c r="S55" s="24"/>
      <x:c r="T55" s="24"/>
      <x:c r="U55" s="24"/>
      <x:c r="V55" s="24"/>
      <x:c r="W55" s="24"/>
      <x:c r="X55" s="24"/>
      <x:c r="Y55" s="24"/>
      <x:c r="Z55" s="24"/>
    </x:row>
    <x:row r="56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  <x:c r="K56" s="24"/>
      <x:c r="L56" s="24"/>
      <x:c r="M56" s="24"/>
      <x:c r="N56" s="24"/>
      <x:c r="O56" s="24"/>
      <x:c r="P56" s="24"/>
      <x:c r="Q56" s="24"/>
      <x:c r="R56" s="24"/>
      <x:c r="S56" s="24"/>
      <x:c r="T56" s="24"/>
      <x:c r="U56" s="24"/>
      <x:c r="V56" s="24"/>
      <x:c r="W56" s="24"/>
      <x:c r="X56" s="24"/>
      <x:c r="Y56" s="24"/>
      <x:c r="Z56" s="24"/>
    </x:row>
    <x:row r="57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  <x:c r="K57" s="24"/>
      <x:c r="L57" s="24"/>
      <x:c r="M57" s="24"/>
      <x:c r="N57" s="24"/>
      <x:c r="O57" s="24"/>
      <x:c r="P57" s="24"/>
      <x:c r="Q57" s="24"/>
      <x:c r="R57" s="24"/>
      <x:c r="S57" s="24"/>
      <x:c r="T57" s="24"/>
      <x:c r="U57" s="24"/>
      <x:c r="V57" s="24"/>
      <x:c r="W57" s="24"/>
      <x:c r="X57" s="24"/>
      <x:c r="Y57" s="24"/>
      <x:c r="Z57" s="24"/>
    </x:row>
    <x:row r="58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24"/>
      <x:c r="O58" s="24"/>
      <x:c r="P58" s="24"/>
      <x:c r="Q58" s="24"/>
      <x:c r="R58" s="24"/>
      <x:c r="S58" s="24"/>
      <x:c r="T58" s="24"/>
      <x:c r="U58" s="24"/>
      <x:c r="V58" s="24"/>
      <x:c r="W58" s="24"/>
      <x:c r="X58" s="24"/>
      <x:c r="Y58" s="24"/>
      <x:c r="Z58" s="24"/>
    </x:row>
    <x:row r="59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24"/>
      <x:c r="O59" s="24"/>
      <x:c r="P59" s="24"/>
      <x:c r="Q59" s="24"/>
      <x:c r="R59" s="24"/>
      <x:c r="S59" s="24"/>
      <x:c r="T59" s="24"/>
      <x:c r="U59" s="24"/>
      <x:c r="V59" s="24"/>
      <x:c r="W59" s="24"/>
      <x:c r="X59" s="24"/>
      <x:c r="Y59" s="24"/>
      <x:c r="Z59" s="24"/>
    </x:row>
    <x:row r="60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  <x:c r="K60" s="24"/>
      <x:c r="L60" s="24"/>
      <x:c r="M60" s="24"/>
      <x:c r="N60" s="24"/>
      <x:c r="O60" s="24"/>
      <x:c r="P60" s="24"/>
      <x:c r="Q60" s="24"/>
      <x:c r="R60" s="24"/>
      <x:c r="S60" s="24"/>
      <x:c r="T60" s="24"/>
      <x:c r="U60" s="24"/>
      <x:c r="V60" s="24"/>
      <x:c r="W60" s="24"/>
      <x:c r="X60" s="24"/>
      <x:c r="Y60" s="24"/>
      <x:c r="Z60" s="24"/>
    </x:row>
    <x:row r="6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  <x:c r="K61" s="24"/>
      <x:c r="L61" s="24"/>
      <x:c r="M61" s="24"/>
      <x:c r="N61" s="24"/>
      <x:c r="O61" s="24"/>
      <x:c r="P61" s="24"/>
      <x:c r="Q61" s="24"/>
      <x:c r="R61" s="24"/>
      <x:c r="S61" s="24"/>
      <x:c r="T61" s="24"/>
      <x:c r="U61" s="24"/>
      <x:c r="V61" s="24"/>
      <x:c r="W61" s="24"/>
      <x:c r="X61" s="24"/>
      <x:c r="Y61" s="24"/>
      <x:c r="Z61" s="24"/>
    </x:row>
    <x:row r="62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  <x:c r="K62" s="24"/>
      <x:c r="L62" s="24"/>
      <x:c r="M62" s="24"/>
      <x:c r="N62" s="24"/>
      <x:c r="O62" s="24"/>
      <x:c r="P62" s="24"/>
      <x:c r="Q62" s="24"/>
      <x:c r="R62" s="24"/>
      <x:c r="S62" s="24"/>
      <x:c r="T62" s="24"/>
      <x:c r="U62" s="24"/>
      <x:c r="V62" s="24"/>
      <x:c r="W62" s="24"/>
      <x:c r="X62" s="24"/>
      <x:c r="Y62" s="24"/>
      <x:c r="Z62" s="24"/>
    </x:row>
    <x:row r="63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  <x:c r="K63" s="24"/>
      <x:c r="L63" s="24"/>
      <x:c r="M63" s="24"/>
      <x:c r="N63" s="24"/>
      <x:c r="O63" s="24"/>
      <x:c r="P63" s="24"/>
      <x:c r="Q63" s="24"/>
      <x:c r="R63" s="24"/>
      <x:c r="S63" s="24"/>
      <x:c r="T63" s="24"/>
      <x:c r="U63" s="24"/>
      <x:c r="V63" s="24"/>
      <x:c r="W63" s="24"/>
      <x:c r="X63" s="24"/>
      <x:c r="Y63" s="24"/>
      <x:c r="Z63" s="24"/>
    </x:row>
    <x:row r="64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  <x:c r="K64" s="24"/>
      <x:c r="L64" s="24"/>
      <x:c r="M64" s="24"/>
      <x:c r="N64" s="24"/>
      <x:c r="O64" s="24"/>
      <x:c r="P64" s="24"/>
      <x:c r="Q64" s="24"/>
      <x:c r="R64" s="24"/>
      <x:c r="S64" s="24"/>
      <x:c r="T64" s="24"/>
      <x:c r="U64" s="24"/>
      <x:c r="V64" s="24"/>
      <x:c r="W64" s="24"/>
      <x:c r="X64" s="24"/>
      <x:c r="Y64" s="24"/>
      <x:c r="Z64" s="24"/>
    </x:row>
    <x:row r="65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  <x:c r="K65" s="24"/>
      <x:c r="L65" s="24"/>
      <x:c r="M65" s="24"/>
      <x:c r="N65" s="24"/>
      <x:c r="O65" s="24"/>
      <x:c r="P65" s="24"/>
      <x:c r="Q65" s="24"/>
      <x:c r="R65" s="24"/>
      <x:c r="S65" s="24"/>
      <x:c r="T65" s="24"/>
      <x:c r="U65" s="24"/>
      <x:c r="V65" s="24"/>
      <x:c r="W65" s="24"/>
      <x:c r="X65" s="24"/>
      <x:c r="Y65" s="24"/>
      <x:c r="Z65" s="24"/>
    </x:row>
    <x:row r="66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  <x:c r="K66" s="24"/>
      <x:c r="L66" s="24"/>
      <x:c r="M66" s="24"/>
      <x:c r="N66" s="24"/>
      <x:c r="O66" s="24"/>
      <x:c r="P66" s="24"/>
      <x:c r="Q66" s="24"/>
      <x:c r="R66" s="24"/>
      <x:c r="S66" s="24"/>
      <x:c r="T66" s="24"/>
      <x:c r="U66" s="24"/>
      <x:c r="V66" s="24"/>
      <x:c r="W66" s="24"/>
      <x:c r="X66" s="24"/>
      <x:c r="Y66" s="24"/>
      <x:c r="Z66" s="24"/>
    </x:row>
    <x:row r="67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  <x:c r="K67" s="24"/>
      <x:c r="L67" s="24"/>
      <x:c r="M67" s="24"/>
      <x:c r="N67" s="24"/>
      <x:c r="O67" s="24"/>
      <x:c r="P67" s="24"/>
      <x:c r="Q67" s="24"/>
      <x:c r="R67" s="24"/>
      <x:c r="S67" s="24"/>
      <x:c r="T67" s="24"/>
      <x:c r="U67" s="24"/>
      <x:c r="V67" s="24"/>
      <x:c r="W67" s="24"/>
      <x:c r="X67" s="24"/>
      <x:c r="Y67" s="24"/>
      <x:c r="Z67" s="24"/>
    </x:row>
    <x:row r="68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  <x:c r="K68" s="24"/>
      <x:c r="L68" s="24"/>
      <x:c r="M68" s="24"/>
      <x:c r="N68" s="24"/>
      <x:c r="O68" s="24"/>
      <x:c r="P68" s="24"/>
      <x:c r="Q68" s="24"/>
      <x:c r="R68" s="24"/>
      <x:c r="S68" s="24"/>
      <x:c r="T68" s="24"/>
      <x:c r="U68" s="24"/>
      <x:c r="V68" s="24"/>
      <x:c r="W68" s="24"/>
      <x:c r="X68" s="24"/>
      <x:c r="Y68" s="24"/>
      <x:c r="Z68" s="24"/>
    </x:row>
    <x:row r="69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  <x:c r="K69" s="24"/>
      <x:c r="L69" s="24"/>
      <x:c r="M69" s="24"/>
      <x:c r="N69" s="24"/>
      <x:c r="O69" s="24"/>
      <x:c r="P69" s="24"/>
      <x:c r="Q69" s="24"/>
      <x:c r="R69" s="24"/>
      <x:c r="S69" s="24"/>
      <x:c r="T69" s="24"/>
      <x:c r="U69" s="24"/>
      <x:c r="V69" s="24"/>
      <x:c r="W69" s="24"/>
      <x:c r="X69" s="24"/>
      <x:c r="Y69" s="24"/>
      <x:c r="Z69" s="24"/>
    </x:row>
    <x:row r="70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  <x:c r="K70" s="24"/>
      <x:c r="L70" s="24"/>
      <x:c r="M70" s="24"/>
      <x:c r="N70" s="24"/>
      <x:c r="O70" s="24"/>
      <x:c r="P70" s="24"/>
      <x:c r="Q70" s="24"/>
      <x:c r="R70" s="24"/>
      <x:c r="S70" s="24"/>
      <x:c r="T70" s="24"/>
      <x:c r="U70" s="24"/>
      <x:c r="V70" s="24"/>
      <x:c r="W70" s="24"/>
      <x:c r="X70" s="24"/>
      <x:c r="Y70" s="24"/>
      <x:c r="Z70" s="24"/>
    </x:row>
    <x:row r="71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24"/>
      <x:c r="O71" s="24"/>
      <x:c r="P71" s="24"/>
      <x:c r="Q71" s="24"/>
      <x:c r="R71" s="24"/>
      <x:c r="S71" s="24"/>
      <x:c r="T71" s="24"/>
      <x:c r="U71" s="24"/>
      <x:c r="V71" s="24"/>
      <x:c r="W71" s="24"/>
      <x:c r="X71" s="24"/>
      <x:c r="Y71" s="24"/>
      <x:c r="Z71" s="24"/>
    </x:row>
    <x:row r="72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24"/>
      <x:c r="O72" s="24"/>
      <x:c r="P72" s="24"/>
      <x:c r="Q72" s="24"/>
      <x:c r="R72" s="24"/>
      <x:c r="S72" s="24"/>
      <x:c r="T72" s="24"/>
      <x:c r="U72" s="24"/>
      <x:c r="V72" s="24"/>
      <x:c r="W72" s="24"/>
      <x:c r="X72" s="24"/>
      <x:c r="Y72" s="24"/>
      <x:c r="Z72" s="24"/>
    </x:row>
    <x:row r="73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  <x:c r="K73" s="24"/>
      <x:c r="L73" s="24"/>
      <x:c r="M73" s="24"/>
      <x:c r="N73" s="24"/>
      <x:c r="O73" s="24"/>
      <x:c r="P73" s="24"/>
      <x:c r="Q73" s="24"/>
      <x:c r="R73" s="24"/>
      <x:c r="S73" s="24"/>
      <x:c r="T73" s="24"/>
      <x:c r="U73" s="24"/>
      <x:c r="V73" s="24"/>
      <x:c r="W73" s="24"/>
      <x:c r="X73" s="24"/>
      <x:c r="Y73" s="24"/>
      <x:c r="Z73" s="24"/>
    </x:row>
    <x:row r="74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  <x:c r="K74" s="24"/>
      <x:c r="L74" s="24"/>
      <x:c r="M74" s="24"/>
      <x:c r="N74" s="24"/>
      <x:c r="O74" s="24"/>
      <x:c r="P74" s="24"/>
      <x:c r="Q74" s="24"/>
      <x:c r="R74" s="24"/>
      <x:c r="S74" s="24"/>
      <x:c r="T74" s="24"/>
      <x:c r="U74" s="24"/>
      <x:c r="V74" s="24"/>
      <x:c r="W74" s="24"/>
      <x:c r="X74" s="24"/>
      <x:c r="Y74" s="24"/>
      <x:c r="Z74" s="24"/>
    </x:row>
    <x:row r="75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  <x:c r="K75" s="24"/>
      <x:c r="L75" s="24"/>
      <x:c r="M75" s="24"/>
      <x:c r="N75" s="24"/>
      <x:c r="O75" s="24"/>
      <x:c r="P75" s="24"/>
      <x:c r="Q75" s="24"/>
      <x:c r="R75" s="24"/>
      <x:c r="S75" s="24"/>
      <x:c r="T75" s="24"/>
      <x:c r="U75" s="24"/>
      <x:c r="V75" s="24"/>
      <x:c r="W75" s="24"/>
      <x:c r="X75" s="24"/>
      <x:c r="Y75" s="24"/>
      <x:c r="Z75" s="24"/>
    </x:row>
    <x:row r="76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  <x:c r="K76" s="24"/>
      <x:c r="L76" s="24"/>
      <x:c r="M76" s="24"/>
      <x:c r="N76" s="24"/>
      <x:c r="O76" s="24"/>
      <x:c r="P76" s="24"/>
      <x:c r="Q76" s="24"/>
      <x:c r="R76" s="24"/>
      <x:c r="S76" s="24"/>
      <x:c r="T76" s="24"/>
      <x:c r="U76" s="24"/>
      <x:c r="V76" s="24"/>
      <x:c r="W76" s="24"/>
      <x:c r="X76" s="24"/>
      <x:c r="Y76" s="24"/>
      <x:c r="Z76" s="24"/>
    </x:row>
    <x:row r="77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  <x:c r="K77" s="24"/>
      <x:c r="L77" s="24"/>
      <x:c r="M77" s="24"/>
      <x:c r="N77" s="24"/>
      <x:c r="O77" s="24"/>
      <x:c r="P77" s="24"/>
      <x:c r="Q77" s="24"/>
      <x:c r="R77" s="24"/>
      <x:c r="S77" s="24"/>
      <x:c r="T77" s="24"/>
      <x:c r="U77" s="24"/>
      <x:c r="V77" s="24"/>
      <x:c r="W77" s="24"/>
      <x:c r="X77" s="24"/>
      <x:c r="Y77" s="24"/>
      <x:c r="Z77" s="24"/>
    </x:row>
    <x:row r="78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  <x:c r="K78" s="24"/>
      <x:c r="L78" s="24"/>
      <x:c r="M78" s="24"/>
      <x:c r="N78" s="24"/>
      <x:c r="O78" s="24"/>
      <x:c r="P78" s="24"/>
      <x:c r="Q78" s="24"/>
      <x:c r="R78" s="24"/>
      <x:c r="S78" s="24"/>
      <x:c r="T78" s="24"/>
      <x:c r="U78" s="24"/>
      <x:c r="V78" s="24"/>
      <x:c r="W78" s="24"/>
      <x:c r="X78" s="24"/>
      <x:c r="Y78" s="24"/>
      <x:c r="Z78" s="24"/>
    </x:row>
    <x:row r="79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  <x:c r="K79" s="24"/>
      <x:c r="L79" s="24"/>
      <x:c r="M79" s="24"/>
      <x:c r="N79" s="24"/>
      <x:c r="O79" s="24"/>
      <x:c r="P79" s="24"/>
      <x:c r="Q79" s="24"/>
      <x:c r="R79" s="24"/>
      <x:c r="S79" s="24"/>
      <x:c r="T79" s="24"/>
      <x:c r="U79" s="24"/>
      <x:c r="V79" s="24"/>
      <x:c r="W79" s="24"/>
      <x:c r="X79" s="24"/>
      <x:c r="Y79" s="24"/>
      <x:c r="Z79" s="24"/>
    </x:row>
    <x:row r="80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  <x:c r="K80" s="24"/>
      <x:c r="L80" s="24"/>
      <x:c r="M80" s="24"/>
      <x:c r="N80" s="24"/>
      <x:c r="O80" s="24"/>
      <x:c r="P80" s="24"/>
      <x:c r="Q80" s="24"/>
      <x:c r="R80" s="24"/>
      <x:c r="S80" s="24"/>
      <x:c r="T80" s="24"/>
      <x:c r="U80" s="24"/>
      <x:c r="V80" s="24"/>
      <x:c r="W80" s="24"/>
      <x:c r="X80" s="24"/>
      <x:c r="Y80" s="24"/>
      <x:c r="Z80" s="24"/>
    </x:row>
    <x:row r="81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  <x:c r="K81" s="24"/>
      <x:c r="L81" s="24"/>
      <x:c r="M81" s="24"/>
      <x:c r="N81" s="24"/>
      <x:c r="O81" s="24"/>
      <x:c r="P81" s="24"/>
      <x:c r="Q81" s="24"/>
      <x:c r="R81" s="24"/>
      <x:c r="S81" s="24"/>
      <x:c r="T81" s="24"/>
      <x:c r="U81" s="24"/>
      <x:c r="V81" s="24"/>
      <x:c r="W81" s="24"/>
      <x:c r="X81" s="24"/>
      <x:c r="Y81" s="24"/>
      <x:c r="Z81" s="24"/>
    </x:row>
    <x:row r="82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  <x:c r="K82" s="24"/>
      <x:c r="L82" s="24"/>
      <x:c r="M82" s="24"/>
      <x:c r="N82" s="24"/>
      <x:c r="O82" s="24"/>
      <x:c r="P82" s="24"/>
      <x:c r="Q82" s="24"/>
      <x:c r="R82" s="24"/>
      <x:c r="S82" s="24"/>
      <x:c r="T82" s="24"/>
      <x:c r="U82" s="24"/>
      <x:c r="V82" s="24"/>
      <x:c r="W82" s="24"/>
      <x:c r="X82" s="24"/>
      <x:c r="Y82" s="24"/>
      <x:c r="Z82" s="24"/>
    </x:row>
    <x:row r="83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  <x:c r="K83" s="24"/>
      <x:c r="L83" s="24"/>
      <x:c r="M83" s="24"/>
      <x:c r="N83" s="24"/>
      <x:c r="O83" s="24"/>
      <x:c r="P83" s="24"/>
      <x:c r="Q83" s="24"/>
      <x:c r="R83" s="24"/>
      <x:c r="S83" s="24"/>
      <x:c r="T83" s="24"/>
      <x:c r="U83" s="24"/>
      <x:c r="V83" s="24"/>
      <x:c r="W83" s="24"/>
      <x:c r="X83" s="24"/>
      <x:c r="Y83" s="24"/>
      <x:c r="Z83" s="24"/>
    </x:row>
    <x:row r="84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24"/>
      <x:c r="O84" s="24"/>
      <x:c r="P84" s="24"/>
      <x:c r="Q84" s="24"/>
      <x:c r="R84" s="24"/>
      <x:c r="S84" s="24"/>
      <x:c r="T84" s="24"/>
      <x:c r="U84" s="24"/>
      <x:c r="V84" s="24"/>
      <x:c r="W84" s="24"/>
      <x:c r="X84" s="24"/>
      <x:c r="Y84" s="24"/>
      <x:c r="Z84" s="24"/>
    </x:row>
    <x:row r="85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24"/>
      <x:c r="O85" s="24"/>
      <x:c r="P85" s="24"/>
      <x:c r="Q85" s="24"/>
      <x:c r="R85" s="24"/>
      <x:c r="S85" s="24"/>
      <x:c r="T85" s="24"/>
      <x:c r="U85" s="24"/>
      <x:c r="V85" s="24"/>
      <x:c r="W85" s="24"/>
      <x:c r="X85" s="24"/>
      <x:c r="Y85" s="24"/>
      <x:c r="Z85" s="24"/>
    </x:row>
    <x:row r="86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  <x:c r="K86" s="24"/>
      <x:c r="L86" s="24"/>
      <x:c r="M86" s="24"/>
      <x:c r="N86" s="24"/>
      <x:c r="O86" s="24"/>
      <x:c r="P86" s="24"/>
      <x:c r="Q86" s="24"/>
      <x:c r="R86" s="24"/>
      <x:c r="S86" s="24"/>
      <x:c r="T86" s="24"/>
      <x:c r="U86" s="24"/>
      <x:c r="V86" s="24"/>
      <x:c r="W86" s="24"/>
      <x:c r="X86" s="24"/>
      <x:c r="Y86" s="24"/>
      <x:c r="Z86" s="24"/>
    </x:row>
    <x:row r="87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  <x:c r="K87" s="24"/>
      <x:c r="L87" s="24"/>
      <x:c r="M87" s="24"/>
      <x:c r="N87" s="24"/>
      <x:c r="O87" s="24"/>
      <x:c r="P87" s="24"/>
      <x:c r="Q87" s="24"/>
      <x:c r="R87" s="24"/>
      <x:c r="S87" s="24"/>
      <x:c r="T87" s="24"/>
      <x:c r="U87" s="24"/>
      <x:c r="V87" s="24"/>
      <x:c r="W87" s="24"/>
      <x:c r="X87" s="24"/>
      <x:c r="Y87" s="24"/>
      <x:c r="Z87" s="24"/>
    </x:row>
    <x:row r="88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  <x:c r="K88" s="24"/>
      <x:c r="L88" s="24"/>
      <x:c r="M88" s="24"/>
      <x:c r="N88" s="24"/>
      <x:c r="O88" s="24"/>
      <x:c r="P88" s="24"/>
      <x:c r="Q88" s="24"/>
      <x:c r="R88" s="24"/>
      <x:c r="S88" s="24"/>
      <x:c r="T88" s="24"/>
      <x:c r="U88" s="24"/>
      <x:c r="V88" s="24"/>
      <x:c r="W88" s="24"/>
      <x:c r="X88" s="24"/>
      <x:c r="Y88" s="24"/>
      <x:c r="Z88" s="24"/>
    </x:row>
    <x:row r="89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  <x:c r="K89" s="24"/>
      <x:c r="L89" s="24"/>
      <x:c r="M89" s="24"/>
      <x:c r="N89" s="24"/>
      <x:c r="O89" s="24"/>
      <x:c r="P89" s="24"/>
      <x:c r="Q89" s="24"/>
      <x:c r="R89" s="24"/>
      <x:c r="S89" s="24"/>
      <x:c r="T89" s="24"/>
      <x:c r="U89" s="24"/>
      <x:c r="V89" s="24"/>
      <x:c r="W89" s="24"/>
      <x:c r="X89" s="24"/>
      <x:c r="Y89" s="24"/>
      <x:c r="Z89" s="24"/>
    </x:row>
    <x:row r="90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  <x:c r="K90" s="24"/>
      <x:c r="L90" s="24"/>
      <x:c r="M90" s="24"/>
      <x:c r="N90" s="24"/>
      <x:c r="O90" s="24"/>
      <x:c r="P90" s="24"/>
      <x:c r="Q90" s="24"/>
      <x:c r="R90" s="24"/>
      <x:c r="S90" s="24"/>
      <x:c r="T90" s="24"/>
      <x:c r="U90" s="24"/>
      <x:c r="V90" s="24"/>
      <x:c r="W90" s="24"/>
      <x:c r="X90" s="24"/>
      <x:c r="Y90" s="24"/>
      <x:c r="Z90" s="24"/>
    </x:row>
    <x:row r="91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  <x:c r="K91" s="24"/>
      <x:c r="L91" s="24"/>
      <x:c r="M91" s="24"/>
      <x:c r="N91" s="24"/>
      <x:c r="O91" s="24"/>
      <x:c r="P91" s="24"/>
      <x:c r="Q91" s="24"/>
      <x:c r="R91" s="24"/>
      <x:c r="S91" s="24"/>
      <x:c r="T91" s="24"/>
      <x:c r="U91" s="24"/>
      <x:c r="V91" s="24"/>
      <x:c r="W91" s="24"/>
      <x:c r="X91" s="24"/>
      <x:c r="Y91" s="24"/>
      <x:c r="Z91" s="24"/>
    </x:row>
    <x:row r="92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  <x:c r="K92" s="24"/>
      <x:c r="L92" s="24"/>
      <x:c r="M92" s="24"/>
      <x:c r="N92" s="24"/>
      <x:c r="O92" s="24"/>
      <x:c r="P92" s="24"/>
      <x:c r="Q92" s="24"/>
      <x:c r="R92" s="24"/>
      <x:c r="S92" s="24"/>
      <x:c r="T92" s="24"/>
      <x:c r="U92" s="24"/>
      <x:c r="V92" s="24"/>
      <x:c r="W92" s="24"/>
      <x:c r="X92" s="24"/>
      <x:c r="Y92" s="24"/>
      <x:c r="Z92" s="24"/>
    </x:row>
    <x:row r="93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  <x:c r="K93" s="24"/>
      <x:c r="L93" s="24"/>
      <x:c r="M93" s="24"/>
      <x:c r="N93" s="24"/>
      <x:c r="O93" s="24"/>
      <x:c r="P93" s="24"/>
      <x:c r="Q93" s="24"/>
      <x:c r="R93" s="24"/>
      <x:c r="S93" s="24"/>
      <x:c r="T93" s="24"/>
      <x:c r="U93" s="24"/>
      <x:c r="V93" s="24"/>
      <x:c r="W93" s="24"/>
      <x:c r="X93" s="24"/>
      <x:c r="Y93" s="24"/>
      <x:c r="Z93" s="24"/>
    </x:row>
    <x:row r="94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  <x:c r="K94" s="24"/>
      <x:c r="L94" s="24"/>
      <x:c r="M94" s="24"/>
      <x:c r="N94" s="24"/>
      <x:c r="O94" s="24"/>
      <x:c r="P94" s="24"/>
      <x:c r="Q94" s="24"/>
      <x:c r="R94" s="24"/>
      <x:c r="S94" s="24"/>
      <x:c r="T94" s="24"/>
      <x:c r="U94" s="24"/>
      <x:c r="V94" s="24"/>
      <x:c r="W94" s="24"/>
      <x:c r="X94" s="24"/>
      <x:c r="Y94" s="24"/>
      <x:c r="Z94" s="24"/>
    </x:row>
    <x:row r="95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  <x:c r="K95" s="24"/>
      <x:c r="L95" s="24"/>
      <x:c r="M95" s="24"/>
      <x:c r="N95" s="24"/>
      <x:c r="O95" s="24"/>
      <x:c r="P95" s="24"/>
      <x:c r="Q95" s="24"/>
      <x:c r="R95" s="24"/>
      <x:c r="S95" s="24"/>
      <x:c r="T95" s="24"/>
      <x:c r="U95" s="24"/>
      <x:c r="V95" s="24"/>
      <x:c r="W95" s="24"/>
      <x:c r="X95" s="24"/>
      <x:c r="Y95" s="24"/>
      <x:c r="Z95" s="24"/>
    </x:row>
    <x:row r="96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  <x:c r="K96" s="24"/>
      <x:c r="L96" s="24"/>
      <x:c r="M96" s="24"/>
      <x:c r="N96" s="24"/>
      <x:c r="O96" s="24"/>
      <x:c r="P96" s="24"/>
      <x:c r="Q96" s="24"/>
      <x:c r="R96" s="24"/>
      <x:c r="S96" s="24"/>
      <x:c r="T96" s="24"/>
      <x:c r="U96" s="24"/>
      <x:c r="V96" s="24"/>
      <x:c r="W96" s="24"/>
      <x:c r="X96" s="24"/>
      <x:c r="Y96" s="24"/>
      <x:c r="Z96" s="24"/>
    </x:row>
    <x:row r="97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24"/>
      <x:c r="O97" s="24"/>
      <x:c r="P97" s="24"/>
      <x:c r="Q97" s="24"/>
      <x:c r="R97" s="24"/>
      <x:c r="S97" s="24"/>
      <x:c r="T97" s="24"/>
      <x:c r="U97" s="24"/>
      <x:c r="V97" s="24"/>
      <x:c r="W97" s="24"/>
      <x:c r="X97" s="24"/>
      <x:c r="Y97" s="24"/>
      <x:c r="Z97" s="24"/>
    </x:row>
    <x:row r="98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24"/>
      <x:c r="O98" s="24"/>
      <x:c r="P98" s="24"/>
      <x:c r="Q98" s="24"/>
      <x:c r="R98" s="24"/>
      <x:c r="S98" s="24"/>
      <x:c r="T98" s="24"/>
      <x:c r="U98" s="24"/>
      <x:c r="V98" s="24"/>
      <x:c r="W98" s="24"/>
      <x:c r="X98" s="24"/>
      <x:c r="Y98" s="24"/>
      <x:c r="Z98" s="24"/>
    </x:row>
    <x:row r="99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  <x:c r="K99" s="24"/>
      <x:c r="L99" s="24"/>
      <x:c r="M99" s="24"/>
      <x:c r="N99" s="24"/>
      <x:c r="O99" s="24"/>
      <x:c r="P99" s="24"/>
      <x:c r="Q99" s="24"/>
      <x:c r="R99" s="24"/>
      <x:c r="S99" s="24"/>
      <x:c r="T99" s="24"/>
      <x:c r="U99" s="24"/>
      <x:c r="V99" s="24"/>
      <x:c r="W99" s="24"/>
      <x:c r="X99" s="24"/>
      <x:c r="Y99" s="24"/>
      <x:c r="Z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  <x:c r="L100" s="24"/>
      <x:c r="M100" s="24"/>
      <x:c r="N100" s="24"/>
      <x:c r="O100" s="24"/>
      <x:c r="P100" s="24"/>
      <x:c r="Q100" s="24"/>
      <x:c r="R100" s="24"/>
      <x:c r="S100" s="24"/>
      <x:c r="T100" s="24"/>
      <x:c r="U100" s="24"/>
      <x:c r="V100" s="24"/>
      <x:c r="W100" s="24"/>
      <x:c r="X100" s="24"/>
      <x:c r="Y100" s="24"/>
      <x:c r="Z100" s="24"/>
    </x:row>
    <x:row r="101">
      <x:c r="A101" s="24"/>
      <x:c r="B101" s="24"/>
      <x:c r="C101" s="24"/>
      <x:c r="D101" s="24"/>
      <x:c r="E101" s="24"/>
      <x:c r="F101" s="24"/>
      <x:c r="G101" s="24"/>
      <x:c r="H101" s="24"/>
      <x:c r="I101" s="24"/>
      <x:c r="J101" s="24"/>
      <x:c r="K101" s="24"/>
      <x:c r="L101" s="24"/>
      <x:c r="M101" s="24"/>
      <x:c r="N101" s="24"/>
      <x:c r="O101" s="24"/>
      <x:c r="P101" s="24"/>
      <x:c r="Q101" s="24"/>
      <x:c r="R101" s="24"/>
      <x:c r="S101" s="24"/>
      <x:c r="T101" s="24"/>
      <x:c r="U101" s="24"/>
      <x:c r="V101" s="24"/>
      <x:c r="W101" s="24"/>
      <x:c r="X101" s="24"/>
      <x:c r="Y101" s="24"/>
      <x:c r="Z101" s="24"/>
    </x:row>
    <x:row r="102">
      <x:c r="A102" s="24"/>
      <x:c r="B102" s="24"/>
      <x:c r="C102" s="24"/>
      <x:c r="D102" s="24"/>
      <x:c r="E102" s="24"/>
      <x:c r="F102" s="24"/>
      <x:c r="G102" s="24"/>
      <x:c r="H102" s="24"/>
      <x:c r="I102" s="24"/>
      <x:c r="J102" s="24"/>
      <x:c r="K102" s="24"/>
      <x:c r="L102" s="24"/>
      <x:c r="M102" s="24"/>
      <x:c r="N102" s="24"/>
      <x:c r="O102" s="24"/>
      <x:c r="P102" s="24"/>
      <x:c r="Q102" s="24"/>
      <x:c r="R102" s="24"/>
      <x:c r="S102" s="24"/>
      <x:c r="T102" s="24"/>
      <x:c r="U102" s="24"/>
      <x:c r="V102" s="24"/>
      <x:c r="W102" s="24"/>
      <x:c r="X102" s="24"/>
      <x:c r="Y102" s="24"/>
      <x:c r="Z102" s="24"/>
    </x:row>
    <x:row r="103">
      <x:c r="A103" s="24"/>
      <x:c r="B103" s="24"/>
      <x:c r="C103" s="24"/>
      <x:c r="D103" s="24"/>
      <x:c r="E103" s="24"/>
      <x:c r="F103" s="24"/>
      <x:c r="G103" s="24"/>
      <x:c r="H103" s="24"/>
      <x:c r="I103" s="24"/>
      <x:c r="J103" s="24"/>
      <x:c r="K103" s="24"/>
      <x:c r="L103" s="24"/>
      <x:c r="M103" s="24"/>
      <x:c r="N103" s="24"/>
      <x:c r="O103" s="24"/>
      <x:c r="P103" s="24"/>
      <x:c r="Q103" s="24"/>
      <x:c r="R103" s="24"/>
      <x:c r="S103" s="24"/>
      <x:c r="T103" s="24"/>
      <x:c r="U103" s="24"/>
      <x:c r="V103" s="24"/>
      <x:c r="W103" s="24"/>
      <x:c r="X103" s="24"/>
      <x:c r="Y103" s="24"/>
      <x:c r="Z103" s="24"/>
    </x:row>
    <x:row r="104">
      <x:c r="A104" s="24"/>
      <x:c r="B104" s="24"/>
      <x:c r="C104" s="24"/>
      <x:c r="D104" s="24"/>
      <x:c r="E104" s="24"/>
      <x:c r="F104" s="24"/>
      <x:c r="G104" s="24"/>
      <x:c r="H104" s="24"/>
      <x:c r="I104" s="24"/>
      <x:c r="J104" s="24"/>
      <x:c r="K104" s="24"/>
      <x:c r="L104" s="24"/>
      <x:c r="M104" s="24"/>
      <x:c r="N104" s="24"/>
      <x:c r="O104" s="24"/>
      <x:c r="P104" s="24"/>
      <x:c r="Q104" s="24"/>
      <x:c r="R104" s="24"/>
      <x:c r="S104" s="24"/>
      <x:c r="T104" s="24"/>
      <x:c r="U104" s="24"/>
      <x:c r="V104" s="24"/>
      <x:c r="W104" s="24"/>
      <x:c r="X104" s="24"/>
      <x:c r="Y104" s="24"/>
      <x:c r="Z104" s="24"/>
    </x:row>
    <x:row r="105">
      <x:c r="A105" s="24"/>
      <x:c r="B105" s="24"/>
      <x:c r="C105" s="24"/>
      <x:c r="D105" s="24"/>
      <x:c r="E105" s="24"/>
      <x:c r="F105" s="24"/>
      <x:c r="G105" s="24"/>
      <x:c r="H105" s="24"/>
      <x:c r="I105" s="24"/>
      <x:c r="J105" s="24"/>
      <x:c r="K105" s="24"/>
      <x:c r="L105" s="24"/>
      <x:c r="M105" s="24"/>
      <x:c r="N105" s="24"/>
      <x:c r="O105" s="24"/>
      <x:c r="P105" s="24"/>
      <x:c r="Q105" s="24"/>
      <x:c r="R105" s="24"/>
      <x:c r="S105" s="24"/>
      <x:c r="T105" s="24"/>
      <x:c r="U105" s="24"/>
      <x:c r="V105" s="24"/>
      <x:c r="W105" s="24"/>
      <x:c r="X105" s="24"/>
      <x:c r="Y105" s="24"/>
      <x:c r="Z105" s="24"/>
    </x:row>
    <x:row r="106">
      <x:c r="A106" s="24"/>
      <x:c r="B106" s="24"/>
      <x:c r="C106" s="24"/>
      <x:c r="D106" s="24"/>
      <x:c r="E106" s="24"/>
      <x:c r="F106" s="24"/>
      <x:c r="G106" s="24"/>
      <x:c r="H106" s="24"/>
      <x:c r="I106" s="24"/>
      <x:c r="J106" s="24"/>
      <x:c r="K106" s="24"/>
      <x:c r="L106" s="24"/>
      <x:c r="M106" s="24"/>
      <x:c r="N106" s="24"/>
      <x:c r="O106" s="24"/>
      <x:c r="P106" s="24"/>
      <x:c r="Q106" s="24"/>
      <x:c r="R106" s="24"/>
      <x:c r="S106" s="24"/>
      <x:c r="T106" s="24"/>
      <x:c r="U106" s="24"/>
      <x:c r="V106" s="24"/>
      <x:c r="W106" s="24"/>
      <x:c r="X106" s="24"/>
      <x:c r="Y106" s="24"/>
      <x:c r="Z106" s="24"/>
    </x:row>
    <x:row r="107">
      <x:c r="A107" s="24"/>
      <x:c r="B107" s="24"/>
      <x:c r="C107" s="24"/>
      <x:c r="D107" s="24"/>
      <x:c r="E107" s="24"/>
      <x:c r="F107" s="24"/>
      <x:c r="G107" s="24"/>
      <x:c r="H107" s="24"/>
      <x:c r="I107" s="24"/>
      <x:c r="J107" s="24"/>
      <x:c r="K107" s="24"/>
      <x:c r="L107" s="24"/>
      <x:c r="M107" s="24"/>
      <x:c r="N107" s="24"/>
      <x:c r="O107" s="24"/>
      <x:c r="P107" s="24"/>
      <x:c r="Q107" s="24"/>
      <x:c r="R107" s="24"/>
      <x:c r="S107" s="24"/>
      <x:c r="T107" s="24"/>
      <x:c r="U107" s="24"/>
      <x:c r="V107" s="24"/>
      <x:c r="W107" s="24"/>
      <x:c r="X107" s="24"/>
      <x:c r="Y107" s="24"/>
      <x:c r="Z107" s="24"/>
    </x:row>
    <x:row r="108">
      <x:c r="A108" s="24"/>
      <x:c r="B108" s="24"/>
      <x:c r="C108" s="24"/>
      <x:c r="D108" s="24"/>
      <x:c r="E108" s="24"/>
      <x:c r="F108" s="24"/>
      <x:c r="G108" s="24"/>
      <x:c r="H108" s="24"/>
      <x:c r="I108" s="24"/>
      <x:c r="J108" s="24"/>
      <x:c r="K108" s="24"/>
      <x:c r="L108" s="24"/>
      <x:c r="M108" s="24"/>
      <x:c r="N108" s="24"/>
      <x:c r="O108" s="24"/>
      <x:c r="P108" s="24"/>
      <x:c r="Q108" s="24"/>
      <x:c r="R108" s="24"/>
      <x:c r="S108" s="24"/>
      <x:c r="T108" s="24"/>
      <x:c r="U108" s="24"/>
      <x:c r="V108" s="24"/>
      <x:c r="W108" s="24"/>
      <x:c r="X108" s="24"/>
      <x:c r="Y108" s="24"/>
      <x:c r="Z108" s="24"/>
    </x:row>
    <x:row r="109">
      <x:c r="A109" s="24"/>
      <x:c r="B109" s="24"/>
      <x:c r="C109" s="24"/>
      <x:c r="D109" s="24"/>
      <x:c r="E109" s="24"/>
      <x:c r="F109" s="24"/>
      <x:c r="G109" s="24"/>
      <x:c r="H109" s="24"/>
      <x:c r="I109" s="24"/>
      <x:c r="J109" s="24"/>
      <x:c r="K109" s="24"/>
      <x:c r="L109" s="24"/>
      <x:c r="M109" s="24"/>
      <x:c r="N109" s="24"/>
      <x:c r="O109" s="24"/>
      <x:c r="P109" s="24"/>
      <x:c r="Q109" s="24"/>
      <x:c r="R109" s="24"/>
      <x:c r="S109" s="24"/>
      <x:c r="T109" s="24"/>
      <x:c r="U109" s="24"/>
      <x:c r="V109" s="24"/>
      <x:c r="W109" s="24"/>
      <x:c r="X109" s="24"/>
      <x:c r="Y109" s="24"/>
      <x:c r="Z109" s="24"/>
    </x:row>
    <x:row r="110">
      <x:c r="A110" s="24"/>
      <x:c r="B110" s="24"/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/>
      <x:c r="M110" s="24"/>
      <x:c r="N110" s="24"/>
      <x:c r="O110" s="24"/>
      <x:c r="P110" s="24"/>
      <x:c r="Q110" s="24"/>
      <x:c r="R110" s="24"/>
      <x:c r="S110" s="24"/>
      <x:c r="T110" s="24"/>
      <x:c r="U110" s="24"/>
      <x:c r="V110" s="24"/>
      <x:c r="W110" s="24"/>
      <x:c r="X110" s="24"/>
      <x:c r="Y110" s="24"/>
      <x:c r="Z110" s="24"/>
    </x:row>
    <x:row r="111">
      <x:c r="A111" s="24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P111" s="24"/>
      <x:c r="Q111" s="24"/>
      <x:c r="R111" s="24"/>
      <x:c r="S111" s="24"/>
      <x:c r="T111" s="24"/>
      <x:c r="U111" s="24"/>
      <x:c r="V111" s="24"/>
      <x:c r="W111" s="24"/>
      <x:c r="X111" s="24"/>
      <x:c r="Y111" s="24"/>
      <x:c r="Z111" s="24"/>
    </x:row>
    <x:row r="112">
      <x:c r="A112" s="24"/>
      <x:c r="B112" s="24"/>
      <x:c r="C112" s="24"/>
      <x:c r="D112" s="24"/>
      <x:c r="E112" s="24"/>
      <x:c r="F112" s="24"/>
      <x:c r="G112" s="24"/>
      <x:c r="H112" s="24"/>
      <x:c r="I112" s="24"/>
      <x:c r="J112" s="24"/>
      <x:c r="K112" s="24"/>
      <x:c r="L112" s="24"/>
      <x:c r="M112" s="24"/>
      <x:c r="N112" s="24"/>
      <x:c r="O112" s="24"/>
      <x:c r="P112" s="24"/>
      <x:c r="Q112" s="24"/>
      <x:c r="R112" s="24"/>
      <x:c r="S112" s="24"/>
      <x:c r="T112" s="24"/>
      <x:c r="U112" s="24"/>
      <x:c r="V112" s="24"/>
      <x:c r="W112" s="24"/>
      <x:c r="X112" s="24"/>
      <x:c r="Y112" s="24"/>
      <x:c r="Z112" s="24"/>
    </x:row>
    <x:row r="113">
      <x:c r="A113" s="24"/>
      <x:c r="B113" s="24"/>
      <x:c r="C113" s="24"/>
      <x:c r="D113" s="24"/>
      <x:c r="E113" s="24"/>
      <x:c r="F113" s="24"/>
      <x:c r="G113" s="24"/>
      <x:c r="H113" s="24"/>
      <x:c r="I113" s="24"/>
      <x:c r="J113" s="24"/>
      <x:c r="K113" s="24"/>
      <x:c r="L113" s="24"/>
      <x:c r="M113" s="24"/>
      <x:c r="N113" s="24"/>
      <x:c r="O113" s="24"/>
      <x:c r="P113" s="24"/>
      <x:c r="Q113" s="24"/>
      <x:c r="R113" s="24"/>
      <x:c r="S113" s="24"/>
      <x:c r="T113" s="24"/>
      <x:c r="U113" s="24"/>
      <x:c r="V113" s="24"/>
      <x:c r="W113" s="24"/>
      <x:c r="X113" s="24"/>
      <x:c r="Y113" s="24"/>
      <x:c r="Z113" s="24"/>
    </x:row>
    <x:row r="114">
      <x:c r="A114" s="24"/>
      <x:c r="B114" s="24"/>
      <x:c r="C114" s="24"/>
      <x:c r="D114" s="24"/>
      <x:c r="E114" s="24"/>
      <x:c r="F114" s="24"/>
      <x:c r="G114" s="24"/>
      <x:c r="H114" s="24"/>
      <x:c r="I114" s="24"/>
      <x:c r="J114" s="24"/>
      <x:c r="K114" s="24"/>
      <x:c r="L114" s="24"/>
      <x:c r="M114" s="24"/>
      <x:c r="N114" s="24"/>
      <x:c r="O114" s="24"/>
      <x:c r="P114" s="24"/>
      <x:c r="Q114" s="24"/>
      <x:c r="R114" s="24"/>
      <x:c r="S114" s="24"/>
      <x:c r="T114" s="24"/>
      <x:c r="U114" s="24"/>
      <x:c r="V114" s="24"/>
      <x:c r="W114" s="24"/>
      <x:c r="X114" s="24"/>
      <x:c r="Y114" s="24"/>
      <x:c r="Z114" s="24"/>
    </x:row>
    <x:row r="115">
      <x:c r="A115" s="24"/>
      <x:c r="B115" s="24"/>
      <x:c r="C115" s="24"/>
      <x:c r="D115" s="24"/>
      <x:c r="E115" s="24"/>
      <x:c r="F115" s="24"/>
      <x:c r="G115" s="24"/>
      <x:c r="H115" s="24"/>
      <x:c r="I115" s="24"/>
      <x:c r="J115" s="24"/>
      <x:c r="K115" s="24"/>
      <x:c r="L115" s="24"/>
      <x:c r="M115" s="24"/>
      <x:c r="N115" s="24"/>
      <x:c r="O115" s="24"/>
      <x:c r="P115" s="24"/>
      <x:c r="Q115" s="24"/>
      <x:c r="R115" s="24"/>
      <x:c r="S115" s="24"/>
      <x:c r="T115" s="24"/>
      <x:c r="U115" s="24"/>
      <x:c r="V115" s="24"/>
      <x:c r="W115" s="24"/>
      <x:c r="X115" s="24"/>
      <x:c r="Y115" s="24"/>
      <x:c r="Z115" s="24"/>
    </x:row>
    <x:row r="116">
      <x:c r="A116" s="24"/>
      <x:c r="B116" s="24"/>
      <x:c r="C116" s="24"/>
      <x:c r="D116" s="24"/>
      <x:c r="E116" s="24"/>
      <x:c r="F116" s="24"/>
      <x:c r="G116" s="24"/>
      <x:c r="H116" s="24"/>
      <x:c r="I116" s="24"/>
      <x:c r="J116" s="24"/>
      <x:c r="K116" s="24"/>
      <x:c r="L116" s="24"/>
      <x:c r="M116" s="24"/>
      <x:c r="N116" s="24"/>
      <x:c r="O116" s="24"/>
      <x:c r="P116" s="24"/>
      <x:c r="Q116" s="24"/>
      <x:c r="R116" s="24"/>
      <x:c r="S116" s="24"/>
      <x:c r="T116" s="24"/>
      <x:c r="U116" s="24"/>
      <x:c r="V116" s="24"/>
      <x:c r="W116" s="24"/>
      <x:c r="X116" s="24"/>
      <x:c r="Y116" s="24"/>
      <x:c r="Z116" s="24"/>
    </x:row>
    <x:row r="117">
      <x:c r="A117" s="24"/>
      <x:c r="B117" s="24"/>
      <x:c r="C117" s="24"/>
      <x:c r="D117" s="24"/>
      <x:c r="E117" s="24"/>
      <x:c r="F117" s="24"/>
      <x:c r="G117" s="24"/>
      <x:c r="H117" s="24"/>
      <x:c r="I117" s="24"/>
      <x:c r="J117" s="24"/>
      <x:c r="K117" s="24"/>
      <x:c r="L117" s="24"/>
      <x:c r="M117" s="24"/>
      <x:c r="N117" s="24"/>
      <x:c r="O117" s="24"/>
      <x:c r="P117" s="24"/>
      <x:c r="Q117" s="24"/>
      <x:c r="R117" s="24"/>
      <x:c r="S117" s="24"/>
      <x:c r="T117" s="24"/>
      <x:c r="U117" s="24"/>
      <x:c r="V117" s="24"/>
      <x:c r="W117" s="24"/>
      <x:c r="X117" s="24"/>
      <x:c r="Y117" s="24"/>
      <x:c r="Z117" s="24"/>
    </x:row>
    <x:row r="118">
      <x:c r="A118" s="24"/>
      <x:c r="B118" s="24"/>
      <x:c r="C118" s="24"/>
      <x:c r="D118" s="24"/>
      <x:c r="E118" s="24"/>
      <x:c r="F118" s="24"/>
      <x:c r="G118" s="24"/>
      <x:c r="H118" s="24"/>
      <x:c r="I118" s="24"/>
      <x:c r="J118" s="24"/>
      <x:c r="K118" s="24"/>
      <x:c r="L118" s="24"/>
      <x:c r="M118" s="24"/>
      <x:c r="N118" s="24"/>
      <x:c r="O118" s="24"/>
      <x:c r="P118" s="24"/>
      <x:c r="Q118" s="24"/>
      <x:c r="R118" s="24"/>
      <x:c r="S118" s="24"/>
      <x:c r="T118" s="24"/>
      <x:c r="U118" s="24"/>
      <x:c r="V118" s="24"/>
      <x:c r="W118" s="24"/>
      <x:c r="X118" s="24"/>
      <x:c r="Y118" s="24"/>
      <x:c r="Z118" s="24"/>
    </x:row>
    <x:row r="119">
      <x:c r="A119" s="24"/>
      <x:c r="B119" s="24"/>
      <x:c r="C119" s="24"/>
      <x:c r="D119" s="24"/>
      <x:c r="E119" s="24"/>
      <x:c r="F119" s="24"/>
      <x:c r="G119" s="24"/>
      <x:c r="H119" s="24"/>
      <x:c r="I119" s="24"/>
      <x:c r="J119" s="24"/>
      <x:c r="K119" s="24"/>
      <x:c r="L119" s="24"/>
      <x:c r="M119" s="24"/>
      <x:c r="N119" s="24"/>
      <x:c r="O119" s="24"/>
      <x:c r="P119" s="24"/>
      <x:c r="Q119" s="24"/>
      <x:c r="R119" s="24"/>
      <x:c r="S119" s="24"/>
      <x:c r="T119" s="24"/>
      <x:c r="U119" s="24"/>
      <x:c r="V119" s="24"/>
      <x:c r="W119" s="24"/>
      <x:c r="X119" s="24"/>
      <x:c r="Y119" s="24"/>
      <x:c r="Z119" s="24"/>
    </x:row>
    <x:row r="120">
      <x:c r="A120" s="24"/>
      <x:c r="B120" s="24"/>
      <x:c r="C120" s="24"/>
      <x:c r="D120" s="24"/>
      <x:c r="E120" s="24"/>
      <x:c r="F120" s="24"/>
      <x:c r="G120" s="24"/>
      <x:c r="H120" s="24"/>
      <x:c r="I120" s="24"/>
      <x:c r="J120" s="24"/>
      <x:c r="K120" s="24"/>
      <x:c r="L120" s="24"/>
      <x:c r="M120" s="24"/>
      <x:c r="N120" s="24"/>
      <x:c r="O120" s="24"/>
      <x:c r="P120" s="24"/>
      <x:c r="Q120" s="24"/>
      <x:c r="R120" s="24"/>
      <x:c r="S120" s="24"/>
      <x:c r="T120" s="24"/>
      <x:c r="U120" s="24"/>
      <x:c r="V120" s="24"/>
      <x:c r="W120" s="24"/>
      <x:c r="X120" s="24"/>
      <x:c r="Y120" s="24"/>
      <x:c r="Z120" s="24"/>
    </x:row>
    <x:row r="12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  <x:c r="K121" s="24"/>
      <x:c r="L121" s="24"/>
      <x:c r="M121" s="24"/>
      <x:c r="N121" s="24"/>
      <x:c r="O121" s="24"/>
      <x:c r="P121" s="24"/>
      <x:c r="Q121" s="24"/>
      <x:c r="R121" s="24"/>
      <x:c r="S121" s="24"/>
      <x:c r="T121" s="24"/>
      <x:c r="U121" s="24"/>
      <x:c r="V121" s="24"/>
      <x:c r="W121" s="24"/>
      <x:c r="X121" s="24"/>
      <x:c r="Y121" s="24"/>
      <x:c r="Z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  <x:c r="K122" s="24"/>
      <x:c r="L122" s="24"/>
      <x:c r="M122" s="24"/>
      <x:c r="N122" s="24"/>
      <x:c r="O122" s="24"/>
      <x:c r="P122" s="24"/>
      <x:c r="Q122" s="24"/>
      <x:c r="R122" s="24"/>
      <x:c r="S122" s="24"/>
      <x:c r="T122" s="24"/>
      <x:c r="U122" s="24"/>
      <x:c r="V122" s="24"/>
      <x:c r="W122" s="24"/>
      <x:c r="X122" s="24"/>
      <x:c r="Y122" s="24"/>
      <x:c r="Z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  <x:c r="M123" s="24"/>
      <x:c r="N123" s="24"/>
      <x:c r="O123" s="24"/>
      <x:c r="P123" s="24"/>
      <x:c r="Q123" s="24"/>
      <x:c r="R123" s="24"/>
      <x:c r="S123" s="24"/>
      <x:c r="T123" s="24"/>
      <x:c r="U123" s="24"/>
      <x:c r="V123" s="24"/>
      <x:c r="W123" s="24"/>
      <x:c r="X123" s="24"/>
      <x:c r="Y123" s="24"/>
      <x:c r="Z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  <x:c r="M124" s="24"/>
      <x:c r="N124" s="24"/>
      <x:c r="O124" s="24"/>
      <x:c r="P124" s="24"/>
      <x:c r="Q124" s="24"/>
      <x:c r="R124" s="24"/>
      <x:c r="S124" s="24"/>
      <x:c r="T124" s="24"/>
      <x:c r="U124" s="24"/>
      <x:c r="V124" s="24"/>
      <x:c r="W124" s="24"/>
      <x:c r="X124" s="24"/>
      <x:c r="Y124" s="24"/>
      <x:c r="Z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  <x:c r="K125" s="24"/>
      <x:c r="L125" s="24"/>
      <x:c r="M125" s="24"/>
      <x:c r="N125" s="24"/>
      <x:c r="O125" s="24"/>
      <x:c r="P125" s="24"/>
      <x:c r="Q125" s="24"/>
      <x:c r="R125" s="24"/>
      <x:c r="S125" s="24"/>
      <x:c r="T125" s="24"/>
      <x:c r="U125" s="24"/>
      <x:c r="V125" s="24"/>
      <x:c r="W125" s="24"/>
      <x:c r="X125" s="24"/>
      <x:c r="Y125" s="24"/>
      <x:c r="Z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  <x:c r="K126" s="24"/>
      <x:c r="L126" s="24"/>
      <x:c r="M126" s="24"/>
      <x:c r="N126" s="24"/>
      <x:c r="O126" s="24"/>
      <x:c r="P126" s="24"/>
      <x:c r="Q126" s="24"/>
      <x:c r="R126" s="24"/>
      <x:c r="S126" s="24"/>
      <x:c r="T126" s="24"/>
      <x:c r="U126" s="24"/>
      <x:c r="V126" s="24"/>
      <x:c r="W126" s="24"/>
      <x:c r="X126" s="24"/>
      <x:c r="Y126" s="24"/>
      <x:c r="Z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  <x:c r="K127" s="24"/>
      <x:c r="L127" s="24"/>
      <x:c r="M127" s="24"/>
      <x:c r="N127" s="24"/>
      <x:c r="O127" s="24"/>
      <x:c r="P127" s="24"/>
      <x:c r="Q127" s="24"/>
      <x:c r="R127" s="24"/>
      <x:c r="S127" s="24"/>
      <x:c r="T127" s="24"/>
      <x:c r="U127" s="24"/>
      <x:c r="V127" s="24"/>
      <x:c r="W127" s="24"/>
      <x:c r="X127" s="24"/>
      <x:c r="Y127" s="24"/>
      <x:c r="Z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  <x:c r="K128" s="24"/>
      <x:c r="L128" s="24"/>
      <x:c r="M128" s="24"/>
      <x:c r="N128" s="24"/>
      <x:c r="O128" s="24"/>
      <x:c r="P128" s="24"/>
      <x:c r="Q128" s="24"/>
      <x:c r="R128" s="24"/>
      <x:c r="S128" s="24"/>
      <x:c r="T128" s="24"/>
      <x:c r="U128" s="24"/>
      <x:c r="V128" s="24"/>
      <x:c r="W128" s="24"/>
      <x:c r="X128" s="24"/>
      <x:c r="Y128" s="24"/>
      <x:c r="Z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  <x:c r="K129" s="24"/>
      <x:c r="L129" s="24"/>
      <x:c r="M129" s="24"/>
      <x:c r="N129" s="24"/>
      <x:c r="O129" s="24"/>
      <x:c r="P129" s="24"/>
      <x:c r="Q129" s="24"/>
      <x:c r="R129" s="24"/>
      <x:c r="S129" s="24"/>
      <x:c r="T129" s="24"/>
      <x:c r="U129" s="24"/>
      <x:c r="V129" s="24"/>
      <x:c r="W129" s="24"/>
      <x:c r="X129" s="24"/>
      <x:c r="Y129" s="24"/>
      <x:c r="Z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  <x:c r="K130" s="24"/>
      <x:c r="L130" s="24"/>
      <x:c r="M130" s="24"/>
      <x:c r="N130" s="24"/>
      <x:c r="O130" s="24"/>
      <x:c r="P130" s="24"/>
      <x:c r="Q130" s="24"/>
      <x:c r="R130" s="24"/>
      <x:c r="S130" s="24"/>
      <x:c r="T130" s="24"/>
      <x:c r="U130" s="24"/>
      <x:c r="V130" s="24"/>
      <x:c r="W130" s="24"/>
      <x:c r="X130" s="24"/>
      <x:c r="Y130" s="24"/>
      <x:c r="Z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  <x:c r="K131" s="24"/>
      <x:c r="L131" s="24"/>
      <x:c r="M131" s="24"/>
      <x:c r="N131" s="24"/>
      <x:c r="O131" s="24"/>
      <x:c r="P131" s="24"/>
      <x:c r="Q131" s="24"/>
      <x:c r="R131" s="24"/>
      <x:c r="S131" s="24"/>
      <x:c r="T131" s="24"/>
      <x:c r="U131" s="24"/>
      <x:c r="V131" s="24"/>
      <x:c r="W131" s="24"/>
      <x:c r="X131" s="24"/>
      <x:c r="Y131" s="24"/>
      <x:c r="Z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  <x:c r="K132" s="24"/>
      <x:c r="L132" s="24"/>
      <x:c r="M132" s="24"/>
      <x:c r="N132" s="24"/>
      <x:c r="O132" s="24"/>
      <x:c r="P132" s="24"/>
      <x:c r="Q132" s="24"/>
      <x:c r="R132" s="24"/>
      <x:c r="S132" s="24"/>
      <x:c r="T132" s="24"/>
      <x:c r="U132" s="24"/>
      <x:c r="V132" s="24"/>
      <x:c r="W132" s="24"/>
      <x:c r="X132" s="24"/>
      <x:c r="Y132" s="24"/>
      <x:c r="Z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  <x:c r="K133" s="24"/>
      <x:c r="L133" s="24"/>
      <x:c r="M133" s="24"/>
      <x:c r="N133" s="24"/>
      <x:c r="O133" s="24"/>
      <x:c r="P133" s="24"/>
      <x:c r="Q133" s="24"/>
      <x:c r="R133" s="24"/>
      <x:c r="S133" s="24"/>
      <x:c r="T133" s="24"/>
      <x:c r="U133" s="24"/>
      <x:c r="V133" s="24"/>
      <x:c r="W133" s="24"/>
      <x:c r="X133" s="24"/>
      <x:c r="Y133" s="24"/>
      <x:c r="Z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  <x:c r="K134" s="24"/>
      <x:c r="L134" s="24"/>
      <x:c r="M134" s="24"/>
      <x:c r="N134" s="24"/>
      <x:c r="O134" s="24"/>
      <x:c r="P134" s="24"/>
      <x:c r="Q134" s="24"/>
      <x:c r="R134" s="24"/>
      <x:c r="S134" s="24"/>
      <x:c r="T134" s="24"/>
      <x:c r="U134" s="24"/>
      <x:c r="V134" s="24"/>
      <x:c r="W134" s="24"/>
      <x:c r="X134" s="24"/>
      <x:c r="Y134" s="24"/>
      <x:c r="Z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  <x:c r="K135" s="24"/>
      <x:c r="L135" s="24"/>
      <x:c r="M135" s="24"/>
      <x:c r="N135" s="24"/>
      <x:c r="O135" s="24"/>
      <x:c r="P135" s="24"/>
      <x:c r="Q135" s="24"/>
      <x:c r="R135" s="24"/>
      <x:c r="S135" s="24"/>
      <x:c r="T135" s="24"/>
      <x:c r="U135" s="24"/>
      <x:c r="V135" s="24"/>
      <x:c r="W135" s="24"/>
      <x:c r="X135" s="24"/>
      <x:c r="Y135" s="24"/>
      <x:c r="Z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  <x:c r="K136" s="24"/>
      <x:c r="L136" s="24"/>
      <x:c r="M136" s="24"/>
      <x:c r="N136" s="24"/>
      <x:c r="O136" s="24"/>
      <x:c r="P136" s="24"/>
      <x:c r="Q136" s="24"/>
      <x:c r="R136" s="24"/>
      <x:c r="S136" s="24"/>
      <x:c r="T136" s="24"/>
      <x:c r="U136" s="24"/>
      <x:c r="V136" s="24"/>
      <x:c r="W136" s="24"/>
      <x:c r="X136" s="24"/>
      <x:c r="Y136" s="24"/>
      <x:c r="Z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  <x:c r="L137" s="24"/>
      <x:c r="M137" s="24"/>
      <x:c r="N137" s="24"/>
      <x:c r="O137" s="24"/>
      <x:c r="P137" s="24"/>
      <x:c r="Q137" s="24"/>
      <x:c r="R137" s="24"/>
      <x:c r="S137" s="24"/>
      <x:c r="T137" s="24"/>
      <x:c r="U137" s="24"/>
      <x:c r="V137" s="24"/>
      <x:c r="W137" s="24"/>
      <x:c r="X137" s="24"/>
      <x:c r="Y137" s="24"/>
      <x:c r="Z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  <x:c r="K138" s="24"/>
      <x:c r="L138" s="24"/>
      <x:c r="M138" s="24"/>
      <x:c r="N138" s="24"/>
      <x:c r="O138" s="24"/>
      <x:c r="P138" s="24"/>
      <x:c r="Q138" s="24"/>
      <x:c r="R138" s="24"/>
      <x:c r="S138" s="24"/>
      <x:c r="T138" s="24"/>
      <x:c r="U138" s="24"/>
      <x:c r="V138" s="24"/>
      <x:c r="W138" s="24"/>
      <x:c r="X138" s="24"/>
      <x:c r="Y138" s="24"/>
      <x:c r="Z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  <x:c r="K139" s="24"/>
      <x:c r="L139" s="24"/>
      <x:c r="M139" s="24"/>
      <x:c r="N139" s="24"/>
      <x:c r="O139" s="24"/>
      <x:c r="P139" s="24"/>
      <x:c r="Q139" s="24"/>
      <x:c r="R139" s="24"/>
      <x:c r="S139" s="24"/>
      <x:c r="T139" s="24"/>
      <x:c r="U139" s="24"/>
      <x:c r="V139" s="24"/>
      <x:c r="W139" s="24"/>
      <x:c r="X139" s="24"/>
      <x:c r="Y139" s="24"/>
      <x:c r="Z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  <x:c r="K140" s="24"/>
      <x:c r="L140" s="24"/>
      <x:c r="M140" s="24"/>
      <x:c r="N140" s="24"/>
      <x:c r="O140" s="24"/>
      <x:c r="P140" s="24"/>
      <x:c r="Q140" s="24"/>
      <x:c r="R140" s="24"/>
      <x:c r="S140" s="24"/>
      <x:c r="T140" s="24"/>
      <x:c r="U140" s="24"/>
      <x:c r="V140" s="24"/>
      <x:c r="W140" s="24"/>
      <x:c r="X140" s="24"/>
      <x:c r="Y140" s="24"/>
      <x:c r="Z140" s="24"/>
    </x:row>
    <x:row r="141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  <x:c r="K141" s="24"/>
      <x:c r="L141" s="24"/>
      <x:c r="M141" s="24"/>
      <x:c r="N141" s="24"/>
      <x:c r="O141" s="24"/>
      <x:c r="P141" s="24"/>
      <x:c r="Q141" s="24"/>
      <x:c r="R141" s="24"/>
      <x:c r="S141" s="24"/>
      <x:c r="T141" s="24"/>
      <x:c r="U141" s="24"/>
      <x:c r="V141" s="24"/>
      <x:c r="W141" s="24"/>
      <x:c r="X141" s="24"/>
      <x:c r="Y141" s="24"/>
      <x:c r="Z141" s="24"/>
    </x:row>
    <x:row r="142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  <x:c r="K142" s="24"/>
      <x:c r="L142" s="24"/>
      <x:c r="M142" s="24"/>
      <x:c r="N142" s="24"/>
      <x:c r="O142" s="24"/>
      <x:c r="P142" s="24"/>
      <x:c r="Q142" s="24"/>
      <x:c r="R142" s="24"/>
      <x:c r="S142" s="24"/>
      <x:c r="T142" s="24"/>
      <x:c r="U142" s="24"/>
      <x:c r="V142" s="24"/>
      <x:c r="W142" s="24"/>
      <x:c r="X142" s="24"/>
      <x:c r="Y142" s="24"/>
      <x:c r="Z142" s="24"/>
    </x:row>
    <x:row r="143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  <x:c r="K143" s="24"/>
      <x:c r="L143" s="24"/>
      <x:c r="M143" s="24"/>
      <x:c r="N143" s="24"/>
      <x:c r="O143" s="24"/>
      <x:c r="P143" s="24"/>
      <x:c r="Q143" s="24"/>
      <x:c r="R143" s="24"/>
      <x:c r="S143" s="24"/>
      <x:c r="T143" s="24"/>
      <x:c r="U143" s="24"/>
      <x:c r="V143" s="24"/>
      <x:c r="W143" s="24"/>
      <x:c r="X143" s="24"/>
      <x:c r="Y143" s="24"/>
      <x:c r="Z143" s="24"/>
    </x:row>
    <x:row r="144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  <x:c r="K144" s="24"/>
      <x:c r="L144" s="24"/>
      <x:c r="M144" s="24"/>
      <x:c r="N144" s="24"/>
      <x:c r="O144" s="24"/>
      <x:c r="P144" s="24"/>
      <x:c r="Q144" s="24"/>
      <x:c r="R144" s="24"/>
      <x:c r="S144" s="24"/>
      <x:c r="T144" s="24"/>
      <x:c r="U144" s="24"/>
      <x:c r="V144" s="24"/>
      <x:c r="W144" s="24"/>
      <x:c r="X144" s="24"/>
      <x:c r="Y144" s="24"/>
      <x:c r="Z144" s="24"/>
    </x:row>
    <x:row r="145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  <x:c r="K145" s="24"/>
      <x:c r="L145" s="24"/>
      <x:c r="M145" s="24"/>
      <x:c r="N145" s="24"/>
      <x:c r="O145" s="24"/>
      <x:c r="P145" s="24"/>
      <x:c r="Q145" s="24"/>
      <x:c r="R145" s="24"/>
      <x:c r="S145" s="24"/>
      <x:c r="T145" s="24"/>
      <x:c r="U145" s="24"/>
      <x:c r="V145" s="24"/>
      <x:c r="W145" s="24"/>
      <x:c r="X145" s="24"/>
      <x:c r="Y145" s="24"/>
      <x:c r="Z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  <x:c r="K146" s="24"/>
      <x:c r="L146" s="24"/>
      <x:c r="M146" s="24"/>
      <x:c r="N146" s="24"/>
      <x:c r="O146" s="24"/>
      <x:c r="P146" s="24"/>
      <x:c r="Q146" s="24"/>
      <x:c r="R146" s="24"/>
      <x:c r="S146" s="24"/>
      <x:c r="T146" s="24"/>
      <x:c r="U146" s="24"/>
      <x:c r="V146" s="24"/>
      <x:c r="W146" s="24"/>
      <x:c r="X146" s="24"/>
      <x:c r="Y146" s="24"/>
      <x:c r="Z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  <x:c r="K147" s="24"/>
      <x:c r="L147" s="24"/>
      <x:c r="M147" s="24"/>
      <x:c r="N147" s="24"/>
      <x:c r="O147" s="24"/>
      <x:c r="P147" s="24"/>
      <x:c r="Q147" s="24"/>
      <x:c r="R147" s="24"/>
      <x:c r="S147" s="24"/>
      <x:c r="T147" s="24"/>
      <x:c r="U147" s="24"/>
      <x:c r="V147" s="24"/>
      <x:c r="W147" s="24"/>
      <x:c r="X147" s="24"/>
      <x:c r="Y147" s="24"/>
      <x:c r="Z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  <x:c r="K148" s="24"/>
      <x:c r="L148" s="24"/>
      <x:c r="M148" s="24"/>
      <x:c r="N148" s="24"/>
      <x:c r="O148" s="24"/>
      <x:c r="P148" s="24"/>
      <x:c r="Q148" s="24"/>
      <x:c r="R148" s="24"/>
      <x:c r="S148" s="24"/>
      <x:c r="T148" s="24"/>
      <x:c r="U148" s="24"/>
      <x:c r="V148" s="24"/>
      <x:c r="W148" s="24"/>
      <x:c r="X148" s="24"/>
      <x:c r="Y148" s="24"/>
      <x:c r="Z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  <x:c r="K149" s="24"/>
      <x:c r="L149" s="24"/>
      <x:c r="M149" s="24"/>
      <x:c r="N149" s="24"/>
      <x:c r="O149" s="24"/>
      <x:c r="P149" s="24"/>
      <x:c r="Q149" s="24"/>
      <x:c r="R149" s="24"/>
      <x:c r="S149" s="24"/>
      <x:c r="T149" s="24"/>
      <x:c r="U149" s="24"/>
      <x:c r="V149" s="24"/>
      <x:c r="W149" s="24"/>
      <x:c r="X149" s="24"/>
      <x:c r="Y149" s="24"/>
      <x:c r="Z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  <x:c r="L150" s="24"/>
      <x:c r="M150" s="24"/>
      <x:c r="N150" s="24"/>
      <x:c r="O150" s="24"/>
      <x:c r="P150" s="24"/>
      <x:c r="Q150" s="24"/>
      <x:c r="R150" s="24"/>
      <x:c r="S150" s="24"/>
      <x:c r="T150" s="24"/>
      <x:c r="U150" s="24"/>
      <x:c r="V150" s="24"/>
      <x:c r="W150" s="24"/>
      <x:c r="X150" s="24"/>
      <x:c r="Y150" s="24"/>
      <x:c r="Z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  <x:c r="K151" s="24"/>
      <x:c r="L151" s="24"/>
      <x:c r="M151" s="24"/>
      <x:c r="N151" s="24"/>
      <x:c r="O151" s="24"/>
      <x:c r="P151" s="24"/>
      <x:c r="Q151" s="24"/>
      <x:c r="R151" s="24"/>
      <x:c r="S151" s="24"/>
      <x:c r="T151" s="24"/>
      <x:c r="U151" s="24"/>
      <x:c r="V151" s="24"/>
      <x:c r="W151" s="24"/>
      <x:c r="X151" s="24"/>
      <x:c r="Y151" s="24"/>
      <x:c r="Z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  <x:c r="K152" s="24"/>
      <x:c r="L152" s="24"/>
      <x:c r="M152" s="24"/>
      <x:c r="N152" s="24"/>
      <x:c r="O152" s="24"/>
      <x:c r="P152" s="24"/>
      <x:c r="Q152" s="24"/>
      <x:c r="R152" s="24"/>
      <x:c r="S152" s="24"/>
      <x:c r="T152" s="24"/>
      <x:c r="U152" s="24"/>
      <x:c r="V152" s="24"/>
      <x:c r="W152" s="24"/>
      <x:c r="X152" s="24"/>
      <x:c r="Y152" s="24"/>
      <x:c r="Z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  <x:c r="K153" s="24"/>
      <x:c r="L153" s="24"/>
      <x:c r="M153" s="24"/>
      <x:c r="N153" s="24"/>
      <x:c r="O153" s="24"/>
      <x:c r="P153" s="24"/>
      <x:c r="Q153" s="24"/>
      <x:c r="R153" s="24"/>
      <x:c r="S153" s="24"/>
      <x:c r="T153" s="24"/>
      <x:c r="U153" s="24"/>
      <x:c r="V153" s="24"/>
      <x:c r="W153" s="24"/>
      <x:c r="X153" s="24"/>
      <x:c r="Y153" s="24"/>
      <x:c r="Z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  <x:c r="K154" s="24"/>
      <x:c r="L154" s="24"/>
      <x:c r="M154" s="24"/>
      <x:c r="N154" s="24"/>
      <x:c r="O154" s="24"/>
      <x:c r="P154" s="24"/>
      <x:c r="Q154" s="24"/>
      <x:c r="R154" s="24"/>
      <x:c r="S154" s="24"/>
      <x:c r="T154" s="24"/>
      <x:c r="U154" s="24"/>
      <x:c r="V154" s="24"/>
      <x:c r="W154" s="24"/>
      <x:c r="X154" s="24"/>
      <x:c r="Y154" s="24"/>
      <x:c r="Z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  <x:c r="K155" s="24"/>
      <x:c r="L155" s="24"/>
      <x:c r="M155" s="24"/>
      <x:c r="N155" s="24"/>
      <x:c r="O155" s="24"/>
      <x:c r="P155" s="24"/>
      <x:c r="Q155" s="24"/>
      <x:c r="R155" s="24"/>
      <x:c r="S155" s="24"/>
      <x:c r="T155" s="24"/>
      <x:c r="U155" s="24"/>
      <x:c r="V155" s="24"/>
      <x:c r="W155" s="24"/>
      <x:c r="X155" s="24"/>
      <x:c r="Y155" s="24"/>
      <x:c r="Z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  <x:c r="K156" s="24"/>
      <x:c r="L156" s="24"/>
      <x:c r="M156" s="24"/>
      <x:c r="N156" s="24"/>
      <x:c r="O156" s="24"/>
      <x:c r="P156" s="24"/>
      <x:c r="Q156" s="24"/>
      <x:c r="R156" s="24"/>
      <x:c r="S156" s="24"/>
      <x:c r="T156" s="24"/>
      <x:c r="U156" s="24"/>
      <x:c r="V156" s="24"/>
      <x:c r="W156" s="24"/>
      <x:c r="X156" s="24"/>
      <x:c r="Y156" s="24"/>
      <x:c r="Z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  <x:c r="K157" s="24"/>
      <x:c r="L157" s="24"/>
      <x:c r="M157" s="24"/>
      <x:c r="N157" s="24"/>
      <x:c r="O157" s="24"/>
      <x:c r="P157" s="24"/>
      <x:c r="Q157" s="24"/>
      <x:c r="R157" s="24"/>
      <x:c r="S157" s="24"/>
      <x:c r="T157" s="24"/>
      <x:c r="U157" s="24"/>
      <x:c r="V157" s="24"/>
      <x:c r="W157" s="24"/>
      <x:c r="X157" s="24"/>
      <x:c r="Y157" s="24"/>
      <x:c r="Z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  <x:c r="K158" s="24"/>
      <x:c r="L158" s="24"/>
      <x:c r="M158" s="24"/>
      <x:c r="N158" s="24"/>
      <x:c r="O158" s="24"/>
      <x:c r="P158" s="24"/>
      <x:c r="Q158" s="24"/>
      <x:c r="R158" s="24"/>
      <x:c r="S158" s="24"/>
      <x:c r="T158" s="24"/>
      <x:c r="U158" s="24"/>
      <x:c r="V158" s="24"/>
      <x:c r="W158" s="24"/>
      <x:c r="X158" s="24"/>
      <x:c r="Y158" s="24"/>
      <x:c r="Z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  <x:c r="K159" s="24"/>
      <x:c r="L159" s="24"/>
      <x:c r="M159" s="24"/>
      <x:c r="N159" s="24"/>
      <x:c r="O159" s="24"/>
      <x:c r="P159" s="24"/>
      <x:c r="Q159" s="24"/>
      <x:c r="R159" s="24"/>
      <x:c r="S159" s="24"/>
      <x:c r="T159" s="24"/>
      <x:c r="U159" s="24"/>
      <x:c r="V159" s="24"/>
      <x:c r="W159" s="24"/>
      <x:c r="X159" s="24"/>
      <x:c r="Y159" s="24"/>
      <x:c r="Z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  <x:c r="K160" s="24"/>
      <x:c r="L160" s="24"/>
      <x:c r="M160" s="24"/>
      <x:c r="N160" s="24"/>
      <x:c r="O160" s="24"/>
      <x:c r="P160" s="24"/>
      <x:c r="Q160" s="24"/>
      <x:c r="R160" s="24"/>
      <x:c r="S160" s="24"/>
      <x:c r="T160" s="24"/>
      <x:c r="U160" s="24"/>
      <x:c r="V160" s="24"/>
      <x:c r="W160" s="24"/>
      <x:c r="X160" s="24"/>
      <x:c r="Y160" s="24"/>
      <x:c r="Z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  <x:c r="K161" s="24"/>
      <x:c r="L161" s="24"/>
      <x:c r="M161" s="24"/>
      <x:c r="N161" s="24"/>
      <x:c r="O161" s="24"/>
      <x:c r="P161" s="24"/>
      <x:c r="Q161" s="24"/>
      <x:c r="R161" s="24"/>
      <x:c r="S161" s="24"/>
      <x:c r="T161" s="24"/>
      <x:c r="U161" s="24"/>
      <x:c r="V161" s="24"/>
      <x:c r="W161" s="24"/>
      <x:c r="X161" s="24"/>
      <x:c r="Y161" s="24"/>
      <x:c r="Z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  <x:c r="K162" s="24"/>
      <x:c r="L162" s="24"/>
      <x:c r="M162" s="24"/>
      <x:c r="N162" s="24"/>
      <x:c r="O162" s="24"/>
      <x:c r="P162" s="24"/>
      <x:c r="Q162" s="24"/>
      <x:c r="R162" s="24"/>
      <x:c r="S162" s="24"/>
      <x:c r="T162" s="24"/>
      <x:c r="U162" s="24"/>
      <x:c r="V162" s="24"/>
      <x:c r="W162" s="24"/>
      <x:c r="X162" s="24"/>
      <x:c r="Y162" s="24"/>
      <x:c r="Z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  <x:c r="K163" s="24"/>
      <x:c r="L163" s="24"/>
      <x:c r="M163" s="24"/>
      <x:c r="N163" s="24"/>
      <x:c r="O163" s="24"/>
      <x:c r="P163" s="24"/>
      <x:c r="Q163" s="24"/>
      <x:c r="R163" s="24"/>
      <x:c r="S163" s="24"/>
      <x:c r="T163" s="24"/>
      <x:c r="U163" s="24"/>
      <x:c r="V163" s="24"/>
      <x:c r="W163" s="24"/>
      <x:c r="X163" s="24"/>
      <x:c r="Y163" s="24"/>
      <x:c r="Z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  <x:c r="K164" s="24"/>
      <x:c r="L164" s="24"/>
      <x:c r="M164" s="24"/>
      <x:c r="N164" s="24"/>
      <x:c r="O164" s="24"/>
      <x:c r="P164" s="24"/>
      <x:c r="Q164" s="24"/>
      <x:c r="R164" s="24"/>
      <x:c r="S164" s="24"/>
      <x:c r="T164" s="24"/>
      <x:c r="U164" s="24"/>
      <x:c r="V164" s="24"/>
      <x:c r="W164" s="24"/>
      <x:c r="X164" s="24"/>
      <x:c r="Y164" s="24"/>
      <x:c r="Z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  <x:c r="K165" s="24"/>
      <x:c r="L165" s="24"/>
      <x:c r="M165" s="24"/>
      <x:c r="N165" s="24"/>
      <x:c r="O165" s="24"/>
      <x:c r="P165" s="24"/>
      <x:c r="Q165" s="24"/>
      <x:c r="R165" s="24"/>
      <x:c r="S165" s="24"/>
      <x:c r="T165" s="24"/>
      <x:c r="U165" s="24"/>
      <x:c r="V165" s="24"/>
      <x:c r="W165" s="24"/>
      <x:c r="X165" s="24"/>
      <x:c r="Y165" s="24"/>
      <x:c r="Z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  <x:c r="K166" s="24"/>
      <x:c r="L166" s="24"/>
      <x:c r="M166" s="24"/>
      <x:c r="N166" s="24"/>
      <x:c r="O166" s="24"/>
      <x:c r="P166" s="24"/>
      <x:c r="Q166" s="24"/>
      <x:c r="R166" s="24"/>
      <x:c r="S166" s="24"/>
      <x:c r="T166" s="24"/>
      <x:c r="U166" s="24"/>
      <x:c r="V166" s="24"/>
      <x:c r="W166" s="24"/>
      <x:c r="X166" s="24"/>
      <x:c r="Y166" s="24"/>
      <x:c r="Z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  <x:c r="K167" s="24"/>
      <x:c r="L167" s="24"/>
      <x:c r="M167" s="24"/>
      <x:c r="N167" s="24"/>
      <x:c r="O167" s="24"/>
      <x:c r="P167" s="24"/>
      <x:c r="Q167" s="24"/>
      <x:c r="R167" s="24"/>
      <x:c r="S167" s="24"/>
      <x:c r="T167" s="24"/>
      <x:c r="U167" s="24"/>
      <x:c r="V167" s="24"/>
      <x:c r="W167" s="24"/>
      <x:c r="X167" s="24"/>
      <x:c r="Y167" s="24"/>
      <x:c r="Z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  <x:c r="K168" s="24"/>
      <x:c r="L168" s="24"/>
      <x:c r="M168" s="24"/>
      <x:c r="N168" s="24"/>
      <x:c r="O168" s="24"/>
      <x:c r="P168" s="24"/>
      <x:c r="Q168" s="24"/>
      <x:c r="R168" s="24"/>
      <x:c r="S168" s="24"/>
      <x:c r="T168" s="24"/>
      <x:c r="U168" s="24"/>
      <x:c r="V168" s="24"/>
      <x:c r="W168" s="24"/>
      <x:c r="X168" s="24"/>
      <x:c r="Y168" s="24"/>
      <x:c r="Z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  <x:c r="K169" s="24"/>
      <x:c r="L169" s="24"/>
      <x:c r="M169" s="24"/>
      <x:c r="N169" s="24"/>
      <x:c r="O169" s="24"/>
      <x:c r="P169" s="24"/>
      <x:c r="Q169" s="24"/>
      <x:c r="R169" s="24"/>
      <x:c r="S169" s="24"/>
      <x:c r="T169" s="24"/>
      <x:c r="U169" s="24"/>
      <x:c r="V169" s="24"/>
      <x:c r="W169" s="24"/>
      <x:c r="X169" s="24"/>
      <x:c r="Y169" s="24"/>
      <x:c r="Z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  <x:c r="K170" s="24"/>
      <x:c r="L170" s="24"/>
      <x:c r="M170" s="24"/>
      <x:c r="N170" s="24"/>
      <x:c r="O170" s="24"/>
      <x:c r="P170" s="24"/>
      <x:c r="Q170" s="24"/>
      <x:c r="R170" s="24"/>
      <x:c r="S170" s="24"/>
      <x:c r="T170" s="24"/>
      <x:c r="U170" s="24"/>
      <x:c r="V170" s="24"/>
      <x:c r="W170" s="24"/>
      <x:c r="X170" s="24"/>
      <x:c r="Y170" s="24"/>
      <x:c r="Z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  <x:c r="K171" s="24"/>
      <x:c r="L171" s="24"/>
      <x:c r="M171" s="24"/>
      <x:c r="N171" s="24"/>
      <x:c r="O171" s="24"/>
      <x:c r="P171" s="24"/>
      <x:c r="Q171" s="24"/>
      <x:c r="R171" s="24"/>
      <x:c r="S171" s="24"/>
      <x:c r="T171" s="24"/>
      <x:c r="U171" s="24"/>
      <x:c r="V171" s="24"/>
      <x:c r="W171" s="24"/>
      <x:c r="X171" s="24"/>
      <x:c r="Y171" s="24"/>
      <x:c r="Z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  <x:c r="K172" s="24"/>
      <x:c r="L172" s="24"/>
      <x:c r="M172" s="24"/>
      <x:c r="N172" s="24"/>
      <x:c r="O172" s="24"/>
      <x:c r="P172" s="24"/>
      <x:c r="Q172" s="24"/>
      <x:c r="R172" s="24"/>
      <x:c r="S172" s="24"/>
      <x:c r="T172" s="24"/>
      <x:c r="U172" s="24"/>
      <x:c r="V172" s="24"/>
      <x:c r="W172" s="24"/>
      <x:c r="X172" s="24"/>
      <x:c r="Y172" s="24"/>
      <x:c r="Z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  <x:c r="K173" s="24"/>
      <x:c r="L173" s="24"/>
      <x:c r="M173" s="24"/>
      <x:c r="N173" s="24"/>
      <x:c r="O173" s="24"/>
      <x:c r="P173" s="24"/>
      <x:c r="Q173" s="24"/>
      <x:c r="R173" s="24"/>
      <x:c r="S173" s="24"/>
      <x:c r="T173" s="24"/>
      <x:c r="U173" s="24"/>
      <x:c r="V173" s="24"/>
      <x:c r="W173" s="24"/>
      <x:c r="X173" s="24"/>
      <x:c r="Y173" s="24"/>
      <x:c r="Z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  <x:c r="K174" s="24"/>
      <x:c r="L174" s="24"/>
      <x:c r="M174" s="24"/>
      <x:c r="N174" s="24"/>
      <x:c r="O174" s="24"/>
      <x:c r="P174" s="24"/>
      <x:c r="Q174" s="24"/>
      <x:c r="R174" s="24"/>
      <x:c r="S174" s="24"/>
      <x:c r="T174" s="24"/>
      <x:c r="U174" s="24"/>
      <x:c r="V174" s="24"/>
      <x:c r="W174" s="24"/>
      <x:c r="X174" s="24"/>
      <x:c r="Y174" s="24"/>
      <x:c r="Z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  <x:c r="K175" s="24"/>
      <x:c r="L175" s="24"/>
      <x:c r="M175" s="24"/>
      <x:c r="N175" s="24"/>
      <x:c r="O175" s="24"/>
      <x:c r="P175" s="24"/>
      <x:c r="Q175" s="24"/>
      <x:c r="R175" s="24"/>
      <x:c r="S175" s="24"/>
      <x:c r="T175" s="24"/>
      <x:c r="U175" s="24"/>
      <x:c r="V175" s="24"/>
      <x:c r="W175" s="24"/>
      <x:c r="X175" s="24"/>
      <x:c r="Y175" s="24"/>
      <x:c r="Z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  <x:c r="K176" s="24"/>
      <x:c r="L176" s="24"/>
      <x:c r="M176" s="24"/>
      <x:c r="N176" s="24"/>
      <x:c r="O176" s="24"/>
      <x:c r="P176" s="24"/>
      <x:c r="Q176" s="24"/>
      <x:c r="R176" s="24"/>
      <x:c r="S176" s="24"/>
      <x:c r="T176" s="24"/>
      <x:c r="U176" s="24"/>
      <x:c r="V176" s="24"/>
      <x:c r="W176" s="24"/>
      <x:c r="X176" s="24"/>
      <x:c r="Y176" s="24"/>
      <x:c r="Z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  <x:c r="K177" s="24"/>
      <x:c r="L177" s="24"/>
      <x:c r="M177" s="24"/>
      <x:c r="N177" s="24"/>
      <x:c r="O177" s="24"/>
      <x:c r="P177" s="24"/>
      <x:c r="Q177" s="24"/>
      <x:c r="R177" s="24"/>
      <x:c r="S177" s="24"/>
      <x:c r="T177" s="24"/>
      <x:c r="U177" s="24"/>
      <x:c r="V177" s="24"/>
      <x:c r="W177" s="24"/>
      <x:c r="X177" s="24"/>
      <x:c r="Y177" s="24"/>
      <x:c r="Z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  <x:c r="K178" s="24"/>
      <x:c r="L178" s="24"/>
      <x:c r="M178" s="24"/>
      <x:c r="N178" s="24"/>
      <x:c r="O178" s="24"/>
      <x:c r="P178" s="24"/>
      <x:c r="Q178" s="24"/>
      <x:c r="R178" s="24"/>
      <x:c r="S178" s="24"/>
      <x:c r="T178" s="24"/>
      <x:c r="U178" s="24"/>
      <x:c r="V178" s="24"/>
      <x:c r="W178" s="24"/>
      <x:c r="X178" s="24"/>
      <x:c r="Y178" s="24"/>
      <x:c r="Z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  <x:c r="K179" s="24"/>
      <x:c r="L179" s="24"/>
      <x:c r="M179" s="24"/>
      <x:c r="N179" s="24"/>
      <x:c r="O179" s="24"/>
      <x:c r="P179" s="24"/>
      <x:c r="Q179" s="24"/>
      <x:c r="R179" s="24"/>
      <x:c r="S179" s="24"/>
      <x:c r="T179" s="24"/>
      <x:c r="U179" s="24"/>
      <x:c r="V179" s="24"/>
      <x:c r="W179" s="24"/>
      <x:c r="X179" s="24"/>
      <x:c r="Y179" s="24"/>
      <x:c r="Z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  <x:c r="K180" s="24"/>
      <x:c r="L180" s="24"/>
      <x:c r="M180" s="24"/>
      <x:c r="N180" s="24"/>
      <x:c r="O180" s="24"/>
      <x:c r="P180" s="24"/>
      <x:c r="Q180" s="24"/>
      <x:c r="R180" s="24"/>
      <x:c r="S180" s="24"/>
      <x:c r="T180" s="24"/>
      <x:c r="U180" s="24"/>
      <x:c r="V180" s="24"/>
      <x:c r="W180" s="24"/>
      <x:c r="X180" s="24"/>
      <x:c r="Y180" s="24"/>
      <x:c r="Z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  <x:c r="K181" s="24"/>
      <x:c r="L181" s="24"/>
      <x:c r="M181" s="24"/>
      <x:c r="N181" s="24"/>
      <x:c r="O181" s="24"/>
      <x:c r="P181" s="24"/>
      <x:c r="Q181" s="24"/>
      <x:c r="R181" s="24"/>
      <x:c r="S181" s="24"/>
      <x:c r="T181" s="24"/>
      <x:c r="U181" s="24"/>
      <x:c r="V181" s="24"/>
      <x:c r="W181" s="24"/>
      <x:c r="X181" s="24"/>
      <x:c r="Y181" s="24"/>
      <x:c r="Z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  <x:c r="K182" s="24"/>
      <x:c r="L182" s="24"/>
      <x:c r="M182" s="24"/>
      <x:c r="N182" s="24"/>
      <x:c r="O182" s="24"/>
      <x:c r="P182" s="24"/>
      <x:c r="Q182" s="24"/>
      <x:c r="R182" s="24"/>
      <x:c r="S182" s="24"/>
      <x:c r="T182" s="24"/>
      <x:c r="U182" s="24"/>
      <x:c r="V182" s="24"/>
      <x:c r="W182" s="24"/>
      <x:c r="X182" s="24"/>
      <x:c r="Y182" s="24"/>
      <x:c r="Z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  <x:c r="K183" s="24"/>
      <x:c r="L183" s="24"/>
      <x:c r="M183" s="24"/>
      <x:c r="N183" s="24"/>
      <x:c r="O183" s="24"/>
      <x:c r="P183" s="24"/>
      <x:c r="Q183" s="24"/>
      <x:c r="R183" s="24"/>
      <x:c r="S183" s="24"/>
      <x:c r="T183" s="24"/>
      <x:c r="U183" s="24"/>
      <x:c r="V183" s="24"/>
      <x:c r="W183" s="24"/>
      <x:c r="X183" s="24"/>
      <x:c r="Y183" s="24"/>
      <x:c r="Z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  <x:c r="K184" s="24"/>
      <x:c r="L184" s="24"/>
      <x:c r="M184" s="24"/>
      <x:c r="N184" s="24"/>
      <x:c r="O184" s="24"/>
      <x:c r="P184" s="24"/>
      <x:c r="Q184" s="24"/>
      <x:c r="R184" s="24"/>
      <x:c r="S184" s="24"/>
      <x:c r="T184" s="24"/>
      <x:c r="U184" s="24"/>
      <x:c r="V184" s="24"/>
      <x:c r="W184" s="24"/>
      <x:c r="X184" s="24"/>
      <x:c r="Y184" s="24"/>
      <x:c r="Z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  <x:c r="K185" s="24"/>
      <x:c r="L185" s="24"/>
      <x:c r="M185" s="24"/>
      <x:c r="N185" s="24"/>
      <x:c r="O185" s="24"/>
      <x:c r="P185" s="24"/>
      <x:c r="Q185" s="24"/>
      <x:c r="R185" s="24"/>
      <x:c r="S185" s="24"/>
      <x:c r="T185" s="24"/>
      <x:c r="U185" s="24"/>
      <x:c r="V185" s="24"/>
      <x:c r="W185" s="24"/>
      <x:c r="X185" s="24"/>
      <x:c r="Y185" s="24"/>
      <x:c r="Z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  <x:c r="K186" s="24"/>
      <x:c r="L186" s="24"/>
      <x:c r="M186" s="24"/>
      <x:c r="N186" s="24"/>
      <x:c r="O186" s="24"/>
      <x:c r="P186" s="24"/>
      <x:c r="Q186" s="24"/>
      <x:c r="R186" s="24"/>
      <x:c r="S186" s="24"/>
      <x:c r="T186" s="24"/>
      <x:c r="U186" s="24"/>
      <x:c r="V186" s="24"/>
      <x:c r="W186" s="24"/>
      <x:c r="X186" s="24"/>
      <x:c r="Y186" s="24"/>
      <x:c r="Z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  <x:c r="K187" s="24"/>
      <x:c r="L187" s="24"/>
      <x:c r="M187" s="24"/>
      <x:c r="N187" s="24"/>
      <x:c r="O187" s="24"/>
      <x:c r="P187" s="24"/>
      <x:c r="Q187" s="24"/>
      <x:c r="R187" s="24"/>
      <x:c r="S187" s="24"/>
      <x:c r="T187" s="24"/>
      <x:c r="U187" s="24"/>
      <x:c r="V187" s="24"/>
      <x:c r="W187" s="24"/>
      <x:c r="X187" s="24"/>
      <x:c r="Y187" s="24"/>
      <x:c r="Z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  <x:c r="K188" s="24"/>
      <x:c r="L188" s="24"/>
      <x:c r="M188" s="24"/>
      <x:c r="N188" s="24"/>
      <x:c r="O188" s="24"/>
      <x:c r="P188" s="24"/>
      <x:c r="Q188" s="24"/>
      <x:c r="R188" s="24"/>
      <x:c r="S188" s="24"/>
      <x:c r="T188" s="24"/>
      <x:c r="U188" s="24"/>
      <x:c r="V188" s="24"/>
      <x:c r="W188" s="24"/>
      <x:c r="X188" s="24"/>
      <x:c r="Y188" s="24"/>
      <x:c r="Z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  <x:c r="K189" s="24"/>
      <x:c r="L189" s="24"/>
      <x:c r="M189" s="24"/>
      <x:c r="N189" s="24"/>
      <x:c r="O189" s="24"/>
      <x:c r="P189" s="24"/>
      <x:c r="Q189" s="24"/>
      <x:c r="R189" s="24"/>
      <x:c r="S189" s="24"/>
      <x:c r="T189" s="24"/>
      <x:c r="U189" s="24"/>
      <x:c r="V189" s="24"/>
      <x:c r="W189" s="24"/>
      <x:c r="X189" s="24"/>
      <x:c r="Y189" s="24"/>
      <x:c r="Z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  <x:c r="K190" s="24"/>
      <x:c r="L190" s="24"/>
      <x:c r="M190" s="24"/>
      <x:c r="N190" s="24"/>
      <x:c r="O190" s="24"/>
      <x:c r="P190" s="24"/>
      <x:c r="Q190" s="24"/>
      <x:c r="R190" s="24"/>
      <x:c r="S190" s="24"/>
      <x:c r="T190" s="24"/>
      <x:c r="U190" s="24"/>
      <x:c r="V190" s="24"/>
      <x:c r="W190" s="24"/>
      <x:c r="X190" s="24"/>
      <x:c r="Y190" s="24"/>
      <x:c r="Z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  <x:c r="K191" s="24"/>
      <x:c r="L191" s="24"/>
      <x:c r="M191" s="24"/>
      <x:c r="N191" s="24"/>
      <x:c r="O191" s="24"/>
      <x:c r="P191" s="24"/>
      <x:c r="Q191" s="24"/>
      <x:c r="R191" s="24"/>
      <x:c r="S191" s="24"/>
      <x:c r="T191" s="24"/>
      <x:c r="U191" s="24"/>
      <x:c r="V191" s="24"/>
      <x:c r="W191" s="24"/>
      <x:c r="X191" s="24"/>
      <x:c r="Y191" s="24"/>
      <x:c r="Z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  <x:c r="K192" s="24"/>
      <x:c r="L192" s="24"/>
      <x:c r="M192" s="24"/>
      <x:c r="N192" s="24"/>
      <x:c r="O192" s="24"/>
      <x:c r="P192" s="24"/>
      <x:c r="Q192" s="24"/>
      <x:c r="R192" s="24"/>
      <x:c r="S192" s="24"/>
      <x:c r="T192" s="24"/>
      <x:c r="U192" s="24"/>
      <x:c r="V192" s="24"/>
      <x:c r="W192" s="24"/>
      <x:c r="X192" s="24"/>
      <x:c r="Y192" s="24"/>
      <x:c r="Z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  <x:c r="K193" s="24"/>
      <x:c r="L193" s="24"/>
      <x:c r="M193" s="24"/>
      <x:c r="N193" s="24"/>
      <x:c r="O193" s="24"/>
      <x:c r="P193" s="24"/>
      <x:c r="Q193" s="24"/>
      <x:c r="R193" s="24"/>
      <x:c r="S193" s="24"/>
      <x:c r="T193" s="24"/>
      <x:c r="U193" s="24"/>
      <x:c r="V193" s="24"/>
      <x:c r="W193" s="24"/>
      <x:c r="X193" s="24"/>
      <x:c r="Y193" s="24"/>
      <x:c r="Z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  <x:c r="K194" s="24"/>
      <x:c r="L194" s="24"/>
      <x:c r="M194" s="24"/>
      <x:c r="N194" s="24"/>
      <x:c r="O194" s="24"/>
      <x:c r="P194" s="24"/>
      <x:c r="Q194" s="24"/>
      <x:c r="R194" s="24"/>
      <x:c r="S194" s="24"/>
      <x:c r="T194" s="24"/>
      <x:c r="U194" s="24"/>
      <x:c r="V194" s="24"/>
      <x:c r="W194" s="24"/>
      <x:c r="X194" s="24"/>
      <x:c r="Y194" s="24"/>
      <x:c r="Z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  <x:c r="K195" s="24"/>
      <x:c r="L195" s="24"/>
      <x:c r="M195" s="24"/>
      <x:c r="N195" s="24"/>
      <x:c r="O195" s="24"/>
      <x:c r="P195" s="24"/>
      <x:c r="Q195" s="24"/>
      <x:c r="R195" s="24"/>
      <x:c r="S195" s="24"/>
      <x:c r="T195" s="24"/>
      <x:c r="U195" s="24"/>
      <x:c r="V195" s="24"/>
      <x:c r="W195" s="24"/>
      <x:c r="X195" s="24"/>
      <x:c r="Y195" s="24"/>
      <x:c r="Z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  <x:c r="K196" s="24"/>
      <x:c r="L196" s="24"/>
      <x:c r="M196" s="24"/>
      <x:c r="N196" s="24"/>
      <x:c r="O196" s="24"/>
      <x:c r="P196" s="24"/>
      <x:c r="Q196" s="24"/>
      <x:c r="R196" s="24"/>
      <x:c r="S196" s="24"/>
      <x:c r="T196" s="24"/>
      <x:c r="U196" s="24"/>
      <x:c r="V196" s="24"/>
      <x:c r="W196" s="24"/>
      <x:c r="X196" s="24"/>
      <x:c r="Y196" s="24"/>
      <x:c r="Z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  <x:c r="K197" s="24"/>
      <x:c r="L197" s="24"/>
      <x:c r="M197" s="24"/>
      <x:c r="N197" s="24"/>
      <x:c r="O197" s="24"/>
      <x:c r="P197" s="24"/>
      <x:c r="Q197" s="24"/>
      <x:c r="R197" s="24"/>
      <x:c r="S197" s="24"/>
      <x:c r="T197" s="24"/>
      <x:c r="U197" s="24"/>
      <x:c r="V197" s="24"/>
      <x:c r="W197" s="24"/>
      <x:c r="X197" s="24"/>
      <x:c r="Y197" s="24"/>
      <x:c r="Z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  <x:c r="K198" s="24"/>
      <x:c r="L198" s="24"/>
      <x:c r="M198" s="24"/>
      <x:c r="N198" s="24"/>
      <x:c r="O198" s="24"/>
      <x:c r="P198" s="24"/>
      <x:c r="Q198" s="24"/>
      <x:c r="R198" s="24"/>
      <x:c r="S198" s="24"/>
      <x:c r="T198" s="24"/>
      <x:c r="U198" s="24"/>
      <x:c r="V198" s="24"/>
      <x:c r="W198" s="24"/>
      <x:c r="X198" s="24"/>
      <x:c r="Y198" s="24"/>
      <x:c r="Z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  <x:c r="K199" s="24"/>
      <x:c r="L199" s="24"/>
      <x:c r="M199" s="24"/>
      <x:c r="N199" s="24"/>
      <x:c r="O199" s="24"/>
      <x:c r="P199" s="24"/>
      <x:c r="Q199" s="24"/>
      <x:c r="R199" s="24"/>
      <x:c r="S199" s="24"/>
      <x:c r="T199" s="24"/>
      <x:c r="U199" s="24"/>
      <x:c r="V199" s="24"/>
      <x:c r="W199" s="24"/>
      <x:c r="X199" s="24"/>
      <x:c r="Y199" s="24"/>
      <x:c r="Z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  <x:c r="K200" s="24"/>
      <x:c r="L200" s="24"/>
      <x:c r="M200" s="24"/>
      <x:c r="N200" s="24"/>
      <x:c r="O200" s="24"/>
      <x:c r="P200" s="24"/>
      <x:c r="Q200" s="24"/>
      <x:c r="R200" s="24"/>
      <x:c r="S200" s="24"/>
      <x:c r="T200" s="24"/>
      <x:c r="U200" s="24"/>
      <x:c r="V200" s="24"/>
      <x:c r="W200" s="24"/>
      <x:c r="X200" s="24"/>
      <x:c r="Y200" s="24"/>
      <x:c r="Z200" s="24"/>
    </x:row>
  </x:sheetData>
  <x:mergeCells>
    <x:mergeCell ref="A1:H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45" hidden="0" customWidth="1"/>
    <x:col min="4" max="4" width="12" hidden="0" customWidth="1"/>
    <x:col min="5" max="5" width="58" hidden="0" customWidth="1"/>
  </x:cols>
  <x:sheetData>
    <x:row r="1">
      <x:c r="A1" s="22" t="str">
        <x:v>HANDOVER COMPLIANCE — V2.1</x:v>
      </x:c>
      <x:c r="B1" s="22"/>
      <x:c r="C1" s="22"/>
      <x:c r="D1" s="22"/>
      <x:c r="E1" s="22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>
      <x:c r="A2" s="24"/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  <x:c r="R2" s="24"/>
      <x:c r="S2" s="24"/>
      <x:c r="T2" s="24"/>
      <x:c r="U2" s="24"/>
      <x:c r="V2" s="24"/>
      <x:c r="W2" s="24"/>
      <x:c r="X2" s="24"/>
      <x:c r="Y2" s="24"/>
      <x:c r="Z2" s="24"/>
    </x:row>
    <x:row r="3">
      <x:c r="A3" s="25" t="str">
        <x:v>Check</x:v>
      </x:c>
      <x:c r="B3" s="25" t="str">
        <x:v>Status</x:v>
      </x:c>
      <x:c r="C3" s="25" t="str">
        <x:v>Evidence</x:v>
      </x:c>
      <x:c r="D3" s="25" t="str">
        <x:v>Owner</x:v>
      </x:c>
      <x:c r="E3" s="25" t="str">
        <x:v>Notes</x:v>
      </x:c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  <x:c r="Q3" s="24"/>
      <x:c r="R3" s="24"/>
      <x:c r="S3" s="24"/>
      <x:c r="T3" s="24"/>
      <x:c r="U3" s="24"/>
      <x:c r="V3" s="24"/>
      <x:c r="W3" s="24"/>
      <x:c r="X3" s="24"/>
      <x:c r="Y3" s="24"/>
      <x:c r="Z3" s="24"/>
    </x:row>
    <x:row r="4">
      <x:c r="A4" s="84" t="str">
        <x:v>100 cards total</x:v>
      </x:c>
      <x:c r="B4" s="84" t="str">
        <x:v>PASS</x:v>
      </x:c>
      <x:c r="C4" s="84" t="str">
        <x:v>Commander 1 + maindeck 99</x:v>
      </x:c>
      <x:c r="D4" s="84" t="str">
        <x:v>System</x:v>
      </x:c>
      <x:c r="E4" s="84" t="str">
        <x:v>V2.1 reconciled.</x:v>
      </x:c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4"/>
      <x:c r="Z4" s="24"/>
    </x:row>
    <x:row r="5">
      <x:c r="A5" s="84" t="str">
        <x:v>1 commander</x:v>
      </x:c>
      <x:c r="B5" s="84" t="str">
        <x:v>PASS</x:v>
      </x:c>
      <x:c r="C5" s="84" t="str">
        <x:v>Lynde only</x:v>
      </x:c>
      <x:c r="D5" s="84" t="str">
        <x:v>System</x:v>
      </x:c>
      <x:c r="E5" s="84" t="str"/>
      <x:c r="F5" s="24"/>
      <x:c r="G5" s="24"/>
      <x:c r="H5" s="24"/>
      <x:c r="I5" s="24"/>
      <x:c r="J5" s="24"/>
      <x:c r="K5" s="24"/>
      <x:c r="L5" s="24"/>
      <x:c r="M5" s="24"/>
      <x:c r="N5" s="24"/>
      <x:c r="O5" s="24"/>
      <x:c r="P5" s="24"/>
      <x:c r="Q5" s="24"/>
      <x:c r="R5" s="24"/>
      <x:c r="S5" s="24"/>
      <x:c r="T5" s="24"/>
      <x:c r="U5" s="24"/>
      <x:c r="V5" s="24"/>
      <x:c r="W5" s="24"/>
      <x:c r="X5" s="24"/>
      <x:c r="Y5" s="24"/>
      <x:c r="Z5" s="24"/>
    </x:row>
    <x:row r="6">
      <x:c r="A6" s="84" t="str">
        <x:v>Singleton</x:v>
      </x:c>
      <x:c r="B6" s="84" t="str">
        <x:v>PASS</x:v>
      </x:c>
      <x:c r="C6" s="84" t="str">
        <x:v>Only basics repeat</x:v>
      </x:c>
      <x:c r="D6" s="84" t="str">
        <x:v>System</x:v>
      </x:c>
      <x:c r="E6" s="84" t="str"/>
      <x:c r="F6" s="24"/>
      <x:c r="G6" s="24"/>
      <x:c r="H6" s="24"/>
      <x:c r="I6" s="24"/>
      <x:c r="J6" s="24"/>
      <x:c r="K6" s="24"/>
      <x:c r="L6" s="24"/>
      <x:c r="M6" s="24"/>
      <x:c r="N6" s="24"/>
      <x:c r="O6" s="24"/>
      <x:c r="P6" s="24"/>
      <x:c r="Q6" s="24"/>
      <x:c r="R6" s="24"/>
      <x:c r="S6" s="24"/>
      <x:c r="T6" s="24"/>
      <x:c r="U6" s="24"/>
      <x:c r="V6" s="24"/>
      <x:c r="W6" s="24"/>
      <x:c r="X6" s="24"/>
      <x:c r="Y6" s="24"/>
      <x:c r="Z6" s="24"/>
    </x:row>
    <x:row r="7">
      <x:c r="A7" s="84" t="str">
        <x:v>Color identity</x:v>
      </x:c>
      <x:c r="B7" s="84" t="str">
        <x:v>PASS</x:v>
      </x:c>
      <x:c r="C7" s="84" t="str">
        <x:v>Grixis</x:v>
      </x:c>
      <x:c r="D7" s="84" t="str">
        <x:v>System</x:v>
      </x:c>
      <x:c r="E7" s="84" t="str">
        <x:v>No off-identity cards added.</x:v>
      </x:c>
      <x:c r="F7" s="24"/>
      <x:c r="G7" s="24"/>
      <x:c r="H7" s="24"/>
      <x:c r="I7" s="24"/>
      <x:c r="J7" s="24"/>
      <x:c r="K7" s="24"/>
      <x:c r="L7" s="24"/>
      <x:c r="M7" s="24"/>
      <x:c r="N7" s="24"/>
      <x:c r="O7" s="24"/>
      <x:c r="P7" s="24"/>
      <x:c r="Q7" s="24"/>
      <x:c r="R7" s="24"/>
      <x:c r="S7" s="24"/>
      <x:c r="T7" s="24"/>
      <x:c r="U7" s="24"/>
      <x:c r="V7" s="24"/>
      <x:c r="W7" s="24"/>
      <x:c r="X7" s="24"/>
      <x:c r="Y7" s="24"/>
      <x:c r="Z7" s="24"/>
    </x:row>
    <x:row r="8">
      <x:c r="A8" s="84" t="str">
        <x:v>Physical lands</x:v>
      </x:c>
      <x:c r="B8" s="84" t="str">
        <x:v>PASS</x:v>
      </x:c>
      <x:c r="C8" s="84" t="str">
        <x:v>31</x:v>
      </x:c>
      <x:c r="D8" s="84" t="str">
        <x:v>System</x:v>
      </x:c>
      <x:c r="E8" s="84" t="str">
        <x:v>Tracked separately from MDFCs.</x:v>
      </x:c>
      <x:c r="F8" s="24"/>
      <x:c r="G8" s="24"/>
      <x:c r="H8" s="24"/>
      <x:c r="I8" s="24"/>
      <x:c r="J8" s="24"/>
      <x:c r="K8" s="24"/>
      <x:c r="L8" s="24"/>
      <x:c r="M8" s="24"/>
      <x:c r="N8" s="24"/>
      <x:c r="O8" s="24"/>
      <x:c r="P8" s="24"/>
      <x:c r="Q8" s="24"/>
      <x:c r="R8" s="24"/>
      <x:c r="S8" s="24"/>
      <x:c r="T8" s="24"/>
      <x:c r="U8" s="24"/>
      <x:c r="V8" s="24"/>
      <x:c r="W8" s="24"/>
      <x:c r="X8" s="24"/>
      <x:c r="Y8" s="24"/>
      <x:c r="Z8" s="24"/>
    </x:row>
    <x:row r="9">
      <x:c r="A9" s="84" t="str">
        <x:v>MDFCs</x:v>
      </x:c>
      <x:c r="B9" s="84" t="str">
        <x:v>PASS</x:v>
      </x:c>
      <x:c r="C9" s="84" t="str">
        <x:v>3</x:v>
      </x:c>
      <x:c r="D9" s="84" t="str">
        <x:v>System</x:v>
      </x:c>
      <x:c r="E9" s="84" t="str">
        <x:v>Hydroelectric Specimen, Malakir Rebirth, Sundering Eruption.</x:v>
      </x:c>
      <x:c r="F9" s="24"/>
      <x:c r="G9" s="24"/>
      <x:c r="H9" s="24"/>
      <x:c r="I9" s="24"/>
      <x:c r="J9" s="24"/>
      <x:c r="K9" s="24"/>
      <x:c r="L9" s="24"/>
      <x:c r="M9" s="24"/>
      <x:c r="N9" s="24"/>
      <x:c r="O9" s="24"/>
      <x:c r="P9" s="24"/>
      <x:c r="Q9" s="24"/>
      <x:c r="R9" s="24"/>
      <x:c r="S9" s="24"/>
      <x:c r="T9" s="24"/>
      <x:c r="U9" s="24"/>
      <x:c r="V9" s="24"/>
      <x:c r="W9" s="24"/>
      <x:c r="X9" s="24"/>
      <x:c r="Y9" s="24"/>
      <x:c r="Z9" s="24"/>
    </x:row>
    <x:row r="10">
      <x:c r="A10" s="84" t="str">
        <x:v>Land-functional</x:v>
      </x:c>
      <x:c r="B10" s="84" t="str">
        <x:v>PASS</x:v>
      </x:c>
      <x:c r="C10" s="84" t="str">
        <x:v>34</x:v>
      </x:c>
      <x:c r="D10" s="84" t="str">
        <x:v>System</x:v>
      </x:c>
      <x:c r="E10" s="84" t="str">
        <x:v>31 + 3 MDFCs.</x:v>
      </x:c>
      <x:c r="F10" s="24"/>
      <x:c r="G10" s="24"/>
      <x:c r="H10" s="24"/>
      <x:c r="I10" s="24"/>
      <x:c r="J10" s="24"/>
      <x:c r="K10" s="24"/>
      <x:c r="L10" s="24"/>
      <x:c r="M10" s="24"/>
      <x:c r="N10" s="24"/>
      <x:c r="O10" s="24"/>
      <x:c r="P10" s="24"/>
      <x:c r="Q10" s="24"/>
      <x:c r="R10" s="24"/>
      <x:c r="S10" s="24"/>
      <x:c r="T10" s="24"/>
      <x:c r="U10" s="24"/>
      <x:c r="V10" s="24"/>
      <x:c r="W10" s="24"/>
      <x:c r="X10" s="24"/>
      <x:c r="Y10" s="24"/>
      <x:c r="Z10" s="24"/>
    </x:row>
    <x:row r="11">
      <x:c r="A11" s="84" t="str">
        <x:v>Role groups</x:v>
      </x:c>
      <x:c r="B11" s="84" t="str">
        <x:v>PASS</x:v>
      </x:c>
      <x:c r="C11" s="84" t="str">
        <x:v>8</x:v>
      </x:c>
      <x:c r="D11" s="84" t="str">
        <x:v>System</x:v>
      </x:c>
      <x:c r="E11" s="84" t="str">
        <x:v>Defined for Lynde project.</x:v>
      </x:c>
      <x:c r="F11" s="24"/>
      <x:c r="G11" s="24"/>
      <x:c r="H11" s="24"/>
      <x:c r="I11" s="24"/>
      <x:c r="J11" s="24"/>
      <x:c r="K11" s="24"/>
      <x:c r="L11" s="24"/>
      <x:c r="M11" s="24"/>
      <x:c r="N11" s="24"/>
      <x:c r="O11" s="24"/>
      <x:c r="P11" s="24"/>
      <x:c r="Q11" s="24"/>
      <x:c r="R11" s="24"/>
      <x:c r="S11" s="24"/>
      <x:c r="T11" s="24"/>
      <x:c r="U11" s="24"/>
      <x:c r="V11" s="24"/>
      <x:c r="W11" s="24"/>
      <x:c r="X11" s="24"/>
      <x:c r="Y11" s="24"/>
      <x:c r="Z11" s="24"/>
    </x:row>
    <x:row r="12">
      <x:c r="A12" s="84" t="str">
        <x:v>Current vs Projected separated</x:v>
      </x:c>
      <x:c r="B12" s="84" t="str">
        <x:v>PASS</x:v>
      </x:c>
      <x:c r="C12" s="84" t="str">
        <x:v>Current 7.7 / Projected 8.9</x:v>
      </x:c>
      <x:c r="D12" s="84" t="str">
        <x:v>System</x:v>
      </x:c>
      <x:c r="E12" s="84" t="str">
        <x:v>No claim of testing.</x:v>
      </x:c>
      <x:c r="F12" s="24"/>
      <x:c r="G12" s="24"/>
      <x:c r="H12" s="24"/>
      <x:c r="I12" s="24"/>
      <x:c r="J12" s="24"/>
      <x:c r="K12" s="24"/>
      <x:c r="L12" s="24"/>
      <x:c r="M12" s="24"/>
      <x:c r="N12" s="24"/>
      <x:c r="O12" s="24"/>
      <x:c r="P12" s="24"/>
      <x:c r="Q12" s="24"/>
      <x:c r="R12" s="24"/>
      <x:c r="S12" s="24"/>
      <x:c r="T12" s="24"/>
      <x:c r="U12" s="24"/>
      <x:c r="V12" s="24"/>
      <x:c r="W12" s="24"/>
      <x:c r="X12" s="24"/>
      <x:c r="Y12" s="24"/>
      <x:c r="Z12" s="24"/>
    </x:row>
    <x:row r="13">
      <x:c r="A13" s="84" t="str">
        <x:v>Rules interactions</x:v>
      </x:c>
      <x:c r="B13" s="84" t="str">
        <x:v>PASS</x:v>
      </x:c>
      <x:c r="C13" s="84" t="str">
        <x:v>Rules sheet included</x:v>
      </x:c>
      <x:c r="D13" s="84" t="str">
        <x:v>System</x:v>
      </x:c>
      <x:c r="E13" s="84" t="str">
        <x:v>Lynde/Paradox Haze/Curse mechanics documented.</x:v>
      </x:c>
      <x:c r="F13" s="24"/>
      <x:c r="G13" s="24"/>
      <x:c r="H13" s="24"/>
      <x:c r="I13" s="24"/>
      <x:c r="J13" s="24"/>
      <x:c r="K13" s="24"/>
      <x:c r="L13" s="24"/>
      <x:c r="M13" s="24"/>
      <x:c r="N13" s="24"/>
      <x:c r="O13" s="24"/>
      <x:c r="P13" s="24"/>
      <x:c r="Q13" s="24"/>
      <x:c r="R13" s="24"/>
      <x:c r="S13" s="24"/>
      <x:c r="T13" s="24"/>
      <x:c r="U13" s="24"/>
      <x:c r="V13" s="24"/>
      <x:c r="W13" s="24"/>
      <x:c r="X13" s="24"/>
      <x:c r="Y13" s="24"/>
      <x:c r="Z13" s="24"/>
    </x:row>
    <x:row r="14">
      <x:c r="A14" s="84" t="str">
        <x:v>Playtest evidence</x:v>
      </x:c>
      <x:c r="B14" s="84" t="str">
        <x:v>PENDING</x:v>
      </x:c>
      <x:c r="C14" s="84" t="str">
        <x:v>No plays logged yet</x:v>
      </x:c>
      <x:c r="D14" s="84" t="str">
        <x:v>User</x:v>
      </x:c>
      <x:c r="E14" s="84" t="str">
        <x:v>Must be added before Tested score.</x:v>
      </x:c>
      <x:c r="F14" s="24"/>
      <x:c r="G14" s="24"/>
      <x:c r="H14" s="24"/>
      <x:c r="I14" s="24"/>
      <x:c r="J14" s="24"/>
      <x:c r="K14" s="24"/>
      <x:c r="L14" s="24"/>
      <x:c r="M14" s="24"/>
      <x:c r="N14" s="24"/>
      <x:c r="O14" s="24"/>
      <x:c r="P14" s="24"/>
      <x:c r="Q14" s="24"/>
      <x:c r="R14" s="24"/>
      <x:c r="S14" s="24"/>
      <x:c r="T14" s="24"/>
      <x:c r="U14" s="24"/>
      <x:c r="V14" s="24"/>
      <x:c r="W14" s="24"/>
      <x:c r="X14" s="24"/>
      <x:c r="Y14" s="24"/>
      <x:c r="Z14" s="24"/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  <x:c r="K15" s="24"/>
      <x:c r="L15" s="24"/>
      <x:c r="M15" s="24"/>
      <x:c r="N15" s="24"/>
      <x:c r="O15" s="24"/>
      <x:c r="P15" s="24"/>
      <x:c r="Q15" s="24"/>
      <x:c r="R15" s="24"/>
      <x:c r="S15" s="24"/>
      <x:c r="T15" s="24"/>
      <x:c r="U15" s="24"/>
      <x:c r="V15" s="24"/>
      <x:c r="W15" s="24"/>
      <x:c r="X15" s="24"/>
      <x:c r="Y15" s="24"/>
      <x:c r="Z15" s="24"/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  <x:c r="K16" s="24"/>
      <x:c r="L16" s="24"/>
      <x:c r="M16" s="24"/>
      <x:c r="N16" s="24"/>
      <x:c r="O16" s="24"/>
      <x:c r="P16" s="24"/>
      <x:c r="Q16" s="24"/>
      <x:c r="R16" s="24"/>
      <x:c r="S16" s="24"/>
      <x:c r="T16" s="24"/>
      <x:c r="U16" s="24"/>
      <x:c r="V16" s="24"/>
      <x:c r="W16" s="24"/>
      <x:c r="X16" s="24"/>
      <x:c r="Y16" s="24"/>
      <x:c r="Z16" s="24"/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  <x:c r="K17" s="24"/>
      <x:c r="L17" s="24"/>
      <x:c r="M17" s="24"/>
      <x:c r="N17" s="24"/>
      <x:c r="O17" s="24"/>
      <x:c r="P17" s="24"/>
      <x:c r="Q17" s="24"/>
      <x:c r="R17" s="24"/>
      <x:c r="S17" s="24"/>
      <x:c r="T17" s="24"/>
      <x:c r="U17" s="24"/>
      <x:c r="V17" s="24"/>
      <x:c r="W17" s="24"/>
      <x:c r="X17" s="24"/>
      <x:c r="Y17" s="24"/>
      <x:c r="Z17" s="24"/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  <x:c r="L18" s="24"/>
      <x:c r="M18" s="24"/>
      <x:c r="N18" s="24"/>
      <x:c r="O18" s="24"/>
      <x:c r="P18" s="24"/>
      <x:c r="Q18" s="24"/>
      <x:c r="R18" s="24"/>
      <x:c r="S18" s="24"/>
      <x:c r="T18" s="24"/>
      <x:c r="U18" s="24"/>
      <x:c r="V18" s="24"/>
      <x:c r="W18" s="24"/>
      <x:c r="X18" s="24"/>
      <x:c r="Y18" s="24"/>
      <x:c r="Z18" s="24"/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  <x:c r="L19" s="24"/>
      <x:c r="M19" s="24"/>
      <x:c r="N19" s="24"/>
      <x:c r="O19" s="24"/>
      <x:c r="P19" s="24"/>
      <x:c r="Q19" s="24"/>
      <x:c r="R19" s="24"/>
      <x:c r="S19" s="24"/>
      <x:c r="T19" s="24"/>
      <x:c r="U19" s="24"/>
      <x:c r="V19" s="24"/>
      <x:c r="W19" s="24"/>
      <x:c r="X19" s="24"/>
      <x:c r="Y19" s="24"/>
      <x:c r="Z19" s="24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  <x:c r="L20" s="24"/>
      <x:c r="M20" s="24"/>
      <x:c r="N20" s="24"/>
      <x:c r="O20" s="24"/>
      <x:c r="P20" s="24"/>
      <x:c r="Q20" s="24"/>
      <x:c r="R20" s="24"/>
      <x:c r="S20" s="24"/>
      <x:c r="T20" s="24"/>
      <x:c r="U20" s="24"/>
      <x:c r="V20" s="24"/>
      <x:c r="W20" s="24"/>
      <x:c r="X20" s="24"/>
      <x:c r="Y20" s="24"/>
      <x:c r="Z20" s="24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  <x:c r="K21" s="24"/>
      <x:c r="L21" s="24"/>
      <x:c r="M21" s="24"/>
      <x:c r="N21" s="24"/>
      <x:c r="O21" s="24"/>
      <x:c r="P21" s="24"/>
      <x:c r="Q21" s="24"/>
      <x:c r="R21" s="24"/>
      <x:c r="S21" s="24"/>
      <x:c r="T21" s="24"/>
      <x:c r="U21" s="24"/>
      <x:c r="V21" s="24"/>
      <x:c r="W21" s="24"/>
      <x:c r="X21" s="24"/>
      <x:c r="Y21" s="24"/>
      <x:c r="Z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  <x:c r="L22" s="24"/>
      <x:c r="M22" s="24"/>
      <x:c r="N22" s="24"/>
      <x:c r="O22" s="24"/>
      <x:c r="P22" s="24"/>
      <x:c r="Q22" s="24"/>
      <x:c r="R22" s="24"/>
      <x:c r="S22" s="24"/>
      <x:c r="T22" s="24"/>
      <x:c r="U22" s="24"/>
      <x:c r="V22" s="24"/>
      <x:c r="W22" s="24"/>
      <x:c r="X22" s="24"/>
      <x:c r="Y22" s="24"/>
      <x:c r="Z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  <x:c r="L23" s="24"/>
      <x:c r="M23" s="24"/>
      <x:c r="N23" s="24"/>
      <x:c r="O23" s="24"/>
      <x:c r="P23" s="24"/>
      <x:c r="Q23" s="24"/>
      <x:c r="R23" s="24"/>
      <x:c r="S23" s="24"/>
      <x:c r="T23" s="24"/>
      <x:c r="U23" s="24"/>
      <x:c r="V23" s="24"/>
      <x:c r="W23" s="24"/>
      <x:c r="X23" s="24"/>
      <x:c r="Y23" s="24"/>
      <x:c r="Z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  <x:c r="L24" s="24"/>
      <x:c r="M24" s="24"/>
      <x:c r="N24" s="24"/>
      <x:c r="O24" s="24"/>
      <x:c r="P24" s="24"/>
      <x:c r="Q24" s="24"/>
      <x:c r="R24" s="24"/>
      <x:c r="S24" s="24"/>
      <x:c r="T24" s="24"/>
      <x:c r="U24" s="24"/>
      <x:c r="V24" s="24"/>
      <x:c r="W24" s="24"/>
      <x:c r="X24" s="24"/>
      <x:c r="Y24" s="24"/>
      <x:c r="Z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  <x:c r="K25" s="24"/>
      <x:c r="L25" s="24"/>
      <x:c r="M25" s="24"/>
      <x:c r="N25" s="24"/>
      <x:c r="O25" s="24"/>
      <x:c r="P25" s="24"/>
      <x:c r="Q25" s="24"/>
      <x:c r="R25" s="24"/>
      <x:c r="S25" s="24"/>
      <x:c r="T25" s="24"/>
      <x:c r="U25" s="24"/>
      <x:c r="V25" s="24"/>
      <x:c r="W25" s="24"/>
      <x:c r="X25" s="24"/>
      <x:c r="Y25" s="24"/>
      <x:c r="Z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  <x:c r="L26" s="24"/>
      <x:c r="M26" s="24"/>
      <x:c r="N26" s="24"/>
      <x:c r="O26" s="24"/>
      <x:c r="P26" s="24"/>
      <x:c r="Q26" s="24"/>
      <x:c r="R26" s="24"/>
      <x:c r="S26" s="24"/>
      <x:c r="T26" s="24"/>
      <x:c r="U26" s="24"/>
      <x:c r="V26" s="24"/>
      <x:c r="W26" s="24"/>
      <x:c r="X26" s="24"/>
      <x:c r="Y26" s="24"/>
      <x:c r="Z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  <x:c r="K27" s="24"/>
      <x:c r="L27" s="24"/>
      <x:c r="M27" s="24"/>
      <x:c r="N27" s="24"/>
      <x:c r="O27" s="24"/>
      <x:c r="P27" s="24"/>
      <x:c r="Q27" s="24"/>
      <x:c r="R27" s="24"/>
      <x:c r="S27" s="24"/>
      <x:c r="T27" s="24"/>
      <x:c r="U27" s="24"/>
      <x:c r="V27" s="24"/>
      <x:c r="W27" s="24"/>
      <x:c r="X27" s="24"/>
      <x:c r="Y27" s="24"/>
      <x:c r="Z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  <x:c r="K28" s="24"/>
      <x:c r="L28" s="24"/>
      <x:c r="M28" s="24"/>
      <x:c r="N28" s="24"/>
      <x:c r="O28" s="24"/>
      <x:c r="P28" s="24"/>
      <x:c r="Q28" s="24"/>
      <x:c r="R28" s="24"/>
      <x:c r="S28" s="24"/>
      <x:c r="T28" s="24"/>
      <x:c r="U28" s="24"/>
      <x:c r="V28" s="24"/>
      <x:c r="W28" s="24"/>
      <x:c r="X28" s="24"/>
      <x:c r="Y28" s="24"/>
      <x:c r="Z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  <x:c r="K29" s="24"/>
      <x:c r="L29" s="24"/>
      <x:c r="M29" s="24"/>
      <x:c r="N29" s="24"/>
      <x:c r="O29" s="24"/>
      <x:c r="P29" s="24"/>
      <x:c r="Q29" s="24"/>
      <x:c r="R29" s="24"/>
      <x:c r="S29" s="24"/>
      <x:c r="T29" s="24"/>
      <x:c r="U29" s="24"/>
      <x:c r="V29" s="24"/>
      <x:c r="W29" s="24"/>
      <x:c r="X29" s="24"/>
      <x:c r="Y29" s="24"/>
      <x:c r="Z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  <x:c r="K30" s="24"/>
      <x:c r="L30" s="24"/>
      <x:c r="M30" s="24"/>
      <x:c r="N30" s="24"/>
      <x:c r="O30" s="24"/>
      <x:c r="P30" s="24"/>
      <x:c r="Q30" s="24"/>
      <x:c r="R30" s="24"/>
      <x:c r="S30" s="24"/>
      <x:c r="T30" s="24"/>
      <x:c r="U30" s="24"/>
      <x:c r="V30" s="24"/>
      <x:c r="W30" s="24"/>
      <x:c r="X30" s="24"/>
      <x:c r="Y30" s="24"/>
      <x:c r="Z30" s="24"/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  <x:c r="K31" s="24"/>
      <x:c r="L31" s="24"/>
      <x:c r="M31" s="24"/>
      <x:c r="N31" s="24"/>
      <x:c r="O31" s="24"/>
      <x:c r="P31" s="24"/>
      <x:c r="Q31" s="24"/>
      <x:c r="R31" s="24"/>
      <x:c r="S31" s="24"/>
      <x:c r="T31" s="24"/>
      <x:c r="U31" s="24"/>
      <x:c r="V31" s="24"/>
      <x:c r="W31" s="24"/>
      <x:c r="X31" s="24"/>
      <x:c r="Y31" s="24"/>
      <x:c r="Z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  <x:c r="K32" s="24"/>
      <x:c r="L32" s="24"/>
      <x:c r="M32" s="24"/>
      <x:c r="N32" s="24"/>
      <x:c r="O32" s="24"/>
      <x:c r="P32" s="24"/>
      <x:c r="Q32" s="24"/>
      <x:c r="R32" s="24"/>
      <x:c r="S32" s="24"/>
      <x:c r="T32" s="24"/>
      <x:c r="U32" s="24"/>
      <x:c r="V32" s="24"/>
      <x:c r="W32" s="24"/>
      <x:c r="X32" s="24"/>
      <x:c r="Y32" s="24"/>
      <x:c r="Z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  <x:c r="L33" s="24"/>
      <x:c r="M33" s="24"/>
      <x:c r="N33" s="24"/>
      <x:c r="O33" s="24"/>
      <x:c r="P33" s="24"/>
      <x:c r="Q33" s="24"/>
      <x:c r="R33" s="24"/>
      <x:c r="S33" s="24"/>
      <x:c r="T33" s="24"/>
      <x:c r="U33" s="24"/>
      <x:c r="V33" s="24"/>
      <x:c r="W33" s="24"/>
      <x:c r="X33" s="24"/>
      <x:c r="Y33" s="24"/>
      <x:c r="Z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  <x:c r="K34" s="24"/>
      <x:c r="L34" s="24"/>
      <x:c r="M34" s="24"/>
      <x:c r="N34" s="24"/>
      <x:c r="O34" s="24"/>
      <x:c r="P34" s="24"/>
      <x:c r="Q34" s="24"/>
      <x:c r="R34" s="24"/>
      <x:c r="S34" s="24"/>
      <x:c r="T34" s="24"/>
      <x:c r="U34" s="24"/>
      <x:c r="V34" s="24"/>
      <x:c r="W34" s="24"/>
      <x:c r="X34" s="24"/>
      <x:c r="Y34" s="24"/>
      <x:c r="Z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  <x:c r="L35" s="24"/>
      <x:c r="M35" s="24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4"/>
      <x:c r="Z35" s="24"/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  <x:c r="K36" s="24"/>
      <x:c r="L36" s="24"/>
      <x:c r="M36" s="24"/>
      <x:c r="N36" s="24"/>
      <x:c r="O36" s="24"/>
      <x:c r="P36" s="24"/>
      <x:c r="Q36" s="24"/>
      <x:c r="R36" s="24"/>
      <x:c r="S36" s="24"/>
      <x:c r="T36" s="24"/>
      <x:c r="U36" s="24"/>
      <x:c r="V36" s="24"/>
      <x:c r="W36" s="24"/>
      <x:c r="X36" s="24"/>
      <x:c r="Y36" s="24"/>
      <x:c r="Z36" s="24"/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  <x:c r="L37" s="24"/>
      <x:c r="M37" s="24"/>
      <x:c r="N37" s="24"/>
      <x:c r="O37" s="24"/>
      <x:c r="P37" s="24"/>
      <x:c r="Q37" s="24"/>
      <x:c r="R37" s="24"/>
      <x:c r="S37" s="24"/>
      <x:c r="T37" s="24"/>
      <x:c r="U37" s="24"/>
      <x:c r="V37" s="24"/>
      <x:c r="W37" s="24"/>
      <x:c r="X37" s="24"/>
      <x:c r="Y37" s="24"/>
      <x:c r="Z37" s="24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  <x:c r="K38" s="24"/>
      <x:c r="L38" s="24"/>
      <x:c r="M38" s="24"/>
      <x:c r="N38" s="24"/>
      <x:c r="O38" s="24"/>
      <x:c r="P38" s="24"/>
      <x:c r="Q38" s="24"/>
      <x:c r="R38" s="24"/>
      <x:c r="S38" s="24"/>
      <x:c r="T38" s="24"/>
      <x:c r="U38" s="24"/>
      <x:c r="V38" s="24"/>
      <x:c r="W38" s="24"/>
      <x:c r="X38" s="24"/>
      <x:c r="Y38" s="24"/>
      <x:c r="Z38" s="24"/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  <x:c r="K39" s="24"/>
      <x:c r="L39" s="24"/>
      <x:c r="M39" s="24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4"/>
      <x:c r="Z39" s="24"/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  <x:c r="L40" s="24"/>
      <x:c r="M40" s="24"/>
      <x:c r="N40" s="24"/>
      <x:c r="O40" s="24"/>
      <x:c r="P40" s="24"/>
      <x:c r="Q40" s="24"/>
      <x:c r="R40" s="24"/>
      <x:c r="S40" s="24"/>
      <x:c r="T40" s="24"/>
      <x:c r="U40" s="24"/>
      <x:c r="V40" s="24"/>
      <x:c r="W40" s="24"/>
      <x:c r="X40" s="24"/>
      <x:c r="Y40" s="24"/>
      <x:c r="Z40" s="24"/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  <x:c r="K41" s="24"/>
      <x:c r="L41" s="24"/>
      <x:c r="M41" s="24"/>
      <x:c r="N41" s="24"/>
      <x:c r="O41" s="24"/>
      <x:c r="P41" s="24"/>
      <x:c r="Q41" s="24"/>
      <x:c r="R41" s="24"/>
      <x:c r="S41" s="24"/>
      <x:c r="T41" s="24"/>
      <x:c r="U41" s="24"/>
      <x:c r="V41" s="24"/>
      <x:c r="W41" s="24"/>
      <x:c r="X41" s="24"/>
      <x:c r="Y41" s="24"/>
      <x:c r="Z41" s="24"/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  <x:c r="L42" s="24"/>
      <x:c r="M42" s="24"/>
      <x:c r="N42" s="24"/>
      <x:c r="O42" s="24"/>
      <x:c r="P42" s="24"/>
      <x:c r="Q42" s="24"/>
      <x:c r="R42" s="24"/>
      <x:c r="S42" s="24"/>
      <x:c r="T42" s="24"/>
      <x:c r="U42" s="24"/>
      <x:c r="V42" s="24"/>
      <x:c r="W42" s="24"/>
      <x:c r="X42" s="24"/>
      <x:c r="Y42" s="24"/>
      <x:c r="Z42" s="24"/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  <x:c r="L43" s="24"/>
      <x:c r="M43" s="24"/>
      <x:c r="N43" s="24"/>
      <x:c r="O43" s="24"/>
      <x:c r="P43" s="24"/>
      <x:c r="Q43" s="24"/>
      <x:c r="R43" s="24"/>
      <x:c r="S43" s="24"/>
      <x:c r="T43" s="24"/>
      <x:c r="U43" s="24"/>
      <x:c r="V43" s="24"/>
      <x:c r="W43" s="24"/>
      <x:c r="X43" s="24"/>
      <x:c r="Y43" s="24"/>
      <x:c r="Z43" s="24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  <x:c r="L44" s="24"/>
      <x:c r="M44" s="24"/>
      <x:c r="N44" s="24"/>
      <x:c r="O44" s="24"/>
      <x:c r="P44" s="24"/>
      <x:c r="Q44" s="24"/>
      <x:c r="R44" s="24"/>
      <x:c r="S44" s="24"/>
      <x:c r="T44" s="24"/>
      <x:c r="U44" s="24"/>
      <x:c r="V44" s="24"/>
      <x:c r="W44" s="24"/>
      <x:c r="X44" s="24"/>
      <x:c r="Y44" s="24"/>
      <x:c r="Z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  <x:c r="L45" s="24"/>
      <x:c r="M45" s="24"/>
      <x:c r="N45" s="24"/>
      <x:c r="O45" s="24"/>
      <x:c r="P45" s="24"/>
      <x:c r="Q45" s="24"/>
      <x:c r="R45" s="24"/>
      <x:c r="S45" s="24"/>
      <x:c r="T45" s="24"/>
      <x:c r="U45" s="24"/>
      <x:c r="V45" s="24"/>
      <x:c r="W45" s="24"/>
      <x:c r="X45" s="24"/>
      <x:c r="Y45" s="24"/>
      <x:c r="Z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  <x:c r="L46" s="24"/>
      <x:c r="M46" s="24"/>
      <x:c r="N46" s="24"/>
      <x:c r="O46" s="24"/>
      <x:c r="P46" s="24"/>
      <x:c r="Q46" s="24"/>
      <x:c r="R46" s="24"/>
      <x:c r="S46" s="24"/>
      <x:c r="T46" s="24"/>
      <x:c r="U46" s="24"/>
      <x:c r="V46" s="24"/>
      <x:c r="W46" s="24"/>
      <x:c r="X46" s="24"/>
      <x:c r="Y46" s="24"/>
      <x:c r="Z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  <x:c r="L47" s="24"/>
      <x:c r="M47" s="24"/>
      <x:c r="N47" s="24"/>
      <x:c r="O47" s="24"/>
      <x:c r="P47" s="24"/>
      <x:c r="Q47" s="24"/>
      <x:c r="R47" s="24"/>
      <x:c r="S47" s="24"/>
      <x:c r="T47" s="24"/>
      <x:c r="U47" s="24"/>
      <x:c r="V47" s="24"/>
      <x:c r="W47" s="24"/>
      <x:c r="X47" s="24"/>
      <x:c r="Y47" s="24"/>
      <x:c r="Z47" s="24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  <x:c r="L48" s="24"/>
      <x:c r="M48" s="24"/>
      <x:c r="N48" s="24"/>
      <x:c r="O48" s="24"/>
      <x:c r="P48" s="24"/>
      <x:c r="Q48" s="24"/>
      <x:c r="R48" s="24"/>
      <x:c r="S48" s="24"/>
      <x:c r="T48" s="24"/>
      <x:c r="U48" s="24"/>
      <x:c r="V48" s="24"/>
      <x:c r="W48" s="24"/>
      <x:c r="X48" s="24"/>
      <x:c r="Y48" s="24"/>
      <x:c r="Z48" s="24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  <x:c r="L49" s="24"/>
      <x:c r="M49" s="24"/>
      <x:c r="N49" s="24"/>
      <x:c r="O49" s="24"/>
      <x:c r="P49" s="24"/>
      <x:c r="Q49" s="24"/>
      <x:c r="R49" s="24"/>
      <x:c r="S49" s="24"/>
      <x:c r="T49" s="24"/>
      <x:c r="U49" s="24"/>
      <x:c r="V49" s="24"/>
      <x:c r="W49" s="24"/>
      <x:c r="X49" s="24"/>
      <x:c r="Y49" s="24"/>
      <x:c r="Z49" s="24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  <x:c r="L50" s="24"/>
      <x:c r="M50" s="24"/>
      <x:c r="N50" s="24"/>
      <x:c r="O50" s="24"/>
      <x:c r="P50" s="24"/>
      <x:c r="Q50" s="24"/>
      <x:c r="R50" s="24"/>
      <x:c r="S50" s="24"/>
      <x:c r="T50" s="24"/>
      <x:c r="U50" s="24"/>
      <x:c r="V50" s="24"/>
      <x:c r="W50" s="24"/>
      <x:c r="X50" s="24"/>
      <x:c r="Y50" s="24"/>
      <x:c r="Z50" s="24"/>
    </x:row>
    <x:row r="51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  <x:c r="K51" s="24"/>
      <x:c r="L51" s="24"/>
      <x:c r="M51" s="24"/>
      <x:c r="N51" s="24"/>
      <x:c r="O51" s="24"/>
      <x:c r="P51" s="24"/>
      <x:c r="Q51" s="24"/>
      <x:c r="R51" s="24"/>
      <x:c r="S51" s="24"/>
      <x:c r="T51" s="24"/>
      <x:c r="U51" s="24"/>
      <x:c r="V51" s="24"/>
      <x:c r="W51" s="24"/>
      <x:c r="X51" s="24"/>
      <x:c r="Y51" s="24"/>
      <x:c r="Z51" s="24"/>
    </x:row>
    <x:row r="52">
      <x:c r="A52" s="24"/>
      <x:c r="B52" s="24"/>
      <x:c r="C52" s="24"/>
      <x:c r="D52" s="24"/>
      <x:c r="E52" s="24"/>
      <x:c r="F52" s="24"/>
      <x:c r="G52" s="24"/>
      <x:c r="H52" s="24"/>
      <x:c r="I52" s="24"/>
      <x:c r="J52" s="24"/>
      <x:c r="K52" s="24"/>
      <x:c r="L52" s="24"/>
      <x:c r="M52" s="24"/>
      <x:c r="N52" s="24"/>
      <x:c r="O52" s="24"/>
      <x:c r="P52" s="24"/>
      <x:c r="Q52" s="24"/>
      <x:c r="R52" s="24"/>
      <x:c r="S52" s="24"/>
      <x:c r="T52" s="24"/>
      <x:c r="U52" s="24"/>
      <x:c r="V52" s="24"/>
      <x:c r="W52" s="24"/>
      <x:c r="X52" s="24"/>
      <x:c r="Y52" s="24"/>
      <x:c r="Z52" s="24"/>
    </x:row>
    <x:row r="53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  <x:c r="K53" s="24"/>
      <x:c r="L53" s="24"/>
      <x:c r="M53" s="24"/>
      <x:c r="N53" s="24"/>
      <x:c r="O53" s="24"/>
      <x:c r="P53" s="24"/>
      <x:c r="Q53" s="24"/>
      <x:c r="R53" s="24"/>
      <x:c r="S53" s="24"/>
      <x:c r="T53" s="24"/>
      <x:c r="U53" s="24"/>
      <x:c r="V53" s="24"/>
      <x:c r="W53" s="24"/>
      <x:c r="X53" s="24"/>
      <x:c r="Y53" s="24"/>
      <x:c r="Z53" s="24"/>
    </x:row>
    <x:row r="54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  <x:c r="K54" s="24"/>
      <x:c r="L54" s="24"/>
      <x:c r="M54" s="24"/>
      <x:c r="N54" s="24"/>
      <x:c r="O54" s="24"/>
      <x:c r="P54" s="24"/>
      <x:c r="Q54" s="24"/>
      <x:c r="R54" s="24"/>
      <x:c r="S54" s="24"/>
      <x:c r="T54" s="24"/>
      <x:c r="U54" s="24"/>
      <x:c r="V54" s="24"/>
      <x:c r="W54" s="24"/>
      <x:c r="X54" s="24"/>
      <x:c r="Y54" s="24"/>
      <x:c r="Z54" s="24"/>
    </x:row>
    <x:row r="55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  <x:c r="K55" s="24"/>
      <x:c r="L55" s="24"/>
      <x:c r="M55" s="24"/>
      <x:c r="N55" s="24"/>
      <x:c r="O55" s="24"/>
      <x:c r="P55" s="24"/>
      <x:c r="Q55" s="24"/>
      <x:c r="R55" s="24"/>
      <x:c r="S55" s="24"/>
      <x:c r="T55" s="24"/>
      <x:c r="U55" s="24"/>
      <x:c r="V55" s="24"/>
      <x:c r="W55" s="24"/>
      <x:c r="X55" s="24"/>
      <x:c r="Y55" s="24"/>
      <x:c r="Z55" s="24"/>
    </x:row>
    <x:row r="56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  <x:c r="K56" s="24"/>
      <x:c r="L56" s="24"/>
      <x:c r="M56" s="24"/>
      <x:c r="N56" s="24"/>
      <x:c r="O56" s="24"/>
      <x:c r="P56" s="24"/>
      <x:c r="Q56" s="24"/>
      <x:c r="R56" s="24"/>
      <x:c r="S56" s="24"/>
      <x:c r="T56" s="24"/>
      <x:c r="U56" s="24"/>
      <x:c r="V56" s="24"/>
      <x:c r="W56" s="24"/>
      <x:c r="X56" s="24"/>
      <x:c r="Y56" s="24"/>
      <x:c r="Z56" s="24"/>
    </x:row>
    <x:row r="57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  <x:c r="K57" s="24"/>
      <x:c r="L57" s="24"/>
      <x:c r="M57" s="24"/>
      <x:c r="N57" s="24"/>
      <x:c r="O57" s="24"/>
      <x:c r="P57" s="24"/>
      <x:c r="Q57" s="24"/>
      <x:c r="R57" s="24"/>
      <x:c r="S57" s="24"/>
      <x:c r="T57" s="24"/>
      <x:c r="U57" s="24"/>
      <x:c r="V57" s="24"/>
      <x:c r="W57" s="24"/>
      <x:c r="X57" s="24"/>
      <x:c r="Y57" s="24"/>
      <x:c r="Z57" s="24"/>
    </x:row>
    <x:row r="58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24"/>
      <x:c r="O58" s="24"/>
      <x:c r="P58" s="24"/>
      <x:c r="Q58" s="24"/>
      <x:c r="R58" s="24"/>
      <x:c r="S58" s="24"/>
      <x:c r="T58" s="24"/>
      <x:c r="U58" s="24"/>
      <x:c r="V58" s="24"/>
      <x:c r="W58" s="24"/>
      <x:c r="X58" s="24"/>
      <x:c r="Y58" s="24"/>
      <x:c r="Z58" s="24"/>
    </x:row>
    <x:row r="59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24"/>
      <x:c r="O59" s="24"/>
      <x:c r="P59" s="24"/>
      <x:c r="Q59" s="24"/>
      <x:c r="R59" s="24"/>
      <x:c r="S59" s="24"/>
      <x:c r="T59" s="24"/>
      <x:c r="U59" s="24"/>
      <x:c r="V59" s="24"/>
      <x:c r="W59" s="24"/>
      <x:c r="X59" s="24"/>
      <x:c r="Y59" s="24"/>
      <x:c r="Z59" s="24"/>
    </x:row>
    <x:row r="60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  <x:c r="K60" s="24"/>
      <x:c r="L60" s="24"/>
      <x:c r="M60" s="24"/>
      <x:c r="N60" s="24"/>
      <x:c r="O60" s="24"/>
      <x:c r="P60" s="24"/>
      <x:c r="Q60" s="24"/>
      <x:c r="R60" s="24"/>
      <x:c r="S60" s="24"/>
      <x:c r="T60" s="24"/>
      <x:c r="U60" s="24"/>
      <x:c r="V60" s="24"/>
      <x:c r="W60" s="24"/>
      <x:c r="X60" s="24"/>
      <x:c r="Y60" s="24"/>
      <x:c r="Z60" s="24"/>
    </x:row>
    <x:row r="6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  <x:c r="K61" s="24"/>
      <x:c r="L61" s="24"/>
      <x:c r="M61" s="24"/>
      <x:c r="N61" s="24"/>
      <x:c r="O61" s="24"/>
      <x:c r="P61" s="24"/>
      <x:c r="Q61" s="24"/>
      <x:c r="R61" s="24"/>
      <x:c r="S61" s="24"/>
      <x:c r="T61" s="24"/>
      <x:c r="U61" s="24"/>
      <x:c r="V61" s="24"/>
      <x:c r="W61" s="24"/>
      <x:c r="X61" s="24"/>
      <x:c r="Y61" s="24"/>
      <x:c r="Z61" s="24"/>
    </x:row>
    <x:row r="62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  <x:c r="K62" s="24"/>
      <x:c r="L62" s="24"/>
      <x:c r="M62" s="24"/>
      <x:c r="N62" s="24"/>
      <x:c r="O62" s="24"/>
      <x:c r="P62" s="24"/>
      <x:c r="Q62" s="24"/>
      <x:c r="R62" s="24"/>
      <x:c r="S62" s="24"/>
      <x:c r="T62" s="24"/>
      <x:c r="U62" s="24"/>
      <x:c r="V62" s="24"/>
      <x:c r="W62" s="24"/>
      <x:c r="X62" s="24"/>
      <x:c r="Y62" s="24"/>
      <x:c r="Z62" s="24"/>
    </x:row>
    <x:row r="63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  <x:c r="K63" s="24"/>
      <x:c r="L63" s="24"/>
      <x:c r="M63" s="24"/>
      <x:c r="N63" s="24"/>
      <x:c r="O63" s="24"/>
      <x:c r="P63" s="24"/>
      <x:c r="Q63" s="24"/>
      <x:c r="R63" s="24"/>
      <x:c r="S63" s="24"/>
      <x:c r="T63" s="24"/>
      <x:c r="U63" s="24"/>
      <x:c r="V63" s="24"/>
      <x:c r="W63" s="24"/>
      <x:c r="X63" s="24"/>
      <x:c r="Y63" s="24"/>
      <x:c r="Z63" s="24"/>
    </x:row>
    <x:row r="64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  <x:c r="K64" s="24"/>
      <x:c r="L64" s="24"/>
      <x:c r="M64" s="24"/>
      <x:c r="N64" s="24"/>
      <x:c r="O64" s="24"/>
      <x:c r="P64" s="24"/>
      <x:c r="Q64" s="24"/>
      <x:c r="R64" s="24"/>
      <x:c r="S64" s="24"/>
      <x:c r="T64" s="24"/>
      <x:c r="U64" s="24"/>
      <x:c r="V64" s="24"/>
      <x:c r="W64" s="24"/>
      <x:c r="X64" s="24"/>
      <x:c r="Y64" s="24"/>
      <x:c r="Z64" s="24"/>
    </x:row>
    <x:row r="65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  <x:c r="K65" s="24"/>
      <x:c r="L65" s="24"/>
      <x:c r="M65" s="24"/>
      <x:c r="N65" s="24"/>
      <x:c r="O65" s="24"/>
      <x:c r="P65" s="24"/>
      <x:c r="Q65" s="24"/>
      <x:c r="R65" s="24"/>
      <x:c r="S65" s="24"/>
      <x:c r="T65" s="24"/>
      <x:c r="U65" s="24"/>
      <x:c r="V65" s="24"/>
      <x:c r="W65" s="24"/>
      <x:c r="X65" s="24"/>
      <x:c r="Y65" s="24"/>
      <x:c r="Z65" s="24"/>
    </x:row>
    <x:row r="66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  <x:c r="K66" s="24"/>
      <x:c r="L66" s="24"/>
      <x:c r="M66" s="24"/>
      <x:c r="N66" s="24"/>
      <x:c r="O66" s="24"/>
      <x:c r="P66" s="24"/>
      <x:c r="Q66" s="24"/>
      <x:c r="R66" s="24"/>
      <x:c r="S66" s="24"/>
      <x:c r="T66" s="24"/>
      <x:c r="U66" s="24"/>
      <x:c r="V66" s="24"/>
      <x:c r="W66" s="24"/>
      <x:c r="X66" s="24"/>
      <x:c r="Y66" s="24"/>
      <x:c r="Z66" s="24"/>
    </x:row>
    <x:row r="67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  <x:c r="K67" s="24"/>
      <x:c r="L67" s="24"/>
      <x:c r="M67" s="24"/>
      <x:c r="N67" s="24"/>
      <x:c r="O67" s="24"/>
      <x:c r="P67" s="24"/>
      <x:c r="Q67" s="24"/>
      <x:c r="R67" s="24"/>
      <x:c r="S67" s="24"/>
      <x:c r="T67" s="24"/>
      <x:c r="U67" s="24"/>
      <x:c r="V67" s="24"/>
      <x:c r="W67" s="24"/>
      <x:c r="X67" s="24"/>
      <x:c r="Y67" s="24"/>
      <x:c r="Z67" s="24"/>
    </x:row>
    <x:row r="68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  <x:c r="K68" s="24"/>
      <x:c r="L68" s="24"/>
      <x:c r="M68" s="24"/>
      <x:c r="N68" s="24"/>
      <x:c r="O68" s="24"/>
      <x:c r="P68" s="24"/>
      <x:c r="Q68" s="24"/>
      <x:c r="R68" s="24"/>
      <x:c r="S68" s="24"/>
      <x:c r="T68" s="24"/>
      <x:c r="U68" s="24"/>
      <x:c r="V68" s="24"/>
      <x:c r="W68" s="24"/>
      <x:c r="X68" s="24"/>
      <x:c r="Y68" s="24"/>
      <x:c r="Z68" s="24"/>
    </x:row>
    <x:row r="69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  <x:c r="K69" s="24"/>
      <x:c r="L69" s="24"/>
      <x:c r="M69" s="24"/>
      <x:c r="N69" s="24"/>
      <x:c r="O69" s="24"/>
      <x:c r="P69" s="24"/>
      <x:c r="Q69" s="24"/>
      <x:c r="R69" s="24"/>
      <x:c r="S69" s="24"/>
      <x:c r="T69" s="24"/>
      <x:c r="U69" s="24"/>
      <x:c r="V69" s="24"/>
      <x:c r="W69" s="24"/>
      <x:c r="X69" s="24"/>
      <x:c r="Y69" s="24"/>
      <x:c r="Z69" s="24"/>
    </x:row>
    <x:row r="70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  <x:c r="K70" s="24"/>
      <x:c r="L70" s="24"/>
      <x:c r="M70" s="24"/>
      <x:c r="N70" s="24"/>
      <x:c r="O70" s="24"/>
      <x:c r="P70" s="24"/>
      <x:c r="Q70" s="24"/>
      <x:c r="R70" s="24"/>
      <x:c r="S70" s="24"/>
      <x:c r="T70" s="24"/>
      <x:c r="U70" s="24"/>
      <x:c r="V70" s="24"/>
      <x:c r="W70" s="24"/>
      <x:c r="X70" s="24"/>
      <x:c r="Y70" s="24"/>
      <x:c r="Z70" s="24"/>
    </x:row>
    <x:row r="71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24"/>
      <x:c r="O71" s="24"/>
      <x:c r="P71" s="24"/>
      <x:c r="Q71" s="24"/>
      <x:c r="R71" s="24"/>
      <x:c r="S71" s="24"/>
      <x:c r="T71" s="24"/>
      <x:c r="U71" s="24"/>
      <x:c r="V71" s="24"/>
      <x:c r="W71" s="24"/>
      <x:c r="X71" s="24"/>
      <x:c r="Y71" s="24"/>
      <x:c r="Z71" s="24"/>
    </x:row>
    <x:row r="72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24"/>
      <x:c r="O72" s="24"/>
      <x:c r="P72" s="24"/>
      <x:c r="Q72" s="24"/>
      <x:c r="R72" s="24"/>
      <x:c r="S72" s="24"/>
      <x:c r="T72" s="24"/>
      <x:c r="U72" s="24"/>
      <x:c r="V72" s="24"/>
      <x:c r="W72" s="24"/>
      <x:c r="X72" s="24"/>
      <x:c r="Y72" s="24"/>
      <x:c r="Z72" s="24"/>
    </x:row>
    <x:row r="73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  <x:c r="K73" s="24"/>
      <x:c r="L73" s="24"/>
      <x:c r="M73" s="24"/>
      <x:c r="N73" s="24"/>
      <x:c r="O73" s="24"/>
      <x:c r="P73" s="24"/>
      <x:c r="Q73" s="24"/>
      <x:c r="R73" s="24"/>
      <x:c r="S73" s="24"/>
      <x:c r="T73" s="24"/>
      <x:c r="U73" s="24"/>
      <x:c r="V73" s="24"/>
      <x:c r="W73" s="24"/>
      <x:c r="X73" s="24"/>
      <x:c r="Y73" s="24"/>
      <x:c r="Z73" s="24"/>
    </x:row>
    <x:row r="74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  <x:c r="K74" s="24"/>
      <x:c r="L74" s="24"/>
      <x:c r="M74" s="24"/>
      <x:c r="N74" s="24"/>
      <x:c r="O74" s="24"/>
      <x:c r="P74" s="24"/>
      <x:c r="Q74" s="24"/>
      <x:c r="R74" s="24"/>
      <x:c r="S74" s="24"/>
      <x:c r="T74" s="24"/>
      <x:c r="U74" s="24"/>
      <x:c r="V74" s="24"/>
      <x:c r="W74" s="24"/>
      <x:c r="X74" s="24"/>
      <x:c r="Y74" s="24"/>
      <x:c r="Z74" s="24"/>
    </x:row>
    <x:row r="75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  <x:c r="K75" s="24"/>
      <x:c r="L75" s="24"/>
      <x:c r="M75" s="24"/>
      <x:c r="N75" s="24"/>
      <x:c r="O75" s="24"/>
      <x:c r="P75" s="24"/>
      <x:c r="Q75" s="24"/>
      <x:c r="R75" s="24"/>
      <x:c r="S75" s="24"/>
      <x:c r="T75" s="24"/>
      <x:c r="U75" s="24"/>
      <x:c r="V75" s="24"/>
      <x:c r="W75" s="24"/>
      <x:c r="X75" s="24"/>
      <x:c r="Y75" s="24"/>
      <x:c r="Z75" s="24"/>
    </x:row>
    <x:row r="76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  <x:c r="K76" s="24"/>
      <x:c r="L76" s="24"/>
      <x:c r="M76" s="24"/>
      <x:c r="N76" s="24"/>
      <x:c r="O76" s="24"/>
      <x:c r="P76" s="24"/>
      <x:c r="Q76" s="24"/>
      <x:c r="R76" s="24"/>
      <x:c r="S76" s="24"/>
      <x:c r="T76" s="24"/>
      <x:c r="U76" s="24"/>
      <x:c r="V76" s="24"/>
      <x:c r="W76" s="24"/>
      <x:c r="X76" s="24"/>
      <x:c r="Y76" s="24"/>
      <x:c r="Z76" s="24"/>
    </x:row>
    <x:row r="77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  <x:c r="K77" s="24"/>
      <x:c r="L77" s="24"/>
      <x:c r="M77" s="24"/>
      <x:c r="N77" s="24"/>
      <x:c r="O77" s="24"/>
      <x:c r="P77" s="24"/>
      <x:c r="Q77" s="24"/>
      <x:c r="R77" s="24"/>
      <x:c r="S77" s="24"/>
      <x:c r="T77" s="24"/>
      <x:c r="U77" s="24"/>
      <x:c r="V77" s="24"/>
      <x:c r="W77" s="24"/>
      <x:c r="X77" s="24"/>
      <x:c r="Y77" s="24"/>
      <x:c r="Z77" s="24"/>
    </x:row>
    <x:row r="78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  <x:c r="K78" s="24"/>
      <x:c r="L78" s="24"/>
      <x:c r="M78" s="24"/>
      <x:c r="N78" s="24"/>
      <x:c r="O78" s="24"/>
      <x:c r="P78" s="24"/>
      <x:c r="Q78" s="24"/>
      <x:c r="R78" s="24"/>
      <x:c r="S78" s="24"/>
      <x:c r="T78" s="24"/>
      <x:c r="U78" s="24"/>
      <x:c r="V78" s="24"/>
      <x:c r="W78" s="24"/>
      <x:c r="X78" s="24"/>
      <x:c r="Y78" s="24"/>
      <x:c r="Z78" s="24"/>
    </x:row>
    <x:row r="79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  <x:c r="K79" s="24"/>
      <x:c r="L79" s="24"/>
      <x:c r="M79" s="24"/>
      <x:c r="N79" s="24"/>
      <x:c r="O79" s="24"/>
      <x:c r="P79" s="24"/>
      <x:c r="Q79" s="24"/>
      <x:c r="R79" s="24"/>
      <x:c r="S79" s="24"/>
      <x:c r="T79" s="24"/>
      <x:c r="U79" s="24"/>
      <x:c r="V79" s="24"/>
      <x:c r="W79" s="24"/>
      <x:c r="X79" s="24"/>
      <x:c r="Y79" s="24"/>
      <x:c r="Z79" s="24"/>
    </x:row>
    <x:row r="80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  <x:c r="K80" s="24"/>
      <x:c r="L80" s="24"/>
      <x:c r="M80" s="24"/>
      <x:c r="N80" s="24"/>
      <x:c r="O80" s="24"/>
      <x:c r="P80" s="24"/>
      <x:c r="Q80" s="24"/>
      <x:c r="R80" s="24"/>
      <x:c r="S80" s="24"/>
      <x:c r="T80" s="24"/>
      <x:c r="U80" s="24"/>
      <x:c r="V80" s="24"/>
      <x:c r="W80" s="24"/>
      <x:c r="X80" s="24"/>
      <x:c r="Y80" s="24"/>
      <x:c r="Z80" s="24"/>
    </x:row>
    <x:row r="81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  <x:c r="K81" s="24"/>
      <x:c r="L81" s="24"/>
      <x:c r="M81" s="24"/>
      <x:c r="N81" s="24"/>
      <x:c r="O81" s="24"/>
      <x:c r="P81" s="24"/>
      <x:c r="Q81" s="24"/>
      <x:c r="R81" s="24"/>
      <x:c r="S81" s="24"/>
      <x:c r="T81" s="24"/>
      <x:c r="U81" s="24"/>
      <x:c r="V81" s="24"/>
      <x:c r="W81" s="24"/>
      <x:c r="X81" s="24"/>
      <x:c r="Y81" s="24"/>
      <x:c r="Z81" s="24"/>
    </x:row>
    <x:row r="82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  <x:c r="K82" s="24"/>
      <x:c r="L82" s="24"/>
      <x:c r="M82" s="24"/>
      <x:c r="N82" s="24"/>
      <x:c r="O82" s="24"/>
      <x:c r="P82" s="24"/>
      <x:c r="Q82" s="24"/>
      <x:c r="R82" s="24"/>
      <x:c r="S82" s="24"/>
      <x:c r="T82" s="24"/>
      <x:c r="U82" s="24"/>
      <x:c r="V82" s="24"/>
      <x:c r="W82" s="24"/>
      <x:c r="X82" s="24"/>
      <x:c r="Y82" s="24"/>
      <x:c r="Z82" s="24"/>
    </x:row>
    <x:row r="83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  <x:c r="K83" s="24"/>
      <x:c r="L83" s="24"/>
      <x:c r="M83" s="24"/>
      <x:c r="N83" s="24"/>
      <x:c r="O83" s="24"/>
      <x:c r="P83" s="24"/>
      <x:c r="Q83" s="24"/>
      <x:c r="R83" s="24"/>
      <x:c r="S83" s="24"/>
      <x:c r="T83" s="24"/>
      <x:c r="U83" s="24"/>
      <x:c r="V83" s="24"/>
      <x:c r="W83" s="24"/>
      <x:c r="X83" s="24"/>
      <x:c r="Y83" s="24"/>
      <x:c r="Z83" s="24"/>
    </x:row>
    <x:row r="84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24"/>
      <x:c r="O84" s="24"/>
      <x:c r="P84" s="24"/>
      <x:c r="Q84" s="24"/>
      <x:c r="R84" s="24"/>
      <x:c r="S84" s="24"/>
      <x:c r="T84" s="24"/>
      <x:c r="U84" s="24"/>
      <x:c r="V84" s="24"/>
      <x:c r="W84" s="24"/>
      <x:c r="X84" s="24"/>
      <x:c r="Y84" s="24"/>
      <x:c r="Z84" s="24"/>
    </x:row>
    <x:row r="85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24"/>
      <x:c r="O85" s="24"/>
      <x:c r="P85" s="24"/>
      <x:c r="Q85" s="24"/>
      <x:c r="R85" s="24"/>
      <x:c r="S85" s="24"/>
      <x:c r="T85" s="24"/>
      <x:c r="U85" s="24"/>
      <x:c r="V85" s="24"/>
      <x:c r="W85" s="24"/>
      <x:c r="X85" s="24"/>
      <x:c r="Y85" s="24"/>
      <x:c r="Z85" s="24"/>
    </x:row>
    <x:row r="86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  <x:c r="K86" s="24"/>
      <x:c r="L86" s="24"/>
      <x:c r="M86" s="24"/>
      <x:c r="N86" s="24"/>
      <x:c r="O86" s="24"/>
      <x:c r="P86" s="24"/>
      <x:c r="Q86" s="24"/>
      <x:c r="R86" s="24"/>
      <x:c r="S86" s="24"/>
      <x:c r="T86" s="24"/>
      <x:c r="U86" s="24"/>
      <x:c r="V86" s="24"/>
      <x:c r="W86" s="24"/>
      <x:c r="X86" s="24"/>
      <x:c r="Y86" s="24"/>
      <x:c r="Z86" s="24"/>
    </x:row>
    <x:row r="87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  <x:c r="K87" s="24"/>
      <x:c r="L87" s="24"/>
      <x:c r="M87" s="24"/>
      <x:c r="N87" s="24"/>
      <x:c r="O87" s="24"/>
      <x:c r="P87" s="24"/>
      <x:c r="Q87" s="24"/>
      <x:c r="R87" s="24"/>
      <x:c r="S87" s="24"/>
      <x:c r="T87" s="24"/>
      <x:c r="U87" s="24"/>
      <x:c r="V87" s="24"/>
      <x:c r="W87" s="24"/>
      <x:c r="X87" s="24"/>
      <x:c r="Y87" s="24"/>
      <x:c r="Z87" s="24"/>
    </x:row>
    <x:row r="88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  <x:c r="K88" s="24"/>
      <x:c r="L88" s="24"/>
      <x:c r="M88" s="24"/>
      <x:c r="N88" s="24"/>
      <x:c r="O88" s="24"/>
      <x:c r="P88" s="24"/>
      <x:c r="Q88" s="24"/>
      <x:c r="R88" s="24"/>
      <x:c r="S88" s="24"/>
      <x:c r="T88" s="24"/>
      <x:c r="U88" s="24"/>
      <x:c r="V88" s="24"/>
      <x:c r="W88" s="24"/>
      <x:c r="X88" s="24"/>
      <x:c r="Y88" s="24"/>
      <x:c r="Z88" s="24"/>
    </x:row>
    <x:row r="89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  <x:c r="K89" s="24"/>
      <x:c r="L89" s="24"/>
      <x:c r="M89" s="24"/>
      <x:c r="N89" s="24"/>
      <x:c r="O89" s="24"/>
      <x:c r="P89" s="24"/>
      <x:c r="Q89" s="24"/>
      <x:c r="R89" s="24"/>
      <x:c r="S89" s="24"/>
      <x:c r="T89" s="24"/>
      <x:c r="U89" s="24"/>
      <x:c r="V89" s="24"/>
      <x:c r="W89" s="24"/>
      <x:c r="X89" s="24"/>
      <x:c r="Y89" s="24"/>
      <x:c r="Z89" s="24"/>
    </x:row>
    <x:row r="90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  <x:c r="K90" s="24"/>
      <x:c r="L90" s="24"/>
      <x:c r="M90" s="24"/>
      <x:c r="N90" s="24"/>
      <x:c r="O90" s="24"/>
      <x:c r="P90" s="24"/>
      <x:c r="Q90" s="24"/>
      <x:c r="R90" s="24"/>
      <x:c r="S90" s="24"/>
      <x:c r="T90" s="24"/>
      <x:c r="U90" s="24"/>
      <x:c r="V90" s="24"/>
      <x:c r="W90" s="24"/>
      <x:c r="X90" s="24"/>
      <x:c r="Y90" s="24"/>
      <x:c r="Z90" s="24"/>
    </x:row>
    <x:row r="91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  <x:c r="K91" s="24"/>
      <x:c r="L91" s="24"/>
      <x:c r="M91" s="24"/>
      <x:c r="N91" s="24"/>
      <x:c r="O91" s="24"/>
      <x:c r="P91" s="24"/>
      <x:c r="Q91" s="24"/>
      <x:c r="R91" s="24"/>
      <x:c r="S91" s="24"/>
      <x:c r="T91" s="24"/>
      <x:c r="U91" s="24"/>
      <x:c r="V91" s="24"/>
      <x:c r="W91" s="24"/>
      <x:c r="X91" s="24"/>
      <x:c r="Y91" s="24"/>
      <x:c r="Z91" s="24"/>
    </x:row>
    <x:row r="92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  <x:c r="K92" s="24"/>
      <x:c r="L92" s="24"/>
      <x:c r="M92" s="24"/>
      <x:c r="N92" s="24"/>
      <x:c r="O92" s="24"/>
      <x:c r="P92" s="24"/>
      <x:c r="Q92" s="24"/>
      <x:c r="R92" s="24"/>
      <x:c r="S92" s="24"/>
      <x:c r="T92" s="24"/>
      <x:c r="U92" s="24"/>
      <x:c r="V92" s="24"/>
      <x:c r="W92" s="24"/>
      <x:c r="X92" s="24"/>
      <x:c r="Y92" s="24"/>
      <x:c r="Z92" s="24"/>
    </x:row>
    <x:row r="93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  <x:c r="K93" s="24"/>
      <x:c r="L93" s="24"/>
      <x:c r="M93" s="24"/>
      <x:c r="N93" s="24"/>
      <x:c r="O93" s="24"/>
      <x:c r="P93" s="24"/>
      <x:c r="Q93" s="24"/>
      <x:c r="R93" s="24"/>
      <x:c r="S93" s="24"/>
      <x:c r="T93" s="24"/>
      <x:c r="U93" s="24"/>
      <x:c r="V93" s="24"/>
      <x:c r="W93" s="24"/>
      <x:c r="X93" s="24"/>
      <x:c r="Y93" s="24"/>
      <x:c r="Z93" s="24"/>
    </x:row>
    <x:row r="94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  <x:c r="K94" s="24"/>
      <x:c r="L94" s="24"/>
      <x:c r="M94" s="24"/>
      <x:c r="N94" s="24"/>
      <x:c r="O94" s="24"/>
      <x:c r="P94" s="24"/>
      <x:c r="Q94" s="24"/>
      <x:c r="R94" s="24"/>
      <x:c r="S94" s="24"/>
      <x:c r="T94" s="24"/>
      <x:c r="U94" s="24"/>
      <x:c r="V94" s="24"/>
      <x:c r="W94" s="24"/>
      <x:c r="X94" s="24"/>
      <x:c r="Y94" s="24"/>
      <x:c r="Z94" s="24"/>
    </x:row>
    <x:row r="95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  <x:c r="K95" s="24"/>
      <x:c r="L95" s="24"/>
      <x:c r="M95" s="24"/>
      <x:c r="N95" s="24"/>
      <x:c r="O95" s="24"/>
      <x:c r="P95" s="24"/>
      <x:c r="Q95" s="24"/>
      <x:c r="R95" s="24"/>
      <x:c r="S95" s="24"/>
      <x:c r="T95" s="24"/>
      <x:c r="U95" s="24"/>
      <x:c r="V95" s="24"/>
      <x:c r="W95" s="24"/>
      <x:c r="X95" s="24"/>
      <x:c r="Y95" s="24"/>
      <x:c r="Z95" s="24"/>
    </x:row>
    <x:row r="96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  <x:c r="K96" s="24"/>
      <x:c r="L96" s="24"/>
      <x:c r="M96" s="24"/>
      <x:c r="N96" s="24"/>
      <x:c r="O96" s="24"/>
      <x:c r="P96" s="24"/>
      <x:c r="Q96" s="24"/>
      <x:c r="R96" s="24"/>
      <x:c r="S96" s="24"/>
      <x:c r="T96" s="24"/>
      <x:c r="U96" s="24"/>
      <x:c r="V96" s="24"/>
      <x:c r="W96" s="24"/>
      <x:c r="X96" s="24"/>
      <x:c r="Y96" s="24"/>
      <x:c r="Z96" s="24"/>
    </x:row>
    <x:row r="97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24"/>
      <x:c r="O97" s="24"/>
      <x:c r="P97" s="24"/>
      <x:c r="Q97" s="24"/>
      <x:c r="R97" s="24"/>
      <x:c r="S97" s="24"/>
      <x:c r="T97" s="24"/>
      <x:c r="U97" s="24"/>
      <x:c r="V97" s="24"/>
      <x:c r="W97" s="24"/>
      <x:c r="X97" s="24"/>
      <x:c r="Y97" s="24"/>
      <x:c r="Z97" s="24"/>
    </x:row>
    <x:row r="98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24"/>
      <x:c r="O98" s="24"/>
      <x:c r="P98" s="24"/>
      <x:c r="Q98" s="24"/>
      <x:c r="R98" s="24"/>
      <x:c r="S98" s="24"/>
      <x:c r="T98" s="24"/>
      <x:c r="U98" s="24"/>
      <x:c r="V98" s="24"/>
      <x:c r="W98" s="24"/>
      <x:c r="X98" s="24"/>
      <x:c r="Y98" s="24"/>
      <x:c r="Z98" s="24"/>
    </x:row>
    <x:row r="99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  <x:c r="K99" s="24"/>
      <x:c r="L99" s="24"/>
      <x:c r="M99" s="24"/>
      <x:c r="N99" s="24"/>
      <x:c r="O99" s="24"/>
      <x:c r="P99" s="24"/>
      <x:c r="Q99" s="24"/>
      <x:c r="R99" s="24"/>
      <x:c r="S99" s="24"/>
      <x:c r="T99" s="24"/>
      <x:c r="U99" s="24"/>
      <x:c r="V99" s="24"/>
      <x:c r="W99" s="24"/>
      <x:c r="X99" s="24"/>
      <x:c r="Y99" s="24"/>
      <x:c r="Z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  <x:c r="L100" s="24"/>
      <x:c r="M100" s="24"/>
      <x:c r="N100" s="24"/>
      <x:c r="O100" s="24"/>
      <x:c r="P100" s="24"/>
      <x:c r="Q100" s="24"/>
      <x:c r="R100" s="24"/>
      <x:c r="S100" s="24"/>
      <x:c r="T100" s="24"/>
      <x:c r="U100" s="24"/>
      <x:c r="V100" s="24"/>
      <x:c r="W100" s="24"/>
      <x:c r="X100" s="24"/>
      <x:c r="Y100" s="24"/>
      <x:c r="Z100" s="24"/>
    </x:row>
    <x:row r="101">
      <x:c r="A101" s="24"/>
      <x:c r="B101" s="24"/>
      <x:c r="C101" s="24"/>
      <x:c r="D101" s="24"/>
      <x:c r="E101" s="24"/>
      <x:c r="F101" s="24"/>
      <x:c r="G101" s="24"/>
      <x:c r="H101" s="24"/>
      <x:c r="I101" s="24"/>
      <x:c r="J101" s="24"/>
      <x:c r="K101" s="24"/>
      <x:c r="L101" s="24"/>
      <x:c r="M101" s="24"/>
      <x:c r="N101" s="24"/>
      <x:c r="O101" s="24"/>
      <x:c r="P101" s="24"/>
      <x:c r="Q101" s="24"/>
      <x:c r="R101" s="24"/>
      <x:c r="S101" s="24"/>
      <x:c r="T101" s="24"/>
      <x:c r="U101" s="24"/>
      <x:c r="V101" s="24"/>
      <x:c r="W101" s="24"/>
      <x:c r="X101" s="24"/>
      <x:c r="Y101" s="24"/>
      <x:c r="Z101" s="24"/>
    </x:row>
    <x:row r="102">
      <x:c r="A102" s="24"/>
      <x:c r="B102" s="24"/>
      <x:c r="C102" s="24"/>
      <x:c r="D102" s="24"/>
      <x:c r="E102" s="24"/>
      <x:c r="F102" s="24"/>
      <x:c r="G102" s="24"/>
      <x:c r="H102" s="24"/>
      <x:c r="I102" s="24"/>
      <x:c r="J102" s="24"/>
      <x:c r="K102" s="24"/>
      <x:c r="L102" s="24"/>
      <x:c r="M102" s="24"/>
      <x:c r="N102" s="24"/>
      <x:c r="O102" s="24"/>
      <x:c r="P102" s="24"/>
      <x:c r="Q102" s="24"/>
      <x:c r="R102" s="24"/>
      <x:c r="S102" s="24"/>
      <x:c r="T102" s="24"/>
      <x:c r="U102" s="24"/>
      <x:c r="V102" s="24"/>
      <x:c r="W102" s="24"/>
      <x:c r="X102" s="24"/>
      <x:c r="Y102" s="24"/>
      <x:c r="Z102" s="24"/>
    </x:row>
    <x:row r="103">
      <x:c r="A103" s="24"/>
      <x:c r="B103" s="24"/>
      <x:c r="C103" s="24"/>
      <x:c r="D103" s="24"/>
      <x:c r="E103" s="24"/>
      <x:c r="F103" s="24"/>
      <x:c r="G103" s="24"/>
      <x:c r="H103" s="24"/>
      <x:c r="I103" s="24"/>
      <x:c r="J103" s="24"/>
      <x:c r="K103" s="24"/>
      <x:c r="L103" s="24"/>
      <x:c r="M103" s="24"/>
      <x:c r="N103" s="24"/>
      <x:c r="O103" s="24"/>
      <x:c r="P103" s="24"/>
      <x:c r="Q103" s="24"/>
      <x:c r="R103" s="24"/>
      <x:c r="S103" s="24"/>
      <x:c r="T103" s="24"/>
      <x:c r="U103" s="24"/>
      <x:c r="V103" s="24"/>
      <x:c r="W103" s="24"/>
      <x:c r="X103" s="24"/>
      <x:c r="Y103" s="24"/>
      <x:c r="Z103" s="24"/>
    </x:row>
    <x:row r="104">
      <x:c r="A104" s="24"/>
      <x:c r="B104" s="24"/>
      <x:c r="C104" s="24"/>
      <x:c r="D104" s="24"/>
      <x:c r="E104" s="24"/>
      <x:c r="F104" s="24"/>
      <x:c r="G104" s="24"/>
      <x:c r="H104" s="24"/>
      <x:c r="I104" s="24"/>
      <x:c r="J104" s="24"/>
      <x:c r="K104" s="24"/>
      <x:c r="L104" s="24"/>
      <x:c r="M104" s="24"/>
      <x:c r="N104" s="24"/>
      <x:c r="O104" s="24"/>
      <x:c r="P104" s="24"/>
      <x:c r="Q104" s="24"/>
      <x:c r="R104" s="24"/>
      <x:c r="S104" s="24"/>
      <x:c r="T104" s="24"/>
      <x:c r="U104" s="24"/>
      <x:c r="V104" s="24"/>
      <x:c r="W104" s="24"/>
      <x:c r="X104" s="24"/>
      <x:c r="Y104" s="24"/>
      <x:c r="Z104" s="24"/>
    </x:row>
    <x:row r="105">
      <x:c r="A105" s="24"/>
      <x:c r="B105" s="24"/>
      <x:c r="C105" s="24"/>
      <x:c r="D105" s="24"/>
      <x:c r="E105" s="24"/>
      <x:c r="F105" s="24"/>
      <x:c r="G105" s="24"/>
      <x:c r="H105" s="24"/>
      <x:c r="I105" s="24"/>
      <x:c r="J105" s="24"/>
      <x:c r="K105" s="24"/>
      <x:c r="L105" s="24"/>
      <x:c r="M105" s="24"/>
      <x:c r="N105" s="24"/>
      <x:c r="O105" s="24"/>
      <x:c r="P105" s="24"/>
      <x:c r="Q105" s="24"/>
      <x:c r="R105" s="24"/>
      <x:c r="S105" s="24"/>
      <x:c r="T105" s="24"/>
      <x:c r="U105" s="24"/>
      <x:c r="V105" s="24"/>
      <x:c r="W105" s="24"/>
      <x:c r="X105" s="24"/>
      <x:c r="Y105" s="24"/>
      <x:c r="Z105" s="24"/>
    </x:row>
    <x:row r="106">
      <x:c r="A106" s="24"/>
      <x:c r="B106" s="24"/>
      <x:c r="C106" s="24"/>
      <x:c r="D106" s="24"/>
      <x:c r="E106" s="24"/>
      <x:c r="F106" s="24"/>
      <x:c r="G106" s="24"/>
      <x:c r="H106" s="24"/>
      <x:c r="I106" s="24"/>
      <x:c r="J106" s="24"/>
      <x:c r="K106" s="24"/>
      <x:c r="L106" s="24"/>
      <x:c r="M106" s="24"/>
      <x:c r="N106" s="24"/>
      <x:c r="O106" s="24"/>
      <x:c r="P106" s="24"/>
      <x:c r="Q106" s="24"/>
      <x:c r="R106" s="24"/>
      <x:c r="S106" s="24"/>
      <x:c r="T106" s="24"/>
      <x:c r="U106" s="24"/>
      <x:c r="V106" s="24"/>
      <x:c r="W106" s="24"/>
      <x:c r="X106" s="24"/>
      <x:c r="Y106" s="24"/>
      <x:c r="Z106" s="24"/>
    </x:row>
    <x:row r="107">
      <x:c r="A107" s="24"/>
      <x:c r="B107" s="24"/>
      <x:c r="C107" s="24"/>
      <x:c r="D107" s="24"/>
      <x:c r="E107" s="24"/>
      <x:c r="F107" s="24"/>
      <x:c r="G107" s="24"/>
      <x:c r="H107" s="24"/>
      <x:c r="I107" s="24"/>
      <x:c r="J107" s="24"/>
      <x:c r="K107" s="24"/>
      <x:c r="L107" s="24"/>
      <x:c r="M107" s="24"/>
      <x:c r="N107" s="24"/>
      <x:c r="O107" s="24"/>
      <x:c r="P107" s="24"/>
      <x:c r="Q107" s="24"/>
      <x:c r="R107" s="24"/>
      <x:c r="S107" s="24"/>
      <x:c r="T107" s="24"/>
      <x:c r="U107" s="24"/>
      <x:c r="V107" s="24"/>
      <x:c r="W107" s="24"/>
      <x:c r="X107" s="24"/>
      <x:c r="Y107" s="24"/>
      <x:c r="Z107" s="24"/>
    </x:row>
    <x:row r="108">
      <x:c r="A108" s="24"/>
      <x:c r="B108" s="24"/>
      <x:c r="C108" s="24"/>
      <x:c r="D108" s="24"/>
      <x:c r="E108" s="24"/>
      <x:c r="F108" s="24"/>
      <x:c r="G108" s="24"/>
      <x:c r="H108" s="24"/>
      <x:c r="I108" s="24"/>
      <x:c r="J108" s="24"/>
      <x:c r="K108" s="24"/>
      <x:c r="L108" s="24"/>
      <x:c r="M108" s="24"/>
      <x:c r="N108" s="24"/>
      <x:c r="O108" s="24"/>
      <x:c r="P108" s="24"/>
      <x:c r="Q108" s="24"/>
      <x:c r="R108" s="24"/>
      <x:c r="S108" s="24"/>
      <x:c r="T108" s="24"/>
      <x:c r="U108" s="24"/>
      <x:c r="V108" s="24"/>
      <x:c r="W108" s="24"/>
      <x:c r="X108" s="24"/>
      <x:c r="Y108" s="24"/>
      <x:c r="Z108" s="24"/>
    </x:row>
    <x:row r="109">
      <x:c r="A109" s="24"/>
      <x:c r="B109" s="24"/>
      <x:c r="C109" s="24"/>
      <x:c r="D109" s="24"/>
      <x:c r="E109" s="24"/>
      <x:c r="F109" s="24"/>
      <x:c r="G109" s="24"/>
      <x:c r="H109" s="24"/>
      <x:c r="I109" s="24"/>
      <x:c r="J109" s="24"/>
      <x:c r="K109" s="24"/>
      <x:c r="L109" s="24"/>
      <x:c r="M109" s="24"/>
      <x:c r="N109" s="24"/>
      <x:c r="O109" s="24"/>
      <x:c r="P109" s="24"/>
      <x:c r="Q109" s="24"/>
      <x:c r="R109" s="24"/>
      <x:c r="S109" s="24"/>
      <x:c r="T109" s="24"/>
      <x:c r="U109" s="24"/>
      <x:c r="V109" s="24"/>
      <x:c r="W109" s="24"/>
      <x:c r="X109" s="24"/>
      <x:c r="Y109" s="24"/>
      <x:c r="Z109" s="24"/>
    </x:row>
    <x:row r="110">
      <x:c r="A110" s="24"/>
      <x:c r="B110" s="24"/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/>
      <x:c r="M110" s="24"/>
      <x:c r="N110" s="24"/>
      <x:c r="O110" s="24"/>
      <x:c r="P110" s="24"/>
      <x:c r="Q110" s="24"/>
      <x:c r="R110" s="24"/>
      <x:c r="S110" s="24"/>
      <x:c r="T110" s="24"/>
      <x:c r="U110" s="24"/>
      <x:c r="V110" s="24"/>
      <x:c r="W110" s="24"/>
      <x:c r="X110" s="24"/>
      <x:c r="Y110" s="24"/>
      <x:c r="Z110" s="24"/>
    </x:row>
    <x:row r="111">
      <x:c r="A111" s="24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P111" s="24"/>
      <x:c r="Q111" s="24"/>
      <x:c r="R111" s="24"/>
      <x:c r="S111" s="24"/>
      <x:c r="T111" s="24"/>
      <x:c r="U111" s="24"/>
      <x:c r="V111" s="24"/>
      <x:c r="W111" s="24"/>
      <x:c r="X111" s="24"/>
      <x:c r="Y111" s="24"/>
      <x:c r="Z111" s="24"/>
    </x:row>
    <x:row r="112">
      <x:c r="A112" s="24"/>
      <x:c r="B112" s="24"/>
      <x:c r="C112" s="24"/>
      <x:c r="D112" s="24"/>
      <x:c r="E112" s="24"/>
      <x:c r="F112" s="24"/>
      <x:c r="G112" s="24"/>
      <x:c r="H112" s="24"/>
      <x:c r="I112" s="24"/>
      <x:c r="J112" s="24"/>
      <x:c r="K112" s="24"/>
      <x:c r="L112" s="24"/>
      <x:c r="M112" s="24"/>
      <x:c r="N112" s="24"/>
      <x:c r="O112" s="24"/>
      <x:c r="P112" s="24"/>
      <x:c r="Q112" s="24"/>
      <x:c r="R112" s="24"/>
      <x:c r="S112" s="24"/>
      <x:c r="T112" s="24"/>
      <x:c r="U112" s="24"/>
      <x:c r="V112" s="24"/>
      <x:c r="W112" s="24"/>
      <x:c r="X112" s="24"/>
      <x:c r="Y112" s="24"/>
      <x:c r="Z112" s="24"/>
    </x:row>
    <x:row r="113">
      <x:c r="A113" s="24"/>
      <x:c r="B113" s="24"/>
      <x:c r="C113" s="24"/>
      <x:c r="D113" s="24"/>
      <x:c r="E113" s="24"/>
      <x:c r="F113" s="24"/>
      <x:c r="G113" s="24"/>
      <x:c r="H113" s="24"/>
      <x:c r="I113" s="24"/>
      <x:c r="J113" s="24"/>
      <x:c r="K113" s="24"/>
      <x:c r="L113" s="24"/>
      <x:c r="M113" s="24"/>
      <x:c r="N113" s="24"/>
      <x:c r="O113" s="24"/>
      <x:c r="P113" s="24"/>
      <x:c r="Q113" s="24"/>
      <x:c r="R113" s="24"/>
      <x:c r="S113" s="24"/>
      <x:c r="T113" s="24"/>
      <x:c r="U113" s="24"/>
      <x:c r="V113" s="24"/>
      <x:c r="W113" s="24"/>
      <x:c r="X113" s="24"/>
      <x:c r="Y113" s="24"/>
      <x:c r="Z113" s="24"/>
    </x:row>
    <x:row r="114">
      <x:c r="A114" s="24"/>
      <x:c r="B114" s="24"/>
      <x:c r="C114" s="24"/>
      <x:c r="D114" s="24"/>
      <x:c r="E114" s="24"/>
      <x:c r="F114" s="24"/>
      <x:c r="G114" s="24"/>
      <x:c r="H114" s="24"/>
      <x:c r="I114" s="24"/>
      <x:c r="J114" s="24"/>
      <x:c r="K114" s="24"/>
      <x:c r="L114" s="24"/>
      <x:c r="M114" s="24"/>
      <x:c r="N114" s="24"/>
      <x:c r="O114" s="24"/>
      <x:c r="P114" s="24"/>
      <x:c r="Q114" s="24"/>
      <x:c r="R114" s="24"/>
      <x:c r="S114" s="24"/>
      <x:c r="T114" s="24"/>
      <x:c r="U114" s="24"/>
      <x:c r="V114" s="24"/>
      <x:c r="W114" s="24"/>
      <x:c r="X114" s="24"/>
      <x:c r="Y114" s="24"/>
      <x:c r="Z114" s="24"/>
    </x:row>
    <x:row r="115">
      <x:c r="A115" s="24"/>
      <x:c r="B115" s="24"/>
      <x:c r="C115" s="24"/>
      <x:c r="D115" s="24"/>
      <x:c r="E115" s="24"/>
      <x:c r="F115" s="24"/>
      <x:c r="G115" s="24"/>
      <x:c r="H115" s="24"/>
      <x:c r="I115" s="24"/>
      <x:c r="J115" s="24"/>
      <x:c r="K115" s="24"/>
      <x:c r="L115" s="24"/>
      <x:c r="M115" s="24"/>
      <x:c r="N115" s="24"/>
      <x:c r="O115" s="24"/>
      <x:c r="P115" s="24"/>
      <x:c r="Q115" s="24"/>
      <x:c r="R115" s="24"/>
      <x:c r="S115" s="24"/>
      <x:c r="T115" s="24"/>
      <x:c r="U115" s="24"/>
      <x:c r="V115" s="24"/>
      <x:c r="W115" s="24"/>
      <x:c r="X115" s="24"/>
      <x:c r="Y115" s="24"/>
      <x:c r="Z115" s="24"/>
    </x:row>
    <x:row r="116">
      <x:c r="A116" s="24"/>
      <x:c r="B116" s="24"/>
      <x:c r="C116" s="24"/>
      <x:c r="D116" s="24"/>
      <x:c r="E116" s="24"/>
      <x:c r="F116" s="24"/>
      <x:c r="G116" s="24"/>
      <x:c r="H116" s="24"/>
      <x:c r="I116" s="24"/>
      <x:c r="J116" s="24"/>
      <x:c r="K116" s="24"/>
      <x:c r="L116" s="24"/>
      <x:c r="M116" s="24"/>
      <x:c r="N116" s="24"/>
      <x:c r="O116" s="24"/>
      <x:c r="P116" s="24"/>
      <x:c r="Q116" s="24"/>
      <x:c r="R116" s="24"/>
      <x:c r="S116" s="24"/>
      <x:c r="T116" s="24"/>
      <x:c r="U116" s="24"/>
      <x:c r="V116" s="24"/>
      <x:c r="W116" s="24"/>
      <x:c r="X116" s="24"/>
      <x:c r="Y116" s="24"/>
      <x:c r="Z116" s="24"/>
    </x:row>
    <x:row r="117">
      <x:c r="A117" s="24"/>
      <x:c r="B117" s="24"/>
      <x:c r="C117" s="24"/>
      <x:c r="D117" s="24"/>
      <x:c r="E117" s="24"/>
      <x:c r="F117" s="24"/>
      <x:c r="G117" s="24"/>
      <x:c r="H117" s="24"/>
      <x:c r="I117" s="24"/>
      <x:c r="J117" s="24"/>
      <x:c r="K117" s="24"/>
      <x:c r="L117" s="24"/>
      <x:c r="M117" s="24"/>
      <x:c r="N117" s="24"/>
      <x:c r="O117" s="24"/>
      <x:c r="P117" s="24"/>
      <x:c r="Q117" s="24"/>
      <x:c r="R117" s="24"/>
      <x:c r="S117" s="24"/>
      <x:c r="T117" s="24"/>
      <x:c r="U117" s="24"/>
      <x:c r="V117" s="24"/>
      <x:c r="W117" s="24"/>
      <x:c r="X117" s="24"/>
      <x:c r="Y117" s="24"/>
      <x:c r="Z117" s="24"/>
    </x:row>
    <x:row r="118">
      <x:c r="A118" s="24"/>
      <x:c r="B118" s="24"/>
      <x:c r="C118" s="24"/>
      <x:c r="D118" s="24"/>
      <x:c r="E118" s="24"/>
      <x:c r="F118" s="24"/>
      <x:c r="G118" s="24"/>
      <x:c r="H118" s="24"/>
      <x:c r="I118" s="24"/>
      <x:c r="J118" s="24"/>
      <x:c r="K118" s="24"/>
      <x:c r="L118" s="24"/>
      <x:c r="M118" s="24"/>
      <x:c r="N118" s="24"/>
      <x:c r="O118" s="24"/>
      <x:c r="P118" s="24"/>
      <x:c r="Q118" s="24"/>
      <x:c r="R118" s="24"/>
      <x:c r="S118" s="24"/>
      <x:c r="T118" s="24"/>
      <x:c r="U118" s="24"/>
      <x:c r="V118" s="24"/>
      <x:c r="W118" s="24"/>
      <x:c r="X118" s="24"/>
      <x:c r="Y118" s="24"/>
      <x:c r="Z118" s="24"/>
    </x:row>
    <x:row r="119">
      <x:c r="A119" s="24"/>
      <x:c r="B119" s="24"/>
      <x:c r="C119" s="24"/>
      <x:c r="D119" s="24"/>
      <x:c r="E119" s="24"/>
      <x:c r="F119" s="24"/>
      <x:c r="G119" s="24"/>
      <x:c r="H119" s="24"/>
      <x:c r="I119" s="24"/>
      <x:c r="J119" s="24"/>
      <x:c r="K119" s="24"/>
      <x:c r="L119" s="24"/>
      <x:c r="M119" s="24"/>
      <x:c r="N119" s="24"/>
      <x:c r="O119" s="24"/>
      <x:c r="P119" s="24"/>
      <x:c r="Q119" s="24"/>
      <x:c r="R119" s="24"/>
      <x:c r="S119" s="24"/>
      <x:c r="T119" s="24"/>
      <x:c r="U119" s="24"/>
      <x:c r="V119" s="24"/>
      <x:c r="W119" s="24"/>
      <x:c r="X119" s="24"/>
      <x:c r="Y119" s="24"/>
      <x:c r="Z119" s="24"/>
    </x:row>
    <x:row r="120">
      <x:c r="A120" s="24"/>
      <x:c r="B120" s="24"/>
      <x:c r="C120" s="24"/>
      <x:c r="D120" s="24"/>
      <x:c r="E120" s="24"/>
      <x:c r="F120" s="24"/>
      <x:c r="G120" s="24"/>
      <x:c r="H120" s="24"/>
      <x:c r="I120" s="24"/>
      <x:c r="J120" s="24"/>
      <x:c r="K120" s="24"/>
      <x:c r="L120" s="24"/>
      <x:c r="M120" s="24"/>
      <x:c r="N120" s="24"/>
      <x:c r="O120" s="24"/>
      <x:c r="P120" s="24"/>
      <x:c r="Q120" s="24"/>
      <x:c r="R120" s="24"/>
      <x:c r="S120" s="24"/>
      <x:c r="T120" s="24"/>
      <x:c r="U120" s="24"/>
      <x:c r="V120" s="24"/>
      <x:c r="W120" s="24"/>
      <x:c r="X120" s="24"/>
      <x:c r="Y120" s="24"/>
      <x:c r="Z120" s="24"/>
    </x:row>
    <x:row r="12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  <x:c r="K121" s="24"/>
      <x:c r="L121" s="24"/>
      <x:c r="M121" s="24"/>
      <x:c r="N121" s="24"/>
      <x:c r="O121" s="24"/>
      <x:c r="P121" s="24"/>
      <x:c r="Q121" s="24"/>
      <x:c r="R121" s="24"/>
      <x:c r="S121" s="24"/>
      <x:c r="T121" s="24"/>
      <x:c r="U121" s="24"/>
      <x:c r="V121" s="24"/>
      <x:c r="W121" s="24"/>
      <x:c r="X121" s="24"/>
      <x:c r="Y121" s="24"/>
      <x:c r="Z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  <x:c r="K122" s="24"/>
      <x:c r="L122" s="24"/>
      <x:c r="M122" s="24"/>
      <x:c r="N122" s="24"/>
      <x:c r="O122" s="24"/>
      <x:c r="P122" s="24"/>
      <x:c r="Q122" s="24"/>
      <x:c r="R122" s="24"/>
      <x:c r="S122" s="24"/>
      <x:c r="T122" s="24"/>
      <x:c r="U122" s="24"/>
      <x:c r="V122" s="24"/>
      <x:c r="W122" s="24"/>
      <x:c r="X122" s="24"/>
      <x:c r="Y122" s="24"/>
      <x:c r="Z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  <x:c r="M123" s="24"/>
      <x:c r="N123" s="24"/>
      <x:c r="O123" s="24"/>
      <x:c r="P123" s="24"/>
      <x:c r="Q123" s="24"/>
      <x:c r="R123" s="24"/>
      <x:c r="S123" s="24"/>
      <x:c r="T123" s="24"/>
      <x:c r="U123" s="24"/>
      <x:c r="V123" s="24"/>
      <x:c r="W123" s="24"/>
      <x:c r="X123" s="24"/>
      <x:c r="Y123" s="24"/>
      <x:c r="Z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  <x:c r="M124" s="24"/>
      <x:c r="N124" s="24"/>
      <x:c r="O124" s="24"/>
      <x:c r="P124" s="24"/>
      <x:c r="Q124" s="24"/>
      <x:c r="R124" s="24"/>
      <x:c r="S124" s="24"/>
      <x:c r="T124" s="24"/>
      <x:c r="U124" s="24"/>
      <x:c r="V124" s="24"/>
      <x:c r="W124" s="24"/>
      <x:c r="X124" s="24"/>
      <x:c r="Y124" s="24"/>
      <x:c r="Z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  <x:c r="K125" s="24"/>
      <x:c r="L125" s="24"/>
      <x:c r="M125" s="24"/>
      <x:c r="N125" s="24"/>
      <x:c r="O125" s="24"/>
      <x:c r="P125" s="24"/>
      <x:c r="Q125" s="24"/>
      <x:c r="R125" s="24"/>
      <x:c r="S125" s="24"/>
      <x:c r="T125" s="24"/>
      <x:c r="U125" s="24"/>
      <x:c r="V125" s="24"/>
      <x:c r="W125" s="24"/>
      <x:c r="X125" s="24"/>
      <x:c r="Y125" s="24"/>
      <x:c r="Z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  <x:c r="K126" s="24"/>
      <x:c r="L126" s="24"/>
      <x:c r="M126" s="24"/>
      <x:c r="N126" s="24"/>
      <x:c r="O126" s="24"/>
      <x:c r="P126" s="24"/>
      <x:c r="Q126" s="24"/>
      <x:c r="R126" s="24"/>
      <x:c r="S126" s="24"/>
      <x:c r="T126" s="24"/>
      <x:c r="U126" s="24"/>
      <x:c r="V126" s="24"/>
      <x:c r="W126" s="24"/>
      <x:c r="X126" s="24"/>
      <x:c r="Y126" s="24"/>
      <x:c r="Z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  <x:c r="K127" s="24"/>
      <x:c r="L127" s="24"/>
      <x:c r="M127" s="24"/>
      <x:c r="N127" s="24"/>
      <x:c r="O127" s="24"/>
      <x:c r="P127" s="24"/>
      <x:c r="Q127" s="24"/>
      <x:c r="R127" s="24"/>
      <x:c r="S127" s="24"/>
      <x:c r="T127" s="24"/>
      <x:c r="U127" s="24"/>
      <x:c r="V127" s="24"/>
      <x:c r="W127" s="24"/>
      <x:c r="X127" s="24"/>
      <x:c r="Y127" s="24"/>
      <x:c r="Z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  <x:c r="K128" s="24"/>
      <x:c r="L128" s="24"/>
      <x:c r="M128" s="24"/>
      <x:c r="N128" s="24"/>
      <x:c r="O128" s="24"/>
      <x:c r="P128" s="24"/>
      <x:c r="Q128" s="24"/>
      <x:c r="R128" s="24"/>
      <x:c r="S128" s="24"/>
      <x:c r="T128" s="24"/>
      <x:c r="U128" s="24"/>
      <x:c r="V128" s="24"/>
      <x:c r="W128" s="24"/>
      <x:c r="X128" s="24"/>
      <x:c r="Y128" s="24"/>
      <x:c r="Z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  <x:c r="K129" s="24"/>
      <x:c r="L129" s="24"/>
      <x:c r="M129" s="24"/>
      <x:c r="N129" s="24"/>
      <x:c r="O129" s="24"/>
      <x:c r="P129" s="24"/>
      <x:c r="Q129" s="24"/>
      <x:c r="R129" s="24"/>
      <x:c r="S129" s="24"/>
      <x:c r="T129" s="24"/>
      <x:c r="U129" s="24"/>
      <x:c r="V129" s="24"/>
      <x:c r="W129" s="24"/>
      <x:c r="X129" s="24"/>
      <x:c r="Y129" s="24"/>
      <x:c r="Z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  <x:c r="K130" s="24"/>
      <x:c r="L130" s="24"/>
      <x:c r="M130" s="24"/>
      <x:c r="N130" s="24"/>
      <x:c r="O130" s="24"/>
      <x:c r="P130" s="24"/>
      <x:c r="Q130" s="24"/>
      <x:c r="R130" s="24"/>
      <x:c r="S130" s="24"/>
      <x:c r="T130" s="24"/>
      <x:c r="U130" s="24"/>
      <x:c r="V130" s="24"/>
      <x:c r="W130" s="24"/>
      <x:c r="X130" s="24"/>
      <x:c r="Y130" s="24"/>
      <x:c r="Z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  <x:c r="K131" s="24"/>
      <x:c r="L131" s="24"/>
      <x:c r="M131" s="24"/>
      <x:c r="N131" s="24"/>
      <x:c r="O131" s="24"/>
      <x:c r="P131" s="24"/>
      <x:c r="Q131" s="24"/>
      <x:c r="R131" s="24"/>
      <x:c r="S131" s="24"/>
      <x:c r="T131" s="24"/>
      <x:c r="U131" s="24"/>
      <x:c r="V131" s="24"/>
      <x:c r="W131" s="24"/>
      <x:c r="X131" s="24"/>
      <x:c r="Y131" s="24"/>
      <x:c r="Z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  <x:c r="K132" s="24"/>
      <x:c r="L132" s="24"/>
      <x:c r="M132" s="24"/>
      <x:c r="N132" s="24"/>
      <x:c r="O132" s="24"/>
      <x:c r="P132" s="24"/>
      <x:c r="Q132" s="24"/>
      <x:c r="R132" s="24"/>
      <x:c r="S132" s="24"/>
      <x:c r="T132" s="24"/>
      <x:c r="U132" s="24"/>
      <x:c r="V132" s="24"/>
      <x:c r="W132" s="24"/>
      <x:c r="X132" s="24"/>
      <x:c r="Y132" s="24"/>
      <x:c r="Z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  <x:c r="K133" s="24"/>
      <x:c r="L133" s="24"/>
      <x:c r="M133" s="24"/>
      <x:c r="N133" s="24"/>
      <x:c r="O133" s="24"/>
      <x:c r="P133" s="24"/>
      <x:c r="Q133" s="24"/>
      <x:c r="R133" s="24"/>
      <x:c r="S133" s="24"/>
      <x:c r="T133" s="24"/>
      <x:c r="U133" s="24"/>
      <x:c r="V133" s="24"/>
      <x:c r="W133" s="24"/>
      <x:c r="X133" s="24"/>
      <x:c r="Y133" s="24"/>
      <x:c r="Z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  <x:c r="K134" s="24"/>
      <x:c r="L134" s="24"/>
      <x:c r="M134" s="24"/>
      <x:c r="N134" s="24"/>
      <x:c r="O134" s="24"/>
      <x:c r="P134" s="24"/>
      <x:c r="Q134" s="24"/>
      <x:c r="R134" s="24"/>
      <x:c r="S134" s="24"/>
      <x:c r="T134" s="24"/>
      <x:c r="U134" s="24"/>
      <x:c r="V134" s="24"/>
      <x:c r="W134" s="24"/>
      <x:c r="X134" s="24"/>
      <x:c r="Y134" s="24"/>
      <x:c r="Z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  <x:c r="K135" s="24"/>
      <x:c r="L135" s="24"/>
      <x:c r="M135" s="24"/>
      <x:c r="N135" s="24"/>
      <x:c r="O135" s="24"/>
      <x:c r="P135" s="24"/>
      <x:c r="Q135" s="24"/>
      <x:c r="R135" s="24"/>
      <x:c r="S135" s="24"/>
      <x:c r="T135" s="24"/>
      <x:c r="U135" s="24"/>
      <x:c r="V135" s="24"/>
      <x:c r="W135" s="24"/>
      <x:c r="X135" s="24"/>
      <x:c r="Y135" s="24"/>
      <x:c r="Z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  <x:c r="K136" s="24"/>
      <x:c r="L136" s="24"/>
      <x:c r="M136" s="24"/>
      <x:c r="N136" s="24"/>
      <x:c r="O136" s="24"/>
      <x:c r="P136" s="24"/>
      <x:c r="Q136" s="24"/>
      <x:c r="R136" s="24"/>
      <x:c r="S136" s="24"/>
      <x:c r="T136" s="24"/>
      <x:c r="U136" s="24"/>
      <x:c r="V136" s="24"/>
      <x:c r="W136" s="24"/>
      <x:c r="X136" s="24"/>
      <x:c r="Y136" s="24"/>
      <x:c r="Z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  <x:c r="L137" s="24"/>
      <x:c r="M137" s="24"/>
      <x:c r="N137" s="24"/>
      <x:c r="O137" s="24"/>
      <x:c r="P137" s="24"/>
      <x:c r="Q137" s="24"/>
      <x:c r="R137" s="24"/>
      <x:c r="S137" s="24"/>
      <x:c r="T137" s="24"/>
      <x:c r="U137" s="24"/>
      <x:c r="V137" s="24"/>
      <x:c r="W137" s="24"/>
      <x:c r="X137" s="24"/>
      <x:c r="Y137" s="24"/>
      <x:c r="Z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  <x:c r="K138" s="24"/>
      <x:c r="L138" s="24"/>
      <x:c r="M138" s="24"/>
      <x:c r="N138" s="24"/>
      <x:c r="O138" s="24"/>
      <x:c r="P138" s="24"/>
      <x:c r="Q138" s="24"/>
      <x:c r="R138" s="24"/>
      <x:c r="S138" s="24"/>
      <x:c r="T138" s="24"/>
      <x:c r="U138" s="24"/>
      <x:c r="V138" s="24"/>
      <x:c r="W138" s="24"/>
      <x:c r="X138" s="24"/>
      <x:c r="Y138" s="24"/>
      <x:c r="Z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  <x:c r="K139" s="24"/>
      <x:c r="L139" s="24"/>
      <x:c r="M139" s="24"/>
      <x:c r="N139" s="24"/>
      <x:c r="O139" s="24"/>
      <x:c r="P139" s="24"/>
      <x:c r="Q139" s="24"/>
      <x:c r="R139" s="24"/>
      <x:c r="S139" s="24"/>
      <x:c r="T139" s="24"/>
      <x:c r="U139" s="24"/>
      <x:c r="V139" s="24"/>
      <x:c r="W139" s="24"/>
      <x:c r="X139" s="24"/>
      <x:c r="Y139" s="24"/>
      <x:c r="Z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  <x:c r="K140" s="24"/>
      <x:c r="L140" s="24"/>
      <x:c r="M140" s="24"/>
      <x:c r="N140" s="24"/>
      <x:c r="O140" s="24"/>
      <x:c r="P140" s="24"/>
      <x:c r="Q140" s="24"/>
      <x:c r="R140" s="24"/>
      <x:c r="S140" s="24"/>
      <x:c r="T140" s="24"/>
      <x:c r="U140" s="24"/>
      <x:c r="V140" s="24"/>
      <x:c r="W140" s="24"/>
      <x:c r="X140" s="24"/>
      <x:c r="Y140" s="24"/>
      <x:c r="Z140" s="24"/>
    </x:row>
    <x:row r="141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  <x:c r="K141" s="24"/>
      <x:c r="L141" s="24"/>
      <x:c r="M141" s="24"/>
      <x:c r="N141" s="24"/>
      <x:c r="O141" s="24"/>
      <x:c r="P141" s="24"/>
      <x:c r="Q141" s="24"/>
      <x:c r="R141" s="24"/>
      <x:c r="S141" s="24"/>
      <x:c r="T141" s="24"/>
      <x:c r="U141" s="24"/>
      <x:c r="V141" s="24"/>
      <x:c r="W141" s="24"/>
      <x:c r="X141" s="24"/>
      <x:c r="Y141" s="24"/>
      <x:c r="Z141" s="24"/>
    </x:row>
    <x:row r="142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  <x:c r="K142" s="24"/>
      <x:c r="L142" s="24"/>
      <x:c r="M142" s="24"/>
      <x:c r="N142" s="24"/>
      <x:c r="O142" s="24"/>
      <x:c r="P142" s="24"/>
      <x:c r="Q142" s="24"/>
      <x:c r="R142" s="24"/>
      <x:c r="S142" s="24"/>
      <x:c r="T142" s="24"/>
      <x:c r="U142" s="24"/>
      <x:c r="V142" s="24"/>
      <x:c r="W142" s="24"/>
      <x:c r="X142" s="24"/>
      <x:c r="Y142" s="24"/>
      <x:c r="Z142" s="24"/>
    </x:row>
    <x:row r="143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  <x:c r="K143" s="24"/>
      <x:c r="L143" s="24"/>
      <x:c r="M143" s="24"/>
      <x:c r="N143" s="24"/>
      <x:c r="O143" s="24"/>
      <x:c r="P143" s="24"/>
      <x:c r="Q143" s="24"/>
      <x:c r="R143" s="24"/>
      <x:c r="S143" s="24"/>
      <x:c r="T143" s="24"/>
      <x:c r="U143" s="24"/>
      <x:c r="V143" s="24"/>
      <x:c r="W143" s="24"/>
      <x:c r="X143" s="24"/>
      <x:c r="Y143" s="24"/>
      <x:c r="Z143" s="24"/>
    </x:row>
    <x:row r="144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  <x:c r="K144" s="24"/>
      <x:c r="L144" s="24"/>
      <x:c r="M144" s="24"/>
      <x:c r="N144" s="24"/>
      <x:c r="O144" s="24"/>
      <x:c r="P144" s="24"/>
      <x:c r="Q144" s="24"/>
      <x:c r="R144" s="24"/>
      <x:c r="S144" s="24"/>
      <x:c r="T144" s="24"/>
      <x:c r="U144" s="24"/>
      <x:c r="V144" s="24"/>
      <x:c r="W144" s="24"/>
      <x:c r="X144" s="24"/>
      <x:c r="Y144" s="24"/>
      <x:c r="Z144" s="24"/>
    </x:row>
    <x:row r="145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  <x:c r="K145" s="24"/>
      <x:c r="L145" s="24"/>
      <x:c r="M145" s="24"/>
      <x:c r="N145" s="24"/>
      <x:c r="O145" s="24"/>
      <x:c r="P145" s="24"/>
      <x:c r="Q145" s="24"/>
      <x:c r="R145" s="24"/>
      <x:c r="S145" s="24"/>
      <x:c r="T145" s="24"/>
      <x:c r="U145" s="24"/>
      <x:c r="V145" s="24"/>
      <x:c r="W145" s="24"/>
      <x:c r="X145" s="24"/>
      <x:c r="Y145" s="24"/>
      <x:c r="Z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  <x:c r="K146" s="24"/>
      <x:c r="L146" s="24"/>
      <x:c r="M146" s="24"/>
      <x:c r="N146" s="24"/>
      <x:c r="O146" s="24"/>
      <x:c r="P146" s="24"/>
      <x:c r="Q146" s="24"/>
      <x:c r="R146" s="24"/>
      <x:c r="S146" s="24"/>
      <x:c r="T146" s="24"/>
      <x:c r="U146" s="24"/>
      <x:c r="V146" s="24"/>
      <x:c r="W146" s="24"/>
      <x:c r="X146" s="24"/>
      <x:c r="Y146" s="24"/>
      <x:c r="Z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  <x:c r="K147" s="24"/>
      <x:c r="L147" s="24"/>
      <x:c r="M147" s="24"/>
      <x:c r="N147" s="24"/>
      <x:c r="O147" s="24"/>
      <x:c r="P147" s="24"/>
      <x:c r="Q147" s="24"/>
      <x:c r="R147" s="24"/>
      <x:c r="S147" s="24"/>
      <x:c r="T147" s="24"/>
      <x:c r="U147" s="24"/>
      <x:c r="V147" s="24"/>
      <x:c r="W147" s="24"/>
      <x:c r="X147" s="24"/>
      <x:c r="Y147" s="24"/>
      <x:c r="Z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  <x:c r="K148" s="24"/>
      <x:c r="L148" s="24"/>
      <x:c r="M148" s="24"/>
      <x:c r="N148" s="24"/>
      <x:c r="O148" s="24"/>
      <x:c r="P148" s="24"/>
      <x:c r="Q148" s="24"/>
      <x:c r="R148" s="24"/>
      <x:c r="S148" s="24"/>
      <x:c r="T148" s="24"/>
      <x:c r="U148" s="24"/>
      <x:c r="V148" s="24"/>
      <x:c r="W148" s="24"/>
      <x:c r="X148" s="24"/>
      <x:c r="Y148" s="24"/>
      <x:c r="Z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  <x:c r="K149" s="24"/>
      <x:c r="L149" s="24"/>
      <x:c r="M149" s="24"/>
      <x:c r="N149" s="24"/>
      <x:c r="O149" s="24"/>
      <x:c r="P149" s="24"/>
      <x:c r="Q149" s="24"/>
      <x:c r="R149" s="24"/>
      <x:c r="S149" s="24"/>
      <x:c r="T149" s="24"/>
      <x:c r="U149" s="24"/>
      <x:c r="V149" s="24"/>
      <x:c r="W149" s="24"/>
      <x:c r="X149" s="24"/>
      <x:c r="Y149" s="24"/>
      <x:c r="Z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  <x:c r="L150" s="24"/>
      <x:c r="M150" s="24"/>
      <x:c r="N150" s="24"/>
      <x:c r="O150" s="24"/>
      <x:c r="P150" s="24"/>
      <x:c r="Q150" s="24"/>
      <x:c r="R150" s="24"/>
      <x:c r="S150" s="24"/>
      <x:c r="T150" s="24"/>
      <x:c r="U150" s="24"/>
      <x:c r="V150" s="24"/>
      <x:c r="W150" s="24"/>
      <x:c r="X150" s="24"/>
      <x:c r="Y150" s="24"/>
      <x:c r="Z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  <x:c r="K151" s="24"/>
      <x:c r="L151" s="24"/>
      <x:c r="M151" s="24"/>
      <x:c r="N151" s="24"/>
      <x:c r="O151" s="24"/>
      <x:c r="P151" s="24"/>
      <x:c r="Q151" s="24"/>
      <x:c r="R151" s="24"/>
      <x:c r="S151" s="24"/>
      <x:c r="T151" s="24"/>
      <x:c r="U151" s="24"/>
      <x:c r="V151" s="24"/>
      <x:c r="W151" s="24"/>
      <x:c r="X151" s="24"/>
      <x:c r="Y151" s="24"/>
      <x:c r="Z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  <x:c r="K152" s="24"/>
      <x:c r="L152" s="24"/>
      <x:c r="M152" s="24"/>
      <x:c r="N152" s="24"/>
      <x:c r="O152" s="24"/>
      <x:c r="P152" s="24"/>
      <x:c r="Q152" s="24"/>
      <x:c r="R152" s="24"/>
      <x:c r="S152" s="24"/>
      <x:c r="T152" s="24"/>
      <x:c r="U152" s="24"/>
      <x:c r="V152" s="24"/>
      <x:c r="W152" s="24"/>
      <x:c r="X152" s="24"/>
      <x:c r="Y152" s="24"/>
      <x:c r="Z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  <x:c r="K153" s="24"/>
      <x:c r="L153" s="24"/>
      <x:c r="M153" s="24"/>
      <x:c r="N153" s="24"/>
      <x:c r="O153" s="24"/>
      <x:c r="P153" s="24"/>
      <x:c r="Q153" s="24"/>
      <x:c r="R153" s="24"/>
      <x:c r="S153" s="24"/>
      <x:c r="T153" s="24"/>
      <x:c r="U153" s="24"/>
      <x:c r="V153" s="24"/>
      <x:c r="W153" s="24"/>
      <x:c r="X153" s="24"/>
      <x:c r="Y153" s="24"/>
      <x:c r="Z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  <x:c r="K154" s="24"/>
      <x:c r="L154" s="24"/>
      <x:c r="M154" s="24"/>
      <x:c r="N154" s="24"/>
      <x:c r="O154" s="24"/>
      <x:c r="P154" s="24"/>
      <x:c r="Q154" s="24"/>
      <x:c r="R154" s="24"/>
      <x:c r="S154" s="24"/>
      <x:c r="T154" s="24"/>
      <x:c r="U154" s="24"/>
      <x:c r="V154" s="24"/>
      <x:c r="W154" s="24"/>
      <x:c r="X154" s="24"/>
      <x:c r="Y154" s="24"/>
      <x:c r="Z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  <x:c r="K155" s="24"/>
      <x:c r="L155" s="24"/>
      <x:c r="M155" s="24"/>
      <x:c r="N155" s="24"/>
      <x:c r="O155" s="24"/>
      <x:c r="P155" s="24"/>
      <x:c r="Q155" s="24"/>
      <x:c r="R155" s="24"/>
      <x:c r="S155" s="24"/>
      <x:c r="T155" s="24"/>
      <x:c r="U155" s="24"/>
      <x:c r="V155" s="24"/>
      <x:c r="W155" s="24"/>
      <x:c r="X155" s="24"/>
      <x:c r="Y155" s="24"/>
      <x:c r="Z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  <x:c r="K156" s="24"/>
      <x:c r="L156" s="24"/>
      <x:c r="M156" s="24"/>
      <x:c r="N156" s="24"/>
      <x:c r="O156" s="24"/>
      <x:c r="P156" s="24"/>
      <x:c r="Q156" s="24"/>
      <x:c r="R156" s="24"/>
      <x:c r="S156" s="24"/>
      <x:c r="T156" s="24"/>
      <x:c r="U156" s="24"/>
      <x:c r="V156" s="24"/>
      <x:c r="W156" s="24"/>
      <x:c r="X156" s="24"/>
      <x:c r="Y156" s="24"/>
      <x:c r="Z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  <x:c r="K157" s="24"/>
      <x:c r="L157" s="24"/>
      <x:c r="M157" s="24"/>
      <x:c r="N157" s="24"/>
      <x:c r="O157" s="24"/>
      <x:c r="P157" s="24"/>
      <x:c r="Q157" s="24"/>
      <x:c r="R157" s="24"/>
      <x:c r="S157" s="24"/>
      <x:c r="T157" s="24"/>
      <x:c r="U157" s="24"/>
      <x:c r="V157" s="24"/>
      <x:c r="W157" s="24"/>
      <x:c r="X157" s="24"/>
      <x:c r="Y157" s="24"/>
      <x:c r="Z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  <x:c r="K158" s="24"/>
      <x:c r="L158" s="24"/>
      <x:c r="M158" s="24"/>
      <x:c r="N158" s="24"/>
      <x:c r="O158" s="24"/>
      <x:c r="P158" s="24"/>
      <x:c r="Q158" s="24"/>
      <x:c r="R158" s="24"/>
      <x:c r="S158" s="24"/>
      <x:c r="T158" s="24"/>
      <x:c r="U158" s="24"/>
      <x:c r="V158" s="24"/>
      <x:c r="W158" s="24"/>
      <x:c r="X158" s="24"/>
      <x:c r="Y158" s="24"/>
      <x:c r="Z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  <x:c r="K159" s="24"/>
      <x:c r="L159" s="24"/>
      <x:c r="M159" s="24"/>
      <x:c r="N159" s="24"/>
      <x:c r="O159" s="24"/>
      <x:c r="P159" s="24"/>
      <x:c r="Q159" s="24"/>
      <x:c r="R159" s="24"/>
      <x:c r="S159" s="24"/>
      <x:c r="T159" s="24"/>
      <x:c r="U159" s="24"/>
      <x:c r="V159" s="24"/>
      <x:c r="W159" s="24"/>
      <x:c r="X159" s="24"/>
      <x:c r="Y159" s="24"/>
      <x:c r="Z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  <x:c r="K160" s="24"/>
      <x:c r="L160" s="24"/>
      <x:c r="M160" s="24"/>
      <x:c r="N160" s="24"/>
      <x:c r="O160" s="24"/>
      <x:c r="P160" s="24"/>
      <x:c r="Q160" s="24"/>
      <x:c r="R160" s="24"/>
      <x:c r="S160" s="24"/>
      <x:c r="T160" s="24"/>
      <x:c r="U160" s="24"/>
      <x:c r="V160" s="24"/>
      <x:c r="W160" s="24"/>
      <x:c r="X160" s="24"/>
      <x:c r="Y160" s="24"/>
      <x:c r="Z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  <x:c r="K161" s="24"/>
      <x:c r="L161" s="24"/>
      <x:c r="M161" s="24"/>
      <x:c r="N161" s="24"/>
      <x:c r="O161" s="24"/>
      <x:c r="P161" s="24"/>
      <x:c r="Q161" s="24"/>
      <x:c r="R161" s="24"/>
      <x:c r="S161" s="24"/>
      <x:c r="T161" s="24"/>
      <x:c r="U161" s="24"/>
      <x:c r="V161" s="24"/>
      <x:c r="W161" s="24"/>
      <x:c r="X161" s="24"/>
      <x:c r="Y161" s="24"/>
      <x:c r="Z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  <x:c r="K162" s="24"/>
      <x:c r="L162" s="24"/>
      <x:c r="M162" s="24"/>
      <x:c r="N162" s="24"/>
      <x:c r="O162" s="24"/>
      <x:c r="P162" s="24"/>
      <x:c r="Q162" s="24"/>
      <x:c r="R162" s="24"/>
      <x:c r="S162" s="24"/>
      <x:c r="T162" s="24"/>
      <x:c r="U162" s="24"/>
      <x:c r="V162" s="24"/>
      <x:c r="W162" s="24"/>
      <x:c r="X162" s="24"/>
      <x:c r="Y162" s="24"/>
      <x:c r="Z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  <x:c r="K163" s="24"/>
      <x:c r="L163" s="24"/>
      <x:c r="M163" s="24"/>
      <x:c r="N163" s="24"/>
      <x:c r="O163" s="24"/>
      <x:c r="P163" s="24"/>
      <x:c r="Q163" s="24"/>
      <x:c r="R163" s="24"/>
      <x:c r="S163" s="24"/>
      <x:c r="T163" s="24"/>
      <x:c r="U163" s="24"/>
      <x:c r="V163" s="24"/>
      <x:c r="W163" s="24"/>
      <x:c r="X163" s="24"/>
      <x:c r="Y163" s="24"/>
      <x:c r="Z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  <x:c r="K164" s="24"/>
      <x:c r="L164" s="24"/>
      <x:c r="M164" s="24"/>
      <x:c r="N164" s="24"/>
      <x:c r="O164" s="24"/>
      <x:c r="P164" s="24"/>
      <x:c r="Q164" s="24"/>
      <x:c r="R164" s="24"/>
      <x:c r="S164" s="24"/>
      <x:c r="T164" s="24"/>
      <x:c r="U164" s="24"/>
      <x:c r="V164" s="24"/>
      <x:c r="W164" s="24"/>
      <x:c r="X164" s="24"/>
      <x:c r="Y164" s="24"/>
      <x:c r="Z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  <x:c r="K165" s="24"/>
      <x:c r="L165" s="24"/>
      <x:c r="M165" s="24"/>
      <x:c r="N165" s="24"/>
      <x:c r="O165" s="24"/>
      <x:c r="P165" s="24"/>
      <x:c r="Q165" s="24"/>
      <x:c r="R165" s="24"/>
      <x:c r="S165" s="24"/>
      <x:c r="T165" s="24"/>
      <x:c r="U165" s="24"/>
      <x:c r="V165" s="24"/>
      <x:c r="W165" s="24"/>
      <x:c r="X165" s="24"/>
      <x:c r="Y165" s="24"/>
      <x:c r="Z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  <x:c r="K166" s="24"/>
      <x:c r="L166" s="24"/>
      <x:c r="M166" s="24"/>
      <x:c r="N166" s="24"/>
      <x:c r="O166" s="24"/>
      <x:c r="P166" s="24"/>
      <x:c r="Q166" s="24"/>
      <x:c r="R166" s="24"/>
      <x:c r="S166" s="24"/>
      <x:c r="T166" s="24"/>
      <x:c r="U166" s="24"/>
      <x:c r="V166" s="24"/>
      <x:c r="W166" s="24"/>
      <x:c r="X166" s="24"/>
      <x:c r="Y166" s="24"/>
      <x:c r="Z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  <x:c r="K167" s="24"/>
      <x:c r="L167" s="24"/>
      <x:c r="M167" s="24"/>
      <x:c r="N167" s="24"/>
      <x:c r="O167" s="24"/>
      <x:c r="P167" s="24"/>
      <x:c r="Q167" s="24"/>
      <x:c r="R167" s="24"/>
      <x:c r="S167" s="24"/>
      <x:c r="T167" s="24"/>
      <x:c r="U167" s="24"/>
      <x:c r="V167" s="24"/>
      <x:c r="W167" s="24"/>
      <x:c r="X167" s="24"/>
      <x:c r="Y167" s="24"/>
      <x:c r="Z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  <x:c r="K168" s="24"/>
      <x:c r="L168" s="24"/>
      <x:c r="M168" s="24"/>
      <x:c r="N168" s="24"/>
      <x:c r="O168" s="24"/>
      <x:c r="P168" s="24"/>
      <x:c r="Q168" s="24"/>
      <x:c r="R168" s="24"/>
      <x:c r="S168" s="24"/>
      <x:c r="T168" s="24"/>
      <x:c r="U168" s="24"/>
      <x:c r="V168" s="24"/>
      <x:c r="W168" s="24"/>
      <x:c r="X168" s="24"/>
      <x:c r="Y168" s="24"/>
      <x:c r="Z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  <x:c r="K169" s="24"/>
      <x:c r="L169" s="24"/>
      <x:c r="M169" s="24"/>
      <x:c r="N169" s="24"/>
      <x:c r="O169" s="24"/>
      <x:c r="P169" s="24"/>
      <x:c r="Q169" s="24"/>
      <x:c r="R169" s="24"/>
      <x:c r="S169" s="24"/>
      <x:c r="T169" s="24"/>
      <x:c r="U169" s="24"/>
      <x:c r="V169" s="24"/>
      <x:c r="W169" s="24"/>
      <x:c r="X169" s="24"/>
      <x:c r="Y169" s="24"/>
      <x:c r="Z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  <x:c r="K170" s="24"/>
      <x:c r="L170" s="24"/>
      <x:c r="M170" s="24"/>
      <x:c r="N170" s="24"/>
      <x:c r="O170" s="24"/>
      <x:c r="P170" s="24"/>
      <x:c r="Q170" s="24"/>
      <x:c r="R170" s="24"/>
      <x:c r="S170" s="24"/>
      <x:c r="T170" s="24"/>
      <x:c r="U170" s="24"/>
      <x:c r="V170" s="24"/>
      <x:c r="W170" s="24"/>
      <x:c r="X170" s="24"/>
      <x:c r="Y170" s="24"/>
      <x:c r="Z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  <x:c r="K171" s="24"/>
      <x:c r="L171" s="24"/>
      <x:c r="M171" s="24"/>
      <x:c r="N171" s="24"/>
      <x:c r="O171" s="24"/>
      <x:c r="P171" s="24"/>
      <x:c r="Q171" s="24"/>
      <x:c r="R171" s="24"/>
      <x:c r="S171" s="24"/>
      <x:c r="T171" s="24"/>
      <x:c r="U171" s="24"/>
      <x:c r="V171" s="24"/>
      <x:c r="W171" s="24"/>
      <x:c r="X171" s="24"/>
      <x:c r="Y171" s="24"/>
      <x:c r="Z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  <x:c r="K172" s="24"/>
      <x:c r="L172" s="24"/>
      <x:c r="M172" s="24"/>
      <x:c r="N172" s="24"/>
      <x:c r="O172" s="24"/>
      <x:c r="P172" s="24"/>
      <x:c r="Q172" s="24"/>
      <x:c r="R172" s="24"/>
      <x:c r="S172" s="24"/>
      <x:c r="T172" s="24"/>
      <x:c r="U172" s="24"/>
      <x:c r="V172" s="24"/>
      <x:c r="W172" s="24"/>
      <x:c r="X172" s="24"/>
      <x:c r="Y172" s="24"/>
      <x:c r="Z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  <x:c r="K173" s="24"/>
      <x:c r="L173" s="24"/>
      <x:c r="M173" s="24"/>
      <x:c r="N173" s="24"/>
      <x:c r="O173" s="24"/>
      <x:c r="P173" s="24"/>
      <x:c r="Q173" s="24"/>
      <x:c r="R173" s="24"/>
      <x:c r="S173" s="24"/>
      <x:c r="T173" s="24"/>
      <x:c r="U173" s="24"/>
      <x:c r="V173" s="24"/>
      <x:c r="W173" s="24"/>
      <x:c r="X173" s="24"/>
      <x:c r="Y173" s="24"/>
      <x:c r="Z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  <x:c r="K174" s="24"/>
      <x:c r="L174" s="24"/>
      <x:c r="M174" s="24"/>
      <x:c r="N174" s="24"/>
      <x:c r="O174" s="24"/>
      <x:c r="P174" s="24"/>
      <x:c r="Q174" s="24"/>
      <x:c r="R174" s="24"/>
      <x:c r="S174" s="24"/>
      <x:c r="T174" s="24"/>
      <x:c r="U174" s="24"/>
      <x:c r="V174" s="24"/>
      <x:c r="W174" s="24"/>
      <x:c r="X174" s="24"/>
      <x:c r="Y174" s="24"/>
      <x:c r="Z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  <x:c r="K175" s="24"/>
      <x:c r="L175" s="24"/>
      <x:c r="M175" s="24"/>
      <x:c r="N175" s="24"/>
      <x:c r="O175" s="24"/>
      <x:c r="P175" s="24"/>
      <x:c r="Q175" s="24"/>
      <x:c r="R175" s="24"/>
      <x:c r="S175" s="24"/>
      <x:c r="T175" s="24"/>
      <x:c r="U175" s="24"/>
      <x:c r="V175" s="24"/>
      <x:c r="W175" s="24"/>
      <x:c r="X175" s="24"/>
      <x:c r="Y175" s="24"/>
      <x:c r="Z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  <x:c r="K176" s="24"/>
      <x:c r="L176" s="24"/>
      <x:c r="M176" s="24"/>
      <x:c r="N176" s="24"/>
      <x:c r="O176" s="24"/>
      <x:c r="P176" s="24"/>
      <x:c r="Q176" s="24"/>
      <x:c r="R176" s="24"/>
      <x:c r="S176" s="24"/>
      <x:c r="T176" s="24"/>
      <x:c r="U176" s="24"/>
      <x:c r="V176" s="24"/>
      <x:c r="W176" s="24"/>
      <x:c r="X176" s="24"/>
      <x:c r="Y176" s="24"/>
      <x:c r="Z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  <x:c r="K177" s="24"/>
      <x:c r="L177" s="24"/>
      <x:c r="M177" s="24"/>
      <x:c r="N177" s="24"/>
      <x:c r="O177" s="24"/>
      <x:c r="P177" s="24"/>
      <x:c r="Q177" s="24"/>
      <x:c r="R177" s="24"/>
      <x:c r="S177" s="24"/>
      <x:c r="T177" s="24"/>
      <x:c r="U177" s="24"/>
      <x:c r="V177" s="24"/>
      <x:c r="W177" s="24"/>
      <x:c r="X177" s="24"/>
      <x:c r="Y177" s="24"/>
      <x:c r="Z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  <x:c r="K178" s="24"/>
      <x:c r="L178" s="24"/>
      <x:c r="M178" s="24"/>
      <x:c r="N178" s="24"/>
      <x:c r="O178" s="24"/>
      <x:c r="P178" s="24"/>
      <x:c r="Q178" s="24"/>
      <x:c r="R178" s="24"/>
      <x:c r="S178" s="24"/>
      <x:c r="T178" s="24"/>
      <x:c r="U178" s="24"/>
      <x:c r="V178" s="24"/>
      <x:c r="W178" s="24"/>
      <x:c r="X178" s="24"/>
      <x:c r="Y178" s="24"/>
      <x:c r="Z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  <x:c r="K179" s="24"/>
      <x:c r="L179" s="24"/>
      <x:c r="M179" s="24"/>
      <x:c r="N179" s="24"/>
      <x:c r="O179" s="24"/>
      <x:c r="P179" s="24"/>
      <x:c r="Q179" s="24"/>
      <x:c r="R179" s="24"/>
      <x:c r="S179" s="24"/>
      <x:c r="T179" s="24"/>
      <x:c r="U179" s="24"/>
      <x:c r="V179" s="24"/>
      <x:c r="W179" s="24"/>
      <x:c r="X179" s="24"/>
      <x:c r="Y179" s="24"/>
      <x:c r="Z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  <x:c r="K180" s="24"/>
      <x:c r="L180" s="24"/>
      <x:c r="M180" s="24"/>
      <x:c r="N180" s="24"/>
      <x:c r="O180" s="24"/>
      <x:c r="P180" s="24"/>
      <x:c r="Q180" s="24"/>
      <x:c r="R180" s="24"/>
      <x:c r="S180" s="24"/>
      <x:c r="T180" s="24"/>
      <x:c r="U180" s="24"/>
      <x:c r="V180" s="24"/>
      <x:c r="W180" s="24"/>
      <x:c r="X180" s="24"/>
      <x:c r="Y180" s="24"/>
      <x:c r="Z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  <x:c r="K181" s="24"/>
      <x:c r="L181" s="24"/>
      <x:c r="M181" s="24"/>
      <x:c r="N181" s="24"/>
      <x:c r="O181" s="24"/>
      <x:c r="P181" s="24"/>
      <x:c r="Q181" s="24"/>
      <x:c r="R181" s="24"/>
      <x:c r="S181" s="24"/>
      <x:c r="T181" s="24"/>
      <x:c r="U181" s="24"/>
      <x:c r="V181" s="24"/>
      <x:c r="W181" s="24"/>
      <x:c r="X181" s="24"/>
      <x:c r="Y181" s="24"/>
      <x:c r="Z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  <x:c r="K182" s="24"/>
      <x:c r="L182" s="24"/>
      <x:c r="M182" s="24"/>
      <x:c r="N182" s="24"/>
      <x:c r="O182" s="24"/>
      <x:c r="P182" s="24"/>
      <x:c r="Q182" s="24"/>
      <x:c r="R182" s="24"/>
      <x:c r="S182" s="24"/>
      <x:c r="T182" s="24"/>
      <x:c r="U182" s="24"/>
      <x:c r="V182" s="24"/>
      <x:c r="W182" s="24"/>
      <x:c r="X182" s="24"/>
      <x:c r="Y182" s="24"/>
      <x:c r="Z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  <x:c r="K183" s="24"/>
      <x:c r="L183" s="24"/>
      <x:c r="M183" s="24"/>
      <x:c r="N183" s="24"/>
      <x:c r="O183" s="24"/>
      <x:c r="P183" s="24"/>
      <x:c r="Q183" s="24"/>
      <x:c r="R183" s="24"/>
      <x:c r="S183" s="24"/>
      <x:c r="T183" s="24"/>
      <x:c r="U183" s="24"/>
      <x:c r="V183" s="24"/>
      <x:c r="W183" s="24"/>
      <x:c r="X183" s="24"/>
      <x:c r="Y183" s="24"/>
      <x:c r="Z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  <x:c r="K184" s="24"/>
      <x:c r="L184" s="24"/>
      <x:c r="M184" s="24"/>
      <x:c r="N184" s="24"/>
      <x:c r="O184" s="24"/>
      <x:c r="P184" s="24"/>
      <x:c r="Q184" s="24"/>
      <x:c r="R184" s="24"/>
      <x:c r="S184" s="24"/>
      <x:c r="T184" s="24"/>
      <x:c r="U184" s="24"/>
      <x:c r="V184" s="24"/>
      <x:c r="W184" s="24"/>
      <x:c r="X184" s="24"/>
      <x:c r="Y184" s="24"/>
      <x:c r="Z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  <x:c r="K185" s="24"/>
      <x:c r="L185" s="24"/>
      <x:c r="M185" s="24"/>
      <x:c r="N185" s="24"/>
      <x:c r="O185" s="24"/>
      <x:c r="P185" s="24"/>
      <x:c r="Q185" s="24"/>
      <x:c r="R185" s="24"/>
      <x:c r="S185" s="24"/>
      <x:c r="T185" s="24"/>
      <x:c r="U185" s="24"/>
      <x:c r="V185" s="24"/>
      <x:c r="W185" s="24"/>
      <x:c r="X185" s="24"/>
      <x:c r="Y185" s="24"/>
      <x:c r="Z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  <x:c r="K186" s="24"/>
      <x:c r="L186" s="24"/>
      <x:c r="M186" s="24"/>
      <x:c r="N186" s="24"/>
      <x:c r="O186" s="24"/>
      <x:c r="P186" s="24"/>
      <x:c r="Q186" s="24"/>
      <x:c r="R186" s="24"/>
      <x:c r="S186" s="24"/>
      <x:c r="T186" s="24"/>
      <x:c r="U186" s="24"/>
      <x:c r="V186" s="24"/>
      <x:c r="W186" s="24"/>
      <x:c r="X186" s="24"/>
      <x:c r="Y186" s="24"/>
      <x:c r="Z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  <x:c r="K187" s="24"/>
      <x:c r="L187" s="24"/>
      <x:c r="M187" s="24"/>
      <x:c r="N187" s="24"/>
      <x:c r="O187" s="24"/>
      <x:c r="P187" s="24"/>
      <x:c r="Q187" s="24"/>
      <x:c r="R187" s="24"/>
      <x:c r="S187" s="24"/>
      <x:c r="T187" s="24"/>
      <x:c r="U187" s="24"/>
      <x:c r="V187" s="24"/>
      <x:c r="W187" s="24"/>
      <x:c r="X187" s="24"/>
      <x:c r="Y187" s="24"/>
      <x:c r="Z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  <x:c r="K188" s="24"/>
      <x:c r="L188" s="24"/>
      <x:c r="M188" s="24"/>
      <x:c r="N188" s="24"/>
      <x:c r="O188" s="24"/>
      <x:c r="P188" s="24"/>
      <x:c r="Q188" s="24"/>
      <x:c r="R188" s="24"/>
      <x:c r="S188" s="24"/>
      <x:c r="T188" s="24"/>
      <x:c r="U188" s="24"/>
      <x:c r="V188" s="24"/>
      <x:c r="W188" s="24"/>
      <x:c r="X188" s="24"/>
      <x:c r="Y188" s="24"/>
      <x:c r="Z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  <x:c r="K189" s="24"/>
      <x:c r="L189" s="24"/>
      <x:c r="M189" s="24"/>
      <x:c r="N189" s="24"/>
      <x:c r="O189" s="24"/>
      <x:c r="P189" s="24"/>
      <x:c r="Q189" s="24"/>
      <x:c r="R189" s="24"/>
      <x:c r="S189" s="24"/>
      <x:c r="T189" s="24"/>
      <x:c r="U189" s="24"/>
      <x:c r="V189" s="24"/>
      <x:c r="W189" s="24"/>
      <x:c r="X189" s="24"/>
      <x:c r="Y189" s="24"/>
      <x:c r="Z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  <x:c r="K190" s="24"/>
      <x:c r="L190" s="24"/>
      <x:c r="M190" s="24"/>
      <x:c r="N190" s="24"/>
      <x:c r="O190" s="24"/>
      <x:c r="P190" s="24"/>
      <x:c r="Q190" s="24"/>
      <x:c r="R190" s="24"/>
      <x:c r="S190" s="24"/>
      <x:c r="T190" s="24"/>
      <x:c r="U190" s="24"/>
      <x:c r="V190" s="24"/>
      <x:c r="W190" s="24"/>
      <x:c r="X190" s="24"/>
      <x:c r="Y190" s="24"/>
      <x:c r="Z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  <x:c r="K191" s="24"/>
      <x:c r="L191" s="24"/>
      <x:c r="M191" s="24"/>
      <x:c r="N191" s="24"/>
      <x:c r="O191" s="24"/>
      <x:c r="P191" s="24"/>
      <x:c r="Q191" s="24"/>
      <x:c r="R191" s="24"/>
      <x:c r="S191" s="24"/>
      <x:c r="T191" s="24"/>
      <x:c r="U191" s="24"/>
      <x:c r="V191" s="24"/>
      <x:c r="W191" s="24"/>
      <x:c r="X191" s="24"/>
      <x:c r="Y191" s="24"/>
      <x:c r="Z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  <x:c r="K192" s="24"/>
      <x:c r="L192" s="24"/>
      <x:c r="M192" s="24"/>
      <x:c r="N192" s="24"/>
      <x:c r="O192" s="24"/>
      <x:c r="P192" s="24"/>
      <x:c r="Q192" s="24"/>
      <x:c r="R192" s="24"/>
      <x:c r="S192" s="24"/>
      <x:c r="T192" s="24"/>
      <x:c r="U192" s="24"/>
      <x:c r="V192" s="24"/>
      <x:c r="W192" s="24"/>
      <x:c r="X192" s="24"/>
      <x:c r="Y192" s="24"/>
      <x:c r="Z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  <x:c r="K193" s="24"/>
      <x:c r="L193" s="24"/>
      <x:c r="M193" s="24"/>
      <x:c r="N193" s="24"/>
      <x:c r="O193" s="24"/>
      <x:c r="P193" s="24"/>
      <x:c r="Q193" s="24"/>
      <x:c r="R193" s="24"/>
      <x:c r="S193" s="24"/>
      <x:c r="T193" s="24"/>
      <x:c r="U193" s="24"/>
      <x:c r="V193" s="24"/>
      <x:c r="W193" s="24"/>
      <x:c r="X193" s="24"/>
      <x:c r="Y193" s="24"/>
      <x:c r="Z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  <x:c r="K194" s="24"/>
      <x:c r="L194" s="24"/>
      <x:c r="M194" s="24"/>
      <x:c r="N194" s="24"/>
      <x:c r="O194" s="24"/>
      <x:c r="P194" s="24"/>
      <x:c r="Q194" s="24"/>
      <x:c r="R194" s="24"/>
      <x:c r="S194" s="24"/>
      <x:c r="T194" s="24"/>
      <x:c r="U194" s="24"/>
      <x:c r="V194" s="24"/>
      <x:c r="W194" s="24"/>
      <x:c r="X194" s="24"/>
      <x:c r="Y194" s="24"/>
      <x:c r="Z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  <x:c r="K195" s="24"/>
      <x:c r="L195" s="24"/>
      <x:c r="M195" s="24"/>
      <x:c r="N195" s="24"/>
      <x:c r="O195" s="24"/>
      <x:c r="P195" s="24"/>
      <x:c r="Q195" s="24"/>
      <x:c r="R195" s="24"/>
      <x:c r="S195" s="24"/>
      <x:c r="T195" s="24"/>
      <x:c r="U195" s="24"/>
      <x:c r="V195" s="24"/>
      <x:c r="W195" s="24"/>
      <x:c r="X195" s="24"/>
      <x:c r="Y195" s="24"/>
      <x:c r="Z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  <x:c r="K196" s="24"/>
      <x:c r="L196" s="24"/>
      <x:c r="M196" s="24"/>
      <x:c r="N196" s="24"/>
      <x:c r="O196" s="24"/>
      <x:c r="P196" s="24"/>
      <x:c r="Q196" s="24"/>
      <x:c r="R196" s="24"/>
      <x:c r="S196" s="24"/>
      <x:c r="T196" s="24"/>
      <x:c r="U196" s="24"/>
      <x:c r="V196" s="24"/>
      <x:c r="W196" s="24"/>
      <x:c r="X196" s="24"/>
      <x:c r="Y196" s="24"/>
      <x:c r="Z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  <x:c r="K197" s="24"/>
      <x:c r="L197" s="24"/>
      <x:c r="M197" s="24"/>
      <x:c r="N197" s="24"/>
      <x:c r="O197" s="24"/>
      <x:c r="P197" s="24"/>
      <x:c r="Q197" s="24"/>
      <x:c r="R197" s="24"/>
      <x:c r="S197" s="24"/>
      <x:c r="T197" s="24"/>
      <x:c r="U197" s="24"/>
      <x:c r="V197" s="24"/>
      <x:c r="W197" s="24"/>
      <x:c r="X197" s="24"/>
      <x:c r="Y197" s="24"/>
      <x:c r="Z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  <x:c r="K198" s="24"/>
      <x:c r="L198" s="24"/>
      <x:c r="M198" s="24"/>
      <x:c r="N198" s="24"/>
      <x:c r="O198" s="24"/>
      <x:c r="P198" s="24"/>
      <x:c r="Q198" s="24"/>
      <x:c r="R198" s="24"/>
      <x:c r="S198" s="24"/>
      <x:c r="T198" s="24"/>
      <x:c r="U198" s="24"/>
      <x:c r="V198" s="24"/>
      <x:c r="W198" s="24"/>
      <x:c r="X198" s="24"/>
      <x:c r="Y198" s="24"/>
      <x:c r="Z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  <x:c r="K199" s="24"/>
      <x:c r="L199" s="24"/>
      <x:c r="M199" s="24"/>
      <x:c r="N199" s="24"/>
      <x:c r="O199" s="24"/>
      <x:c r="P199" s="24"/>
      <x:c r="Q199" s="24"/>
      <x:c r="R199" s="24"/>
      <x:c r="S199" s="24"/>
      <x:c r="T199" s="24"/>
      <x:c r="U199" s="24"/>
      <x:c r="V199" s="24"/>
      <x:c r="W199" s="24"/>
      <x:c r="X199" s="24"/>
      <x:c r="Y199" s="24"/>
      <x:c r="Z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  <x:c r="K200" s="24"/>
      <x:c r="L200" s="24"/>
      <x:c r="M200" s="24"/>
      <x:c r="N200" s="24"/>
      <x:c r="O200" s="24"/>
      <x:c r="P200" s="24"/>
      <x:c r="Q200" s="24"/>
      <x:c r="R200" s="24"/>
      <x:c r="S200" s="24"/>
      <x:c r="T200" s="24"/>
      <x:c r="U200" s="24"/>
      <x:c r="V200" s="24"/>
      <x:c r="W200" s="24"/>
      <x:c r="X200" s="24"/>
      <x:c r="Y200" s="24"/>
      <x:c r="Z200" s="24"/>
    </x:row>
  </x:sheetData>
  <x:mergeCells>
    <x:mergeCell ref="A1:E1"/>
  </x:mergeCells>
  <x:conditionalFormatting sqref="B4:B14">
    <x:cfRule type="expression" dxfId="0" priority="1">
      <x:formula>B4="PASS"</x:formula>
    </x:cfRule>
    <x:cfRule type="expression" dxfId="1" priority="2">
      <x:formula>B4="PENDING"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  <x:col min="3" max="3" width="46" hidden="0" customWidth="1"/>
    <x:col min="4" max="4" width="40" hidden="0" customWidth="1"/>
    <x:col min="5" max="5" width="12" hidden="0" customWidth="1"/>
    <x:col min="6" max="6" width="38" hidden="0" customWidth="1"/>
  </x:cols>
  <x:sheetData>
    <x:row r="1">
      <x:c r="A1" s="22" t="str">
        <x:v>RULES INTERACTIONS — RELEVANT TO LYND(E)</x:v>
      </x:c>
      <x:c r="B1" s="22"/>
      <x:c r="C1" s="22"/>
      <x:c r="D1" s="22"/>
      <x:c r="E1" s="22"/>
      <x:c r="F1" s="22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>
      <x:c r="A2" s="24"/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  <x:c r="R2" s="24"/>
      <x:c r="S2" s="24"/>
      <x:c r="T2" s="24"/>
      <x:c r="U2" s="24"/>
      <x:c r="V2" s="24"/>
      <x:c r="W2" s="24"/>
      <x:c r="X2" s="24"/>
      <x:c r="Y2" s="24"/>
      <x:c r="Z2" s="24"/>
    </x:row>
    <x:row r="3">
      <x:c r="A3" s="25" t="str">
        <x:v>Interaction</x:v>
      </x:c>
      <x:c r="B3" s="25" t="str">
        <x:v>What Happens</x:v>
      </x:c>
      <x:c r="C3" s="25" t="str">
        <x:v>Strategic Impact</x:v>
      </x:c>
      <x:c r="D3" s="25" t="str">
        <x:v>Common Misread</x:v>
      </x:c>
      <x:c r="E3" s="25" t="str">
        <x:v>Confidence</x:v>
      </x:c>
      <x:c r="F3" s="25" t="str">
        <x:v>Source</x:v>
      </x:c>
      <x:c r="G3" s="24"/>
      <x:c r="H3" s="24"/>
      <x:c r="I3" s="24"/>
      <x:c r="J3" s="24"/>
      <x:c r="K3" s="24"/>
      <x:c r="L3" s="24"/>
      <x:c r="M3" s="24"/>
      <x:c r="N3" s="24"/>
      <x:c r="O3" s="24"/>
      <x:c r="P3" s="24"/>
      <x:c r="Q3" s="24"/>
      <x:c r="R3" s="24"/>
      <x:c r="S3" s="24"/>
      <x:c r="T3" s="24"/>
      <x:c r="U3" s="24"/>
      <x:c r="V3" s="24"/>
      <x:c r="W3" s="24"/>
      <x:c r="X3" s="24"/>
      <x:c r="Y3" s="24"/>
      <x:c r="Z3" s="24"/>
    </x:row>
    <x:row r="4">
      <x:c r="A4" s="84" t="str">
        <x:v>Lynde + Curse to graveyard</x:v>
      </x:c>
      <x:c r="B4" s="84" t="str">
        <x:v>If a Curse is put into your graveyard from the battlefield, Lynde returns it at the beginning of the next end step attached to you.</x:v>
      </x:c>
      <x:c r="C4" s="84" t="str">
        <x:v>Turns voluntary sacrifice/destruction into recursion.</x:v>
      </x:c>
      <x:c r="D4" s="84" t="str">
        <x:v>It does not return immediately; it returns at the next end step.</x:v>
      </x:c>
      <x:c r="E4" s="84" t="str">
        <x:v>High</x:v>
      </x:c>
      <x:c r="F4" s="84" t="str">
        <x:v>Wizards Innistrad: Midnight Hunt Release Notes</x:v>
      </x:c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4"/>
      <x:c r="Z4" s="24"/>
    </x:row>
    <x:row r="5">
      <x:c r="A5" s="84" t="str">
        <x:v>Lynde upkeep move</x:v>
      </x:c>
      <x:c r="B5" s="84" t="str">
        <x:v>At the beginning of your upkeep, you may attach a Curse attached to you to an opponent; if you do, draw two cards.</x:v>
      </x:c>
      <x:c r="C5" s="84" t="str">
        <x:v>This is the deck's repeatable draw engine.</x:v>
      </x:c>
      <x:c r="D5" s="84" t="str">
        <x:v>The ability does not target, so hexproof from a player does not stop the move.</x:v>
      </x:c>
      <x:c r="E5" s="84" t="str">
        <x:v>High</x:v>
      </x:c>
      <x:c r="F5" s="84" t="str">
        <x:v>Wizards Innistrad: Midnight Hunt Release Notes</x:v>
      </x:c>
      <x:c r="G5" s="24"/>
      <x:c r="H5" s="24"/>
      <x:c r="I5" s="24"/>
      <x:c r="J5" s="24"/>
      <x:c r="K5" s="24"/>
      <x:c r="L5" s="24"/>
      <x:c r="M5" s="24"/>
      <x:c r="N5" s="24"/>
      <x:c r="O5" s="24"/>
      <x:c r="P5" s="24"/>
      <x:c r="Q5" s="24"/>
      <x:c r="R5" s="24"/>
      <x:c r="S5" s="24"/>
      <x:c r="T5" s="24"/>
      <x:c r="U5" s="24"/>
      <x:c r="V5" s="24"/>
      <x:c r="W5" s="24"/>
      <x:c r="X5" s="24"/>
      <x:c r="Y5" s="24"/>
      <x:c r="Z5" s="24"/>
    </x:row>
    <x:row r="6">
      <x:c r="A6" s="84" t="str">
        <x:v>Paradox Haze + Lynde</x:v>
      </x:c>
      <x:c r="B6" s="84" t="str">
        <x:v>Paradox Haze gives an additional upkeep; Lynde's upkeep trigger can occur in each upkeep.</x:v>
      </x:c>
      <x:c r="C6" s="84" t="str">
        <x:v>Can double the Curse-moving/draw window each turn.</x:v>
      </x:c>
      <x:c r="D6" s="84" t="str">
        <x:v>An extra upkeep is not an extra main phase.</x:v>
      </x:c>
      <x:c r="E6" s="84" t="str">
        <x:v>High</x:v>
      </x:c>
      <x:c r="F6" s="84" t="str">
        <x:v>Paradox Haze rules precedent / Oracle cross-check</x:v>
      </x:c>
      <x:c r="G6" s="24"/>
      <x:c r="H6" s="24"/>
      <x:c r="I6" s="24"/>
      <x:c r="J6" s="24"/>
      <x:c r="K6" s="24"/>
      <x:c r="L6" s="24"/>
      <x:c r="M6" s="24"/>
      <x:c r="N6" s="24"/>
      <x:c r="O6" s="24"/>
      <x:c r="P6" s="24"/>
      <x:c r="Q6" s="24"/>
      <x:c r="R6" s="24"/>
      <x:c r="S6" s="24"/>
      <x:c r="T6" s="24"/>
      <x:c r="U6" s="24"/>
      <x:c r="V6" s="24"/>
      <x:c r="W6" s="24"/>
      <x:c r="X6" s="24"/>
      <x:c r="Y6" s="24"/>
      <x:c r="Z6" s="24"/>
    </x:row>
    <x:row r="7">
      <x:c r="A7" s="84" t="str">
        <x:v>Copy Enchantment + Curse</x:v>
      </x:c>
      <x:c r="B7" s="84" t="str">
        <x:v>Copy Enchantment can copy an enchantment; when copying an Aura, the copy enters as that Aura and can legally enchant a player as part of entering.</x:v>
      </x:c>
      <x:c r="C7" s="84" t="str">
        <x:v>Provides Curse redundancy without needing the original card.</x:v>
      </x:c>
      <x:c r="D7" s="84" t="str">
        <x:v>Do not assume copied Aura targeting behaves like a normal spell target.</x:v>
      </x:c>
      <x:c r="E7" s="84" t="str">
        <x:v>High</x:v>
      </x:c>
      <x:c r="F7" s="84" t="str">
        <x:v>Card rules / Oracle interaction</x:v>
      </x:c>
      <x:c r="G7" s="24"/>
      <x:c r="H7" s="24"/>
      <x:c r="I7" s="24"/>
      <x:c r="J7" s="24"/>
      <x:c r="K7" s="24"/>
      <x:c r="L7" s="24"/>
      <x:c r="M7" s="24"/>
      <x:c r="N7" s="24"/>
      <x:c r="O7" s="24"/>
      <x:c r="P7" s="24"/>
      <x:c r="Q7" s="24"/>
      <x:c r="R7" s="24"/>
      <x:c r="S7" s="24"/>
      <x:c r="T7" s="24"/>
      <x:c r="U7" s="24"/>
      <x:c r="V7" s="24"/>
      <x:c r="W7" s="24"/>
      <x:c r="X7" s="24"/>
      <x:c r="Y7" s="24"/>
      <x:c r="Z7" s="24"/>
    </x:row>
    <x:row r="8">
      <x:c r="A8" s="84" t="str">
        <x:v>Curse subtype</x:v>
      </x:c>
      <x:c r="B8" s="84" t="str">
        <x:v>Curses are Auras that enchant players and otherwise follow normal Aura rules.</x:v>
      </x:c>
      <x:c r="C8" s="84" t="str">
        <x:v>The theme is rules-compatible with moving between players.</x:v>
      </x:c>
      <x:c r="D8" s="84" t="str">
        <x:v>'Curse' is a subtype, not a separate card type.</x:v>
      </x:c>
      <x:c r="E8" s="84" t="str">
        <x:v>High</x:v>
      </x:c>
      <x:c r="F8" s="84" t="str">
        <x:v>Wizards Dark Ascension Mechanics</x:v>
      </x:c>
      <x:c r="G8" s="24"/>
      <x:c r="H8" s="24"/>
      <x:c r="I8" s="24"/>
      <x:c r="J8" s="24"/>
      <x:c r="K8" s="24"/>
      <x:c r="L8" s="24"/>
      <x:c r="M8" s="24"/>
      <x:c r="N8" s="24"/>
      <x:c r="O8" s="24"/>
      <x:c r="P8" s="24"/>
      <x:c r="Q8" s="24"/>
      <x:c r="R8" s="24"/>
      <x:c r="S8" s="24"/>
      <x:c r="T8" s="24"/>
      <x:c r="U8" s="24"/>
      <x:c r="V8" s="24"/>
      <x:c r="W8" s="24"/>
      <x:c r="X8" s="24"/>
      <x:c r="Y8" s="24"/>
      <x:c r="Z8" s="24"/>
    </x:row>
    <x:row r="9">
      <x:c r="A9" s="84" t="str">
        <x:v>Commander construction</x:v>
      </x:c>
      <x:c r="B9" s="84" t="str">
        <x:v>Commander uses 99 cards + 1 commander; singleton applies except basic lands.</x:v>
      </x:c>
      <x:c r="C9" s="84" t="str">
        <x:v>Decklist is reconciled to 100 cards total.</x:v>
      </x:c>
      <x:c r="D9" s="84" t="str">
        <x:v>MDFCs still count as one card each.</x:v>
      </x:c>
      <x:c r="E9" s="84" t="str">
        <x:v>High</x:v>
      </x:c>
      <x:c r="F9" s="84" t="str">
        <x:v>Wizards Commander Format</x:v>
      </x:c>
      <x:c r="G9" s="24"/>
      <x:c r="H9" s="24"/>
      <x:c r="I9" s="24"/>
      <x:c r="J9" s="24"/>
      <x:c r="K9" s="24"/>
      <x:c r="L9" s="24"/>
      <x:c r="M9" s="24"/>
      <x:c r="N9" s="24"/>
      <x:c r="O9" s="24"/>
      <x:c r="P9" s="24"/>
      <x:c r="Q9" s="24"/>
      <x:c r="R9" s="24"/>
      <x:c r="S9" s="24"/>
      <x:c r="T9" s="24"/>
      <x:c r="U9" s="24"/>
      <x:c r="V9" s="24"/>
      <x:c r="W9" s="24"/>
      <x:c r="X9" s="24"/>
      <x:c r="Y9" s="24"/>
      <x:c r="Z9" s="24"/>
    </x:row>
    <x:row r="10">
      <x:c r="A10" s="24"/>
      <x:c r="B10" s="24"/>
      <x:c r="C10" s="24"/>
      <x:c r="D10" s="24"/>
      <x:c r="E10" s="24"/>
      <x:c r="F10" s="24"/>
      <x:c r="G10" s="24"/>
      <x:c r="H10" s="24"/>
      <x:c r="I10" s="24"/>
      <x:c r="J10" s="24"/>
      <x:c r="K10" s="24"/>
      <x:c r="L10" s="24"/>
      <x:c r="M10" s="24"/>
      <x:c r="N10" s="24"/>
      <x:c r="O10" s="24"/>
      <x:c r="P10" s="24"/>
      <x:c r="Q10" s="24"/>
      <x:c r="R10" s="24"/>
      <x:c r="S10" s="24"/>
      <x:c r="T10" s="24"/>
      <x:c r="U10" s="24"/>
      <x:c r="V10" s="24"/>
      <x:c r="W10" s="24"/>
      <x:c r="X10" s="24"/>
      <x:c r="Y10" s="24"/>
      <x:c r="Z10" s="24"/>
    </x:row>
    <x:row r="11">
      <x:c r="A11" s="24"/>
      <x:c r="B11" s="24"/>
      <x:c r="C11" s="24"/>
      <x:c r="D11" s="24"/>
      <x:c r="E11" s="24"/>
      <x:c r="F11" s="24"/>
      <x:c r="G11" s="24"/>
      <x:c r="H11" s="24"/>
      <x:c r="I11" s="24"/>
      <x:c r="J11" s="24"/>
      <x:c r="K11" s="24"/>
      <x:c r="L11" s="24"/>
      <x:c r="M11" s="24"/>
      <x:c r="N11" s="24"/>
      <x:c r="O11" s="24"/>
      <x:c r="P11" s="24"/>
      <x:c r="Q11" s="24"/>
      <x:c r="R11" s="24"/>
      <x:c r="S11" s="24"/>
      <x:c r="T11" s="24"/>
      <x:c r="U11" s="24"/>
      <x:c r="V11" s="24"/>
      <x:c r="W11" s="24"/>
      <x:c r="X11" s="24"/>
      <x:c r="Y11" s="24"/>
      <x:c r="Z11" s="24"/>
    </x:row>
    <x:row r="12">
      <x:c r="A12" s="24"/>
      <x:c r="B12" s="24"/>
      <x:c r="C12" s="24"/>
      <x:c r="D12" s="24"/>
      <x:c r="E12" s="24"/>
      <x:c r="F12" s="24"/>
      <x:c r="G12" s="24"/>
      <x:c r="H12" s="24"/>
      <x:c r="I12" s="24"/>
      <x:c r="J12" s="24"/>
      <x:c r="K12" s="24"/>
      <x:c r="L12" s="24"/>
      <x:c r="M12" s="24"/>
      <x:c r="N12" s="24"/>
      <x:c r="O12" s="24"/>
      <x:c r="P12" s="24"/>
      <x:c r="Q12" s="24"/>
      <x:c r="R12" s="24"/>
      <x:c r="S12" s="24"/>
      <x:c r="T12" s="24"/>
      <x:c r="U12" s="24"/>
      <x:c r="V12" s="24"/>
      <x:c r="W12" s="24"/>
      <x:c r="X12" s="24"/>
      <x:c r="Y12" s="24"/>
      <x:c r="Z12" s="24"/>
    </x:row>
    <x:row r="13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  <x:c r="L13" s="24"/>
      <x:c r="M13" s="24"/>
      <x:c r="N13" s="24"/>
      <x:c r="O13" s="24"/>
      <x:c r="P13" s="24"/>
      <x:c r="Q13" s="24"/>
      <x:c r="R13" s="24"/>
      <x:c r="S13" s="24"/>
      <x:c r="T13" s="24"/>
      <x:c r="U13" s="24"/>
      <x:c r="V13" s="24"/>
      <x:c r="W13" s="24"/>
      <x:c r="X13" s="24"/>
      <x:c r="Y13" s="24"/>
      <x:c r="Z13" s="24"/>
    </x:row>
    <x:row r="14">
      <x:c r="A14" s="24"/>
      <x:c r="B14" s="24"/>
      <x:c r="C14" s="24"/>
      <x:c r="D14" s="24"/>
      <x:c r="E14" s="24"/>
      <x:c r="F14" s="24"/>
      <x:c r="G14" s="24"/>
      <x:c r="H14" s="24"/>
      <x:c r="I14" s="24"/>
      <x:c r="J14" s="24"/>
      <x:c r="K14" s="24"/>
      <x:c r="L14" s="24"/>
      <x:c r="M14" s="24"/>
      <x:c r="N14" s="24"/>
      <x:c r="O14" s="24"/>
      <x:c r="P14" s="24"/>
      <x:c r="Q14" s="24"/>
      <x:c r="R14" s="24"/>
      <x:c r="S14" s="24"/>
      <x:c r="T14" s="24"/>
      <x:c r="U14" s="24"/>
      <x:c r="V14" s="24"/>
      <x:c r="W14" s="24"/>
      <x:c r="X14" s="24"/>
      <x:c r="Y14" s="24"/>
      <x:c r="Z14" s="24"/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  <x:c r="K15" s="24"/>
      <x:c r="L15" s="24"/>
      <x:c r="M15" s="24"/>
      <x:c r="N15" s="24"/>
      <x:c r="O15" s="24"/>
      <x:c r="P15" s="24"/>
      <x:c r="Q15" s="24"/>
      <x:c r="R15" s="24"/>
      <x:c r="S15" s="24"/>
      <x:c r="T15" s="24"/>
      <x:c r="U15" s="24"/>
      <x:c r="V15" s="24"/>
      <x:c r="W15" s="24"/>
      <x:c r="X15" s="24"/>
      <x:c r="Y15" s="24"/>
      <x:c r="Z15" s="24"/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  <x:c r="K16" s="24"/>
      <x:c r="L16" s="24"/>
      <x:c r="M16" s="24"/>
      <x:c r="N16" s="24"/>
      <x:c r="O16" s="24"/>
      <x:c r="P16" s="24"/>
      <x:c r="Q16" s="24"/>
      <x:c r="R16" s="24"/>
      <x:c r="S16" s="24"/>
      <x:c r="T16" s="24"/>
      <x:c r="U16" s="24"/>
      <x:c r="V16" s="24"/>
      <x:c r="W16" s="24"/>
      <x:c r="X16" s="24"/>
      <x:c r="Y16" s="24"/>
      <x:c r="Z16" s="24"/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  <x:c r="K17" s="24"/>
      <x:c r="L17" s="24"/>
      <x:c r="M17" s="24"/>
      <x:c r="N17" s="24"/>
      <x:c r="O17" s="24"/>
      <x:c r="P17" s="24"/>
      <x:c r="Q17" s="24"/>
      <x:c r="R17" s="24"/>
      <x:c r="S17" s="24"/>
      <x:c r="T17" s="24"/>
      <x:c r="U17" s="24"/>
      <x:c r="V17" s="24"/>
      <x:c r="W17" s="24"/>
      <x:c r="X17" s="24"/>
      <x:c r="Y17" s="24"/>
      <x:c r="Z17" s="24"/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  <x:c r="L18" s="24"/>
      <x:c r="M18" s="24"/>
      <x:c r="N18" s="24"/>
      <x:c r="O18" s="24"/>
      <x:c r="P18" s="24"/>
      <x:c r="Q18" s="24"/>
      <x:c r="R18" s="24"/>
      <x:c r="S18" s="24"/>
      <x:c r="T18" s="24"/>
      <x:c r="U18" s="24"/>
      <x:c r="V18" s="24"/>
      <x:c r="W18" s="24"/>
      <x:c r="X18" s="24"/>
      <x:c r="Y18" s="24"/>
      <x:c r="Z18" s="24"/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  <x:c r="L19" s="24"/>
      <x:c r="M19" s="24"/>
      <x:c r="N19" s="24"/>
      <x:c r="O19" s="24"/>
      <x:c r="P19" s="24"/>
      <x:c r="Q19" s="24"/>
      <x:c r="R19" s="24"/>
      <x:c r="S19" s="24"/>
      <x:c r="T19" s="24"/>
      <x:c r="U19" s="24"/>
      <x:c r="V19" s="24"/>
      <x:c r="W19" s="24"/>
      <x:c r="X19" s="24"/>
      <x:c r="Y19" s="24"/>
      <x:c r="Z19" s="24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  <x:c r="L20" s="24"/>
      <x:c r="M20" s="24"/>
      <x:c r="N20" s="24"/>
      <x:c r="O20" s="24"/>
      <x:c r="P20" s="24"/>
      <x:c r="Q20" s="24"/>
      <x:c r="R20" s="24"/>
      <x:c r="S20" s="24"/>
      <x:c r="T20" s="24"/>
      <x:c r="U20" s="24"/>
      <x:c r="V20" s="24"/>
      <x:c r="W20" s="24"/>
      <x:c r="X20" s="24"/>
      <x:c r="Y20" s="24"/>
      <x:c r="Z20" s="24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  <x:c r="K21" s="24"/>
      <x:c r="L21" s="24"/>
      <x:c r="M21" s="24"/>
      <x:c r="N21" s="24"/>
      <x:c r="O21" s="24"/>
      <x:c r="P21" s="24"/>
      <x:c r="Q21" s="24"/>
      <x:c r="R21" s="24"/>
      <x:c r="S21" s="24"/>
      <x:c r="T21" s="24"/>
      <x:c r="U21" s="24"/>
      <x:c r="V21" s="24"/>
      <x:c r="W21" s="24"/>
      <x:c r="X21" s="24"/>
      <x:c r="Y21" s="24"/>
      <x:c r="Z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  <x:c r="L22" s="24"/>
      <x:c r="M22" s="24"/>
      <x:c r="N22" s="24"/>
      <x:c r="O22" s="24"/>
      <x:c r="P22" s="24"/>
      <x:c r="Q22" s="24"/>
      <x:c r="R22" s="24"/>
      <x:c r="S22" s="24"/>
      <x:c r="T22" s="24"/>
      <x:c r="U22" s="24"/>
      <x:c r="V22" s="24"/>
      <x:c r="W22" s="24"/>
      <x:c r="X22" s="24"/>
      <x:c r="Y22" s="24"/>
      <x:c r="Z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  <x:c r="L23" s="24"/>
      <x:c r="M23" s="24"/>
      <x:c r="N23" s="24"/>
      <x:c r="O23" s="24"/>
      <x:c r="P23" s="24"/>
      <x:c r="Q23" s="24"/>
      <x:c r="R23" s="24"/>
      <x:c r="S23" s="24"/>
      <x:c r="T23" s="24"/>
      <x:c r="U23" s="24"/>
      <x:c r="V23" s="24"/>
      <x:c r="W23" s="24"/>
      <x:c r="X23" s="24"/>
      <x:c r="Y23" s="24"/>
      <x:c r="Z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  <x:c r="L24" s="24"/>
      <x:c r="M24" s="24"/>
      <x:c r="N24" s="24"/>
      <x:c r="O24" s="24"/>
      <x:c r="P24" s="24"/>
      <x:c r="Q24" s="24"/>
      <x:c r="R24" s="24"/>
      <x:c r="S24" s="24"/>
      <x:c r="T24" s="24"/>
      <x:c r="U24" s="24"/>
      <x:c r="V24" s="24"/>
      <x:c r="W24" s="24"/>
      <x:c r="X24" s="24"/>
      <x:c r="Y24" s="24"/>
      <x:c r="Z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  <x:c r="K25" s="24"/>
      <x:c r="L25" s="24"/>
      <x:c r="M25" s="24"/>
      <x:c r="N25" s="24"/>
      <x:c r="O25" s="24"/>
      <x:c r="P25" s="24"/>
      <x:c r="Q25" s="24"/>
      <x:c r="R25" s="24"/>
      <x:c r="S25" s="24"/>
      <x:c r="T25" s="24"/>
      <x:c r="U25" s="24"/>
      <x:c r="V25" s="24"/>
      <x:c r="W25" s="24"/>
      <x:c r="X25" s="24"/>
      <x:c r="Y25" s="24"/>
      <x:c r="Z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  <x:c r="L26" s="24"/>
      <x:c r="M26" s="24"/>
      <x:c r="N26" s="24"/>
      <x:c r="O26" s="24"/>
      <x:c r="P26" s="24"/>
      <x:c r="Q26" s="24"/>
      <x:c r="R26" s="24"/>
      <x:c r="S26" s="24"/>
      <x:c r="T26" s="24"/>
      <x:c r="U26" s="24"/>
      <x:c r="V26" s="24"/>
      <x:c r="W26" s="24"/>
      <x:c r="X26" s="24"/>
      <x:c r="Y26" s="24"/>
      <x:c r="Z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  <x:c r="K27" s="24"/>
      <x:c r="L27" s="24"/>
      <x:c r="M27" s="24"/>
      <x:c r="N27" s="24"/>
      <x:c r="O27" s="24"/>
      <x:c r="P27" s="24"/>
      <x:c r="Q27" s="24"/>
      <x:c r="R27" s="24"/>
      <x:c r="S27" s="24"/>
      <x:c r="T27" s="24"/>
      <x:c r="U27" s="24"/>
      <x:c r="V27" s="24"/>
      <x:c r="W27" s="24"/>
      <x:c r="X27" s="24"/>
      <x:c r="Y27" s="24"/>
      <x:c r="Z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  <x:c r="K28" s="24"/>
      <x:c r="L28" s="24"/>
      <x:c r="M28" s="24"/>
      <x:c r="N28" s="24"/>
      <x:c r="O28" s="24"/>
      <x:c r="P28" s="24"/>
      <x:c r="Q28" s="24"/>
      <x:c r="R28" s="24"/>
      <x:c r="S28" s="24"/>
      <x:c r="T28" s="24"/>
      <x:c r="U28" s="24"/>
      <x:c r="V28" s="24"/>
      <x:c r="W28" s="24"/>
      <x:c r="X28" s="24"/>
      <x:c r="Y28" s="24"/>
      <x:c r="Z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  <x:c r="K29" s="24"/>
      <x:c r="L29" s="24"/>
      <x:c r="M29" s="24"/>
      <x:c r="N29" s="24"/>
      <x:c r="O29" s="24"/>
      <x:c r="P29" s="24"/>
      <x:c r="Q29" s="24"/>
      <x:c r="R29" s="24"/>
      <x:c r="S29" s="24"/>
      <x:c r="T29" s="24"/>
      <x:c r="U29" s="24"/>
      <x:c r="V29" s="24"/>
      <x:c r="W29" s="24"/>
      <x:c r="X29" s="24"/>
      <x:c r="Y29" s="24"/>
      <x:c r="Z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  <x:c r="K30" s="24"/>
      <x:c r="L30" s="24"/>
      <x:c r="M30" s="24"/>
      <x:c r="N30" s="24"/>
      <x:c r="O30" s="24"/>
      <x:c r="P30" s="24"/>
      <x:c r="Q30" s="24"/>
      <x:c r="R30" s="24"/>
      <x:c r="S30" s="24"/>
      <x:c r="T30" s="24"/>
      <x:c r="U30" s="24"/>
      <x:c r="V30" s="24"/>
      <x:c r="W30" s="24"/>
      <x:c r="X30" s="24"/>
      <x:c r="Y30" s="24"/>
      <x:c r="Z30" s="24"/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  <x:c r="K31" s="24"/>
      <x:c r="L31" s="24"/>
      <x:c r="M31" s="24"/>
      <x:c r="N31" s="24"/>
      <x:c r="O31" s="24"/>
      <x:c r="P31" s="24"/>
      <x:c r="Q31" s="24"/>
      <x:c r="R31" s="24"/>
      <x:c r="S31" s="24"/>
      <x:c r="T31" s="24"/>
      <x:c r="U31" s="24"/>
      <x:c r="V31" s="24"/>
      <x:c r="W31" s="24"/>
      <x:c r="X31" s="24"/>
      <x:c r="Y31" s="24"/>
      <x:c r="Z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  <x:c r="K32" s="24"/>
      <x:c r="L32" s="24"/>
      <x:c r="M32" s="24"/>
      <x:c r="N32" s="24"/>
      <x:c r="O32" s="24"/>
      <x:c r="P32" s="24"/>
      <x:c r="Q32" s="24"/>
      <x:c r="R32" s="24"/>
      <x:c r="S32" s="24"/>
      <x:c r="T32" s="24"/>
      <x:c r="U32" s="24"/>
      <x:c r="V32" s="24"/>
      <x:c r="W32" s="24"/>
      <x:c r="X32" s="24"/>
      <x:c r="Y32" s="24"/>
      <x:c r="Z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  <x:c r="L33" s="24"/>
      <x:c r="M33" s="24"/>
      <x:c r="N33" s="24"/>
      <x:c r="O33" s="24"/>
      <x:c r="P33" s="24"/>
      <x:c r="Q33" s="24"/>
      <x:c r="R33" s="24"/>
      <x:c r="S33" s="24"/>
      <x:c r="T33" s="24"/>
      <x:c r="U33" s="24"/>
      <x:c r="V33" s="24"/>
      <x:c r="W33" s="24"/>
      <x:c r="X33" s="24"/>
      <x:c r="Y33" s="24"/>
      <x:c r="Z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  <x:c r="K34" s="24"/>
      <x:c r="L34" s="24"/>
      <x:c r="M34" s="24"/>
      <x:c r="N34" s="24"/>
      <x:c r="O34" s="24"/>
      <x:c r="P34" s="24"/>
      <x:c r="Q34" s="24"/>
      <x:c r="R34" s="24"/>
      <x:c r="S34" s="24"/>
      <x:c r="T34" s="24"/>
      <x:c r="U34" s="24"/>
      <x:c r="V34" s="24"/>
      <x:c r="W34" s="24"/>
      <x:c r="X34" s="24"/>
      <x:c r="Y34" s="24"/>
      <x:c r="Z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  <x:c r="L35" s="24"/>
      <x:c r="M35" s="24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4"/>
      <x:c r="Z35" s="24"/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  <x:c r="K36" s="24"/>
      <x:c r="L36" s="24"/>
      <x:c r="M36" s="24"/>
      <x:c r="N36" s="24"/>
      <x:c r="O36" s="24"/>
      <x:c r="P36" s="24"/>
      <x:c r="Q36" s="24"/>
      <x:c r="R36" s="24"/>
      <x:c r="S36" s="24"/>
      <x:c r="T36" s="24"/>
      <x:c r="U36" s="24"/>
      <x:c r="V36" s="24"/>
      <x:c r="W36" s="24"/>
      <x:c r="X36" s="24"/>
      <x:c r="Y36" s="24"/>
      <x:c r="Z36" s="24"/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  <x:c r="L37" s="24"/>
      <x:c r="M37" s="24"/>
      <x:c r="N37" s="24"/>
      <x:c r="O37" s="24"/>
      <x:c r="P37" s="24"/>
      <x:c r="Q37" s="24"/>
      <x:c r="R37" s="24"/>
      <x:c r="S37" s="24"/>
      <x:c r="T37" s="24"/>
      <x:c r="U37" s="24"/>
      <x:c r="V37" s="24"/>
      <x:c r="W37" s="24"/>
      <x:c r="X37" s="24"/>
      <x:c r="Y37" s="24"/>
      <x:c r="Z37" s="24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  <x:c r="K38" s="24"/>
      <x:c r="L38" s="24"/>
      <x:c r="M38" s="24"/>
      <x:c r="N38" s="24"/>
      <x:c r="O38" s="24"/>
      <x:c r="P38" s="24"/>
      <x:c r="Q38" s="24"/>
      <x:c r="R38" s="24"/>
      <x:c r="S38" s="24"/>
      <x:c r="T38" s="24"/>
      <x:c r="U38" s="24"/>
      <x:c r="V38" s="24"/>
      <x:c r="W38" s="24"/>
      <x:c r="X38" s="24"/>
      <x:c r="Y38" s="24"/>
      <x:c r="Z38" s="24"/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  <x:c r="K39" s="24"/>
      <x:c r="L39" s="24"/>
      <x:c r="M39" s="24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4"/>
      <x:c r="Z39" s="24"/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  <x:c r="L40" s="24"/>
      <x:c r="M40" s="24"/>
      <x:c r="N40" s="24"/>
      <x:c r="O40" s="24"/>
      <x:c r="P40" s="24"/>
      <x:c r="Q40" s="24"/>
      <x:c r="R40" s="24"/>
      <x:c r="S40" s="24"/>
      <x:c r="T40" s="24"/>
      <x:c r="U40" s="24"/>
      <x:c r="V40" s="24"/>
      <x:c r="W40" s="24"/>
      <x:c r="X40" s="24"/>
      <x:c r="Y40" s="24"/>
      <x:c r="Z40" s="24"/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  <x:c r="K41" s="24"/>
      <x:c r="L41" s="24"/>
      <x:c r="M41" s="24"/>
      <x:c r="N41" s="24"/>
      <x:c r="O41" s="24"/>
      <x:c r="P41" s="24"/>
      <x:c r="Q41" s="24"/>
      <x:c r="R41" s="24"/>
      <x:c r="S41" s="24"/>
      <x:c r="T41" s="24"/>
      <x:c r="U41" s="24"/>
      <x:c r="V41" s="24"/>
      <x:c r="W41" s="24"/>
      <x:c r="X41" s="24"/>
      <x:c r="Y41" s="24"/>
      <x:c r="Z41" s="24"/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  <x:c r="L42" s="24"/>
      <x:c r="M42" s="24"/>
      <x:c r="N42" s="24"/>
      <x:c r="O42" s="24"/>
      <x:c r="P42" s="24"/>
      <x:c r="Q42" s="24"/>
      <x:c r="R42" s="24"/>
      <x:c r="S42" s="24"/>
      <x:c r="T42" s="24"/>
      <x:c r="U42" s="24"/>
      <x:c r="V42" s="24"/>
      <x:c r="W42" s="24"/>
      <x:c r="X42" s="24"/>
      <x:c r="Y42" s="24"/>
      <x:c r="Z42" s="24"/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  <x:c r="L43" s="24"/>
      <x:c r="M43" s="24"/>
      <x:c r="N43" s="24"/>
      <x:c r="O43" s="24"/>
      <x:c r="P43" s="24"/>
      <x:c r="Q43" s="24"/>
      <x:c r="R43" s="24"/>
      <x:c r="S43" s="24"/>
      <x:c r="T43" s="24"/>
      <x:c r="U43" s="24"/>
      <x:c r="V43" s="24"/>
      <x:c r="W43" s="24"/>
      <x:c r="X43" s="24"/>
      <x:c r="Y43" s="24"/>
      <x:c r="Z43" s="24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  <x:c r="L44" s="24"/>
      <x:c r="M44" s="24"/>
      <x:c r="N44" s="24"/>
      <x:c r="O44" s="24"/>
      <x:c r="P44" s="24"/>
      <x:c r="Q44" s="24"/>
      <x:c r="R44" s="24"/>
      <x:c r="S44" s="24"/>
      <x:c r="T44" s="24"/>
      <x:c r="U44" s="24"/>
      <x:c r="V44" s="24"/>
      <x:c r="W44" s="24"/>
      <x:c r="X44" s="24"/>
      <x:c r="Y44" s="24"/>
      <x:c r="Z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  <x:c r="L45" s="24"/>
      <x:c r="M45" s="24"/>
      <x:c r="N45" s="24"/>
      <x:c r="O45" s="24"/>
      <x:c r="P45" s="24"/>
      <x:c r="Q45" s="24"/>
      <x:c r="R45" s="24"/>
      <x:c r="S45" s="24"/>
      <x:c r="T45" s="24"/>
      <x:c r="U45" s="24"/>
      <x:c r="V45" s="24"/>
      <x:c r="W45" s="24"/>
      <x:c r="X45" s="24"/>
      <x:c r="Y45" s="24"/>
      <x:c r="Z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  <x:c r="L46" s="24"/>
      <x:c r="M46" s="24"/>
      <x:c r="N46" s="24"/>
      <x:c r="O46" s="24"/>
      <x:c r="P46" s="24"/>
      <x:c r="Q46" s="24"/>
      <x:c r="R46" s="24"/>
      <x:c r="S46" s="24"/>
      <x:c r="T46" s="24"/>
      <x:c r="U46" s="24"/>
      <x:c r="V46" s="24"/>
      <x:c r="W46" s="24"/>
      <x:c r="X46" s="24"/>
      <x:c r="Y46" s="24"/>
      <x:c r="Z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  <x:c r="L47" s="24"/>
      <x:c r="M47" s="24"/>
      <x:c r="N47" s="24"/>
      <x:c r="O47" s="24"/>
      <x:c r="P47" s="24"/>
      <x:c r="Q47" s="24"/>
      <x:c r="R47" s="24"/>
      <x:c r="S47" s="24"/>
      <x:c r="T47" s="24"/>
      <x:c r="U47" s="24"/>
      <x:c r="V47" s="24"/>
      <x:c r="W47" s="24"/>
      <x:c r="X47" s="24"/>
      <x:c r="Y47" s="24"/>
      <x:c r="Z47" s="24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  <x:c r="L48" s="24"/>
      <x:c r="M48" s="24"/>
      <x:c r="N48" s="24"/>
      <x:c r="O48" s="24"/>
      <x:c r="P48" s="24"/>
      <x:c r="Q48" s="24"/>
      <x:c r="R48" s="24"/>
      <x:c r="S48" s="24"/>
      <x:c r="T48" s="24"/>
      <x:c r="U48" s="24"/>
      <x:c r="V48" s="24"/>
      <x:c r="W48" s="24"/>
      <x:c r="X48" s="24"/>
      <x:c r="Y48" s="24"/>
      <x:c r="Z48" s="24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  <x:c r="L49" s="24"/>
      <x:c r="M49" s="24"/>
      <x:c r="N49" s="24"/>
      <x:c r="O49" s="24"/>
      <x:c r="P49" s="24"/>
      <x:c r="Q49" s="24"/>
      <x:c r="R49" s="24"/>
      <x:c r="S49" s="24"/>
      <x:c r="T49" s="24"/>
      <x:c r="U49" s="24"/>
      <x:c r="V49" s="24"/>
      <x:c r="W49" s="24"/>
      <x:c r="X49" s="24"/>
      <x:c r="Y49" s="24"/>
      <x:c r="Z49" s="24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  <x:c r="L50" s="24"/>
      <x:c r="M50" s="24"/>
      <x:c r="N50" s="24"/>
      <x:c r="O50" s="24"/>
      <x:c r="P50" s="24"/>
      <x:c r="Q50" s="24"/>
      <x:c r="R50" s="24"/>
      <x:c r="S50" s="24"/>
      <x:c r="T50" s="24"/>
      <x:c r="U50" s="24"/>
      <x:c r="V50" s="24"/>
      <x:c r="W50" s="24"/>
      <x:c r="X50" s="24"/>
      <x:c r="Y50" s="24"/>
      <x:c r="Z50" s="24"/>
    </x:row>
    <x:row r="51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  <x:c r="K51" s="24"/>
      <x:c r="L51" s="24"/>
      <x:c r="M51" s="24"/>
      <x:c r="N51" s="24"/>
      <x:c r="O51" s="24"/>
      <x:c r="P51" s="24"/>
      <x:c r="Q51" s="24"/>
      <x:c r="R51" s="24"/>
      <x:c r="S51" s="24"/>
      <x:c r="T51" s="24"/>
      <x:c r="U51" s="24"/>
      <x:c r="V51" s="24"/>
      <x:c r="W51" s="24"/>
      <x:c r="X51" s="24"/>
      <x:c r="Y51" s="24"/>
      <x:c r="Z51" s="24"/>
    </x:row>
    <x:row r="52">
      <x:c r="A52" s="24"/>
      <x:c r="B52" s="24"/>
      <x:c r="C52" s="24"/>
      <x:c r="D52" s="24"/>
      <x:c r="E52" s="24"/>
      <x:c r="F52" s="24"/>
      <x:c r="G52" s="24"/>
      <x:c r="H52" s="24"/>
      <x:c r="I52" s="24"/>
      <x:c r="J52" s="24"/>
      <x:c r="K52" s="24"/>
      <x:c r="L52" s="24"/>
      <x:c r="M52" s="24"/>
      <x:c r="N52" s="24"/>
      <x:c r="O52" s="24"/>
      <x:c r="P52" s="24"/>
      <x:c r="Q52" s="24"/>
      <x:c r="R52" s="24"/>
      <x:c r="S52" s="24"/>
      <x:c r="T52" s="24"/>
      <x:c r="U52" s="24"/>
      <x:c r="V52" s="24"/>
      <x:c r="W52" s="24"/>
      <x:c r="X52" s="24"/>
      <x:c r="Y52" s="24"/>
      <x:c r="Z52" s="24"/>
    </x:row>
    <x:row r="53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  <x:c r="K53" s="24"/>
      <x:c r="L53" s="24"/>
      <x:c r="M53" s="24"/>
      <x:c r="N53" s="24"/>
      <x:c r="O53" s="24"/>
      <x:c r="P53" s="24"/>
      <x:c r="Q53" s="24"/>
      <x:c r="R53" s="24"/>
      <x:c r="S53" s="24"/>
      <x:c r="T53" s="24"/>
      <x:c r="U53" s="24"/>
      <x:c r="V53" s="24"/>
      <x:c r="W53" s="24"/>
      <x:c r="X53" s="24"/>
      <x:c r="Y53" s="24"/>
      <x:c r="Z53" s="24"/>
    </x:row>
    <x:row r="54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  <x:c r="K54" s="24"/>
      <x:c r="L54" s="24"/>
      <x:c r="M54" s="24"/>
      <x:c r="N54" s="24"/>
      <x:c r="O54" s="24"/>
      <x:c r="P54" s="24"/>
      <x:c r="Q54" s="24"/>
      <x:c r="R54" s="24"/>
      <x:c r="S54" s="24"/>
      <x:c r="T54" s="24"/>
      <x:c r="U54" s="24"/>
      <x:c r="V54" s="24"/>
      <x:c r="W54" s="24"/>
      <x:c r="X54" s="24"/>
      <x:c r="Y54" s="24"/>
      <x:c r="Z54" s="24"/>
    </x:row>
    <x:row r="55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  <x:c r="K55" s="24"/>
      <x:c r="L55" s="24"/>
      <x:c r="M55" s="24"/>
      <x:c r="N55" s="24"/>
      <x:c r="O55" s="24"/>
      <x:c r="P55" s="24"/>
      <x:c r="Q55" s="24"/>
      <x:c r="R55" s="24"/>
      <x:c r="S55" s="24"/>
      <x:c r="T55" s="24"/>
      <x:c r="U55" s="24"/>
      <x:c r="V55" s="24"/>
      <x:c r="W55" s="24"/>
      <x:c r="X55" s="24"/>
      <x:c r="Y55" s="24"/>
      <x:c r="Z55" s="24"/>
    </x:row>
    <x:row r="56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  <x:c r="K56" s="24"/>
      <x:c r="L56" s="24"/>
      <x:c r="M56" s="24"/>
      <x:c r="N56" s="24"/>
      <x:c r="O56" s="24"/>
      <x:c r="P56" s="24"/>
      <x:c r="Q56" s="24"/>
      <x:c r="R56" s="24"/>
      <x:c r="S56" s="24"/>
      <x:c r="T56" s="24"/>
      <x:c r="U56" s="24"/>
      <x:c r="V56" s="24"/>
      <x:c r="W56" s="24"/>
      <x:c r="X56" s="24"/>
      <x:c r="Y56" s="24"/>
      <x:c r="Z56" s="24"/>
    </x:row>
    <x:row r="57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  <x:c r="K57" s="24"/>
      <x:c r="L57" s="24"/>
      <x:c r="M57" s="24"/>
      <x:c r="N57" s="24"/>
      <x:c r="O57" s="24"/>
      <x:c r="P57" s="24"/>
      <x:c r="Q57" s="24"/>
      <x:c r="R57" s="24"/>
      <x:c r="S57" s="24"/>
      <x:c r="T57" s="24"/>
      <x:c r="U57" s="24"/>
      <x:c r="V57" s="24"/>
      <x:c r="W57" s="24"/>
      <x:c r="X57" s="24"/>
      <x:c r="Y57" s="24"/>
      <x:c r="Z57" s="24"/>
    </x:row>
    <x:row r="58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24"/>
      <x:c r="O58" s="24"/>
      <x:c r="P58" s="24"/>
      <x:c r="Q58" s="24"/>
      <x:c r="R58" s="24"/>
      <x:c r="S58" s="24"/>
      <x:c r="T58" s="24"/>
      <x:c r="U58" s="24"/>
      <x:c r="V58" s="24"/>
      <x:c r="W58" s="24"/>
      <x:c r="X58" s="24"/>
      <x:c r="Y58" s="24"/>
      <x:c r="Z58" s="24"/>
    </x:row>
    <x:row r="59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24"/>
      <x:c r="O59" s="24"/>
      <x:c r="P59" s="24"/>
      <x:c r="Q59" s="24"/>
      <x:c r="R59" s="24"/>
      <x:c r="S59" s="24"/>
      <x:c r="T59" s="24"/>
      <x:c r="U59" s="24"/>
      <x:c r="V59" s="24"/>
      <x:c r="W59" s="24"/>
      <x:c r="X59" s="24"/>
      <x:c r="Y59" s="24"/>
      <x:c r="Z59" s="24"/>
    </x:row>
    <x:row r="60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  <x:c r="K60" s="24"/>
      <x:c r="L60" s="24"/>
      <x:c r="M60" s="24"/>
      <x:c r="N60" s="24"/>
      <x:c r="O60" s="24"/>
      <x:c r="P60" s="24"/>
      <x:c r="Q60" s="24"/>
      <x:c r="R60" s="24"/>
      <x:c r="S60" s="24"/>
      <x:c r="T60" s="24"/>
      <x:c r="U60" s="24"/>
      <x:c r="V60" s="24"/>
      <x:c r="W60" s="24"/>
      <x:c r="X60" s="24"/>
      <x:c r="Y60" s="24"/>
      <x:c r="Z60" s="24"/>
    </x:row>
    <x:row r="6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  <x:c r="K61" s="24"/>
      <x:c r="L61" s="24"/>
      <x:c r="M61" s="24"/>
      <x:c r="N61" s="24"/>
      <x:c r="O61" s="24"/>
      <x:c r="P61" s="24"/>
      <x:c r="Q61" s="24"/>
      <x:c r="R61" s="24"/>
      <x:c r="S61" s="24"/>
      <x:c r="T61" s="24"/>
      <x:c r="U61" s="24"/>
      <x:c r="V61" s="24"/>
      <x:c r="W61" s="24"/>
      <x:c r="X61" s="24"/>
      <x:c r="Y61" s="24"/>
      <x:c r="Z61" s="24"/>
    </x:row>
    <x:row r="62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  <x:c r="K62" s="24"/>
      <x:c r="L62" s="24"/>
      <x:c r="M62" s="24"/>
      <x:c r="N62" s="24"/>
      <x:c r="O62" s="24"/>
      <x:c r="P62" s="24"/>
      <x:c r="Q62" s="24"/>
      <x:c r="R62" s="24"/>
      <x:c r="S62" s="24"/>
      <x:c r="T62" s="24"/>
      <x:c r="U62" s="24"/>
      <x:c r="V62" s="24"/>
      <x:c r="W62" s="24"/>
      <x:c r="X62" s="24"/>
      <x:c r="Y62" s="24"/>
      <x:c r="Z62" s="24"/>
    </x:row>
    <x:row r="63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  <x:c r="K63" s="24"/>
      <x:c r="L63" s="24"/>
      <x:c r="M63" s="24"/>
      <x:c r="N63" s="24"/>
      <x:c r="O63" s="24"/>
      <x:c r="P63" s="24"/>
      <x:c r="Q63" s="24"/>
      <x:c r="R63" s="24"/>
      <x:c r="S63" s="24"/>
      <x:c r="T63" s="24"/>
      <x:c r="U63" s="24"/>
      <x:c r="V63" s="24"/>
      <x:c r="W63" s="24"/>
      <x:c r="X63" s="24"/>
      <x:c r="Y63" s="24"/>
      <x:c r="Z63" s="24"/>
    </x:row>
    <x:row r="64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  <x:c r="K64" s="24"/>
      <x:c r="L64" s="24"/>
      <x:c r="M64" s="24"/>
      <x:c r="N64" s="24"/>
      <x:c r="O64" s="24"/>
      <x:c r="P64" s="24"/>
      <x:c r="Q64" s="24"/>
      <x:c r="R64" s="24"/>
      <x:c r="S64" s="24"/>
      <x:c r="T64" s="24"/>
      <x:c r="U64" s="24"/>
      <x:c r="V64" s="24"/>
      <x:c r="W64" s="24"/>
      <x:c r="X64" s="24"/>
      <x:c r="Y64" s="24"/>
      <x:c r="Z64" s="24"/>
    </x:row>
    <x:row r="65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  <x:c r="K65" s="24"/>
      <x:c r="L65" s="24"/>
      <x:c r="M65" s="24"/>
      <x:c r="N65" s="24"/>
      <x:c r="O65" s="24"/>
      <x:c r="P65" s="24"/>
      <x:c r="Q65" s="24"/>
      <x:c r="R65" s="24"/>
      <x:c r="S65" s="24"/>
      <x:c r="T65" s="24"/>
      <x:c r="U65" s="24"/>
      <x:c r="V65" s="24"/>
      <x:c r="W65" s="24"/>
      <x:c r="X65" s="24"/>
      <x:c r="Y65" s="24"/>
      <x:c r="Z65" s="24"/>
    </x:row>
    <x:row r="66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  <x:c r="K66" s="24"/>
      <x:c r="L66" s="24"/>
      <x:c r="M66" s="24"/>
      <x:c r="N66" s="24"/>
      <x:c r="O66" s="24"/>
      <x:c r="P66" s="24"/>
      <x:c r="Q66" s="24"/>
      <x:c r="R66" s="24"/>
      <x:c r="S66" s="24"/>
      <x:c r="T66" s="24"/>
      <x:c r="U66" s="24"/>
      <x:c r="V66" s="24"/>
      <x:c r="W66" s="24"/>
      <x:c r="X66" s="24"/>
      <x:c r="Y66" s="24"/>
      <x:c r="Z66" s="24"/>
    </x:row>
    <x:row r="67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  <x:c r="K67" s="24"/>
      <x:c r="L67" s="24"/>
      <x:c r="M67" s="24"/>
      <x:c r="N67" s="24"/>
      <x:c r="O67" s="24"/>
      <x:c r="P67" s="24"/>
      <x:c r="Q67" s="24"/>
      <x:c r="R67" s="24"/>
      <x:c r="S67" s="24"/>
      <x:c r="T67" s="24"/>
      <x:c r="U67" s="24"/>
      <x:c r="V67" s="24"/>
      <x:c r="W67" s="24"/>
      <x:c r="X67" s="24"/>
      <x:c r="Y67" s="24"/>
      <x:c r="Z67" s="24"/>
    </x:row>
    <x:row r="68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  <x:c r="K68" s="24"/>
      <x:c r="L68" s="24"/>
      <x:c r="M68" s="24"/>
      <x:c r="N68" s="24"/>
      <x:c r="O68" s="24"/>
      <x:c r="P68" s="24"/>
      <x:c r="Q68" s="24"/>
      <x:c r="R68" s="24"/>
      <x:c r="S68" s="24"/>
      <x:c r="T68" s="24"/>
      <x:c r="U68" s="24"/>
      <x:c r="V68" s="24"/>
      <x:c r="W68" s="24"/>
      <x:c r="X68" s="24"/>
      <x:c r="Y68" s="24"/>
      <x:c r="Z68" s="24"/>
    </x:row>
    <x:row r="69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  <x:c r="K69" s="24"/>
      <x:c r="L69" s="24"/>
      <x:c r="M69" s="24"/>
      <x:c r="N69" s="24"/>
      <x:c r="O69" s="24"/>
      <x:c r="P69" s="24"/>
      <x:c r="Q69" s="24"/>
      <x:c r="R69" s="24"/>
      <x:c r="S69" s="24"/>
      <x:c r="T69" s="24"/>
      <x:c r="U69" s="24"/>
      <x:c r="V69" s="24"/>
      <x:c r="W69" s="24"/>
      <x:c r="X69" s="24"/>
      <x:c r="Y69" s="24"/>
      <x:c r="Z69" s="24"/>
    </x:row>
    <x:row r="70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  <x:c r="K70" s="24"/>
      <x:c r="L70" s="24"/>
      <x:c r="M70" s="24"/>
      <x:c r="N70" s="24"/>
      <x:c r="O70" s="24"/>
      <x:c r="P70" s="24"/>
      <x:c r="Q70" s="24"/>
      <x:c r="R70" s="24"/>
      <x:c r="S70" s="24"/>
      <x:c r="T70" s="24"/>
      <x:c r="U70" s="24"/>
      <x:c r="V70" s="24"/>
      <x:c r="W70" s="24"/>
      <x:c r="X70" s="24"/>
      <x:c r="Y70" s="24"/>
      <x:c r="Z70" s="24"/>
    </x:row>
    <x:row r="71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24"/>
      <x:c r="O71" s="24"/>
      <x:c r="P71" s="24"/>
      <x:c r="Q71" s="24"/>
      <x:c r="R71" s="24"/>
      <x:c r="S71" s="24"/>
      <x:c r="T71" s="24"/>
      <x:c r="U71" s="24"/>
      <x:c r="V71" s="24"/>
      <x:c r="W71" s="24"/>
      <x:c r="X71" s="24"/>
      <x:c r="Y71" s="24"/>
      <x:c r="Z71" s="24"/>
    </x:row>
    <x:row r="72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24"/>
      <x:c r="O72" s="24"/>
      <x:c r="P72" s="24"/>
      <x:c r="Q72" s="24"/>
      <x:c r="R72" s="24"/>
      <x:c r="S72" s="24"/>
      <x:c r="T72" s="24"/>
      <x:c r="U72" s="24"/>
      <x:c r="V72" s="24"/>
      <x:c r="W72" s="24"/>
      <x:c r="X72" s="24"/>
      <x:c r="Y72" s="24"/>
      <x:c r="Z72" s="24"/>
    </x:row>
    <x:row r="73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  <x:c r="K73" s="24"/>
      <x:c r="L73" s="24"/>
      <x:c r="M73" s="24"/>
      <x:c r="N73" s="24"/>
      <x:c r="O73" s="24"/>
      <x:c r="P73" s="24"/>
      <x:c r="Q73" s="24"/>
      <x:c r="R73" s="24"/>
      <x:c r="S73" s="24"/>
      <x:c r="T73" s="24"/>
      <x:c r="U73" s="24"/>
      <x:c r="V73" s="24"/>
      <x:c r="W73" s="24"/>
      <x:c r="X73" s="24"/>
      <x:c r="Y73" s="24"/>
      <x:c r="Z73" s="24"/>
    </x:row>
    <x:row r="74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  <x:c r="K74" s="24"/>
      <x:c r="L74" s="24"/>
      <x:c r="M74" s="24"/>
      <x:c r="N74" s="24"/>
      <x:c r="O74" s="24"/>
      <x:c r="P74" s="24"/>
      <x:c r="Q74" s="24"/>
      <x:c r="R74" s="24"/>
      <x:c r="S74" s="24"/>
      <x:c r="T74" s="24"/>
      <x:c r="U74" s="24"/>
      <x:c r="V74" s="24"/>
      <x:c r="W74" s="24"/>
      <x:c r="X74" s="24"/>
      <x:c r="Y74" s="24"/>
      <x:c r="Z74" s="24"/>
    </x:row>
    <x:row r="75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  <x:c r="K75" s="24"/>
      <x:c r="L75" s="24"/>
      <x:c r="M75" s="24"/>
      <x:c r="N75" s="24"/>
      <x:c r="O75" s="24"/>
      <x:c r="P75" s="24"/>
      <x:c r="Q75" s="24"/>
      <x:c r="R75" s="24"/>
      <x:c r="S75" s="24"/>
      <x:c r="T75" s="24"/>
      <x:c r="U75" s="24"/>
      <x:c r="V75" s="24"/>
      <x:c r="W75" s="24"/>
      <x:c r="X75" s="24"/>
      <x:c r="Y75" s="24"/>
      <x:c r="Z75" s="24"/>
    </x:row>
    <x:row r="76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  <x:c r="K76" s="24"/>
      <x:c r="L76" s="24"/>
      <x:c r="M76" s="24"/>
      <x:c r="N76" s="24"/>
      <x:c r="O76" s="24"/>
      <x:c r="P76" s="24"/>
      <x:c r="Q76" s="24"/>
      <x:c r="R76" s="24"/>
      <x:c r="S76" s="24"/>
      <x:c r="T76" s="24"/>
      <x:c r="U76" s="24"/>
      <x:c r="V76" s="24"/>
      <x:c r="W76" s="24"/>
      <x:c r="X76" s="24"/>
      <x:c r="Y76" s="24"/>
      <x:c r="Z76" s="24"/>
    </x:row>
    <x:row r="77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  <x:c r="K77" s="24"/>
      <x:c r="L77" s="24"/>
      <x:c r="M77" s="24"/>
      <x:c r="N77" s="24"/>
      <x:c r="O77" s="24"/>
      <x:c r="P77" s="24"/>
      <x:c r="Q77" s="24"/>
      <x:c r="R77" s="24"/>
      <x:c r="S77" s="24"/>
      <x:c r="T77" s="24"/>
      <x:c r="U77" s="24"/>
      <x:c r="V77" s="24"/>
      <x:c r="W77" s="24"/>
      <x:c r="X77" s="24"/>
      <x:c r="Y77" s="24"/>
      <x:c r="Z77" s="24"/>
    </x:row>
    <x:row r="78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  <x:c r="K78" s="24"/>
      <x:c r="L78" s="24"/>
      <x:c r="M78" s="24"/>
      <x:c r="N78" s="24"/>
      <x:c r="O78" s="24"/>
      <x:c r="P78" s="24"/>
      <x:c r="Q78" s="24"/>
      <x:c r="R78" s="24"/>
      <x:c r="S78" s="24"/>
      <x:c r="T78" s="24"/>
      <x:c r="U78" s="24"/>
      <x:c r="V78" s="24"/>
      <x:c r="W78" s="24"/>
      <x:c r="X78" s="24"/>
      <x:c r="Y78" s="24"/>
      <x:c r="Z78" s="24"/>
    </x:row>
    <x:row r="79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  <x:c r="K79" s="24"/>
      <x:c r="L79" s="24"/>
      <x:c r="M79" s="24"/>
      <x:c r="N79" s="24"/>
      <x:c r="O79" s="24"/>
      <x:c r="P79" s="24"/>
      <x:c r="Q79" s="24"/>
      <x:c r="R79" s="24"/>
      <x:c r="S79" s="24"/>
      <x:c r="T79" s="24"/>
      <x:c r="U79" s="24"/>
      <x:c r="V79" s="24"/>
      <x:c r="W79" s="24"/>
      <x:c r="X79" s="24"/>
      <x:c r="Y79" s="24"/>
      <x:c r="Z79" s="24"/>
    </x:row>
    <x:row r="80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  <x:c r="K80" s="24"/>
      <x:c r="L80" s="24"/>
      <x:c r="M80" s="24"/>
      <x:c r="N80" s="24"/>
      <x:c r="O80" s="24"/>
      <x:c r="P80" s="24"/>
      <x:c r="Q80" s="24"/>
      <x:c r="R80" s="24"/>
      <x:c r="S80" s="24"/>
      <x:c r="T80" s="24"/>
      <x:c r="U80" s="24"/>
      <x:c r="V80" s="24"/>
      <x:c r="W80" s="24"/>
      <x:c r="X80" s="24"/>
      <x:c r="Y80" s="24"/>
      <x:c r="Z80" s="24"/>
    </x:row>
    <x:row r="81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  <x:c r="K81" s="24"/>
      <x:c r="L81" s="24"/>
      <x:c r="M81" s="24"/>
      <x:c r="N81" s="24"/>
      <x:c r="O81" s="24"/>
      <x:c r="P81" s="24"/>
      <x:c r="Q81" s="24"/>
      <x:c r="R81" s="24"/>
      <x:c r="S81" s="24"/>
      <x:c r="T81" s="24"/>
      <x:c r="U81" s="24"/>
      <x:c r="V81" s="24"/>
      <x:c r="W81" s="24"/>
      <x:c r="X81" s="24"/>
      <x:c r="Y81" s="24"/>
      <x:c r="Z81" s="24"/>
    </x:row>
    <x:row r="82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  <x:c r="K82" s="24"/>
      <x:c r="L82" s="24"/>
      <x:c r="M82" s="24"/>
      <x:c r="N82" s="24"/>
      <x:c r="O82" s="24"/>
      <x:c r="P82" s="24"/>
      <x:c r="Q82" s="24"/>
      <x:c r="R82" s="24"/>
      <x:c r="S82" s="24"/>
      <x:c r="T82" s="24"/>
      <x:c r="U82" s="24"/>
      <x:c r="V82" s="24"/>
      <x:c r="W82" s="24"/>
      <x:c r="X82" s="24"/>
      <x:c r="Y82" s="24"/>
      <x:c r="Z82" s="24"/>
    </x:row>
    <x:row r="83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  <x:c r="K83" s="24"/>
      <x:c r="L83" s="24"/>
      <x:c r="M83" s="24"/>
      <x:c r="N83" s="24"/>
      <x:c r="O83" s="24"/>
      <x:c r="P83" s="24"/>
      <x:c r="Q83" s="24"/>
      <x:c r="R83" s="24"/>
      <x:c r="S83" s="24"/>
      <x:c r="T83" s="24"/>
      <x:c r="U83" s="24"/>
      <x:c r="V83" s="24"/>
      <x:c r="W83" s="24"/>
      <x:c r="X83" s="24"/>
      <x:c r="Y83" s="24"/>
      <x:c r="Z83" s="24"/>
    </x:row>
    <x:row r="84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24"/>
      <x:c r="O84" s="24"/>
      <x:c r="P84" s="24"/>
      <x:c r="Q84" s="24"/>
      <x:c r="R84" s="24"/>
      <x:c r="S84" s="24"/>
      <x:c r="T84" s="24"/>
      <x:c r="U84" s="24"/>
      <x:c r="V84" s="24"/>
      <x:c r="W84" s="24"/>
      <x:c r="X84" s="24"/>
      <x:c r="Y84" s="24"/>
      <x:c r="Z84" s="24"/>
    </x:row>
    <x:row r="85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24"/>
      <x:c r="O85" s="24"/>
      <x:c r="P85" s="24"/>
      <x:c r="Q85" s="24"/>
      <x:c r="R85" s="24"/>
      <x:c r="S85" s="24"/>
      <x:c r="T85" s="24"/>
      <x:c r="U85" s="24"/>
      <x:c r="V85" s="24"/>
      <x:c r="W85" s="24"/>
      <x:c r="X85" s="24"/>
      <x:c r="Y85" s="24"/>
      <x:c r="Z85" s="24"/>
    </x:row>
    <x:row r="86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  <x:c r="K86" s="24"/>
      <x:c r="L86" s="24"/>
      <x:c r="M86" s="24"/>
      <x:c r="N86" s="24"/>
      <x:c r="O86" s="24"/>
      <x:c r="P86" s="24"/>
      <x:c r="Q86" s="24"/>
      <x:c r="R86" s="24"/>
      <x:c r="S86" s="24"/>
      <x:c r="T86" s="24"/>
      <x:c r="U86" s="24"/>
      <x:c r="V86" s="24"/>
      <x:c r="W86" s="24"/>
      <x:c r="X86" s="24"/>
      <x:c r="Y86" s="24"/>
      <x:c r="Z86" s="24"/>
    </x:row>
    <x:row r="87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  <x:c r="K87" s="24"/>
      <x:c r="L87" s="24"/>
      <x:c r="M87" s="24"/>
      <x:c r="N87" s="24"/>
      <x:c r="O87" s="24"/>
      <x:c r="P87" s="24"/>
      <x:c r="Q87" s="24"/>
      <x:c r="R87" s="24"/>
      <x:c r="S87" s="24"/>
      <x:c r="T87" s="24"/>
      <x:c r="U87" s="24"/>
      <x:c r="V87" s="24"/>
      <x:c r="W87" s="24"/>
      <x:c r="X87" s="24"/>
      <x:c r="Y87" s="24"/>
      <x:c r="Z87" s="24"/>
    </x:row>
    <x:row r="88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  <x:c r="K88" s="24"/>
      <x:c r="L88" s="24"/>
      <x:c r="M88" s="24"/>
      <x:c r="N88" s="24"/>
      <x:c r="O88" s="24"/>
      <x:c r="P88" s="24"/>
      <x:c r="Q88" s="24"/>
      <x:c r="R88" s="24"/>
      <x:c r="S88" s="24"/>
      <x:c r="T88" s="24"/>
      <x:c r="U88" s="24"/>
      <x:c r="V88" s="24"/>
      <x:c r="W88" s="24"/>
      <x:c r="X88" s="24"/>
      <x:c r="Y88" s="24"/>
      <x:c r="Z88" s="24"/>
    </x:row>
    <x:row r="89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  <x:c r="K89" s="24"/>
      <x:c r="L89" s="24"/>
      <x:c r="M89" s="24"/>
      <x:c r="N89" s="24"/>
      <x:c r="O89" s="24"/>
      <x:c r="P89" s="24"/>
      <x:c r="Q89" s="24"/>
      <x:c r="R89" s="24"/>
      <x:c r="S89" s="24"/>
      <x:c r="T89" s="24"/>
      <x:c r="U89" s="24"/>
      <x:c r="V89" s="24"/>
      <x:c r="W89" s="24"/>
      <x:c r="X89" s="24"/>
      <x:c r="Y89" s="24"/>
      <x:c r="Z89" s="24"/>
    </x:row>
    <x:row r="90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  <x:c r="K90" s="24"/>
      <x:c r="L90" s="24"/>
      <x:c r="M90" s="24"/>
      <x:c r="N90" s="24"/>
      <x:c r="O90" s="24"/>
      <x:c r="P90" s="24"/>
      <x:c r="Q90" s="24"/>
      <x:c r="R90" s="24"/>
      <x:c r="S90" s="24"/>
      <x:c r="T90" s="24"/>
      <x:c r="U90" s="24"/>
      <x:c r="V90" s="24"/>
      <x:c r="W90" s="24"/>
      <x:c r="X90" s="24"/>
      <x:c r="Y90" s="24"/>
      <x:c r="Z90" s="24"/>
    </x:row>
    <x:row r="91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  <x:c r="K91" s="24"/>
      <x:c r="L91" s="24"/>
      <x:c r="M91" s="24"/>
      <x:c r="N91" s="24"/>
      <x:c r="O91" s="24"/>
      <x:c r="P91" s="24"/>
      <x:c r="Q91" s="24"/>
      <x:c r="R91" s="24"/>
      <x:c r="S91" s="24"/>
      <x:c r="T91" s="24"/>
      <x:c r="U91" s="24"/>
      <x:c r="V91" s="24"/>
      <x:c r="W91" s="24"/>
      <x:c r="X91" s="24"/>
      <x:c r="Y91" s="24"/>
      <x:c r="Z91" s="24"/>
    </x:row>
    <x:row r="92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  <x:c r="K92" s="24"/>
      <x:c r="L92" s="24"/>
      <x:c r="M92" s="24"/>
      <x:c r="N92" s="24"/>
      <x:c r="O92" s="24"/>
      <x:c r="P92" s="24"/>
      <x:c r="Q92" s="24"/>
      <x:c r="R92" s="24"/>
      <x:c r="S92" s="24"/>
      <x:c r="T92" s="24"/>
      <x:c r="U92" s="24"/>
      <x:c r="V92" s="24"/>
      <x:c r="W92" s="24"/>
      <x:c r="X92" s="24"/>
      <x:c r="Y92" s="24"/>
      <x:c r="Z92" s="24"/>
    </x:row>
    <x:row r="93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  <x:c r="K93" s="24"/>
      <x:c r="L93" s="24"/>
      <x:c r="M93" s="24"/>
      <x:c r="N93" s="24"/>
      <x:c r="O93" s="24"/>
      <x:c r="P93" s="24"/>
      <x:c r="Q93" s="24"/>
      <x:c r="R93" s="24"/>
      <x:c r="S93" s="24"/>
      <x:c r="T93" s="24"/>
      <x:c r="U93" s="24"/>
      <x:c r="V93" s="24"/>
      <x:c r="W93" s="24"/>
      <x:c r="X93" s="24"/>
      <x:c r="Y93" s="24"/>
      <x:c r="Z93" s="24"/>
    </x:row>
    <x:row r="94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  <x:c r="K94" s="24"/>
      <x:c r="L94" s="24"/>
      <x:c r="M94" s="24"/>
      <x:c r="N94" s="24"/>
      <x:c r="O94" s="24"/>
      <x:c r="P94" s="24"/>
      <x:c r="Q94" s="24"/>
      <x:c r="R94" s="24"/>
      <x:c r="S94" s="24"/>
      <x:c r="T94" s="24"/>
      <x:c r="U94" s="24"/>
      <x:c r="V94" s="24"/>
      <x:c r="W94" s="24"/>
      <x:c r="X94" s="24"/>
      <x:c r="Y94" s="24"/>
      <x:c r="Z94" s="24"/>
    </x:row>
    <x:row r="95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  <x:c r="K95" s="24"/>
      <x:c r="L95" s="24"/>
      <x:c r="M95" s="24"/>
      <x:c r="N95" s="24"/>
      <x:c r="O95" s="24"/>
      <x:c r="P95" s="24"/>
      <x:c r="Q95" s="24"/>
      <x:c r="R95" s="24"/>
      <x:c r="S95" s="24"/>
      <x:c r="T95" s="24"/>
      <x:c r="U95" s="24"/>
      <x:c r="V95" s="24"/>
      <x:c r="W95" s="24"/>
      <x:c r="X95" s="24"/>
      <x:c r="Y95" s="24"/>
      <x:c r="Z95" s="24"/>
    </x:row>
    <x:row r="96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  <x:c r="K96" s="24"/>
      <x:c r="L96" s="24"/>
      <x:c r="M96" s="24"/>
      <x:c r="N96" s="24"/>
      <x:c r="O96" s="24"/>
      <x:c r="P96" s="24"/>
      <x:c r="Q96" s="24"/>
      <x:c r="R96" s="24"/>
      <x:c r="S96" s="24"/>
      <x:c r="T96" s="24"/>
      <x:c r="U96" s="24"/>
      <x:c r="V96" s="24"/>
      <x:c r="W96" s="24"/>
      <x:c r="X96" s="24"/>
      <x:c r="Y96" s="24"/>
      <x:c r="Z96" s="24"/>
    </x:row>
    <x:row r="97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24"/>
      <x:c r="O97" s="24"/>
      <x:c r="P97" s="24"/>
      <x:c r="Q97" s="24"/>
      <x:c r="R97" s="24"/>
      <x:c r="S97" s="24"/>
      <x:c r="T97" s="24"/>
      <x:c r="U97" s="24"/>
      <x:c r="V97" s="24"/>
      <x:c r="W97" s="24"/>
      <x:c r="X97" s="24"/>
      <x:c r="Y97" s="24"/>
      <x:c r="Z97" s="24"/>
    </x:row>
    <x:row r="98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24"/>
      <x:c r="O98" s="24"/>
      <x:c r="P98" s="24"/>
      <x:c r="Q98" s="24"/>
      <x:c r="R98" s="24"/>
      <x:c r="S98" s="24"/>
      <x:c r="T98" s="24"/>
      <x:c r="U98" s="24"/>
      <x:c r="V98" s="24"/>
      <x:c r="W98" s="24"/>
      <x:c r="X98" s="24"/>
      <x:c r="Y98" s="24"/>
      <x:c r="Z98" s="24"/>
    </x:row>
    <x:row r="99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  <x:c r="K99" s="24"/>
      <x:c r="L99" s="24"/>
      <x:c r="M99" s="24"/>
      <x:c r="N99" s="24"/>
      <x:c r="O99" s="24"/>
      <x:c r="P99" s="24"/>
      <x:c r="Q99" s="24"/>
      <x:c r="R99" s="24"/>
      <x:c r="S99" s="24"/>
      <x:c r="T99" s="24"/>
      <x:c r="U99" s="24"/>
      <x:c r="V99" s="24"/>
      <x:c r="W99" s="24"/>
      <x:c r="X99" s="24"/>
      <x:c r="Y99" s="24"/>
      <x:c r="Z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  <x:c r="L100" s="24"/>
      <x:c r="M100" s="24"/>
      <x:c r="N100" s="24"/>
      <x:c r="O100" s="24"/>
      <x:c r="P100" s="24"/>
      <x:c r="Q100" s="24"/>
      <x:c r="R100" s="24"/>
      <x:c r="S100" s="24"/>
      <x:c r="T100" s="24"/>
      <x:c r="U100" s="24"/>
      <x:c r="V100" s="24"/>
      <x:c r="W100" s="24"/>
      <x:c r="X100" s="24"/>
      <x:c r="Y100" s="24"/>
      <x:c r="Z100" s="24"/>
    </x:row>
    <x:row r="101">
      <x:c r="A101" s="24"/>
      <x:c r="B101" s="24"/>
      <x:c r="C101" s="24"/>
      <x:c r="D101" s="24"/>
      <x:c r="E101" s="24"/>
      <x:c r="F101" s="24"/>
      <x:c r="G101" s="24"/>
      <x:c r="H101" s="24"/>
      <x:c r="I101" s="24"/>
      <x:c r="J101" s="24"/>
      <x:c r="K101" s="24"/>
      <x:c r="L101" s="24"/>
      <x:c r="M101" s="24"/>
      <x:c r="N101" s="24"/>
      <x:c r="O101" s="24"/>
      <x:c r="P101" s="24"/>
      <x:c r="Q101" s="24"/>
      <x:c r="R101" s="24"/>
      <x:c r="S101" s="24"/>
      <x:c r="T101" s="24"/>
      <x:c r="U101" s="24"/>
      <x:c r="V101" s="24"/>
      <x:c r="W101" s="24"/>
      <x:c r="X101" s="24"/>
      <x:c r="Y101" s="24"/>
      <x:c r="Z101" s="24"/>
    </x:row>
    <x:row r="102">
      <x:c r="A102" s="24"/>
      <x:c r="B102" s="24"/>
      <x:c r="C102" s="24"/>
      <x:c r="D102" s="24"/>
      <x:c r="E102" s="24"/>
      <x:c r="F102" s="24"/>
      <x:c r="G102" s="24"/>
      <x:c r="H102" s="24"/>
      <x:c r="I102" s="24"/>
      <x:c r="J102" s="24"/>
      <x:c r="K102" s="24"/>
      <x:c r="L102" s="24"/>
      <x:c r="M102" s="24"/>
      <x:c r="N102" s="24"/>
      <x:c r="O102" s="24"/>
      <x:c r="P102" s="24"/>
      <x:c r="Q102" s="24"/>
      <x:c r="R102" s="24"/>
      <x:c r="S102" s="24"/>
      <x:c r="T102" s="24"/>
      <x:c r="U102" s="24"/>
      <x:c r="V102" s="24"/>
      <x:c r="W102" s="24"/>
      <x:c r="X102" s="24"/>
      <x:c r="Y102" s="24"/>
      <x:c r="Z102" s="24"/>
    </x:row>
    <x:row r="103">
      <x:c r="A103" s="24"/>
      <x:c r="B103" s="24"/>
      <x:c r="C103" s="24"/>
      <x:c r="D103" s="24"/>
      <x:c r="E103" s="24"/>
      <x:c r="F103" s="24"/>
      <x:c r="G103" s="24"/>
      <x:c r="H103" s="24"/>
      <x:c r="I103" s="24"/>
      <x:c r="J103" s="24"/>
      <x:c r="K103" s="24"/>
      <x:c r="L103" s="24"/>
      <x:c r="M103" s="24"/>
      <x:c r="N103" s="24"/>
      <x:c r="O103" s="24"/>
      <x:c r="P103" s="24"/>
      <x:c r="Q103" s="24"/>
      <x:c r="R103" s="24"/>
      <x:c r="S103" s="24"/>
      <x:c r="T103" s="24"/>
      <x:c r="U103" s="24"/>
      <x:c r="V103" s="24"/>
      <x:c r="W103" s="24"/>
      <x:c r="X103" s="24"/>
      <x:c r="Y103" s="24"/>
      <x:c r="Z103" s="24"/>
    </x:row>
    <x:row r="104">
      <x:c r="A104" s="24"/>
      <x:c r="B104" s="24"/>
      <x:c r="C104" s="24"/>
      <x:c r="D104" s="24"/>
      <x:c r="E104" s="24"/>
      <x:c r="F104" s="24"/>
      <x:c r="G104" s="24"/>
      <x:c r="H104" s="24"/>
      <x:c r="I104" s="24"/>
      <x:c r="J104" s="24"/>
      <x:c r="K104" s="24"/>
      <x:c r="L104" s="24"/>
      <x:c r="M104" s="24"/>
      <x:c r="N104" s="24"/>
      <x:c r="O104" s="24"/>
      <x:c r="P104" s="24"/>
      <x:c r="Q104" s="24"/>
      <x:c r="R104" s="24"/>
      <x:c r="S104" s="24"/>
      <x:c r="T104" s="24"/>
      <x:c r="U104" s="24"/>
      <x:c r="V104" s="24"/>
      <x:c r="W104" s="24"/>
      <x:c r="X104" s="24"/>
      <x:c r="Y104" s="24"/>
      <x:c r="Z104" s="24"/>
    </x:row>
    <x:row r="105">
      <x:c r="A105" s="24"/>
      <x:c r="B105" s="24"/>
      <x:c r="C105" s="24"/>
      <x:c r="D105" s="24"/>
      <x:c r="E105" s="24"/>
      <x:c r="F105" s="24"/>
      <x:c r="G105" s="24"/>
      <x:c r="H105" s="24"/>
      <x:c r="I105" s="24"/>
      <x:c r="J105" s="24"/>
      <x:c r="K105" s="24"/>
      <x:c r="L105" s="24"/>
      <x:c r="M105" s="24"/>
      <x:c r="N105" s="24"/>
      <x:c r="O105" s="24"/>
      <x:c r="P105" s="24"/>
      <x:c r="Q105" s="24"/>
      <x:c r="R105" s="24"/>
      <x:c r="S105" s="24"/>
      <x:c r="T105" s="24"/>
      <x:c r="U105" s="24"/>
      <x:c r="V105" s="24"/>
      <x:c r="W105" s="24"/>
      <x:c r="X105" s="24"/>
      <x:c r="Y105" s="24"/>
      <x:c r="Z105" s="24"/>
    </x:row>
    <x:row r="106">
      <x:c r="A106" s="24"/>
      <x:c r="B106" s="24"/>
      <x:c r="C106" s="24"/>
      <x:c r="D106" s="24"/>
      <x:c r="E106" s="24"/>
      <x:c r="F106" s="24"/>
      <x:c r="G106" s="24"/>
      <x:c r="H106" s="24"/>
      <x:c r="I106" s="24"/>
      <x:c r="J106" s="24"/>
      <x:c r="K106" s="24"/>
      <x:c r="L106" s="24"/>
      <x:c r="M106" s="24"/>
      <x:c r="N106" s="24"/>
      <x:c r="O106" s="24"/>
      <x:c r="P106" s="24"/>
      <x:c r="Q106" s="24"/>
      <x:c r="R106" s="24"/>
      <x:c r="S106" s="24"/>
      <x:c r="T106" s="24"/>
      <x:c r="U106" s="24"/>
      <x:c r="V106" s="24"/>
      <x:c r="W106" s="24"/>
      <x:c r="X106" s="24"/>
      <x:c r="Y106" s="24"/>
      <x:c r="Z106" s="24"/>
    </x:row>
    <x:row r="107">
      <x:c r="A107" s="24"/>
      <x:c r="B107" s="24"/>
      <x:c r="C107" s="24"/>
      <x:c r="D107" s="24"/>
      <x:c r="E107" s="24"/>
      <x:c r="F107" s="24"/>
      <x:c r="G107" s="24"/>
      <x:c r="H107" s="24"/>
      <x:c r="I107" s="24"/>
      <x:c r="J107" s="24"/>
      <x:c r="K107" s="24"/>
      <x:c r="L107" s="24"/>
      <x:c r="M107" s="24"/>
      <x:c r="N107" s="24"/>
      <x:c r="O107" s="24"/>
      <x:c r="P107" s="24"/>
      <x:c r="Q107" s="24"/>
      <x:c r="R107" s="24"/>
      <x:c r="S107" s="24"/>
      <x:c r="T107" s="24"/>
      <x:c r="U107" s="24"/>
      <x:c r="V107" s="24"/>
      <x:c r="W107" s="24"/>
      <x:c r="X107" s="24"/>
      <x:c r="Y107" s="24"/>
      <x:c r="Z107" s="24"/>
    </x:row>
    <x:row r="108">
      <x:c r="A108" s="24"/>
      <x:c r="B108" s="24"/>
      <x:c r="C108" s="24"/>
      <x:c r="D108" s="24"/>
      <x:c r="E108" s="24"/>
      <x:c r="F108" s="24"/>
      <x:c r="G108" s="24"/>
      <x:c r="H108" s="24"/>
      <x:c r="I108" s="24"/>
      <x:c r="J108" s="24"/>
      <x:c r="K108" s="24"/>
      <x:c r="L108" s="24"/>
      <x:c r="M108" s="24"/>
      <x:c r="N108" s="24"/>
      <x:c r="O108" s="24"/>
      <x:c r="P108" s="24"/>
      <x:c r="Q108" s="24"/>
      <x:c r="R108" s="24"/>
      <x:c r="S108" s="24"/>
      <x:c r="T108" s="24"/>
      <x:c r="U108" s="24"/>
      <x:c r="V108" s="24"/>
      <x:c r="W108" s="24"/>
      <x:c r="X108" s="24"/>
      <x:c r="Y108" s="24"/>
      <x:c r="Z108" s="24"/>
    </x:row>
    <x:row r="109">
      <x:c r="A109" s="24"/>
      <x:c r="B109" s="24"/>
      <x:c r="C109" s="24"/>
      <x:c r="D109" s="24"/>
      <x:c r="E109" s="24"/>
      <x:c r="F109" s="24"/>
      <x:c r="G109" s="24"/>
      <x:c r="H109" s="24"/>
      <x:c r="I109" s="24"/>
      <x:c r="J109" s="24"/>
      <x:c r="K109" s="24"/>
      <x:c r="L109" s="24"/>
      <x:c r="M109" s="24"/>
      <x:c r="N109" s="24"/>
      <x:c r="O109" s="24"/>
      <x:c r="P109" s="24"/>
      <x:c r="Q109" s="24"/>
      <x:c r="R109" s="24"/>
      <x:c r="S109" s="24"/>
      <x:c r="T109" s="24"/>
      <x:c r="U109" s="24"/>
      <x:c r="V109" s="24"/>
      <x:c r="W109" s="24"/>
      <x:c r="X109" s="24"/>
      <x:c r="Y109" s="24"/>
      <x:c r="Z109" s="24"/>
    </x:row>
    <x:row r="110">
      <x:c r="A110" s="24"/>
      <x:c r="B110" s="24"/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/>
      <x:c r="M110" s="24"/>
      <x:c r="N110" s="24"/>
      <x:c r="O110" s="24"/>
      <x:c r="P110" s="24"/>
      <x:c r="Q110" s="24"/>
      <x:c r="R110" s="24"/>
      <x:c r="S110" s="24"/>
      <x:c r="T110" s="24"/>
      <x:c r="U110" s="24"/>
      <x:c r="V110" s="24"/>
      <x:c r="W110" s="24"/>
      <x:c r="X110" s="24"/>
      <x:c r="Y110" s="24"/>
      <x:c r="Z110" s="24"/>
    </x:row>
    <x:row r="111">
      <x:c r="A111" s="24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P111" s="24"/>
      <x:c r="Q111" s="24"/>
      <x:c r="R111" s="24"/>
      <x:c r="S111" s="24"/>
      <x:c r="T111" s="24"/>
      <x:c r="U111" s="24"/>
      <x:c r="V111" s="24"/>
      <x:c r="W111" s="24"/>
      <x:c r="X111" s="24"/>
      <x:c r="Y111" s="24"/>
      <x:c r="Z111" s="24"/>
    </x:row>
    <x:row r="112">
      <x:c r="A112" s="24"/>
      <x:c r="B112" s="24"/>
      <x:c r="C112" s="24"/>
      <x:c r="D112" s="24"/>
      <x:c r="E112" s="24"/>
      <x:c r="F112" s="24"/>
      <x:c r="G112" s="24"/>
      <x:c r="H112" s="24"/>
      <x:c r="I112" s="24"/>
      <x:c r="J112" s="24"/>
      <x:c r="K112" s="24"/>
      <x:c r="L112" s="24"/>
      <x:c r="M112" s="24"/>
      <x:c r="N112" s="24"/>
      <x:c r="O112" s="24"/>
      <x:c r="P112" s="24"/>
      <x:c r="Q112" s="24"/>
      <x:c r="R112" s="24"/>
      <x:c r="S112" s="24"/>
      <x:c r="T112" s="24"/>
      <x:c r="U112" s="24"/>
      <x:c r="V112" s="24"/>
      <x:c r="W112" s="24"/>
      <x:c r="X112" s="24"/>
      <x:c r="Y112" s="24"/>
      <x:c r="Z112" s="24"/>
    </x:row>
    <x:row r="113">
      <x:c r="A113" s="24"/>
      <x:c r="B113" s="24"/>
      <x:c r="C113" s="24"/>
      <x:c r="D113" s="24"/>
      <x:c r="E113" s="24"/>
      <x:c r="F113" s="24"/>
      <x:c r="G113" s="24"/>
      <x:c r="H113" s="24"/>
      <x:c r="I113" s="24"/>
      <x:c r="J113" s="24"/>
      <x:c r="K113" s="24"/>
      <x:c r="L113" s="24"/>
      <x:c r="M113" s="24"/>
      <x:c r="N113" s="24"/>
      <x:c r="O113" s="24"/>
      <x:c r="P113" s="24"/>
      <x:c r="Q113" s="24"/>
      <x:c r="R113" s="24"/>
      <x:c r="S113" s="24"/>
      <x:c r="T113" s="24"/>
      <x:c r="U113" s="24"/>
      <x:c r="V113" s="24"/>
      <x:c r="W113" s="24"/>
      <x:c r="X113" s="24"/>
      <x:c r="Y113" s="24"/>
      <x:c r="Z113" s="24"/>
    </x:row>
    <x:row r="114">
      <x:c r="A114" s="24"/>
      <x:c r="B114" s="24"/>
      <x:c r="C114" s="24"/>
      <x:c r="D114" s="24"/>
      <x:c r="E114" s="24"/>
      <x:c r="F114" s="24"/>
      <x:c r="G114" s="24"/>
      <x:c r="H114" s="24"/>
      <x:c r="I114" s="24"/>
      <x:c r="J114" s="24"/>
      <x:c r="K114" s="24"/>
      <x:c r="L114" s="24"/>
      <x:c r="M114" s="24"/>
      <x:c r="N114" s="24"/>
      <x:c r="O114" s="24"/>
      <x:c r="P114" s="24"/>
      <x:c r="Q114" s="24"/>
      <x:c r="R114" s="24"/>
      <x:c r="S114" s="24"/>
      <x:c r="T114" s="24"/>
      <x:c r="U114" s="24"/>
      <x:c r="V114" s="24"/>
      <x:c r="W114" s="24"/>
      <x:c r="X114" s="24"/>
      <x:c r="Y114" s="24"/>
      <x:c r="Z114" s="24"/>
    </x:row>
    <x:row r="115">
      <x:c r="A115" s="24"/>
      <x:c r="B115" s="24"/>
      <x:c r="C115" s="24"/>
      <x:c r="D115" s="24"/>
      <x:c r="E115" s="24"/>
      <x:c r="F115" s="24"/>
      <x:c r="G115" s="24"/>
      <x:c r="H115" s="24"/>
      <x:c r="I115" s="24"/>
      <x:c r="J115" s="24"/>
      <x:c r="K115" s="24"/>
      <x:c r="L115" s="24"/>
      <x:c r="M115" s="24"/>
      <x:c r="N115" s="24"/>
      <x:c r="O115" s="24"/>
      <x:c r="P115" s="24"/>
      <x:c r="Q115" s="24"/>
      <x:c r="R115" s="24"/>
      <x:c r="S115" s="24"/>
      <x:c r="T115" s="24"/>
      <x:c r="U115" s="24"/>
      <x:c r="V115" s="24"/>
      <x:c r="W115" s="24"/>
      <x:c r="X115" s="24"/>
      <x:c r="Y115" s="24"/>
      <x:c r="Z115" s="24"/>
    </x:row>
    <x:row r="116">
      <x:c r="A116" s="24"/>
      <x:c r="B116" s="24"/>
      <x:c r="C116" s="24"/>
      <x:c r="D116" s="24"/>
      <x:c r="E116" s="24"/>
      <x:c r="F116" s="24"/>
      <x:c r="G116" s="24"/>
      <x:c r="H116" s="24"/>
      <x:c r="I116" s="24"/>
      <x:c r="J116" s="24"/>
      <x:c r="K116" s="24"/>
      <x:c r="L116" s="24"/>
      <x:c r="M116" s="24"/>
      <x:c r="N116" s="24"/>
      <x:c r="O116" s="24"/>
      <x:c r="P116" s="24"/>
      <x:c r="Q116" s="24"/>
      <x:c r="R116" s="24"/>
      <x:c r="S116" s="24"/>
      <x:c r="T116" s="24"/>
      <x:c r="U116" s="24"/>
      <x:c r="V116" s="24"/>
      <x:c r="W116" s="24"/>
      <x:c r="X116" s="24"/>
      <x:c r="Y116" s="24"/>
      <x:c r="Z116" s="24"/>
    </x:row>
    <x:row r="117">
      <x:c r="A117" s="24"/>
      <x:c r="B117" s="24"/>
      <x:c r="C117" s="24"/>
      <x:c r="D117" s="24"/>
      <x:c r="E117" s="24"/>
      <x:c r="F117" s="24"/>
      <x:c r="G117" s="24"/>
      <x:c r="H117" s="24"/>
      <x:c r="I117" s="24"/>
      <x:c r="J117" s="24"/>
      <x:c r="K117" s="24"/>
      <x:c r="L117" s="24"/>
      <x:c r="M117" s="24"/>
      <x:c r="N117" s="24"/>
      <x:c r="O117" s="24"/>
      <x:c r="P117" s="24"/>
      <x:c r="Q117" s="24"/>
      <x:c r="R117" s="24"/>
      <x:c r="S117" s="24"/>
      <x:c r="T117" s="24"/>
      <x:c r="U117" s="24"/>
      <x:c r="V117" s="24"/>
      <x:c r="W117" s="24"/>
      <x:c r="X117" s="24"/>
      <x:c r="Y117" s="24"/>
      <x:c r="Z117" s="24"/>
    </x:row>
    <x:row r="118">
      <x:c r="A118" s="24"/>
      <x:c r="B118" s="24"/>
      <x:c r="C118" s="24"/>
      <x:c r="D118" s="24"/>
      <x:c r="E118" s="24"/>
      <x:c r="F118" s="24"/>
      <x:c r="G118" s="24"/>
      <x:c r="H118" s="24"/>
      <x:c r="I118" s="24"/>
      <x:c r="J118" s="24"/>
      <x:c r="K118" s="24"/>
      <x:c r="L118" s="24"/>
      <x:c r="M118" s="24"/>
      <x:c r="N118" s="24"/>
      <x:c r="O118" s="24"/>
      <x:c r="P118" s="24"/>
      <x:c r="Q118" s="24"/>
      <x:c r="R118" s="24"/>
      <x:c r="S118" s="24"/>
      <x:c r="T118" s="24"/>
      <x:c r="U118" s="24"/>
      <x:c r="V118" s="24"/>
      <x:c r="W118" s="24"/>
      <x:c r="X118" s="24"/>
      <x:c r="Y118" s="24"/>
      <x:c r="Z118" s="24"/>
    </x:row>
    <x:row r="119">
      <x:c r="A119" s="24"/>
      <x:c r="B119" s="24"/>
      <x:c r="C119" s="24"/>
      <x:c r="D119" s="24"/>
      <x:c r="E119" s="24"/>
      <x:c r="F119" s="24"/>
      <x:c r="G119" s="24"/>
      <x:c r="H119" s="24"/>
      <x:c r="I119" s="24"/>
      <x:c r="J119" s="24"/>
      <x:c r="K119" s="24"/>
      <x:c r="L119" s="24"/>
      <x:c r="M119" s="24"/>
      <x:c r="N119" s="24"/>
      <x:c r="O119" s="24"/>
      <x:c r="P119" s="24"/>
      <x:c r="Q119" s="24"/>
      <x:c r="R119" s="24"/>
      <x:c r="S119" s="24"/>
      <x:c r="T119" s="24"/>
      <x:c r="U119" s="24"/>
      <x:c r="V119" s="24"/>
      <x:c r="W119" s="24"/>
      <x:c r="X119" s="24"/>
      <x:c r="Y119" s="24"/>
      <x:c r="Z119" s="24"/>
    </x:row>
    <x:row r="120">
      <x:c r="A120" s="24"/>
      <x:c r="B120" s="24"/>
      <x:c r="C120" s="24"/>
      <x:c r="D120" s="24"/>
      <x:c r="E120" s="24"/>
      <x:c r="F120" s="24"/>
      <x:c r="G120" s="24"/>
      <x:c r="H120" s="24"/>
      <x:c r="I120" s="24"/>
      <x:c r="J120" s="24"/>
      <x:c r="K120" s="24"/>
      <x:c r="L120" s="24"/>
      <x:c r="M120" s="24"/>
      <x:c r="N120" s="24"/>
      <x:c r="O120" s="24"/>
      <x:c r="P120" s="24"/>
      <x:c r="Q120" s="24"/>
      <x:c r="R120" s="24"/>
      <x:c r="S120" s="24"/>
      <x:c r="T120" s="24"/>
      <x:c r="U120" s="24"/>
      <x:c r="V120" s="24"/>
      <x:c r="W120" s="24"/>
      <x:c r="X120" s="24"/>
      <x:c r="Y120" s="24"/>
      <x:c r="Z120" s="24"/>
    </x:row>
    <x:row r="12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  <x:c r="K121" s="24"/>
      <x:c r="L121" s="24"/>
      <x:c r="M121" s="24"/>
      <x:c r="N121" s="24"/>
      <x:c r="O121" s="24"/>
      <x:c r="P121" s="24"/>
      <x:c r="Q121" s="24"/>
      <x:c r="R121" s="24"/>
      <x:c r="S121" s="24"/>
      <x:c r="T121" s="24"/>
      <x:c r="U121" s="24"/>
      <x:c r="V121" s="24"/>
      <x:c r="W121" s="24"/>
      <x:c r="X121" s="24"/>
      <x:c r="Y121" s="24"/>
      <x:c r="Z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  <x:c r="K122" s="24"/>
      <x:c r="L122" s="24"/>
      <x:c r="M122" s="24"/>
      <x:c r="N122" s="24"/>
      <x:c r="O122" s="24"/>
      <x:c r="P122" s="24"/>
      <x:c r="Q122" s="24"/>
      <x:c r="R122" s="24"/>
      <x:c r="S122" s="24"/>
      <x:c r="T122" s="24"/>
      <x:c r="U122" s="24"/>
      <x:c r="V122" s="24"/>
      <x:c r="W122" s="24"/>
      <x:c r="X122" s="24"/>
      <x:c r="Y122" s="24"/>
      <x:c r="Z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  <x:c r="M123" s="24"/>
      <x:c r="N123" s="24"/>
      <x:c r="O123" s="24"/>
      <x:c r="P123" s="24"/>
      <x:c r="Q123" s="24"/>
      <x:c r="R123" s="24"/>
      <x:c r="S123" s="24"/>
      <x:c r="T123" s="24"/>
      <x:c r="U123" s="24"/>
      <x:c r="V123" s="24"/>
      <x:c r="W123" s="24"/>
      <x:c r="X123" s="24"/>
      <x:c r="Y123" s="24"/>
      <x:c r="Z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  <x:c r="M124" s="24"/>
      <x:c r="N124" s="24"/>
      <x:c r="O124" s="24"/>
      <x:c r="P124" s="24"/>
      <x:c r="Q124" s="24"/>
      <x:c r="R124" s="24"/>
      <x:c r="S124" s="24"/>
      <x:c r="T124" s="24"/>
      <x:c r="U124" s="24"/>
      <x:c r="V124" s="24"/>
      <x:c r="W124" s="24"/>
      <x:c r="X124" s="24"/>
      <x:c r="Y124" s="24"/>
      <x:c r="Z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  <x:c r="K125" s="24"/>
      <x:c r="L125" s="24"/>
      <x:c r="M125" s="24"/>
      <x:c r="N125" s="24"/>
      <x:c r="O125" s="24"/>
      <x:c r="P125" s="24"/>
      <x:c r="Q125" s="24"/>
      <x:c r="R125" s="24"/>
      <x:c r="S125" s="24"/>
      <x:c r="T125" s="24"/>
      <x:c r="U125" s="24"/>
      <x:c r="V125" s="24"/>
      <x:c r="W125" s="24"/>
      <x:c r="X125" s="24"/>
      <x:c r="Y125" s="24"/>
      <x:c r="Z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  <x:c r="K126" s="24"/>
      <x:c r="L126" s="24"/>
      <x:c r="M126" s="24"/>
      <x:c r="N126" s="24"/>
      <x:c r="O126" s="24"/>
      <x:c r="P126" s="24"/>
      <x:c r="Q126" s="24"/>
      <x:c r="R126" s="24"/>
      <x:c r="S126" s="24"/>
      <x:c r="T126" s="24"/>
      <x:c r="U126" s="24"/>
      <x:c r="V126" s="24"/>
      <x:c r="W126" s="24"/>
      <x:c r="X126" s="24"/>
      <x:c r="Y126" s="24"/>
      <x:c r="Z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  <x:c r="K127" s="24"/>
      <x:c r="L127" s="24"/>
      <x:c r="M127" s="24"/>
      <x:c r="N127" s="24"/>
      <x:c r="O127" s="24"/>
      <x:c r="P127" s="24"/>
      <x:c r="Q127" s="24"/>
      <x:c r="R127" s="24"/>
      <x:c r="S127" s="24"/>
      <x:c r="T127" s="24"/>
      <x:c r="U127" s="24"/>
      <x:c r="V127" s="24"/>
      <x:c r="W127" s="24"/>
      <x:c r="X127" s="24"/>
      <x:c r="Y127" s="24"/>
      <x:c r="Z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  <x:c r="K128" s="24"/>
      <x:c r="L128" s="24"/>
      <x:c r="M128" s="24"/>
      <x:c r="N128" s="24"/>
      <x:c r="O128" s="24"/>
      <x:c r="P128" s="24"/>
      <x:c r="Q128" s="24"/>
      <x:c r="R128" s="24"/>
      <x:c r="S128" s="24"/>
      <x:c r="T128" s="24"/>
      <x:c r="U128" s="24"/>
      <x:c r="V128" s="24"/>
      <x:c r="W128" s="24"/>
      <x:c r="X128" s="24"/>
      <x:c r="Y128" s="24"/>
      <x:c r="Z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  <x:c r="K129" s="24"/>
      <x:c r="L129" s="24"/>
      <x:c r="M129" s="24"/>
      <x:c r="N129" s="24"/>
      <x:c r="O129" s="24"/>
      <x:c r="P129" s="24"/>
      <x:c r="Q129" s="24"/>
      <x:c r="R129" s="24"/>
      <x:c r="S129" s="24"/>
      <x:c r="T129" s="24"/>
      <x:c r="U129" s="24"/>
      <x:c r="V129" s="24"/>
      <x:c r="W129" s="24"/>
      <x:c r="X129" s="24"/>
      <x:c r="Y129" s="24"/>
      <x:c r="Z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  <x:c r="K130" s="24"/>
      <x:c r="L130" s="24"/>
      <x:c r="M130" s="24"/>
      <x:c r="N130" s="24"/>
      <x:c r="O130" s="24"/>
      <x:c r="P130" s="24"/>
      <x:c r="Q130" s="24"/>
      <x:c r="R130" s="24"/>
      <x:c r="S130" s="24"/>
      <x:c r="T130" s="24"/>
      <x:c r="U130" s="24"/>
      <x:c r="V130" s="24"/>
      <x:c r="W130" s="24"/>
      <x:c r="X130" s="24"/>
      <x:c r="Y130" s="24"/>
      <x:c r="Z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  <x:c r="K131" s="24"/>
      <x:c r="L131" s="24"/>
      <x:c r="M131" s="24"/>
      <x:c r="N131" s="24"/>
      <x:c r="O131" s="24"/>
      <x:c r="P131" s="24"/>
      <x:c r="Q131" s="24"/>
      <x:c r="R131" s="24"/>
      <x:c r="S131" s="24"/>
      <x:c r="T131" s="24"/>
      <x:c r="U131" s="24"/>
      <x:c r="V131" s="24"/>
      <x:c r="W131" s="24"/>
      <x:c r="X131" s="24"/>
      <x:c r="Y131" s="24"/>
      <x:c r="Z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  <x:c r="K132" s="24"/>
      <x:c r="L132" s="24"/>
      <x:c r="M132" s="24"/>
      <x:c r="N132" s="24"/>
      <x:c r="O132" s="24"/>
      <x:c r="P132" s="24"/>
      <x:c r="Q132" s="24"/>
      <x:c r="R132" s="24"/>
      <x:c r="S132" s="24"/>
      <x:c r="T132" s="24"/>
      <x:c r="U132" s="24"/>
      <x:c r="V132" s="24"/>
      <x:c r="W132" s="24"/>
      <x:c r="X132" s="24"/>
      <x:c r="Y132" s="24"/>
      <x:c r="Z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  <x:c r="K133" s="24"/>
      <x:c r="L133" s="24"/>
      <x:c r="M133" s="24"/>
      <x:c r="N133" s="24"/>
      <x:c r="O133" s="24"/>
      <x:c r="P133" s="24"/>
      <x:c r="Q133" s="24"/>
      <x:c r="R133" s="24"/>
      <x:c r="S133" s="24"/>
      <x:c r="T133" s="24"/>
      <x:c r="U133" s="24"/>
      <x:c r="V133" s="24"/>
      <x:c r="W133" s="24"/>
      <x:c r="X133" s="24"/>
      <x:c r="Y133" s="24"/>
      <x:c r="Z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  <x:c r="K134" s="24"/>
      <x:c r="L134" s="24"/>
      <x:c r="M134" s="24"/>
      <x:c r="N134" s="24"/>
      <x:c r="O134" s="24"/>
      <x:c r="P134" s="24"/>
      <x:c r="Q134" s="24"/>
      <x:c r="R134" s="24"/>
      <x:c r="S134" s="24"/>
      <x:c r="T134" s="24"/>
      <x:c r="U134" s="24"/>
      <x:c r="V134" s="24"/>
      <x:c r="W134" s="24"/>
      <x:c r="X134" s="24"/>
      <x:c r="Y134" s="24"/>
      <x:c r="Z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  <x:c r="K135" s="24"/>
      <x:c r="L135" s="24"/>
      <x:c r="M135" s="24"/>
      <x:c r="N135" s="24"/>
      <x:c r="O135" s="24"/>
      <x:c r="P135" s="24"/>
      <x:c r="Q135" s="24"/>
      <x:c r="R135" s="24"/>
      <x:c r="S135" s="24"/>
      <x:c r="T135" s="24"/>
      <x:c r="U135" s="24"/>
      <x:c r="V135" s="24"/>
      <x:c r="W135" s="24"/>
      <x:c r="X135" s="24"/>
      <x:c r="Y135" s="24"/>
      <x:c r="Z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  <x:c r="K136" s="24"/>
      <x:c r="L136" s="24"/>
      <x:c r="M136" s="24"/>
      <x:c r="N136" s="24"/>
      <x:c r="O136" s="24"/>
      <x:c r="P136" s="24"/>
      <x:c r="Q136" s="24"/>
      <x:c r="R136" s="24"/>
      <x:c r="S136" s="24"/>
      <x:c r="T136" s="24"/>
      <x:c r="U136" s="24"/>
      <x:c r="V136" s="24"/>
      <x:c r="W136" s="24"/>
      <x:c r="X136" s="24"/>
      <x:c r="Y136" s="24"/>
      <x:c r="Z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  <x:c r="L137" s="24"/>
      <x:c r="M137" s="24"/>
      <x:c r="N137" s="24"/>
      <x:c r="O137" s="24"/>
      <x:c r="P137" s="24"/>
      <x:c r="Q137" s="24"/>
      <x:c r="R137" s="24"/>
      <x:c r="S137" s="24"/>
      <x:c r="T137" s="24"/>
      <x:c r="U137" s="24"/>
      <x:c r="V137" s="24"/>
      <x:c r="W137" s="24"/>
      <x:c r="X137" s="24"/>
      <x:c r="Y137" s="24"/>
      <x:c r="Z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  <x:c r="K138" s="24"/>
      <x:c r="L138" s="24"/>
      <x:c r="M138" s="24"/>
      <x:c r="N138" s="24"/>
      <x:c r="O138" s="24"/>
      <x:c r="P138" s="24"/>
      <x:c r="Q138" s="24"/>
      <x:c r="R138" s="24"/>
      <x:c r="S138" s="24"/>
      <x:c r="T138" s="24"/>
      <x:c r="U138" s="24"/>
      <x:c r="V138" s="24"/>
      <x:c r="W138" s="24"/>
      <x:c r="X138" s="24"/>
      <x:c r="Y138" s="24"/>
      <x:c r="Z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  <x:c r="K139" s="24"/>
      <x:c r="L139" s="24"/>
      <x:c r="M139" s="24"/>
      <x:c r="N139" s="24"/>
      <x:c r="O139" s="24"/>
      <x:c r="P139" s="24"/>
      <x:c r="Q139" s="24"/>
      <x:c r="R139" s="24"/>
      <x:c r="S139" s="24"/>
      <x:c r="T139" s="24"/>
      <x:c r="U139" s="24"/>
      <x:c r="V139" s="24"/>
      <x:c r="W139" s="24"/>
      <x:c r="X139" s="24"/>
      <x:c r="Y139" s="24"/>
      <x:c r="Z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  <x:c r="K140" s="24"/>
      <x:c r="L140" s="24"/>
      <x:c r="M140" s="24"/>
      <x:c r="N140" s="24"/>
      <x:c r="O140" s="24"/>
      <x:c r="P140" s="24"/>
      <x:c r="Q140" s="24"/>
      <x:c r="R140" s="24"/>
      <x:c r="S140" s="24"/>
      <x:c r="T140" s="24"/>
      <x:c r="U140" s="24"/>
      <x:c r="V140" s="24"/>
      <x:c r="W140" s="24"/>
      <x:c r="X140" s="24"/>
      <x:c r="Y140" s="24"/>
      <x:c r="Z140" s="24"/>
    </x:row>
    <x:row r="141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  <x:c r="K141" s="24"/>
      <x:c r="L141" s="24"/>
      <x:c r="M141" s="24"/>
      <x:c r="N141" s="24"/>
      <x:c r="O141" s="24"/>
      <x:c r="P141" s="24"/>
      <x:c r="Q141" s="24"/>
      <x:c r="R141" s="24"/>
      <x:c r="S141" s="24"/>
      <x:c r="T141" s="24"/>
      <x:c r="U141" s="24"/>
      <x:c r="V141" s="24"/>
      <x:c r="W141" s="24"/>
      <x:c r="X141" s="24"/>
      <x:c r="Y141" s="24"/>
      <x:c r="Z141" s="24"/>
    </x:row>
    <x:row r="142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  <x:c r="K142" s="24"/>
      <x:c r="L142" s="24"/>
      <x:c r="M142" s="24"/>
      <x:c r="N142" s="24"/>
      <x:c r="O142" s="24"/>
      <x:c r="P142" s="24"/>
      <x:c r="Q142" s="24"/>
      <x:c r="R142" s="24"/>
      <x:c r="S142" s="24"/>
      <x:c r="T142" s="24"/>
      <x:c r="U142" s="24"/>
      <x:c r="V142" s="24"/>
      <x:c r="W142" s="24"/>
      <x:c r="X142" s="24"/>
      <x:c r="Y142" s="24"/>
      <x:c r="Z142" s="24"/>
    </x:row>
    <x:row r="143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  <x:c r="K143" s="24"/>
      <x:c r="L143" s="24"/>
      <x:c r="M143" s="24"/>
      <x:c r="N143" s="24"/>
      <x:c r="O143" s="24"/>
      <x:c r="P143" s="24"/>
      <x:c r="Q143" s="24"/>
      <x:c r="R143" s="24"/>
      <x:c r="S143" s="24"/>
      <x:c r="T143" s="24"/>
      <x:c r="U143" s="24"/>
      <x:c r="V143" s="24"/>
      <x:c r="W143" s="24"/>
      <x:c r="X143" s="24"/>
      <x:c r="Y143" s="24"/>
      <x:c r="Z143" s="24"/>
    </x:row>
    <x:row r="144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  <x:c r="K144" s="24"/>
      <x:c r="L144" s="24"/>
      <x:c r="M144" s="24"/>
      <x:c r="N144" s="24"/>
      <x:c r="O144" s="24"/>
      <x:c r="P144" s="24"/>
      <x:c r="Q144" s="24"/>
      <x:c r="R144" s="24"/>
      <x:c r="S144" s="24"/>
      <x:c r="T144" s="24"/>
      <x:c r="U144" s="24"/>
      <x:c r="V144" s="24"/>
      <x:c r="W144" s="24"/>
      <x:c r="X144" s="24"/>
      <x:c r="Y144" s="24"/>
      <x:c r="Z144" s="24"/>
    </x:row>
    <x:row r="145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  <x:c r="K145" s="24"/>
      <x:c r="L145" s="24"/>
      <x:c r="M145" s="24"/>
      <x:c r="N145" s="24"/>
      <x:c r="O145" s="24"/>
      <x:c r="P145" s="24"/>
      <x:c r="Q145" s="24"/>
      <x:c r="R145" s="24"/>
      <x:c r="S145" s="24"/>
      <x:c r="T145" s="24"/>
      <x:c r="U145" s="24"/>
      <x:c r="V145" s="24"/>
      <x:c r="W145" s="24"/>
      <x:c r="X145" s="24"/>
      <x:c r="Y145" s="24"/>
      <x:c r="Z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  <x:c r="K146" s="24"/>
      <x:c r="L146" s="24"/>
      <x:c r="M146" s="24"/>
      <x:c r="N146" s="24"/>
      <x:c r="O146" s="24"/>
      <x:c r="P146" s="24"/>
      <x:c r="Q146" s="24"/>
      <x:c r="R146" s="24"/>
      <x:c r="S146" s="24"/>
      <x:c r="T146" s="24"/>
      <x:c r="U146" s="24"/>
      <x:c r="V146" s="24"/>
      <x:c r="W146" s="24"/>
      <x:c r="X146" s="24"/>
      <x:c r="Y146" s="24"/>
      <x:c r="Z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  <x:c r="K147" s="24"/>
      <x:c r="L147" s="24"/>
      <x:c r="M147" s="24"/>
      <x:c r="N147" s="24"/>
      <x:c r="O147" s="24"/>
      <x:c r="P147" s="24"/>
      <x:c r="Q147" s="24"/>
      <x:c r="R147" s="24"/>
      <x:c r="S147" s="24"/>
      <x:c r="T147" s="24"/>
      <x:c r="U147" s="24"/>
      <x:c r="V147" s="24"/>
      <x:c r="W147" s="24"/>
      <x:c r="X147" s="24"/>
      <x:c r="Y147" s="24"/>
      <x:c r="Z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  <x:c r="K148" s="24"/>
      <x:c r="L148" s="24"/>
      <x:c r="M148" s="24"/>
      <x:c r="N148" s="24"/>
      <x:c r="O148" s="24"/>
      <x:c r="P148" s="24"/>
      <x:c r="Q148" s="24"/>
      <x:c r="R148" s="24"/>
      <x:c r="S148" s="24"/>
      <x:c r="T148" s="24"/>
      <x:c r="U148" s="24"/>
      <x:c r="V148" s="24"/>
      <x:c r="W148" s="24"/>
      <x:c r="X148" s="24"/>
      <x:c r="Y148" s="24"/>
      <x:c r="Z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  <x:c r="K149" s="24"/>
      <x:c r="L149" s="24"/>
      <x:c r="M149" s="24"/>
      <x:c r="N149" s="24"/>
      <x:c r="O149" s="24"/>
      <x:c r="P149" s="24"/>
      <x:c r="Q149" s="24"/>
      <x:c r="R149" s="24"/>
      <x:c r="S149" s="24"/>
      <x:c r="T149" s="24"/>
      <x:c r="U149" s="24"/>
      <x:c r="V149" s="24"/>
      <x:c r="W149" s="24"/>
      <x:c r="X149" s="24"/>
      <x:c r="Y149" s="24"/>
      <x:c r="Z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  <x:c r="L150" s="24"/>
      <x:c r="M150" s="24"/>
      <x:c r="N150" s="24"/>
      <x:c r="O150" s="24"/>
      <x:c r="P150" s="24"/>
      <x:c r="Q150" s="24"/>
      <x:c r="R150" s="24"/>
      <x:c r="S150" s="24"/>
      <x:c r="T150" s="24"/>
      <x:c r="U150" s="24"/>
      <x:c r="V150" s="24"/>
      <x:c r="W150" s="24"/>
      <x:c r="X150" s="24"/>
      <x:c r="Y150" s="24"/>
      <x:c r="Z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  <x:c r="K151" s="24"/>
      <x:c r="L151" s="24"/>
      <x:c r="M151" s="24"/>
      <x:c r="N151" s="24"/>
      <x:c r="O151" s="24"/>
      <x:c r="P151" s="24"/>
      <x:c r="Q151" s="24"/>
      <x:c r="R151" s="24"/>
      <x:c r="S151" s="24"/>
      <x:c r="T151" s="24"/>
      <x:c r="U151" s="24"/>
      <x:c r="V151" s="24"/>
      <x:c r="W151" s="24"/>
      <x:c r="X151" s="24"/>
      <x:c r="Y151" s="24"/>
      <x:c r="Z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  <x:c r="K152" s="24"/>
      <x:c r="L152" s="24"/>
      <x:c r="M152" s="24"/>
      <x:c r="N152" s="24"/>
      <x:c r="O152" s="24"/>
      <x:c r="P152" s="24"/>
      <x:c r="Q152" s="24"/>
      <x:c r="R152" s="24"/>
      <x:c r="S152" s="24"/>
      <x:c r="T152" s="24"/>
      <x:c r="U152" s="24"/>
      <x:c r="V152" s="24"/>
      <x:c r="W152" s="24"/>
      <x:c r="X152" s="24"/>
      <x:c r="Y152" s="24"/>
      <x:c r="Z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  <x:c r="K153" s="24"/>
      <x:c r="L153" s="24"/>
      <x:c r="M153" s="24"/>
      <x:c r="N153" s="24"/>
      <x:c r="O153" s="24"/>
      <x:c r="P153" s="24"/>
      <x:c r="Q153" s="24"/>
      <x:c r="R153" s="24"/>
      <x:c r="S153" s="24"/>
      <x:c r="T153" s="24"/>
      <x:c r="U153" s="24"/>
      <x:c r="V153" s="24"/>
      <x:c r="W153" s="24"/>
      <x:c r="X153" s="24"/>
      <x:c r="Y153" s="24"/>
      <x:c r="Z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  <x:c r="K154" s="24"/>
      <x:c r="L154" s="24"/>
      <x:c r="M154" s="24"/>
      <x:c r="N154" s="24"/>
      <x:c r="O154" s="24"/>
      <x:c r="P154" s="24"/>
      <x:c r="Q154" s="24"/>
      <x:c r="R154" s="24"/>
      <x:c r="S154" s="24"/>
      <x:c r="T154" s="24"/>
      <x:c r="U154" s="24"/>
      <x:c r="V154" s="24"/>
      <x:c r="W154" s="24"/>
      <x:c r="X154" s="24"/>
      <x:c r="Y154" s="24"/>
      <x:c r="Z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  <x:c r="K155" s="24"/>
      <x:c r="L155" s="24"/>
      <x:c r="M155" s="24"/>
      <x:c r="N155" s="24"/>
      <x:c r="O155" s="24"/>
      <x:c r="P155" s="24"/>
      <x:c r="Q155" s="24"/>
      <x:c r="R155" s="24"/>
      <x:c r="S155" s="24"/>
      <x:c r="T155" s="24"/>
      <x:c r="U155" s="24"/>
      <x:c r="V155" s="24"/>
      <x:c r="W155" s="24"/>
      <x:c r="X155" s="24"/>
      <x:c r="Y155" s="24"/>
      <x:c r="Z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  <x:c r="K156" s="24"/>
      <x:c r="L156" s="24"/>
      <x:c r="M156" s="24"/>
      <x:c r="N156" s="24"/>
      <x:c r="O156" s="24"/>
      <x:c r="P156" s="24"/>
      <x:c r="Q156" s="24"/>
      <x:c r="R156" s="24"/>
      <x:c r="S156" s="24"/>
      <x:c r="T156" s="24"/>
      <x:c r="U156" s="24"/>
      <x:c r="V156" s="24"/>
      <x:c r="W156" s="24"/>
      <x:c r="X156" s="24"/>
      <x:c r="Y156" s="24"/>
      <x:c r="Z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  <x:c r="K157" s="24"/>
      <x:c r="L157" s="24"/>
      <x:c r="M157" s="24"/>
      <x:c r="N157" s="24"/>
      <x:c r="O157" s="24"/>
      <x:c r="P157" s="24"/>
      <x:c r="Q157" s="24"/>
      <x:c r="R157" s="24"/>
      <x:c r="S157" s="24"/>
      <x:c r="T157" s="24"/>
      <x:c r="U157" s="24"/>
      <x:c r="V157" s="24"/>
      <x:c r="W157" s="24"/>
      <x:c r="X157" s="24"/>
      <x:c r="Y157" s="24"/>
      <x:c r="Z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  <x:c r="K158" s="24"/>
      <x:c r="L158" s="24"/>
      <x:c r="M158" s="24"/>
      <x:c r="N158" s="24"/>
      <x:c r="O158" s="24"/>
      <x:c r="P158" s="24"/>
      <x:c r="Q158" s="24"/>
      <x:c r="R158" s="24"/>
      <x:c r="S158" s="24"/>
      <x:c r="T158" s="24"/>
      <x:c r="U158" s="24"/>
      <x:c r="V158" s="24"/>
      <x:c r="W158" s="24"/>
      <x:c r="X158" s="24"/>
      <x:c r="Y158" s="24"/>
      <x:c r="Z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  <x:c r="K159" s="24"/>
      <x:c r="L159" s="24"/>
      <x:c r="M159" s="24"/>
      <x:c r="N159" s="24"/>
      <x:c r="O159" s="24"/>
      <x:c r="P159" s="24"/>
      <x:c r="Q159" s="24"/>
      <x:c r="R159" s="24"/>
      <x:c r="S159" s="24"/>
      <x:c r="T159" s="24"/>
      <x:c r="U159" s="24"/>
      <x:c r="V159" s="24"/>
      <x:c r="W159" s="24"/>
      <x:c r="X159" s="24"/>
      <x:c r="Y159" s="24"/>
      <x:c r="Z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  <x:c r="K160" s="24"/>
      <x:c r="L160" s="24"/>
      <x:c r="M160" s="24"/>
      <x:c r="N160" s="24"/>
      <x:c r="O160" s="24"/>
      <x:c r="P160" s="24"/>
      <x:c r="Q160" s="24"/>
      <x:c r="R160" s="24"/>
      <x:c r="S160" s="24"/>
      <x:c r="T160" s="24"/>
      <x:c r="U160" s="24"/>
      <x:c r="V160" s="24"/>
      <x:c r="W160" s="24"/>
      <x:c r="X160" s="24"/>
      <x:c r="Y160" s="24"/>
      <x:c r="Z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  <x:c r="K161" s="24"/>
      <x:c r="L161" s="24"/>
      <x:c r="M161" s="24"/>
      <x:c r="N161" s="24"/>
      <x:c r="O161" s="24"/>
      <x:c r="P161" s="24"/>
      <x:c r="Q161" s="24"/>
      <x:c r="R161" s="24"/>
      <x:c r="S161" s="24"/>
      <x:c r="T161" s="24"/>
      <x:c r="U161" s="24"/>
      <x:c r="V161" s="24"/>
      <x:c r="W161" s="24"/>
      <x:c r="X161" s="24"/>
      <x:c r="Y161" s="24"/>
      <x:c r="Z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  <x:c r="K162" s="24"/>
      <x:c r="L162" s="24"/>
      <x:c r="M162" s="24"/>
      <x:c r="N162" s="24"/>
      <x:c r="O162" s="24"/>
      <x:c r="P162" s="24"/>
      <x:c r="Q162" s="24"/>
      <x:c r="R162" s="24"/>
      <x:c r="S162" s="24"/>
      <x:c r="T162" s="24"/>
      <x:c r="U162" s="24"/>
      <x:c r="V162" s="24"/>
      <x:c r="W162" s="24"/>
      <x:c r="X162" s="24"/>
      <x:c r="Y162" s="24"/>
      <x:c r="Z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  <x:c r="K163" s="24"/>
      <x:c r="L163" s="24"/>
      <x:c r="M163" s="24"/>
      <x:c r="N163" s="24"/>
      <x:c r="O163" s="24"/>
      <x:c r="P163" s="24"/>
      <x:c r="Q163" s="24"/>
      <x:c r="R163" s="24"/>
      <x:c r="S163" s="24"/>
      <x:c r="T163" s="24"/>
      <x:c r="U163" s="24"/>
      <x:c r="V163" s="24"/>
      <x:c r="W163" s="24"/>
      <x:c r="X163" s="24"/>
      <x:c r="Y163" s="24"/>
      <x:c r="Z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  <x:c r="K164" s="24"/>
      <x:c r="L164" s="24"/>
      <x:c r="M164" s="24"/>
      <x:c r="N164" s="24"/>
      <x:c r="O164" s="24"/>
      <x:c r="P164" s="24"/>
      <x:c r="Q164" s="24"/>
      <x:c r="R164" s="24"/>
      <x:c r="S164" s="24"/>
      <x:c r="T164" s="24"/>
      <x:c r="U164" s="24"/>
      <x:c r="V164" s="24"/>
      <x:c r="W164" s="24"/>
      <x:c r="X164" s="24"/>
      <x:c r="Y164" s="24"/>
      <x:c r="Z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  <x:c r="K165" s="24"/>
      <x:c r="L165" s="24"/>
      <x:c r="M165" s="24"/>
      <x:c r="N165" s="24"/>
      <x:c r="O165" s="24"/>
      <x:c r="P165" s="24"/>
      <x:c r="Q165" s="24"/>
      <x:c r="R165" s="24"/>
      <x:c r="S165" s="24"/>
      <x:c r="T165" s="24"/>
      <x:c r="U165" s="24"/>
      <x:c r="V165" s="24"/>
      <x:c r="W165" s="24"/>
      <x:c r="X165" s="24"/>
      <x:c r="Y165" s="24"/>
      <x:c r="Z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  <x:c r="K166" s="24"/>
      <x:c r="L166" s="24"/>
      <x:c r="M166" s="24"/>
      <x:c r="N166" s="24"/>
      <x:c r="O166" s="24"/>
      <x:c r="P166" s="24"/>
      <x:c r="Q166" s="24"/>
      <x:c r="R166" s="24"/>
      <x:c r="S166" s="24"/>
      <x:c r="T166" s="24"/>
      <x:c r="U166" s="24"/>
      <x:c r="V166" s="24"/>
      <x:c r="W166" s="24"/>
      <x:c r="X166" s="24"/>
      <x:c r="Y166" s="24"/>
      <x:c r="Z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  <x:c r="K167" s="24"/>
      <x:c r="L167" s="24"/>
      <x:c r="M167" s="24"/>
      <x:c r="N167" s="24"/>
      <x:c r="O167" s="24"/>
      <x:c r="P167" s="24"/>
      <x:c r="Q167" s="24"/>
      <x:c r="R167" s="24"/>
      <x:c r="S167" s="24"/>
      <x:c r="T167" s="24"/>
      <x:c r="U167" s="24"/>
      <x:c r="V167" s="24"/>
      <x:c r="W167" s="24"/>
      <x:c r="X167" s="24"/>
      <x:c r="Y167" s="24"/>
      <x:c r="Z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  <x:c r="K168" s="24"/>
      <x:c r="L168" s="24"/>
      <x:c r="M168" s="24"/>
      <x:c r="N168" s="24"/>
      <x:c r="O168" s="24"/>
      <x:c r="P168" s="24"/>
      <x:c r="Q168" s="24"/>
      <x:c r="R168" s="24"/>
      <x:c r="S168" s="24"/>
      <x:c r="T168" s="24"/>
      <x:c r="U168" s="24"/>
      <x:c r="V168" s="24"/>
      <x:c r="W168" s="24"/>
      <x:c r="X168" s="24"/>
      <x:c r="Y168" s="24"/>
      <x:c r="Z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  <x:c r="K169" s="24"/>
      <x:c r="L169" s="24"/>
      <x:c r="M169" s="24"/>
      <x:c r="N169" s="24"/>
      <x:c r="O169" s="24"/>
      <x:c r="P169" s="24"/>
      <x:c r="Q169" s="24"/>
      <x:c r="R169" s="24"/>
      <x:c r="S169" s="24"/>
      <x:c r="T169" s="24"/>
      <x:c r="U169" s="24"/>
      <x:c r="V169" s="24"/>
      <x:c r="W169" s="24"/>
      <x:c r="X169" s="24"/>
      <x:c r="Y169" s="24"/>
      <x:c r="Z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  <x:c r="K170" s="24"/>
      <x:c r="L170" s="24"/>
      <x:c r="M170" s="24"/>
      <x:c r="N170" s="24"/>
      <x:c r="O170" s="24"/>
      <x:c r="P170" s="24"/>
      <x:c r="Q170" s="24"/>
      <x:c r="R170" s="24"/>
      <x:c r="S170" s="24"/>
      <x:c r="T170" s="24"/>
      <x:c r="U170" s="24"/>
      <x:c r="V170" s="24"/>
      <x:c r="W170" s="24"/>
      <x:c r="X170" s="24"/>
      <x:c r="Y170" s="24"/>
      <x:c r="Z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  <x:c r="K171" s="24"/>
      <x:c r="L171" s="24"/>
      <x:c r="M171" s="24"/>
      <x:c r="N171" s="24"/>
      <x:c r="O171" s="24"/>
      <x:c r="P171" s="24"/>
      <x:c r="Q171" s="24"/>
      <x:c r="R171" s="24"/>
      <x:c r="S171" s="24"/>
      <x:c r="T171" s="24"/>
      <x:c r="U171" s="24"/>
      <x:c r="V171" s="24"/>
      <x:c r="W171" s="24"/>
      <x:c r="X171" s="24"/>
      <x:c r="Y171" s="24"/>
      <x:c r="Z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  <x:c r="K172" s="24"/>
      <x:c r="L172" s="24"/>
      <x:c r="M172" s="24"/>
      <x:c r="N172" s="24"/>
      <x:c r="O172" s="24"/>
      <x:c r="P172" s="24"/>
      <x:c r="Q172" s="24"/>
      <x:c r="R172" s="24"/>
      <x:c r="S172" s="24"/>
      <x:c r="T172" s="24"/>
      <x:c r="U172" s="24"/>
      <x:c r="V172" s="24"/>
      <x:c r="W172" s="24"/>
      <x:c r="X172" s="24"/>
      <x:c r="Y172" s="24"/>
      <x:c r="Z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  <x:c r="K173" s="24"/>
      <x:c r="L173" s="24"/>
      <x:c r="M173" s="24"/>
      <x:c r="N173" s="24"/>
      <x:c r="O173" s="24"/>
      <x:c r="P173" s="24"/>
      <x:c r="Q173" s="24"/>
      <x:c r="R173" s="24"/>
      <x:c r="S173" s="24"/>
      <x:c r="T173" s="24"/>
      <x:c r="U173" s="24"/>
      <x:c r="V173" s="24"/>
      <x:c r="W173" s="24"/>
      <x:c r="X173" s="24"/>
      <x:c r="Y173" s="24"/>
      <x:c r="Z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  <x:c r="K174" s="24"/>
      <x:c r="L174" s="24"/>
      <x:c r="M174" s="24"/>
      <x:c r="N174" s="24"/>
      <x:c r="O174" s="24"/>
      <x:c r="P174" s="24"/>
      <x:c r="Q174" s="24"/>
      <x:c r="R174" s="24"/>
      <x:c r="S174" s="24"/>
      <x:c r="T174" s="24"/>
      <x:c r="U174" s="24"/>
      <x:c r="V174" s="24"/>
      <x:c r="W174" s="24"/>
      <x:c r="X174" s="24"/>
      <x:c r="Y174" s="24"/>
      <x:c r="Z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  <x:c r="K175" s="24"/>
      <x:c r="L175" s="24"/>
      <x:c r="M175" s="24"/>
      <x:c r="N175" s="24"/>
      <x:c r="O175" s="24"/>
      <x:c r="P175" s="24"/>
      <x:c r="Q175" s="24"/>
      <x:c r="R175" s="24"/>
      <x:c r="S175" s="24"/>
      <x:c r="T175" s="24"/>
      <x:c r="U175" s="24"/>
      <x:c r="V175" s="24"/>
      <x:c r="W175" s="24"/>
      <x:c r="X175" s="24"/>
      <x:c r="Y175" s="24"/>
      <x:c r="Z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  <x:c r="K176" s="24"/>
      <x:c r="L176" s="24"/>
      <x:c r="M176" s="24"/>
      <x:c r="N176" s="24"/>
      <x:c r="O176" s="24"/>
      <x:c r="P176" s="24"/>
      <x:c r="Q176" s="24"/>
      <x:c r="R176" s="24"/>
      <x:c r="S176" s="24"/>
      <x:c r="T176" s="24"/>
      <x:c r="U176" s="24"/>
      <x:c r="V176" s="24"/>
      <x:c r="W176" s="24"/>
      <x:c r="X176" s="24"/>
      <x:c r="Y176" s="24"/>
      <x:c r="Z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  <x:c r="K177" s="24"/>
      <x:c r="L177" s="24"/>
      <x:c r="M177" s="24"/>
      <x:c r="N177" s="24"/>
      <x:c r="O177" s="24"/>
      <x:c r="P177" s="24"/>
      <x:c r="Q177" s="24"/>
      <x:c r="R177" s="24"/>
      <x:c r="S177" s="24"/>
      <x:c r="T177" s="24"/>
      <x:c r="U177" s="24"/>
      <x:c r="V177" s="24"/>
      <x:c r="W177" s="24"/>
      <x:c r="X177" s="24"/>
      <x:c r="Y177" s="24"/>
      <x:c r="Z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  <x:c r="K178" s="24"/>
      <x:c r="L178" s="24"/>
      <x:c r="M178" s="24"/>
      <x:c r="N178" s="24"/>
      <x:c r="O178" s="24"/>
      <x:c r="P178" s="24"/>
      <x:c r="Q178" s="24"/>
      <x:c r="R178" s="24"/>
      <x:c r="S178" s="24"/>
      <x:c r="T178" s="24"/>
      <x:c r="U178" s="24"/>
      <x:c r="V178" s="24"/>
      <x:c r="W178" s="24"/>
      <x:c r="X178" s="24"/>
      <x:c r="Y178" s="24"/>
      <x:c r="Z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  <x:c r="K179" s="24"/>
      <x:c r="L179" s="24"/>
      <x:c r="M179" s="24"/>
      <x:c r="N179" s="24"/>
      <x:c r="O179" s="24"/>
      <x:c r="P179" s="24"/>
      <x:c r="Q179" s="24"/>
      <x:c r="R179" s="24"/>
      <x:c r="S179" s="24"/>
      <x:c r="T179" s="24"/>
      <x:c r="U179" s="24"/>
      <x:c r="V179" s="24"/>
      <x:c r="W179" s="24"/>
      <x:c r="X179" s="24"/>
      <x:c r="Y179" s="24"/>
      <x:c r="Z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  <x:c r="K180" s="24"/>
      <x:c r="L180" s="24"/>
      <x:c r="M180" s="24"/>
      <x:c r="N180" s="24"/>
      <x:c r="O180" s="24"/>
      <x:c r="P180" s="24"/>
      <x:c r="Q180" s="24"/>
      <x:c r="R180" s="24"/>
      <x:c r="S180" s="24"/>
      <x:c r="T180" s="24"/>
      <x:c r="U180" s="24"/>
      <x:c r="V180" s="24"/>
      <x:c r="W180" s="24"/>
      <x:c r="X180" s="24"/>
      <x:c r="Y180" s="24"/>
      <x:c r="Z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  <x:c r="K181" s="24"/>
      <x:c r="L181" s="24"/>
      <x:c r="M181" s="24"/>
      <x:c r="N181" s="24"/>
      <x:c r="O181" s="24"/>
      <x:c r="P181" s="24"/>
      <x:c r="Q181" s="24"/>
      <x:c r="R181" s="24"/>
      <x:c r="S181" s="24"/>
      <x:c r="T181" s="24"/>
      <x:c r="U181" s="24"/>
      <x:c r="V181" s="24"/>
      <x:c r="W181" s="24"/>
      <x:c r="X181" s="24"/>
      <x:c r="Y181" s="24"/>
      <x:c r="Z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  <x:c r="K182" s="24"/>
      <x:c r="L182" s="24"/>
      <x:c r="M182" s="24"/>
      <x:c r="N182" s="24"/>
      <x:c r="O182" s="24"/>
      <x:c r="P182" s="24"/>
      <x:c r="Q182" s="24"/>
      <x:c r="R182" s="24"/>
      <x:c r="S182" s="24"/>
      <x:c r="T182" s="24"/>
      <x:c r="U182" s="24"/>
      <x:c r="V182" s="24"/>
      <x:c r="W182" s="24"/>
      <x:c r="X182" s="24"/>
      <x:c r="Y182" s="24"/>
      <x:c r="Z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  <x:c r="K183" s="24"/>
      <x:c r="L183" s="24"/>
      <x:c r="M183" s="24"/>
      <x:c r="N183" s="24"/>
      <x:c r="O183" s="24"/>
      <x:c r="P183" s="24"/>
      <x:c r="Q183" s="24"/>
      <x:c r="R183" s="24"/>
      <x:c r="S183" s="24"/>
      <x:c r="T183" s="24"/>
      <x:c r="U183" s="24"/>
      <x:c r="V183" s="24"/>
      <x:c r="W183" s="24"/>
      <x:c r="X183" s="24"/>
      <x:c r="Y183" s="24"/>
      <x:c r="Z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  <x:c r="K184" s="24"/>
      <x:c r="L184" s="24"/>
      <x:c r="M184" s="24"/>
      <x:c r="N184" s="24"/>
      <x:c r="O184" s="24"/>
      <x:c r="P184" s="24"/>
      <x:c r="Q184" s="24"/>
      <x:c r="R184" s="24"/>
      <x:c r="S184" s="24"/>
      <x:c r="T184" s="24"/>
      <x:c r="U184" s="24"/>
      <x:c r="V184" s="24"/>
      <x:c r="W184" s="24"/>
      <x:c r="X184" s="24"/>
      <x:c r="Y184" s="24"/>
      <x:c r="Z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  <x:c r="K185" s="24"/>
      <x:c r="L185" s="24"/>
      <x:c r="M185" s="24"/>
      <x:c r="N185" s="24"/>
      <x:c r="O185" s="24"/>
      <x:c r="P185" s="24"/>
      <x:c r="Q185" s="24"/>
      <x:c r="R185" s="24"/>
      <x:c r="S185" s="24"/>
      <x:c r="T185" s="24"/>
      <x:c r="U185" s="24"/>
      <x:c r="V185" s="24"/>
      <x:c r="W185" s="24"/>
      <x:c r="X185" s="24"/>
      <x:c r="Y185" s="24"/>
      <x:c r="Z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  <x:c r="K186" s="24"/>
      <x:c r="L186" s="24"/>
      <x:c r="M186" s="24"/>
      <x:c r="N186" s="24"/>
      <x:c r="O186" s="24"/>
      <x:c r="P186" s="24"/>
      <x:c r="Q186" s="24"/>
      <x:c r="R186" s="24"/>
      <x:c r="S186" s="24"/>
      <x:c r="T186" s="24"/>
      <x:c r="U186" s="24"/>
      <x:c r="V186" s="24"/>
      <x:c r="W186" s="24"/>
      <x:c r="X186" s="24"/>
      <x:c r="Y186" s="24"/>
      <x:c r="Z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  <x:c r="K187" s="24"/>
      <x:c r="L187" s="24"/>
      <x:c r="M187" s="24"/>
      <x:c r="N187" s="24"/>
      <x:c r="O187" s="24"/>
      <x:c r="P187" s="24"/>
      <x:c r="Q187" s="24"/>
      <x:c r="R187" s="24"/>
      <x:c r="S187" s="24"/>
      <x:c r="T187" s="24"/>
      <x:c r="U187" s="24"/>
      <x:c r="V187" s="24"/>
      <x:c r="W187" s="24"/>
      <x:c r="X187" s="24"/>
      <x:c r="Y187" s="24"/>
      <x:c r="Z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  <x:c r="K188" s="24"/>
      <x:c r="L188" s="24"/>
      <x:c r="M188" s="24"/>
      <x:c r="N188" s="24"/>
      <x:c r="O188" s="24"/>
      <x:c r="P188" s="24"/>
      <x:c r="Q188" s="24"/>
      <x:c r="R188" s="24"/>
      <x:c r="S188" s="24"/>
      <x:c r="T188" s="24"/>
      <x:c r="U188" s="24"/>
      <x:c r="V188" s="24"/>
      <x:c r="W188" s="24"/>
      <x:c r="X188" s="24"/>
      <x:c r="Y188" s="24"/>
      <x:c r="Z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  <x:c r="K189" s="24"/>
      <x:c r="L189" s="24"/>
      <x:c r="M189" s="24"/>
      <x:c r="N189" s="24"/>
      <x:c r="O189" s="24"/>
      <x:c r="P189" s="24"/>
      <x:c r="Q189" s="24"/>
      <x:c r="R189" s="24"/>
      <x:c r="S189" s="24"/>
      <x:c r="T189" s="24"/>
      <x:c r="U189" s="24"/>
      <x:c r="V189" s="24"/>
      <x:c r="W189" s="24"/>
      <x:c r="X189" s="24"/>
      <x:c r="Y189" s="24"/>
      <x:c r="Z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  <x:c r="K190" s="24"/>
      <x:c r="L190" s="24"/>
      <x:c r="M190" s="24"/>
      <x:c r="N190" s="24"/>
      <x:c r="O190" s="24"/>
      <x:c r="P190" s="24"/>
      <x:c r="Q190" s="24"/>
      <x:c r="R190" s="24"/>
      <x:c r="S190" s="24"/>
      <x:c r="T190" s="24"/>
      <x:c r="U190" s="24"/>
      <x:c r="V190" s="24"/>
      <x:c r="W190" s="24"/>
      <x:c r="X190" s="24"/>
      <x:c r="Y190" s="24"/>
      <x:c r="Z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  <x:c r="K191" s="24"/>
      <x:c r="L191" s="24"/>
      <x:c r="M191" s="24"/>
      <x:c r="N191" s="24"/>
      <x:c r="O191" s="24"/>
      <x:c r="P191" s="24"/>
      <x:c r="Q191" s="24"/>
      <x:c r="R191" s="24"/>
      <x:c r="S191" s="24"/>
      <x:c r="T191" s="24"/>
      <x:c r="U191" s="24"/>
      <x:c r="V191" s="24"/>
      <x:c r="W191" s="24"/>
      <x:c r="X191" s="24"/>
      <x:c r="Y191" s="24"/>
      <x:c r="Z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  <x:c r="K192" s="24"/>
      <x:c r="L192" s="24"/>
      <x:c r="M192" s="24"/>
      <x:c r="N192" s="24"/>
      <x:c r="O192" s="24"/>
      <x:c r="P192" s="24"/>
      <x:c r="Q192" s="24"/>
      <x:c r="R192" s="24"/>
      <x:c r="S192" s="24"/>
      <x:c r="T192" s="24"/>
      <x:c r="U192" s="24"/>
      <x:c r="V192" s="24"/>
      <x:c r="W192" s="24"/>
      <x:c r="X192" s="24"/>
      <x:c r="Y192" s="24"/>
      <x:c r="Z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  <x:c r="K193" s="24"/>
      <x:c r="L193" s="24"/>
      <x:c r="M193" s="24"/>
      <x:c r="N193" s="24"/>
      <x:c r="O193" s="24"/>
      <x:c r="P193" s="24"/>
      <x:c r="Q193" s="24"/>
      <x:c r="R193" s="24"/>
      <x:c r="S193" s="24"/>
      <x:c r="T193" s="24"/>
      <x:c r="U193" s="24"/>
      <x:c r="V193" s="24"/>
      <x:c r="W193" s="24"/>
      <x:c r="X193" s="24"/>
      <x:c r="Y193" s="24"/>
      <x:c r="Z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  <x:c r="K194" s="24"/>
      <x:c r="L194" s="24"/>
      <x:c r="M194" s="24"/>
      <x:c r="N194" s="24"/>
      <x:c r="O194" s="24"/>
      <x:c r="P194" s="24"/>
      <x:c r="Q194" s="24"/>
      <x:c r="R194" s="24"/>
      <x:c r="S194" s="24"/>
      <x:c r="T194" s="24"/>
      <x:c r="U194" s="24"/>
      <x:c r="V194" s="24"/>
      <x:c r="W194" s="24"/>
      <x:c r="X194" s="24"/>
      <x:c r="Y194" s="24"/>
      <x:c r="Z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  <x:c r="K195" s="24"/>
      <x:c r="L195" s="24"/>
      <x:c r="M195" s="24"/>
      <x:c r="N195" s="24"/>
      <x:c r="O195" s="24"/>
      <x:c r="P195" s="24"/>
      <x:c r="Q195" s="24"/>
      <x:c r="R195" s="24"/>
      <x:c r="S195" s="24"/>
      <x:c r="T195" s="24"/>
      <x:c r="U195" s="24"/>
      <x:c r="V195" s="24"/>
      <x:c r="W195" s="24"/>
      <x:c r="X195" s="24"/>
      <x:c r="Y195" s="24"/>
      <x:c r="Z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  <x:c r="K196" s="24"/>
      <x:c r="L196" s="24"/>
      <x:c r="M196" s="24"/>
      <x:c r="N196" s="24"/>
      <x:c r="O196" s="24"/>
      <x:c r="P196" s="24"/>
      <x:c r="Q196" s="24"/>
      <x:c r="R196" s="24"/>
      <x:c r="S196" s="24"/>
      <x:c r="T196" s="24"/>
      <x:c r="U196" s="24"/>
      <x:c r="V196" s="24"/>
      <x:c r="W196" s="24"/>
      <x:c r="X196" s="24"/>
      <x:c r="Y196" s="24"/>
      <x:c r="Z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  <x:c r="K197" s="24"/>
      <x:c r="L197" s="24"/>
      <x:c r="M197" s="24"/>
      <x:c r="N197" s="24"/>
      <x:c r="O197" s="24"/>
      <x:c r="P197" s="24"/>
      <x:c r="Q197" s="24"/>
      <x:c r="R197" s="24"/>
      <x:c r="S197" s="24"/>
      <x:c r="T197" s="24"/>
      <x:c r="U197" s="24"/>
      <x:c r="V197" s="24"/>
      <x:c r="W197" s="24"/>
      <x:c r="X197" s="24"/>
      <x:c r="Y197" s="24"/>
      <x:c r="Z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  <x:c r="K198" s="24"/>
      <x:c r="L198" s="24"/>
      <x:c r="M198" s="24"/>
      <x:c r="N198" s="24"/>
      <x:c r="O198" s="24"/>
      <x:c r="P198" s="24"/>
      <x:c r="Q198" s="24"/>
      <x:c r="R198" s="24"/>
      <x:c r="S198" s="24"/>
      <x:c r="T198" s="24"/>
      <x:c r="U198" s="24"/>
      <x:c r="V198" s="24"/>
      <x:c r="W198" s="24"/>
      <x:c r="X198" s="24"/>
      <x:c r="Y198" s="24"/>
      <x:c r="Z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  <x:c r="K199" s="24"/>
      <x:c r="L199" s="24"/>
      <x:c r="M199" s="24"/>
      <x:c r="N199" s="24"/>
      <x:c r="O199" s="24"/>
      <x:c r="P199" s="24"/>
      <x:c r="Q199" s="24"/>
      <x:c r="R199" s="24"/>
      <x:c r="S199" s="24"/>
      <x:c r="T199" s="24"/>
      <x:c r="U199" s="24"/>
      <x:c r="V199" s="24"/>
      <x:c r="W199" s="24"/>
      <x:c r="X199" s="24"/>
      <x:c r="Y199" s="24"/>
      <x:c r="Z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  <x:c r="K200" s="24"/>
      <x:c r="L200" s="24"/>
      <x:c r="M200" s="24"/>
      <x:c r="N200" s="24"/>
      <x:c r="O200" s="24"/>
      <x:c r="P200" s="24"/>
      <x:c r="Q200" s="24"/>
      <x:c r="R200" s="24"/>
      <x:c r="S200" s="24"/>
      <x:c r="T200" s="24"/>
      <x:c r="U200" s="24"/>
      <x:c r="V200" s="24"/>
      <x:c r="W200" s="24"/>
      <x:c r="X200" s="24"/>
      <x:c r="Y200" s="24"/>
      <x:c r="Z200" s="24"/>
    </x:row>
  </x:sheetData>
  <x:mergeCells>
    <x:mergeCell ref="A1:F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34" hidden="0" customWidth="1"/>
    <x:col min="4" max="4" width="12" hidden="0" customWidth="1"/>
    <x:col min="5" max="5" width="16" hidden="0" customWidth="1"/>
    <x:col min="6" max="6" width="15" hidden="0" customWidth="1"/>
    <x:col min="7" max="7" width="18" hidden="0" customWidth="1"/>
    <x:col min="8" max="8" width="18" hidden="0" customWidth="1"/>
    <x:col min="9" max="9" width="22" hidden="0" customWidth="1"/>
    <x:col min="10" max="10" width="16" hidden="0" customWidth="1"/>
    <x:col min="11" max="11" width="24" hidden="0" customWidth="1"/>
    <x:col min="12" max="12" width="24" hidden="0" customWidth="1"/>
    <x:col min="13" max="13" width="55" hidden="0" customWidth="1"/>
  </x:cols>
  <x:sheetData>
    <x:row r="1">
      <x:c r="A1" s="22" t="str">
        <x:v>PLAYTEST LOG — V2.1 → TESTED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>
      <x:c r="A2" s="24"/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  <x:c r="R2" s="24"/>
      <x:c r="S2" s="24"/>
      <x:c r="T2" s="24"/>
      <x:c r="U2" s="24"/>
      <x:c r="V2" s="24"/>
      <x:c r="W2" s="24"/>
      <x:c r="X2" s="24"/>
      <x:c r="Y2" s="24"/>
      <x:c r="Z2" s="24"/>
    </x:row>
    <x:row r="3">
      <x:c r="A3" s="25" t="str">
        <x:v>Game #</x:v>
      </x:c>
      <x:c r="B3" s="25" t="str">
        <x:v>Pod / Matchup</x:v>
      </x:c>
      <x:c r="C3" s="25" t="str">
        <x:v>Opening Hand</x:v>
      </x:c>
      <x:c r="D3" s="25" t="str">
        <x:v>Mulligan?</x:v>
      </x:c>
      <x:c r="E3" s="25" t="str">
        <x:v>Lynde Cast Turn</x:v>
      </x:c>
      <x:c r="F3" s="25" t="str">
        <x:v>First Curse Turn</x:v>
      </x:c>
      <x:c r="G3" s="25" t="str">
        <x:v>Engine Online Turn</x:v>
      </x:c>
      <x:c r="H3" s="25" t="str">
        <x:v>Cards in Hand @ T5</x:v>
      </x:c>
      <x:c r="I3" s="25" t="str">
        <x:v>First Real Pressure Turn</x:v>
      </x:c>
      <x:c r="J3" s="25" t="str">
        <x:v>Result</x:v>
      </x:c>
      <x:c r="K3" s="25" t="str">
        <x:v>MVP</x:v>
      </x:c>
      <x:c r="L3" s="25" t="str">
        <x:v>Dead Card</x:v>
      </x:c>
      <x:c r="M3" s="25" t="str">
        <x:v>Notes</x:v>
      </x:c>
      <x:c r="N3" s="24"/>
      <x:c r="O3" s="24"/>
      <x:c r="P3" s="24"/>
      <x:c r="Q3" s="24"/>
      <x:c r="R3" s="24"/>
      <x:c r="S3" s="24"/>
      <x:c r="T3" s="24"/>
      <x:c r="U3" s="24"/>
      <x:c r="V3" s="24"/>
      <x:c r="W3" s="24"/>
      <x:c r="X3" s="24"/>
      <x:c r="Y3" s="24"/>
      <x:c r="Z3" s="24"/>
    </x:row>
    <x:row r="4">
      <x:c r="A4" s="27" t="str"/>
      <x:c r="B4" s="27" t="str"/>
      <x:c r="C4" s="27" t="str"/>
      <x:c r="D4" s="27" t="str"/>
      <x:c r="E4" s="27"/>
      <x:c r="F4" s="27"/>
      <x:c r="G4" s="27"/>
      <x:c r="H4" s="27"/>
      <x:c r="I4" s="27"/>
      <x:c r="J4" s="27" t="str"/>
      <x:c r="K4" s="27" t="str"/>
      <x:c r="L4" s="27" t="str"/>
      <x:c r="M4" s="27" t="str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4"/>
      <x:c r="Z4" s="24"/>
    </x:row>
    <x:row r="5">
      <x:c r="A5" s="27" t="str"/>
      <x:c r="B5" s="27" t="str"/>
      <x:c r="C5" s="27" t="str"/>
      <x:c r="D5" s="27" t="str"/>
      <x:c r="E5" s="27"/>
      <x:c r="F5" s="27"/>
      <x:c r="G5" s="27"/>
      <x:c r="H5" s="27"/>
      <x:c r="I5" s="27"/>
      <x:c r="J5" s="27" t="str"/>
      <x:c r="K5" s="27" t="str"/>
      <x:c r="L5" s="27" t="str"/>
      <x:c r="M5" s="27" t="str"/>
      <x:c r="N5" s="24"/>
      <x:c r="O5" s="24"/>
      <x:c r="P5" s="24"/>
      <x:c r="Q5" s="24"/>
      <x:c r="R5" s="24"/>
      <x:c r="S5" s="24"/>
      <x:c r="T5" s="24"/>
      <x:c r="U5" s="24"/>
      <x:c r="V5" s="24"/>
      <x:c r="W5" s="24"/>
      <x:c r="X5" s="24"/>
      <x:c r="Y5" s="24"/>
      <x:c r="Z5" s="24"/>
    </x:row>
    <x:row r="6">
      <x:c r="A6" s="27" t="str"/>
      <x:c r="B6" s="27" t="str"/>
      <x:c r="C6" s="27" t="str"/>
      <x:c r="D6" s="27" t="str"/>
      <x:c r="E6" s="27"/>
      <x:c r="F6" s="27"/>
      <x:c r="G6" s="27"/>
      <x:c r="H6" s="27"/>
      <x:c r="I6" s="27"/>
      <x:c r="J6" s="27" t="str"/>
      <x:c r="K6" s="27" t="str"/>
      <x:c r="L6" s="27" t="str"/>
      <x:c r="M6" s="27" t="str"/>
      <x:c r="N6" s="24"/>
      <x:c r="O6" s="24"/>
      <x:c r="P6" s="24"/>
      <x:c r="Q6" s="24"/>
      <x:c r="R6" s="24"/>
      <x:c r="S6" s="24"/>
      <x:c r="T6" s="24"/>
      <x:c r="U6" s="24"/>
      <x:c r="V6" s="24"/>
      <x:c r="W6" s="24"/>
      <x:c r="X6" s="24"/>
      <x:c r="Y6" s="24"/>
      <x:c r="Z6" s="24"/>
    </x:row>
    <x:row r="7">
      <x:c r="A7" s="27" t="str"/>
      <x:c r="B7" s="27" t="str"/>
      <x:c r="C7" s="27" t="str"/>
      <x:c r="D7" s="27" t="str"/>
      <x:c r="E7" s="27"/>
      <x:c r="F7" s="27"/>
      <x:c r="G7" s="27"/>
      <x:c r="H7" s="27"/>
      <x:c r="I7" s="27"/>
      <x:c r="J7" s="27" t="str"/>
      <x:c r="K7" s="27" t="str"/>
      <x:c r="L7" s="27" t="str"/>
      <x:c r="M7" s="27" t="str"/>
      <x:c r="N7" s="24"/>
      <x:c r="O7" s="24"/>
      <x:c r="P7" s="24"/>
      <x:c r="Q7" s="24"/>
      <x:c r="R7" s="24"/>
      <x:c r="S7" s="24"/>
      <x:c r="T7" s="24"/>
      <x:c r="U7" s="24"/>
      <x:c r="V7" s="24"/>
      <x:c r="W7" s="24"/>
      <x:c r="X7" s="24"/>
      <x:c r="Y7" s="24"/>
      <x:c r="Z7" s="24"/>
    </x:row>
    <x:row r="8">
      <x:c r="A8" s="27" t="str"/>
      <x:c r="B8" s="27" t="str"/>
      <x:c r="C8" s="27" t="str"/>
      <x:c r="D8" s="27" t="str"/>
      <x:c r="E8" s="27"/>
      <x:c r="F8" s="27"/>
      <x:c r="G8" s="27"/>
      <x:c r="H8" s="27"/>
      <x:c r="I8" s="27"/>
      <x:c r="J8" s="27" t="str"/>
      <x:c r="K8" s="27" t="str"/>
      <x:c r="L8" s="27" t="str"/>
      <x:c r="M8" s="27" t="str"/>
      <x:c r="N8" s="24"/>
      <x:c r="O8" s="24"/>
      <x:c r="P8" s="24"/>
      <x:c r="Q8" s="24"/>
      <x:c r="R8" s="24"/>
      <x:c r="S8" s="24"/>
      <x:c r="T8" s="24"/>
      <x:c r="U8" s="24"/>
      <x:c r="V8" s="24"/>
      <x:c r="W8" s="24"/>
      <x:c r="X8" s="24"/>
      <x:c r="Y8" s="24"/>
      <x:c r="Z8" s="24"/>
    </x:row>
    <x:row r="9">
      <x:c r="A9" s="27" t="str"/>
      <x:c r="B9" s="27" t="str"/>
      <x:c r="C9" s="27" t="str"/>
      <x:c r="D9" s="27" t="str"/>
      <x:c r="E9" s="27"/>
      <x:c r="F9" s="27"/>
      <x:c r="G9" s="27"/>
      <x:c r="H9" s="27"/>
      <x:c r="I9" s="27"/>
      <x:c r="J9" s="27" t="str"/>
      <x:c r="K9" s="27" t="str"/>
      <x:c r="L9" s="27" t="str"/>
      <x:c r="M9" s="27" t="str"/>
      <x:c r="N9" s="24"/>
      <x:c r="O9" s="24"/>
      <x:c r="P9" s="24"/>
      <x:c r="Q9" s="24"/>
      <x:c r="R9" s="24"/>
      <x:c r="S9" s="24"/>
      <x:c r="T9" s="24"/>
      <x:c r="U9" s="24"/>
      <x:c r="V9" s="24"/>
      <x:c r="W9" s="24"/>
      <x:c r="X9" s="24"/>
      <x:c r="Y9" s="24"/>
      <x:c r="Z9" s="24"/>
    </x:row>
    <x:row r="10">
      <x:c r="A10" s="27" t="str"/>
      <x:c r="B10" s="27" t="str"/>
      <x:c r="C10" s="27" t="str"/>
      <x:c r="D10" s="27" t="str"/>
      <x:c r="E10" s="27"/>
      <x:c r="F10" s="27"/>
      <x:c r="G10" s="27"/>
      <x:c r="H10" s="27"/>
      <x:c r="I10" s="27"/>
      <x:c r="J10" s="27" t="str"/>
      <x:c r="K10" s="27" t="str"/>
      <x:c r="L10" s="27" t="str"/>
      <x:c r="M10" s="27" t="str"/>
      <x:c r="N10" s="24"/>
      <x:c r="O10" s="24"/>
      <x:c r="P10" s="24"/>
      <x:c r="Q10" s="24"/>
      <x:c r="R10" s="24"/>
      <x:c r="S10" s="24"/>
      <x:c r="T10" s="24"/>
      <x:c r="U10" s="24"/>
      <x:c r="V10" s="24"/>
      <x:c r="W10" s="24"/>
      <x:c r="X10" s="24"/>
      <x:c r="Y10" s="24"/>
      <x:c r="Z10" s="24"/>
    </x:row>
    <x:row r="11">
      <x:c r="A11" s="27" t="str"/>
      <x:c r="B11" s="27" t="str"/>
      <x:c r="C11" s="27" t="str"/>
      <x:c r="D11" s="27" t="str"/>
      <x:c r="E11" s="27"/>
      <x:c r="F11" s="27"/>
      <x:c r="G11" s="27"/>
      <x:c r="H11" s="27"/>
      <x:c r="I11" s="27"/>
      <x:c r="J11" s="27" t="str"/>
      <x:c r="K11" s="27" t="str"/>
      <x:c r="L11" s="27" t="str"/>
      <x:c r="M11" s="27" t="str"/>
      <x:c r="N11" s="24"/>
      <x:c r="O11" s="24"/>
      <x:c r="P11" s="24"/>
      <x:c r="Q11" s="24"/>
      <x:c r="R11" s="24"/>
      <x:c r="S11" s="24"/>
      <x:c r="T11" s="24"/>
      <x:c r="U11" s="24"/>
      <x:c r="V11" s="24"/>
      <x:c r="W11" s="24"/>
      <x:c r="X11" s="24"/>
      <x:c r="Y11" s="24"/>
      <x:c r="Z11" s="24"/>
    </x:row>
    <x:row r="12">
      <x:c r="A12" s="27" t="str"/>
      <x:c r="B12" s="27" t="str"/>
      <x:c r="C12" s="27" t="str"/>
      <x:c r="D12" s="27" t="str"/>
      <x:c r="E12" s="27"/>
      <x:c r="F12" s="27"/>
      <x:c r="G12" s="27"/>
      <x:c r="H12" s="27"/>
      <x:c r="I12" s="27"/>
      <x:c r="J12" s="27" t="str"/>
      <x:c r="K12" s="27" t="str"/>
      <x:c r="L12" s="27" t="str"/>
      <x:c r="M12" s="27" t="str"/>
      <x:c r="N12" s="24"/>
      <x:c r="O12" s="24"/>
      <x:c r="P12" s="24"/>
      <x:c r="Q12" s="24"/>
      <x:c r="R12" s="24"/>
      <x:c r="S12" s="24"/>
      <x:c r="T12" s="24"/>
      <x:c r="U12" s="24"/>
      <x:c r="V12" s="24"/>
      <x:c r="W12" s="24"/>
      <x:c r="X12" s="24"/>
      <x:c r="Y12" s="24"/>
      <x:c r="Z12" s="24"/>
    </x:row>
    <x:row r="13">
      <x:c r="A13" s="27" t="str"/>
      <x:c r="B13" s="27" t="str"/>
      <x:c r="C13" s="27" t="str"/>
      <x:c r="D13" s="27" t="str"/>
      <x:c r="E13" s="27"/>
      <x:c r="F13" s="27"/>
      <x:c r="G13" s="27"/>
      <x:c r="H13" s="27"/>
      <x:c r="I13" s="27"/>
      <x:c r="J13" s="27" t="str"/>
      <x:c r="K13" s="27" t="str"/>
      <x:c r="L13" s="27" t="str"/>
      <x:c r="M13" s="27" t="str"/>
      <x:c r="N13" s="24"/>
      <x:c r="O13" s="24"/>
      <x:c r="P13" s="24"/>
      <x:c r="Q13" s="24"/>
      <x:c r="R13" s="24"/>
      <x:c r="S13" s="24"/>
      <x:c r="T13" s="24"/>
      <x:c r="U13" s="24"/>
      <x:c r="V13" s="24"/>
      <x:c r="W13" s="24"/>
      <x:c r="X13" s="24"/>
      <x:c r="Y13" s="24"/>
      <x:c r="Z13" s="24"/>
    </x:row>
    <x:row r="14">
      <x:c r="A14" s="27" t="str"/>
      <x:c r="B14" s="27" t="str"/>
      <x:c r="C14" s="27" t="str"/>
      <x:c r="D14" s="27" t="str"/>
      <x:c r="E14" s="27"/>
      <x:c r="F14" s="27"/>
      <x:c r="G14" s="27"/>
      <x:c r="H14" s="27"/>
      <x:c r="I14" s="27"/>
      <x:c r="J14" s="27" t="str"/>
      <x:c r="K14" s="27" t="str"/>
      <x:c r="L14" s="27" t="str"/>
      <x:c r="M14" s="27" t="str"/>
      <x:c r="N14" s="24"/>
      <x:c r="O14" s="24"/>
      <x:c r="P14" s="24"/>
      <x:c r="Q14" s="24"/>
      <x:c r="R14" s="24"/>
      <x:c r="S14" s="24"/>
      <x:c r="T14" s="24"/>
      <x:c r="U14" s="24"/>
      <x:c r="V14" s="24"/>
      <x:c r="W14" s="24"/>
      <x:c r="X14" s="24"/>
      <x:c r="Y14" s="24"/>
      <x:c r="Z14" s="24"/>
    </x:row>
    <x:row r="15">
      <x:c r="A15" s="27" t="str"/>
      <x:c r="B15" s="27" t="str"/>
      <x:c r="C15" s="27" t="str"/>
      <x:c r="D15" s="27" t="str"/>
      <x:c r="E15" s="27"/>
      <x:c r="F15" s="27"/>
      <x:c r="G15" s="27"/>
      <x:c r="H15" s="27"/>
      <x:c r="I15" s="27"/>
      <x:c r="J15" s="27" t="str"/>
      <x:c r="K15" s="27" t="str"/>
      <x:c r="L15" s="27" t="str"/>
      <x:c r="M15" s="27" t="str"/>
      <x:c r="N15" s="24"/>
      <x:c r="O15" s="24"/>
      <x:c r="P15" s="24"/>
      <x:c r="Q15" s="24"/>
      <x:c r="R15" s="24"/>
      <x:c r="S15" s="24"/>
      <x:c r="T15" s="24"/>
      <x:c r="U15" s="24"/>
      <x:c r="V15" s="24"/>
      <x:c r="W15" s="24"/>
      <x:c r="X15" s="24"/>
      <x:c r="Y15" s="24"/>
      <x:c r="Z15" s="24"/>
    </x:row>
    <x:row r="16">
      <x:c r="A16" s="27" t="str"/>
      <x:c r="B16" s="27" t="str"/>
      <x:c r="C16" s="27" t="str"/>
      <x:c r="D16" s="27" t="str"/>
      <x:c r="E16" s="27"/>
      <x:c r="F16" s="27"/>
      <x:c r="G16" s="27"/>
      <x:c r="H16" s="27"/>
      <x:c r="I16" s="27"/>
      <x:c r="J16" s="27" t="str"/>
      <x:c r="K16" s="27" t="str"/>
      <x:c r="L16" s="27" t="str"/>
      <x:c r="M16" s="27" t="str"/>
      <x:c r="N16" s="24"/>
      <x:c r="O16" s="24"/>
      <x:c r="P16" s="24"/>
      <x:c r="Q16" s="24"/>
      <x:c r="R16" s="24"/>
      <x:c r="S16" s="24"/>
      <x:c r="T16" s="24"/>
      <x:c r="U16" s="24"/>
      <x:c r="V16" s="24"/>
      <x:c r="W16" s="24"/>
      <x:c r="X16" s="24"/>
      <x:c r="Y16" s="24"/>
      <x:c r="Z16" s="24"/>
    </x:row>
    <x:row r="17">
      <x:c r="A17" s="27" t="str"/>
      <x:c r="B17" s="27" t="str"/>
      <x:c r="C17" s="27" t="str"/>
      <x:c r="D17" s="27" t="str"/>
      <x:c r="E17" s="27"/>
      <x:c r="F17" s="27"/>
      <x:c r="G17" s="27"/>
      <x:c r="H17" s="27"/>
      <x:c r="I17" s="27"/>
      <x:c r="J17" s="27" t="str"/>
      <x:c r="K17" s="27" t="str"/>
      <x:c r="L17" s="27" t="str"/>
      <x:c r="M17" s="27" t="str"/>
      <x:c r="N17" s="24"/>
      <x:c r="O17" s="24"/>
      <x:c r="P17" s="24"/>
      <x:c r="Q17" s="24"/>
      <x:c r="R17" s="24"/>
      <x:c r="S17" s="24"/>
      <x:c r="T17" s="24"/>
      <x:c r="U17" s="24"/>
      <x:c r="V17" s="24"/>
      <x:c r="W17" s="24"/>
      <x:c r="X17" s="24"/>
      <x:c r="Y17" s="24"/>
      <x:c r="Z17" s="24"/>
    </x:row>
    <x:row r="18">
      <x:c r="A18" s="27" t="str"/>
      <x:c r="B18" s="27" t="str"/>
      <x:c r="C18" s="27" t="str"/>
      <x:c r="D18" s="27" t="str"/>
      <x:c r="E18" s="27"/>
      <x:c r="F18" s="27"/>
      <x:c r="G18" s="27"/>
      <x:c r="H18" s="27"/>
      <x:c r="I18" s="27"/>
      <x:c r="J18" s="27" t="str"/>
      <x:c r="K18" s="27" t="str"/>
      <x:c r="L18" s="27" t="str"/>
      <x:c r="M18" s="27" t="str"/>
      <x:c r="N18" s="24"/>
      <x:c r="O18" s="24"/>
      <x:c r="P18" s="24"/>
      <x:c r="Q18" s="24"/>
      <x:c r="R18" s="24"/>
      <x:c r="S18" s="24"/>
      <x:c r="T18" s="24"/>
      <x:c r="U18" s="24"/>
      <x:c r="V18" s="24"/>
      <x:c r="W18" s="24"/>
      <x:c r="X18" s="24"/>
      <x:c r="Y18" s="24"/>
      <x:c r="Z18" s="24"/>
    </x:row>
    <x:row r="19">
      <x:c r="A19" s="27" t="str"/>
      <x:c r="B19" s="27" t="str"/>
      <x:c r="C19" s="27" t="str"/>
      <x:c r="D19" s="27" t="str"/>
      <x:c r="E19" s="27"/>
      <x:c r="F19" s="27"/>
      <x:c r="G19" s="27"/>
      <x:c r="H19" s="27"/>
      <x:c r="I19" s="27"/>
      <x:c r="J19" s="27" t="str"/>
      <x:c r="K19" s="27" t="str"/>
      <x:c r="L19" s="27" t="str"/>
      <x:c r="M19" s="27" t="str"/>
      <x:c r="N19" s="24"/>
      <x:c r="O19" s="24"/>
      <x:c r="P19" s="24"/>
      <x:c r="Q19" s="24"/>
      <x:c r="R19" s="24"/>
      <x:c r="S19" s="24"/>
      <x:c r="T19" s="24"/>
      <x:c r="U19" s="24"/>
      <x:c r="V19" s="24"/>
      <x:c r="W19" s="24"/>
      <x:c r="X19" s="24"/>
      <x:c r="Y19" s="24"/>
      <x:c r="Z19" s="24"/>
    </x:row>
    <x:row r="20">
      <x:c r="A20" s="27" t="str"/>
      <x:c r="B20" s="27" t="str"/>
      <x:c r="C20" s="27" t="str"/>
      <x:c r="D20" s="27" t="str"/>
      <x:c r="E20" s="27"/>
      <x:c r="F20" s="27"/>
      <x:c r="G20" s="27"/>
      <x:c r="H20" s="27"/>
      <x:c r="I20" s="27"/>
      <x:c r="J20" s="27" t="str"/>
      <x:c r="K20" s="27" t="str"/>
      <x:c r="L20" s="27" t="str"/>
      <x:c r="M20" s="27" t="str"/>
      <x:c r="N20" s="24"/>
      <x:c r="O20" s="24"/>
      <x:c r="P20" s="24"/>
      <x:c r="Q20" s="24"/>
      <x:c r="R20" s="24"/>
      <x:c r="S20" s="24"/>
      <x:c r="T20" s="24"/>
      <x:c r="U20" s="24"/>
      <x:c r="V20" s="24"/>
      <x:c r="W20" s="24"/>
      <x:c r="X20" s="24"/>
      <x:c r="Y20" s="24"/>
      <x:c r="Z20" s="24"/>
    </x:row>
    <x:row r="21">
      <x:c r="A21" s="27" t="str"/>
      <x:c r="B21" s="27" t="str"/>
      <x:c r="C21" s="27" t="str"/>
      <x:c r="D21" s="27" t="str"/>
      <x:c r="E21" s="27"/>
      <x:c r="F21" s="27"/>
      <x:c r="G21" s="27"/>
      <x:c r="H21" s="27"/>
      <x:c r="I21" s="27"/>
      <x:c r="J21" s="27" t="str"/>
      <x:c r="K21" s="27" t="str"/>
      <x:c r="L21" s="27" t="str"/>
      <x:c r="M21" s="27" t="str"/>
      <x:c r="N21" s="24"/>
      <x:c r="O21" s="24"/>
      <x:c r="P21" s="24"/>
      <x:c r="Q21" s="24"/>
      <x:c r="R21" s="24"/>
      <x:c r="S21" s="24"/>
      <x:c r="T21" s="24"/>
      <x:c r="U21" s="24"/>
      <x:c r="V21" s="24"/>
      <x:c r="W21" s="24"/>
      <x:c r="X21" s="24"/>
      <x:c r="Y21" s="24"/>
      <x:c r="Z21" s="24"/>
    </x:row>
    <x:row r="22">
      <x:c r="A22" s="27" t="str"/>
      <x:c r="B22" s="27" t="str"/>
      <x:c r="C22" s="27" t="str"/>
      <x:c r="D22" s="27" t="str"/>
      <x:c r="E22" s="27"/>
      <x:c r="F22" s="27"/>
      <x:c r="G22" s="27"/>
      <x:c r="H22" s="27"/>
      <x:c r="I22" s="27"/>
      <x:c r="J22" s="27" t="str"/>
      <x:c r="K22" s="27" t="str"/>
      <x:c r="L22" s="27" t="str"/>
      <x:c r="M22" s="27" t="str"/>
      <x:c r="N22" s="24"/>
      <x:c r="O22" s="24"/>
      <x:c r="P22" s="24"/>
      <x:c r="Q22" s="24"/>
      <x:c r="R22" s="24"/>
      <x:c r="S22" s="24"/>
      <x:c r="T22" s="24"/>
      <x:c r="U22" s="24"/>
      <x:c r="V22" s="24"/>
      <x:c r="W22" s="24"/>
      <x:c r="X22" s="24"/>
      <x:c r="Y22" s="24"/>
      <x:c r="Z22" s="24"/>
    </x:row>
    <x:row r="23">
      <x:c r="A23" s="27" t="str"/>
      <x:c r="B23" s="27" t="str"/>
      <x:c r="C23" s="27" t="str"/>
      <x:c r="D23" s="27" t="str"/>
      <x:c r="E23" s="27"/>
      <x:c r="F23" s="27"/>
      <x:c r="G23" s="27"/>
      <x:c r="H23" s="27"/>
      <x:c r="I23" s="27"/>
      <x:c r="J23" s="27" t="str"/>
      <x:c r="K23" s="27" t="str"/>
      <x:c r="L23" s="27" t="str"/>
      <x:c r="M23" s="27" t="str"/>
      <x:c r="N23" s="24"/>
      <x:c r="O23" s="24"/>
      <x:c r="P23" s="24"/>
      <x:c r="Q23" s="24"/>
      <x:c r="R23" s="24"/>
      <x:c r="S23" s="24"/>
      <x:c r="T23" s="24"/>
      <x:c r="U23" s="24"/>
      <x:c r="V23" s="24"/>
      <x:c r="W23" s="24"/>
      <x:c r="X23" s="24"/>
      <x:c r="Y23" s="24"/>
      <x:c r="Z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  <x:c r="L24" s="24"/>
      <x:c r="M24" s="24"/>
      <x:c r="N24" s="24"/>
      <x:c r="O24" s="24"/>
      <x:c r="P24" s="24"/>
      <x:c r="Q24" s="24"/>
      <x:c r="R24" s="24"/>
      <x:c r="S24" s="24"/>
      <x:c r="T24" s="24"/>
      <x:c r="U24" s="24"/>
      <x:c r="V24" s="24"/>
      <x:c r="W24" s="24"/>
      <x:c r="X24" s="24"/>
      <x:c r="Y24" s="24"/>
      <x:c r="Z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  <x:c r="K25" s="24"/>
      <x:c r="L25" s="24"/>
      <x:c r="M25" s="24"/>
      <x:c r="N25" s="24"/>
      <x:c r="O25" s="24"/>
      <x:c r="P25" s="24"/>
      <x:c r="Q25" s="24"/>
      <x:c r="R25" s="24"/>
      <x:c r="S25" s="24"/>
      <x:c r="T25" s="24"/>
      <x:c r="U25" s="24"/>
      <x:c r="V25" s="24"/>
      <x:c r="W25" s="24"/>
      <x:c r="X25" s="24"/>
      <x:c r="Y25" s="24"/>
      <x:c r="Z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  <x:c r="L26" s="24"/>
      <x:c r="M26" s="24"/>
      <x:c r="N26" s="24"/>
      <x:c r="O26" s="24"/>
      <x:c r="P26" s="24"/>
      <x:c r="Q26" s="24"/>
      <x:c r="R26" s="24"/>
      <x:c r="S26" s="24"/>
      <x:c r="T26" s="24"/>
      <x:c r="U26" s="24"/>
      <x:c r="V26" s="24"/>
      <x:c r="W26" s="24"/>
      <x:c r="X26" s="24"/>
      <x:c r="Y26" s="24"/>
      <x:c r="Z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  <x:c r="K27" s="24"/>
      <x:c r="L27" s="24"/>
      <x:c r="M27" s="24"/>
      <x:c r="N27" s="24"/>
      <x:c r="O27" s="24"/>
      <x:c r="P27" s="24"/>
      <x:c r="Q27" s="24"/>
      <x:c r="R27" s="24"/>
      <x:c r="S27" s="24"/>
      <x:c r="T27" s="24"/>
      <x:c r="U27" s="24"/>
      <x:c r="V27" s="24"/>
      <x:c r="W27" s="24"/>
      <x:c r="X27" s="24"/>
      <x:c r="Y27" s="24"/>
      <x:c r="Z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  <x:c r="K28" s="24"/>
      <x:c r="L28" s="24"/>
      <x:c r="M28" s="24"/>
      <x:c r="N28" s="24"/>
      <x:c r="O28" s="24"/>
      <x:c r="P28" s="24"/>
      <x:c r="Q28" s="24"/>
      <x:c r="R28" s="24"/>
      <x:c r="S28" s="24"/>
      <x:c r="T28" s="24"/>
      <x:c r="U28" s="24"/>
      <x:c r="V28" s="24"/>
      <x:c r="W28" s="24"/>
      <x:c r="X28" s="24"/>
      <x:c r="Y28" s="24"/>
      <x:c r="Z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  <x:c r="K29" s="24"/>
      <x:c r="L29" s="24"/>
      <x:c r="M29" s="24"/>
      <x:c r="N29" s="24"/>
      <x:c r="O29" s="24"/>
      <x:c r="P29" s="24"/>
      <x:c r="Q29" s="24"/>
      <x:c r="R29" s="24"/>
      <x:c r="S29" s="24"/>
      <x:c r="T29" s="24"/>
      <x:c r="U29" s="24"/>
      <x:c r="V29" s="24"/>
      <x:c r="W29" s="24"/>
      <x:c r="X29" s="24"/>
      <x:c r="Y29" s="24"/>
      <x:c r="Z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  <x:c r="K30" s="24"/>
      <x:c r="L30" s="24"/>
      <x:c r="M30" s="24"/>
      <x:c r="N30" s="24"/>
      <x:c r="O30" s="24"/>
      <x:c r="P30" s="24"/>
      <x:c r="Q30" s="24"/>
      <x:c r="R30" s="24"/>
      <x:c r="S30" s="24"/>
      <x:c r="T30" s="24"/>
      <x:c r="U30" s="24"/>
      <x:c r="V30" s="24"/>
      <x:c r="W30" s="24"/>
      <x:c r="X30" s="24"/>
      <x:c r="Y30" s="24"/>
      <x:c r="Z30" s="24"/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  <x:c r="K31" s="24"/>
      <x:c r="L31" s="24"/>
      <x:c r="M31" s="24"/>
      <x:c r="N31" s="24"/>
      <x:c r="O31" s="24"/>
      <x:c r="P31" s="24"/>
      <x:c r="Q31" s="24"/>
      <x:c r="R31" s="24"/>
      <x:c r="S31" s="24"/>
      <x:c r="T31" s="24"/>
      <x:c r="U31" s="24"/>
      <x:c r="V31" s="24"/>
      <x:c r="W31" s="24"/>
      <x:c r="X31" s="24"/>
      <x:c r="Y31" s="24"/>
      <x:c r="Z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  <x:c r="K32" s="24"/>
      <x:c r="L32" s="24"/>
      <x:c r="M32" s="24"/>
      <x:c r="N32" s="24"/>
      <x:c r="O32" s="24"/>
      <x:c r="P32" s="24"/>
      <x:c r="Q32" s="24"/>
      <x:c r="R32" s="24"/>
      <x:c r="S32" s="24"/>
      <x:c r="T32" s="24"/>
      <x:c r="U32" s="24"/>
      <x:c r="V32" s="24"/>
      <x:c r="W32" s="24"/>
      <x:c r="X32" s="24"/>
      <x:c r="Y32" s="24"/>
      <x:c r="Z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  <x:c r="L33" s="24"/>
      <x:c r="M33" s="24"/>
      <x:c r="N33" s="24"/>
      <x:c r="O33" s="24"/>
      <x:c r="P33" s="24"/>
      <x:c r="Q33" s="24"/>
      <x:c r="R33" s="24"/>
      <x:c r="S33" s="24"/>
      <x:c r="T33" s="24"/>
      <x:c r="U33" s="24"/>
      <x:c r="V33" s="24"/>
      <x:c r="W33" s="24"/>
      <x:c r="X33" s="24"/>
      <x:c r="Y33" s="24"/>
      <x:c r="Z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  <x:c r="K34" s="24"/>
      <x:c r="L34" s="24"/>
      <x:c r="M34" s="24"/>
      <x:c r="N34" s="24"/>
      <x:c r="O34" s="24"/>
      <x:c r="P34" s="24"/>
      <x:c r="Q34" s="24"/>
      <x:c r="R34" s="24"/>
      <x:c r="S34" s="24"/>
      <x:c r="T34" s="24"/>
      <x:c r="U34" s="24"/>
      <x:c r="V34" s="24"/>
      <x:c r="W34" s="24"/>
      <x:c r="X34" s="24"/>
      <x:c r="Y34" s="24"/>
      <x:c r="Z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  <x:c r="L35" s="24"/>
      <x:c r="M35" s="24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4"/>
      <x:c r="Z35" s="24"/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  <x:c r="K36" s="24"/>
      <x:c r="L36" s="24"/>
      <x:c r="M36" s="24"/>
      <x:c r="N36" s="24"/>
      <x:c r="O36" s="24"/>
      <x:c r="P36" s="24"/>
      <x:c r="Q36" s="24"/>
      <x:c r="R36" s="24"/>
      <x:c r="S36" s="24"/>
      <x:c r="T36" s="24"/>
      <x:c r="U36" s="24"/>
      <x:c r="V36" s="24"/>
      <x:c r="W36" s="24"/>
      <x:c r="X36" s="24"/>
      <x:c r="Y36" s="24"/>
      <x:c r="Z36" s="24"/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  <x:c r="L37" s="24"/>
      <x:c r="M37" s="24"/>
      <x:c r="N37" s="24"/>
      <x:c r="O37" s="24"/>
      <x:c r="P37" s="24"/>
      <x:c r="Q37" s="24"/>
      <x:c r="R37" s="24"/>
      <x:c r="S37" s="24"/>
      <x:c r="T37" s="24"/>
      <x:c r="U37" s="24"/>
      <x:c r="V37" s="24"/>
      <x:c r="W37" s="24"/>
      <x:c r="X37" s="24"/>
      <x:c r="Y37" s="24"/>
      <x:c r="Z37" s="24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  <x:c r="K38" s="24"/>
      <x:c r="L38" s="24"/>
      <x:c r="M38" s="24"/>
      <x:c r="N38" s="24"/>
      <x:c r="O38" s="24"/>
      <x:c r="P38" s="24"/>
      <x:c r="Q38" s="24"/>
      <x:c r="R38" s="24"/>
      <x:c r="S38" s="24"/>
      <x:c r="T38" s="24"/>
      <x:c r="U38" s="24"/>
      <x:c r="V38" s="24"/>
      <x:c r="W38" s="24"/>
      <x:c r="X38" s="24"/>
      <x:c r="Y38" s="24"/>
      <x:c r="Z38" s="24"/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  <x:c r="K39" s="24"/>
      <x:c r="L39" s="24"/>
      <x:c r="M39" s="24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4"/>
      <x:c r="Z39" s="24"/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  <x:c r="L40" s="24"/>
      <x:c r="M40" s="24"/>
      <x:c r="N40" s="24"/>
      <x:c r="O40" s="24"/>
      <x:c r="P40" s="24"/>
      <x:c r="Q40" s="24"/>
      <x:c r="R40" s="24"/>
      <x:c r="S40" s="24"/>
      <x:c r="T40" s="24"/>
      <x:c r="U40" s="24"/>
      <x:c r="V40" s="24"/>
      <x:c r="W40" s="24"/>
      <x:c r="X40" s="24"/>
      <x:c r="Y40" s="24"/>
      <x:c r="Z40" s="24"/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  <x:c r="K41" s="24"/>
      <x:c r="L41" s="24"/>
      <x:c r="M41" s="24"/>
      <x:c r="N41" s="24"/>
      <x:c r="O41" s="24"/>
      <x:c r="P41" s="24"/>
      <x:c r="Q41" s="24"/>
      <x:c r="R41" s="24"/>
      <x:c r="S41" s="24"/>
      <x:c r="T41" s="24"/>
      <x:c r="U41" s="24"/>
      <x:c r="V41" s="24"/>
      <x:c r="W41" s="24"/>
      <x:c r="X41" s="24"/>
      <x:c r="Y41" s="24"/>
      <x:c r="Z41" s="24"/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  <x:c r="L42" s="24"/>
      <x:c r="M42" s="24"/>
      <x:c r="N42" s="24"/>
      <x:c r="O42" s="24"/>
      <x:c r="P42" s="24"/>
      <x:c r="Q42" s="24"/>
      <x:c r="R42" s="24"/>
      <x:c r="S42" s="24"/>
      <x:c r="T42" s="24"/>
      <x:c r="U42" s="24"/>
      <x:c r="V42" s="24"/>
      <x:c r="W42" s="24"/>
      <x:c r="X42" s="24"/>
      <x:c r="Y42" s="24"/>
      <x:c r="Z42" s="24"/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  <x:c r="L43" s="24"/>
      <x:c r="M43" s="24"/>
      <x:c r="N43" s="24"/>
      <x:c r="O43" s="24"/>
      <x:c r="P43" s="24"/>
      <x:c r="Q43" s="24"/>
      <x:c r="R43" s="24"/>
      <x:c r="S43" s="24"/>
      <x:c r="T43" s="24"/>
      <x:c r="U43" s="24"/>
      <x:c r="V43" s="24"/>
      <x:c r="W43" s="24"/>
      <x:c r="X43" s="24"/>
      <x:c r="Y43" s="24"/>
      <x:c r="Z43" s="24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  <x:c r="L44" s="24"/>
      <x:c r="M44" s="24"/>
      <x:c r="N44" s="24"/>
      <x:c r="O44" s="24"/>
      <x:c r="P44" s="24"/>
      <x:c r="Q44" s="24"/>
      <x:c r="R44" s="24"/>
      <x:c r="S44" s="24"/>
      <x:c r="T44" s="24"/>
      <x:c r="U44" s="24"/>
      <x:c r="V44" s="24"/>
      <x:c r="W44" s="24"/>
      <x:c r="X44" s="24"/>
      <x:c r="Y44" s="24"/>
      <x:c r="Z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  <x:c r="L45" s="24"/>
      <x:c r="M45" s="24"/>
      <x:c r="N45" s="24"/>
      <x:c r="O45" s="24"/>
      <x:c r="P45" s="24"/>
      <x:c r="Q45" s="24"/>
      <x:c r="R45" s="24"/>
      <x:c r="S45" s="24"/>
      <x:c r="T45" s="24"/>
      <x:c r="U45" s="24"/>
      <x:c r="V45" s="24"/>
      <x:c r="W45" s="24"/>
      <x:c r="X45" s="24"/>
      <x:c r="Y45" s="24"/>
      <x:c r="Z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  <x:c r="L46" s="24"/>
      <x:c r="M46" s="24"/>
      <x:c r="N46" s="24"/>
      <x:c r="O46" s="24"/>
      <x:c r="P46" s="24"/>
      <x:c r="Q46" s="24"/>
      <x:c r="R46" s="24"/>
      <x:c r="S46" s="24"/>
      <x:c r="T46" s="24"/>
      <x:c r="U46" s="24"/>
      <x:c r="V46" s="24"/>
      <x:c r="W46" s="24"/>
      <x:c r="X46" s="24"/>
      <x:c r="Y46" s="24"/>
      <x:c r="Z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  <x:c r="L47" s="24"/>
      <x:c r="M47" s="24"/>
      <x:c r="N47" s="24"/>
      <x:c r="O47" s="24"/>
      <x:c r="P47" s="24"/>
      <x:c r="Q47" s="24"/>
      <x:c r="R47" s="24"/>
      <x:c r="S47" s="24"/>
      <x:c r="T47" s="24"/>
      <x:c r="U47" s="24"/>
      <x:c r="V47" s="24"/>
      <x:c r="W47" s="24"/>
      <x:c r="X47" s="24"/>
      <x:c r="Y47" s="24"/>
      <x:c r="Z47" s="24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  <x:c r="L48" s="24"/>
      <x:c r="M48" s="24"/>
      <x:c r="N48" s="24"/>
      <x:c r="O48" s="24"/>
      <x:c r="P48" s="24"/>
      <x:c r="Q48" s="24"/>
      <x:c r="R48" s="24"/>
      <x:c r="S48" s="24"/>
      <x:c r="T48" s="24"/>
      <x:c r="U48" s="24"/>
      <x:c r="V48" s="24"/>
      <x:c r="W48" s="24"/>
      <x:c r="X48" s="24"/>
      <x:c r="Y48" s="24"/>
      <x:c r="Z48" s="24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  <x:c r="L49" s="24"/>
      <x:c r="M49" s="24"/>
      <x:c r="N49" s="24"/>
      <x:c r="O49" s="24"/>
      <x:c r="P49" s="24"/>
      <x:c r="Q49" s="24"/>
      <x:c r="R49" s="24"/>
      <x:c r="S49" s="24"/>
      <x:c r="T49" s="24"/>
      <x:c r="U49" s="24"/>
      <x:c r="V49" s="24"/>
      <x:c r="W49" s="24"/>
      <x:c r="X49" s="24"/>
      <x:c r="Y49" s="24"/>
      <x:c r="Z49" s="24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  <x:c r="L50" s="24"/>
      <x:c r="M50" s="24"/>
      <x:c r="N50" s="24"/>
      <x:c r="O50" s="24"/>
      <x:c r="P50" s="24"/>
      <x:c r="Q50" s="24"/>
      <x:c r="R50" s="24"/>
      <x:c r="S50" s="24"/>
      <x:c r="T50" s="24"/>
      <x:c r="U50" s="24"/>
      <x:c r="V50" s="24"/>
      <x:c r="W50" s="24"/>
      <x:c r="X50" s="24"/>
      <x:c r="Y50" s="24"/>
      <x:c r="Z50" s="24"/>
    </x:row>
    <x:row r="51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  <x:c r="K51" s="24"/>
      <x:c r="L51" s="24"/>
      <x:c r="M51" s="24"/>
      <x:c r="N51" s="24"/>
      <x:c r="O51" s="24"/>
      <x:c r="P51" s="24"/>
      <x:c r="Q51" s="24"/>
      <x:c r="R51" s="24"/>
      <x:c r="S51" s="24"/>
      <x:c r="T51" s="24"/>
      <x:c r="U51" s="24"/>
      <x:c r="V51" s="24"/>
      <x:c r="W51" s="24"/>
      <x:c r="X51" s="24"/>
      <x:c r="Y51" s="24"/>
      <x:c r="Z51" s="24"/>
    </x:row>
    <x:row r="52">
      <x:c r="A52" s="24"/>
      <x:c r="B52" s="24"/>
      <x:c r="C52" s="24"/>
      <x:c r="D52" s="24"/>
      <x:c r="E52" s="24"/>
      <x:c r="F52" s="24"/>
      <x:c r="G52" s="24"/>
      <x:c r="H52" s="24"/>
      <x:c r="I52" s="24"/>
      <x:c r="J52" s="24"/>
      <x:c r="K52" s="24"/>
      <x:c r="L52" s="24"/>
      <x:c r="M52" s="24"/>
      <x:c r="N52" s="24"/>
      <x:c r="O52" s="24"/>
      <x:c r="P52" s="24"/>
      <x:c r="Q52" s="24"/>
      <x:c r="R52" s="24"/>
      <x:c r="S52" s="24"/>
      <x:c r="T52" s="24"/>
      <x:c r="U52" s="24"/>
      <x:c r="V52" s="24"/>
      <x:c r="W52" s="24"/>
      <x:c r="X52" s="24"/>
      <x:c r="Y52" s="24"/>
      <x:c r="Z52" s="24"/>
    </x:row>
    <x:row r="53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  <x:c r="K53" s="24"/>
      <x:c r="L53" s="24"/>
      <x:c r="M53" s="24"/>
      <x:c r="N53" s="24"/>
      <x:c r="O53" s="24"/>
      <x:c r="P53" s="24"/>
      <x:c r="Q53" s="24"/>
      <x:c r="R53" s="24"/>
      <x:c r="S53" s="24"/>
      <x:c r="T53" s="24"/>
      <x:c r="U53" s="24"/>
      <x:c r="V53" s="24"/>
      <x:c r="W53" s="24"/>
      <x:c r="X53" s="24"/>
      <x:c r="Y53" s="24"/>
      <x:c r="Z53" s="24"/>
    </x:row>
    <x:row r="54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  <x:c r="K54" s="24"/>
      <x:c r="L54" s="24"/>
      <x:c r="M54" s="24"/>
      <x:c r="N54" s="24"/>
      <x:c r="O54" s="24"/>
      <x:c r="P54" s="24"/>
      <x:c r="Q54" s="24"/>
      <x:c r="R54" s="24"/>
      <x:c r="S54" s="24"/>
      <x:c r="T54" s="24"/>
      <x:c r="U54" s="24"/>
      <x:c r="V54" s="24"/>
      <x:c r="W54" s="24"/>
      <x:c r="X54" s="24"/>
      <x:c r="Y54" s="24"/>
      <x:c r="Z54" s="24"/>
    </x:row>
    <x:row r="55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  <x:c r="K55" s="24"/>
      <x:c r="L55" s="24"/>
      <x:c r="M55" s="24"/>
      <x:c r="N55" s="24"/>
      <x:c r="O55" s="24"/>
      <x:c r="P55" s="24"/>
      <x:c r="Q55" s="24"/>
      <x:c r="R55" s="24"/>
      <x:c r="S55" s="24"/>
      <x:c r="T55" s="24"/>
      <x:c r="U55" s="24"/>
      <x:c r="V55" s="24"/>
      <x:c r="W55" s="24"/>
      <x:c r="X55" s="24"/>
      <x:c r="Y55" s="24"/>
      <x:c r="Z55" s="24"/>
    </x:row>
    <x:row r="56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  <x:c r="K56" s="24"/>
      <x:c r="L56" s="24"/>
      <x:c r="M56" s="24"/>
      <x:c r="N56" s="24"/>
      <x:c r="O56" s="24"/>
      <x:c r="P56" s="24"/>
      <x:c r="Q56" s="24"/>
      <x:c r="R56" s="24"/>
      <x:c r="S56" s="24"/>
      <x:c r="T56" s="24"/>
      <x:c r="U56" s="24"/>
      <x:c r="V56" s="24"/>
      <x:c r="W56" s="24"/>
      <x:c r="X56" s="24"/>
      <x:c r="Y56" s="24"/>
      <x:c r="Z56" s="24"/>
    </x:row>
    <x:row r="57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  <x:c r="K57" s="24"/>
      <x:c r="L57" s="24"/>
      <x:c r="M57" s="24"/>
      <x:c r="N57" s="24"/>
      <x:c r="O57" s="24"/>
      <x:c r="P57" s="24"/>
      <x:c r="Q57" s="24"/>
      <x:c r="R57" s="24"/>
      <x:c r="S57" s="24"/>
      <x:c r="T57" s="24"/>
      <x:c r="U57" s="24"/>
      <x:c r="V57" s="24"/>
      <x:c r="W57" s="24"/>
      <x:c r="X57" s="24"/>
      <x:c r="Y57" s="24"/>
      <x:c r="Z57" s="24"/>
    </x:row>
    <x:row r="58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24"/>
      <x:c r="O58" s="24"/>
      <x:c r="P58" s="24"/>
      <x:c r="Q58" s="24"/>
      <x:c r="R58" s="24"/>
      <x:c r="S58" s="24"/>
      <x:c r="T58" s="24"/>
      <x:c r="U58" s="24"/>
      <x:c r="V58" s="24"/>
      <x:c r="W58" s="24"/>
      <x:c r="X58" s="24"/>
      <x:c r="Y58" s="24"/>
      <x:c r="Z58" s="24"/>
    </x:row>
    <x:row r="59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24"/>
      <x:c r="O59" s="24"/>
      <x:c r="P59" s="24"/>
      <x:c r="Q59" s="24"/>
      <x:c r="R59" s="24"/>
      <x:c r="S59" s="24"/>
      <x:c r="T59" s="24"/>
      <x:c r="U59" s="24"/>
      <x:c r="V59" s="24"/>
      <x:c r="W59" s="24"/>
      <x:c r="X59" s="24"/>
      <x:c r="Y59" s="24"/>
      <x:c r="Z59" s="24"/>
    </x:row>
    <x:row r="60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  <x:c r="K60" s="24"/>
      <x:c r="L60" s="24"/>
      <x:c r="M60" s="24"/>
      <x:c r="N60" s="24"/>
      <x:c r="O60" s="24"/>
      <x:c r="P60" s="24"/>
      <x:c r="Q60" s="24"/>
      <x:c r="R60" s="24"/>
      <x:c r="S60" s="24"/>
      <x:c r="T60" s="24"/>
      <x:c r="U60" s="24"/>
      <x:c r="V60" s="24"/>
      <x:c r="W60" s="24"/>
      <x:c r="X60" s="24"/>
      <x:c r="Y60" s="24"/>
      <x:c r="Z60" s="24"/>
    </x:row>
    <x:row r="6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  <x:c r="K61" s="24"/>
      <x:c r="L61" s="24"/>
      <x:c r="M61" s="24"/>
      <x:c r="N61" s="24"/>
      <x:c r="O61" s="24"/>
      <x:c r="P61" s="24"/>
      <x:c r="Q61" s="24"/>
      <x:c r="R61" s="24"/>
      <x:c r="S61" s="24"/>
      <x:c r="T61" s="24"/>
      <x:c r="U61" s="24"/>
      <x:c r="V61" s="24"/>
      <x:c r="W61" s="24"/>
      <x:c r="X61" s="24"/>
      <x:c r="Y61" s="24"/>
      <x:c r="Z61" s="24"/>
    </x:row>
    <x:row r="62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  <x:c r="K62" s="24"/>
      <x:c r="L62" s="24"/>
      <x:c r="M62" s="24"/>
      <x:c r="N62" s="24"/>
      <x:c r="O62" s="24"/>
      <x:c r="P62" s="24"/>
      <x:c r="Q62" s="24"/>
      <x:c r="R62" s="24"/>
      <x:c r="S62" s="24"/>
      <x:c r="T62" s="24"/>
      <x:c r="U62" s="24"/>
      <x:c r="V62" s="24"/>
      <x:c r="W62" s="24"/>
      <x:c r="X62" s="24"/>
      <x:c r="Y62" s="24"/>
      <x:c r="Z62" s="24"/>
    </x:row>
    <x:row r="63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  <x:c r="K63" s="24"/>
      <x:c r="L63" s="24"/>
      <x:c r="M63" s="24"/>
      <x:c r="N63" s="24"/>
      <x:c r="O63" s="24"/>
      <x:c r="P63" s="24"/>
      <x:c r="Q63" s="24"/>
      <x:c r="R63" s="24"/>
      <x:c r="S63" s="24"/>
      <x:c r="T63" s="24"/>
      <x:c r="U63" s="24"/>
      <x:c r="V63" s="24"/>
      <x:c r="W63" s="24"/>
      <x:c r="X63" s="24"/>
      <x:c r="Y63" s="24"/>
      <x:c r="Z63" s="24"/>
    </x:row>
    <x:row r="64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  <x:c r="K64" s="24"/>
      <x:c r="L64" s="24"/>
      <x:c r="M64" s="24"/>
      <x:c r="N64" s="24"/>
      <x:c r="O64" s="24"/>
      <x:c r="P64" s="24"/>
      <x:c r="Q64" s="24"/>
      <x:c r="R64" s="24"/>
      <x:c r="S64" s="24"/>
      <x:c r="T64" s="24"/>
      <x:c r="U64" s="24"/>
      <x:c r="V64" s="24"/>
      <x:c r="W64" s="24"/>
      <x:c r="X64" s="24"/>
      <x:c r="Y64" s="24"/>
      <x:c r="Z64" s="24"/>
    </x:row>
    <x:row r="65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  <x:c r="K65" s="24"/>
      <x:c r="L65" s="24"/>
      <x:c r="M65" s="24"/>
      <x:c r="N65" s="24"/>
      <x:c r="O65" s="24"/>
      <x:c r="P65" s="24"/>
      <x:c r="Q65" s="24"/>
      <x:c r="R65" s="24"/>
      <x:c r="S65" s="24"/>
      <x:c r="T65" s="24"/>
      <x:c r="U65" s="24"/>
      <x:c r="V65" s="24"/>
      <x:c r="W65" s="24"/>
      <x:c r="X65" s="24"/>
      <x:c r="Y65" s="24"/>
      <x:c r="Z65" s="24"/>
    </x:row>
    <x:row r="66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  <x:c r="K66" s="24"/>
      <x:c r="L66" s="24"/>
      <x:c r="M66" s="24"/>
      <x:c r="N66" s="24"/>
      <x:c r="O66" s="24"/>
      <x:c r="P66" s="24"/>
      <x:c r="Q66" s="24"/>
      <x:c r="R66" s="24"/>
      <x:c r="S66" s="24"/>
      <x:c r="T66" s="24"/>
      <x:c r="U66" s="24"/>
      <x:c r="V66" s="24"/>
      <x:c r="W66" s="24"/>
      <x:c r="X66" s="24"/>
      <x:c r="Y66" s="24"/>
      <x:c r="Z66" s="24"/>
    </x:row>
    <x:row r="67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  <x:c r="K67" s="24"/>
      <x:c r="L67" s="24"/>
      <x:c r="M67" s="24"/>
      <x:c r="N67" s="24"/>
      <x:c r="O67" s="24"/>
      <x:c r="P67" s="24"/>
      <x:c r="Q67" s="24"/>
      <x:c r="R67" s="24"/>
      <x:c r="S67" s="24"/>
      <x:c r="T67" s="24"/>
      <x:c r="U67" s="24"/>
      <x:c r="V67" s="24"/>
      <x:c r="W67" s="24"/>
      <x:c r="X67" s="24"/>
      <x:c r="Y67" s="24"/>
      <x:c r="Z67" s="24"/>
    </x:row>
    <x:row r="68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  <x:c r="K68" s="24"/>
      <x:c r="L68" s="24"/>
      <x:c r="M68" s="24"/>
      <x:c r="N68" s="24"/>
      <x:c r="O68" s="24"/>
      <x:c r="P68" s="24"/>
      <x:c r="Q68" s="24"/>
      <x:c r="R68" s="24"/>
      <x:c r="S68" s="24"/>
      <x:c r="T68" s="24"/>
      <x:c r="U68" s="24"/>
      <x:c r="V68" s="24"/>
      <x:c r="W68" s="24"/>
      <x:c r="X68" s="24"/>
      <x:c r="Y68" s="24"/>
      <x:c r="Z68" s="24"/>
    </x:row>
    <x:row r="69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  <x:c r="K69" s="24"/>
      <x:c r="L69" s="24"/>
      <x:c r="M69" s="24"/>
      <x:c r="N69" s="24"/>
      <x:c r="O69" s="24"/>
      <x:c r="P69" s="24"/>
      <x:c r="Q69" s="24"/>
      <x:c r="R69" s="24"/>
      <x:c r="S69" s="24"/>
      <x:c r="T69" s="24"/>
      <x:c r="U69" s="24"/>
      <x:c r="V69" s="24"/>
      <x:c r="W69" s="24"/>
      <x:c r="X69" s="24"/>
      <x:c r="Y69" s="24"/>
      <x:c r="Z69" s="24"/>
    </x:row>
    <x:row r="70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  <x:c r="K70" s="24"/>
      <x:c r="L70" s="24"/>
      <x:c r="M70" s="24"/>
      <x:c r="N70" s="24"/>
      <x:c r="O70" s="24"/>
      <x:c r="P70" s="24"/>
      <x:c r="Q70" s="24"/>
      <x:c r="R70" s="24"/>
      <x:c r="S70" s="24"/>
      <x:c r="T70" s="24"/>
      <x:c r="U70" s="24"/>
      <x:c r="V70" s="24"/>
      <x:c r="W70" s="24"/>
      <x:c r="X70" s="24"/>
      <x:c r="Y70" s="24"/>
      <x:c r="Z70" s="24"/>
    </x:row>
    <x:row r="71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24"/>
      <x:c r="O71" s="24"/>
      <x:c r="P71" s="24"/>
      <x:c r="Q71" s="24"/>
      <x:c r="R71" s="24"/>
      <x:c r="S71" s="24"/>
      <x:c r="T71" s="24"/>
      <x:c r="U71" s="24"/>
      <x:c r="V71" s="24"/>
      <x:c r="W71" s="24"/>
      <x:c r="X71" s="24"/>
      <x:c r="Y71" s="24"/>
      <x:c r="Z71" s="24"/>
    </x:row>
    <x:row r="72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24"/>
      <x:c r="O72" s="24"/>
      <x:c r="P72" s="24"/>
      <x:c r="Q72" s="24"/>
      <x:c r="R72" s="24"/>
      <x:c r="S72" s="24"/>
      <x:c r="T72" s="24"/>
      <x:c r="U72" s="24"/>
      <x:c r="V72" s="24"/>
      <x:c r="W72" s="24"/>
      <x:c r="X72" s="24"/>
      <x:c r="Y72" s="24"/>
      <x:c r="Z72" s="24"/>
    </x:row>
    <x:row r="73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  <x:c r="K73" s="24"/>
      <x:c r="L73" s="24"/>
      <x:c r="M73" s="24"/>
      <x:c r="N73" s="24"/>
      <x:c r="O73" s="24"/>
      <x:c r="P73" s="24"/>
      <x:c r="Q73" s="24"/>
      <x:c r="R73" s="24"/>
      <x:c r="S73" s="24"/>
      <x:c r="T73" s="24"/>
      <x:c r="U73" s="24"/>
      <x:c r="V73" s="24"/>
      <x:c r="W73" s="24"/>
      <x:c r="X73" s="24"/>
      <x:c r="Y73" s="24"/>
      <x:c r="Z73" s="24"/>
    </x:row>
    <x:row r="74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  <x:c r="K74" s="24"/>
      <x:c r="L74" s="24"/>
      <x:c r="M74" s="24"/>
      <x:c r="N74" s="24"/>
      <x:c r="O74" s="24"/>
      <x:c r="P74" s="24"/>
      <x:c r="Q74" s="24"/>
      <x:c r="R74" s="24"/>
      <x:c r="S74" s="24"/>
      <x:c r="T74" s="24"/>
      <x:c r="U74" s="24"/>
      <x:c r="V74" s="24"/>
      <x:c r="W74" s="24"/>
      <x:c r="X74" s="24"/>
      <x:c r="Y74" s="24"/>
      <x:c r="Z74" s="24"/>
    </x:row>
    <x:row r="75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  <x:c r="K75" s="24"/>
      <x:c r="L75" s="24"/>
      <x:c r="M75" s="24"/>
      <x:c r="N75" s="24"/>
      <x:c r="O75" s="24"/>
      <x:c r="P75" s="24"/>
      <x:c r="Q75" s="24"/>
      <x:c r="R75" s="24"/>
      <x:c r="S75" s="24"/>
      <x:c r="T75" s="24"/>
      <x:c r="U75" s="24"/>
      <x:c r="V75" s="24"/>
      <x:c r="W75" s="24"/>
      <x:c r="X75" s="24"/>
      <x:c r="Y75" s="24"/>
      <x:c r="Z75" s="24"/>
    </x:row>
    <x:row r="76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  <x:c r="K76" s="24"/>
      <x:c r="L76" s="24"/>
      <x:c r="M76" s="24"/>
      <x:c r="N76" s="24"/>
      <x:c r="O76" s="24"/>
      <x:c r="P76" s="24"/>
      <x:c r="Q76" s="24"/>
      <x:c r="R76" s="24"/>
      <x:c r="S76" s="24"/>
      <x:c r="T76" s="24"/>
      <x:c r="U76" s="24"/>
      <x:c r="V76" s="24"/>
      <x:c r="W76" s="24"/>
      <x:c r="X76" s="24"/>
      <x:c r="Y76" s="24"/>
      <x:c r="Z76" s="24"/>
    </x:row>
    <x:row r="77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  <x:c r="K77" s="24"/>
      <x:c r="L77" s="24"/>
      <x:c r="M77" s="24"/>
      <x:c r="N77" s="24"/>
      <x:c r="O77" s="24"/>
      <x:c r="P77" s="24"/>
      <x:c r="Q77" s="24"/>
      <x:c r="R77" s="24"/>
      <x:c r="S77" s="24"/>
      <x:c r="T77" s="24"/>
      <x:c r="U77" s="24"/>
      <x:c r="V77" s="24"/>
      <x:c r="W77" s="24"/>
      <x:c r="X77" s="24"/>
      <x:c r="Y77" s="24"/>
      <x:c r="Z77" s="24"/>
    </x:row>
    <x:row r="78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  <x:c r="K78" s="24"/>
      <x:c r="L78" s="24"/>
      <x:c r="M78" s="24"/>
      <x:c r="N78" s="24"/>
      <x:c r="O78" s="24"/>
      <x:c r="P78" s="24"/>
      <x:c r="Q78" s="24"/>
      <x:c r="R78" s="24"/>
      <x:c r="S78" s="24"/>
      <x:c r="T78" s="24"/>
      <x:c r="U78" s="24"/>
      <x:c r="V78" s="24"/>
      <x:c r="W78" s="24"/>
      <x:c r="X78" s="24"/>
      <x:c r="Y78" s="24"/>
      <x:c r="Z78" s="24"/>
    </x:row>
    <x:row r="79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  <x:c r="K79" s="24"/>
      <x:c r="L79" s="24"/>
      <x:c r="M79" s="24"/>
      <x:c r="N79" s="24"/>
      <x:c r="O79" s="24"/>
      <x:c r="P79" s="24"/>
      <x:c r="Q79" s="24"/>
      <x:c r="R79" s="24"/>
      <x:c r="S79" s="24"/>
      <x:c r="T79" s="24"/>
      <x:c r="U79" s="24"/>
      <x:c r="V79" s="24"/>
      <x:c r="W79" s="24"/>
      <x:c r="X79" s="24"/>
      <x:c r="Y79" s="24"/>
      <x:c r="Z79" s="24"/>
    </x:row>
    <x:row r="80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  <x:c r="K80" s="24"/>
      <x:c r="L80" s="24"/>
      <x:c r="M80" s="24"/>
      <x:c r="N80" s="24"/>
      <x:c r="O80" s="24"/>
      <x:c r="P80" s="24"/>
      <x:c r="Q80" s="24"/>
      <x:c r="R80" s="24"/>
      <x:c r="S80" s="24"/>
      <x:c r="T80" s="24"/>
      <x:c r="U80" s="24"/>
      <x:c r="V80" s="24"/>
      <x:c r="W80" s="24"/>
      <x:c r="X80" s="24"/>
      <x:c r="Y80" s="24"/>
      <x:c r="Z80" s="24"/>
    </x:row>
    <x:row r="81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  <x:c r="K81" s="24"/>
      <x:c r="L81" s="24"/>
      <x:c r="M81" s="24"/>
      <x:c r="N81" s="24"/>
      <x:c r="O81" s="24"/>
      <x:c r="P81" s="24"/>
      <x:c r="Q81" s="24"/>
      <x:c r="R81" s="24"/>
      <x:c r="S81" s="24"/>
      <x:c r="T81" s="24"/>
      <x:c r="U81" s="24"/>
      <x:c r="V81" s="24"/>
      <x:c r="W81" s="24"/>
      <x:c r="X81" s="24"/>
      <x:c r="Y81" s="24"/>
      <x:c r="Z81" s="24"/>
    </x:row>
    <x:row r="82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  <x:c r="K82" s="24"/>
      <x:c r="L82" s="24"/>
      <x:c r="M82" s="24"/>
      <x:c r="N82" s="24"/>
      <x:c r="O82" s="24"/>
      <x:c r="P82" s="24"/>
      <x:c r="Q82" s="24"/>
      <x:c r="R82" s="24"/>
      <x:c r="S82" s="24"/>
      <x:c r="T82" s="24"/>
      <x:c r="U82" s="24"/>
      <x:c r="V82" s="24"/>
      <x:c r="W82" s="24"/>
      <x:c r="X82" s="24"/>
      <x:c r="Y82" s="24"/>
      <x:c r="Z82" s="24"/>
    </x:row>
    <x:row r="83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  <x:c r="K83" s="24"/>
      <x:c r="L83" s="24"/>
      <x:c r="M83" s="24"/>
      <x:c r="N83" s="24"/>
      <x:c r="O83" s="24"/>
      <x:c r="P83" s="24"/>
      <x:c r="Q83" s="24"/>
      <x:c r="R83" s="24"/>
      <x:c r="S83" s="24"/>
      <x:c r="T83" s="24"/>
      <x:c r="U83" s="24"/>
      <x:c r="V83" s="24"/>
      <x:c r="W83" s="24"/>
      <x:c r="X83" s="24"/>
      <x:c r="Y83" s="24"/>
      <x:c r="Z83" s="24"/>
    </x:row>
    <x:row r="84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24"/>
      <x:c r="O84" s="24"/>
      <x:c r="P84" s="24"/>
      <x:c r="Q84" s="24"/>
      <x:c r="R84" s="24"/>
      <x:c r="S84" s="24"/>
      <x:c r="T84" s="24"/>
      <x:c r="U84" s="24"/>
      <x:c r="V84" s="24"/>
      <x:c r="W84" s="24"/>
      <x:c r="X84" s="24"/>
      <x:c r="Y84" s="24"/>
      <x:c r="Z84" s="24"/>
    </x:row>
    <x:row r="85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24"/>
      <x:c r="O85" s="24"/>
      <x:c r="P85" s="24"/>
      <x:c r="Q85" s="24"/>
      <x:c r="R85" s="24"/>
      <x:c r="S85" s="24"/>
      <x:c r="T85" s="24"/>
      <x:c r="U85" s="24"/>
      <x:c r="V85" s="24"/>
      <x:c r="W85" s="24"/>
      <x:c r="X85" s="24"/>
      <x:c r="Y85" s="24"/>
      <x:c r="Z85" s="24"/>
    </x:row>
    <x:row r="86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  <x:c r="K86" s="24"/>
      <x:c r="L86" s="24"/>
      <x:c r="M86" s="24"/>
      <x:c r="N86" s="24"/>
      <x:c r="O86" s="24"/>
      <x:c r="P86" s="24"/>
      <x:c r="Q86" s="24"/>
      <x:c r="R86" s="24"/>
      <x:c r="S86" s="24"/>
      <x:c r="T86" s="24"/>
      <x:c r="U86" s="24"/>
      <x:c r="V86" s="24"/>
      <x:c r="W86" s="24"/>
      <x:c r="X86" s="24"/>
      <x:c r="Y86" s="24"/>
      <x:c r="Z86" s="24"/>
    </x:row>
    <x:row r="87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  <x:c r="K87" s="24"/>
      <x:c r="L87" s="24"/>
      <x:c r="M87" s="24"/>
      <x:c r="N87" s="24"/>
      <x:c r="O87" s="24"/>
      <x:c r="P87" s="24"/>
      <x:c r="Q87" s="24"/>
      <x:c r="R87" s="24"/>
      <x:c r="S87" s="24"/>
      <x:c r="T87" s="24"/>
      <x:c r="U87" s="24"/>
      <x:c r="V87" s="24"/>
      <x:c r="W87" s="24"/>
      <x:c r="X87" s="24"/>
      <x:c r="Y87" s="24"/>
      <x:c r="Z87" s="24"/>
    </x:row>
    <x:row r="88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  <x:c r="K88" s="24"/>
      <x:c r="L88" s="24"/>
      <x:c r="M88" s="24"/>
      <x:c r="N88" s="24"/>
      <x:c r="O88" s="24"/>
      <x:c r="P88" s="24"/>
      <x:c r="Q88" s="24"/>
      <x:c r="R88" s="24"/>
      <x:c r="S88" s="24"/>
      <x:c r="T88" s="24"/>
      <x:c r="U88" s="24"/>
      <x:c r="V88" s="24"/>
      <x:c r="W88" s="24"/>
      <x:c r="X88" s="24"/>
      <x:c r="Y88" s="24"/>
      <x:c r="Z88" s="24"/>
    </x:row>
    <x:row r="89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  <x:c r="K89" s="24"/>
      <x:c r="L89" s="24"/>
      <x:c r="M89" s="24"/>
      <x:c r="N89" s="24"/>
      <x:c r="O89" s="24"/>
      <x:c r="P89" s="24"/>
      <x:c r="Q89" s="24"/>
      <x:c r="R89" s="24"/>
      <x:c r="S89" s="24"/>
      <x:c r="T89" s="24"/>
      <x:c r="U89" s="24"/>
      <x:c r="V89" s="24"/>
      <x:c r="W89" s="24"/>
      <x:c r="X89" s="24"/>
      <x:c r="Y89" s="24"/>
      <x:c r="Z89" s="24"/>
    </x:row>
    <x:row r="90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  <x:c r="K90" s="24"/>
      <x:c r="L90" s="24"/>
      <x:c r="M90" s="24"/>
      <x:c r="N90" s="24"/>
      <x:c r="O90" s="24"/>
      <x:c r="P90" s="24"/>
      <x:c r="Q90" s="24"/>
      <x:c r="R90" s="24"/>
      <x:c r="S90" s="24"/>
      <x:c r="T90" s="24"/>
      <x:c r="U90" s="24"/>
      <x:c r="V90" s="24"/>
      <x:c r="W90" s="24"/>
      <x:c r="X90" s="24"/>
      <x:c r="Y90" s="24"/>
      <x:c r="Z90" s="24"/>
    </x:row>
    <x:row r="91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  <x:c r="K91" s="24"/>
      <x:c r="L91" s="24"/>
      <x:c r="M91" s="24"/>
      <x:c r="N91" s="24"/>
      <x:c r="O91" s="24"/>
      <x:c r="P91" s="24"/>
      <x:c r="Q91" s="24"/>
      <x:c r="R91" s="24"/>
      <x:c r="S91" s="24"/>
      <x:c r="T91" s="24"/>
      <x:c r="U91" s="24"/>
      <x:c r="V91" s="24"/>
      <x:c r="W91" s="24"/>
      <x:c r="X91" s="24"/>
      <x:c r="Y91" s="24"/>
      <x:c r="Z91" s="24"/>
    </x:row>
    <x:row r="92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  <x:c r="K92" s="24"/>
      <x:c r="L92" s="24"/>
      <x:c r="M92" s="24"/>
      <x:c r="N92" s="24"/>
      <x:c r="O92" s="24"/>
      <x:c r="P92" s="24"/>
      <x:c r="Q92" s="24"/>
      <x:c r="R92" s="24"/>
      <x:c r="S92" s="24"/>
      <x:c r="T92" s="24"/>
      <x:c r="U92" s="24"/>
      <x:c r="V92" s="24"/>
      <x:c r="W92" s="24"/>
      <x:c r="X92" s="24"/>
      <x:c r="Y92" s="24"/>
      <x:c r="Z92" s="24"/>
    </x:row>
    <x:row r="93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  <x:c r="K93" s="24"/>
      <x:c r="L93" s="24"/>
      <x:c r="M93" s="24"/>
      <x:c r="N93" s="24"/>
      <x:c r="O93" s="24"/>
      <x:c r="P93" s="24"/>
      <x:c r="Q93" s="24"/>
      <x:c r="R93" s="24"/>
      <x:c r="S93" s="24"/>
      <x:c r="T93" s="24"/>
      <x:c r="U93" s="24"/>
      <x:c r="V93" s="24"/>
      <x:c r="W93" s="24"/>
      <x:c r="X93" s="24"/>
      <x:c r="Y93" s="24"/>
      <x:c r="Z93" s="24"/>
    </x:row>
    <x:row r="94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  <x:c r="K94" s="24"/>
      <x:c r="L94" s="24"/>
      <x:c r="M94" s="24"/>
      <x:c r="N94" s="24"/>
      <x:c r="O94" s="24"/>
      <x:c r="P94" s="24"/>
      <x:c r="Q94" s="24"/>
      <x:c r="R94" s="24"/>
      <x:c r="S94" s="24"/>
      <x:c r="T94" s="24"/>
      <x:c r="U94" s="24"/>
      <x:c r="V94" s="24"/>
      <x:c r="W94" s="24"/>
      <x:c r="X94" s="24"/>
      <x:c r="Y94" s="24"/>
      <x:c r="Z94" s="24"/>
    </x:row>
    <x:row r="95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  <x:c r="K95" s="24"/>
      <x:c r="L95" s="24"/>
      <x:c r="M95" s="24"/>
      <x:c r="N95" s="24"/>
      <x:c r="O95" s="24"/>
      <x:c r="P95" s="24"/>
      <x:c r="Q95" s="24"/>
      <x:c r="R95" s="24"/>
      <x:c r="S95" s="24"/>
      <x:c r="T95" s="24"/>
      <x:c r="U95" s="24"/>
      <x:c r="V95" s="24"/>
      <x:c r="W95" s="24"/>
      <x:c r="X95" s="24"/>
      <x:c r="Y95" s="24"/>
      <x:c r="Z95" s="24"/>
    </x:row>
    <x:row r="96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  <x:c r="K96" s="24"/>
      <x:c r="L96" s="24"/>
      <x:c r="M96" s="24"/>
      <x:c r="N96" s="24"/>
      <x:c r="O96" s="24"/>
      <x:c r="P96" s="24"/>
      <x:c r="Q96" s="24"/>
      <x:c r="R96" s="24"/>
      <x:c r="S96" s="24"/>
      <x:c r="T96" s="24"/>
      <x:c r="U96" s="24"/>
      <x:c r="V96" s="24"/>
      <x:c r="W96" s="24"/>
      <x:c r="X96" s="24"/>
      <x:c r="Y96" s="24"/>
      <x:c r="Z96" s="24"/>
    </x:row>
    <x:row r="97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24"/>
      <x:c r="O97" s="24"/>
      <x:c r="P97" s="24"/>
      <x:c r="Q97" s="24"/>
      <x:c r="R97" s="24"/>
      <x:c r="S97" s="24"/>
      <x:c r="T97" s="24"/>
      <x:c r="U97" s="24"/>
      <x:c r="V97" s="24"/>
      <x:c r="W97" s="24"/>
      <x:c r="X97" s="24"/>
      <x:c r="Y97" s="24"/>
      <x:c r="Z97" s="24"/>
    </x:row>
    <x:row r="98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24"/>
      <x:c r="O98" s="24"/>
      <x:c r="P98" s="24"/>
      <x:c r="Q98" s="24"/>
      <x:c r="R98" s="24"/>
      <x:c r="S98" s="24"/>
      <x:c r="T98" s="24"/>
      <x:c r="U98" s="24"/>
      <x:c r="V98" s="24"/>
      <x:c r="W98" s="24"/>
      <x:c r="X98" s="24"/>
      <x:c r="Y98" s="24"/>
      <x:c r="Z98" s="24"/>
    </x:row>
    <x:row r="99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  <x:c r="K99" s="24"/>
      <x:c r="L99" s="24"/>
      <x:c r="M99" s="24"/>
      <x:c r="N99" s="24"/>
      <x:c r="O99" s="24"/>
      <x:c r="P99" s="24"/>
      <x:c r="Q99" s="24"/>
      <x:c r="R99" s="24"/>
      <x:c r="S99" s="24"/>
      <x:c r="T99" s="24"/>
      <x:c r="U99" s="24"/>
      <x:c r="V99" s="24"/>
      <x:c r="W99" s="24"/>
      <x:c r="X99" s="24"/>
      <x:c r="Y99" s="24"/>
      <x:c r="Z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  <x:c r="L100" s="24"/>
      <x:c r="M100" s="24"/>
      <x:c r="N100" s="24"/>
      <x:c r="O100" s="24"/>
      <x:c r="P100" s="24"/>
      <x:c r="Q100" s="24"/>
      <x:c r="R100" s="24"/>
      <x:c r="S100" s="24"/>
      <x:c r="T100" s="24"/>
      <x:c r="U100" s="24"/>
      <x:c r="V100" s="24"/>
      <x:c r="W100" s="24"/>
      <x:c r="X100" s="24"/>
      <x:c r="Y100" s="24"/>
      <x:c r="Z100" s="24"/>
    </x:row>
    <x:row r="101">
      <x:c r="A101" s="24"/>
      <x:c r="B101" s="24"/>
      <x:c r="C101" s="24"/>
      <x:c r="D101" s="24"/>
      <x:c r="E101" s="24"/>
      <x:c r="F101" s="24"/>
      <x:c r="G101" s="24"/>
      <x:c r="H101" s="24"/>
      <x:c r="I101" s="24"/>
      <x:c r="J101" s="24"/>
      <x:c r="K101" s="24"/>
      <x:c r="L101" s="24"/>
      <x:c r="M101" s="24"/>
      <x:c r="N101" s="24"/>
      <x:c r="O101" s="24"/>
      <x:c r="P101" s="24"/>
      <x:c r="Q101" s="24"/>
      <x:c r="R101" s="24"/>
      <x:c r="S101" s="24"/>
      <x:c r="T101" s="24"/>
      <x:c r="U101" s="24"/>
      <x:c r="V101" s="24"/>
      <x:c r="W101" s="24"/>
      <x:c r="X101" s="24"/>
      <x:c r="Y101" s="24"/>
      <x:c r="Z101" s="24"/>
    </x:row>
    <x:row r="102">
      <x:c r="A102" s="24"/>
      <x:c r="B102" s="24"/>
      <x:c r="C102" s="24"/>
      <x:c r="D102" s="24"/>
      <x:c r="E102" s="24"/>
      <x:c r="F102" s="24"/>
      <x:c r="G102" s="24"/>
      <x:c r="H102" s="24"/>
      <x:c r="I102" s="24"/>
      <x:c r="J102" s="24"/>
      <x:c r="K102" s="24"/>
      <x:c r="L102" s="24"/>
      <x:c r="M102" s="24"/>
      <x:c r="N102" s="24"/>
      <x:c r="O102" s="24"/>
      <x:c r="P102" s="24"/>
      <x:c r="Q102" s="24"/>
      <x:c r="R102" s="24"/>
      <x:c r="S102" s="24"/>
      <x:c r="T102" s="24"/>
      <x:c r="U102" s="24"/>
      <x:c r="V102" s="24"/>
      <x:c r="W102" s="24"/>
      <x:c r="X102" s="24"/>
      <x:c r="Y102" s="24"/>
      <x:c r="Z102" s="24"/>
    </x:row>
    <x:row r="103">
      <x:c r="A103" s="24"/>
      <x:c r="B103" s="24"/>
      <x:c r="C103" s="24"/>
      <x:c r="D103" s="24"/>
      <x:c r="E103" s="24"/>
      <x:c r="F103" s="24"/>
      <x:c r="G103" s="24"/>
      <x:c r="H103" s="24"/>
      <x:c r="I103" s="24"/>
      <x:c r="J103" s="24"/>
      <x:c r="K103" s="24"/>
      <x:c r="L103" s="24"/>
      <x:c r="M103" s="24"/>
      <x:c r="N103" s="24"/>
      <x:c r="O103" s="24"/>
      <x:c r="P103" s="24"/>
      <x:c r="Q103" s="24"/>
      <x:c r="R103" s="24"/>
      <x:c r="S103" s="24"/>
      <x:c r="T103" s="24"/>
      <x:c r="U103" s="24"/>
      <x:c r="V103" s="24"/>
      <x:c r="W103" s="24"/>
      <x:c r="X103" s="24"/>
      <x:c r="Y103" s="24"/>
      <x:c r="Z103" s="24"/>
    </x:row>
    <x:row r="104">
      <x:c r="A104" s="24"/>
      <x:c r="B104" s="24"/>
      <x:c r="C104" s="24"/>
      <x:c r="D104" s="24"/>
      <x:c r="E104" s="24"/>
      <x:c r="F104" s="24"/>
      <x:c r="G104" s="24"/>
      <x:c r="H104" s="24"/>
      <x:c r="I104" s="24"/>
      <x:c r="J104" s="24"/>
      <x:c r="K104" s="24"/>
      <x:c r="L104" s="24"/>
      <x:c r="M104" s="24"/>
      <x:c r="N104" s="24"/>
      <x:c r="O104" s="24"/>
      <x:c r="P104" s="24"/>
      <x:c r="Q104" s="24"/>
      <x:c r="R104" s="24"/>
      <x:c r="S104" s="24"/>
      <x:c r="T104" s="24"/>
      <x:c r="U104" s="24"/>
      <x:c r="V104" s="24"/>
      <x:c r="W104" s="24"/>
      <x:c r="X104" s="24"/>
      <x:c r="Y104" s="24"/>
      <x:c r="Z104" s="24"/>
    </x:row>
    <x:row r="105">
      <x:c r="A105" s="24"/>
      <x:c r="B105" s="24"/>
      <x:c r="C105" s="24"/>
      <x:c r="D105" s="24"/>
      <x:c r="E105" s="24"/>
      <x:c r="F105" s="24"/>
      <x:c r="G105" s="24"/>
      <x:c r="H105" s="24"/>
      <x:c r="I105" s="24"/>
      <x:c r="J105" s="24"/>
      <x:c r="K105" s="24"/>
      <x:c r="L105" s="24"/>
      <x:c r="M105" s="24"/>
      <x:c r="N105" s="24"/>
      <x:c r="O105" s="24"/>
      <x:c r="P105" s="24"/>
      <x:c r="Q105" s="24"/>
      <x:c r="R105" s="24"/>
      <x:c r="S105" s="24"/>
      <x:c r="T105" s="24"/>
      <x:c r="U105" s="24"/>
      <x:c r="V105" s="24"/>
      <x:c r="W105" s="24"/>
      <x:c r="X105" s="24"/>
      <x:c r="Y105" s="24"/>
      <x:c r="Z105" s="24"/>
    </x:row>
    <x:row r="106">
      <x:c r="A106" s="24"/>
      <x:c r="B106" s="24"/>
      <x:c r="C106" s="24"/>
      <x:c r="D106" s="24"/>
      <x:c r="E106" s="24"/>
      <x:c r="F106" s="24"/>
      <x:c r="G106" s="24"/>
      <x:c r="H106" s="24"/>
      <x:c r="I106" s="24"/>
      <x:c r="J106" s="24"/>
      <x:c r="K106" s="24"/>
      <x:c r="L106" s="24"/>
      <x:c r="M106" s="24"/>
      <x:c r="N106" s="24"/>
      <x:c r="O106" s="24"/>
      <x:c r="P106" s="24"/>
      <x:c r="Q106" s="24"/>
      <x:c r="R106" s="24"/>
      <x:c r="S106" s="24"/>
      <x:c r="T106" s="24"/>
      <x:c r="U106" s="24"/>
      <x:c r="V106" s="24"/>
      <x:c r="W106" s="24"/>
      <x:c r="X106" s="24"/>
      <x:c r="Y106" s="24"/>
      <x:c r="Z106" s="24"/>
    </x:row>
    <x:row r="107">
      <x:c r="A107" s="24"/>
      <x:c r="B107" s="24"/>
      <x:c r="C107" s="24"/>
      <x:c r="D107" s="24"/>
      <x:c r="E107" s="24"/>
      <x:c r="F107" s="24"/>
      <x:c r="G107" s="24"/>
      <x:c r="H107" s="24"/>
      <x:c r="I107" s="24"/>
      <x:c r="J107" s="24"/>
      <x:c r="K107" s="24"/>
      <x:c r="L107" s="24"/>
      <x:c r="M107" s="24"/>
      <x:c r="N107" s="24"/>
      <x:c r="O107" s="24"/>
      <x:c r="P107" s="24"/>
      <x:c r="Q107" s="24"/>
      <x:c r="R107" s="24"/>
      <x:c r="S107" s="24"/>
      <x:c r="T107" s="24"/>
      <x:c r="U107" s="24"/>
      <x:c r="V107" s="24"/>
      <x:c r="W107" s="24"/>
      <x:c r="X107" s="24"/>
      <x:c r="Y107" s="24"/>
      <x:c r="Z107" s="24"/>
    </x:row>
    <x:row r="108">
      <x:c r="A108" s="24"/>
      <x:c r="B108" s="24"/>
      <x:c r="C108" s="24"/>
      <x:c r="D108" s="24"/>
      <x:c r="E108" s="24"/>
      <x:c r="F108" s="24"/>
      <x:c r="G108" s="24"/>
      <x:c r="H108" s="24"/>
      <x:c r="I108" s="24"/>
      <x:c r="J108" s="24"/>
      <x:c r="K108" s="24"/>
      <x:c r="L108" s="24"/>
      <x:c r="M108" s="24"/>
      <x:c r="N108" s="24"/>
      <x:c r="O108" s="24"/>
      <x:c r="P108" s="24"/>
      <x:c r="Q108" s="24"/>
      <x:c r="R108" s="24"/>
      <x:c r="S108" s="24"/>
      <x:c r="T108" s="24"/>
      <x:c r="U108" s="24"/>
      <x:c r="V108" s="24"/>
      <x:c r="W108" s="24"/>
      <x:c r="X108" s="24"/>
      <x:c r="Y108" s="24"/>
      <x:c r="Z108" s="24"/>
    </x:row>
    <x:row r="109">
      <x:c r="A109" s="24"/>
      <x:c r="B109" s="24"/>
      <x:c r="C109" s="24"/>
      <x:c r="D109" s="24"/>
      <x:c r="E109" s="24"/>
      <x:c r="F109" s="24"/>
      <x:c r="G109" s="24"/>
      <x:c r="H109" s="24"/>
      <x:c r="I109" s="24"/>
      <x:c r="J109" s="24"/>
      <x:c r="K109" s="24"/>
      <x:c r="L109" s="24"/>
      <x:c r="M109" s="24"/>
      <x:c r="N109" s="24"/>
      <x:c r="O109" s="24"/>
      <x:c r="P109" s="24"/>
      <x:c r="Q109" s="24"/>
      <x:c r="R109" s="24"/>
      <x:c r="S109" s="24"/>
      <x:c r="T109" s="24"/>
      <x:c r="U109" s="24"/>
      <x:c r="V109" s="24"/>
      <x:c r="W109" s="24"/>
      <x:c r="X109" s="24"/>
      <x:c r="Y109" s="24"/>
      <x:c r="Z109" s="24"/>
    </x:row>
    <x:row r="110">
      <x:c r="A110" s="24"/>
      <x:c r="B110" s="24"/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/>
      <x:c r="M110" s="24"/>
      <x:c r="N110" s="24"/>
      <x:c r="O110" s="24"/>
      <x:c r="P110" s="24"/>
      <x:c r="Q110" s="24"/>
      <x:c r="R110" s="24"/>
      <x:c r="S110" s="24"/>
      <x:c r="T110" s="24"/>
      <x:c r="U110" s="24"/>
      <x:c r="V110" s="24"/>
      <x:c r="W110" s="24"/>
      <x:c r="X110" s="24"/>
      <x:c r="Y110" s="24"/>
      <x:c r="Z110" s="24"/>
    </x:row>
    <x:row r="111">
      <x:c r="A111" s="24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P111" s="24"/>
      <x:c r="Q111" s="24"/>
      <x:c r="R111" s="24"/>
      <x:c r="S111" s="24"/>
      <x:c r="T111" s="24"/>
      <x:c r="U111" s="24"/>
      <x:c r="V111" s="24"/>
      <x:c r="W111" s="24"/>
      <x:c r="X111" s="24"/>
      <x:c r="Y111" s="24"/>
      <x:c r="Z111" s="24"/>
    </x:row>
    <x:row r="112">
      <x:c r="A112" s="24"/>
      <x:c r="B112" s="24"/>
      <x:c r="C112" s="24"/>
      <x:c r="D112" s="24"/>
      <x:c r="E112" s="24"/>
      <x:c r="F112" s="24"/>
      <x:c r="G112" s="24"/>
      <x:c r="H112" s="24"/>
      <x:c r="I112" s="24"/>
      <x:c r="J112" s="24"/>
      <x:c r="K112" s="24"/>
      <x:c r="L112" s="24"/>
      <x:c r="M112" s="24"/>
      <x:c r="N112" s="24"/>
      <x:c r="O112" s="24"/>
      <x:c r="P112" s="24"/>
      <x:c r="Q112" s="24"/>
      <x:c r="R112" s="24"/>
      <x:c r="S112" s="24"/>
      <x:c r="T112" s="24"/>
      <x:c r="U112" s="24"/>
      <x:c r="V112" s="24"/>
      <x:c r="W112" s="24"/>
      <x:c r="X112" s="24"/>
      <x:c r="Y112" s="24"/>
      <x:c r="Z112" s="24"/>
    </x:row>
    <x:row r="113">
      <x:c r="A113" s="24"/>
      <x:c r="B113" s="24"/>
      <x:c r="C113" s="24"/>
      <x:c r="D113" s="24"/>
      <x:c r="E113" s="24"/>
      <x:c r="F113" s="24"/>
      <x:c r="G113" s="24"/>
      <x:c r="H113" s="24"/>
      <x:c r="I113" s="24"/>
      <x:c r="J113" s="24"/>
      <x:c r="K113" s="24"/>
      <x:c r="L113" s="24"/>
      <x:c r="M113" s="24"/>
      <x:c r="N113" s="24"/>
      <x:c r="O113" s="24"/>
      <x:c r="P113" s="24"/>
      <x:c r="Q113" s="24"/>
      <x:c r="R113" s="24"/>
      <x:c r="S113" s="24"/>
      <x:c r="T113" s="24"/>
      <x:c r="U113" s="24"/>
      <x:c r="V113" s="24"/>
      <x:c r="W113" s="24"/>
      <x:c r="X113" s="24"/>
      <x:c r="Y113" s="24"/>
      <x:c r="Z113" s="24"/>
    </x:row>
    <x:row r="114">
      <x:c r="A114" s="24"/>
      <x:c r="B114" s="24"/>
      <x:c r="C114" s="24"/>
      <x:c r="D114" s="24"/>
      <x:c r="E114" s="24"/>
      <x:c r="F114" s="24"/>
      <x:c r="G114" s="24"/>
      <x:c r="H114" s="24"/>
      <x:c r="I114" s="24"/>
      <x:c r="J114" s="24"/>
      <x:c r="K114" s="24"/>
      <x:c r="L114" s="24"/>
      <x:c r="M114" s="24"/>
      <x:c r="N114" s="24"/>
      <x:c r="O114" s="24"/>
      <x:c r="P114" s="24"/>
      <x:c r="Q114" s="24"/>
      <x:c r="R114" s="24"/>
      <x:c r="S114" s="24"/>
      <x:c r="T114" s="24"/>
      <x:c r="U114" s="24"/>
      <x:c r="V114" s="24"/>
      <x:c r="W114" s="24"/>
      <x:c r="X114" s="24"/>
      <x:c r="Y114" s="24"/>
      <x:c r="Z114" s="24"/>
    </x:row>
    <x:row r="115">
      <x:c r="A115" s="24"/>
      <x:c r="B115" s="24"/>
      <x:c r="C115" s="24"/>
      <x:c r="D115" s="24"/>
      <x:c r="E115" s="24"/>
      <x:c r="F115" s="24"/>
      <x:c r="G115" s="24"/>
      <x:c r="H115" s="24"/>
      <x:c r="I115" s="24"/>
      <x:c r="J115" s="24"/>
      <x:c r="K115" s="24"/>
      <x:c r="L115" s="24"/>
      <x:c r="M115" s="24"/>
      <x:c r="N115" s="24"/>
      <x:c r="O115" s="24"/>
      <x:c r="P115" s="24"/>
      <x:c r="Q115" s="24"/>
      <x:c r="R115" s="24"/>
      <x:c r="S115" s="24"/>
      <x:c r="T115" s="24"/>
      <x:c r="U115" s="24"/>
      <x:c r="V115" s="24"/>
      <x:c r="W115" s="24"/>
      <x:c r="X115" s="24"/>
      <x:c r="Y115" s="24"/>
      <x:c r="Z115" s="24"/>
    </x:row>
    <x:row r="116">
      <x:c r="A116" s="24"/>
      <x:c r="B116" s="24"/>
      <x:c r="C116" s="24"/>
      <x:c r="D116" s="24"/>
      <x:c r="E116" s="24"/>
      <x:c r="F116" s="24"/>
      <x:c r="G116" s="24"/>
      <x:c r="H116" s="24"/>
      <x:c r="I116" s="24"/>
      <x:c r="J116" s="24"/>
      <x:c r="K116" s="24"/>
      <x:c r="L116" s="24"/>
      <x:c r="M116" s="24"/>
      <x:c r="N116" s="24"/>
      <x:c r="O116" s="24"/>
      <x:c r="P116" s="24"/>
      <x:c r="Q116" s="24"/>
      <x:c r="R116" s="24"/>
      <x:c r="S116" s="24"/>
      <x:c r="T116" s="24"/>
      <x:c r="U116" s="24"/>
      <x:c r="V116" s="24"/>
      <x:c r="W116" s="24"/>
      <x:c r="X116" s="24"/>
      <x:c r="Y116" s="24"/>
      <x:c r="Z116" s="24"/>
    </x:row>
    <x:row r="117">
      <x:c r="A117" s="24"/>
      <x:c r="B117" s="24"/>
      <x:c r="C117" s="24"/>
      <x:c r="D117" s="24"/>
      <x:c r="E117" s="24"/>
      <x:c r="F117" s="24"/>
      <x:c r="G117" s="24"/>
      <x:c r="H117" s="24"/>
      <x:c r="I117" s="24"/>
      <x:c r="J117" s="24"/>
      <x:c r="K117" s="24"/>
      <x:c r="L117" s="24"/>
      <x:c r="M117" s="24"/>
      <x:c r="N117" s="24"/>
      <x:c r="O117" s="24"/>
      <x:c r="P117" s="24"/>
      <x:c r="Q117" s="24"/>
      <x:c r="R117" s="24"/>
      <x:c r="S117" s="24"/>
      <x:c r="T117" s="24"/>
      <x:c r="U117" s="24"/>
      <x:c r="V117" s="24"/>
      <x:c r="W117" s="24"/>
      <x:c r="X117" s="24"/>
      <x:c r="Y117" s="24"/>
      <x:c r="Z117" s="24"/>
    </x:row>
    <x:row r="118">
      <x:c r="A118" s="24"/>
      <x:c r="B118" s="24"/>
      <x:c r="C118" s="24"/>
      <x:c r="D118" s="24"/>
      <x:c r="E118" s="24"/>
      <x:c r="F118" s="24"/>
      <x:c r="G118" s="24"/>
      <x:c r="H118" s="24"/>
      <x:c r="I118" s="24"/>
      <x:c r="J118" s="24"/>
      <x:c r="K118" s="24"/>
      <x:c r="L118" s="24"/>
      <x:c r="M118" s="24"/>
      <x:c r="N118" s="24"/>
      <x:c r="O118" s="24"/>
      <x:c r="P118" s="24"/>
      <x:c r="Q118" s="24"/>
      <x:c r="R118" s="24"/>
      <x:c r="S118" s="24"/>
      <x:c r="T118" s="24"/>
      <x:c r="U118" s="24"/>
      <x:c r="V118" s="24"/>
      <x:c r="W118" s="24"/>
      <x:c r="X118" s="24"/>
      <x:c r="Y118" s="24"/>
      <x:c r="Z118" s="24"/>
    </x:row>
    <x:row r="119">
      <x:c r="A119" s="24"/>
      <x:c r="B119" s="24"/>
      <x:c r="C119" s="24"/>
      <x:c r="D119" s="24"/>
      <x:c r="E119" s="24"/>
      <x:c r="F119" s="24"/>
      <x:c r="G119" s="24"/>
      <x:c r="H119" s="24"/>
      <x:c r="I119" s="24"/>
      <x:c r="J119" s="24"/>
      <x:c r="K119" s="24"/>
      <x:c r="L119" s="24"/>
      <x:c r="M119" s="24"/>
      <x:c r="N119" s="24"/>
      <x:c r="O119" s="24"/>
      <x:c r="P119" s="24"/>
      <x:c r="Q119" s="24"/>
      <x:c r="R119" s="24"/>
      <x:c r="S119" s="24"/>
      <x:c r="T119" s="24"/>
      <x:c r="U119" s="24"/>
      <x:c r="V119" s="24"/>
      <x:c r="W119" s="24"/>
      <x:c r="X119" s="24"/>
      <x:c r="Y119" s="24"/>
      <x:c r="Z119" s="24"/>
    </x:row>
    <x:row r="120">
      <x:c r="A120" s="24"/>
      <x:c r="B120" s="24"/>
      <x:c r="C120" s="24"/>
      <x:c r="D120" s="24"/>
      <x:c r="E120" s="24"/>
      <x:c r="F120" s="24"/>
      <x:c r="G120" s="24"/>
      <x:c r="H120" s="24"/>
      <x:c r="I120" s="24"/>
      <x:c r="J120" s="24"/>
      <x:c r="K120" s="24"/>
      <x:c r="L120" s="24"/>
      <x:c r="M120" s="24"/>
      <x:c r="N120" s="24"/>
      <x:c r="O120" s="24"/>
      <x:c r="P120" s="24"/>
      <x:c r="Q120" s="24"/>
      <x:c r="R120" s="24"/>
      <x:c r="S120" s="24"/>
      <x:c r="T120" s="24"/>
      <x:c r="U120" s="24"/>
      <x:c r="V120" s="24"/>
      <x:c r="W120" s="24"/>
      <x:c r="X120" s="24"/>
      <x:c r="Y120" s="24"/>
      <x:c r="Z120" s="24"/>
    </x:row>
    <x:row r="12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  <x:c r="K121" s="24"/>
      <x:c r="L121" s="24"/>
      <x:c r="M121" s="24"/>
      <x:c r="N121" s="24"/>
      <x:c r="O121" s="24"/>
      <x:c r="P121" s="24"/>
      <x:c r="Q121" s="24"/>
      <x:c r="R121" s="24"/>
      <x:c r="S121" s="24"/>
      <x:c r="T121" s="24"/>
      <x:c r="U121" s="24"/>
      <x:c r="V121" s="24"/>
      <x:c r="W121" s="24"/>
      <x:c r="X121" s="24"/>
      <x:c r="Y121" s="24"/>
      <x:c r="Z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  <x:c r="K122" s="24"/>
      <x:c r="L122" s="24"/>
      <x:c r="M122" s="24"/>
      <x:c r="N122" s="24"/>
      <x:c r="O122" s="24"/>
      <x:c r="P122" s="24"/>
      <x:c r="Q122" s="24"/>
      <x:c r="R122" s="24"/>
      <x:c r="S122" s="24"/>
      <x:c r="T122" s="24"/>
      <x:c r="U122" s="24"/>
      <x:c r="V122" s="24"/>
      <x:c r="W122" s="24"/>
      <x:c r="X122" s="24"/>
      <x:c r="Y122" s="24"/>
      <x:c r="Z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  <x:c r="M123" s="24"/>
      <x:c r="N123" s="24"/>
      <x:c r="O123" s="24"/>
      <x:c r="P123" s="24"/>
      <x:c r="Q123" s="24"/>
      <x:c r="R123" s="24"/>
      <x:c r="S123" s="24"/>
      <x:c r="T123" s="24"/>
      <x:c r="U123" s="24"/>
      <x:c r="V123" s="24"/>
      <x:c r="W123" s="24"/>
      <x:c r="X123" s="24"/>
      <x:c r="Y123" s="24"/>
      <x:c r="Z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  <x:c r="M124" s="24"/>
      <x:c r="N124" s="24"/>
      <x:c r="O124" s="24"/>
      <x:c r="P124" s="24"/>
      <x:c r="Q124" s="24"/>
      <x:c r="R124" s="24"/>
      <x:c r="S124" s="24"/>
      <x:c r="T124" s="24"/>
      <x:c r="U124" s="24"/>
      <x:c r="V124" s="24"/>
      <x:c r="W124" s="24"/>
      <x:c r="X124" s="24"/>
      <x:c r="Y124" s="24"/>
      <x:c r="Z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  <x:c r="K125" s="24"/>
      <x:c r="L125" s="24"/>
      <x:c r="M125" s="24"/>
      <x:c r="N125" s="24"/>
      <x:c r="O125" s="24"/>
      <x:c r="P125" s="24"/>
      <x:c r="Q125" s="24"/>
      <x:c r="R125" s="24"/>
      <x:c r="S125" s="24"/>
      <x:c r="T125" s="24"/>
      <x:c r="U125" s="24"/>
      <x:c r="V125" s="24"/>
      <x:c r="W125" s="24"/>
      <x:c r="X125" s="24"/>
      <x:c r="Y125" s="24"/>
      <x:c r="Z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  <x:c r="K126" s="24"/>
      <x:c r="L126" s="24"/>
      <x:c r="M126" s="24"/>
      <x:c r="N126" s="24"/>
      <x:c r="O126" s="24"/>
      <x:c r="P126" s="24"/>
      <x:c r="Q126" s="24"/>
      <x:c r="R126" s="24"/>
      <x:c r="S126" s="24"/>
      <x:c r="T126" s="24"/>
      <x:c r="U126" s="24"/>
      <x:c r="V126" s="24"/>
      <x:c r="W126" s="24"/>
      <x:c r="X126" s="24"/>
      <x:c r="Y126" s="24"/>
      <x:c r="Z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  <x:c r="K127" s="24"/>
      <x:c r="L127" s="24"/>
      <x:c r="M127" s="24"/>
      <x:c r="N127" s="24"/>
      <x:c r="O127" s="24"/>
      <x:c r="P127" s="24"/>
      <x:c r="Q127" s="24"/>
      <x:c r="R127" s="24"/>
      <x:c r="S127" s="24"/>
      <x:c r="T127" s="24"/>
      <x:c r="U127" s="24"/>
      <x:c r="V127" s="24"/>
      <x:c r="W127" s="24"/>
      <x:c r="X127" s="24"/>
      <x:c r="Y127" s="24"/>
      <x:c r="Z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  <x:c r="K128" s="24"/>
      <x:c r="L128" s="24"/>
      <x:c r="M128" s="24"/>
      <x:c r="N128" s="24"/>
      <x:c r="O128" s="24"/>
      <x:c r="P128" s="24"/>
      <x:c r="Q128" s="24"/>
      <x:c r="R128" s="24"/>
      <x:c r="S128" s="24"/>
      <x:c r="T128" s="24"/>
      <x:c r="U128" s="24"/>
      <x:c r="V128" s="24"/>
      <x:c r="W128" s="24"/>
      <x:c r="X128" s="24"/>
      <x:c r="Y128" s="24"/>
      <x:c r="Z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  <x:c r="K129" s="24"/>
      <x:c r="L129" s="24"/>
      <x:c r="M129" s="24"/>
      <x:c r="N129" s="24"/>
      <x:c r="O129" s="24"/>
      <x:c r="P129" s="24"/>
      <x:c r="Q129" s="24"/>
      <x:c r="R129" s="24"/>
      <x:c r="S129" s="24"/>
      <x:c r="T129" s="24"/>
      <x:c r="U129" s="24"/>
      <x:c r="V129" s="24"/>
      <x:c r="W129" s="24"/>
      <x:c r="X129" s="24"/>
      <x:c r="Y129" s="24"/>
      <x:c r="Z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  <x:c r="K130" s="24"/>
      <x:c r="L130" s="24"/>
      <x:c r="M130" s="24"/>
      <x:c r="N130" s="24"/>
      <x:c r="O130" s="24"/>
      <x:c r="P130" s="24"/>
      <x:c r="Q130" s="24"/>
      <x:c r="R130" s="24"/>
      <x:c r="S130" s="24"/>
      <x:c r="T130" s="24"/>
      <x:c r="U130" s="24"/>
      <x:c r="V130" s="24"/>
      <x:c r="W130" s="24"/>
      <x:c r="X130" s="24"/>
      <x:c r="Y130" s="24"/>
      <x:c r="Z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  <x:c r="K131" s="24"/>
      <x:c r="L131" s="24"/>
      <x:c r="M131" s="24"/>
      <x:c r="N131" s="24"/>
      <x:c r="O131" s="24"/>
      <x:c r="P131" s="24"/>
      <x:c r="Q131" s="24"/>
      <x:c r="R131" s="24"/>
      <x:c r="S131" s="24"/>
      <x:c r="T131" s="24"/>
      <x:c r="U131" s="24"/>
      <x:c r="V131" s="24"/>
      <x:c r="W131" s="24"/>
      <x:c r="X131" s="24"/>
      <x:c r="Y131" s="24"/>
      <x:c r="Z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  <x:c r="K132" s="24"/>
      <x:c r="L132" s="24"/>
      <x:c r="M132" s="24"/>
      <x:c r="N132" s="24"/>
      <x:c r="O132" s="24"/>
      <x:c r="P132" s="24"/>
      <x:c r="Q132" s="24"/>
      <x:c r="R132" s="24"/>
      <x:c r="S132" s="24"/>
      <x:c r="T132" s="24"/>
      <x:c r="U132" s="24"/>
      <x:c r="V132" s="24"/>
      <x:c r="W132" s="24"/>
      <x:c r="X132" s="24"/>
      <x:c r="Y132" s="24"/>
      <x:c r="Z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  <x:c r="K133" s="24"/>
      <x:c r="L133" s="24"/>
      <x:c r="M133" s="24"/>
      <x:c r="N133" s="24"/>
      <x:c r="O133" s="24"/>
      <x:c r="P133" s="24"/>
      <x:c r="Q133" s="24"/>
      <x:c r="R133" s="24"/>
      <x:c r="S133" s="24"/>
      <x:c r="T133" s="24"/>
      <x:c r="U133" s="24"/>
      <x:c r="V133" s="24"/>
      <x:c r="W133" s="24"/>
      <x:c r="X133" s="24"/>
      <x:c r="Y133" s="24"/>
      <x:c r="Z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  <x:c r="K134" s="24"/>
      <x:c r="L134" s="24"/>
      <x:c r="M134" s="24"/>
      <x:c r="N134" s="24"/>
      <x:c r="O134" s="24"/>
      <x:c r="P134" s="24"/>
      <x:c r="Q134" s="24"/>
      <x:c r="R134" s="24"/>
      <x:c r="S134" s="24"/>
      <x:c r="T134" s="24"/>
      <x:c r="U134" s="24"/>
      <x:c r="V134" s="24"/>
      <x:c r="W134" s="24"/>
      <x:c r="X134" s="24"/>
      <x:c r="Y134" s="24"/>
      <x:c r="Z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  <x:c r="K135" s="24"/>
      <x:c r="L135" s="24"/>
      <x:c r="M135" s="24"/>
      <x:c r="N135" s="24"/>
      <x:c r="O135" s="24"/>
      <x:c r="P135" s="24"/>
      <x:c r="Q135" s="24"/>
      <x:c r="R135" s="24"/>
      <x:c r="S135" s="24"/>
      <x:c r="T135" s="24"/>
      <x:c r="U135" s="24"/>
      <x:c r="V135" s="24"/>
      <x:c r="W135" s="24"/>
      <x:c r="X135" s="24"/>
      <x:c r="Y135" s="24"/>
      <x:c r="Z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  <x:c r="K136" s="24"/>
      <x:c r="L136" s="24"/>
      <x:c r="M136" s="24"/>
      <x:c r="N136" s="24"/>
      <x:c r="O136" s="24"/>
      <x:c r="P136" s="24"/>
      <x:c r="Q136" s="24"/>
      <x:c r="R136" s="24"/>
      <x:c r="S136" s="24"/>
      <x:c r="T136" s="24"/>
      <x:c r="U136" s="24"/>
      <x:c r="V136" s="24"/>
      <x:c r="W136" s="24"/>
      <x:c r="X136" s="24"/>
      <x:c r="Y136" s="24"/>
      <x:c r="Z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  <x:c r="L137" s="24"/>
      <x:c r="M137" s="24"/>
      <x:c r="N137" s="24"/>
      <x:c r="O137" s="24"/>
      <x:c r="P137" s="24"/>
      <x:c r="Q137" s="24"/>
      <x:c r="R137" s="24"/>
      <x:c r="S137" s="24"/>
      <x:c r="T137" s="24"/>
      <x:c r="U137" s="24"/>
      <x:c r="V137" s="24"/>
      <x:c r="W137" s="24"/>
      <x:c r="X137" s="24"/>
      <x:c r="Y137" s="24"/>
      <x:c r="Z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  <x:c r="K138" s="24"/>
      <x:c r="L138" s="24"/>
      <x:c r="M138" s="24"/>
      <x:c r="N138" s="24"/>
      <x:c r="O138" s="24"/>
      <x:c r="P138" s="24"/>
      <x:c r="Q138" s="24"/>
      <x:c r="R138" s="24"/>
      <x:c r="S138" s="24"/>
      <x:c r="T138" s="24"/>
      <x:c r="U138" s="24"/>
      <x:c r="V138" s="24"/>
      <x:c r="W138" s="24"/>
      <x:c r="X138" s="24"/>
      <x:c r="Y138" s="24"/>
      <x:c r="Z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  <x:c r="K139" s="24"/>
      <x:c r="L139" s="24"/>
      <x:c r="M139" s="24"/>
      <x:c r="N139" s="24"/>
      <x:c r="O139" s="24"/>
      <x:c r="P139" s="24"/>
      <x:c r="Q139" s="24"/>
      <x:c r="R139" s="24"/>
      <x:c r="S139" s="24"/>
      <x:c r="T139" s="24"/>
      <x:c r="U139" s="24"/>
      <x:c r="V139" s="24"/>
      <x:c r="W139" s="24"/>
      <x:c r="X139" s="24"/>
      <x:c r="Y139" s="24"/>
      <x:c r="Z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  <x:c r="K140" s="24"/>
      <x:c r="L140" s="24"/>
      <x:c r="M140" s="24"/>
      <x:c r="N140" s="24"/>
      <x:c r="O140" s="24"/>
      <x:c r="P140" s="24"/>
      <x:c r="Q140" s="24"/>
      <x:c r="R140" s="24"/>
      <x:c r="S140" s="24"/>
      <x:c r="T140" s="24"/>
      <x:c r="U140" s="24"/>
      <x:c r="V140" s="24"/>
      <x:c r="W140" s="24"/>
      <x:c r="X140" s="24"/>
      <x:c r="Y140" s="24"/>
      <x:c r="Z140" s="24"/>
    </x:row>
    <x:row r="141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  <x:c r="K141" s="24"/>
      <x:c r="L141" s="24"/>
      <x:c r="M141" s="24"/>
      <x:c r="N141" s="24"/>
      <x:c r="O141" s="24"/>
      <x:c r="P141" s="24"/>
      <x:c r="Q141" s="24"/>
      <x:c r="R141" s="24"/>
      <x:c r="S141" s="24"/>
      <x:c r="T141" s="24"/>
      <x:c r="U141" s="24"/>
      <x:c r="V141" s="24"/>
      <x:c r="W141" s="24"/>
      <x:c r="X141" s="24"/>
      <x:c r="Y141" s="24"/>
      <x:c r="Z141" s="24"/>
    </x:row>
    <x:row r="142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  <x:c r="K142" s="24"/>
      <x:c r="L142" s="24"/>
      <x:c r="M142" s="24"/>
      <x:c r="N142" s="24"/>
      <x:c r="O142" s="24"/>
      <x:c r="P142" s="24"/>
      <x:c r="Q142" s="24"/>
      <x:c r="R142" s="24"/>
      <x:c r="S142" s="24"/>
      <x:c r="T142" s="24"/>
      <x:c r="U142" s="24"/>
      <x:c r="V142" s="24"/>
      <x:c r="W142" s="24"/>
      <x:c r="X142" s="24"/>
      <x:c r="Y142" s="24"/>
      <x:c r="Z142" s="24"/>
    </x:row>
    <x:row r="143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  <x:c r="K143" s="24"/>
      <x:c r="L143" s="24"/>
      <x:c r="M143" s="24"/>
      <x:c r="N143" s="24"/>
      <x:c r="O143" s="24"/>
      <x:c r="P143" s="24"/>
      <x:c r="Q143" s="24"/>
      <x:c r="R143" s="24"/>
      <x:c r="S143" s="24"/>
      <x:c r="T143" s="24"/>
      <x:c r="U143" s="24"/>
      <x:c r="V143" s="24"/>
      <x:c r="W143" s="24"/>
      <x:c r="X143" s="24"/>
      <x:c r="Y143" s="24"/>
      <x:c r="Z143" s="24"/>
    </x:row>
    <x:row r="144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  <x:c r="K144" s="24"/>
      <x:c r="L144" s="24"/>
      <x:c r="M144" s="24"/>
      <x:c r="N144" s="24"/>
      <x:c r="O144" s="24"/>
      <x:c r="P144" s="24"/>
      <x:c r="Q144" s="24"/>
      <x:c r="R144" s="24"/>
      <x:c r="S144" s="24"/>
      <x:c r="T144" s="24"/>
      <x:c r="U144" s="24"/>
      <x:c r="V144" s="24"/>
      <x:c r="W144" s="24"/>
      <x:c r="X144" s="24"/>
      <x:c r="Y144" s="24"/>
      <x:c r="Z144" s="24"/>
    </x:row>
    <x:row r="145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  <x:c r="K145" s="24"/>
      <x:c r="L145" s="24"/>
      <x:c r="M145" s="24"/>
      <x:c r="N145" s="24"/>
      <x:c r="O145" s="24"/>
      <x:c r="P145" s="24"/>
      <x:c r="Q145" s="24"/>
      <x:c r="R145" s="24"/>
      <x:c r="S145" s="24"/>
      <x:c r="T145" s="24"/>
      <x:c r="U145" s="24"/>
      <x:c r="V145" s="24"/>
      <x:c r="W145" s="24"/>
      <x:c r="X145" s="24"/>
      <x:c r="Y145" s="24"/>
      <x:c r="Z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  <x:c r="K146" s="24"/>
      <x:c r="L146" s="24"/>
      <x:c r="M146" s="24"/>
      <x:c r="N146" s="24"/>
      <x:c r="O146" s="24"/>
      <x:c r="P146" s="24"/>
      <x:c r="Q146" s="24"/>
      <x:c r="R146" s="24"/>
      <x:c r="S146" s="24"/>
      <x:c r="T146" s="24"/>
      <x:c r="U146" s="24"/>
      <x:c r="V146" s="24"/>
      <x:c r="W146" s="24"/>
      <x:c r="X146" s="24"/>
      <x:c r="Y146" s="24"/>
      <x:c r="Z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  <x:c r="K147" s="24"/>
      <x:c r="L147" s="24"/>
      <x:c r="M147" s="24"/>
      <x:c r="N147" s="24"/>
      <x:c r="O147" s="24"/>
      <x:c r="P147" s="24"/>
      <x:c r="Q147" s="24"/>
      <x:c r="R147" s="24"/>
      <x:c r="S147" s="24"/>
      <x:c r="T147" s="24"/>
      <x:c r="U147" s="24"/>
      <x:c r="V147" s="24"/>
      <x:c r="W147" s="24"/>
      <x:c r="X147" s="24"/>
      <x:c r="Y147" s="24"/>
      <x:c r="Z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  <x:c r="K148" s="24"/>
      <x:c r="L148" s="24"/>
      <x:c r="M148" s="24"/>
      <x:c r="N148" s="24"/>
      <x:c r="O148" s="24"/>
      <x:c r="P148" s="24"/>
      <x:c r="Q148" s="24"/>
      <x:c r="R148" s="24"/>
      <x:c r="S148" s="24"/>
      <x:c r="T148" s="24"/>
      <x:c r="U148" s="24"/>
      <x:c r="V148" s="24"/>
      <x:c r="W148" s="24"/>
      <x:c r="X148" s="24"/>
      <x:c r="Y148" s="24"/>
      <x:c r="Z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  <x:c r="K149" s="24"/>
      <x:c r="L149" s="24"/>
      <x:c r="M149" s="24"/>
      <x:c r="N149" s="24"/>
      <x:c r="O149" s="24"/>
      <x:c r="P149" s="24"/>
      <x:c r="Q149" s="24"/>
      <x:c r="R149" s="24"/>
      <x:c r="S149" s="24"/>
      <x:c r="T149" s="24"/>
      <x:c r="U149" s="24"/>
      <x:c r="V149" s="24"/>
      <x:c r="W149" s="24"/>
      <x:c r="X149" s="24"/>
      <x:c r="Y149" s="24"/>
      <x:c r="Z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  <x:c r="L150" s="24"/>
      <x:c r="M150" s="24"/>
      <x:c r="N150" s="24"/>
      <x:c r="O150" s="24"/>
      <x:c r="P150" s="24"/>
      <x:c r="Q150" s="24"/>
      <x:c r="R150" s="24"/>
      <x:c r="S150" s="24"/>
      <x:c r="T150" s="24"/>
      <x:c r="U150" s="24"/>
      <x:c r="V150" s="24"/>
      <x:c r="W150" s="24"/>
      <x:c r="X150" s="24"/>
      <x:c r="Y150" s="24"/>
      <x:c r="Z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  <x:c r="K151" s="24"/>
      <x:c r="L151" s="24"/>
      <x:c r="M151" s="24"/>
      <x:c r="N151" s="24"/>
      <x:c r="O151" s="24"/>
      <x:c r="P151" s="24"/>
      <x:c r="Q151" s="24"/>
      <x:c r="R151" s="24"/>
      <x:c r="S151" s="24"/>
      <x:c r="T151" s="24"/>
      <x:c r="U151" s="24"/>
      <x:c r="V151" s="24"/>
      <x:c r="W151" s="24"/>
      <x:c r="X151" s="24"/>
      <x:c r="Y151" s="24"/>
      <x:c r="Z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  <x:c r="K152" s="24"/>
      <x:c r="L152" s="24"/>
      <x:c r="M152" s="24"/>
      <x:c r="N152" s="24"/>
      <x:c r="O152" s="24"/>
      <x:c r="P152" s="24"/>
      <x:c r="Q152" s="24"/>
      <x:c r="R152" s="24"/>
      <x:c r="S152" s="24"/>
      <x:c r="T152" s="24"/>
      <x:c r="U152" s="24"/>
      <x:c r="V152" s="24"/>
      <x:c r="W152" s="24"/>
      <x:c r="X152" s="24"/>
      <x:c r="Y152" s="24"/>
      <x:c r="Z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  <x:c r="K153" s="24"/>
      <x:c r="L153" s="24"/>
      <x:c r="M153" s="24"/>
      <x:c r="N153" s="24"/>
      <x:c r="O153" s="24"/>
      <x:c r="P153" s="24"/>
      <x:c r="Q153" s="24"/>
      <x:c r="R153" s="24"/>
      <x:c r="S153" s="24"/>
      <x:c r="T153" s="24"/>
      <x:c r="U153" s="24"/>
      <x:c r="V153" s="24"/>
      <x:c r="W153" s="24"/>
      <x:c r="X153" s="24"/>
      <x:c r="Y153" s="24"/>
      <x:c r="Z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  <x:c r="K154" s="24"/>
      <x:c r="L154" s="24"/>
      <x:c r="M154" s="24"/>
      <x:c r="N154" s="24"/>
      <x:c r="O154" s="24"/>
      <x:c r="P154" s="24"/>
      <x:c r="Q154" s="24"/>
      <x:c r="R154" s="24"/>
      <x:c r="S154" s="24"/>
      <x:c r="T154" s="24"/>
      <x:c r="U154" s="24"/>
      <x:c r="V154" s="24"/>
      <x:c r="W154" s="24"/>
      <x:c r="X154" s="24"/>
      <x:c r="Y154" s="24"/>
      <x:c r="Z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  <x:c r="K155" s="24"/>
      <x:c r="L155" s="24"/>
      <x:c r="M155" s="24"/>
      <x:c r="N155" s="24"/>
      <x:c r="O155" s="24"/>
      <x:c r="P155" s="24"/>
      <x:c r="Q155" s="24"/>
      <x:c r="R155" s="24"/>
      <x:c r="S155" s="24"/>
      <x:c r="T155" s="24"/>
      <x:c r="U155" s="24"/>
      <x:c r="V155" s="24"/>
      <x:c r="W155" s="24"/>
      <x:c r="X155" s="24"/>
      <x:c r="Y155" s="24"/>
      <x:c r="Z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  <x:c r="K156" s="24"/>
      <x:c r="L156" s="24"/>
      <x:c r="M156" s="24"/>
      <x:c r="N156" s="24"/>
      <x:c r="O156" s="24"/>
      <x:c r="P156" s="24"/>
      <x:c r="Q156" s="24"/>
      <x:c r="R156" s="24"/>
      <x:c r="S156" s="24"/>
      <x:c r="T156" s="24"/>
      <x:c r="U156" s="24"/>
      <x:c r="V156" s="24"/>
      <x:c r="W156" s="24"/>
      <x:c r="X156" s="24"/>
      <x:c r="Y156" s="24"/>
      <x:c r="Z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  <x:c r="K157" s="24"/>
      <x:c r="L157" s="24"/>
      <x:c r="M157" s="24"/>
      <x:c r="N157" s="24"/>
      <x:c r="O157" s="24"/>
      <x:c r="P157" s="24"/>
      <x:c r="Q157" s="24"/>
      <x:c r="R157" s="24"/>
      <x:c r="S157" s="24"/>
      <x:c r="T157" s="24"/>
      <x:c r="U157" s="24"/>
      <x:c r="V157" s="24"/>
      <x:c r="W157" s="24"/>
      <x:c r="X157" s="24"/>
      <x:c r="Y157" s="24"/>
      <x:c r="Z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  <x:c r="K158" s="24"/>
      <x:c r="L158" s="24"/>
      <x:c r="M158" s="24"/>
      <x:c r="N158" s="24"/>
      <x:c r="O158" s="24"/>
      <x:c r="P158" s="24"/>
      <x:c r="Q158" s="24"/>
      <x:c r="R158" s="24"/>
      <x:c r="S158" s="24"/>
      <x:c r="T158" s="24"/>
      <x:c r="U158" s="24"/>
      <x:c r="V158" s="24"/>
      <x:c r="W158" s="24"/>
      <x:c r="X158" s="24"/>
      <x:c r="Y158" s="24"/>
      <x:c r="Z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  <x:c r="K159" s="24"/>
      <x:c r="L159" s="24"/>
      <x:c r="M159" s="24"/>
      <x:c r="N159" s="24"/>
      <x:c r="O159" s="24"/>
      <x:c r="P159" s="24"/>
      <x:c r="Q159" s="24"/>
      <x:c r="R159" s="24"/>
      <x:c r="S159" s="24"/>
      <x:c r="T159" s="24"/>
      <x:c r="U159" s="24"/>
      <x:c r="V159" s="24"/>
      <x:c r="W159" s="24"/>
      <x:c r="X159" s="24"/>
      <x:c r="Y159" s="24"/>
      <x:c r="Z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  <x:c r="K160" s="24"/>
      <x:c r="L160" s="24"/>
      <x:c r="M160" s="24"/>
      <x:c r="N160" s="24"/>
      <x:c r="O160" s="24"/>
      <x:c r="P160" s="24"/>
      <x:c r="Q160" s="24"/>
      <x:c r="R160" s="24"/>
      <x:c r="S160" s="24"/>
      <x:c r="T160" s="24"/>
      <x:c r="U160" s="24"/>
      <x:c r="V160" s="24"/>
      <x:c r="W160" s="24"/>
      <x:c r="X160" s="24"/>
      <x:c r="Y160" s="24"/>
      <x:c r="Z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  <x:c r="K161" s="24"/>
      <x:c r="L161" s="24"/>
      <x:c r="M161" s="24"/>
      <x:c r="N161" s="24"/>
      <x:c r="O161" s="24"/>
      <x:c r="P161" s="24"/>
      <x:c r="Q161" s="24"/>
      <x:c r="R161" s="24"/>
      <x:c r="S161" s="24"/>
      <x:c r="T161" s="24"/>
      <x:c r="U161" s="24"/>
      <x:c r="V161" s="24"/>
      <x:c r="W161" s="24"/>
      <x:c r="X161" s="24"/>
      <x:c r="Y161" s="24"/>
      <x:c r="Z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  <x:c r="K162" s="24"/>
      <x:c r="L162" s="24"/>
      <x:c r="M162" s="24"/>
      <x:c r="N162" s="24"/>
      <x:c r="O162" s="24"/>
      <x:c r="P162" s="24"/>
      <x:c r="Q162" s="24"/>
      <x:c r="R162" s="24"/>
      <x:c r="S162" s="24"/>
      <x:c r="T162" s="24"/>
      <x:c r="U162" s="24"/>
      <x:c r="V162" s="24"/>
      <x:c r="W162" s="24"/>
      <x:c r="X162" s="24"/>
      <x:c r="Y162" s="24"/>
      <x:c r="Z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  <x:c r="K163" s="24"/>
      <x:c r="L163" s="24"/>
      <x:c r="M163" s="24"/>
      <x:c r="N163" s="24"/>
      <x:c r="O163" s="24"/>
      <x:c r="P163" s="24"/>
      <x:c r="Q163" s="24"/>
      <x:c r="R163" s="24"/>
      <x:c r="S163" s="24"/>
      <x:c r="T163" s="24"/>
      <x:c r="U163" s="24"/>
      <x:c r="V163" s="24"/>
      <x:c r="W163" s="24"/>
      <x:c r="X163" s="24"/>
      <x:c r="Y163" s="24"/>
      <x:c r="Z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  <x:c r="K164" s="24"/>
      <x:c r="L164" s="24"/>
      <x:c r="M164" s="24"/>
      <x:c r="N164" s="24"/>
      <x:c r="O164" s="24"/>
      <x:c r="P164" s="24"/>
      <x:c r="Q164" s="24"/>
      <x:c r="R164" s="24"/>
      <x:c r="S164" s="24"/>
      <x:c r="T164" s="24"/>
      <x:c r="U164" s="24"/>
      <x:c r="V164" s="24"/>
      <x:c r="W164" s="24"/>
      <x:c r="X164" s="24"/>
      <x:c r="Y164" s="24"/>
      <x:c r="Z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  <x:c r="K165" s="24"/>
      <x:c r="L165" s="24"/>
      <x:c r="M165" s="24"/>
      <x:c r="N165" s="24"/>
      <x:c r="O165" s="24"/>
      <x:c r="P165" s="24"/>
      <x:c r="Q165" s="24"/>
      <x:c r="R165" s="24"/>
      <x:c r="S165" s="24"/>
      <x:c r="T165" s="24"/>
      <x:c r="U165" s="24"/>
      <x:c r="V165" s="24"/>
      <x:c r="W165" s="24"/>
      <x:c r="X165" s="24"/>
      <x:c r="Y165" s="24"/>
      <x:c r="Z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  <x:c r="K166" s="24"/>
      <x:c r="L166" s="24"/>
      <x:c r="M166" s="24"/>
      <x:c r="N166" s="24"/>
      <x:c r="O166" s="24"/>
      <x:c r="P166" s="24"/>
      <x:c r="Q166" s="24"/>
      <x:c r="R166" s="24"/>
      <x:c r="S166" s="24"/>
      <x:c r="T166" s="24"/>
      <x:c r="U166" s="24"/>
      <x:c r="V166" s="24"/>
      <x:c r="W166" s="24"/>
      <x:c r="X166" s="24"/>
      <x:c r="Y166" s="24"/>
      <x:c r="Z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  <x:c r="K167" s="24"/>
      <x:c r="L167" s="24"/>
      <x:c r="M167" s="24"/>
      <x:c r="N167" s="24"/>
      <x:c r="O167" s="24"/>
      <x:c r="P167" s="24"/>
      <x:c r="Q167" s="24"/>
      <x:c r="R167" s="24"/>
      <x:c r="S167" s="24"/>
      <x:c r="T167" s="24"/>
      <x:c r="U167" s="24"/>
      <x:c r="V167" s="24"/>
      <x:c r="W167" s="24"/>
      <x:c r="X167" s="24"/>
      <x:c r="Y167" s="24"/>
      <x:c r="Z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  <x:c r="K168" s="24"/>
      <x:c r="L168" s="24"/>
      <x:c r="M168" s="24"/>
      <x:c r="N168" s="24"/>
      <x:c r="O168" s="24"/>
      <x:c r="P168" s="24"/>
      <x:c r="Q168" s="24"/>
      <x:c r="R168" s="24"/>
      <x:c r="S168" s="24"/>
      <x:c r="T168" s="24"/>
      <x:c r="U168" s="24"/>
      <x:c r="V168" s="24"/>
      <x:c r="W168" s="24"/>
      <x:c r="X168" s="24"/>
      <x:c r="Y168" s="24"/>
      <x:c r="Z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  <x:c r="K169" s="24"/>
      <x:c r="L169" s="24"/>
      <x:c r="M169" s="24"/>
      <x:c r="N169" s="24"/>
      <x:c r="O169" s="24"/>
      <x:c r="P169" s="24"/>
      <x:c r="Q169" s="24"/>
      <x:c r="R169" s="24"/>
      <x:c r="S169" s="24"/>
      <x:c r="T169" s="24"/>
      <x:c r="U169" s="24"/>
      <x:c r="V169" s="24"/>
      <x:c r="W169" s="24"/>
      <x:c r="X169" s="24"/>
      <x:c r="Y169" s="24"/>
      <x:c r="Z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  <x:c r="K170" s="24"/>
      <x:c r="L170" s="24"/>
      <x:c r="M170" s="24"/>
      <x:c r="N170" s="24"/>
      <x:c r="O170" s="24"/>
      <x:c r="P170" s="24"/>
      <x:c r="Q170" s="24"/>
      <x:c r="R170" s="24"/>
      <x:c r="S170" s="24"/>
      <x:c r="T170" s="24"/>
      <x:c r="U170" s="24"/>
      <x:c r="V170" s="24"/>
      <x:c r="W170" s="24"/>
      <x:c r="X170" s="24"/>
      <x:c r="Y170" s="24"/>
      <x:c r="Z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  <x:c r="K171" s="24"/>
      <x:c r="L171" s="24"/>
      <x:c r="M171" s="24"/>
      <x:c r="N171" s="24"/>
      <x:c r="O171" s="24"/>
      <x:c r="P171" s="24"/>
      <x:c r="Q171" s="24"/>
      <x:c r="R171" s="24"/>
      <x:c r="S171" s="24"/>
      <x:c r="T171" s="24"/>
      <x:c r="U171" s="24"/>
      <x:c r="V171" s="24"/>
      <x:c r="W171" s="24"/>
      <x:c r="X171" s="24"/>
      <x:c r="Y171" s="24"/>
      <x:c r="Z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  <x:c r="K172" s="24"/>
      <x:c r="L172" s="24"/>
      <x:c r="M172" s="24"/>
      <x:c r="N172" s="24"/>
      <x:c r="O172" s="24"/>
      <x:c r="P172" s="24"/>
      <x:c r="Q172" s="24"/>
      <x:c r="R172" s="24"/>
      <x:c r="S172" s="24"/>
      <x:c r="T172" s="24"/>
      <x:c r="U172" s="24"/>
      <x:c r="V172" s="24"/>
      <x:c r="W172" s="24"/>
      <x:c r="X172" s="24"/>
      <x:c r="Y172" s="24"/>
      <x:c r="Z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  <x:c r="K173" s="24"/>
      <x:c r="L173" s="24"/>
      <x:c r="M173" s="24"/>
      <x:c r="N173" s="24"/>
      <x:c r="O173" s="24"/>
      <x:c r="P173" s="24"/>
      <x:c r="Q173" s="24"/>
      <x:c r="R173" s="24"/>
      <x:c r="S173" s="24"/>
      <x:c r="T173" s="24"/>
      <x:c r="U173" s="24"/>
      <x:c r="V173" s="24"/>
      <x:c r="W173" s="24"/>
      <x:c r="X173" s="24"/>
      <x:c r="Y173" s="24"/>
      <x:c r="Z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  <x:c r="K174" s="24"/>
      <x:c r="L174" s="24"/>
      <x:c r="M174" s="24"/>
      <x:c r="N174" s="24"/>
      <x:c r="O174" s="24"/>
      <x:c r="P174" s="24"/>
      <x:c r="Q174" s="24"/>
      <x:c r="R174" s="24"/>
      <x:c r="S174" s="24"/>
      <x:c r="T174" s="24"/>
      <x:c r="U174" s="24"/>
      <x:c r="V174" s="24"/>
      <x:c r="W174" s="24"/>
      <x:c r="X174" s="24"/>
      <x:c r="Y174" s="24"/>
      <x:c r="Z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  <x:c r="K175" s="24"/>
      <x:c r="L175" s="24"/>
      <x:c r="M175" s="24"/>
      <x:c r="N175" s="24"/>
      <x:c r="O175" s="24"/>
      <x:c r="P175" s="24"/>
      <x:c r="Q175" s="24"/>
      <x:c r="R175" s="24"/>
      <x:c r="S175" s="24"/>
      <x:c r="T175" s="24"/>
      <x:c r="U175" s="24"/>
      <x:c r="V175" s="24"/>
      <x:c r="W175" s="24"/>
      <x:c r="X175" s="24"/>
      <x:c r="Y175" s="24"/>
      <x:c r="Z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  <x:c r="K176" s="24"/>
      <x:c r="L176" s="24"/>
      <x:c r="M176" s="24"/>
      <x:c r="N176" s="24"/>
      <x:c r="O176" s="24"/>
      <x:c r="P176" s="24"/>
      <x:c r="Q176" s="24"/>
      <x:c r="R176" s="24"/>
      <x:c r="S176" s="24"/>
      <x:c r="T176" s="24"/>
      <x:c r="U176" s="24"/>
      <x:c r="V176" s="24"/>
      <x:c r="W176" s="24"/>
      <x:c r="X176" s="24"/>
      <x:c r="Y176" s="24"/>
      <x:c r="Z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  <x:c r="K177" s="24"/>
      <x:c r="L177" s="24"/>
      <x:c r="M177" s="24"/>
      <x:c r="N177" s="24"/>
      <x:c r="O177" s="24"/>
      <x:c r="P177" s="24"/>
      <x:c r="Q177" s="24"/>
      <x:c r="R177" s="24"/>
      <x:c r="S177" s="24"/>
      <x:c r="T177" s="24"/>
      <x:c r="U177" s="24"/>
      <x:c r="V177" s="24"/>
      <x:c r="W177" s="24"/>
      <x:c r="X177" s="24"/>
      <x:c r="Y177" s="24"/>
      <x:c r="Z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  <x:c r="K178" s="24"/>
      <x:c r="L178" s="24"/>
      <x:c r="M178" s="24"/>
      <x:c r="N178" s="24"/>
      <x:c r="O178" s="24"/>
      <x:c r="P178" s="24"/>
      <x:c r="Q178" s="24"/>
      <x:c r="R178" s="24"/>
      <x:c r="S178" s="24"/>
      <x:c r="T178" s="24"/>
      <x:c r="U178" s="24"/>
      <x:c r="V178" s="24"/>
      <x:c r="W178" s="24"/>
      <x:c r="X178" s="24"/>
      <x:c r="Y178" s="24"/>
      <x:c r="Z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  <x:c r="K179" s="24"/>
      <x:c r="L179" s="24"/>
      <x:c r="M179" s="24"/>
      <x:c r="N179" s="24"/>
      <x:c r="O179" s="24"/>
      <x:c r="P179" s="24"/>
      <x:c r="Q179" s="24"/>
      <x:c r="R179" s="24"/>
      <x:c r="S179" s="24"/>
      <x:c r="T179" s="24"/>
      <x:c r="U179" s="24"/>
      <x:c r="V179" s="24"/>
      <x:c r="W179" s="24"/>
      <x:c r="X179" s="24"/>
      <x:c r="Y179" s="24"/>
      <x:c r="Z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  <x:c r="K180" s="24"/>
      <x:c r="L180" s="24"/>
      <x:c r="M180" s="24"/>
      <x:c r="N180" s="24"/>
      <x:c r="O180" s="24"/>
      <x:c r="P180" s="24"/>
      <x:c r="Q180" s="24"/>
      <x:c r="R180" s="24"/>
      <x:c r="S180" s="24"/>
      <x:c r="T180" s="24"/>
      <x:c r="U180" s="24"/>
      <x:c r="V180" s="24"/>
      <x:c r="W180" s="24"/>
      <x:c r="X180" s="24"/>
      <x:c r="Y180" s="24"/>
      <x:c r="Z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  <x:c r="K181" s="24"/>
      <x:c r="L181" s="24"/>
      <x:c r="M181" s="24"/>
      <x:c r="N181" s="24"/>
      <x:c r="O181" s="24"/>
      <x:c r="P181" s="24"/>
      <x:c r="Q181" s="24"/>
      <x:c r="R181" s="24"/>
      <x:c r="S181" s="24"/>
      <x:c r="T181" s="24"/>
      <x:c r="U181" s="24"/>
      <x:c r="V181" s="24"/>
      <x:c r="W181" s="24"/>
      <x:c r="X181" s="24"/>
      <x:c r="Y181" s="24"/>
      <x:c r="Z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  <x:c r="K182" s="24"/>
      <x:c r="L182" s="24"/>
      <x:c r="M182" s="24"/>
      <x:c r="N182" s="24"/>
      <x:c r="O182" s="24"/>
      <x:c r="P182" s="24"/>
      <x:c r="Q182" s="24"/>
      <x:c r="R182" s="24"/>
      <x:c r="S182" s="24"/>
      <x:c r="T182" s="24"/>
      <x:c r="U182" s="24"/>
      <x:c r="V182" s="24"/>
      <x:c r="W182" s="24"/>
      <x:c r="X182" s="24"/>
      <x:c r="Y182" s="24"/>
      <x:c r="Z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  <x:c r="K183" s="24"/>
      <x:c r="L183" s="24"/>
      <x:c r="M183" s="24"/>
      <x:c r="N183" s="24"/>
      <x:c r="O183" s="24"/>
      <x:c r="P183" s="24"/>
      <x:c r="Q183" s="24"/>
      <x:c r="R183" s="24"/>
      <x:c r="S183" s="24"/>
      <x:c r="T183" s="24"/>
      <x:c r="U183" s="24"/>
      <x:c r="V183" s="24"/>
      <x:c r="W183" s="24"/>
      <x:c r="X183" s="24"/>
      <x:c r="Y183" s="24"/>
      <x:c r="Z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  <x:c r="K184" s="24"/>
      <x:c r="L184" s="24"/>
      <x:c r="M184" s="24"/>
      <x:c r="N184" s="24"/>
      <x:c r="O184" s="24"/>
      <x:c r="P184" s="24"/>
      <x:c r="Q184" s="24"/>
      <x:c r="R184" s="24"/>
      <x:c r="S184" s="24"/>
      <x:c r="T184" s="24"/>
      <x:c r="U184" s="24"/>
      <x:c r="V184" s="24"/>
      <x:c r="W184" s="24"/>
      <x:c r="X184" s="24"/>
      <x:c r="Y184" s="24"/>
      <x:c r="Z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  <x:c r="K185" s="24"/>
      <x:c r="L185" s="24"/>
      <x:c r="M185" s="24"/>
      <x:c r="N185" s="24"/>
      <x:c r="O185" s="24"/>
      <x:c r="P185" s="24"/>
      <x:c r="Q185" s="24"/>
      <x:c r="R185" s="24"/>
      <x:c r="S185" s="24"/>
      <x:c r="T185" s="24"/>
      <x:c r="U185" s="24"/>
      <x:c r="V185" s="24"/>
      <x:c r="W185" s="24"/>
      <x:c r="X185" s="24"/>
      <x:c r="Y185" s="24"/>
      <x:c r="Z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  <x:c r="K186" s="24"/>
      <x:c r="L186" s="24"/>
      <x:c r="M186" s="24"/>
      <x:c r="N186" s="24"/>
      <x:c r="O186" s="24"/>
      <x:c r="P186" s="24"/>
      <x:c r="Q186" s="24"/>
      <x:c r="R186" s="24"/>
      <x:c r="S186" s="24"/>
      <x:c r="T186" s="24"/>
      <x:c r="U186" s="24"/>
      <x:c r="V186" s="24"/>
      <x:c r="W186" s="24"/>
      <x:c r="X186" s="24"/>
      <x:c r="Y186" s="24"/>
      <x:c r="Z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  <x:c r="K187" s="24"/>
      <x:c r="L187" s="24"/>
      <x:c r="M187" s="24"/>
      <x:c r="N187" s="24"/>
      <x:c r="O187" s="24"/>
      <x:c r="P187" s="24"/>
      <x:c r="Q187" s="24"/>
      <x:c r="R187" s="24"/>
      <x:c r="S187" s="24"/>
      <x:c r="T187" s="24"/>
      <x:c r="U187" s="24"/>
      <x:c r="V187" s="24"/>
      <x:c r="W187" s="24"/>
      <x:c r="X187" s="24"/>
      <x:c r="Y187" s="24"/>
      <x:c r="Z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  <x:c r="K188" s="24"/>
      <x:c r="L188" s="24"/>
      <x:c r="M188" s="24"/>
      <x:c r="N188" s="24"/>
      <x:c r="O188" s="24"/>
      <x:c r="P188" s="24"/>
      <x:c r="Q188" s="24"/>
      <x:c r="R188" s="24"/>
      <x:c r="S188" s="24"/>
      <x:c r="T188" s="24"/>
      <x:c r="U188" s="24"/>
      <x:c r="V188" s="24"/>
      <x:c r="W188" s="24"/>
      <x:c r="X188" s="24"/>
      <x:c r="Y188" s="24"/>
      <x:c r="Z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  <x:c r="K189" s="24"/>
      <x:c r="L189" s="24"/>
      <x:c r="M189" s="24"/>
      <x:c r="N189" s="24"/>
      <x:c r="O189" s="24"/>
      <x:c r="P189" s="24"/>
      <x:c r="Q189" s="24"/>
      <x:c r="R189" s="24"/>
      <x:c r="S189" s="24"/>
      <x:c r="T189" s="24"/>
      <x:c r="U189" s="24"/>
      <x:c r="V189" s="24"/>
      <x:c r="W189" s="24"/>
      <x:c r="X189" s="24"/>
      <x:c r="Y189" s="24"/>
      <x:c r="Z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  <x:c r="K190" s="24"/>
      <x:c r="L190" s="24"/>
      <x:c r="M190" s="24"/>
      <x:c r="N190" s="24"/>
      <x:c r="O190" s="24"/>
      <x:c r="P190" s="24"/>
      <x:c r="Q190" s="24"/>
      <x:c r="R190" s="24"/>
      <x:c r="S190" s="24"/>
      <x:c r="T190" s="24"/>
      <x:c r="U190" s="24"/>
      <x:c r="V190" s="24"/>
      <x:c r="W190" s="24"/>
      <x:c r="X190" s="24"/>
      <x:c r="Y190" s="24"/>
      <x:c r="Z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  <x:c r="K191" s="24"/>
      <x:c r="L191" s="24"/>
      <x:c r="M191" s="24"/>
      <x:c r="N191" s="24"/>
      <x:c r="O191" s="24"/>
      <x:c r="P191" s="24"/>
      <x:c r="Q191" s="24"/>
      <x:c r="R191" s="24"/>
      <x:c r="S191" s="24"/>
      <x:c r="T191" s="24"/>
      <x:c r="U191" s="24"/>
      <x:c r="V191" s="24"/>
      <x:c r="W191" s="24"/>
      <x:c r="X191" s="24"/>
      <x:c r="Y191" s="24"/>
      <x:c r="Z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  <x:c r="K192" s="24"/>
      <x:c r="L192" s="24"/>
      <x:c r="M192" s="24"/>
      <x:c r="N192" s="24"/>
      <x:c r="O192" s="24"/>
      <x:c r="P192" s="24"/>
      <x:c r="Q192" s="24"/>
      <x:c r="R192" s="24"/>
      <x:c r="S192" s="24"/>
      <x:c r="T192" s="24"/>
      <x:c r="U192" s="24"/>
      <x:c r="V192" s="24"/>
      <x:c r="W192" s="24"/>
      <x:c r="X192" s="24"/>
      <x:c r="Y192" s="24"/>
      <x:c r="Z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  <x:c r="K193" s="24"/>
      <x:c r="L193" s="24"/>
      <x:c r="M193" s="24"/>
      <x:c r="N193" s="24"/>
      <x:c r="O193" s="24"/>
      <x:c r="P193" s="24"/>
      <x:c r="Q193" s="24"/>
      <x:c r="R193" s="24"/>
      <x:c r="S193" s="24"/>
      <x:c r="T193" s="24"/>
      <x:c r="U193" s="24"/>
      <x:c r="V193" s="24"/>
      <x:c r="W193" s="24"/>
      <x:c r="X193" s="24"/>
      <x:c r="Y193" s="24"/>
      <x:c r="Z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  <x:c r="K194" s="24"/>
      <x:c r="L194" s="24"/>
      <x:c r="M194" s="24"/>
      <x:c r="N194" s="24"/>
      <x:c r="O194" s="24"/>
      <x:c r="P194" s="24"/>
      <x:c r="Q194" s="24"/>
      <x:c r="R194" s="24"/>
      <x:c r="S194" s="24"/>
      <x:c r="T194" s="24"/>
      <x:c r="U194" s="24"/>
      <x:c r="V194" s="24"/>
      <x:c r="W194" s="24"/>
      <x:c r="X194" s="24"/>
      <x:c r="Y194" s="24"/>
      <x:c r="Z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  <x:c r="K195" s="24"/>
      <x:c r="L195" s="24"/>
      <x:c r="M195" s="24"/>
      <x:c r="N195" s="24"/>
      <x:c r="O195" s="24"/>
      <x:c r="P195" s="24"/>
      <x:c r="Q195" s="24"/>
      <x:c r="R195" s="24"/>
      <x:c r="S195" s="24"/>
      <x:c r="T195" s="24"/>
      <x:c r="U195" s="24"/>
      <x:c r="V195" s="24"/>
      <x:c r="W195" s="24"/>
      <x:c r="X195" s="24"/>
      <x:c r="Y195" s="24"/>
      <x:c r="Z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  <x:c r="K196" s="24"/>
      <x:c r="L196" s="24"/>
      <x:c r="M196" s="24"/>
      <x:c r="N196" s="24"/>
      <x:c r="O196" s="24"/>
      <x:c r="P196" s="24"/>
      <x:c r="Q196" s="24"/>
      <x:c r="R196" s="24"/>
      <x:c r="S196" s="24"/>
      <x:c r="T196" s="24"/>
      <x:c r="U196" s="24"/>
      <x:c r="V196" s="24"/>
      <x:c r="W196" s="24"/>
      <x:c r="X196" s="24"/>
      <x:c r="Y196" s="24"/>
      <x:c r="Z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  <x:c r="K197" s="24"/>
      <x:c r="L197" s="24"/>
      <x:c r="M197" s="24"/>
      <x:c r="N197" s="24"/>
      <x:c r="O197" s="24"/>
      <x:c r="P197" s="24"/>
      <x:c r="Q197" s="24"/>
      <x:c r="R197" s="24"/>
      <x:c r="S197" s="24"/>
      <x:c r="T197" s="24"/>
      <x:c r="U197" s="24"/>
      <x:c r="V197" s="24"/>
      <x:c r="W197" s="24"/>
      <x:c r="X197" s="24"/>
      <x:c r="Y197" s="24"/>
      <x:c r="Z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  <x:c r="K198" s="24"/>
      <x:c r="L198" s="24"/>
      <x:c r="M198" s="24"/>
      <x:c r="N198" s="24"/>
      <x:c r="O198" s="24"/>
      <x:c r="P198" s="24"/>
      <x:c r="Q198" s="24"/>
      <x:c r="R198" s="24"/>
      <x:c r="S198" s="24"/>
      <x:c r="T198" s="24"/>
      <x:c r="U198" s="24"/>
      <x:c r="V198" s="24"/>
      <x:c r="W198" s="24"/>
      <x:c r="X198" s="24"/>
      <x:c r="Y198" s="24"/>
      <x:c r="Z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  <x:c r="K199" s="24"/>
      <x:c r="L199" s="24"/>
      <x:c r="M199" s="24"/>
      <x:c r="N199" s="24"/>
      <x:c r="O199" s="24"/>
      <x:c r="P199" s="24"/>
      <x:c r="Q199" s="24"/>
      <x:c r="R199" s="24"/>
      <x:c r="S199" s="24"/>
      <x:c r="T199" s="24"/>
      <x:c r="U199" s="24"/>
      <x:c r="V199" s="24"/>
      <x:c r="W199" s="24"/>
      <x:c r="X199" s="24"/>
      <x:c r="Y199" s="24"/>
      <x:c r="Z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  <x:c r="K200" s="24"/>
      <x:c r="L200" s="24"/>
      <x:c r="M200" s="24"/>
      <x:c r="N200" s="24"/>
      <x:c r="O200" s="24"/>
      <x:c r="P200" s="24"/>
      <x:c r="Q200" s="24"/>
      <x:c r="R200" s="24"/>
      <x:c r="S200" s="24"/>
      <x:c r="T200" s="24"/>
      <x:c r="U200" s="24"/>
      <x:c r="V200" s="24"/>
      <x:c r="W200" s="24"/>
      <x:c r="X200" s="24"/>
      <x:c r="Y200" s="24"/>
      <x:c r="Z200" s="24"/>
    </x:row>
  </x:sheetData>
  <x:mergeCells>
    <x:mergeCell ref="A1:M1"/>
  </x:mergeCells>
  <x:dataValidations count="2">
    <x:dataValidation type="list" sqref="D4:D23">
      <x:formula1>"Yes,No"</x:formula1>
    </x:dataValidation>
    <x:dataValidation type="list" sqref="J4:J23">
      <x:formula1>"Win,Loss,Draw,Not Finished"</x:formula1>
    </x:dataValidation>
  </x:dataValidations>
  <x:pageMargins left="0.7" right="0.7" top="0.75" bottom="0.75" header="0.3" footer="0.3"/>
</x:worksheet>
</file>