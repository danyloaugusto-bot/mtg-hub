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8268361f5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dd28621fdef40d0"/>
    <x:sheet xmlns:r="http://schemas.openxmlformats.org/officeDocument/2006/relationships" name="Current" sheetId="2" r:id="R28484890e21b478a"/>
    <x:sheet xmlns:r="http://schemas.openxmlformats.org/officeDocument/2006/relationships" name="Proposed V2" sheetId="3" r:id="R33091d9dcb414bcd"/>
    <x:sheet xmlns:r="http://schemas.openxmlformats.org/officeDocument/2006/relationships" name="Upgrade Matrix" sheetId="4" r:id="R7f4d41507dfb4861"/>
    <x:sheet xmlns:r="http://schemas.openxmlformats.org/officeDocument/2006/relationships" name="Card Matrix" sheetId="5" r:id="R7affcb1500444cec"/>
    <x:sheet xmlns:r="http://schemas.openxmlformats.org/officeDocument/2006/relationships" name="Groups 8x8" sheetId="6" r:id="R46bb9fb1fd454dd6"/>
    <x:sheet xmlns:r="http://schemas.openxmlformats.org/officeDocument/2006/relationships" name="Tier List" sheetId="7" r:id="Rfb48c8045b654c5c"/>
    <x:sheet xmlns:r="http://schemas.openxmlformats.org/officeDocument/2006/relationships" name="Structural Audit" sheetId="8" r:id="Ra6603a1606cc4717"/>
    <x:sheet xmlns:r="http://schemas.openxmlformats.org/officeDocument/2006/relationships" name="Sources &amp; Rules" sheetId="9" r:id="Raabe908e96294c46"/>
    <x:sheet xmlns:r="http://schemas.openxmlformats.org/officeDocument/2006/relationships" name="Playtest Log" sheetId="10" r:id="Rc4fb78837f20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&quot; / 10&quot;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B4654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1"/>
      <x:color rgb="FF4B4654"/>
      <x:name val="Carlito"/>
    </x:font>
    <x:font>
      <x:b/>
      <x:sz val="14"/>
      <x:color rgb="FF5B2A86"/>
      <x:name val="Carlito"/>
    </x:font>
    <x:font>
      <x:i/>
      <x:sz val="11"/>
      <x:color rgb="FF4B4654"/>
      <x:name val="Carlito"/>
    </x:font>
    <x:font>
      <x:b/>
      <x:sz val="11"/>
      <x:color rgb="FF5B2A86"/>
      <x:name val="Carlito"/>
    </x:font>
    <x:font>
      <x:sz val="10"/>
      <x:color rgb="FF4B4654"/>
      <x:name val="Carlito"/>
    </x:font>
    <x:font>
      <x:sz val="11"/>
      <x:color rgb="FF4B4654"/>
      <x:name val="Carlito"/>
    </x:font>
    <x:font>
      <x:b/>
      <x:sz val="10"/>
      <x:color rgb="FF5B2A8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151F"/>
      </x:patternFill>
    </x:fill>
    <x:fill>
      <x:patternFill patternType="solid">
        <x:fgColor rgb="FFEDE9FE"/>
      </x:patternFill>
    </x:fill>
    <x:fill>
      <x:patternFill patternType="solid">
        <x:fgColor rgb="FF7C3AED"/>
      </x:patternFill>
    </x:fill>
    <x:fill>
      <x:patternFill patternType="solid">
        <x:fgColor rgb="FF5B2A86"/>
      </x:patternFill>
    </x:fill>
    <x:fill>
      <x:patternFill patternType="solid">
        <x:fgColor rgb="FFF5F3F7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200" fontId="6" fillId="3" borderId="0" xfId="0" applyNumberFormat="1" applyFont="1" applyFill="1" applyBorder="1" applyAlignment="1">
      <x:alignment horizontal="center"/>
    </x:xf>
    <x:xf numFmtId="200" fontId="6" fillId="3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9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9" fillId="3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bfdcc1dfe4ef0" /><Relationship Type="http://schemas.openxmlformats.org/officeDocument/2006/relationships/theme" Target="/xl/theme/theme1.xml" Id="Rfcd1173e2d1445da" /><Relationship Type="http://schemas.openxmlformats.org/officeDocument/2006/relationships/sharedStrings" Target="/xl/sharedStrings.xml" Id="R05168e3252db4441" /><Relationship Type="http://schemas.openxmlformats.org/officeDocument/2006/relationships/worksheet" Target="/xl/worksheets/sheet1.xml" Id="R8dd28621fdef40d0" /><Relationship Type="http://schemas.openxmlformats.org/officeDocument/2006/relationships/worksheet" Target="/xl/worksheets/sheet2.xml" Id="R28484890e21b478a" /><Relationship Type="http://schemas.openxmlformats.org/officeDocument/2006/relationships/worksheet" Target="/xl/worksheets/sheet3.xml" Id="R33091d9dcb414bcd" /><Relationship Type="http://schemas.openxmlformats.org/officeDocument/2006/relationships/worksheet" Target="/xl/worksheets/sheet4.xml" Id="R7f4d41507dfb4861" /><Relationship Type="http://schemas.openxmlformats.org/officeDocument/2006/relationships/worksheet" Target="/xl/worksheets/sheet5.xml" Id="R7affcb1500444cec" /><Relationship Type="http://schemas.openxmlformats.org/officeDocument/2006/relationships/worksheet" Target="/xl/worksheets/sheet6.xml" Id="R46bb9fb1fd454dd6" /><Relationship Type="http://schemas.openxmlformats.org/officeDocument/2006/relationships/worksheet" Target="/xl/worksheets/sheet7.xml" Id="Rfb48c8045b654c5c" /><Relationship Type="http://schemas.openxmlformats.org/officeDocument/2006/relationships/worksheet" Target="/xl/worksheets/sheet8.xml" Id="Ra6603a1606cc4717" /><Relationship Type="http://schemas.openxmlformats.org/officeDocument/2006/relationships/worksheet" Target="/xl/worksheets/sheet9.xml" Id="Raabe908e96294c46" /><Relationship Type="http://schemas.openxmlformats.org/officeDocument/2006/relationships/worksheet" Target="/xl/worksheets/sheet10.xml" Id="Rc4fb78837f204e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21441e32b944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funcional — CURRENT vs PROPOSED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Qty CURRENT</c:v>
          </c:tx>
          <c:cat>
            <c:strRef>
              <c:f>'Groups 8x8'!$A$5:$A$12</c:f>
              <c:strCache>
                <c:ptCount val="0"/>
              </c:strCache>
            </c:strRef>
          </c:cat>
          <c:val>
            <c:numRef>
              <c:f>'Groups 8x8'!$B$5:$B$12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Qty PROPOSED</c:v>
          </c:tx>
          <c:cat>
            <c:strRef>
              <c:f>'Groups 8x8'!$A$5:$A$12</c:f>
              <c:strCache>
                <c:ptCount val="0"/>
              </c:strCache>
            </c:strRef>
          </c:cat>
          <c:val>
            <c:numRef>
              <c:f>'Groups 8x8'!$C$5:$C$12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21441e32b944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entDeckTable" displayName="CurrentDeckTable" ref="A4:G80" headerRowCount="1" totalsRowCount="0" totalsRowShown="0">
  <x:tableColumns count="7">
    <x:tableColumn id="1" name="Qty"/>
    <x:tableColumn id="2" name="Card"/>
    <x:tableColumn id="3" name="Printing / Finish"/>
    <x:tableColumn id="4" name="Type / Notes"/>
    <x:tableColumn id="5" name="Grupo primário"/>
    <x:tableColumn id="6" name="Status"/>
    <x:tableColumn id="7" name="Papel estratégic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posedDeckTable" displayName="ProposedDeckTable" ref="A4:G80" headerRowCount="1" totalsRowCount="0" totalsRowShown="0">
  <x:tableColumns count="7">
    <x:tableColumn id="1" name="Qty"/>
    <x:tableColumn id="2" name="Card"/>
    <x:tableColumn id="3" name="Printing / Finish"/>
    <x:tableColumn id="4" name="Type / Notes"/>
    <x:tableColumn id="5" name="Grupo primário"/>
    <x:tableColumn id="6" name="Status"/>
    <x:tableColumn id="7" name="Papel estratégic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pgradeMatrixTable" displayName="UpgradeMatrixTable" ref="A4:I17" headerRowCount="1" totalsRowCount="0" totalsRowShown="0">
  <x:tableColumns count="9">
    <x:tableColumn id="1" name="IN"/>
    <x:tableColumn id="2" name="OUT"/>
    <x:tableColumn id="3" name="Prioridade"/>
    <x:tableColumn id="4" name="Grupo"/>
    <x:tableColumn id="5" name="Por que entra"/>
    <x:tableColumn id="6" name="Por que sai"/>
    <x:tableColumn id="7" name="Ganho esperado"/>
    <x:tableColumn id="8" name="Custo / argumento contra"/>
    <x:tableColumn id="9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rdMatrixTable" displayName="CardMatrixTable" ref="A4:J93" headerRowCount="1" totalsRowCount="0" totalsRowShown="0">
  <x:tableColumns count="10">
    <x:tableColumn id="1" name="Card"/>
    <x:tableColumn id="2" name="Qty CURRENT"/>
    <x:tableColumn id="3" name="Qty V2"/>
    <x:tableColumn id="4" name="Group CURRENT"/>
    <x:tableColumn id="5" name="Group V2"/>
    <x:tableColumn id="6" name="Tier"/>
    <x:tableColumn id="7" name="Status / decisão"/>
    <x:tableColumn id="8" name="Printing CURRENT"/>
    <x:tableColumn id="9" name="Função / nota"/>
    <x:tableColumn id="10" name="Source / refer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unctionalGroupsTable" displayName="FunctionalGroupsTable" ref="A4:F12" headerRowCount="1" totalsRowCount="0" totalsRowShown="0">
  <x:tableColumns count="6">
    <x:tableColumn id="1" name="Grupo"/>
    <x:tableColumn id="2" name="Qty CURRENT"/>
    <x:tableColumn id="3" name="Qty PROPOSED"/>
    <x:tableColumn id="4" name="Delta"/>
    <x:tableColumn id="5" name="Papel principal"/>
    <x:tableColumn id="6" name="Observação crític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ierListTable" displayName="TierListTable" ref="A4:F93" headerRowCount="1" totalsRowCount="0" totalsRowShown="0">
  <x:tableColumns count="6">
    <x:tableColumn id="1" name="Tier"/>
    <x:tableColumn id="2" name="Card"/>
    <x:tableColumn id="3" name="Grupo principal"/>
    <x:tableColumn id="4" name="Status V2"/>
    <x:tableColumn id="5" name="Por que recebe esta avaliação"/>
    <x:tableColumn id="6" name="Nível de confianç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RulesTable" displayName="SourcesRulesTable" ref="A4:D18" headerRowCount="1" totalsRowCount="0" totalsRowShown="0">
  <x:tableColumns count="4">
    <x:tableColumn id="1" name="Tema"/>
    <x:tableColumn id="2" name="Conclusão de trabalho"/>
    <x:tableColumn id="3" name="Fonte"/>
    <x:tableColumn id="4" name="Uso / ressalv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37669f6dd54a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26917baf3e4b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9a0b9c14154d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b4cceda7e646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ad3d280705c491f" /><Relationship Type="http://schemas.openxmlformats.org/officeDocument/2006/relationships/table" Target="/xl/tables/table5.xml" Id="R6f6ec50638d347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150390734142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26a62b5d768433a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33" hidden="0" customWidth="1"/>
    <x:col min="3" max="3" width="45" hidden="0" customWidth="1"/>
    <x:col min="4" max="4" width="29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2" customHeight="1">
      <x:c r="A1" s="5" t="str">
        <x:v>K'RRIK, SON OF YAWGMOTH — DECK AUDIT V2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3" t="str">
        <x:v>CURRENT preservado · PROPOSED V2 com 13 trocas · mono-black de vida como recurso, lifegain, drain e combo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22" customHeight="1">
      <x:c r="A4" s="19" t="str">
        <x:v>AVALIAÇÃO EXECUTIVA</x:v>
      </x:c>
      <x:c r="B4" s="19"/>
      <x:c r="C4" s="19"/>
      <x:c r="D4" s="19"/>
      <x:c r="E4" s="19"/>
      <x:c r="F4" s="19"/>
      <x:c r="G4" s="19"/>
      <x:c r="H4" s="19"/>
      <x:c r="I4" s="19"/>
      <x:c r="J4" s="19"/>
    </x:row>
    <x:row r="5" ht="30" customHeight="1">
      <x:c r="A5" s="26" t="str">
        <x:v>Indicador</x:v>
      </x:c>
      <x:c r="B5" s="26" t="str">
        <x:v>Valor</x:v>
      </x:c>
      <x:c r="D5" s="26" t="str">
        <x:v>Validação estrutural</x:v>
      </x:c>
      <x:c r="E5" s="26" t="str">
        <x:v>CURRENT</x:v>
      </x:c>
      <x:c r="F5" s="26" t="str">
        <x:v>PROPOSED V2</x:v>
      </x:c>
    </x:row>
    <x:row r="6" ht="30" customHeight="1">
      <x:c r="A6" s="33" t="str">
        <x:v>Nota CURRENT</x:v>
      </x:c>
      <x:c r="B6" s="40" t="n">
        <x:v>6.8</x:v>
      </x:c>
      <x:c r="D6" s="80" t="str">
        <x:v>Total de cartas</x:v>
      </x:c>
      <x:c r="E6" s="50" t="n">
        <x:f>SUM(Current!A5:A80)</x:f>
        <x:v>100</x:v>
      </x:c>
      <x:c r="F6" s="50" t="n">
        <x:f>SUM('Proposed V2'!A5:A80)</x:f>
        <x:v>100</x:v>
      </x:c>
    </x:row>
    <x:row r="7" ht="30" customHeight="1">
      <x:c r="A7" s="33" t="str">
        <x:v>Nota PROPOSED V2</x:v>
      </x:c>
      <x:c r="B7" s="40" t="n">
        <x:v>8.4</x:v>
      </x:c>
      <x:c r="D7" s="80" t="str">
        <x:v>Terrenos dedicados</x:v>
      </x:c>
      <x:c r="E7" s="50" t="n">
        <x:f>SUMIF(Current!D5:D80,"Land",Current!A5:A80)+SUMIF(Current!D5:D80,"Basic Land",Current!A5:A80)</x:f>
        <x:v>32</x:v>
      </x:c>
      <x:c r="F7" s="50" t="n">
        <x:f>SUMIF('Proposed V2'!D5:D80,"Land",'Proposed V2'!A5:A80)+SUMIF('Proposed V2'!D5:D80,"Basic Land",'Proposed V2'!A5:A80)</x:f>
        <x:v>32</x:v>
      </x:c>
    </x:row>
    <x:row r="8" ht="30" customHeight="1">
      <x:c r="A8" s="33" t="str">
        <x:v>Trocas propostas</x:v>
      </x:c>
      <x:c r="B8" s="37" t="n">
        <x:v>13</x:v>
      </x:c>
      <x:c r="D8" s="80" t="str">
        <x:v>Fontes funcionais de terreno (MDFC incluída)</x:v>
      </x:c>
      <x:c r="E8" s="50" t="n">
        <x:f>E7+COUNTIF(Current!B5:B80,"Boggart Trawler // Boggart Bog")</x:f>
        <x:v>33</x:v>
      </x:c>
      <x:c r="F8" s="50" t="n">
        <x:f>F7+COUNTIF('Proposed V2'!B5:B80,"Boggart Trawler // Boggart Bog")</x:f>
        <x:v>33</x:v>
      </x:c>
    </x:row>
    <x:row r="9" ht="30" customHeight="1">
      <x:c r="D9" s="80" t="str">
        <x:v>Slots de não-terrenos</x:v>
      </x:c>
      <x:c r="E9" s="50" t="n">
        <x:f>E6-1-E7</x:f>
        <x:v>67</x:v>
      </x:c>
      <x:c r="F9" s="50" t="n">
        <x:f>F6-1-F7</x:f>
        <x:v>67</x:v>
      </x:c>
    </x:row>
    <x:row r="10" ht="30" customHeight="1">
      <x:c r="A10" s="44" t="str">
        <x:v>Nota é estimativa de construção, não taxa de vitória observada. V2 ainda não foi testada.</x:v>
      </x:c>
      <x:c r="B10" s="44"/>
      <x:c r="D10" s="80" t="str">
        <x:v>Estado da versão</x:v>
      </x:c>
      <x:c r="E10" s="50" t="str">
        <x:v>Referência</x:v>
      </x:c>
      <x:c r="F10" s="50" t="str">
        <x:v>Proposta não testada</x:v>
      </x:c>
    </x:row>
    <x:row r="12" ht="22" customHeight="1">
      <x:c r="A12" s="19" t="str">
        <x:v>DIAGNÓSTICO CENTRAL</x:v>
      </x:c>
      <x:c r="B12" s="19"/>
      <x:c r="C12" s="19"/>
      <x:c r="D12" s="19"/>
      <x:c r="E12" s="19"/>
      <x:c r="F12" s="19"/>
      <x:c r="G12" s="19"/>
      <x:c r="H12" s="19"/>
      <x:c r="I12" s="19"/>
      <x:c r="J12" s="19"/>
    </x:row>
    <x:row r="13" ht="40" customHeight="1">
      <x:c r="A13" s="49" t="str">
        <x:v>1. Principal força</x:v>
      </x:c>
      <x:c r="B13" s="56" t="str">
        <x:v>K'rrik transforma símbolos pretos em pagamentos de 2 pontos de vida, tem lifelink e cresce a cada mágica preta. A vida é recurso, mas precisa ser administrada.</x:v>
      </x:c>
      <x:c r="C13" s="56"/>
      <x:c r="D13" s="56"/>
      <x:c r="E13" s="56"/>
      <x:c r="F13" s="56"/>
      <x:c r="G13" s="56"/>
      <x:c r="H13" s="56"/>
      <x:c r="I13" s="56"/>
      <x:c r="J13" s="56"/>
    </x:row>
    <x:row r="14" ht="40" customHeight="1">
      <x:c r="A14" s="49" t="str">
        <x:v>2. Gargalo</x:v>
      </x:c>
      <x:c r="B14" s="56" t="str">
        <x:v>Poucos motores explosivos de compra, ausência de Necropotence/Bolas's Citadel/Vilis e excesso relativo de remoções globais lentas.</x:v>
      </x:c>
      <x:c r="C14" s="56"/>
      <x:c r="D14" s="56"/>
      <x:c r="E14" s="56"/>
      <x:c r="F14" s="56"/>
      <x:c r="G14" s="56"/>
      <x:c r="H14" s="56"/>
      <x:c r="I14" s="56"/>
      <x:c r="J14" s="56"/>
    </x:row>
    <x:row r="15" ht="40" customHeight="1">
      <x:c r="A15" s="49" t="str">
        <x:v>3. Condições de vitória</x:v>
      </x:c>
      <x:c r="B15" s="56" t="str">
        <x:v>Exquisite Blood + Sanguine Bond/Vito/Enduring Tenacity; Aetherflux Reservoir; Gray Merchant/Exsanguinate; linha nova K'rrik + Reservoir + Leshrac's Sigil.</x:v>
      </x:c>
      <x:c r="C15" s="56"/>
      <x:c r="D15" s="56"/>
      <x:c r="E15" s="56"/>
      <x:c r="F15" s="56"/>
      <x:c r="G15" s="56"/>
      <x:c r="H15" s="56"/>
      <x:c r="I15" s="56"/>
      <x:c r="J15" s="56"/>
    </x:row>
    <x:row r="16" ht="40" customHeight="1">
      <x:c r="A16" s="49" t="str">
        <x:v>4. Filosofia da V2</x:v>
      </x:c>
      <x:c r="B16" s="56" t="str">
        <x:v>Aumentar consistência sem abandonar mono-black lifegain/drain. Todas as cartas CURRENT marcadas *F*/*E* ficam na proposta; os pets não identificados continuam pendentes.</x:v>
      </x:c>
      <x:c r="C16" s="56"/>
      <x:c r="D16" s="56"/>
      <x:c r="E16" s="56"/>
      <x:c r="F16" s="56"/>
      <x:c r="G16" s="56"/>
      <x:c r="H16" s="56"/>
      <x:c r="I16" s="56"/>
      <x:c r="J16" s="56"/>
    </x:row>
    <x:row r="17" ht="40" customHeight="1">
      <x:c r="A17" s="49" t="str">
        <x:v>5. Limite de potência</x:v>
      </x:c>
      <x:c r="B17" s="56" t="str">
        <x:v>A V2 mira Commander casual de alto poder/optimized casual. Não é uma lista cEDH completa e não foi validada em partidas.</x:v>
      </x:c>
      <x:c r="C17" s="56"/>
      <x:c r="D17" s="56"/>
      <x:c r="E17" s="56"/>
      <x:c r="F17" s="56"/>
      <x:c r="G17" s="56"/>
      <x:c r="H17" s="56"/>
      <x:c r="I17" s="56"/>
      <x:c r="J17" s="56"/>
    </x:row>
    <x:row r="19" ht="22" customHeight="1">
      <x:c r="A19" s="19" t="str">
        <x:v>PRIORIDADES DE TESTE</x:v>
      </x:c>
      <x:c r="B19" s="19"/>
      <x:c r="C19" s="19"/>
      <x:c r="D19" s="19"/>
      <x:c r="E19" s="19"/>
      <x:c r="F19" s="19"/>
      <x:c r="G19" s="19"/>
      <x:c r="H19" s="19"/>
      <x:c r="I19" s="19"/>
      <x:c r="J19" s="19"/>
    </x:row>
    <x:row r="20" ht="34" customHeight="1">
      <x:c r="A20" s="26" t="str">
        <x:v>Prioridade</x:v>
      </x:c>
      <x:c r="B20" s="26" t="str">
        <x:v>Ação</x:v>
      </x:c>
      <x:c r="C20" s="26" t="str">
        <x:v>Sinal a observar</x:v>
      </x:c>
    </x:row>
    <x:row r="21" ht="34" customHeight="1">
      <x:c r="A21" s="62" t="str">
        <x:v>P1</x:v>
      </x:c>
      <x:c r="B21" s="62" t="str">
        <x:v>Testar Necropotence/Vilis/Citadel como motores de compra</x:v>
      </x:c>
      <x:c r="C21" s="62" t="str">
        <x:v>Frequência de mão vazia e capacidade de continuar após interação</x:v>
      </x:c>
    </x:row>
    <x:row r="22" ht="34" customHeight="1">
      <x:c r="A22" s="62" t="str">
        <x:v>P1</x:v>
      </x:c>
      <x:c r="B22" s="62" t="str">
        <x:v>Medir vida paga para conjurar K'rrik e ativar engines</x:v>
      </x:c>
      <x:c r="C22" s="62" t="str">
        <x:v>Se o deck morre por auto-dano antes de recuperar vida</x:v>
      </x:c>
    </x:row>
    <x:row r="23" ht="34" customHeight="1">
      <x:c r="A23" s="62" t="str">
        <x:v>P2</x:v>
      </x:c>
      <x:c r="B23" s="62" t="str">
        <x:v>Validar Leshrac's Sigil combo com Reservoir e K'rrik</x:v>
      </x:c>
      <x:c r="C23" s="62" t="str">
        <x:v>Turnos em que a linha é possível e vida mínima necessária</x:v>
      </x:c>
    </x:row>
  </x:sheetData>
  <x:mergeCells>
    <x:mergeCell ref="A1:J1"/>
    <x:mergeCell ref="A2:J2"/>
    <x:mergeCell ref="A4:J4"/>
    <x:mergeCell ref="A10:B10"/>
    <x:mergeCell ref="A12:J12"/>
    <x:mergeCell ref="B13:J13"/>
    <x:mergeCell ref="B14:J14"/>
    <x:mergeCell ref="B15:J15"/>
    <x:mergeCell ref="B16:J16"/>
    <x:mergeCell ref="B17:J17"/>
    <x:mergeCell ref="A19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6" hidden="0" customWidth="1"/>
    <x:col min="3" max="3" width="29" hidden="0" customWidth="1"/>
    <x:col min="4" max="4" width="25" hidden="0" customWidth="1"/>
    <x:col min="5" max="5" width="22" hidden="0" customWidth="1"/>
    <x:col min="6" max="6" width="29" hidden="0" customWidth="1"/>
    <x:col min="7" max="7" width="58" hidden="0" customWidth="1"/>
  </x:cols>
  <x:sheetData>
    <x:row r="1" ht="32" customHeight="1">
      <x:c r="A1" s="5" t="str">
        <x:v>CURRENT — LISTA ORIGINAL</x:v>
      </x:c>
      <x:c r="B1" s="5"/>
      <x:c r="C1" s="5"/>
      <x:c r="D1" s="5"/>
      <x:c r="E1" s="5"/>
      <x:c r="F1" s="5"/>
      <x:c r="G1" s="5"/>
    </x:row>
    <x:row r="2" ht="30" customHeight="1">
      <x:c r="A2" s="13" t="str">
        <x:v>Qty × carta; impressão da lista enviada preservada. Boggart Trawler // Boggart Bog é MDFC: conta como carta de criatura e fonte funcional de terreno.</x:v>
      </x:c>
      <x:c r="B2" s="13"/>
      <x:c r="C2" s="13"/>
      <x:c r="D2" s="13"/>
      <x:c r="E2" s="13"/>
      <x:c r="F2" s="13"/>
      <x:c r="G2" s="13"/>
    </x:row>
    <x:row r="4" ht="30" customHeight="1">
      <x:c r="A4" s="26" t="str">
        <x:v>Qty</x:v>
      </x:c>
      <x:c r="B4" s="26" t="str">
        <x:v>Card</x:v>
      </x:c>
      <x:c r="C4" s="26" t="str">
        <x:v>Printing / Finish</x:v>
      </x:c>
      <x:c r="D4" s="26" t="str">
        <x:v>Type / Notes</x:v>
      </x:c>
      <x:c r="E4" s="26" t="str">
        <x:v>Grupo primário</x:v>
      </x:c>
      <x:c r="F4" s="26" t="str">
        <x:v>Status</x:v>
      </x:c>
      <x:c r="G4" s="26" t="str">
        <x:v>Papel estratégico</x:v>
      </x:c>
    </x:row>
    <x:row r="5">
      <x:c r="A5" s="72" t="n">
        <x:v>1</x:v>
      </x:c>
      <x:c r="B5" s="70" t="str">
        <x:v>K'rrik, Son of Yawgmoth</x:v>
      </x:c>
      <x:c r="C5" s="70" t="str">
        <x:v>PJ21 2 *F*</x:v>
      </x:c>
      <x:c r="D5" s="70" t="str">
        <x:v>Commander</x:v>
      </x:c>
      <x:c r="E5" s="70" t="str">
        <x:v>Commander</x:v>
      </x:c>
      <x:c r="F5" s="70" t="str">
        <x:v>Commander — manter</x:v>
      </x:c>
      <x:c r="G5" s="70" t="str">
        <x:v>Comandante; lifelink; vida como recurso; cresce ao conjurar mágicas pretas</x:v>
      </x:c>
    </x:row>
    <x:row r="6">
      <x:c r="A6" s="72" t="n">
        <x:v>1</x:v>
      </x:c>
      <x:c r="B6" s="70" t="str">
        <x:v>Aclazotz, Deepest Betrayal</x:v>
      </x:c>
      <x:c r="C6" s="70" t="str">
        <x:v>LCI 316</x:v>
      </x:c>
      <x:c r="D6" s="70" t="str"/>
      <x:c r="E6" s="70" t="str">
        <x:v>Drain/Gain life</x:v>
      </x:c>
      <x:c r="F6" s="70" t="str">
        <x:v>CURRENT / manter provisoriamente</x:v>
      </x:c>
      <x:c r="G6" s="70" t="str">
        <x:v>Drain/Gain life</x:v>
      </x:c>
    </x:row>
    <x:row r="7">
      <x:c r="A7" s="72" t="n">
        <x:v>1</x:v>
      </x:c>
      <x:c r="B7" s="70" t="str">
        <x:v>Aetherflux Reservoir</x:v>
      </x:c>
      <x:c r="C7" s="70" t="str">
        <x:v>KLD 192</x:v>
      </x:c>
      <x:c r="D7" s="70" t="str"/>
      <x:c r="E7" s="70" t="str">
        <x:v>WinCon</x:v>
      </x:c>
      <x:c r="F7" s="70" t="str">
        <x:v>CURRENT / manter provisoriamente</x:v>
      </x:c>
      <x:c r="G7" s="70" t="str">
        <x:v>Motor de ganho de vida e condição de vitória por 50 de vida</x:v>
      </x:c>
    </x:row>
    <x:row r="8">
      <x:c r="A8" s="72" t="n">
        <x:v>1</x:v>
      </x:c>
      <x:c r="B8" s="70" t="str">
        <x:v>Alhammarret's Archive</x:v>
      </x:c>
      <x:c r="C8" s="70" t="str">
        <x:v>PLST ORI-221</x:v>
      </x:c>
      <x:c r="D8" s="70" t="str"/>
      <x:c r="E8" s="70" t="str">
        <x:v>Draw</x:v>
      </x:c>
      <x:c r="F8" s="70" t="str">
        <x:v>CURRENT / manter provisoriamente</x:v>
      </x:c>
      <x:c r="G8" s="70" t="str">
        <x:v>Duplica compra adicional e ganho de vida</x:v>
      </x:c>
    </x:row>
    <x:row r="9">
      <x:c r="A9" s="72" t="n">
        <x:v>1</x:v>
      </x:c>
      <x:c r="B9" s="70" t="str">
        <x:v>Ancient Cellarspawn</x:v>
      </x:c>
      <x:c r="C9" s="70" t="str">
        <x:v>DSC 47</x:v>
      </x:c>
      <x:c r="D9" s="70" t="str"/>
      <x:c r="E9" s="70" t="str">
        <x:v>Others + Pet</x:v>
      </x:c>
      <x:c r="F9" s="70" t="str">
        <x:v>CURRENT / manter provisoriamente</x:v>
      </x:c>
      <x:c r="G9" s="70" t="str">
        <x:v>Reduz custo de Demon/Horror/Nightmare; pune mana gasto abaixo do mana value</x:v>
      </x:c>
    </x:row>
    <x:row r="10">
      <x:c r="A10" s="72" t="n">
        <x:v>1</x:v>
      </x:c>
      <x:c r="B10" s="70" t="str">
        <x:v>Arcane Signet</x:v>
      </x:c>
      <x:c r="C10" s="70" t="str">
        <x:v>M3C 283</x:v>
      </x:c>
      <x:c r="D10" s="70" t="str"/>
      <x:c r="E10" s="70" t="str">
        <x:v>Ramp</x:v>
      </x:c>
      <x:c r="F10" s="70" t="str">
        <x:v>CURRENT / manter provisoriamente</x:v>
      </x:c>
      <x:c r="G10" s="70" t="str">
        <x:v>Ramp</x:v>
      </x:c>
    </x:row>
    <x:row r="11">
      <x:c r="A11" s="72" t="n">
        <x:v>1</x:v>
      </x:c>
      <x:c r="B11" s="70" t="str">
        <x:v>Army of the Damned</x:v>
      </x:c>
      <x:c r="C11" s="70" t="str">
        <x:v>NCC 242</x:v>
      </x:c>
      <x:c r="D11" s="70" t="str"/>
      <x:c r="E11" s="70" t="str">
        <x:v>WinCon</x:v>
      </x:c>
      <x:c r="F11" s="70" t="str">
        <x:v>OUT sugerido — permanece no CURRENT</x:v>
      </x:c>
      <x:c r="G11" s="70" t="str">
        <x:v>WinCon</x:v>
      </x:c>
    </x:row>
    <x:row r="12">
      <x:c r="A12" s="72" t="n">
        <x:v>1</x:v>
      </x:c>
      <x:c r="B12" s="70" t="str">
        <x:v>Baleful Mastery</x:v>
      </x:c>
      <x:c r="C12" s="70" t="str">
        <x:v>STX 64</x:v>
      </x:c>
      <x:c r="D12" s="70" t="str"/>
      <x:c r="E12" s="70" t="str">
        <x:v>Removal Pontual</x:v>
      </x:c>
      <x:c r="F12" s="70" t="str">
        <x:v>CURRENT / manter provisoriamente</x:v>
      </x:c>
      <x:c r="G12" s="70" t="str">
        <x:v>Removal Pontual</x:v>
      </x:c>
    </x:row>
    <x:row r="13">
      <x:c r="A13" s="72" t="n">
        <x:v>1</x:v>
      </x:c>
      <x:c r="B13" s="70" t="str">
        <x:v>Barbed Servitor</x:v>
      </x:c>
      <x:c r="C13" s="70" t="str">
        <x:v>MKM 77</x:v>
      </x:c>
      <x:c r="D13" s="70" t="str"/>
      <x:c r="E13" s="70" t="str">
        <x:v>Draw</x:v>
      </x:c>
      <x:c r="F13" s="70" t="str">
        <x:v>OUT sugerido — permanece no CURRENT</x:v>
      </x:c>
      <x:c r="G13" s="70" t="str">
        <x:v>Draw</x:v>
      </x:c>
    </x:row>
    <x:row r="14">
      <x:c r="A14" s="72" t="n">
        <x:v>1</x:v>
      </x:c>
      <x:c r="B14" s="70" t="str">
        <x:v>Blood Artist</x:v>
      </x:c>
      <x:c r="C14" s="70" t="str">
        <x:v>J22 117</x:v>
      </x:c>
      <x:c r="D14" s="70" t="str"/>
      <x:c r="E14" s="70" t="str">
        <x:v>Drain/Gain life</x:v>
      </x:c>
      <x:c r="F14" s="70" t="str">
        <x:v>CURRENT / manter provisoriamente</x:v>
      </x:c>
      <x:c r="G14" s="70" t="str">
        <x:v>Dreno por morte de criaturas</x:v>
      </x:c>
    </x:row>
    <x:row r="15">
      <x:c r="A15" s="72" t="n">
        <x:v>1</x:v>
      </x:c>
      <x:c r="B15" s="70" t="str">
        <x:v>Boggart Trawler // Boggart Bog</x:v>
      </x:c>
      <x:c r="C15" s="70" t="str">
        <x:v>MH3 243</x:v>
      </x:c>
      <x:c r="D15" s="70" t="str">
        <x:v>MDFC — a face Boggart Bog pode ser terreno; a face frontal interage com cemitérios</x:v>
      </x:c>
      <x:c r="E15" s="70" t="str">
        <x:v>Removal Pontual</x:v>
      </x:c>
      <x:c r="F15" s="70" t="str">
        <x:v>CURRENT / manter provisoriamente</x:v>
      </x:c>
      <x:c r="G15" s="70" t="str">
        <x:v>MDFC; graveyard hate no ETB do lado criatura/land</x:v>
      </x:c>
    </x:row>
    <x:row r="16">
      <x:c r="A16" s="72" t="n">
        <x:v>1</x:v>
      </x:c>
      <x:c r="B16" s="70" t="str">
        <x:v>Bojuka Bog</x:v>
      </x:c>
      <x:c r="C16" s="70" t="str">
        <x:v>CLB 882</x:v>
      </x:c>
      <x:c r="D16" s="70" t="str">
        <x:v>Land</x:v>
      </x:c>
      <x:c r="E16" s="70" t="str">
        <x:v>Land</x:v>
      </x:c>
      <x:c r="F16" s="70" t="str">
        <x:v>CURRENT / manter provisoriamente</x:v>
      </x:c>
      <x:c r="G16" s="70" t="str">
        <x:v>Others + Pet</x:v>
      </x:c>
    </x:row>
    <x:row r="17">
      <x:c r="A17" s="72" t="n">
        <x:v>1</x:v>
      </x:c>
      <x:c r="B17" s="70" t="str">
        <x:v>Cabal Stronghold</x:v>
      </x:c>
      <x:c r="C17" s="70" t="str">
        <x:v>DOM 238</x:v>
      </x:c>
      <x:c r="D17" s="70" t="str">
        <x:v>Land</x:v>
      </x:c>
      <x:c r="E17" s="70" t="str">
        <x:v>Land</x:v>
      </x:c>
      <x:c r="F17" s="70" t="str">
        <x:v>CURRENT / manter provisoriamente</x:v>
      </x:c>
      <x:c r="G17" s="70" t="str">
        <x:v>Ramp</x:v>
      </x:c>
    </x:row>
    <x:row r="18">
      <x:c r="A18" s="72" t="n">
        <x:v>1</x:v>
      </x:c>
      <x:c r="B18" s="70" t="str">
        <x:v>Call to the Void</x:v>
      </x:c>
      <x:c r="C18" s="70" t="str">
        <x:v>PCLB 118s *F*</x:v>
      </x:c>
      <x:c r="D18" s="70" t="str"/>
      <x:c r="E18" s="70" t="str">
        <x:v>Removal Pontual</x:v>
      </x:c>
      <x:c r="F18" s="70" t="str">
        <x:v>CURRENT / manter provisoriamente</x:v>
      </x:c>
      <x:c r="G18" s="70" t="str">
        <x:v>Removal Pontual</x:v>
      </x:c>
    </x:row>
    <x:row r="19">
      <x:c r="A19" s="72" t="n">
        <x:v>1</x:v>
      </x:c>
      <x:c r="B19" s="70" t="str">
        <x:v>Charcoal Diamond</x:v>
      </x:c>
      <x:c r="C19" s="70" t="str">
        <x:v>VOC 162</x:v>
      </x:c>
      <x:c r="D19" s="70" t="str"/>
      <x:c r="E19" s="70" t="str">
        <x:v>Ramp</x:v>
      </x:c>
      <x:c r="F19" s="70" t="str">
        <x:v>CURRENT / manter provisoriamente</x:v>
      </x:c>
      <x:c r="G19" s="70" t="str">
        <x:v>Ramp</x:v>
      </x:c>
    </x:row>
    <x:row r="20">
      <x:c r="A20" s="72" t="n">
        <x:v>1</x:v>
      </x:c>
      <x:c r="B20" s="70" t="str">
        <x:v>Command the Dreadhorde</x:v>
      </x:c>
      <x:c r="C20" s="70" t="str">
        <x:v>WAR 82</x:v>
      </x:c>
      <x:c r="D20" s="70" t="str"/>
      <x:c r="E20" s="70" t="str">
        <x:v>Tutor + Reanimator</x:v>
      </x:c>
      <x:c r="F20" s="70" t="str">
        <x:v>CURRENT / manter provisoriamente</x:v>
      </x:c>
      <x:c r="G20" s="70" t="str">
        <x:v>Reanima criaturas/planeswalkers pagando vida</x:v>
      </x:c>
    </x:row>
    <x:row r="21">
      <x:c r="A21" s="72" t="n">
        <x:v>1</x:v>
      </x:c>
      <x:c r="B21" s="70" t="str">
        <x:v>Consuming Corruption</x:v>
      </x:c>
      <x:c r="C21" s="70" t="str">
        <x:v>MH3 84</x:v>
      </x:c>
      <x:c r="D21" s="70" t="str"/>
      <x:c r="E21" s="70" t="str">
        <x:v>Removal Pontual</x:v>
      </x:c>
      <x:c r="F21" s="70" t="str">
        <x:v>CURRENT / manter provisoriamente</x:v>
      </x:c>
      <x:c r="G21" s="70" t="str">
        <x:v>Removal Pontual</x:v>
      </x:c>
    </x:row>
    <x:row r="22">
      <x:c r="A22" s="72" t="n">
        <x:v>1</x:v>
      </x:c>
      <x:c r="B22" s="70" t="str">
        <x:v>Crippling Fear</x:v>
      </x:c>
      <x:c r="C22" s="70" t="str">
        <x:v>CMM 862</x:v>
      </x:c>
      <x:c r="D22" s="70" t="str"/>
      <x:c r="E22" s="70" t="str">
        <x:v>Removal Global</x:v>
      </x:c>
      <x:c r="F22" s="70" t="str">
        <x:v>CURRENT / manter provisoriamente</x:v>
      </x:c>
      <x:c r="G22" s="70" t="str">
        <x:v>Removal Global</x:v>
      </x:c>
    </x:row>
    <x:row r="23">
      <x:c r="A23" s="72" t="n">
        <x:v>1</x:v>
      </x:c>
      <x:c r="B23" s="70" t="str">
        <x:v>Crypt Ghast</x:v>
      </x:c>
      <x:c r="C23" s="70" t="str">
        <x:v>GTC 61</x:v>
      </x:c>
      <x:c r="D23" s="70" t="str"/>
      <x:c r="E23" s="70" t="str">
        <x:v>Ramp</x:v>
      </x:c>
      <x:c r="F23" s="70" t="str">
        <x:v>CURRENT / manter provisoriamente</x:v>
      </x:c>
      <x:c r="G23" s="70" t="str">
        <x:v>Extort e dobra mana de Swamps</x:v>
      </x:c>
    </x:row>
    <x:row r="24">
      <x:c r="A24" s="72" t="n">
        <x:v>1</x:v>
      </x:c>
      <x:c r="B24" s="70" t="str">
        <x:v>Damnation</x:v>
      </x:c>
      <x:c r="C24" s="70" t="str">
        <x:v>2X2 73</x:v>
      </x:c>
      <x:c r="D24" s="70" t="str"/>
      <x:c r="E24" s="70" t="str">
        <x:v>Removal Global</x:v>
      </x:c>
      <x:c r="F24" s="70" t="str">
        <x:v>CURRENT / manter provisoriamente</x:v>
      </x:c>
      <x:c r="G24" s="70" t="str">
        <x:v>Removal Global</x:v>
      </x:c>
    </x:row>
    <x:row r="25">
      <x:c r="A25" s="72" t="n">
        <x:v>1</x:v>
      </x:c>
      <x:c r="B25" s="70" t="str">
        <x:v>Dark Ritual</x:v>
      </x:c>
      <x:c r="C25" s="70" t="str">
        <x:v>BTD 21</x:v>
      </x:c>
      <x:c r="D25" s="70" t="str"/>
      <x:c r="E25" s="70" t="str">
        <x:v>Ramp</x:v>
      </x:c>
      <x:c r="F25" s="70" t="str">
        <x:v>CURRENT / manter provisoriamente</x:v>
      </x:c>
      <x:c r="G25" s="70" t="str">
        <x:v>Ramp</x:v>
      </x:c>
    </x:row>
    <x:row r="26">
      <x:c r="A26" s="72" t="n">
        <x:v>1</x:v>
      </x:c>
      <x:c r="B26" s="70" t="str">
        <x:v>Deadly Dispute</x:v>
      </x:c>
      <x:c r="C26" s="70" t="str">
        <x:v>BLC 181</x:v>
      </x:c>
      <x:c r="D26" s="70" t="str"/>
      <x:c r="E26" s="70" t="str">
        <x:v>Draw</x:v>
      </x:c>
      <x:c r="F26" s="70" t="str">
        <x:v>CURRENT / manter provisoriamente</x:v>
      </x:c>
      <x:c r="G26" s="70" t="str">
        <x:v>Draw</x:v>
      </x:c>
    </x:row>
    <x:row r="27">
      <x:c r="A27" s="72" t="n">
        <x:v>1</x:v>
      </x:c>
      <x:c r="B27" s="70" t="str">
        <x:v>Deadly Rollick</x:v>
      </x:c>
      <x:c r="C27" s="70" t="str">
        <x:v>CMM 695</x:v>
      </x:c>
      <x:c r="D27" s="70" t="str"/>
      <x:c r="E27" s="70" t="str">
        <x:v>Others + Pet</x:v>
      </x:c>
      <x:c r="F27" s="70" t="str">
        <x:v>CURRENT / manter provisoriamente</x:v>
      </x:c>
      <x:c r="G27" s="70" t="str">
        <x:v>Exila criatura gratuitamente se controla comandante</x:v>
      </x:c>
    </x:row>
    <x:row r="28">
      <x:c r="A28" s="72" t="n">
        <x:v>1</x:v>
      </x:c>
      <x:c r="B28" s="70" t="str">
        <x:v>Demolition Field</x:v>
      </x:c>
      <x:c r="C28" s="70" t="str">
        <x:v>BRO 260</x:v>
      </x:c>
      <x:c r="D28" s="70" t="str">
        <x:v>Land</x:v>
      </x:c>
      <x:c r="E28" s="70" t="str">
        <x:v>Land</x:v>
      </x:c>
      <x:c r="F28" s="70" t="str">
        <x:v>CURRENT / manter provisoriamente</x:v>
      </x:c>
      <x:c r="G28" s="70" t="str">
        <x:v>Others + Pet</x:v>
      </x:c>
    </x:row>
    <x:row r="29">
      <x:c r="A29" s="72" t="n">
        <x:v>1</x:v>
      </x:c>
      <x:c r="B29" s="70" t="str">
        <x:v>Demonic Tutor</x:v>
      </x:c>
      <x:c r="C29" s="70" t="str">
        <x:v>J20 4 *F*</x:v>
      </x:c>
      <x:c r="D29" s="70" t="str"/>
      <x:c r="E29" s="70" t="str">
        <x:v>Tutor + Reanimator</x:v>
      </x:c>
      <x:c r="F29" s="70" t="str">
        <x:v>CURRENT / manter provisoriamente</x:v>
      </x:c>
      <x:c r="G29" s="70" t="str">
        <x:v>Tutor + Reanimator</x:v>
      </x:c>
    </x:row>
    <x:row r="30">
      <x:c r="A30" s="72" t="n">
        <x:v>1</x:v>
      </x:c>
      <x:c r="B30" s="70" t="str">
        <x:v>Dread Presence</x:v>
      </x:c>
      <x:c r="C30" s="70" t="str">
        <x:v>M20 96</x:v>
      </x:c>
      <x:c r="D30" s="70" t="str"/>
      <x:c r="E30" s="70" t="str">
        <x:v>Drain/Gain life</x:v>
      </x:c>
      <x:c r="F30" s="70" t="str">
        <x:v>CURRENT / manter provisoriamente</x:v>
      </x:c>
      <x:c r="G30" s="70" t="str">
        <x:v>Valor de landfall em Swamp: compra/perda de vida ou dano/ganho de vida</x:v>
      </x:c>
    </x:row>
    <x:row r="31">
      <x:c r="A31" s="72" t="n">
        <x:v>1</x:v>
      </x:c>
      <x:c r="B31" s="70" t="str">
        <x:v>Enduring Tenacity</x:v>
      </x:c>
      <x:c r="C31" s="70" t="str">
        <x:v>DSK 95</x:v>
      </x:c>
      <x:c r="D31" s="70" t="str"/>
      <x:c r="E31" s="70" t="str">
        <x:v>Drain/Gain life</x:v>
      </x:c>
      <x:c r="F31" s="70" t="str">
        <x:v>CURRENT / manter provisoriamente</x:v>
      </x:c>
      <x:c r="G31" s="70" t="str">
        <x:v>Transforma ganho de vida em perda de vida; resiliência por retorno como encantamento</x:v>
      </x:c>
    </x:row>
    <x:row r="32">
      <x:c r="A32" s="72" t="n">
        <x:v>1</x:v>
      </x:c>
      <x:c r="B32" s="70" t="str">
        <x:v>Erebos's Intervention</x:v>
      </x:c>
      <x:c r="C32" s="70" t="str">
        <x:v>THB 94 *F*</x:v>
      </x:c>
      <x:c r="D32" s="70" t="str"/>
      <x:c r="E32" s="70" t="str">
        <x:v>Removal Pontual</x:v>
      </x:c>
      <x:c r="F32" s="70" t="str">
        <x:v>CURRENT / manter provisoriamente</x:v>
      </x:c>
      <x:c r="G32" s="70" t="str">
        <x:v>Removal Pontual</x:v>
      </x:c>
    </x:row>
    <x:row r="33">
      <x:c r="A33" s="72" t="n">
        <x:v>1</x:v>
      </x:c>
      <x:c r="B33" s="70" t="str">
        <x:v>Exquisite Blood</x:v>
      </x:c>
      <x:c r="C33" s="70" t="str">
        <x:v>AVR 102</x:v>
      </x:c>
      <x:c r="D33" s="70" t="str"/>
      <x:c r="E33" s="70" t="str">
        <x:v>Drain/Gain life</x:v>
      </x:c>
      <x:c r="F33" s="70" t="str">
        <x:v>CURRENT / manter provisoriamente</x:v>
      </x:c>
      <x:c r="G33" s="70" t="str">
        <x:v>Ganho de vida quando oponentes perdem vida; peça de combo</x:v>
      </x:c>
    </x:row>
    <x:row r="34">
      <x:c r="A34" s="72" t="n">
        <x:v>1</x:v>
      </x:c>
      <x:c r="B34" s="70" t="str">
        <x:v>Exsanguinate</x:v>
      </x:c>
      <x:c r="C34" s="70" t="str">
        <x:v>CMM 638</x:v>
      </x:c>
      <x:c r="D34" s="70" t="str"/>
      <x:c r="E34" s="70" t="str">
        <x:v>Drain/Gain life</x:v>
      </x:c>
      <x:c r="F34" s="70" t="str">
        <x:v>CURRENT / manter provisoriamente</x:v>
      </x:c>
      <x:c r="G34" s="70" t="str">
        <x:v>Drain/Gain life</x:v>
      </x:c>
    </x:row>
    <x:row r="35">
      <x:c r="A35" s="72" t="n">
        <x:v>1</x:v>
      </x:c>
      <x:c r="B35" s="70" t="str">
        <x:v>Feed the Swarm</x:v>
      </x:c>
      <x:c r="C35" s="70" t="str">
        <x:v>CMM 159</x:v>
      </x:c>
      <x:c r="D35" s="70" t="str"/>
      <x:c r="E35" s="70" t="str">
        <x:v>Removal Pontual</x:v>
      </x:c>
      <x:c r="F35" s="70" t="str">
        <x:v>CURRENT / manter provisoriamente</x:v>
      </x:c>
      <x:c r="G35" s="70" t="str">
        <x:v>Removal Pontual</x:v>
      </x:c>
    </x:row>
    <x:row r="36">
      <x:c r="A36" s="72" t="n">
        <x:v>1</x:v>
      </x:c>
      <x:c r="B36" s="70" t="str">
        <x:v>Font of Agonies</x:v>
      </x:c>
      <x:c r="C36" s="70" t="str">
        <x:v>PRNA 74s *F*</x:v>
      </x:c>
      <x:c r="D36" s="70" t="str"/>
      <x:c r="E36" s="70" t="str">
        <x:v>Removal Pontual</x:v>
      </x:c>
      <x:c r="F36" s="70" t="str">
        <x:v>CURRENT / manter provisoriamente</x:v>
      </x:c>
      <x:c r="G36" s="70" t="str">
        <x:v>Remove criatura/planeswalker conforme vida paga</x:v>
      </x:c>
    </x:row>
    <x:row r="37">
      <x:c r="A37" s="72" t="n">
        <x:v>1</x:v>
      </x:c>
      <x:c r="B37" s="70" t="str">
        <x:v>Ghoulcaller Gisa</x:v>
      </x:c>
      <x:c r="C37" s="70" t="str">
        <x:v>CC2 2</x:v>
      </x:c>
      <x:c r="D37" s="70" t="str"/>
      <x:c r="E37" s="70" t="str">
        <x:v>Others + Pet</x:v>
      </x:c>
      <x:c r="F37" s="70" t="str">
        <x:v>CURRENT / manter provisoriamente</x:v>
      </x:c>
      <x:c r="G37" s="70" t="str">
        <x:v>Others + Pet</x:v>
      </x:c>
    </x:row>
    <x:row r="38">
      <x:c r="A38" s="72" t="n">
        <x:v>1</x:v>
      </x:c>
      <x:c r="B38" s="70" t="str">
        <x:v>Gray Merchant of Asphodel</x:v>
      </x:c>
      <x:c r="C38" s="70" t="str">
        <x:v>THS 89</x:v>
      </x:c>
      <x:c r="D38" s="70" t="str"/>
      <x:c r="E38" s="70" t="str">
        <x:v>Drain/Gain life</x:v>
      </x:c>
      <x:c r="F38" s="70" t="str">
        <x:v>CURRENT / manter provisoriamente</x:v>
      </x:c>
      <x:c r="G38" s="70" t="str">
        <x:v>Dreno amplo e recuperação de vida por devoção</x:v>
      </x:c>
    </x:row>
    <x:row r="39">
      <x:c r="A39" s="72" t="n">
        <x:v>1</x:v>
      </x:c>
      <x:c r="B39" s="70" t="str">
        <x:v>Grievous Wound</x:v>
      </x:c>
      <x:c r="C39" s="70" t="str">
        <x:v>DSK 416 *F*</x:v>
      </x:c>
      <x:c r="D39" s="70" t="str"/>
      <x:c r="E39" s="70" t="str">
        <x:v>WinCon</x:v>
      </x:c>
      <x:c r="F39" s="70" t="str">
        <x:v>CURRENT / manter provisoriamente</x:v>
      </x:c>
      <x:c r="G39" s="70" t="str">
        <x:v>Impede ganho de vida e reduz vida à metade após dano</x:v>
      </x:c>
    </x:row>
    <x:row r="40">
      <x:c r="A40" s="72" t="n">
        <x:v>1</x:v>
      </x:c>
      <x:c r="B40" s="70" t="str">
        <x:v>Heraldic Banner</x:v>
      </x:c>
      <x:c r="C40" s="70" t="str">
        <x:v>FDN 254</x:v>
      </x:c>
      <x:c r="D40" s="70" t="str"/>
      <x:c r="E40" s="70" t="str">
        <x:v>Ramp</x:v>
      </x:c>
      <x:c r="F40" s="70" t="str">
        <x:v>OUT sugerido — permanece no CURRENT</x:v>
      </x:c>
      <x:c r="G40" s="70" t="str">
        <x:v>Ramp</x:v>
      </x:c>
    </x:row>
    <x:row r="41">
      <x:c r="A41" s="72" t="n">
        <x:v>1</x:v>
      </x:c>
      <x:c r="B41" s="70" t="str">
        <x:v>Hex</x:v>
      </x:c>
      <x:c r="C41" s="70" t="str">
        <x:v>OTC 136</x:v>
      </x:c>
      <x:c r="D41" s="70" t="str"/>
      <x:c r="E41" s="70" t="str">
        <x:v>Removal Pontual</x:v>
      </x:c>
      <x:c r="F41" s="70" t="str">
        <x:v>OUT sugerido — permanece no CURRENT</x:v>
      </x:c>
      <x:c r="G41" s="70" t="str">
        <x:v>Removal Pontual</x:v>
      </x:c>
    </x:row>
    <x:row r="42">
      <x:c r="A42" s="72" t="n">
        <x:v>1</x:v>
      </x:c>
      <x:c r="B42" s="70" t="str">
        <x:v>Imperial Seal</x:v>
      </x:c>
      <x:c r="C42" s="70" t="str">
        <x:v>2X2 439 *E*</x:v>
      </x:c>
      <x:c r="D42" s="70" t="str"/>
      <x:c r="E42" s="70" t="str">
        <x:v>Tutor + Reanimator</x:v>
      </x:c>
      <x:c r="F42" s="70" t="str">
        <x:v>CURRENT / manter provisoriamente</x:v>
      </x:c>
      <x:c r="G42" s="70" t="str">
        <x:v>Tutor + Reanimator</x:v>
      </x:c>
    </x:row>
    <x:row r="43">
      <x:c r="A43" s="72" t="n">
        <x:v>1</x:v>
      </x:c>
      <x:c r="B43" s="70" t="str">
        <x:v>Infernal Offering</x:v>
      </x:c>
      <x:c r="C43" s="70" t="str">
        <x:v>C21 146</x:v>
      </x:c>
      <x:c r="D43" s="70" t="str"/>
      <x:c r="E43" s="70" t="str">
        <x:v>Removal Pontual</x:v>
      </x:c>
      <x:c r="F43" s="70" t="str">
        <x:v>OUT sugerido — permanece no CURRENT</x:v>
      </x:c>
      <x:c r="G43" s="70" t="str">
        <x:v>Removal Pontual</x:v>
      </x:c>
    </x:row>
    <x:row r="44">
      <x:c r="A44" s="72" t="n">
        <x:v>1</x:v>
      </x:c>
      <x:c r="B44" s="70" t="str">
        <x:v>Insatiable Avarice</x:v>
      </x:c>
      <x:c r="C44" s="70" t="str">
        <x:v>OTJ 91</x:v>
      </x:c>
      <x:c r="D44" s="70" t="str"/>
      <x:c r="E44" s="70" t="str">
        <x:v>Draw</x:v>
      </x:c>
      <x:c r="F44" s="70" t="str">
        <x:v>CURRENT / manter provisoriamente</x:v>
      </x:c>
      <x:c r="G44" s="70" t="str">
        <x:v>Draw</x:v>
      </x:c>
    </x:row>
    <x:row r="45">
      <x:c r="A45" s="72" t="n">
        <x:v>1</x:v>
      </x:c>
      <x:c r="B45" s="70" t="str">
        <x:v>Jet Medallion</x:v>
      </x:c>
      <x:c r="C45" s="70" t="str">
        <x:v>MH3 292</x:v>
      </x:c>
      <x:c r="D45" s="70" t="str"/>
      <x:c r="E45" s="70" t="str">
        <x:v>Ramp</x:v>
      </x:c>
      <x:c r="F45" s="70" t="str">
        <x:v>CURRENT / manter provisoriamente</x:v>
      </x:c>
      <x:c r="G45" s="70" t="str">
        <x:v>Ramp</x:v>
      </x:c>
    </x:row>
    <x:row r="46">
      <x:c r="A46" s="72" t="n">
        <x:v>1</x:v>
      </x:c>
      <x:c r="B46" s="70" t="str">
        <x:v>Liliana of the Dark Realms</x:v>
      </x:c>
      <x:c r="C46" s="70" t="str">
        <x:v>M14 102</x:v>
      </x:c>
      <x:c r="D46" s="70" t="str"/>
      <x:c r="E46" s="70" t="str">
        <x:v>Ramp</x:v>
      </x:c>
      <x:c r="F46" s="70" t="str">
        <x:v>OUT sugerido — permanece no CURRENT</x:v>
      </x:c>
      <x:c r="G46" s="70" t="str">
        <x:v>Ramp</x:v>
      </x:c>
    </x:row>
    <x:row r="47">
      <x:c r="A47" s="72" t="n">
        <x:v>1</x:v>
      </x:c>
      <x:c r="B47" s="70" t="str">
        <x:v>Liliana, Heretical Healer</x:v>
      </x:c>
      <x:c r="C47" s="70" t="str">
        <x:v>CC2 1</x:v>
      </x:c>
      <x:c r="D47" s="70" t="str"/>
      <x:c r="E47" s="70" t="str">
        <x:v>Others + Pet</x:v>
      </x:c>
      <x:c r="F47" s="70" t="str">
        <x:v>CURRENT / manter provisoriamente</x:v>
      </x:c>
      <x:c r="G47" s="70" t="str">
        <x:v>Others + Pet</x:v>
      </x:c>
    </x:row>
    <x:row r="48">
      <x:c r="A48" s="72" t="n">
        <x:v>1</x:v>
      </x:c>
      <x:c r="B48" s="70" t="str">
        <x:v>Mutavault</x:v>
      </x:c>
      <x:c r="C48" s="70" t="str">
        <x:v>CLB 903</x:v>
      </x:c>
      <x:c r="D48" s="70" t="str">
        <x:v>Land</x:v>
      </x:c>
      <x:c r="E48" s="70" t="str">
        <x:v>Land</x:v>
      </x:c>
      <x:c r="F48" s="70" t="str">
        <x:v>CURRENT / manter provisoriamente</x:v>
      </x:c>
      <x:c r="G48" s="70" t="str">
        <x:v>Others + Pet</x:v>
      </x:c>
    </x:row>
    <x:row r="49">
      <x:c r="A49" s="72" t="n">
        <x:v>1</x:v>
      </x:c>
      <x:c r="B49" s="70" t="str">
        <x:v>Mutilate</x:v>
      </x:c>
      <x:c r="C49" s="70" t="str">
        <x:v>GVL 55</x:v>
      </x:c>
      <x:c r="D49" s="70" t="str"/>
      <x:c r="E49" s="70" t="str">
        <x:v>Removal Global</x:v>
      </x:c>
      <x:c r="F49" s="70" t="str">
        <x:v>OUT sugerido — permanece no CURRENT</x:v>
      </x:c>
      <x:c r="G49" s="70" t="str">
        <x:v>Removal Global</x:v>
      </x:c>
    </x:row>
    <x:row r="50">
      <x:c r="A50" s="72" t="n">
        <x:v>1</x:v>
      </x:c>
      <x:c r="B50" s="70" t="str">
        <x:v>Myriad Landscape</x:v>
      </x:c>
      <x:c r="C50" s="70" t="str">
        <x:v>MIC 177 *F*</x:v>
      </x:c>
      <x:c r="D50" s="70" t="str">
        <x:v>Land</x:v>
      </x:c>
      <x:c r="E50" s="70" t="str">
        <x:v>Land</x:v>
      </x:c>
      <x:c r="F50" s="70" t="str">
        <x:v>CURRENT / manter provisoriamente</x:v>
      </x:c>
      <x:c r="G50" s="70" t="str">
        <x:v>Ramp</x:v>
      </x:c>
    </x:row>
    <x:row r="51">
      <x:c r="A51" s="72" t="n">
        <x:v>1</x:v>
      </x:c>
      <x:c r="B51" s="70" t="str">
        <x:v>Nirkana Revenant</x:v>
      </x:c>
      <x:c r="C51" s="70" t="str">
        <x:v>VOC 134</x:v>
      </x:c>
      <x:c r="D51" s="70" t="str"/>
      <x:c r="E51" s="70" t="str">
        <x:v>Ramp</x:v>
      </x:c>
      <x:c r="F51" s="70" t="str">
        <x:v>CURRENT / manter provisoriamente</x:v>
      </x:c>
      <x:c r="G51" s="70" t="str">
        <x:v>Dobra mana de Swamps e escala como ameaça</x:v>
      </x:c>
    </x:row>
    <x:row r="52">
      <x:c r="A52" s="72" t="n">
        <x:v>1</x:v>
      </x:c>
      <x:c r="B52" s="70" t="str">
        <x:v>Ob Nixilis of the Black Oath</x:v>
      </x:c>
      <x:c r="C52" s="70" t="str">
        <x:v>CMM 176</x:v>
      </x:c>
      <x:c r="D52" s="70" t="str"/>
      <x:c r="E52" s="70" t="str">
        <x:v>Others + Pet</x:v>
      </x:c>
      <x:c r="F52" s="70" t="str">
        <x:v>OUT sugerido — permanece no CURRENT</x:v>
      </x:c>
      <x:c r="G52" s="70" t="str">
        <x:v>Others + Pet</x:v>
      </x:c>
    </x:row>
    <x:row r="53">
      <x:c r="A53" s="72" t="n">
        <x:v>1</x:v>
      </x:c>
      <x:c r="B53" s="70" t="str">
        <x:v>Ophiomancer</x:v>
      </x:c>
      <x:c r="C53" s="70" t="str">
        <x:v>CC2 3</x:v>
      </x:c>
      <x:c r="D53" s="70" t="str"/>
      <x:c r="E53" s="70" t="str">
        <x:v>Others + Pet</x:v>
      </x:c>
      <x:c r="F53" s="70" t="str">
        <x:v>CURRENT / manter provisoriamente</x:v>
      </x:c>
      <x:c r="G53" s="70" t="str">
        <x:v>Others + Pet</x:v>
      </x:c>
    </x:row>
    <x:row r="54">
      <x:c r="A54" s="72" t="n">
        <x:v>1</x:v>
      </x:c>
      <x:c r="B54" s="70" t="str">
        <x:v>Phyrexian Arena</x:v>
      </x:c>
      <x:c r="C54" s="70" t="str">
        <x:v>CC2 4</x:v>
      </x:c>
      <x:c r="D54" s="70" t="str"/>
      <x:c r="E54" s="70" t="str">
        <x:v>Draw</x:v>
      </x:c>
      <x:c r="F54" s="70" t="str">
        <x:v>OUT sugerido — permanece no CURRENT</x:v>
      </x:c>
      <x:c r="G54" s="70" t="str">
        <x:v>Draw</x:v>
      </x:c>
    </x:row>
    <x:row r="55">
      <x:c r="A55" s="72" t="n">
        <x:v>1</x:v>
      </x:c>
      <x:c r="B55" s="70" t="str">
        <x:v>Platinum Angel</x:v>
      </x:c>
      <x:c r="C55" s="70" t="str">
        <x:v>CN2 214</x:v>
      </x:c>
      <x:c r="D55" s="70" t="str"/>
      <x:c r="E55" s="70" t="str">
        <x:v>WinCon</x:v>
      </x:c>
      <x:c r="F55" s="70" t="str">
        <x:v>CURRENT / manter provisoriamente</x:v>
      </x:c>
      <x:c r="G55" s="70" t="str">
        <x:v>WinCon</x:v>
      </x:c>
    </x:row>
    <x:row r="56">
      <x:c r="A56" s="72" t="n">
        <x:v>1</x:v>
      </x:c>
      <x:c r="B56" s="70" t="str">
        <x:v>Preacher of the Schism</x:v>
      </x:c>
      <x:c r="C56" s="70" t="str">
        <x:v>LCI 113 *F*</x:v>
      </x:c>
      <x:c r="D56" s="70" t="str"/>
      <x:c r="E56" s="70" t="str">
        <x:v>Draw</x:v>
      </x:c>
      <x:c r="F56" s="70" t="str">
        <x:v>CURRENT / manter provisoriamente</x:v>
      </x:c>
      <x:c r="G56" s="70" t="str">
        <x:v>Draw</x:v>
      </x:c>
    </x:row>
    <x:row r="57">
      <x:c r="A57" s="72" t="n">
        <x:v>1</x:v>
      </x:c>
      <x:c r="B57" s="70" t="str">
        <x:v>Profane Tutor</x:v>
      </x:c>
      <x:c r="C57" s="70" t="str">
        <x:v>MH2 97</x:v>
      </x:c>
      <x:c r="D57" s="70" t="str"/>
      <x:c r="E57" s="70" t="str">
        <x:v>Tutor + Reanimator</x:v>
      </x:c>
      <x:c r="F57" s="70" t="str">
        <x:v>CURRENT / manter provisoriamente</x:v>
      </x:c>
      <x:c r="G57" s="70" t="str">
        <x:v>Tutor + Reanimator</x:v>
      </x:c>
    </x:row>
    <x:row r="58">
      <x:c r="A58" s="72" t="n">
        <x:v>1</x:v>
      </x:c>
      <x:c r="B58" s="70" t="str">
        <x:v>Promise of Power</x:v>
      </x:c>
      <x:c r="C58" s="70" t="str">
        <x:v>C14 157</x:v>
      </x:c>
      <x:c r="D58" s="70" t="str"/>
      <x:c r="E58" s="70" t="str">
        <x:v>Draw</x:v>
      </x:c>
      <x:c r="F58" s="70" t="str">
        <x:v>CURRENT / manter provisoriamente</x:v>
      </x:c>
      <x:c r="G58" s="70" t="str">
        <x:v>Draw</x:v>
      </x:c>
    </x:row>
    <x:row r="59">
      <x:c r="A59" s="72" t="n">
        <x:v>1</x:v>
      </x:c>
      <x:c r="B59" s="70" t="str">
        <x:v>Reanimate</x:v>
      </x:c>
      <x:c r="C59" s="70" t="str">
        <x:v>JMP 270</x:v>
      </x:c>
      <x:c r="D59" s="70" t="str"/>
      <x:c r="E59" s="70" t="str">
        <x:v>Tutor + Reanimator</x:v>
      </x:c>
      <x:c r="F59" s="70" t="str">
        <x:v>CURRENT / manter provisoriamente</x:v>
      </x:c>
      <x:c r="G59" s="70" t="str">
        <x:v>Tutor + Reanimator</x:v>
      </x:c>
    </x:row>
    <x:row r="60">
      <x:c r="A60" s="72" t="n">
        <x:v>1</x:v>
      </x:c>
      <x:c r="B60" s="70" t="str">
        <x:v>Rise of the Dark Realms</x:v>
      </x:c>
      <x:c r="C60" s="70" t="str">
        <x:v>FDN 183</x:v>
      </x:c>
      <x:c r="D60" s="70" t="str"/>
      <x:c r="E60" s="70" t="str">
        <x:v>WinCon</x:v>
      </x:c>
      <x:c r="F60" s="70" t="str">
        <x:v>CURRENT / manter provisoriamente</x:v>
      </x:c>
      <x:c r="G60" s="70" t="str">
        <x:v>WinCon</x:v>
      </x:c>
    </x:row>
    <x:row r="61">
      <x:c r="A61" s="72" t="n">
        <x:v>1</x:v>
      </x:c>
      <x:c r="B61" s="70" t="str">
        <x:v>Ritual of Soot</x:v>
      </x:c>
      <x:c r="C61" s="70" t="str">
        <x:v>PGRN 84p</x:v>
      </x:c>
      <x:c r="D61" s="70" t="str"/>
      <x:c r="E61" s="70" t="str">
        <x:v>Removal Global</x:v>
      </x:c>
      <x:c r="F61" s="70" t="str">
        <x:v>OUT sugerido — permanece no CURRENT</x:v>
      </x:c>
      <x:c r="G61" s="70" t="str">
        <x:v>Removal Global</x:v>
      </x:c>
    </x:row>
    <x:row r="62">
      <x:c r="A62" s="72" t="n">
        <x:v>1</x:v>
      </x:c>
      <x:c r="B62" s="70" t="str">
        <x:v>Sanguine Bond</x:v>
      </x:c>
      <x:c r="C62" s="70" t="str">
        <x:v>WOT 35</x:v>
      </x:c>
      <x:c r="D62" s="70" t="str"/>
      <x:c r="E62" s="70" t="str">
        <x:v>Drain/Gain life</x:v>
      </x:c>
      <x:c r="F62" s="70" t="str">
        <x:v>CURRENT / manter provisoriamente</x:v>
      </x:c>
      <x:c r="G62" s="70" t="str">
        <x:v>Perda de vida em oponente ao ganhar vida; peça de combo</x:v>
      </x:c>
    </x:row>
    <x:row r="63">
      <x:c r="A63" s="72" t="n">
        <x:v>1</x:v>
      </x:c>
      <x:c r="B63" s="70" t="str">
        <x:v>Shadows' Verdict</x:v>
      </x:c>
      <x:c r="C63" s="70" t="str">
        <x:v>ZNR 344 *F*</x:v>
      </x:c>
      <x:c r="D63" s="70" t="str"/>
      <x:c r="E63" s="70" t="str">
        <x:v>Removal Global</x:v>
      </x:c>
      <x:c r="F63" s="70" t="str">
        <x:v>CURRENT / manter provisoriamente</x:v>
      </x:c>
      <x:c r="G63" s="70" t="str">
        <x:v>Removal Global</x:v>
      </x:c>
    </x:row>
    <x:row r="64">
      <x:c r="A64" s="72" t="n">
        <x:v>1</x:v>
      </x:c>
      <x:c r="B64" s="70" t="str">
        <x:v>Sign in Blood</x:v>
      </x:c>
      <x:c r="C64" s="70" t="str">
        <x:v>STA 32</x:v>
      </x:c>
      <x:c r="D64" s="70" t="str"/>
      <x:c r="E64" s="70" t="str">
        <x:v>Draw</x:v>
      </x:c>
      <x:c r="F64" s="70" t="str">
        <x:v>CURRENT / manter provisoriamente</x:v>
      </x:c>
      <x:c r="G64" s="70" t="str">
        <x:v>Draw</x:v>
      </x:c>
    </x:row>
    <x:row r="65">
      <x:c r="A65" s="72" t="n">
        <x:v>1</x:v>
      </x:c>
      <x:c r="B65" s="70" t="str">
        <x:v>Slaughter Pact</x:v>
      </x:c>
      <x:c r="C65" s="70" t="str">
        <x:v>TSR 138</x:v>
      </x:c>
      <x:c r="D65" s="70" t="str"/>
      <x:c r="E65" s="70" t="str">
        <x:v>Removal Pontual</x:v>
      </x:c>
      <x:c r="F65" s="70" t="str">
        <x:v>CURRENT / manter provisoriamente</x:v>
      </x:c>
      <x:c r="G65" s="70" t="str">
        <x:v>Removal Pontual</x:v>
      </x:c>
    </x:row>
    <x:row r="66">
      <x:c r="A66" s="72" t="n">
        <x:v>1</x:v>
      </x:c>
      <x:c r="B66" s="70" t="str">
        <x:v>Sol Ring</x:v>
      </x:c>
      <x:c r="C66" s="70" t="str">
        <x:v>VOC 168</x:v>
      </x:c>
      <x:c r="D66" s="70" t="str"/>
      <x:c r="E66" s="70" t="str">
        <x:v>Ramp</x:v>
      </x:c>
      <x:c r="F66" s="70" t="str">
        <x:v>CURRENT / manter provisoriamente</x:v>
      </x:c>
      <x:c r="G66" s="70" t="str">
        <x:v>Ramp</x:v>
      </x:c>
    </x:row>
    <x:row r="67">
      <x:c r="A67" s="72" t="n">
        <x:v>1</x:v>
      </x:c>
      <x:c r="B67" s="70" t="str">
        <x:v>Sorin's Vengeance</x:v>
      </x:c>
      <x:c r="C67" s="70" t="str">
        <x:v>M12 111</x:v>
      </x:c>
      <x:c r="D67" s="70" t="str"/>
      <x:c r="E67" s="70" t="str">
        <x:v>WinCon</x:v>
      </x:c>
      <x:c r="F67" s="70" t="str">
        <x:v>OUT sugerido — permanece no CURRENT</x:v>
      </x:c>
      <x:c r="G67" s="70" t="str">
        <x:v>WinCon</x:v>
      </x:c>
    </x:row>
    <x:row r="68">
      <x:c r="A68" s="72" t="n">
        <x:v>1</x:v>
      </x:c>
      <x:c r="B68" s="70" t="str">
        <x:v>Suspended Sentence</x:v>
      </x:c>
      <x:c r="C68" s="70" t="str">
        <x:v>DSC 54</x:v>
      </x:c>
      <x:c r="D68" s="70" t="str"/>
      <x:c r="E68" s="70" t="str">
        <x:v>Removal Pontual</x:v>
      </x:c>
      <x:c r="F68" s="70" t="str">
        <x:v>OUT sugerido — permanece no CURRENT</x:v>
      </x:c>
      <x:c r="G68" s="70" t="str">
        <x:v>Removal Pontual</x:v>
      </x:c>
    </x:row>
    <x:row r="69">
      <x:c r="A69" s="72" t="n">
        <x:v>25</x:v>
      </x:c>
      <x:c r="B69" s="70" t="str">
        <x:v>Swamp</x:v>
      </x:c>
      <x:c r="C69" s="70" t="str">
        <x:v>ACR 105 *F*</x:v>
      </x:c>
      <x:c r="D69" s="70" t="str">
        <x:v>Basic Land</x:v>
      </x:c>
      <x:c r="E69" s="70" t="str">
        <x:v>Land</x:v>
      </x:c>
      <x:c r="F69" s="70" t="str">
        <x:v>CURRENT / manter provisoriamente</x:v>
      </x:c>
      <x:c r="G69" s="70" t="str">
        <x:v>Fonte básica preta; base para Cabal Stronghold, Crypt Ghast, Nirkana Revenant e Bubbling Muck</x:v>
      </x:c>
    </x:row>
    <x:row r="70">
      <x:c r="A70" s="72" t="n">
        <x:v>1</x:v>
      </x:c>
      <x:c r="B70" s="70" t="str">
        <x:v>Tarrian's Journal // The Tomb of Aclazotz</x:v>
      </x:c>
      <x:c r="C70" s="70" t="str">
        <x:v>LCI 126</x:v>
      </x:c>
      <x:c r="D70" s="70" t="str"/>
      <x:c r="E70" s="70" t="str">
        <x:v>Draw</x:v>
      </x:c>
      <x:c r="F70" s="70" t="str">
        <x:v>CURRENT / manter provisoriamente</x:v>
      </x:c>
      <x:c r="G70" s="70" t="str">
        <x:v>Draw</x:v>
      </x:c>
    </x:row>
    <x:row r="71">
      <x:c r="A71" s="72" t="n">
        <x:v>1</x:v>
      </x:c>
      <x:c r="B71" s="70" t="str">
        <x:v>Temple of the False God</x:v>
      </x:c>
      <x:c r="C71" s="70" t="str">
        <x:v>PLST C18-285</x:v>
      </x:c>
      <x:c r="D71" s="70" t="str">
        <x:v>Land</x:v>
      </x:c>
      <x:c r="E71" s="70" t="str">
        <x:v>Land</x:v>
      </x:c>
      <x:c r="F71" s="70" t="str">
        <x:v>OUT sugerido — permanece no CURRENT</x:v>
      </x:c>
      <x:c r="G71" s="70" t="str">
        <x:v>Ramp</x:v>
      </x:c>
    </x:row>
    <x:row r="72">
      <x:c r="A72" s="72" t="n">
        <x:v>1</x:v>
      </x:c>
      <x:c r="B72" s="70" t="str">
        <x:v>Tendrils of Corruption</x:v>
      </x:c>
      <x:c r="C72" s="70" t="str">
        <x:v>TSR 145</x:v>
      </x:c>
      <x:c r="D72" s="70" t="str"/>
      <x:c r="E72" s="70" t="str">
        <x:v>Removal Pontual</x:v>
      </x:c>
      <x:c r="F72" s="70" t="str">
        <x:v>CURRENT / manter provisoriamente</x:v>
      </x:c>
      <x:c r="G72" s="70" t="str">
        <x:v>Removal Pontual</x:v>
      </x:c>
    </x:row>
    <x:row r="73">
      <x:c r="A73" s="72" t="n">
        <x:v>1</x:v>
      </x:c>
      <x:c r="B73" s="70" t="str">
        <x:v>Toxic Deluge</x:v>
      </x:c>
      <x:c r="C73" s="70" t="str">
        <x:v>C13 96</x:v>
      </x:c>
      <x:c r="D73" s="70" t="str"/>
      <x:c r="E73" s="70" t="str">
        <x:v>Removal Global</x:v>
      </x:c>
      <x:c r="F73" s="70" t="str">
        <x:v>CURRENT / manter provisoriamente</x:v>
      </x:c>
      <x:c r="G73" s="70" t="str">
        <x:v>Wipe eficiente com custo em vida</x:v>
      </x:c>
    </x:row>
    <x:row r="74">
      <x:c r="A74" s="72" t="n">
        <x:v>1</x:v>
      </x:c>
      <x:c r="B74" s="70" t="str">
        <x:v>Unholy Annex // Ritual Chamber</x:v>
      </x:c>
      <x:c r="C74" s="70" t="str">
        <x:v>DSK 118</x:v>
      </x:c>
      <x:c r="D74" s="70" t="str"/>
      <x:c r="E74" s="70" t="str">
        <x:v>Draw</x:v>
      </x:c>
      <x:c r="F74" s="70" t="str">
        <x:v>CURRENT / manter provisoriamente</x:v>
      </x:c>
      <x:c r="G74" s="70" t="str">
        <x:v>Draw</x:v>
      </x:c>
    </x:row>
    <x:row r="75">
      <x:c r="A75" s="72" t="n">
        <x:v>1</x:v>
      </x:c>
      <x:c r="B75" s="70" t="str">
        <x:v>Unstoppable Slasher</x:v>
      </x:c>
      <x:c r="C75" s="70" t="str">
        <x:v>DSK 312</x:v>
      </x:c>
      <x:c r="D75" s="70" t="str"/>
      <x:c r="E75" s="70" t="str">
        <x:v>WinCon</x:v>
      </x:c>
      <x:c r="F75" s="70" t="str">
        <x:v>CURRENT / manter provisoriamente</x:v>
      </x:c>
      <x:c r="G75" s="70" t="str">
        <x:v>WinCon</x:v>
      </x:c>
    </x:row>
    <x:row r="76">
      <x:c r="A76" s="72" t="n">
        <x:v>1</x:v>
      </x:c>
      <x:c r="B76" s="70" t="str">
        <x:v>Urborg, Tomb of Yawgmoth</x:v>
      </x:c>
      <x:c r="C76" s="70" t="str">
        <x:v>LTC 375</x:v>
      </x:c>
      <x:c r="D76" s="70" t="str">
        <x:v>Land</x:v>
      </x:c>
      <x:c r="E76" s="70" t="str">
        <x:v>Land</x:v>
      </x:c>
      <x:c r="F76" s="70" t="str">
        <x:v>CURRENT / manter provisoriamente</x:v>
      </x:c>
      <x:c r="G76" s="70" t="str">
        <x:v>Ramp</x:v>
      </x:c>
    </x:row>
    <x:row r="77">
      <x:c r="A77" s="72" t="n">
        <x:v>1</x:v>
      </x:c>
      <x:c r="B77" s="70" t="str">
        <x:v>Valgavoth, Terror Eater</x:v>
      </x:c>
      <x:c r="C77" s="70" t="str">
        <x:v>DSK 120</x:v>
      </x:c>
      <x:c r="D77" s="70" t="str"/>
      <x:c r="E77" s="70" t="str">
        <x:v>WinCon</x:v>
      </x:c>
      <x:c r="F77" s="70" t="str">
        <x:v>CURRENT / manter provisoriamente</x:v>
      </x:c>
      <x:c r="G77" s="70" t="str">
        <x:v>WinCon</x:v>
      </x:c>
    </x:row>
    <x:row r="78">
      <x:c r="A78" s="72" t="n">
        <x:v>1</x:v>
      </x:c>
      <x:c r="B78" s="70" t="str">
        <x:v>Vampiric Tutor</x:v>
      </x:c>
      <x:c r="C78" s="70" t="str">
        <x:v>DMR 430</x:v>
      </x:c>
      <x:c r="D78" s="70" t="str"/>
      <x:c r="E78" s="70" t="str">
        <x:v>Tutor + Reanimator</x:v>
      </x:c>
      <x:c r="F78" s="70" t="str">
        <x:v>CURRENT / manter provisoriamente</x:v>
      </x:c>
      <x:c r="G78" s="70" t="str">
        <x:v>Tutor + Reanimator</x:v>
      </x:c>
    </x:row>
    <x:row r="79">
      <x:c r="A79" s="72" t="n">
        <x:v>1</x:v>
      </x:c>
      <x:c r="B79" s="70" t="str">
        <x:v>Vito, Thorn of the Dusk Rose</x:v>
      </x:c>
      <x:c r="C79" s="70" t="str">
        <x:v>J22 487</x:v>
      </x:c>
      <x:c r="D79" s="70" t="str"/>
      <x:c r="E79" s="70" t="str">
        <x:v>Drain/Gain life</x:v>
      </x:c>
      <x:c r="F79" s="70" t="str">
        <x:v>CURRENT / manter provisoriamente</x:v>
      </x:c>
      <x:c r="G79" s="70" t="str">
        <x:v>Payoff de ganho de vida; pode combinar com Exquisite Blood</x:v>
      </x:c>
    </x:row>
    <x:row r="80">
      <x:c r="A80" s="72" t="n">
        <x:v>1</x:v>
      </x:c>
      <x:c r="B80" s="70" t="str">
        <x:v>Withering Torment</x:v>
      </x:c>
      <x:c r="C80" s="70" t="str">
        <x:v>DSK 124</x:v>
      </x:c>
      <x:c r="D80" s="70" t="str"/>
      <x:c r="E80" s="70" t="str">
        <x:v>Removal Pontual</x:v>
      </x:c>
      <x:c r="F80" s="70" t="str">
        <x:v>CURRENT / manter provisoriamente</x:v>
      </x:c>
      <x:c r="G80" s="70" t="str">
        <x:v>Removal Pontual</x:v>
      </x:c>
    </x:row>
    <x:row r="81" ht="22" customHeight="1">
      <x:c r="A81" s="74" t="n">
        <x:f>SUM(A5:A80)</x:f>
        <x:v>100</x:v>
      </x:c>
      <x:c r="B81" s="74" t="str"/>
      <x:c r="C81" s="74"/>
      <x:c r="D81" s="74"/>
      <x:c r="E81" s="74"/>
      <x:c r="F81" s="74"/>
      <x:c r="G81" s="74"/>
    </x:row>
  </x:sheetData>
  <x:mergeCells>
    <x:mergeCell ref="A1:G1"/>
    <x:mergeCell ref="A2:G2"/>
  </x:mergeCells>
  <x:conditionalFormatting sqref="A5:A80">
    <x:cfRule type="dataBar" priority="1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{5A649B8E-6A16-D6F8-2906-D31CD210A41E}</x14:id>
        </x:ext>
      </x:extLst>
    </x:cfRule>
  </x:conditionalFormatting>
  <x:conditionalFormatting sqref="F5:F80">
    <x:cfRule type="expression" dxfId="0" priority="2">
      <x:formula>ISNUMBER(SEARCH("OUT sugerido",F5))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37669f6dd54a5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A649B8E-6A16-D6F8-2906-D31CD210A41E}">
            <x14:dataBar gradient="1">
              <x14:cfvo type="min"/>
              <x14:cfvo type="max"/>
              <x14:fillColor rgb="FF7C3AED"/>
            </x14:dataBar>
          </x14:cfRule>
          <xm:sqref>A5:A80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6" hidden="0" customWidth="1"/>
    <x:col min="3" max="3" width="29" hidden="0" customWidth="1"/>
    <x:col min="4" max="4" width="25" hidden="0" customWidth="1"/>
    <x:col min="5" max="5" width="22" hidden="0" customWidth="1"/>
    <x:col min="6" max="6" width="29" hidden="0" customWidth="1"/>
    <x:col min="7" max="7" width="58" hidden="0" customWidth="1"/>
  </x:cols>
  <x:sheetData>
    <x:row r="1" ht="32" customHeight="1">
      <x:c r="A1" s="5" t="str">
        <x:v>PROPOSED V2 — LISTA PROPOSTA</x:v>
      </x:c>
      <x:c r="B1" s="5"/>
      <x:c r="C1" s="5"/>
      <x:c r="D1" s="5"/>
      <x:c r="E1" s="5"/>
      <x:c r="F1" s="5"/>
      <x:c r="G1" s="5"/>
    </x:row>
    <x:row r="2" ht="30" customHeight="1">
      <x:c r="A2" s="13" t="str">
        <x:v>Qty × carta; impressão da lista enviada preservada. Boggart Trawler // Boggart Bog é MDFC: conta como carta de criatura e fonte funcional de terreno.</x:v>
      </x:c>
      <x:c r="B2" s="13"/>
      <x:c r="C2" s="13"/>
      <x:c r="D2" s="13"/>
      <x:c r="E2" s="13"/>
      <x:c r="F2" s="13"/>
      <x:c r="G2" s="13"/>
    </x:row>
    <x:row r="4" ht="30" customHeight="1">
      <x:c r="A4" s="26" t="str">
        <x:v>Qty</x:v>
      </x:c>
      <x:c r="B4" s="26" t="str">
        <x:v>Card</x:v>
      </x:c>
      <x:c r="C4" s="26" t="str">
        <x:v>Printing / Finish</x:v>
      </x:c>
      <x:c r="D4" s="26" t="str">
        <x:v>Type / Notes</x:v>
      </x:c>
      <x:c r="E4" s="26" t="str">
        <x:v>Grupo primário</x:v>
      </x:c>
      <x:c r="F4" s="26" t="str">
        <x:v>Status</x:v>
      </x:c>
      <x:c r="G4" s="26" t="str">
        <x:v>Papel estratégico</x:v>
      </x:c>
    </x:row>
    <x:row r="5">
      <x:c r="A5" s="72" t="n">
        <x:v>1</x:v>
      </x:c>
      <x:c r="B5" s="70" t="str">
        <x:v>K'rrik, Son of Yawgmoth</x:v>
      </x:c>
      <x:c r="C5" s="70" t="str">
        <x:v>PJ21 2 *F*</x:v>
      </x:c>
      <x:c r="D5" s="70" t="str">
        <x:v>Commander</x:v>
      </x:c>
      <x:c r="E5" s="70" t="str">
        <x:v>Commander</x:v>
      </x:c>
      <x:c r="F5" s="70" t="str">
        <x:v>Commander — manter</x:v>
      </x:c>
      <x:c r="G5" s="70" t="str">
        <x:v>Comandante; lifelink; vida como recurso; cresce ao conjurar mágicas pretas</x:v>
      </x:c>
    </x:row>
    <x:row r="6">
      <x:c r="A6" s="72" t="n">
        <x:v>1</x:v>
      </x:c>
      <x:c r="B6" s="70" t="str">
        <x:v>Aclazotz, Deepest Betrayal</x:v>
      </x:c>
      <x:c r="C6" s="70" t="str">
        <x:v>LCI 316</x:v>
      </x:c>
      <x:c r="D6" s="70" t="str"/>
      <x:c r="E6" s="70" t="str">
        <x:v>Drain/Gain life</x:v>
      </x:c>
      <x:c r="F6" s="70" t="str">
        <x:v>CURRENT / manter provisoriamente</x:v>
      </x:c>
      <x:c r="G6" s="70" t="str">
        <x:v>Drain/Gain life</x:v>
      </x:c>
    </x:row>
    <x:row r="7">
      <x:c r="A7" s="72" t="n">
        <x:v>1</x:v>
      </x:c>
      <x:c r="B7" s="70" t="str">
        <x:v>Aetherflux Reservoir</x:v>
      </x:c>
      <x:c r="C7" s="70" t="str">
        <x:v>KLD 192</x:v>
      </x:c>
      <x:c r="D7" s="70" t="str"/>
      <x:c r="E7" s="70" t="str">
        <x:v>WinCon</x:v>
      </x:c>
      <x:c r="F7" s="70" t="str">
        <x:v>CURRENT / manter provisoriamente</x:v>
      </x:c>
      <x:c r="G7" s="70" t="str">
        <x:v>Motor de ganho de vida e condição de vitória por 50 de vida</x:v>
      </x:c>
    </x:row>
    <x:row r="8">
      <x:c r="A8" s="72" t="n">
        <x:v>1</x:v>
      </x:c>
      <x:c r="B8" s="70" t="str">
        <x:v>Alhammarret's Archive</x:v>
      </x:c>
      <x:c r="C8" s="70" t="str">
        <x:v>PLST ORI-221</x:v>
      </x:c>
      <x:c r="D8" s="70" t="str"/>
      <x:c r="E8" s="70" t="str">
        <x:v>Draw</x:v>
      </x:c>
      <x:c r="F8" s="70" t="str">
        <x:v>CURRENT / manter provisoriamente</x:v>
      </x:c>
      <x:c r="G8" s="70" t="str">
        <x:v>Duplica compra adicional e ganho de vida</x:v>
      </x:c>
    </x:row>
    <x:row r="9">
      <x:c r="A9" s="72" t="n">
        <x:v>1</x:v>
      </x:c>
      <x:c r="B9" s="70" t="str">
        <x:v>Ancient Cellarspawn</x:v>
      </x:c>
      <x:c r="C9" s="70" t="str">
        <x:v>DSC 47</x:v>
      </x:c>
      <x:c r="D9" s="70" t="str"/>
      <x:c r="E9" s="70" t="str">
        <x:v>Others + Pet</x:v>
      </x:c>
      <x:c r="F9" s="70" t="str">
        <x:v>CURRENT / manter provisoriamente</x:v>
      </x:c>
      <x:c r="G9" s="70" t="str">
        <x:v>Reduz custo de Demon/Horror/Nightmare; pune mana gasto abaixo do mana value</x:v>
      </x:c>
    </x:row>
    <x:row r="10">
      <x:c r="A10" s="72" t="n">
        <x:v>1</x:v>
      </x:c>
      <x:c r="B10" s="70" t="str">
        <x:v>Arcane Signet</x:v>
      </x:c>
      <x:c r="C10" s="70" t="str">
        <x:v>M3C 283</x:v>
      </x:c>
      <x:c r="D10" s="70" t="str"/>
      <x:c r="E10" s="70" t="str">
        <x:v>Ramp</x:v>
      </x:c>
      <x:c r="F10" s="70" t="str">
        <x:v>CURRENT / manter provisoriamente</x:v>
      </x:c>
      <x:c r="G10" s="70" t="str">
        <x:v>Ramp</x:v>
      </x:c>
    </x:row>
    <x:row r="11">
      <x:c r="A11" s="72" t="n">
        <x:v>1</x:v>
      </x:c>
      <x:c r="B11" s="70" t="str">
        <x:v>Baleful Mastery</x:v>
      </x:c>
      <x:c r="C11" s="70" t="str">
        <x:v>STX 64</x:v>
      </x:c>
      <x:c r="D11" s="70" t="str"/>
      <x:c r="E11" s="70" t="str">
        <x:v>Removal Pontual</x:v>
      </x:c>
      <x:c r="F11" s="70" t="str">
        <x:v>CURRENT / manter provisoriamente</x:v>
      </x:c>
      <x:c r="G11" s="70" t="str">
        <x:v>Removal Pontual</x:v>
      </x:c>
    </x:row>
    <x:row r="12">
      <x:c r="A12" s="72" t="n">
        <x:v>1</x:v>
      </x:c>
      <x:c r="B12" s="70" t="str">
        <x:v>Blood Artist</x:v>
      </x:c>
      <x:c r="C12" s="70" t="str">
        <x:v>J22 117</x:v>
      </x:c>
      <x:c r="D12" s="70" t="str"/>
      <x:c r="E12" s="70" t="str">
        <x:v>Drain/Gain life</x:v>
      </x:c>
      <x:c r="F12" s="70" t="str">
        <x:v>CURRENT / manter provisoriamente</x:v>
      </x:c>
      <x:c r="G12" s="70" t="str">
        <x:v>Dreno por morte de criaturas</x:v>
      </x:c>
    </x:row>
    <x:row r="13">
      <x:c r="A13" s="72" t="n">
        <x:v>1</x:v>
      </x:c>
      <x:c r="B13" s="70" t="str">
        <x:v>Boggart Trawler // Boggart Bog</x:v>
      </x:c>
      <x:c r="C13" s="70" t="str">
        <x:v>MH3 243</x:v>
      </x:c>
      <x:c r="D13" s="70" t="str">
        <x:v>MDFC — a face Boggart Bog pode ser terreno; a face frontal interage com cemitérios</x:v>
      </x:c>
      <x:c r="E13" s="70" t="str">
        <x:v>Removal Pontual</x:v>
      </x:c>
      <x:c r="F13" s="70" t="str">
        <x:v>CURRENT / manter provisoriamente</x:v>
      </x:c>
      <x:c r="G13" s="70" t="str">
        <x:v>MDFC; graveyard hate no ETB do lado criatura/land</x:v>
      </x:c>
    </x:row>
    <x:row r="14">
      <x:c r="A14" s="72" t="n">
        <x:v>1</x:v>
      </x:c>
      <x:c r="B14" s="70" t="str">
        <x:v>Bojuka Bog</x:v>
      </x:c>
      <x:c r="C14" s="70" t="str">
        <x:v>CLB 882</x:v>
      </x:c>
      <x:c r="D14" s="70" t="str">
        <x:v>Land</x:v>
      </x:c>
      <x:c r="E14" s="70" t="str">
        <x:v>Land</x:v>
      </x:c>
      <x:c r="F14" s="70" t="str">
        <x:v>CURRENT / manter provisoriamente</x:v>
      </x:c>
      <x:c r="G14" s="70" t="str">
        <x:v>Others + Pet</x:v>
      </x:c>
    </x:row>
    <x:row r="15">
      <x:c r="A15" s="72" t="n">
        <x:v>1</x:v>
      </x:c>
      <x:c r="B15" s="70" t="str">
        <x:v>Cabal Stronghold</x:v>
      </x:c>
      <x:c r="C15" s="70" t="str">
        <x:v>DOM 238</x:v>
      </x:c>
      <x:c r="D15" s="70" t="str">
        <x:v>Land</x:v>
      </x:c>
      <x:c r="E15" s="70" t="str">
        <x:v>Land</x:v>
      </x:c>
      <x:c r="F15" s="70" t="str">
        <x:v>CURRENT / manter provisoriamente</x:v>
      </x:c>
      <x:c r="G15" s="70" t="str">
        <x:v>Ramp</x:v>
      </x:c>
    </x:row>
    <x:row r="16">
      <x:c r="A16" s="72" t="n">
        <x:v>1</x:v>
      </x:c>
      <x:c r="B16" s="70" t="str">
        <x:v>Call to the Void</x:v>
      </x:c>
      <x:c r="C16" s="70" t="str">
        <x:v>PCLB 118s *F*</x:v>
      </x:c>
      <x:c r="D16" s="70" t="str"/>
      <x:c r="E16" s="70" t="str">
        <x:v>Removal Pontual</x:v>
      </x:c>
      <x:c r="F16" s="70" t="str">
        <x:v>CURRENT / manter provisoriamente</x:v>
      </x:c>
      <x:c r="G16" s="70" t="str">
        <x:v>Removal Pontual</x:v>
      </x:c>
    </x:row>
    <x:row r="17">
      <x:c r="A17" s="72" t="n">
        <x:v>1</x:v>
      </x:c>
      <x:c r="B17" s="70" t="str">
        <x:v>Charcoal Diamond</x:v>
      </x:c>
      <x:c r="C17" s="70" t="str">
        <x:v>VOC 162</x:v>
      </x:c>
      <x:c r="D17" s="70" t="str"/>
      <x:c r="E17" s="70" t="str">
        <x:v>Ramp</x:v>
      </x:c>
      <x:c r="F17" s="70" t="str">
        <x:v>CURRENT / manter provisoriamente</x:v>
      </x:c>
      <x:c r="G17" s="70" t="str">
        <x:v>Ramp</x:v>
      </x:c>
    </x:row>
    <x:row r="18">
      <x:c r="A18" s="72" t="n">
        <x:v>1</x:v>
      </x:c>
      <x:c r="B18" s="70" t="str">
        <x:v>Command the Dreadhorde</x:v>
      </x:c>
      <x:c r="C18" s="70" t="str">
        <x:v>WAR 82</x:v>
      </x:c>
      <x:c r="D18" s="70" t="str"/>
      <x:c r="E18" s="70" t="str">
        <x:v>Tutor + Reanimator</x:v>
      </x:c>
      <x:c r="F18" s="70" t="str">
        <x:v>CURRENT / manter provisoriamente</x:v>
      </x:c>
      <x:c r="G18" s="70" t="str">
        <x:v>Reanima criaturas/planeswalkers pagando vida</x:v>
      </x:c>
    </x:row>
    <x:row r="19">
      <x:c r="A19" s="72" t="n">
        <x:v>1</x:v>
      </x:c>
      <x:c r="B19" s="70" t="str">
        <x:v>Consuming Corruption</x:v>
      </x:c>
      <x:c r="C19" s="70" t="str">
        <x:v>MH3 84</x:v>
      </x:c>
      <x:c r="D19" s="70" t="str"/>
      <x:c r="E19" s="70" t="str">
        <x:v>Removal Pontual</x:v>
      </x:c>
      <x:c r="F19" s="70" t="str">
        <x:v>CURRENT / manter provisoriamente</x:v>
      </x:c>
      <x:c r="G19" s="70" t="str">
        <x:v>Removal Pontual</x:v>
      </x:c>
    </x:row>
    <x:row r="20">
      <x:c r="A20" s="72" t="n">
        <x:v>1</x:v>
      </x:c>
      <x:c r="B20" s="70" t="str">
        <x:v>Crippling Fear</x:v>
      </x:c>
      <x:c r="C20" s="70" t="str">
        <x:v>CMM 862</x:v>
      </x:c>
      <x:c r="D20" s="70" t="str"/>
      <x:c r="E20" s="70" t="str">
        <x:v>Removal Global</x:v>
      </x:c>
      <x:c r="F20" s="70" t="str">
        <x:v>CURRENT / manter provisoriamente</x:v>
      </x:c>
      <x:c r="G20" s="70" t="str">
        <x:v>Removal Global</x:v>
      </x:c>
    </x:row>
    <x:row r="21">
      <x:c r="A21" s="72" t="n">
        <x:v>1</x:v>
      </x:c>
      <x:c r="B21" s="70" t="str">
        <x:v>Crypt Ghast</x:v>
      </x:c>
      <x:c r="C21" s="70" t="str">
        <x:v>GTC 61</x:v>
      </x:c>
      <x:c r="D21" s="70" t="str"/>
      <x:c r="E21" s="70" t="str">
        <x:v>Ramp</x:v>
      </x:c>
      <x:c r="F21" s="70" t="str">
        <x:v>CURRENT / manter provisoriamente</x:v>
      </x:c>
      <x:c r="G21" s="70" t="str">
        <x:v>Extort e dobra mana de Swamps</x:v>
      </x:c>
    </x:row>
    <x:row r="22">
      <x:c r="A22" s="72" t="n">
        <x:v>1</x:v>
      </x:c>
      <x:c r="B22" s="70" t="str">
        <x:v>Damnation</x:v>
      </x:c>
      <x:c r="C22" s="70" t="str">
        <x:v>2X2 73</x:v>
      </x:c>
      <x:c r="D22" s="70" t="str"/>
      <x:c r="E22" s="70" t="str">
        <x:v>Removal Global</x:v>
      </x:c>
      <x:c r="F22" s="70" t="str">
        <x:v>CURRENT / manter provisoriamente</x:v>
      </x:c>
      <x:c r="G22" s="70" t="str">
        <x:v>Removal Global</x:v>
      </x:c>
    </x:row>
    <x:row r="23">
      <x:c r="A23" s="72" t="n">
        <x:v>1</x:v>
      </x:c>
      <x:c r="B23" s="70" t="str">
        <x:v>Dark Ritual</x:v>
      </x:c>
      <x:c r="C23" s="70" t="str">
        <x:v>BTD 21</x:v>
      </x:c>
      <x:c r="D23" s="70" t="str"/>
      <x:c r="E23" s="70" t="str">
        <x:v>Ramp</x:v>
      </x:c>
      <x:c r="F23" s="70" t="str">
        <x:v>CURRENT / manter provisoriamente</x:v>
      </x:c>
      <x:c r="G23" s="70" t="str">
        <x:v>Ramp</x:v>
      </x:c>
    </x:row>
    <x:row r="24">
      <x:c r="A24" s="72" t="n">
        <x:v>1</x:v>
      </x:c>
      <x:c r="B24" s="70" t="str">
        <x:v>Deadly Dispute</x:v>
      </x:c>
      <x:c r="C24" s="70" t="str">
        <x:v>BLC 181</x:v>
      </x:c>
      <x:c r="D24" s="70" t="str"/>
      <x:c r="E24" s="70" t="str">
        <x:v>Draw</x:v>
      </x:c>
      <x:c r="F24" s="70" t="str">
        <x:v>CURRENT / manter provisoriamente</x:v>
      </x:c>
      <x:c r="G24" s="70" t="str">
        <x:v>Draw</x:v>
      </x:c>
    </x:row>
    <x:row r="25">
      <x:c r="A25" s="72" t="n">
        <x:v>1</x:v>
      </x:c>
      <x:c r="B25" s="70" t="str">
        <x:v>Deadly Rollick</x:v>
      </x:c>
      <x:c r="C25" s="70" t="str">
        <x:v>CMM 695</x:v>
      </x:c>
      <x:c r="D25" s="70" t="str"/>
      <x:c r="E25" s="70" t="str">
        <x:v>Others + Pet</x:v>
      </x:c>
      <x:c r="F25" s="70" t="str">
        <x:v>CURRENT / manter provisoriamente</x:v>
      </x:c>
      <x:c r="G25" s="70" t="str">
        <x:v>Exila criatura gratuitamente se controla comandante</x:v>
      </x:c>
    </x:row>
    <x:row r="26">
      <x:c r="A26" s="72" t="n">
        <x:v>1</x:v>
      </x:c>
      <x:c r="B26" s="70" t="str">
        <x:v>Demolition Field</x:v>
      </x:c>
      <x:c r="C26" s="70" t="str">
        <x:v>BRO 260</x:v>
      </x:c>
      <x:c r="D26" s="70" t="str">
        <x:v>Land</x:v>
      </x:c>
      <x:c r="E26" s="70" t="str">
        <x:v>Land</x:v>
      </x:c>
      <x:c r="F26" s="70" t="str">
        <x:v>CURRENT / manter provisoriamente</x:v>
      </x:c>
      <x:c r="G26" s="70" t="str">
        <x:v>Others + Pet</x:v>
      </x:c>
    </x:row>
    <x:row r="27">
      <x:c r="A27" s="72" t="n">
        <x:v>1</x:v>
      </x:c>
      <x:c r="B27" s="70" t="str">
        <x:v>Demonic Tutor</x:v>
      </x:c>
      <x:c r="C27" s="70" t="str">
        <x:v>J20 4 *F*</x:v>
      </x:c>
      <x:c r="D27" s="70" t="str"/>
      <x:c r="E27" s="70" t="str">
        <x:v>Tutor + Reanimator</x:v>
      </x:c>
      <x:c r="F27" s="70" t="str">
        <x:v>CURRENT / manter provisoriamente</x:v>
      </x:c>
      <x:c r="G27" s="70" t="str">
        <x:v>Tutor + Reanimator</x:v>
      </x:c>
    </x:row>
    <x:row r="28">
      <x:c r="A28" s="72" t="n">
        <x:v>1</x:v>
      </x:c>
      <x:c r="B28" s="70" t="str">
        <x:v>Dread Presence</x:v>
      </x:c>
      <x:c r="C28" s="70" t="str">
        <x:v>M20 96</x:v>
      </x:c>
      <x:c r="D28" s="70" t="str"/>
      <x:c r="E28" s="70" t="str">
        <x:v>Drain/Gain life</x:v>
      </x:c>
      <x:c r="F28" s="70" t="str">
        <x:v>CURRENT / manter provisoriamente</x:v>
      </x:c>
      <x:c r="G28" s="70" t="str">
        <x:v>Valor de landfall em Swamp: compra/perda de vida ou dano/ganho de vida</x:v>
      </x:c>
    </x:row>
    <x:row r="29">
      <x:c r="A29" s="72" t="n">
        <x:v>1</x:v>
      </x:c>
      <x:c r="B29" s="70" t="str">
        <x:v>Enduring Tenacity</x:v>
      </x:c>
      <x:c r="C29" s="70" t="str">
        <x:v>DSK 95</x:v>
      </x:c>
      <x:c r="D29" s="70" t="str"/>
      <x:c r="E29" s="70" t="str">
        <x:v>Drain/Gain life</x:v>
      </x:c>
      <x:c r="F29" s="70" t="str">
        <x:v>CURRENT / manter provisoriamente</x:v>
      </x:c>
      <x:c r="G29" s="70" t="str">
        <x:v>Transforma ganho de vida em perda de vida; resiliência por retorno como encantamento</x:v>
      </x:c>
    </x:row>
    <x:row r="30">
      <x:c r="A30" s="72" t="n">
        <x:v>1</x:v>
      </x:c>
      <x:c r="B30" s="70" t="str">
        <x:v>Erebos's Intervention</x:v>
      </x:c>
      <x:c r="C30" s="70" t="str">
        <x:v>THB 94 *F*</x:v>
      </x:c>
      <x:c r="D30" s="70" t="str"/>
      <x:c r="E30" s="70" t="str">
        <x:v>Removal Pontual</x:v>
      </x:c>
      <x:c r="F30" s="70" t="str">
        <x:v>CURRENT / manter provisoriamente</x:v>
      </x:c>
      <x:c r="G30" s="70" t="str">
        <x:v>Removal Pontual</x:v>
      </x:c>
    </x:row>
    <x:row r="31">
      <x:c r="A31" s="72" t="n">
        <x:v>1</x:v>
      </x:c>
      <x:c r="B31" s="70" t="str">
        <x:v>Exquisite Blood</x:v>
      </x:c>
      <x:c r="C31" s="70" t="str">
        <x:v>AVR 102</x:v>
      </x:c>
      <x:c r="D31" s="70" t="str"/>
      <x:c r="E31" s="70" t="str">
        <x:v>Drain/Gain life</x:v>
      </x:c>
      <x:c r="F31" s="70" t="str">
        <x:v>CURRENT / manter provisoriamente</x:v>
      </x:c>
      <x:c r="G31" s="70" t="str">
        <x:v>Ganho de vida quando oponentes perdem vida; peça de combo</x:v>
      </x:c>
    </x:row>
    <x:row r="32">
      <x:c r="A32" s="72" t="n">
        <x:v>1</x:v>
      </x:c>
      <x:c r="B32" s="70" t="str">
        <x:v>Exsanguinate</x:v>
      </x:c>
      <x:c r="C32" s="70" t="str">
        <x:v>CMM 638</x:v>
      </x:c>
      <x:c r="D32" s="70" t="str"/>
      <x:c r="E32" s="70" t="str">
        <x:v>Drain/Gain life</x:v>
      </x:c>
      <x:c r="F32" s="70" t="str">
        <x:v>CURRENT / manter provisoriamente</x:v>
      </x:c>
      <x:c r="G32" s="70" t="str">
        <x:v>Drain/Gain life</x:v>
      </x:c>
    </x:row>
    <x:row r="33">
      <x:c r="A33" s="72" t="n">
        <x:v>1</x:v>
      </x:c>
      <x:c r="B33" s="70" t="str">
        <x:v>Feed the Swarm</x:v>
      </x:c>
      <x:c r="C33" s="70" t="str">
        <x:v>CMM 159</x:v>
      </x:c>
      <x:c r="D33" s="70" t="str"/>
      <x:c r="E33" s="70" t="str">
        <x:v>Removal Pontual</x:v>
      </x:c>
      <x:c r="F33" s="70" t="str">
        <x:v>CURRENT / manter provisoriamente</x:v>
      </x:c>
      <x:c r="G33" s="70" t="str">
        <x:v>Removal Pontual</x:v>
      </x:c>
    </x:row>
    <x:row r="34">
      <x:c r="A34" s="72" t="n">
        <x:v>1</x:v>
      </x:c>
      <x:c r="B34" s="70" t="str">
        <x:v>Font of Agonies</x:v>
      </x:c>
      <x:c r="C34" s="70" t="str">
        <x:v>PRNA 74s *F*</x:v>
      </x:c>
      <x:c r="D34" s="70" t="str"/>
      <x:c r="E34" s="70" t="str">
        <x:v>Removal Pontual</x:v>
      </x:c>
      <x:c r="F34" s="70" t="str">
        <x:v>CURRENT / manter provisoriamente</x:v>
      </x:c>
      <x:c r="G34" s="70" t="str">
        <x:v>Remove criatura/planeswalker conforme vida paga</x:v>
      </x:c>
    </x:row>
    <x:row r="35">
      <x:c r="A35" s="72" t="n">
        <x:v>1</x:v>
      </x:c>
      <x:c r="B35" s="70" t="str">
        <x:v>Ghoulcaller Gisa</x:v>
      </x:c>
      <x:c r="C35" s="70" t="str">
        <x:v>CC2 2</x:v>
      </x:c>
      <x:c r="D35" s="70" t="str"/>
      <x:c r="E35" s="70" t="str">
        <x:v>Others + Pet</x:v>
      </x:c>
      <x:c r="F35" s="70" t="str">
        <x:v>CURRENT / manter provisoriamente</x:v>
      </x:c>
      <x:c r="G35" s="70" t="str">
        <x:v>Others + Pet</x:v>
      </x:c>
    </x:row>
    <x:row r="36">
      <x:c r="A36" s="72" t="n">
        <x:v>1</x:v>
      </x:c>
      <x:c r="B36" s="70" t="str">
        <x:v>Gray Merchant of Asphodel</x:v>
      </x:c>
      <x:c r="C36" s="70" t="str">
        <x:v>THS 89</x:v>
      </x:c>
      <x:c r="D36" s="70" t="str"/>
      <x:c r="E36" s="70" t="str">
        <x:v>Drain/Gain life</x:v>
      </x:c>
      <x:c r="F36" s="70" t="str">
        <x:v>CURRENT / manter provisoriamente</x:v>
      </x:c>
      <x:c r="G36" s="70" t="str">
        <x:v>Dreno amplo e recuperação de vida por devoção</x:v>
      </x:c>
    </x:row>
    <x:row r="37">
      <x:c r="A37" s="72" t="n">
        <x:v>1</x:v>
      </x:c>
      <x:c r="B37" s="70" t="str">
        <x:v>Grievous Wound</x:v>
      </x:c>
      <x:c r="C37" s="70" t="str">
        <x:v>DSK 416 *F*</x:v>
      </x:c>
      <x:c r="D37" s="70" t="str"/>
      <x:c r="E37" s="70" t="str">
        <x:v>WinCon</x:v>
      </x:c>
      <x:c r="F37" s="70" t="str">
        <x:v>CURRENT / manter provisoriamente</x:v>
      </x:c>
      <x:c r="G37" s="70" t="str">
        <x:v>Impede ganho de vida e reduz vida à metade após dano</x:v>
      </x:c>
    </x:row>
    <x:row r="38">
      <x:c r="A38" s="72" t="n">
        <x:v>1</x:v>
      </x:c>
      <x:c r="B38" s="70" t="str">
        <x:v>Imperial Seal</x:v>
      </x:c>
      <x:c r="C38" s="70" t="str">
        <x:v>2X2 439 *E*</x:v>
      </x:c>
      <x:c r="D38" s="70" t="str"/>
      <x:c r="E38" s="70" t="str">
        <x:v>Tutor + Reanimator</x:v>
      </x:c>
      <x:c r="F38" s="70" t="str">
        <x:v>CURRENT / manter provisoriamente</x:v>
      </x:c>
      <x:c r="G38" s="70" t="str">
        <x:v>Tutor + Reanimator</x:v>
      </x:c>
    </x:row>
    <x:row r="39">
      <x:c r="A39" s="72" t="n">
        <x:v>1</x:v>
      </x:c>
      <x:c r="B39" s="70" t="str">
        <x:v>Insatiable Avarice</x:v>
      </x:c>
      <x:c r="C39" s="70" t="str">
        <x:v>OTJ 91</x:v>
      </x:c>
      <x:c r="D39" s="70" t="str"/>
      <x:c r="E39" s="70" t="str">
        <x:v>Draw</x:v>
      </x:c>
      <x:c r="F39" s="70" t="str">
        <x:v>CURRENT / manter provisoriamente</x:v>
      </x:c>
      <x:c r="G39" s="70" t="str">
        <x:v>Draw</x:v>
      </x:c>
    </x:row>
    <x:row r="40">
      <x:c r="A40" s="72" t="n">
        <x:v>1</x:v>
      </x:c>
      <x:c r="B40" s="70" t="str">
        <x:v>Jet Medallion</x:v>
      </x:c>
      <x:c r="C40" s="70" t="str">
        <x:v>MH3 292</x:v>
      </x:c>
      <x:c r="D40" s="70" t="str"/>
      <x:c r="E40" s="70" t="str">
        <x:v>Ramp</x:v>
      </x:c>
      <x:c r="F40" s="70" t="str">
        <x:v>CURRENT / manter provisoriamente</x:v>
      </x:c>
      <x:c r="G40" s="70" t="str">
        <x:v>Ramp</x:v>
      </x:c>
    </x:row>
    <x:row r="41">
      <x:c r="A41" s="72" t="n">
        <x:v>1</x:v>
      </x:c>
      <x:c r="B41" s="70" t="str">
        <x:v>Liliana, Heretical Healer</x:v>
      </x:c>
      <x:c r="C41" s="70" t="str">
        <x:v>CC2 1</x:v>
      </x:c>
      <x:c r="D41" s="70" t="str"/>
      <x:c r="E41" s="70" t="str">
        <x:v>Others + Pet</x:v>
      </x:c>
      <x:c r="F41" s="70" t="str">
        <x:v>CURRENT / manter provisoriamente</x:v>
      </x:c>
      <x:c r="G41" s="70" t="str">
        <x:v>Others + Pet</x:v>
      </x:c>
    </x:row>
    <x:row r="42">
      <x:c r="A42" s="72" t="n">
        <x:v>1</x:v>
      </x:c>
      <x:c r="B42" s="70" t="str">
        <x:v>Mutavault</x:v>
      </x:c>
      <x:c r="C42" s="70" t="str">
        <x:v>CLB 903</x:v>
      </x:c>
      <x:c r="D42" s="70" t="str">
        <x:v>Land</x:v>
      </x:c>
      <x:c r="E42" s="70" t="str">
        <x:v>Land</x:v>
      </x:c>
      <x:c r="F42" s="70" t="str">
        <x:v>CURRENT / manter provisoriamente</x:v>
      </x:c>
      <x:c r="G42" s="70" t="str">
        <x:v>Others + Pet</x:v>
      </x:c>
    </x:row>
    <x:row r="43">
      <x:c r="A43" s="72" t="n">
        <x:v>1</x:v>
      </x:c>
      <x:c r="B43" s="70" t="str">
        <x:v>Myriad Landscape</x:v>
      </x:c>
      <x:c r="C43" s="70" t="str">
        <x:v>MIC 177 *F*</x:v>
      </x:c>
      <x:c r="D43" s="70" t="str">
        <x:v>Land</x:v>
      </x:c>
      <x:c r="E43" s="70" t="str">
        <x:v>Land</x:v>
      </x:c>
      <x:c r="F43" s="70" t="str">
        <x:v>CURRENT / manter provisoriamente</x:v>
      </x:c>
      <x:c r="G43" s="70" t="str">
        <x:v>Ramp</x:v>
      </x:c>
    </x:row>
    <x:row r="44">
      <x:c r="A44" s="72" t="n">
        <x:v>1</x:v>
      </x:c>
      <x:c r="B44" s="70" t="str">
        <x:v>Nirkana Revenant</x:v>
      </x:c>
      <x:c r="C44" s="70" t="str">
        <x:v>VOC 134</x:v>
      </x:c>
      <x:c r="D44" s="70" t="str"/>
      <x:c r="E44" s="70" t="str">
        <x:v>Ramp</x:v>
      </x:c>
      <x:c r="F44" s="70" t="str">
        <x:v>CURRENT / manter provisoriamente</x:v>
      </x:c>
      <x:c r="G44" s="70" t="str">
        <x:v>Dobra mana de Swamps e escala como ameaça</x:v>
      </x:c>
    </x:row>
    <x:row r="45">
      <x:c r="A45" s="72" t="n">
        <x:v>1</x:v>
      </x:c>
      <x:c r="B45" s="70" t="str">
        <x:v>Ophiomancer</x:v>
      </x:c>
      <x:c r="C45" s="70" t="str">
        <x:v>CC2 3</x:v>
      </x:c>
      <x:c r="D45" s="70" t="str"/>
      <x:c r="E45" s="70" t="str">
        <x:v>Others + Pet</x:v>
      </x:c>
      <x:c r="F45" s="70" t="str">
        <x:v>CURRENT / manter provisoriamente</x:v>
      </x:c>
      <x:c r="G45" s="70" t="str">
        <x:v>Others + Pet</x:v>
      </x:c>
    </x:row>
    <x:row r="46">
      <x:c r="A46" s="72" t="n">
        <x:v>1</x:v>
      </x:c>
      <x:c r="B46" s="70" t="str">
        <x:v>Platinum Angel</x:v>
      </x:c>
      <x:c r="C46" s="70" t="str">
        <x:v>CN2 214</x:v>
      </x:c>
      <x:c r="D46" s="70" t="str"/>
      <x:c r="E46" s="70" t="str">
        <x:v>WinCon</x:v>
      </x:c>
      <x:c r="F46" s="70" t="str">
        <x:v>CURRENT / manter provisoriamente</x:v>
      </x:c>
      <x:c r="G46" s="70" t="str">
        <x:v>WinCon</x:v>
      </x:c>
    </x:row>
    <x:row r="47">
      <x:c r="A47" s="72" t="n">
        <x:v>1</x:v>
      </x:c>
      <x:c r="B47" s="70" t="str">
        <x:v>Preacher of the Schism</x:v>
      </x:c>
      <x:c r="C47" s="70" t="str">
        <x:v>LCI 113 *F*</x:v>
      </x:c>
      <x:c r="D47" s="70" t="str"/>
      <x:c r="E47" s="70" t="str">
        <x:v>Draw</x:v>
      </x:c>
      <x:c r="F47" s="70" t="str">
        <x:v>CURRENT / manter provisoriamente</x:v>
      </x:c>
      <x:c r="G47" s="70" t="str">
        <x:v>Draw</x:v>
      </x:c>
    </x:row>
    <x:row r="48">
      <x:c r="A48" s="72" t="n">
        <x:v>1</x:v>
      </x:c>
      <x:c r="B48" s="70" t="str">
        <x:v>Profane Tutor</x:v>
      </x:c>
      <x:c r="C48" s="70" t="str">
        <x:v>MH2 97</x:v>
      </x:c>
      <x:c r="D48" s="70" t="str"/>
      <x:c r="E48" s="70" t="str">
        <x:v>Tutor + Reanimator</x:v>
      </x:c>
      <x:c r="F48" s="70" t="str">
        <x:v>CURRENT / manter provisoriamente</x:v>
      </x:c>
      <x:c r="G48" s="70" t="str">
        <x:v>Tutor + Reanimator</x:v>
      </x:c>
    </x:row>
    <x:row r="49">
      <x:c r="A49" s="72" t="n">
        <x:v>1</x:v>
      </x:c>
      <x:c r="B49" s="70" t="str">
        <x:v>Promise of Power</x:v>
      </x:c>
      <x:c r="C49" s="70" t="str">
        <x:v>C14 157</x:v>
      </x:c>
      <x:c r="D49" s="70" t="str"/>
      <x:c r="E49" s="70" t="str">
        <x:v>Draw</x:v>
      </x:c>
      <x:c r="F49" s="70" t="str">
        <x:v>CURRENT / manter provisoriamente</x:v>
      </x:c>
      <x:c r="G49" s="70" t="str">
        <x:v>Draw</x:v>
      </x:c>
    </x:row>
    <x:row r="50">
      <x:c r="A50" s="72" t="n">
        <x:v>1</x:v>
      </x:c>
      <x:c r="B50" s="70" t="str">
        <x:v>Reanimate</x:v>
      </x:c>
      <x:c r="C50" s="70" t="str">
        <x:v>JMP 270</x:v>
      </x:c>
      <x:c r="D50" s="70" t="str"/>
      <x:c r="E50" s="70" t="str">
        <x:v>Tutor + Reanimator</x:v>
      </x:c>
      <x:c r="F50" s="70" t="str">
        <x:v>CURRENT / manter provisoriamente</x:v>
      </x:c>
      <x:c r="G50" s="70" t="str">
        <x:v>Tutor + Reanimator</x:v>
      </x:c>
    </x:row>
    <x:row r="51">
      <x:c r="A51" s="72" t="n">
        <x:v>1</x:v>
      </x:c>
      <x:c r="B51" s="70" t="str">
        <x:v>Rise of the Dark Realms</x:v>
      </x:c>
      <x:c r="C51" s="70" t="str">
        <x:v>FDN 183</x:v>
      </x:c>
      <x:c r="D51" s="70" t="str"/>
      <x:c r="E51" s="70" t="str">
        <x:v>WinCon</x:v>
      </x:c>
      <x:c r="F51" s="70" t="str">
        <x:v>CURRENT / manter provisoriamente</x:v>
      </x:c>
      <x:c r="G51" s="70" t="str">
        <x:v>WinCon</x:v>
      </x:c>
    </x:row>
    <x:row r="52">
      <x:c r="A52" s="72" t="n">
        <x:v>1</x:v>
      </x:c>
      <x:c r="B52" s="70" t="str">
        <x:v>Sanguine Bond</x:v>
      </x:c>
      <x:c r="C52" s="70" t="str">
        <x:v>WOT 35</x:v>
      </x:c>
      <x:c r="D52" s="70" t="str"/>
      <x:c r="E52" s="70" t="str">
        <x:v>Drain/Gain life</x:v>
      </x:c>
      <x:c r="F52" s="70" t="str">
        <x:v>CURRENT / manter provisoriamente</x:v>
      </x:c>
      <x:c r="G52" s="70" t="str">
        <x:v>Perda de vida em oponente ao ganhar vida; peça de combo</x:v>
      </x:c>
    </x:row>
    <x:row r="53">
      <x:c r="A53" s="72" t="n">
        <x:v>1</x:v>
      </x:c>
      <x:c r="B53" s="70" t="str">
        <x:v>Shadows' Verdict</x:v>
      </x:c>
      <x:c r="C53" s="70" t="str">
        <x:v>ZNR 344 *F*</x:v>
      </x:c>
      <x:c r="D53" s="70" t="str"/>
      <x:c r="E53" s="70" t="str">
        <x:v>Removal Global</x:v>
      </x:c>
      <x:c r="F53" s="70" t="str">
        <x:v>CURRENT / manter provisoriamente</x:v>
      </x:c>
      <x:c r="G53" s="70" t="str">
        <x:v>Removal Global</x:v>
      </x:c>
    </x:row>
    <x:row r="54">
      <x:c r="A54" s="72" t="n">
        <x:v>1</x:v>
      </x:c>
      <x:c r="B54" s="70" t="str">
        <x:v>Sign in Blood</x:v>
      </x:c>
      <x:c r="C54" s="70" t="str">
        <x:v>STA 32</x:v>
      </x:c>
      <x:c r="D54" s="70" t="str"/>
      <x:c r="E54" s="70" t="str">
        <x:v>Draw</x:v>
      </x:c>
      <x:c r="F54" s="70" t="str">
        <x:v>CURRENT / manter provisoriamente</x:v>
      </x:c>
      <x:c r="G54" s="70" t="str">
        <x:v>Draw</x:v>
      </x:c>
    </x:row>
    <x:row r="55">
      <x:c r="A55" s="72" t="n">
        <x:v>1</x:v>
      </x:c>
      <x:c r="B55" s="70" t="str">
        <x:v>Slaughter Pact</x:v>
      </x:c>
      <x:c r="C55" s="70" t="str">
        <x:v>TSR 138</x:v>
      </x:c>
      <x:c r="D55" s="70" t="str"/>
      <x:c r="E55" s="70" t="str">
        <x:v>Removal Pontual</x:v>
      </x:c>
      <x:c r="F55" s="70" t="str">
        <x:v>CURRENT / manter provisoriamente</x:v>
      </x:c>
      <x:c r="G55" s="70" t="str">
        <x:v>Removal Pontual</x:v>
      </x:c>
    </x:row>
    <x:row r="56">
      <x:c r="A56" s="72" t="n">
        <x:v>1</x:v>
      </x:c>
      <x:c r="B56" s="70" t="str">
        <x:v>Sol Ring</x:v>
      </x:c>
      <x:c r="C56" s="70" t="str">
        <x:v>VOC 168</x:v>
      </x:c>
      <x:c r="D56" s="70" t="str"/>
      <x:c r="E56" s="70" t="str">
        <x:v>Ramp</x:v>
      </x:c>
      <x:c r="F56" s="70" t="str">
        <x:v>CURRENT / manter provisoriamente</x:v>
      </x:c>
      <x:c r="G56" s="70" t="str">
        <x:v>Ramp</x:v>
      </x:c>
    </x:row>
    <x:row r="57">
      <x:c r="A57" s="72" t="n">
        <x:v>25</x:v>
      </x:c>
      <x:c r="B57" s="70" t="str">
        <x:v>Swamp</x:v>
      </x:c>
      <x:c r="C57" s="70" t="str">
        <x:v>ACR 105 *F*</x:v>
      </x:c>
      <x:c r="D57" s="70" t="str">
        <x:v>Basic Land</x:v>
      </x:c>
      <x:c r="E57" s="70" t="str">
        <x:v>Land</x:v>
      </x:c>
      <x:c r="F57" s="70" t="str">
        <x:v>CURRENT / manter provisoriamente</x:v>
      </x:c>
      <x:c r="G57" s="70" t="str">
        <x:v>Fonte básica preta; base para Cabal Stronghold, Crypt Ghast, Nirkana Revenant e Bubbling Muck</x:v>
      </x:c>
    </x:row>
    <x:row r="58">
      <x:c r="A58" s="72" t="n">
        <x:v>1</x:v>
      </x:c>
      <x:c r="B58" s="70" t="str">
        <x:v>Tarrian's Journal // The Tomb of Aclazotz</x:v>
      </x:c>
      <x:c r="C58" s="70" t="str">
        <x:v>LCI 126</x:v>
      </x:c>
      <x:c r="D58" s="70" t="str"/>
      <x:c r="E58" s="70" t="str">
        <x:v>Draw</x:v>
      </x:c>
      <x:c r="F58" s="70" t="str">
        <x:v>CURRENT / manter provisoriamente</x:v>
      </x:c>
      <x:c r="G58" s="70" t="str">
        <x:v>Draw</x:v>
      </x:c>
    </x:row>
    <x:row r="59">
      <x:c r="A59" s="72" t="n">
        <x:v>1</x:v>
      </x:c>
      <x:c r="B59" s="70" t="str">
        <x:v>Tendrils of Corruption</x:v>
      </x:c>
      <x:c r="C59" s="70" t="str">
        <x:v>TSR 145</x:v>
      </x:c>
      <x:c r="D59" s="70" t="str"/>
      <x:c r="E59" s="70" t="str">
        <x:v>Removal Pontual</x:v>
      </x:c>
      <x:c r="F59" s="70" t="str">
        <x:v>CURRENT / manter provisoriamente</x:v>
      </x:c>
      <x:c r="G59" s="70" t="str">
        <x:v>Removal Pontual</x:v>
      </x:c>
    </x:row>
    <x:row r="60">
      <x:c r="A60" s="72" t="n">
        <x:v>1</x:v>
      </x:c>
      <x:c r="B60" s="70" t="str">
        <x:v>Toxic Deluge</x:v>
      </x:c>
      <x:c r="C60" s="70" t="str">
        <x:v>C13 96</x:v>
      </x:c>
      <x:c r="D60" s="70" t="str"/>
      <x:c r="E60" s="70" t="str">
        <x:v>Removal Global</x:v>
      </x:c>
      <x:c r="F60" s="70" t="str">
        <x:v>CURRENT / manter provisoriamente</x:v>
      </x:c>
      <x:c r="G60" s="70" t="str">
        <x:v>Wipe eficiente com custo em vida</x:v>
      </x:c>
    </x:row>
    <x:row r="61">
      <x:c r="A61" s="72" t="n">
        <x:v>1</x:v>
      </x:c>
      <x:c r="B61" s="70" t="str">
        <x:v>Unholy Annex // Ritual Chamber</x:v>
      </x:c>
      <x:c r="C61" s="70" t="str">
        <x:v>DSK 118</x:v>
      </x:c>
      <x:c r="D61" s="70" t="str"/>
      <x:c r="E61" s="70" t="str">
        <x:v>Draw</x:v>
      </x:c>
      <x:c r="F61" s="70" t="str">
        <x:v>CURRENT / manter provisoriamente</x:v>
      </x:c>
      <x:c r="G61" s="70" t="str">
        <x:v>Draw</x:v>
      </x:c>
    </x:row>
    <x:row r="62">
      <x:c r="A62" s="72" t="n">
        <x:v>1</x:v>
      </x:c>
      <x:c r="B62" s="70" t="str">
        <x:v>Unstoppable Slasher</x:v>
      </x:c>
      <x:c r="C62" s="70" t="str">
        <x:v>DSK 312</x:v>
      </x:c>
      <x:c r="D62" s="70" t="str"/>
      <x:c r="E62" s="70" t="str">
        <x:v>WinCon</x:v>
      </x:c>
      <x:c r="F62" s="70" t="str">
        <x:v>CURRENT / manter provisoriamente</x:v>
      </x:c>
      <x:c r="G62" s="70" t="str">
        <x:v>WinCon</x:v>
      </x:c>
    </x:row>
    <x:row r="63">
      <x:c r="A63" s="72" t="n">
        <x:v>1</x:v>
      </x:c>
      <x:c r="B63" s="70" t="str">
        <x:v>Urborg, Tomb of Yawgmoth</x:v>
      </x:c>
      <x:c r="C63" s="70" t="str">
        <x:v>LTC 375</x:v>
      </x:c>
      <x:c r="D63" s="70" t="str">
        <x:v>Land</x:v>
      </x:c>
      <x:c r="E63" s="70" t="str">
        <x:v>Land</x:v>
      </x:c>
      <x:c r="F63" s="70" t="str">
        <x:v>CURRENT / manter provisoriamente</x:v>
      </x:c>
      <x:c r="G63" s="70" t="str">
        <x:v>Ramp</x:v>
      </x:c>
    </x:row>
    <x:row r="64">
      <x:c r="A64" s="72" t="n">
        <x:v>1</x:v>
      </x:c>
      <x:c r="B64" s="70" t="str">
        <x:v>Valgavoth, Terror Eater</x:v>
      </x:c>
      <x:c r="C64" s="70" t="str">
        <x:v>DSK 120</x:v>
      </x:c>
      <x:c r="D64" s="70" t="str"/>
      <x:c r="E64" s="70" t="str">
        <x:v>WinCon</x:v>
      </x:c>
      <x:c r="F64" s="70" t="str">
        <x:v>CURRENT / manter provisoriamente</x:v>
      </x:c>
      <x:c r="G64" s="70" t="str">
        <x:v>WinCon</x:v>
      </x:c>
    </x:row>
    <x:row r="65">
      <x:c r="A65" s="72" t="n">
        <x:v>1</x:v>
      </x:c>
      <x:c r="B65" s="70" t="str">
        <x:v>Vampiric Tutor</x:v>
      </x:c>
      <x:c r="C65" s="70" t="str">
        <x:v>DMR 430</x:v>
      </x:c>
      <x:c r="D65" s="70" t="str"/>
      <x:c r="E65" s="70" t="str">
        <x:v>Tutor + Reanimator</x:v>
      </x:c>
      <x:c r="F65" s="70" t="str">
        <x:v>CURRENT / manter provisoriamente</x:v>
      </x:c>
      <x:c r="G65" s="70" t="str">
        <x:v>Tutor + Reanimator</x:v>
      </x:c>
    </x:row>
    <x:row r="66">
      <x:c r="A66" s="72" t="n">
        <x:v>1</x:v>
      </x:c>
      <x:c r="B66" s="70" t="str">
        <x:v>Vito, Thorn of the Dusk Rose</x:v>
      </x:c>
      <x:c r="C66" s="70" t="str">
        <x:v>J22 487</x:v>
      </x:c>
      <x:c r="D66" s="70" t="str"/>
      <x:c r="E66" s="70" t="str">
        <x:v>Drain/Gain life</x:v>
      </x:c>
      <x:c r="F66" s="70" t="str">
        <x:v>CURRENT / manter provisoriamente</x:v>
      </x:c>
      <x:c r="G66" s="70" t="str">
        <x:v>Payoff de ganho de vida; pode combinar com Exquisite Blood</x:v>
      </x:c>
    </x:row>
    <x:row r="67">
      <x:c r="A67" s="72" t="n">
        <x:v>1</x:v>
      </x:c>
      <x:c r="B67" s="70" t="str">
        <x:v>Withering Torment</x:v>
      </x:c>
      <x:c r="C67" s="70" t="str">
        <x:v>DSK 124</x:v>
      </x:c>
      <x:c r="D67" s="70" t="str"/>
      <x:c r="E67" s="70" t="str">
        <x:v>Removal Pontual</x:v>
      </x:c>
      <x:c r="F67" s="70" t="str">
        <x:v>CURRENT / manter provisoriamente</x:v>
      </x:c>
      <x:c r="G67" s="70" t="str">
        <x:v>Removal Pontual</x:v>
      </x:c>
    </x:row>
    <x:row r="68">
      <x:c r="A68" s="72" t="n">
        <x:v>1</x:v>
      </x:c>
      <x:c r="B68" s="70" t="str">
        <x:v>Necropotence</x:v>
      </x:c>
      <x:c r="C68" s="70" t="str">
        <x:v>PROPOSED V2 — impressão não especificada</x:v>
      </x:c>
      <x:c r="D68" s="70" t="str">
        <x:v>Motor de compra de alto impacto; K'rrik pode pagar os três símbolos pretos com 6 de vida.</x:v>
      </x:c>
      <x:c r="E68" s="70" t="str">
        <x:v>Draw</x:v>
      </x:c>
      <x:c r="F68" s="70" t="str">
        <x:v>IN proposto — ainda não testado</x:v>
      </x:c>
      <x:c r="G68" s="70" t="str">
        <x:v>Motor de compra convertido por K'rrik em 6 de vida sem mana</x:v>
      </x:c>
    </x:row>
    <x:row r="69">
      <x:c r="A69" s="72" t="n">
        <x:v>1</x:v>
      </x:c>
      <x:c r="B69" s="70" t="str">
        <x:v>Bolas's Citadel</x:v>
      </x:c>
      <x:c r="C69" s="70" t="str">
        <x:v>PROPOSED V2 — impressão não especificada</x:v>
      </x:c>
      <x:c r="D69" s="70" t="str">
        <x:v>Acesso ao topo e motor de tempestade; sinergia direta com Aetherflux Reservoir.</x:v>
      </x:c>
      <x:c r="E69" s="70" t="str">
        <x:v>WinCon</x:v>
      </x:c>
      <x:c r="F69" s="70" t="str">
        <x:v>IN proposto — ainda não testado</x:v>
      </x:c>
      <x:c r="G69" s="70" t="str">
        <x:v>Conjura cartas do topo pagando vida; motor de tempestade</x:v>
      </x:c>
    </x:row>
    <x:row r="70">
      <x:c r="A70" s="72" t="n">
        <x:v>1</x:v>
      </x:c>
      <x:c r="B70" s="70" t="str">
        <x:v>Vilis, Broker of Blood</x:v>
      </x:c>
      <x:c r="C70" s="70" t="str">
        <x:v>PROPOSED V2 — impressão não especificada</x:v>
      </x:c>
      <x:c r="D70" s="70" t="str">
        <x:v>Transforma perda de vida em compra de cartas; excelente alvo de reanimação.</x:v>
      </x:c>
      <x:c r="E70" s="70" t="str">
        <x:v>Draw</x:v>
      </x:c>
      <x:c r="F70" s="70" t="str">
        <x:v>IN proposto — ainda não testado</x:v>
      </x:c>
      <x:c r="G70" s="70" t="str">
        <x:v>Compra cartas quando você perde vida; alvo premium de reanimação</x:v>
      </x:c>
    </x:row>
    <x:row r="71">
      <x:c r="A71" s="72" t="n">
        <x:v>1</x:v>
      </x:c>
      <x:c r="B71" s="70" t="str">
        <x:v>Sheoldred, the Apocalypse</x:v>
      </x:c>
      <x:c r="C71" s="70" t="str">
        <x:v>PROPOSED V2 — impressão não especificada</x:v>
      </x:c>
      <x:c r="D71" s="70" t="str">
        <x:v>Gera vida nas suas compras e pune compras dos oponentes; corpo eficiente.</x:v>
      </x:c>
      <x:c r="E71" s="70" t="str">
        <x:v>Drain/Gain life</x:v>
      </x:c>
      <x:c r="F71" s="70" t="str">
        <x:v>IN proposto — ainda não testado</x:v>
      </x:c>
      <x:c r="G71" s="70" t="str">
        <x:v>Ganha vida quando você compra e pune compras de oponentes</x:v>
      </x:c>
    </x:row>
    <x:row r="72">
      <x:c r="A72" s="72" t="n">
        <x:v>1</x:v>
      </x:c>
      <x:c r="B72" s="70" t="str">
        <x:v>Sensei's Divining Top</x:v>
      </x:c>
      <x:c r="C72" s="70" t="str">
        <x:v>PROPOSED V2 — impressão não especificada</x:v>
      </x:c>
      <x:c r="D72" s="70" t="str">
        <x:v>Melhora seleção e organização do topo; sinergia com Bolas's Citadel.</x:v>
      </x:c>
      <x:c r="E72" s="70" t="str">
        <x:v>Draw</x:v>
      </x:c>
      <x:c r="F72" s="70" t="str">
        <x:v>IN proposto — ainda não testado</x:v>
      </x:c>
      <x:c r="G72" s="70" t="str">
        <x:v>Filtra topo e sinergiza com Citadel</x:v>
      </x:c>
    </x:row>
    <x:row r="73">
      <x:c r="A73" s="72" t="n">
        <x:v>1</x:v>
      </x:c>
      <x:c r="B73" s="70" t="str">
        <x:v>Ancient Tomb</x:v>
      </x:c>
      <x:c r="C73" s="70" t="str">
        <x:v>PROPOSED V2 — impressão não especificada</x:v>
      </x:c>
      <x:c r="D73" s="70" t="str">
        <x:v>Land</x:v>
      </x:c>
      <x:c r="E73" s="70" t="str">
        <x:v>Land</x:v>
      </x:c>
      <x:c r="F73" s="70" t="str">
        <x:v>IN proposto — ainda não testado</x:v>
      </x:c>
      <x:c r="G73" s="70" t="str">
        <x:v>Aceleração de mana genérica; custa 2 de vida por ativação</x:v>
      </x:c>
    </x:row>
    <x:row r="74">
      <x:c r="A74" s="72" t="n">
        <x:v>1</x:v>
      </x:c>
      <x:c r="B74" s="70" t="str">
        <x:v>Cabal Ritual</x:v>
      </x:c>
      <x:c r="C74" s="70" t="str">
        <x:v>PROPOSED V2 — impressão não especificada</x:v>
      </x:c>
      <x:c r="D74" s="70" t="str">
        <x:v>Explosão de mana; fica especialmente forte com threshold.</x:v>
      </x:c>
      <x:c r="E74" s="70" t="str">
        <x:v>Ramp</x:v>
      </x:c>
      <x:c r="F74" s="70" t="str">
        <x:v>IN proposto — ainda não testado</x:v>
      </x:c>
      <x:c r="G74" s="70" t="str">
        <x:v>Mana instantânea; melhora com threshold</x:v>
      </x:c>
    </x:row>
    <x:row r="75">
      <x:c r="A75" s="72" t="n">
        <x:v>1</x:v>
      </x:c>
      <x:c r="B75" s="70" t="str">
        <x:v>Bubbling Muck</x:v>
      </x:c>
      <x:c r="C75" s="70" t="str">
        <x:v>PROPOSED V2 — impressão não especificada</x:v>
      </x:c>
      <x:c r="D75" s="70" t="str">
        <x:v>Turno explosivo com Swamps, Cabal Stronghold e Urborg; situacional fora de uma janela de mana.</x:v>
      </x:c>
      <x:c r="E75" s="70" t="str">
        <x:v>Ramp</x:v>
      </x:c>
      <x:c r="F75" s="70" t="str">
        <x:v>IN proposto — ainda não testado</x:v>
      </x:c>
      <x:c r="G75" s="70" t="str">
        <x:v>Turno explosivo com terrenos de tipo Swamp</x:v>
      </x:c>
    </x:row>
    <x:row r="76">
      <x:c r="A76" s="72" t="n">
        <x:v>1</x:v>
      </x:c>
      <x:c r="B76" s="70" t="str">
        <x:v>Animate Dead</x:v>
      </x:c>
      <x:c r="C76" s="70" t="str">
        <x:v>PROPOSED V2 — impressão não especificada</x:v>
      </x:c>
      <x:c r="D76" s="70" t="str">
        <x:v>Reanima por baixo custo para colocar Vilis/Gray Merchant/ameaça no campo cedo.</x:v>
      </x:c>
      <x:c r="E76" s="70" t="str">
        <x:v>Tutor + Reanimator</x:v>
      </x:c>
      <x:c r="F76" s="70" t="str">
        <x:v>IN proposto — ainda não testado</x:v>
      </x:c>
      <x:c r="G76" s="70" t="str">
        <x:v>Reanimação de baixo custo</x:v>
      </x:c>
    </x:row>
    <x:row r="77">
      <x:c r="A77" s="72" t="n">
        <x:v>1</x:v>
      </x:c>
      <x:c r="B77" s="70" t="str">
        <x:v>Entomb</x:v>
      </x:c>
      <x:c r="C77" s="70" t="str">
        <x:v>PROPOSED V2 — impressão não especificada</x:v>
      </x:c>
      <x:c r="D77" s="70" t="str">
        <x:v>Tutor instantâneo para cemitério que torna Reanimate/Animate Dead/Command the Dreadhorde mais consistentes.</x:v>
      </x:c>
      <x:c r="E77" s="70" t="str">
        <x:v>Tutor + Reanimator</x:v>
      </x:c>
      <x:c r="F77" s="70" t="str">
        <x:v>IN proposto — ainda não testado</x:v>
      </x:c>
      <x:c r="G77" s="70" t="str">
        <x:v>Tutor instantâneo para o cemitério</x:v>
      </x:c>
    </x:row>
    <x:row r="78">
      <x:c r="A78" s="72" t="n">
        <x:v>1</x:v>
      </x:c>
      <x:c r="B78" s="70" t="str">
        <x:v>Leshrac's Sigil</x:v>
      </x:c>
      <x:c r="C78" s="70" t="str">
        <x:v>PROPOSED V2 — impressão não especificada</x:v>
      </x:c>
      <x:c r="D78" s="70" t="str">
        <x:v>Abre linha com K'rrik + Aetherflux Reservoir para ciclos repetidos de conjuração, ganho de vida e dano.</x:v>
      </x:c>
      <x:c r="E78" s="70" t="str">
        <x:v>WinCon</x:v>
      </x:c>
      <x:c r="F78" s="70" t="str">
        <x:v>IN proposto — ainda não testado</x:v>
      </x:c>
      <x:c r="G78" s="70" t="str">
        <x:v>Combo com K'rrik + Aetherflux Reservoir; retorno à mão via BB</x:v>
      </x:c>
    </x:row>
    <x:row r="79">
      <x:c r="A79" s="72" t="n">
        <x:v>1</x:v>
      </x:c>
      <x:c r="B79" s="70" t="str">
        <x:v>Snuff Out</x:v>
      </x:c>
      <x:c r="C79" s="70" t="str">
        <x:v>PROPOSED V2 — impressão não especificada</x:v>
      </x:c>
      <x:c r="D79" s="70" t="str">
        <x:v>Remoção gratuita de criatura não preta se você controla um Swamp; melhora a interação sem gastar mana.</x:v>
      </x:c>
      <x:c r="E79" s="70" t="str">
        <x:v>Removal Pontual</x:v>
      </x:c>
      <x:c r="F79" s="70" t="str">
        <x:v>IN proposto — ainda não testado</x:v>
      </x:c>
      <x:c r="G79" s="70" t="str">
        <x:v>Remoção gratuita condicional de criatura não preta</x:v>
      </x:c>
    </x:row>
    <x:row r="80">
      <x:c r="A80" s="72" t="n">
        <x:v>1</x:v>
      </x:c>
      <x:c r="B80" s="70" t="str">
        <x:v>Bloodletter of Aclazotz</x:v>
      </x:c>
      <x:c r="C80" s="70" t="str">
        <x:v>PROPOSED V2 — impressão não especificada</x:v>
      </x:c>
      <x:c r="D80" s="70" t="str">
        <x:v>Duplica a perda de vida dos oponentes durante seu turno; ameaça Exsanguinate e outros drenos.</x:v>
      </x:c>
      <x:c r="E80" s="70" t="str">
        <x:v>WinCon</x:v>
      </x:c>
      <x:c r="F80" s="70" t="str">
        <x:v>IN proposto — ainda não testado</x:v>
      </x:c>
      <x:c r="G80" s="70" t="str">
        <x:v>Duplica perda de vida de oponentes durante seu turno</x:v>
      </x:c>
    </x:row>
    <x:row r="81" ht="22" customHeight="1">
      <x:c r="A81" s="74" t="n">
        <x:f>SUM(A5:A80)</x:f>
        <x:v>100</x:v>
      </x:c>
      <x:c r="B81" s="74" t="str"/>
      <x:c r="C81" s="74"/>
      <x:c r="D81" s="74"/>
      <x:c r="E81" s="74"/>
      <x:c r="F81" s="74"/>
      <x:c r="G81" s="74"/>
    </x:row>
  </x:sheetData>
  <x:mergeCells>
    <x:mergeCell ref="A1:G1"/>
    <x:mergeCell ref="A2:G2"/>
  </x:mergeCells>
  <x:conditionalFormatting sqref="A5:A80">
    <x:cfRule type="dataBar" priority="1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{5D69D6F5-7AA9-85BE-EE64-9A7DB387C4A9}</x14:id>
        </x:ext>
      </x:extLst>
    </x:cfRule>
  </x:conditionalFormatting>
  <x:conditionalFormatting sqref="F5:F80">
    <x:cfRule type="expression" dxfId="1" priority="2">
      <x:formula>ISNUMBER(SEARCH("IN proposto",F5))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26917baf3e4b6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D69D6F5-7AA9-85BE-EE64-9A7DB387C4A9}">
            <x14:dataBar gradient="1">
              <x14:cfvo type="min"/>
              <x14:cfvo type="max"/>
              <x14:fillColor rgb="FF7C3AED"/>
            </x14:dataBar>
          </x14:cfRule>
          <xm:sqref>A5:A80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16" hidden="0" customWidth="1"/>
    <x:col min="4" max="4" width="19" hidden="0" customWidth="1"/>
    <x:col min="5" max="5" width="46" hidden="0" customWidth="1"/>
    <x:col min="6" max="6" width="43" hidden="0" customWidth="1"/>
    <x:col min="7" max="7" width="38" hidden="0" customWidth="1"/>
    <x:col min="8" max="8" width="43" hidden="0" customWidth="1"/>
    <x:col min="9" max="9" width="18" hidden="0" customWidth="1"/>
  </x:cols>
  <x:sheetData>
    <x:row r="1" ht="32" customHeight="1">
      <x:c r="A1" s="5" t="str">
        <x:v>UPGRADE MATRIX — 13 TROCAS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3" t="str">
        <x:v>Prioridade por impacto provável; todas as trocas permanecem PROPOSTAS até serem jogadas. Nenhuma carta marcada *F*/*E* foi escolhida como corte.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6" t="str">
        <x:v>IN</x:v>
      </x:c>
      <x:c r="B4" s="26" t="str">
        <x:v>OUT</x:v>
      </x:c>
      <x:c r="C4" s="26" t="str">
        <x:v>Prioridade</x:v>
      </x:c>
      <x:c r="D4" s="26" t="str">
        <x:v>Grupo</x:v>
      </x:c>
      <x:c r="E4" s="26" t="str">
        <x:v>Por que entra</x:v>
      </x:c>
      <x:c r="F4" s="26" t="str">
        <x:v>Por que sai</x:v>
      </x:c>
      <x:c r="G4" s="26" t="str">
        <x:v>Ganho esperado</x:v>
      </x:c>
      <x:c r="H4" s="26" t="str">
        <x:v>Custo / argumento contra</x:v>
      </x:c>
      <x:c r="I4" s="26" t="str">
        <x:v>Estado</x:v>
      </x:c>
    </x:row>
    <x:row r="5" ht="80" customHeight="1">
      <x:c r="A5" s="70" t="str">
        <x:v>Necropotence</x:v>
      </x:c>
      <x:c r="B5" s="70" t="str">
        <x:v>Phyrexian Arena</x:v>
      </x:c>
      <x:c r="C5" s="70" t="str">
        <x:v>P1</x:v>
      </x:c>
      <x:c r="D5" s="70" t="str">
        <x:v>Draw</x:v>
      </x:c>
      <x:c r="E5" s="70" t="str">
        <x:v>K'rrik pode pagar os símbolos pretos com vida e converter um pequeno investimento em grande quantidade de cartas; reposiciona a lista para turnos explosivos.</x:v>
      </x:c>
      <x:c r="F5" s="70" t="str">
        <x:v>Arena compra uma por upkeep e é previsível, mas lenta em mesa de alto poder.</x:v>
      </x:c>
      <x:c r="G5" s="70" t="str">
        <x:v>Mais acesso a tutores, proteção e peças de combo no turno crítico.</x:v>
      </x:c>
      <x:c r="H5" s="70" t="str">
        <x:v>Aumenta a exposição a vida baixa; Necropotence exila cartas compradas e restringe o uso do cemitério naquela etapa.</x:v>
      </x:c>
      <x:c r="I5" s="70" t="str">
        <x:v>Sugerida</x:v>
      </x:c>
    </x:row>
    <x:row r="6" ht="80" customHeight="1">
      <x:c r="A6" s="70" t="str">
        <x:v>Bolas's Citadel</x:v>
      </x:c>
      <x:c r="B6" s="70" t="str">
        <x:v>Sorin's Vengeance</x:v>
      </x:c>
      <x:c r="C6" s="70" t="str">
        <x:v>P1</x:v>
      </x:c>
      <x:c r="D6" s="70" t="str">
        <x:v>WinCon</x:v>
      </x:c>
      <x:c r="E6" s="70" t="str">
        <x:v>Motor de acesso ao topo que transforma vida e sequência de mágicas em avanço; sinergiza com Aetherflux Reservoir.</x:v>
      </x:c>
      <x:c r="F6" s="70" t="str">
        <x:v>Sorin's Vengeance é uma carta de 10 pontos de perda de vida e ganho de vida, mas é um efeito único e caro.</x:v>
      </x:c>
      <x:c r="G6" s="70" t="str">
        <x:v>Maior chance de converter uma mão cheia em uma sequência decisiva.</x:v>
      </x:c>
      <x:c r="H6" s="70" t="str">
        <x:v>Citadel custa 6 de mana value e ainda exige três manas genéricas mesmo com K'rrik; vulnerável a remoção de artefato.</x:v>
      </x:c>
      <x:c r="I6" s="70" t="str">
        <x:v>Sugerida</x:v>
      </x:c>
    </x:row>
    <x:row r="7" ht="80" customHeight="1">
      <x:c r="A7" s="70" t="str">
        <x:v>Vilis, Broker of Blood</x:v>
      </x:c>
      <x:c r="B7" s="70" t="str">
        <x:v>Ob Nixilis of the Black Oath</x:v>
      </x:c>
      <x:c r="C7" s="70" t="str">
        <x:v>P1</x:v>
      </x:c>
      <x:c r="D7" s="70" t="str">
        <x:v>Draw / reanimator</x:v>
      </x:c>
      <x:c r="E7" s="70" t="str">
        <x:v>Vilis transforma cada perda de vida em compra de cartas; pagar vida para conjurar feitiços com K'rrik pode abastecer sua mão.</x:v>
      </x:c>
      <x:c r="F7" s="70" t="str">
        <x:v>Ob Nixilis gera valor incremental, mas depende de turnos e não repõe a mão na mesma escala.</x:v>
      </x:c>
      <x:c r="G7" s="70" t="str">
        <x:v>Maior consistência e combustível para combo; excelente alvo de reanimação.</x:v>
      </x:c>
      <x:c r="H7" s="70" t="str">
        <x:v>Vilis é muito caro em mana genérica sem reanimação, e perder muita vida sem recuperar pode ser perigoso.</x:v>
      </x:c>
      <x:c r="I7" s="70" t="str">
        <x:v>Sugerida</x:v>
      </x:c>
    </x:row>
    <x:row r="8" ht="80" customHeight="1">
      <x:c r="A8" s="70" t="str">
        <x:v>Sheoldred, the Apocalypse</x:v>
      </x:c>
      <x:c r="B8" s="70" t="str">
        <x:v>Heraldic Banner</x:v>
      </x:c>
      <x:c r="C8" s="70" t="str">
        <x:v>P1</x:v>
      </x:c>
      <x:c r="D8" s="70" t="str">
        <x:v>Drain/Gain life</x:v>
      </x:c>
      <x:c r="E8" s="70" t="str">
        <x:v>Ganha vida quando você compra e pune compras de oponentes; ataca diretamente dois eixos da mesa.</x:v>
      </x:c>
      <x:c r="F8" s="70" t="str">
        <x:v>Banner acelera mana, mas seu bônus de poder para criaturas pretas não é plano central.</x:v>
      </x:c>
      <x:c r="G8" s="70" t="str">
        <x:v>Melhor motor de vida e pressão contra draw dos adversários.</x:v>
      </x:c>
      <x:c r="H8" s="70" t="str">
        <x:v>Custa quatro manas equivalentes a 2 genéricas + 4 de vida com K'rrik; remoção imediata reduz o ganho.</x:v>
      </x:c>
      <x:c r="I8" s="70" t="str">
        <x:v>Sugerida</x:v>
      </x:c>
    </x:row>
    <x:row r="9" ht="80" customHeight="1">
      <x:c r="A9" s="70" t="str">
        <x:v>Sensei's Divining Top</x:v>
      </x:c>
      <x:c r="B9" s="70" t="str">
        <x:v>Barbed Servitor</x:v>
      </x:c>
      <x:c r="C9" s="70" t="str">
        <x:v>P1</x:v>
      </x:c>
      <x:c r="D9" s="70" t="str">
        <x:v>Draw</x:v>
      </x:c>
      <x:c r="E9" s="70" t="str">
        <x:v>Melhora qualidade do topo e torna Bolas's Citadel mais confiável.</x:v>
      </x:c>
      <x:c r="F9" s="70" t="str">
        <x:v>Servitor é indestrutível e pode comprar ao conectar, mas custa quatro manas e precisa causar dano de combate para gerar carta.</x:v>
      </x:c>
      <x:c r="G9" s="70" t="str">
        <x:v>Filtragem recorrente e sinergia com Citadel.</x:v>
      </x:c>
      <x:c r="H9" s="70" t="str">
        <x:v>Top não gera cartas sozinho; a ativação de compra custa mana e o deck não deve presumir loop infinito com Citadel.</x:v>
      </x:c>
      <x:c r="I9" s="70" t="str">
        <x:v>Sugerida</x:v>
      </x:c>
    </x:row>
    <x:row r="10" ht="80" customHeight="1">
      <x:c r="A10" s="70" t="str">
        <x:v>Ancient Tomb</x:v>
      </x:c>
      <x:c r="B10" s="70" t="str">
        <x:v>Temple of the False God</x:v>
      </x:c>
      <x:c r="C10" s="70" t="str">
        <x:v>P1</x:v>
      </x:c>
      <x:c r="D10" s="70" t="str">
        <x:v>Ramp / mana base</x:v>
      </x:c>
      <x:c r="E10" s="70" t="str">
        <x:v>Gera duas manas genéricas desde cedo e ajuda a pagar a parte genérica de K'rrik e engines.</x:v>
      </x:c>
      <x:c r="F10" s="70" t="str">
        <x:v>Temple of the False God pode ficar inativo até controlar cinco terrenos.</x:v>
      </x:c>
      <x:c r="G10" s="70" t="str">
        <x:v>Maior chance de desenvolver K'rrik e motores um turno mais cedo.</x:v>
      </x:c>
      <x:c r="H10" s="70" t="str">
        <x:v>Paga 2 de vida por ativação; isso compete com a vida usada para conjurar mágicas.</x:v>
      </x:c>
      <x:c r="I10" s="70" t="str">
        <x:v>Sugerida</x:v>
      </x:c>
    </x:row>
    <x:row r="11" ht="80" customHeight="1">
      <x:c r="A11" s="70" t="str">
        <x:v>Cabal Ritual</x:v>
      </x:c>
      <x:c r="B11" s="70" t="str">
        <x:v>Ritual of Soot</x:v>
      </x:c>
      <x:c r="C11" s="70" t="str">
        <x:v>P1</x:v>
      </x:c>
      <x:c r="D11" s="70" t="str">
        <x:v>Ramp</x:v>
      </x:c>
      <x:c r="E11" s="70" t="str">
        <x:v>Transforma uma mana genérica + 2 de vida em BBB; com threshold, pode produzir BBBBB.</x:v>
      </x:c>
      <x:c r="F11" s="70" t="str">
        <x:v>Ritual of Soot é um wipe restrito a criaturas de mana value 3 ou menos e se sobrepõe a outros wipes.</x:v>
      </x:c>
      <x:c r="G11" s="70" t="str">
        <x:v>Turnos mais explosivos e capacidade de encadear mágicas pretas.</x:v>
      </x:c>
      <x:c r="H11" s="70" t="str">
        <x:v>É efeito de uso único e exige mana genérica; threshold não estará sempre ativo.</x:v>
      </x:c>
      <x:c r="I11" s="70" t="str">
        <x:v>Sugerida</x:v>
      </x:c>
    </x:row>
    <x:row r="12" ht="80" customHeight="1">
      <x:c r="A12" s="70" t="str">
        <x:v>Bubbling Muck</x:v>
      </x:c>
      <x:c r="B12" s="70" t="str">
        <x:v>Mutilate</x:v>
      </x:c>
      <x:c r="C12" s="70" t="str">
        <x:v>P1</x:v>
      </x:c>
      <x:c r="D12" s="70" t="str">
        <x:v>Ramp / mana</x:v>
      </x:c>
      <x:c r="E12" s="70" t="str">
        <x:v>Com 25 Swamps e Urborg, pode dobrar a produção dos Swamps por um turno e alimentar feitiços caros.</x:v>
      </x:c>
      <x:c r="F12" s="70" t="str">
        <x:v>Mutilate é um wipe relevante em mono-black, mas há outras limpezas na lista.</x:v>
      </x:c>
      <x:c r="G12" s="70" t="str">
        <x:v>Mais mana para Citadel, reanimação e fechamento em vez de excesso de remoções globais.</x:v>
      </x:c>
      <x:c r="H12" s="70" t="str">
        <x:v>Perde uma resposta global; Muck é muito pior se não houver sequência de Swamps disponíveis.</x:v>
      </x:c>
      <x:c r="I12" s="70" t="str">
        <x:v>Sugerida</x:v>
      </x:c>
    </x:row>
    <x:row r="13" ht="80" customHeight="1">
      <x:c r="A13" s="70" t="str">
        <x:v>Animate Dead</x:v>
      </x:c>
      <x:c r="B13" s="70" t="str">
        <x:v>Army of the Damned</x:v>
      </x:c>
      <x:c r="C13" s="70" t="str">
        <x:v>P1</x:v>
      </x:c>
      <x:c r="D13" s="70" t="str">
        <x:v>Tutor + Reanimator</x:v>
      </x:c>
      <x:c r="E13" s="70" t="str">
        <x:v>Reanima Vilis, Gray Merchant ou Valgavoth por pouco mana e pode gerar valor muito antes de conjurar a ameaça.</x:v>
      </x:c>
      <x:c r="F13" s="70" t="str">
        <x:v>Army cria 13 Zumbis, mas é uma mágica cara e não é a linha central de lifegain/drain.</x:v>
      </x:c>
      <x:c r="G13" s="70" t="str">
        <x:v>Mais consistência e explosão via reanimação barata.</x:v>
      </x:c>
      <x:c r="H13" s="70" t="str">
        <x:v>Army é um finalizador de mesa ampla e pode ser mais divertido/temático; se for pet, manter e trocar outra carta.</x:v>
      </x:c>
      <x:c r="I13" s="70" t="str">
        <x:v>Sugerida</x:v>
      </x:c>
    </x:row>
    <x:row r="14" ht="80" customHeight="1">
      <x:c r="A14" s="70" t="str">
        <x:v>Entomb</x:v>
      </x:c>
      <x:c r="B14" s="70" t="str">
        <x:v>Liliana of the Dark Realms</x:v>
      </x:c>
      <x:c r="C14" s="70" t="str">
        <x:v>P1</x:v>
      </x:c>
      <x:c r="D14" s="70" t="str">
        <x:v>Tutor + Reanimator</x:v>
      </x:c>
      <x:c r="E14" s="70" t="str">
        <x:v>Envia Vilis/Gray Merchant/Valgavoth ao cemitério para reanimação; melhora precisão dos tutores.</x:v>
      </x:c>
      <x:c r="F14" s="70" t="str">
        <x:v>Liliana busca Swamp, remove com -3 e tem teto de mana, mas exige quatro manas e turnos para valor.</x:v>
      </x:c>
      <x:c r="G14" s="70" t="str">
        <x:v>Melhor acesso a alvos premium de reanimação.</x:v>
      </x:c>
      <x:c r="H14" s="70" t="str">
        <x:v>Entomb é uma carta morta sem alvo/plano de recursão; não é compra de carta convencional.</x:v>
      </x:c>
      <x:c r="I14" s="70" t="str">
        <x:v>Sugerida</x:v>
      </x:c>
    </x:row>
    <x:row r="15" ht="80" customHeight="1">
      <x:c r="A15" s="70" t="str">
        <x:v>Snuff Out</x:v>
      </x:c>
      <x:c r="B15" s="70" t="str">
        <x:v>Hex</x:v>
      </x:c>
      <x:c r="C15" s="70" t="str">
        <x:v>P1</x:v>
      </x:c>
      <x:c r="D15" s="70" t="str">
        <x:v>Removal Pontual</x:v>
      </x:c>
      <x:c r="E15" s="70" t="str">
        <x:v>Se você controla um Swamp, pode remover uma criatura não preta sem gastar mana, liberando vida/mana para sua linha de combo.</x:v>
      </x:c>
      <x:c r="F15" s="70" t="str">
        <x:v>Hex pode destruir seis criaturas, mas é caro e exige seis alvos; muitas vezes será lento ou situacional.</x:v>
      </x:c>
      <x:c r="G15" s="70" t="str">
        <x:v>Mais resposta no turno crítico e melhor proteção do tempo de combo.</x:v>
      </x:c>
      <x:c r="H15" s="70" t="str">
        <x:v>Não responde a criaturas pretas; paga 4 de vida como custo alternativo e não é substituto universal de wipe.</x:v>
      </x:c>
      <x:c r="I15" s="70" t="str">
        <x:v>Sugerida</x:v>
      </x:c>
    </x:row>
    <x:row r="16" ht="80" customHeight="1">
      <x:c r="A16" s="70" t="str">
        <x:v>Leshrac's Sigil</x:v>
      </x:c>
      <x:c r="B16" s="70" t="str">
        <x:v>Suspended Sentence</x:v>
      </x:c>
      <x:c r="C16" s="70" t="str">
        <x:v>P1 / combo</x:v>
      </x:c>
      <x:c r="D16" s="70" t="str">
        <x:v>WinCon</x:v>
      </x:c>
      <x:c r="E16" s="70" t="str">
        <x:v>Com K'rrik e Aetherflux Reservoir, seu custo e ativação BB podem ser pagos com vida, criando uma linha repetível de conjurações, ganho de vida e uso do Reservoir.</x:v>
      </x:c>
      <x:c r="F16" s="70" t="str">
        <x:v>Suspended Sentence é uma boa remoção que também drena 3, então não é fraca; sai apenas porque a lista já tem bastante remoção.</x:v>
      </x:c>
      <x:c r="G16" s="70" t="str">
        <x:v>Adiciona uma condição de vitória compacta usando duas cartas já existentes.</x:v>
      </x:c>
      <x:c r="H16" s="70" t="str">
        <x:v>Exige K'rrik, Reservoir e vida suficiente para pagar o começo do ciclo; vulnerável a remoção dos motores.</x:v>
      </x:c>
      <x:c r="I16" s="70" t="str">
        <x:v>Sugerida</x:v>
      </x:c>
    </x:row>
    <x:row r="17" ht="80" customHeight="1">
      <x:c r="A17" s="70" t="str">
        <x:v>Bloodletter of Aclazotz</x:v>
      </x:c>
      <x:c r="B17" s="70" t="str">
        <x:v>Infernal Offering</x:v>
      </x:c>
      <x:c r="C17" s="70" t="str">
        <x:v>P2</x:v>
      </x:c>
      <x:c r="D17" s="70" t="str">
        <x:v>WinCon</x:v>
      </x:c>
      <x:c r="E17" s="70" t="str">
        <x:v>Duplica a perda de vida dos oponentes durante seu turno; amplifica Exsanguinate, Gray Merchant e payoffs de ganho de vida que drenam.</x:v>
      </x:c>
      <x:c r="F17" s="70" t="str">
        <x:v>Infernal Offering mistura sacrifício, compra e reanimação, mas dá valor ao oponente e custa cinco manas.</x:v>
      </x:c>
      <x:c r="G17" s="70" t="str">
        <x:v>Mais potencial de letalidade com as peças já presentes.</x:v>
      </x:c>
      <x:c r="H17" s="70" t="str">
        <x:v>Bloodletter custa quatro manas e deve sobreviver à janela do seu turno; efeito não dobra dano causado, e sim perda de vida.</x:v>
      </x:c>
      <x:c r="I17" s="70" t="str">
        <x:v>Sugerida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c9a0b9c14154dd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21" hidden="0" customWidth="1"/>
    <x:col min="5" max="5" width="21" hidden="0" customWidth="1"/>
    <x:col min="6" max="6" width="9" hidden="0" customWidth="1"/>
    <x:col min="7" max="7" width="34" hidden="0" customWidth="1"/>
    <x:col min="8" max="8" width="27" hidden="0" customWidth="1"/>
    <x:col min="9" max="9" width="53" hidden="0" customWidth="1"/>
    <x:col min="10" max="10" width="47" hidden="0" customWidth="1"/>
  </x:cols>
  <x:sheetData>
    <x:row r="1" ht="32" customHeight="1">
      <x:c r="A1" s="5" t="str">
        <x:v>CARD MATRIX — CURRENT VS PROPOSED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3" t="str">
        <x:v>Uma linha por nome de carta; múltiplas funções são registradas como nota, mas cada carta tem somente um grupo primário.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26" t="str">
        <x:v>Card</x:v>
      </x:c>
      <x:c r="B4" s="26" t="str">
        <x:v>Qty CURRENT</x:v>
      </x:c>
      <x:c r="C4" s="26" t="str">
        <x:v>Qty V2</x:v>
      </x:c>
      <x:c r="D4" s="26" t="str">
        <x:v>Group CURRENT</x:v>
      </x:c>
      <x:c r="E4" s="26" t="str">
        <x:v>Group V2</x:v>
      </x:c>
      <x:c r="F4" s="26" t="str">
        <x:v>Tier</x:v>
      </x:c>
      <x:c r="G4" s="26" t="str">
        <x:v>Status / decisão</x:v>
      </x:c>
      <x:c r="H4" s="26" t="str">
        <x:v>Printing CURRENT</x:v>
      </x:c>
      <x:c r="I4" s="26" t="str">
        <x:v>Função / nota</x:v>
      </x:c>
      <x:c r="J4" s="26" t="str">
        <x:v>Source / reference</x:v>
      </x:c>
    </x:row>
    <x:row r="5">
      <x:c r="A5" s="70" t="str">
        <x:v>K'rrik, Son of Yawgmoth</x:v>
      </x:c>
      <x:c r="B5" s="72" t="n">
        <x:v>1</x:v>
      </x:c>
      <x:c r="C5" s="72" t="n">
        <x:v>1</x:v>
      </x:c>
      <x:c r="D5" s="70" t="str">
        <x:v>Commander</x:v>
      </x:c>
      <x:c r="E5" s="70" t="str">
        <x:v>Commander</x:v>
      </x:c>
      <x:c r="F5" s="70" t="str">
        <x:v>S</x:v>
      </x:c>
      <x:c r="G5" s="70" t="str">
        <x:v>Commander — manter</x:v>
      </x:c>
      <x:c r="H5" s="70" t="str">
        <x:v>PJ21 2 *F*</x:v>
      </x:c>
      <x:c r="I5" s="70" t="str">
        <x:v>Comandante; lifelink; vida como recurso; cresce ao conjurar mágicas pretas</x:v>
      </x:c>
      <x:c r="J5" s="70" t="str">
        <x:v>https://scryfall.com/card/mh3/274/krrik-son-of-yawgmoth</x:v>
      </x:c>
    </x:row>
    <x:row r="6">
      <x:c r="A6" s="70" t="str">
        <x:v>Aclazotz, Deepest Betrayal</x:v>
      </x:c>
      <x:c r="B6" s="72" t="n">
        <x:v>1</x:v>
      </x:c>
      <x:c r="C6" s="72" t="n">
        <x:v>1</x:v>
      </x:c>
      <x:c r="D6" s="70" t="str">
        <x:v>Drain/Gain life</x:v>
      </x:c>
      <x:c r="E6" s="70" t="str">
        <x:v>Drain/Gain life</x:v>
      </x:c>
      <x:c r="F6" s="70" t="str">
        <x:v>B</x:v>
      </x:c>
      <x:c r="G6" s="70" t="str">
        <x:v>Manter na PROPOSED V2</x:v>
      </x:c>
      <x:c r="H6" s="70" t="str">
        <x:v>LCI 316</x:v>
      </x:c>
      <x:c r="I6" s="70" t="str">
        <x:v>Drain/Gain life</x:v>
      </x:c>
      <x:c r="J6" s="70" t="str">
        <x:v>https://scryfall.com/search?q=%21%22Aclazotz%2C+Deepest+Betrayal%22</x:v>
      </x:c>
    </x:row>
    <x:row r="7">
      <x:c r="A7" s="70" t="str">
        <x:v>Aetherflux Reservoir</x:v>
      </x:c>
      <x:c r="B7" s="72" t="n">
        <x:v>1</x:v>
      </x:c>
      <x:c r="C7" s="72" t="n">
        <x:v>1</x:v>
      </x:c>
      <x:c r="D7" s="70" t="str">
        <x:v>WinCon</x:v>
      </x:c>
      <x:c r="E7" s="70" t="str">
        <x:v>WinCon</x:v>
      </x:c>
      <x:c r="F7" s="70" t="str">
        <x:v>S</x:v>
      </x:c>
      <x:c r="G7" s="70" t="str">
        <x:v>Manter na PROPOSED V2</x:v>
      </x:c>
      <x:c r="H7" s="70" t="str">
        <x:v>KLD 192</x:v>
      </x:c>
      <x:c r="I7" s="70" t="str">
        <x:v>Motor de ganho de vida e condição de vitória por 50 de vida</x:v>
      </x:c>
      <x:c r="J7" s="70" t="str">
        <x:v>https://scryfall.com/search?q=%21%22Aetherflux+Reservoir%22</x:v>
      </x:c>
    </x:row>
    <x:row r="8">
      <x:c r="A8" s="70" t="str">
        <x:v>Alhammarret's Archive</x:v>
      </x:c>
      <x:c r="B8" s="72" t="n">
        <x:v>1</x:v>
      </x:c>
      <x:c r="C8" s="72" t="n">
        <x:v>1</x:v>
      </x:c>
      <x:c r="D8" s="70" t="str">
        <x:v>Draw</x:v>
      </x:c>
      <x:c r="E8" s="70" t="str">
        <x:v>Draw</x:v>
      </x:c>
      <x:c r="F8" s="70" t="str">
        <x:v>B</x:v>
      </x:c>
      <x:c r="G8" s="70" t="str">
        <x:v>Manter na PROPOSED V2</x:v>
      </x:c>
      <x:c r="H8" s="70" t="str">
        <x:v>PLST ORI-221</x:v>
      </x:c>
      <x:c r="I8" s="70" t="str">
        <x:v>Duplica compra adicional e ganho de vida</x:v>
      </x:c>
      <x:c r="J8" s="70" t="str">
        <x:v>https://scryfall.com/search?q=%21%22Alhammarret%27s+Archive%22</x:v>
      </x:c>
    </x:row>
    <x:row r="9">
      <x:c r="A9" s="70" t="str">
        <x:v>Ancient Cellarspawn</x:v>
      </x:c>
      <x:c r="B9" s="72" t="n">
        <x:v>1</x:v>
      </x:c>
      <x:c r="C9" s="72" t="n">
        <x:v>1</x:v>
      </x:c>
      <x:c r="D9" s="70" t="str">
        <x:v>Others + Pet</x:v>
      </x:c>
      <x:c r="E9" s="70" t="str">
        <x:v>Others + Pet</x:v>
      </x:c>
      <x:c r="F9" s="70" t="str">
        <x:v>A</x:v>
      </x:c>
      <x:c r="G9" s="70" t="str">
        <x:v>Manter na PROPOSED V2</x:v>
      </x:c>
      <x:c r="H9" s="70" t="str">
        <x:v>DSC 47</x:v>
      </x:c>
      <x:c r="I9" s="70" t="str">
        <x:v>Reduz custo de Demon/Horror/Nightmare; pune mana gasto abaixo do mana value</x:v>
      </x:c>
      <x:c r="J9" s="70" t="str">
        <x:v>https://mtg.wtf/card/dsc/47/Ancient-Cellarspawn</x:v>
      </x:c>
    </x:row>
    <x:row r="10">
      <x:c r="A10" s="70" t="str">
        <x:v>Arcane Signet</x:v>
      </x:c>
      <x:c r="B10" s="72" t="n">
        <x:v>1</x:v>
      </x:c>
      <x:c r="C10" s="72" t="n">
        <x:v>1</x:v>
      </x:c>
      <x:c r="D10" s="70" t="str">
        <x:v>Ramp</x:v>
      </x:c>
      <x:c r="E10" s="70" t="str">
        <x:v>Ramp</x:v>
      </x:c>
      <x:c r="F10" s="70" t="str">
        <x:v>B</x:v>
      </x:c>
      <x:c r="G10" s="70" t="str">
        <x:v>Manter na PROPOSED V2</x:v>
      </x:c>
      <x:c r="H10" s="70" t="str">
        <x:v>M3C 283</x:v>
      </x:c>
      <x:c r="I10" s="70" t="str">
        <x:v>Ramp</x:v>
      </x:c>
      <x:c r="J10" s="70" t="str">
        <x:v>https://scryfall.com/search?q=%21%22Arcane+Signet%22</x:v>
      </x:c>
    </x:row>
    <x:row r="11">
      <x:c r="A11" s="70" t="str">
        <x:v>Army of the Damned</x:v>
      </x:c>
      <x:c r="B11" s="72" t="n">
        <x:v>1</x:v>
      </x:c>
      <x:c r="C11" s="72" t="n">
        <x:v>0</x:v>
      </x:c>
      <x:c r="D11" s="70" t="str">
        <x:v>WinCon</x:v>
      </x:c>
      <x:c r="E11" s="70" t="str">
        <x:v>WinCon</x:v>
      </x:c>
      <x:c r="F11" s="70" t="str">
        <x:v>C</x:v>
      </x:c>
      <x:c r="G11" s="70" t="str">
        <x:v>Corte proposto; revisar se for pet</x:v>
      </x:c>
      <x:c r="H11" s="70" t="str">
        <x:v>NCC 242</x:v>
      </x:c>
      <x:c r="I11" s="70" t="str">
        <x:v>Impacto alto, mas lento; corte proposto por eficiência, não por falta de potencial.</x:v>
      </x:c>
      <x:c r="J11" s="70" t="str">
        <x:v>https://scryfall.com/search?q=%21%22Army+of+the+Damned%22</x:v>
      </x:c>
    </x:row>
    <x:row r="12">
      <x:c r="A12" s="70" t="str">
        <x:v>Baleful Mastery</x:v>
      </x:c>
      <x:c r="B12" s="72" t="n">
        <x:v>1</x:v>
      </x:c>
      <x:c r="C12" s="72" t="n">
        <x:v>1</x:v>
      </x:c>
      <x:c r="D12" s="70" t="str">
        <x:v>Removal Pontual</x:v>
      </x:c>
      <x:c r="E12" s="70" t="str">
        <x:v>Removal Pontual</x:v>
      </x:c>
      <x:c r="F12" s="70" t="str">
        <x:v>B</x:v>
      </x:c>
      <x:c r="G12" s="70" t="str">
        <x:v>Manter na PROPOSED V2</x:v>
      </x:c>
      <x:c r="H12" s="70" t="str">
        <x:v>STX 64</x:v>
      </x:c>
      <x:c r="I12" s="70" t="str">
        <x:v>Removal Pontual</x:v>
      </x:c>
      <x:c r="J12" s="70" t="str">
        <x:v>https://scryfall.com/search?q=%21%22Baleful+Mastery%22</x:v>
      </x:c>
    </x:row>
    <x:row r="13">
      <x:c r="A13" s="70" t="str">
        <x:v>Barbed Servitor</x:v>
      </x:c>
      <x:c r="B13" s="72" t="n">
        <x:v>1</x:v>
      </x:c>
      <x:c r="C13" s="72" t="n">
        <x:v>0</x:v>
      </x:c>
      <x:c r="D13" s="70" t="str">
        <x:v>Draw</x:v>
      </x:c>
      <x:c r="E13" s="70" t="str">
        <x:v>Draw</x:v>
      </x:c>
      <x:c r="F13" s="70" t="str">
        <x:v>B</x:v>
      </x:c>
      <x:c r="G13" s="70" t="str">
        <x:v>Corte proposto; revisar se for pet</x:v>
      </x:c>
      <x:c r="H13" s="70" t="str">
        <x:v>MKM 77</x:v>
      </x:c>
      <x:c r="I13" s="70" t="str">
        <x:v>Indestrutível e pode comprar ao conectar; custo quatro e impacto inconsistente.</x:v>
      </x:c>
      <x:c r="J13" s="70" t="str">
        <x:v>https://scryfall.com/search?q=%21%22Barbed+Servitor%22</x:v>
      </x:c>
    </x:row>
    <x:row r="14">
      <x:c r="A14" s="70" t="str">
        <x:v>Blood Artist</x:v>
      </x:c>
      <x:c r="B14" s="72" t="n">
        <x:v>1</x:v>
      </x:c>
      <x:c r="C14" s="72" t="n">
        <x:v>1</x:v>
      </x:c>
      <x:c r="D14" s="70" t="str">
        <x:v>Drain/Gain life</x:v>
      </x:c>
      <x:c r="E14" s="70" t="str">
        <x:v>Drain/Gain life</x:v>
      </x:c>
      <x:c r="F14" s="70" t="str">
        <x:v>B</x:v>
      </x:c>
      <x:c r="G14" s="70" t="str">
        <x:v>Manter na PROPOSED V2</x:v>
      </x:c>
      <x:c r="H14" s="70" t="str">
        <x:v>J22 117</x:v>
      </x:c>
      <x:c r="I14" s="70" t="str">
        <x:v>Dreno por morte de criaturas</x:v>
      </x:c>
      <x:c r="J14" s="70" t="str">
        <x:v>https://scryfall.com/search?q=%21%22Blood+Artist%22</x:v>
      </x:c>
    </x:row>
    <x:row r="15">
      <x:c r="A15" s="70" t="str">
        <x:v>Boggart Trawler // Boggart Bog</x:v>
      </x:c>
      <x:c r="B15" s="72" t="n">
        <x:v>1</x:v>
      </x:c>
      <x:c r="C15" s="72" t="n">
        <x:v>1</x:v>
      </x:c>
      <x:c r="D15" s="70" t="str">
        <x:v>Removal Pontual</x:v>
      </x:c>
      <x:c r="E15" s="70" t="str">
        <x:v>Removal Pontual</x:v>
      </x:c>
      <x:c r="F15" s="70" t="str">
        <x:v>B</x:v>
      </x:c>
      <x:c r="G15" s="70" t="str">
        <x:v>Manter na PROPOSED V2</x:v>
      </x:c>
      <x:c r="H15" s="70" t="str">
        <x:v>MH3 243</x:v>
      </x:c>
      <x:c r="I15" s="70" t="str">
        <x:v>MDFC; graveyard hate no ETB do lado criatura/land</x:v>
      </x:c>
      <x:c r="J15" s="70" t="str">
        <x:v>https://scryfall.com/search?q=%21%22Boggart+Trawler+//+Boggart+Bog%22</x:v>
      </x:c>
    </x:row>
    <x:row r="16">
      <x:c r="A16" s="70" t="str">
        <x:v>Bojuka Bog</x:v>
      </x:c>
      <x:c r="B16" s="72" t="n">
        <x:v>1</x:v>
      </x:c>
      <x:c r="C16" s="72" t="n">
        <x:v>1</x:v>
      </x:c>
      <x:c r="D16" s="70" t="str">
        <x:v>Land</x:v>
      </x:c>
      <x:c r="E16" s="70" t="str">
        <x:v>Land</x:v>
      </x:c>
      <x:c r="F16" s="70" t="str">
        <x:v>B</x:v>
      </x:c>
      <x:c r="G16" s="70" t="str">
        <x:v>Manter na PROPOSED V2</x:v>
      </x:c>
      <x:c r="H16" s="70" t="str">
        <x:v>CLB 882</x:v>
      </x:c>
      <x:c r="I16" s="70" t="str">
        <x:v>Others + Pet</x:v>
      </x:c>
      <x:c r="J16" s="70" t="str">
        <x:v>https://scryfall.com/search?q=%21%22Bojuka+Bog%22</x:v>
      </x:c>
    </x:row>
    <x:row r="17">
      <x:c r="A17" s="70" t="str">
        <x:v>Cabal Stronghold</x:v>
      </x:c>
      <x:c r="B17" s="72" t="n">
        <x:v>1</x:v>
      </x:c>
      <x:c r="C17" s="72" t="n">
        <x:v>1</x:v>
      </x:c>
      <x:c r="D17" s="70" t="str">
        <x:v>Land</x:v>
      </x:c>
      <x:c r="E17" s="70" t="str">
        <x:v>Land</x:v>
      </x:c>
      <x:c r="F17" s="70" t="str">
        <x:v>B</x:v>
      </x:c>
      <x:c r="G17" s="70" t="str">
        <x:v>Manter na PROPOSED V2</x:v>
      </x:c>
      <x:c r="H17" s="70" t="str">
        <x:v>DOM 238</x:v>
      </x:c>
      <x:c r="I17" s="70" t="str">
        <x:v>Ramp</x:v>
      </x:c>
      <x:c r="J17" s="70" t="str">
        <x:v>https://scryfall.com/search?q=%21%22Cabal+Stronghold%22</x:v>
      </x:c>
    </x:row>
    <x:row r="18">
      <x:c r="A18" s="70" t="str">
        <x:v>Call to the Void</x:v>
      </x:c>
      <x:c r="B18" s="72" t="n">
        <x:v>1</x:v>
      </x:c>
      <x:c r="C18" s="72" t="n">
        <x:v>1</x:v>
      </x:c>
      <x:c r="D18" s="70" t="str">
        <x:v>Removal Pontual</x:v>
      </x:c>
      <x:c r="E18" s="70" t="str">
        <x:v>Removal Pontual</x:v>
      </x:c>
      <x:c r="F18" s="70" t="str">
        <x:v>B</x:v>
      </x:c>
      <x:c r="G18" s="70" t="str">
        <x:v>Manter na PROPOSED V2</x:v>
      </x:c>
      <x:c r="H18" s="70" t="str">
        <x:v>PCLB 118s *F*</x:v>
      </x:c>
      <x:c r="I18" s="70" t="str">
        <x:v>Removal Pontual</x:v>
      </x:c>
      <x:c r="J18" s="70" t="str">
        <x:v>https://scryfall.com/search?q=%21%22Call+to+the+Void%22</x:v>
      </x:c>
    </x:row>
    <x:row r="19">
      <x:c r="A19" s="70" t="str">
        <x:v>Charcoal Diamond</x:v>
      </x:c>
      <x:c r="B19" s="72" t="n">
        <x:v>1</x:v>
      </x:c>
      <x:c r="C19" s="72" t="n">
        <x:v>1</x:v>
      </x:c>
      <x:c r="D19" s="70" t="str">
        <x:v>Ramp</x:v>
      </x:c>
      <x:c r="E19" s="70" t="str">
        <x:v>Ramp</x:v>
      </x:c>
      <x:c r="F19" s="70" t="str">
        <x:v>B</x:v>
      </x:c>
      <x:c r="G19" s="70" t="str">
        <x:v>Manter na PROPOSED V2</x:v>
      </x:c>
      <x:c r="H19" s="70" t="str">
        <x:v>VOC 162</x:v>
      </x:c>
      <x:c r="I19" s="70" t="str">
        <x:v>Ramp</x:v>
      </x:c>
      <x:c r="J19" s="70" t="str">
        <x:v>https://scryfall.com/search?q=%21%22Charcoal+Diamond%22</x:v>
      </x:c>
    </x:row>
    <x:row r="20">
      <x:c r="A20" s="70" t="str">
        <x:v>Command the Dreadhorde</x:v>
      </x:c>
      <x:c r="B20" s="72" t="n">
        <x:v>1</x:v>
      </x:c>
      <x:c r="C20" s="72" t="n">
        <x:v>1</x:v>
      </x:c>
      <x:c r="D20" s="70" t="str">
        <x:v>Tutor + Reanimator</x:v>
      </x:c>
      <x:c r="E20" s="70" t="str">
        <x:v>Tutor + Reanimator</x:v>
      </x:c>
      <x:c r="F20" s="70" t="str">
        <x:v>B</x:v>
      </x:c>
      <x:c r="G20" s="70" t="str">
        <x:v>Manter na PROPOSED V2</x:v>
      </x:c>
      <x:c r="H20" s="70" t="str">
        <x:v>WAR 82</x:v>
      </x:c>
      <x:c r="I20" s="70" t="str">
        <x:v>Reanima criaturas/planeswalkers pagando vida</x:v>
      </x:c>
      <x:c r="J20" s="70" t="str">
        <x:v>https://scryfall.com/search?q=%21%22Command+the+Dreadhorde%22</x:v>
      </x:c>
    </x:row>
    <x:row r="21">
      <x:c r="A21" s="70" t="str">
        <x:v>Consuming Corruption</x:v>
      </x:c>
      <x:c r="B21" s="72" t="n">
        <x:v>1</x:v>
      </x:c>
      <x:c r="C21" s="72" t="n">
        <x:v>1</x:v>
      </x:c>
      <x:c r="D21" s="70" t="str">
        <x:v>Removal Pontual</x:v>
      </x:c>
      <x:c r="E21" s="70" t="str">
        <x:v>Removal Pontual</x:v>
      </x:c>
      <x:c r="F21" s="70" t="str">
        <x:v>B</x:v>
      </x:c>
      <x:c r="G21" s="70" t="str">
        <x:v>Manter na PROPOSED V2</x:v>
      </x:c>
      <x:c r="H21" s="70" t="str">
        <x:v>MH3 84</x:v>
      </x:c>
      <x:c r="I21" s="70" t="str">
        <x:v>Removal Pontual</x:v>
      </x:c>
      <x:c r="J21" s="70" t="str">
        <x:v>https://scryfall.com/search?q=%21%22Consuming+Corruption%22</x:v>
      </x:c>
    </x:row>
    <x:row r="22">
      <x:c r="A22" s="70" t="str">
        <x:v>Crippling Fear</x:v>
      </x:c>
      <x:c r="B22" s="72" t="n">
        <x:v>1</x:v>
      </x:c>
      <x:c r="C22" s="72" t="n">
        <x:v>1</x:v>
      </x:c>
      <x:c r="D22" s="70" t="str">
        <x:v>Removal Global</x:v>
      </x:c>
      <x:c r="E22" s="70" t="str">
        <x:v>Removal Global</x:v>
      </x:c>
      <x:c r="F22" s="70" t="str">
        <x:v>B</x:v>
      </x:c>
      <x:c r="G22" s="70" t="str">
        <x:v>Manter na PROPOSED V2</x:v>
      </x:c>
      <x:c r="H22" s="70" t="str">
        <x:v>CMM 862</x:v>
      </x:c>
      <x:c r="I22" s="70" t="str">
        <x:v>Removal Global</x:v>
      </x:c>
      <x:c r="J22" s="70" t="str">
        <x:v>https://scryfall.com/search?q=%21%22Crippling+Fear%22</x:v>
      </x:c>
    </x:row>
    <x:row r="23">
      <x:c r="A23" s="70" t="str">
        <x:v>Crypt Ghast</x:v>
      </x:c>
      <x:c r="B23" s="72" t="n">
        <x:v>1</x:v>
      </x:c>
      <x:c r="C23" s="72" t="n">
        <x:v>1</x:v>
      </x:c>
      <x:c r="D23" s="70" t="str">
        <x:v>Ramp</x:v>
      </x:c>
      <x:c r="E23" s="70" t="str">
        <x:v>Ramp</x:v>
      </x:c>
      <x:c r="F23" s="70" t="str">
        <x:v>A</x:v>
      </x:c>
      <x:c r="G23" s="70" t="str">
        <x:v>Manter na PROPOSED V2</x:v>
      </x:c>
      <x:c r="H23" s="70" t="str">
        <x:v>GTC 61</x:v>
      </x:c>
      <x:c r="I23" s="70" t="str">
        <x:v>Extort e dobra mana de Swamps</x:v>
      </x:c>
      <x:c r="J23" s="70" t="str">
        <x:v>https://scryfall.com/search?q=%21%22Crypt+Ghast%22</x:v>
      </x:c>
    </x:row>
    <x:row r="24">
      <x:c r="A24" s="70" t="str">
        <x:v>Damnation</x:v>
      </x:c>
      <x:c r="B24" s="72" t="n">
        <x:v>1</x:v>
      </x:c>
      <x:c r="C24" s="72" t="n">
        <x:v>1</x:v>
      </x:c>
      <x:c r="D24" s="70" t="str">
        <x:v>Removal Global</x:v>
      </x:c>
      <x:c r="E24" s="70" t="str">
        <x:v>Removal Global</x:v>
      </x:c>
      <x:c r="F24" s="70" t="str">
        <x:v>B</x:v>
      </x:c>
      <x:c r="G24" s="70" t="str">
        <x:v>Manter na PROPOSED V2</x:v>
      </x:c>
      <x:c r="H24" s="70" t="str">
        <x:v>2X2 73</x:v>
      </x:c>
      <x:c r="I24" s="70" t="str">
        <x:v>Removal Global</x:v>
      </x:c>
      <x:c r="J24" s="70" t="str">
        <x:v>https://scryfall.com/search?q=%21%22Damnation%22</x:v>
      </x:c>
    </x:row>
    <x:row r="25">
      <x:c r="A25" s="70" t="str">
        <x:v>Dark Ritual</x:v>
      </x:c>
      <x:c r="B25" s="72" t="n">
        <x:v>1</x:v>
      </x:c>
      <x:c r="C25" s="72" t="n">
        <x:v>1</x:v>
      </x:c>
      <x:c r="D25" s="70" t="str">
        <x:v>Ramp</x:v>
      </x:c>
      <x:c r="E25" s="70" t="str">
        <x:v>Ramp</x:v>
      </x:c>
      <x:c r="F25" s="70" t="str">
        <x:v>A</x:v>
      </x:c>
      <x:c r="G25" s="70" t="str">
        <x:v>Manter na PROPOSED V2</x:v>
      </x:c>
      <x:c r="H25" s="70" t="str">
        <x:v>BTD 21</x:v>
      </x:c>
      <x:c r="I25" s="70" t="str">
        <x:v>Ramp</x:v>
      </x:c>
      <x:c r="J25" s="70" t="str">
        <x:v>https://scryfall.com/search?q=%21%22Dark+Ritual%22</x:v>
      </x:c>
    </x:row>
    <x:row r="26">
      <x:c r="A26" s="70" t="str">
        <x:v>Deadly Dispute</x:v>
      </x:c>
      <x:c r="B26" s="72" t="n">
        <x:v>1</x:v>
      </x:c>
      <x:c r="C26" s="72" t="n">
        <x:v>1</x:v>
      </x:c>
      <x:c r="D26" s="70" t="str">
        <x:v>Draw</x:v>
      </x:c>
      <x:c r="E26" s="70" t="str">
        <x:v>Draw</x:v>
      </x:c>
      <x:c r="F26" s="70" t="str">
        <x:v>B</x:v>
      </x:c>
      <x:c r="G26" s="70" t="str">
        <x:v>Manter na PROPOSED V2</x:v>
      </x:c>
      <x:c r="H26" s="70" t="str">
        <x:v>BLC 181</x:v>
      </x:c>
      <x:c r="I26" s="70" t="str">
        <x:v>Draw</x:v>
      </x:c>
      <x:c r="J26" s="70" t="str">
        <x:v>https://scryfall.com/search?q=%21%22Deadly+Dispute%22</x:v>
      </x:c>
    </x:row>
    <x:row r="27">
      <x:c r="A27" s="70" t="str">
        <x:v>Deadly Rollick</x:v>
      </x:c>
      <x:c r="B27" s="72" t="n">
        <x:v>1</x:v>
      </x:c>
      <x:c r="C27" s="72" t="n">
        <x:v>1</x:v>
      </x:c>
      <x:c r="D27" s="70" t="str">
        <x:v>Others + Pet</x:v>
      </x:c>
      <x:c r="E27" s="70" t="str">
        <x:v>Others + Pet</x:v>
      </x:c>
      <x:c r="F27" s="70" t="str">
        <x:v>A</x:v>
      </x:c>
      <x:c r="G27" s="70" t="str">
        <x:v>Manter na PROPOSED V2</x:v>
      </x:c>
      <x:c r="H27" s="70" t="str">
        <x:v>CMM 695</x:v>
      </x:c>
      <x:c r="I27" s="70" t="str">
        <x:v>Exila criatura gratuitamente se controla comandante</x:v>
      </x:c>
      <x:c r="J27" s="70" t="str">
        <x:v>https://scryfall.com/search?q=%21%22Deadly+Rollick%22</x:v>
      </x:c>
    </x:row>
    <x:row r="28">
      <x:c r="A28" s="70" t="str">
        <x:v>Demolition Field</x:v>
      </x:c>
      <x:c r="B28" s="72" t="n">
        <x:v>1</x:v>
      </x:c>
      <x:c r="C28" s="72" t="n">
        <x:v>1</x:v>
      </x:c>
      <x:c r="D28" s="70" t="str">
        <x:v>Land</x:v>
      </x:c>
      <x:c r="E28" s="70" t="str">
        <x:v>Land</x:v>
      </x:c>
      <x:c r="F28" s="70" t="str">
        <x:v>B</x:v>
      </x:c>
      <x:c r="G28" s="70" t="str">
        <x:v>Manter na PROPOSED V2</x:v>
      </x:c>
      <x:c r="H28" s="70" t="str">
        <x:v>BRO 260</x:v>
      </x:c>
      <x:c r="I28" s="70" t="str">
        <x:v>Others + Pet</x:v>
      </x:c>
      <x:c r="J28" s="70" t="str">
        <x:v>https://scryfall.com/search?q=%21%22Demolition+Field%22</x:v>
      </x:c>
    </x:row>
    <x:row r="29">
      <x:c r="A29" s="70" t="str">
        <x:v>Demonic Tutor</x:v>
      </x:c>
      <x:c r="B29" s="72" t="n">
        <x:v>1</x:v>
      </x:c>
      <x:c r="C29" s="72" t="n">
        <x:v>1</x:v>
      </x:c>
      <x:c r="D29" s="70" t="str">
        <x:v>Tutor + Reanimator</x:v>
      </x:c>
      <x:c r="E29" s="70" t="str">
        <x:v>Tutor + Reanimator</x:v>
      </x:c>
      <x:c r="F29" s="70" t="str">
        <x:v>S</x:v>
      </x:c>
      <x:c r="G29" s="70" t="str">
        <x:v>Manter na PROPOSED V2</x:v>
      </x:c>
      <x:c r="H29" s="70" t="str">
        <x:v>J20 4 *F*</x:v>
      </x:c>
      <x:c r="I29" s="70" t="str">
        <x:v>Tutor + Reanimator</x:v>
      </x:c>
      <x:c r="J29" s="70" t="str">
        <x:v>https://scryfall.com/search?q=%21%22Demonic+Tutor%22</x:v>
      </x:c>
    </x:row>
    <x:row r="30">
      <x:c r="A30" s="70" t="str">
        <x:v>Dread Presence</x:v>
      </x:c>
      <x:c r="B30" s="72" t="n">
        <x:v>1</x:v>
      </x:c>
      <x:c r="C30" s="72" t="n">
        <x:v>1</x:v>
      </x:c>
      <x:c r="D30" s="70" t="str">
        <x:v>Drain/Gain life</x:v>
      </x:c>
      <x:c r="E30" s="70" t="str">
        <x:v>Drain/Gain life</x:v>
      </x:c>
      <x:c r="F30" s="70" t="str">
        <x:v>B</x:v>
      </x:c>
      <x:c r="G30" s="70" t="str">
        <x:v>Manter na PROPOSED V2</x:v>
      </x:c>
      <x:c r="H30" s="70" t="str">
        <x:v>M20 96</x:v>
      </x:c>
      <x:c r="I30" s="70" t="str">
        <x:v>Valor de landfall em Swamp: compra/perda de vida ou dano/ganho de vida</x:v>
      </x:c>
      <x:c r="J30" s="70" t="str">
        <x:v>https://scryfall.com/search?q=%21%22Dread+Presence%22</x:v>
      </x:c>
    </x:row>
    <x:row r="31">
      <x:c r="A31" s="70" t="str">
        <x:v>Enduring Tenacity</x:v>
      </x:c>
      <x:c r="B31" s="72" t="n">
        <x:v>1</x:v>
      </x:c>
      <x:c r="C31" s="72" t="n">
        <x:v>1</x:v>
      </x:c>
      <x:c r="D31" s="70" t="str">
        <x:v>Drain/Gain life</x:v>
      </x:c>
      <x:c r="E31" s="70" t="str">
        <x:v>Drain/Gain life</x:v>
      </x:c>
      <x:c r="F31" s="70" t="str">
        <x:v>A</x:v>
      </x:c>
      <x:c r="G31" s="70" t="str">
        <x:v>Manter na PROPOSED V2</x:v>
      </x:c>
      <x:c r="H31" s="70" t="str">
        <x:v>DSK 95</x:v>
      </x:c>
      <x:c r="I31" s="70" t="str">
        <x:v>Transforma ganho de vida em perda de vida; resiliência por retorno como encantamento</x:v>
      </x:c>
      <x:c r="J31" s="70" t="str">
        <x:v>https://scryfall.com/search?q=%21%22Enduring+Tenacity%22</x:v>
      </x:c>
    </x:row>
    <x:row r="32">
      <x:c r="A32" s="70" t="str">
        <x:v>Erebos's Intervention</x:v>
      </x:c>
      <x:c r="B32" s="72" t="n">
        <x:v>1</x:v>
      </x:c>
      <x:c r="C32" s="72" t="n">
        <x:v>1</x:v>
      </x:c>
      <x:c r="D32" s="70" t="str">
        <x:v>Removal Pontual</x:v>
      </x:c>
      <x:c r="E32" s="70" t="str">
        <x:v>Removal Pontual</x:v>
      </x:c>
      <x:c r="F32" s="70" t="str">
        <x:v>B</x:v>
      </x:c>
      <x:c r="G32" s="70" t="str">
        <x:v>Manter na PROPOSED V2</x:v>
      </x:c>
      <x:c r="H32" s="70" t="str">
        <x:v>THB 94 *F*</x:v>
      </x:c>
      <x:c r="I32" s="70" t="str">
        <x:v>Removal Pontual</x:v>
      </x:c>
      <x:c r="J32" s="70" t="str">
        <x:v>https://scryfall.com/search?q=%21%22Erebos%27s+Intervention%22</x:v>
      </x:c>
    </x:row>
    <x:row r="33">
      <x:c r="A33" s="70" t="str">
        <x:v>Exquisite Blood</x:v>
      </x:c>
      <x:c r="B33" s="72" t="n">
        <x:v>1</x:v>
      </x:c>
      <x:c r="C33" s="72" t="n">
        <x:v>1</x:v>
      </x:c>
      <x:c r="D33" s="70" t="str">
        <x:v>Drain/Gain life</x:v>
      </x:c>
      <x:c r="E33" s="70" t="str">
        <x:v>Drain/Gain life</x:v>
      </x:c>
      <x:c r="F33" s="70" t="str">
        <x:v>S</x:v>
      </x:c>
      <x:c r="G33" s="70" t="str">
        <x:v>Manter na PROPOSED V2</x:v>
      </x:c>
      <x:c r="H33" s="70" t="str">
        <x:v>AVR 102</x:v>
      </x:c>
      <x:c r="I33" s="70" t="str">
        <x:v>Ganho de vida quando oponentes perdem vida; peça de combo</x:v>
      </x:c>
      <x:c r="J33" s="70" t="str">
        <x:v>https://scryfall.com/search?q=%21%22Exquisite+Blood%22</x:v>
      </x:c>
    </x:row>
    <x:row r="34">
      <x:c r="A34" s="70" t="str">
        <x:v>Exsanguinate</x:v>
      </x:c>
      <x:c r="B34" s="72" t="n">
        <x:v>1</x:v>
      </x:c>
      <x:c r="C34" s="72" t="n">
        <x:v>1</x:v>
      </x:c>
      <x:c r="D34" s="70" t="str">
        <x:v>Drain/Gain life</x:v>
      </x:c>
      <x:c r="E34" s="70" t="str">
        <x:v>Drain/Gain life</x:v>
      </x:c>
      <x:c r="F34" s="70" t="str">
        <x:v>B</x:v>
      </x:c>
      <x:c r="G34" s="70" t="str">
        <x:v>Manter na PROPOSED V2</x:v>
      </x:c>
      <x:c r="H34" s="70" t="str">
        <x:v>CMM 638</x:v>
      </x:c>
      <x:c r="I34" s="70" t="str">
        <x:v>Drain/Gain life</x:v>
      </x:c>
      <x:c r="J34" s="70" t="str">
        <x:v>https://scryfall.com/search?q=%21%22Exsanguinate%22</x:v>
      </x:c>
    </x:row>
    <x:row r="35">
      <x:c r="A35" s="70" t="str">
        <x:v>Feed the Swarm</x:v>
      </x:c>
      <x:c r="B35" s="72" t="n">
        <x:v>1</x:v>
      </x:c>
      <x:c r="C35" s="72" t="n">
        <x:v>1</x:v>
      </x:c>
      <x:c r="D35" s="70" t="str">
        <x:v>Removal Pontual</x:v>
      </x:c>
      <x:c r="E35" s="70" t="str">
        <x:v>Removal Pontual</x:v>
      </x:c>
      <x:c r="F35" s="70" t="str">
        <x:v>B</x:v>
      </x:c>
      <x:c r="G35" s="70" t="str">
        <x:v>Manter na PROPOSED V2</x:v>
      </x:c>
      <x:c r="H35" s="70" t="str">
        <x:v>CMM 159</x:v>
      </x:c>
      <x:c r="I35" s="70" t="str">
        <x:v>Removal Pontual</x:v>
      </x:c>
      <x:c r="J35" s="70" t="str">
        <x:v>https://scryfall.com/search?q=%21%22Feed+the+Swarm%22</x:v>
      </x:c>
    </x:row>
    <x:row r="36">
      <x:c r="A36" s="70" t="str">
        <x:v>Font of Agonies</x:v>
      </x:c>
      <x:c r="B36" s="72" t="n">
        <x:v>1</x:v>
      </x:c>
      <x:c r="C36" s="72" t="n">
        <x:v>1</x:v>
      </x:c>
      <x:c r="D36" s="70" t="str">
        <x:v>Removal Pontual</x:v>
      </x:c>
      <x:c r="E36" s="70" t="str">
        <x:v>Removal Pontual</x:v>
      </x:c>
      <x:c r="F36" s="70" t="str">
        <x:v>B</x:v>
      </x:c>
      <x:c r="G36" s="70" t="str">
        <x:v>Manter na PROPOSED V2</x:v>
      </x:c>
      <x:c r="H36" s="70" t="str">
        <x:v>PRNA 74s *F*</x:v>
      </x:c>
      <x:c r="I36" s="70" t="str">
        <x:v>Remove criatura/planeswalker conforme vida paga</x:v>
      </x:c>
      <x:c r="J36" s="70" t="str">
        <x:v>https://scryfall.com/search?q=%21%22Font+of+Agonies%22</x:v>
      </x:c>
    </x:row>
    <x:row r="37">
      <x:c r="A37" s="70" t="str">
        <x:v>Ghoulcaller Gisa</x:v>
      </x:c>
      <x:c r="B37" s="72" t="n">
        <x:v>1</x:v>
      </x:c>
      <x:c r="C37" s="72" t="n">
        <x:v>1</x:v>
      </x:c>
      <x:c r="D37" s="70" t="str">
        <x:v>Others + Pet</x:v>
      </x:c>
      <x:c r="E37" s="70" t="str">
        <x:v>Others + Pet</x:v>
      </x:c>
      <x:c r="F37" s="70" t="str">
        <x:v>B</x:v>
      </x:c>
      <x:c r="G37" s="70" t="str">
        <x:v>Manter na PROPOSED V2</x:v>
      </x:c>
      <x:c r="H37" s="70" t="str">
        <x:v>CC2 2</x:v>
      </x:c>
      <x:c r="I37" s="70" t="str">
        <x:v>Others + Pet</x:v>
      </x:c>
      <x:c r="J37" s="70" t="str">
        <x:v>https://scryfall.com/search?q=%21%22Ghoulcaller+Gisa%22</x:v>
      </x:c>
    </x:row>
    <x:row r="38">
      <x:c r="A38" s="70" t="str">
        <x:v>Gray Merchant of Asphodel</x:v>
      </x:c>
      <x:c r="B38" s="72" t="n">
        <x:v>1</x:v>
      </x:c>
      <x:c r="C38" s="72" t="n">
        <x:v>1</x:v>
      </x:c>
      <x:c r="D38" s="70" t="str">
        <x:v>Drain/Gain life</x:v>
      </x:c>
      <x:c r="E38" s="70" t="str">
        <x:v>Drain/Gain life</x:v>
      </x:c>
      <x:c r="F38" s="70" t="str">
        <x:v>A</x:v>
      </x:c>
      <x:c r="G38" s="70" t="str">
        <x:v>Manter na PROPOSED V2</x:v>
      </x:c>
      <x:c r="H38" s="70" t="str">
        <x:v>THS 89</x:v>
      </x:c>
      <x:c r="I38" s="70" t="str">
        <x:v>Dreno amplo e recuperação de vida por devoção</x:v>
      </x:c>
      <x:c r="J38" s="70" t="str">
        <x:v>https://scryfall.com/search?q=%21%22Gray+Merchant+of+Asphodel%22</x:v>
      </x:c>
    </x:row>
    <x:row r="39">
      <x:c r="A39" s="70" t="str">
        <x:v>Grievous Wound</x:v>
      </x:c>
      <x:c r="B39" s="72" t="n">
        <x:v>1</x:v>
      </x:c>
      <x:c r="C39" s="72" t="n">
        <x:v>1</x:v>
      </x:c>
      <x:c r="D39" s="70" t="str">
        <x:v>WinCon</x:v>
      </x:c>
      <x:c r="E39" s="70" t="str">
        <x:v>WinCon</x:v>
      </x:c>
      <x:c r="F39" s="70" t="str">
        <x:v>B</x:v>
      </x:c>
      <x:c r="G39" s="70" t="str">
        <x:v>Manter na PROPOSED V2</x:v>
      </x:c>
      <x:c r="H39" s="70" t="str">
        <x:v>DSK 416 *F*</x:v>
      </x:c>
      <x:c r="I39" s="70" t="str">
        <x:v>Impede ganho de vida e reduz vida à metade após dano</x:v>
      </x:c>
      <x:c r="J39" s="70" t="str">
        <x:v>https://scryfall.com/search?q=%21%22Grievous+Wound%22</x:v>
      </x:c>
    </x:row>
    <x:row r="40">
      <x:c r="A40" s="70" t="str">
        <x:v>Heraldic Banner</x:v>
      </x:c>
      <x:c r="B40" s="72" t="n">
        <x:v>1</x:v>
      </x:c>
      <x:c r="C40" s="72" t="n">
        <x:v>0</x:v>
      </x:c>
      <x:c r="D40" s="70" t="str">
        <x:v>Ramp</x:v>
      </x:c>
      <x:c r="E40" s="70" t="str">
        <x:v>Ramp</x:v>
      </x:c>
      <x:c r="F40" s="70" t="str">
        <x:v>C</x:v>
      </x:c>
      <x:c r="G40" s="70" t="str">
        <x:v>Corte proposto; revisar se for pet</x:v>
      </x:c>
      <x:c r="H40" s="70" t="str">
        <x:v>FDN 254</x:v>
      </x:c>
      <x:c r="I40" s="70" t="str">
        <x:v>Rampa, mas buff é pouco relevante frente a motores mais poderosos.</x:v>
      </x:c>
      <x:c r="J40" s="70" t="str">
        <x:v>https://scryfall.com/search?q=%21%22Heraldic+Banner%22</x:v>
      </x:c>
    </x:row>
    <x:row r="41">
      <x:c r="A41" s="70" t="str">
        <x:v>Hex</x:v>
      </x:c>
      <x:c r="B41" s="72" t="n">
        <x:v>1</x:v>
      </x:c>
      <x:c r="C41" s="72" t="n">
        <x:v>0</x:v>
      </x:c>
      <x:c r="D41" s="70" t="str">
        <x:v>Removal Pontual</x:v>
      </x:c>
      <x:c r="E41" s="70" t="str">
        <x:v>Removal Pontual</x:v>
      </x:c>
      <x:c r="F41" s="70" t="str">
        <x:v>C</x:v>
      </x:c>
      <x:c r="G41" s="70" t="str">
        <x:v>Corte proposto; revisar se for pet</x:v>
      </x:c>
      <x:c r="H41" s="70" t="str">
        <x:v>OTC 136</x:v>
      </x:c>
      <x:c r="I41" s="70" t="str">
        <x:v>Pode remover várias criaturas, mas é caro e exige seis alvos.</x:v>
      </x:c>
      <x:c r="J41" s="70" t="str">
        <x:v>https://scryfall.com/search?q=%21%22Hex%22</x:v>
      </x:c>
    </x:row>
    <x:row r="42">
      <x:c r="A42" s="70" t="str">
        <x:v>Imperial Seal</x:v>
      </x:c>
      <x:c r="B42" s="72" t="n">
        <x:v>1</x:v>
      </x:c>
      <x:c r="C42" s="72" t="n">
        <x:v>1</x:v>
      </x:c>
      <x:c r="D42" s="70" t="str">
        <x:v>Tutor + Reanimator</x:v>
      </x:c>
      <x:c r="E42" s="70" t="str">
        <x:v>Tutor + Reanimator</x:v>
      </x:c>
      <x:c r="F42" s="70" t="str">
        <x:v>S</x:v>
      </x:c>
      <x:c r="G42" s="70" t="str">
        <x:v>Manter na PROPOSED V2</x:v>
      </x:c>
      <x:c r="H42" s="70" t="str">
        <x:v>2X2 439 *E*</x:v>
      </x:c>
      <x:c r="I42" s="70" t="str">
        <x:v>Tutor + Reanimator</x:v>
      </x:c>
      <x:c r="J42" s="70" t="str">
        <x:v>https://scryfall.com/search?q=%21%22Imperial+Seal%22</x:v>
      </x:c>
    </x:row>
    <x:row r="43">
      <x:c r="A43" s="70" t="str">
        <x:v>Infernal Offering</x:v>
      </x:c>
      <x:c r="B43" s="72" t="n">
        <x:v>1</x:v>
      </x:c>
      <x:c r="C43" s="72" t="n">
        <x:v>0</x:v>
      </x:c>
      <x:c r="D43" s="70" t="str">
        <x:v>Removal Pontual</x:v>
      </x:c>
      <x:c r="E43" s="70" t="str">
        <x:v>Removal Pontual</x:v>
      </x:c>
      <x:c r="F43" s="70" t="str">
        <x:v>B</x:v>
      </x:c>
      <x:c r="G43" s="70" t="str">
        <x:v>Corte proposto; revisar se for pet</x:v>
      </x:c>
      <x:c r="H43" s="70" t="str">
        <x:v>C21 146</x:v>
      </x:c>
      <x:c r="I43" s="70" t="str">
        <x:v>Removal Pontual</x:v>
      </x:c>
      <x:c r="J43" s="70" t="str">
        <x:v>https://scryfall.com/search?q=%21%22Infernal+Offering%22</x:v>
      </x:c>
    </x:row>
    <x:row r="44">
      <x:c r="A44" s="70" t="str">
        <x:v>Insatiable Avarice</x:v>
      </x:c>
      <x:c r="B44" s="72" t="n">
        <x:v>1</x:v>
      </x:c>
      <x:c r="C44" s="72" t="n">
        <x:v>1</x:v>
      </x:c>
      <x:c r="D44" s="70" t="str">
        <x:v>Draw</x:v>
      </x:c>
      <x:c r="E44" s="70" t="str">
        <x:v>Draw</x:v>
      </x:c>
      <x:c r="F44" s="70" t="str">
        <x:v>B</x:v>
      </x:c>
      <x:c r="G44" s="70" t="str">
        <x:v>Manter na PROPOSED V2</x:v>
      </x:c>
      <x:c r="H44" s="70" t="str">
        <x:v>OTJ 91</x:v>
      </x:c>
      <x:c r="I44" s="70" t="str">
        <x:v>Draw</x:v>
      </x:c>
      <x:c r="J44" s="70" t="str">
        <x:v>https://scryfall.com/search?q=%21%22Insatiable+Avarice%22</x:v>
      </x:c>
    </x:row>
    <x:row r="45">
      <x:c r="A45" s="70" t="str">
        <x:v>Jet Medallion</x:v>
      </x:c>
      <x:c r="B45" s="72" t="n">
        <x:v>1</x:v>
      </x:c>
      <x:c r="C45" s="72" t="n">
        <x:v>1</x:v>
      </x:c>
      <x:c r="D45" s="70" t="str">
        <x:v>Ramp</x:v>
      </x:c>
      <x:c r="E45" s="70" t="str">
        <x:v>Ramp</x:v>
      </x:c>
      <x:c r="F45" s="70" t="str">
        <x:v>A</x:v>
      </x:c>
      <x:c r="G45" s="70" t="str">
        <x:v>Manter na PROPOSED V2</x:v>
      </x:c>
      <x:c r="H45" s="70" t="str">
        <x:v>MH3 292</x:v>
      </x:c>
      <x:c r="I45" s="70" t="str">
        <x:v>Ramp</x:v>
      </x:c>
      <x:c r="J45" s="70" t="str">
        <x:v>https://scryfall.com/search?q=%21%22Jet+Medallion%22</x:v>
      </x:c>
    </x:row>
    <x:row r="46">
      <x:c r="A46" s="70" t="str">
        <x:v>Liliana of the Dark Realms</x:v>
      </x:c>
      <x:c r="B46" s="72" t="n">
        <x:v>1</x:v>
      </x:c>
      <x:c r="C46" s="72" t="n">
        <x:v>0</x:v>
      </x:c>
      <x:c r="D46" s="70" t="str">
        <x:v>Ramp</x:v>
      </x:c>
      <x:c r="E46" s="70" t="str">
        <x:v>Ramp</x:v>
      </x:c>
      <x:c r="F46" s="70" t="str">
        <x:v>B</x:v>
      </x:c>
      <x:c r="G46" s="70" t="str">
        <x:v>Corte proposto; revisar se for pet</x:v>
      </x:c>
      <x:c r="H46" s="70" t="str">
        <x:v>M14 102</x:v>
      </x:c>
      <x:c r="I46" s="70" t="str">
        <x:v>Ramp</x:v>
      </x:c>
      <x:c r="J46" s="70" t="str">
        <x:v>https://scryfall.com/search?q=%21%22Liliana+of+the+Dark+Realms%22</x:v>
      </x:c>
    </x:row>
    <x:row r="47">
      <x:c r="A47" s="70" t="str">
        <x:v>Liliana, Heretical Healer</x:v>
      </x:c>
      <x:c r="B47" s="72" t="n">
        <x:v>1</x:v>
      </x:c>
      <x:c r="C47" s="72" t="n">
        <x:v>1</x:v>
      </x:c>
      <x:c r="D47" s="70" t="str">
        <x:v>Others + Pet</x:v>
      </x:c>
      <x:c r="E47" s="70" t="str">
        <x:v>Others + Pet</x:v>
      </x:c>
      <x:c r="F47" s="70" t="str">
        <x:v>B</x:v>
      </x:c>
      <x:c r="G47" s="70" t="str">
        <x:v>Manter na PROPOSED V2</x:v>
      </x:c>
      <x:c r="H47" s="70" t="str">
        <x:v>CC2 1</x:v>
      </x:c>
      <x:c r="I47" s="70" t="str">
        <x:v>Others + Pet</x:v>
      </x:c>
      <x:c r="J47" s="70" t="str">
        <x:v>https://scryfall.com/search?q=%21%22Liliana%2C+Heretical+Healer%22</x:v>
      </x:c>
    </x:row>
    <x:row r="48">
      <x:c r="A48" s="70" t="str">
        <x:v>Mutavault</x:v>
      </x:c>
      <x:c r="B48" s="72" t="n">
        <x:v>1</x:v>
      </x:c>
      <x:c r="C48" s="72" t="n">
        <x:v>1</x:v>
      </x:c>
      <x:c r="D48" s="70" t="str">
        <x:v>Land</x:v>
      </x:c>
      <x:c r="E48" s="70" t="str">
        <x:v>Land</x:v>
      </x:c>
      <x:c r="F48" s="70" t="str">
        <x:v>B</x:v>
      </x:c>
      <x:c r="G48" s="70" t="str">
        <x:v>Manter na PROPOSED V2</x:v>
      </x:c>
      <x:c r="H48" s="70" t="str">
        <x:v>CLB 903</x:v>
      </x:c>
      <x:c r="I48" s="70" t="str">
        <x:v>Others + Pet</x:v>
      </x:c>
      <x:c r="J48" s="70" t="str">
        <x:v>https://scryfall.com/search?q=%21%22Mutavault%22</x:v>
      </x:c>
    </x:row>
    <x:row r="49">
      <x:c r="A49" s="70" t="str">
        <x:v>Mutilate</x:v>
      </x:c>
      <x:c r="B49" s="72" t="n">
        <x:v>1</x:v>
      </x:c>
      <x:c r="C49" s="72" t="n">
        <x:v>0</x:v>
      </x:c>
      <x:c r="D49" s="70" t="str">
        <x:v>Removal Global</x:v>
      </x:c>
      <x:c r="E49" s="70" t="str">
        <x:v>Removal Global</x:v>
      </x:c>
      <x:c r="F49" s="70" t="str">
        <x:v>B</x:v>
      </x:c>
      <x:c r="G49" s="70" t="str">
        <x:v>Corte proposto; revisar se for pet</x:v>
      </x:c>
      <x:c r="H49" s="70" t="str">
        <x:v>GVL 55</x:v>
      </x:c>
      <x:c r="I49" s="70" t="str">
        <x:v>Wipe eficiente em mono-black, mas sai para aceleração explosiva; revisar conforme meta.</x:v>
      </x:c>
      <x:c r="J49" s="70" t="str">
        <x:v>https://scryfall.com/search?q=%21%22Mutilate%22</x:v>
      </x:c>
    </x:row>
    <x:row r="50">
      <x:c r="A50" s="70" t="str">
        <x:v>Myriad Landscape</x:v>
      </x:c>
      <x:c r="B50" s="72" t="n">
        <x:v>1</x:v>
      </x:c>
      <x:c r="C50" s="72" t="n">
        <x:v>1</x:v>
      </x:c>
      <x:c r="D50" s="70" t="str">
        <x:v>Land</x:v>
      </x:c>
      <x:c r="E50" s="70" t="str">
        <x:v>Land</x:v>
      </x:c>
      <x:c r="F50" s="70" t="str">
        <x:v>B</x:v>
      </x:c>
      <x:c r="G50" s="70" t="str">
        <x:v>Manter na PROPOSED V2</x:v>
      </x:c>
      <x:c r="H50" s="70" t="str">
        <x:v>MIC 177 *F*</x:v>
      </x:c>
      <x:c r="I50" s="70" t="str">
        <x:v>Ramp</x:v>
      </x:c>
      <x:c r="J50" s="70" t="str">
        <x:v>https://scryfall.com/search?q=%21%22Myriad+Landscape%22</x:v>
      </x:c>
    </x:row>
    <x:row r="51">
      <x:c r="A51" s="70" t="str">
        <x:v>Nirkana Revenant</x:v>
      </x:c>
      <x:c r="B51" s="72" t="n">
        <x:v>1</x:v>
      </x:c>
      <x:c r="C51" s="72" t="n">
        <x:v>1</x:v>
      </x:c>
      <x:c r="D51" s="70" t="str">
        <x:v>Ramp</x:v>
      </x:c>
      <x:c r="E51" s="70" t="str">
        <x:v>Ramp</x:v>
      </x:c>
      <x:c r="F51" s="70" t="str">
        <x:v>B</x:v>
      </x:c>
      <x:c r="G51" s="70" t="str">
        <x:v>Manter na PROPOSED V2</x:v>
      </x:c>
      <x:c r="H51" s="70" t="str">
        <x:v>VOC 134</x:v>
      </x:c>
      <x:c r="I51" s="70" t="str">
        <x:v>Dobra mana de Swamps e escala como ameaça</x:v>
      </x:c>
      <x:c r="J51" s="70" t="str">
        <x:v>https://scryfall.com/search?q=%21%22Nirkana+Revenant%22</x:v>
      </x:c>
    </x:row>
    <x:row r="52">
      <x:c r="A52" s="70" t="str">
        <x:v>Ob Nixilis of the Black Oath</x:v>
      </x:c>
      <x:c r="B52" s="72" t="n">
        <x:v>1</x:v>
      </x:c>
      <x:c r="C52" s="72" t="n">
        <x:v>0</x:v>
      </x:c>
      <x:c r="D52" s="70" t="str">
        <x:v>Others + Pet</x:v>
      </x:c>
      <x:c r="E52" s="70" t="str">
        <x:v>Others + Pet</x:v>
      </x:c>
      <x:c r="F52" s="70" t="str">
        <x:v>C</x:v>
      </x:c>
      <x:c r="G52" s="70" t="str">
        <x:v>Corte proposto; revisar se for pet</x:v>
      </x:c>
      <x:c r="H52" s="70" t="str">
        <x:v>CMM 176</x:v>
      </x:c>
      <x:c r="I52" s="70" t="str">
        <x:v>Planeswalker de cinco manas; valor incremental mais lento que Vilis.</x:v>
      </x:c>
      <x:c r="J52" s="70" t="str">
        <x:v>https://scryfall.com/search?q=%21%22Ob+Nixilis+of+the+Black+Oath%22</x:v>
      </x:c>
    </x:row>
    <x:row r="53">
      <x:c r="A53" s="70" t="str">
        <x:v>Ophiomancer</x:v>
      </x:c>
      <x:c r="B53" s="72" t="n">
        <x:v>1</x:v>
      </x:c>
      <x:c r="C53" s="72" t="n">
        <x:v>1</x:v>
      </x:c>
      <x:c r="D53" s="70" t="str">
        <x:v>Others + Pet</x:v>
      </x:c>
      <x:c r="E53" s="70" t="str">
        <x:v>Others + Pet</x:v>
      </x:c>
      <x:c r="F53" s="70" t="str">
        <x:v>B</x:v>
      </x:c>
      <x:c r="G53" s="70" t="str">
        <x:v>Manter na PROPOSED V2</x:v>
      </x:c>
      <x:c r="H53" s="70" t="str">
        <x:v>CC2 3</x:v>
      </x:c>
      <x:c r="I53" s="70" t="str">
        <x:v>Others + Pet</x:v>
      </x:c>
      <x:c r="J53" s="70" t="str">
        <x:v>https://scryfall.com/search?q=%21%22Ophiomancer%22</x:v>
      </x:c>
    </x:row>
    <x:row r="54">
      <x:c r="A54" s="70" t="str">
        <x:v>Phyrexian Arena</x:v>
      </x:c>
      <x:c r="B54" s="72" t="n">
        <x:v>1</x:v>
      </x:c>
      <x:c r="C54" s="72" t="n">
        <x:v>0</x:v>
      </x:c>
      <x:c r="D54" s="70" t="str">
        <x:v>Draw</x:v>
      </x:c>
      <x:c r="E54" s="70" t="str">
        <x:v>Draw</x:v>
      </x:c>
      <x:c r="F54" s="70" t="str">
        <x:v>B</x:v>
      </x:c>
      <x:c r="G54" s="70" t="str">
        <x:v>Corte proposto; revisar se for pet</x:v>
      </x:c>
      <x:c r="H54" s="70" t="str">
        <x:v>CC2 4</x:v>
      </x:c>
      <x:c r="I54" s="70" t="str">
        <x:v>Compra estável, mas lenta frente a Necropotence.</x:v>
      </x:c>
      <x:c r="J54" s="70" t="str">
        <x:v>https://scryfall.com/search?q=%21%22Phyrexian+Arena%22</x:v>
      </x:c>
    </x:row>
    <x:row r="55">
      <x:c r="A55" s="70" t="str">
        <x:v>Platinum Angel</x:v>
      </x:c>
      <x:c r="B55" s="72" t="n">
        <x:v>1</x:v>
      </x:c>
      <x:c r="C55" s="72" t="n">
        <x:v>1</x:v>
      </x:c>
      <x:c r="D55" s="70" t="str">
        <x:v>WinCon</x:v>
      </x:c>
      <x:c r="E55" s="70" t="str">
        <x:v>WinCon</x:v>
      </x:c>
      <x:c r="F55" s="70" t="str">
        <x:v>C</x:v>
      </x:c>
      <x:c r="G55" s="70" t="str">
        <x:v>Manter na PROPOSED V2</x:v>
      </x:c>
      <x:c r="H55" s="70" t="str">
        <x:v>CN2 214</x:v>
      </x:c>
      <x:c r="I55" s="70" t="str">
        <x:v>WinCon</x:v>
      </x:c>
      <x:c r="J55" s="70" t="str">
        <x:v>https://scryfall.com/search?q=%21%22Platinum+Angel%22</x:v>
      </x:c>
    </x:row>
    <x:row r="56">
      <x:c r="A56" s="70" t="str">
        <x:v>Preacher of the Schism</x:v>
      </x:c>
      <x:c r="B56" s="72" t="n">
        <x:v>1</x:v>
      </x:c>
      <x:c r="C56" s="72" t="n">
        <x:v>1</x:v>
      </x:c>
      <x:c r="D56" s="70" t="str">
        <x:v>Draw</x:v>
      </x:c>
      <x:c r="E56" s="70" t="str">
        <x:v>Draw</x:v>
      </x:c>
      <x:c r="F56" s="70" t="str">
        <x:v>B</x:v>
      </x:c>
      <x:c r="G56" s="70" t="str">
        <x:v>Manter na PROPOSED V2</x:v>
      </x:c>
      <x:c r="H56" s="70" t="str">
        <x:v>LCI 113 *F*</x:v>
      </x:c>
      <x:c r="I56" s="70" t="str">
        <x:v>Draw</x:v>
      </x:c>
      <x:c r="J56" s="70" t="str">
        <x:v>https://scryfall.com/search?q=%21%22Preacher+of+the+Schism%22</x:v>
      </x:c>
    </x:row>
    <x:row r="57">
      <x:c r="A57" s="70" t="str">
        <x:v>Profane Tutor</x:v>
      </x:c>
      <x:c r="B57" s="72" t="n">
        <x:v>1</x:v>
      </x:c>
      <x:c r="C57" s="72" t="n">
        <x:v>1</x:v>
      </x:c>
      <x:c r="D57" s="70" t="str">
        <x:v>Tutor + Reanimator</x:v>
      </x:c>
      <x:c r="E57" s="70" t="str">
        <x:v>Tutor + Reanimator</x:v>
      </x:c>
      <x:c r="F57" s="70" t="str">
        <x:v>B</x:v>
      </x:c>
      <x:c r="G57" s="70" t="str">
        <x:v>Manter na PROPOSED V2</x:v>
      </x:c>
      <x:c r="H57" s="70" t="str">
        <x:v>MH2 97</x:v>
      </x:c>
      <x:c r="I57" s="70" t="str">
        <x:v>Tutor + Reanimator</x:v>
      </x:c>
      <x:c r="J57" s="70" t="str">
        <x:v>https://scryfall.com/search?q=%21%22Profane+Tutor%22</x:v>
      </x:c>
    </x:row>
    <x:row r="58">
      <x:c r="A58" s="70" t="str">
        <x:v>Promise of Power</x:v>
      </x:c>
      <x:c r="B58" s="72" t="n">
        <x:v>1</x:v>
      </x:c>
      <x:c r="C58" s="72" t="n">
        <x:v>1</x:v>
      </x:c>
      <x:c r="D58" s="70" t="str">
        <x:v>Draw</x:v>
      </x:c>
      <x:c r="E58" s="70" t="str">
        <x:v>Draw</x:v>
      </x:c>
      <x:c r="F58" s="70" t="str">
        <x:v>B</x:v>
      </x:c>
      <x:c r="G58" s="70" t="str">
        <x:v>Manter na PROPOSED V2</x:v>
      </x:c>
      <x:c r="H58" s="70" t="str">
        <x:v>C14 157</x:v>
      </x:c>
      <x:c r="I58" s="70" t="str">
        <x:v>Draw</x:v>
      </x:c>
      <x:c r="J58" s="70" t="str">
        <x:v>https://scryfall.com/search?q=%21%22Promise+of+Power%22</x:v>
      </x:c>
    </x:row>
    <x:row r="59">
      <x:c r="A59" s="70" t="str">
        <x:v>Reanimate</x:v>
      </x:c>
      <x:c r="B59" s="72" t="n">
        <x:v>1</x:v>
      </x:c>
      <x:c r="C59" s="72" t="n">
        <x:v>1</x:v>
      </x:c>
      <x:c r="D59" s="70" t="str">
        <x:v>Tutor + Reanimator</x:v>
      </x:c>
      <x:c r="E59" s="70" t="str">
        <x:v>Tutor + Reanimator</x:v>
      </x:c>
      <x:c r="F59" s="70" t="str">
        <x:v>B</x:v>
      </x:c>
      <x:c r="G59" s="70" t="str">
        <x:v>Manter na PROPOSED V2</x:v>
      </x:c>
      <x:c r="H59" s="70" t="str">
        <x:v>JMP 270</x:v>
      </x:c>
      <x:c r="I59" s="70" t="str">
        <x:v>Tutor + Reanimator</x:v>
      </x:c>
      <x:c r="J59" s="70" t="str">
        <x:v>https://scryfall.com/search?q=%21%22Reanimate%22</x:v>
      </x:c>
    </x:row>
    <x:row r="60">
      <x:c r="A60" s="70" t="str">
        <x:v>Rise of the Dark Realms</x:v>
      </x:c>
      <x:c r="B60" s="72" t="n">
        <x:v>1</x:v>
      </x:c>
      <x:c r="C60" s="72" t="n">
        <x:v>1</x:v>
      </x:c>
      <x:c r="D60" s="70" t="str">
        <x:v>WinCon</x:v>
      </x:c>
      <x:c r="E60" s="70" t="str">
        <x:v>WinCon</x:v>
      </x:c>
      <x:c r="F60" s="70" t="str">
        <x:v>B</x:v>
      </x:c>
      <x:c r="G60" s="70" t="str">
        <x:v>Manter na PROPOSED V2</x:v>
      </x:c>
      <x:c r="H60" s="70" t="str">
        <x:v>FDN 183</x:v>
      </x:c>
      <x:c r="I60" s="70" t="str">
        <x:v>WinCon</x:v>
      </x:c>
      <x:c r="J60" s="70" t="str">
        <x:v>https://scryfall.com/search?q=%21%22Rise+of+the+Dark+Realms%22</x:v>
      </x:c>
    </x:row>
    <x:row r="61">
      <x:c r="A61" s="70" t="str">
        <x:v>Ritual of Soot</x:v>
      </x:c>
      <x:c r="B61" s="72" t="n">
        <x:v>1</x:v>
      </x:c>
      <x:c r="C61" s="72" t="n">
        <x:v>0</x:v>
      </x:c>
      <x:c r="D61" s="70" t="str">
        <x:v>Removal Global</x:v>
      </x:c>
      <x:c r="E61" s="70" t="str">
        <x:v>Removal Global</x:v>
      </x:c>
      <x:c r="F61" s="70" t="str">
        <x:v>C</x:v>
      </x:c>
      <x:c r="G61" s="70" t="str">
        <x:v>Corte proposto; revisar se for pet</x:v>
      </x:c>
      <x:c r="H61" s="70" t="str">
        <x:v>PGRN 84p</x:v>
      </x:c>
      <x:c r="I61" s="70" t="str">
        <x:v>Wipe restrito por mana value; redundante frente a outras limpezas.</x:v>
      </x:c>
      <x:c r="J61" s="70" t="str">
        <x:v>https://scryfall.com/search?q=%21%22Ritual+of+Soot%22</x:v>
      </x:c>
    </x:row>
    <x:row r="62">
      <x:c r="A62" s="70" t="str">
        <x:v>Sanguine Bond</x:v>
      </x:c>
      <x:c r="B62" s="72" t="n">
        <x:v>1</x:v>
      </x:c>
      <x:c r="C62" s="72" t="n">
        <x:v>1</x:v>
      </x:c>
      <x:c r="D62" s="70" t="str">
        <x:v>Drain/Gain life</x:v>
      </x:c>
      <x:c r="E62" s="70" t="str">
        <x:v>Drain/Gain life</x:v>
      </x:c>
      <x:c r="F62" s="70" t="str">
        <x:v>S</x:v>
      </x:c>
      <x:c r="G62" s="70" t="str">
        <x:v>Manter na PROPOSED V2</x:v>
      </x:c>
      <x:c r="H62" s="70" t="str">
        <x:v>WOT 35</x:v>
      </x:c>
      <x:c r="I62" s="70" t="str">
        <x:v>Perda de vida em oponente ao ganhar vida; peça de combo</x:v>
      </x:c>
      <x:c r="J62" s="70" t="str">
        <x:v>https://scryfall.com/search?q=%21%22Sanguine+Bond%22</x:v>
      </x:c>
    </x:row>
    <x:row r="63">
      <x:c r="A63" s="70" t="str">
        <x:v>Shadows' Verdict</x:v>
      </x:c>
      <x:c r="B63" s="72" t="n">
        <x:v>1</x:v>
      </x:c>
      <x:c r="C63" s="72" t="n">
        <x:v>1</x:v>
      </x:c>
      <x:c r="D63" s="70" t="str">
        <x:v>Removal Global</x:v>
      </x:c>
      <x:c r="E63" s="70" t="str">
        <x:v>Removal Global</x:v>
      </x:c>
      <x:c r="F63" s="70" t="str">
        <x:v>B</x:v>
      </x:c>
      <x:c r="G63" s="70" t="str">
        <x:v>Manter na PROPOSED V2</x:v>
      </x:c>
      <x:c r="H63" s="70" t="str">
        <x:v>ZNR 344 *F*</x:v>
      </x:c>
      <x:c r="I63" s="70" t="str">
        <x:v>Removal Global</x:v>
      </x:c>
      <x:c r="J63" s="70" t="str">
        <x:v>https://scryfall.com/search?q=%21%22Shadows%27+Verdict%22</x:v>
      </x:c>
    </x:row>
    <x:row r="64">
      <x:c r="A64" s="70" t="str">
        <x:v>Sign in Blood</x:v>
      </x:c>
      <x:c r="B64" s="72" t="n">
        <x:v>1</x:v>
      </x:c>
      <x:c r="C64" s="72" t="n">
        <x:v>1</x:v>
      </x:c>
      <x:c r="D64" s="70" t="str">
        <x:v>Draw</x:v>
      </x:c>
      <x:c r="E64" s="70" t="str">
        <x:v>Draw</x:v>
      </x:c>
      <x:c r="F64" s="70" t="str">
        <x:v>B</x:v>
      </x:c>
      <x:c r="G64" s="70" t="str">
        <x:v>Manter na PROPOSED V2</x:v>
      </x:c>
      <x:c r="H64" s="70" t="str">
        <x:v>STA 32</x:v>
      </x:c>
      <x:c r="I64" s="70" t="str">
        <x:v>Draw</x:v>
      </x:c>
      <x:c r="J64" s="70" t="str">
        <x:v>https://scryfall.com/search?q=%21%22Sign+in+Blood%22</x:v>
      </x:c>
    </x:row>
    <x:row r="65">
      <x:c r="A65" s="70" t="str">
        <x:v>Slaughter Pact</x:v>
      </x:c>
      <x:c r="B65" s="72" t="n">
        <x:v>1</x:v>
      </x:c>
      <x:c r="C65" s="72" t="n">
        <x:v>1</x:v>
      </x:c>
      <x:c r="D65" s="70" t="str">
        <x:v>Removal Pontual</x:v>
      </x:c>
      <x:c r="E65" s="70" t="str">
        <x:v>Removal Pontual</x:v>
      </x:c>
      <x:c r="F65" s="70" t="str">
        <x:v>B</x:v>
      </x:c>
      <x:c r="G65" s="70" t="str">
        <x:v>Manter na PROPOSED V2</x:v>
      </x:c>
      <x:c r="H65" s="70" t="str">
        <x:v>TSR 138</x:v>
      </x:c>
      <x:c r="I65" s="70" t="str">
        <x:v>Removal Pontual</x:v>
      </x:c>
      <x:c r="J65" s="70" t="str">
        <x:v>https://scryfall.com/search?q=%21%22Slaughter+Pact%22</x:v>
      </x:c>
    </x:row>
    <x:row r="66">
      <x:c r="A66" s="70" t="str">
        <x:v>Sol Ring</x:v>
      </x:c>
      <x:c r="B66" s="72" t="n">
        <x:v>1</x:v>
      </x:c>
      <x:c r="C66" s="72" t="n">
        <x:v>1</x:v>
      </x:c>
      <x:c r="D66" s="70" t="str">
        <x:v>Ramp</x:v>
      </x:c>
      <x:c r="E66" s="70" t="str">
        <x:v>Ramp</x:v>
      </x:c>
      <x:c r="F66" s="70" t="str">
        <x:v>B</x:v>
      </x:c>
      <x:c r="G66" s="70" t="str">
        <x:v>Manter na PROPOSED V2</x:v>
      </x:c>
      <x:c r="H66" s="70" t="str">
        <x:v>VOC 168</x:v>
      </x:c>
      <x:c r="I66" s="70" t="str">
        <x:v>Ramp</x:v>
      </x:c>
      <x:c r="J66" s="70" t="str">
        <x:v>https://scryfall.com/search?q=%21%22Sol+Ring%22</x:v>
      </x:c>
    </x:row>
    <x:row r="67">
      <x:c r="A67" s="70" t="str">
        <x:v>Sorin's Vengeance</x:v>
      </x:c>
      <x:c r="B67" s="72" t="n">
        <x:v>1</x:v>
      </x:c>
      <x:c r="C67" s="72" t="n">
        <x:v>0</x:v>
      </x:c>
      <x:c r="D67" s="70" t="str">
        <x:v>WinCon</x:v>
      </x:c>
      <x:c r="E67" s="70" t="str">
        <x:v>WinCon</x:v>
      </x:c>
      <x:c r="F67" s="70" t="str">
        <x:v>C</x:v>
      </x:c>
      <x:c r="G67" s="70" t="str">
        <x:v>Corte proposto; revisar se for pet</x:v>
      </x:c>
      <x:c r="H67" s="70" t="str">
        <x:v>M12 111</x:v>
      </x:c>
      <x:c r="I67" s="70" t="str">
        <x:v>Drena um oponente, porém caro e estreito em comparação com motores/fechamentos.</x:v>
      </x:c>
      <x:c r="J67" s="70" t="str">
        <x:v>https://scryfall.com/search?q=%21%22Sorin%27s+Vengeance%22</x:v>
      </x:c>
    </x:row>
    <x:row r="68">
      <x:c r="A68" s="70" t="str">
        <x:v>Suspended Sentence</x:v>
      </x:c>
      <x:c r="B68" s="72" t="n">
        <x:v>1</x:v>
      </x:c>
      <x:c r="C68" s="72" t="n">
        <x:v>0</x:v>
      </x:c>
      <x:c r="D68" s="70" t="str">
        <x:v>Removal Pontual</x:v>
      </x:c>
      <x:c r="E68" s="70" t="str">
        <x:v>Removal Pontual</x:v>
      </x:c>
      <x:c r="F68" s="70" t="str">
        <x:v>B</x:v>
      </x:c>
      <x:c r="G68" s="70" t="str">
        <x:v>Corte proposto; revisar se for pet</x:v>
      </x:c>
      <x:c r="H68" s="70" t="str">
        <x:v>DSC 54</x:v>
      </x:c>
      <x:c r="I68" s="70" t="str">
        <x:v>Remove criatura e faz oponente perder 3; corte proposto é relativo, não por inutilidade.</x:v>
      </x:c>
      <x:c r="J68" s="70" t="str">
        <x:v>https://scryfall.com/search?q=%21%22Suspended+Sentence%22</x:v>
      </x:c>
    </x:row>
    <x:row r="69">
      <x:c r="A69" s="70" t="str">
        <x:v>Swamp</x:v>
      </x:c>
      <x:c r="B69" s="72" t="n">
        <x:v>25</x:v>
      </x:c>
      <x:c r="C69" s="72" t="n">
        <x:v>25</x:v>
      </x:c>
      <x:c r="D69" s="70" t="str">
        <x:v>Land</x:v>
      </x:c>
      <x:c r="E69" s="70" t="str">
        <x:v>Land</x:v>
      </x:c>
      <x:c r="F69" s="70" t="str">
        <x:v>B</x:v>
      </x:c>
      <x:c r="G69" s="70" t="str">
        <x:v>Manter na PROPOSED V2</x:v>
      </x:c>
      <x:c r="H69" s="70" t="str">
        <x:v>ACR 105 *F*</x:v>
      </x:c>
      <x:c r="I69" s="70" t="str">
        <x:v>Others + Pet</x:v>
      </x:c>
      <x:c r="J69" s="70" t="str">
        <x:v>https://scryfall.com/search?q=%21%22Swamp%22</x:v>
      </x:c>
    </x:row>
    <x:row r="70">
      <x:c r="A70" s="70" t="str">
        <x:v>Tarrian's Journal // The Tomb of Aclazotz</x:v>
      </x:c>
      <x:c r="B70" s="72" t="n">
        <x:v>1</x:v>
      </x:c>
      <x:c r="C70" s="72" t="n">
        <x:v>1</x:v>
      </x:c>
      <x:c r="D70" s="70" t="str">
        <x:v>Draw</x:v>
      </x:c>
      <x:c r="E70" s="70" t="str">
        <x:v>Draw</x:v>
      </x:c>
      <x:c r="F70" s="70" t="str">
        <x:v>B</x:v>
      </x:c>
      <x:c r="G70" s="70" t="str">
        <x:v>Manter na PROPOSED V2</x:v>
      </x:c>
      <x:c r="H70" s="70" t="str">
        <x:v>LCI 126</x:v>
      </x:c>
      <x:c r="I70" s="70" t="str">
        <x:v>Draw</x:v>
      </x:c>
      <x:c r="J70" s="70" t="str">
        <x:v>https://scryfall.com/search?q=%21%22Tarrian%27s+Journal+//+The+Tomb+of+Aclazotz%22</x:v>
      </x:c>
    </x:row>
    <x:row r="71">
      <x:c r="A71" s="70" t="str">
        <x:v>Temple of the False God</x:v>
      </x:c>
      <x:c r="B71" s="72" t="n">
        <x:v>1</x:v>
      </x:c>
      <x:c r="C71" s="72" t="n">
        <x:v>0</x:v>
      </x:c>
      <x:c r="D71" s="70" t="str">
        <x:v>Land</x:v>
      </x:c>
      <x:c r="E71" s="70" t="str">
        <x:v>Land</x:v>
      </x:c>
      <x:c r="F71" s="70" t="str">
        <x:v>C</x:v>
      </x:c>
      <x:c r="G71" s="70" t="str">
        <x:v>Corte proposto; revisar se for pet</x:v>
      </x:c>
      <x:c r="H71" s="70" t="str">
        <x:v>PLST C18-285</x:v>
      </x:c>
      <x:c r="I71" s="70" t="str">
        <x:v>Terreno condicional que pode ficar inativo cedo.</x:v>
      </x:c>
      <x:c r="J71" s="70" t="str">
        <x:v>https://scryfall.com/search?q=%21%22Temple+of+the+False+God%22</x:v>
      </x:c>
    </x:row>
    <x:row r="72">
      <x:c r="A72" s="70" t="str">
        <x:v>Tendrils of Corruption</x:v>
      </x:c>
      <x:c r="B72" s="72" t="n">
        <x:v>1</x:v>
      </x:c>
      <x:c r="C72" s="72" t="n">
        <x:v>1</x:v>
      </x:c>
      <x:c r="D72" s="70" t="str">
        <x:v>Removal Pontual</x:v>
      </x:c>
      <x:c r="E72" s="70" t="str">
        <x:v>Removal Pontual</x:v>
      </x:c>
      <x:c r="F72" s="70" t="str">
        <x:v>B</x:v>
      </x:c>
      <x:c r="G72" s="70" t="str">
        <x:v>Manter na PROPOSED V2</x:v>
      </x:c>
      <x:c r="H72" s="70" t="str">
        <x:v>TSR 145</x:v>
      </x:c>
      <x:c r="I72" s="70" t="str">
        <x:v>Removal Pontual</x:v>
      </x:c>
      <x:c r="J72" s="70" t="str">
        <x:v>https://scryfall.com/search?q=%21%22Tendrils+of+Corruption%22</x:v>
      </x:c>
    </x:row>
    <x:row r="73">
      <x:c r="A73" s="70" t="str">
        <x:v>Toxic Deluge</x:v>
      </x:c>
      <x:c r="B73" s="72" t="n">
        <x:v>1</x:v>
      </x:c>
      <x:c r="C73" s="72" t="n">
        <x:v>1</x:v>
      </x:c>
      <x:c r="D73" s="70" t="str">
        <x:v>Removal Global</x:v>
      </x:c>
      <x:c r="E73" s="70" t="str">
        <x:v>Removal Global</x:v>
      </x:c>
      <x:c r="F73" s="70" t="str">
        <x:v>A</x:v>
      </x:c>
      <x:c r="G73" s="70" t="str">
        <x:v>Manter na PROPOSED V2</x:v>
      </x:c>
      <x:c r="H73" s="70" t="str">
        <x:v>C13 96</x:v>
      </x:c>
      <x:c r="I73" s="70" t="str">
        <x:v>Wipe eficiente com custo em vida</x:v>
      </x:c>
      <x:c r="J73" s="70" t="str">
        <x:v>https://scryfall.com/search?q=%21%22Toxic+Deluge%22</x:v>
      </x:c>
    </x:row>
    <x:row r="74">
      <x:c r="A74" s="70" t="str">
        <x:v>Unholy Annex // Ritual Chamber</x:v>
      </x:c>
      <x:c r="B74" s="72" t="n">
        <x:v>1</x:v>
      </x:c>
      <x:c r="C74" s="72" t="n">
        <x:v>1</x:v>
      </x:c>
      <x:c r="D74" s="70" t="str">
        <x:v>Draw</x:v>
      </x:c>
      <x:c r="E74" s="70" t="str">
        <x:v>Draw</x:v>
      </x:c>
      <x:c r="F74" s="70" t="str">
        <x:v>B</x:v>
      </x:c>
      <x:c r="G74" s="70" t="str">
        <x:v>Manter na PROPOSED V2</x:v>
      </x:c>
      <x:c r="H74" s="70" t="str">
        <x:v>DSK 118</x:v>
      </x:c>
      <x:c r="I74" s="70" t="str">
        <x:v>Draw</x:v>
      </x:c>
      <x:c r="J74" s="70" t="str">
        <x:v>https://scryfall.com/search?q=%21%22Unholy+Annex+//+Ritual+Chamber%22</x:v>
      </x:c>
    </x:row>
    <x:row r="75">
      <x:c r="A75" s="70" t="str">
        <x:v>Unstoppable Slasher</x:v>
      </x:c>
      <x:c r="B75" s="72" t="n">
        <x:v>1</x:v>
      </x:c>
      <x:c r="C75" s="72" t="n">
        <x:v>1</x:v>
      </x:c>
      <x:c r="D75" s="70" t="str">
        <x:v>WinCon</x:v>
      </x:c>
      <x:c r="E75" s="70" t="str">
        <x:v>WinCon</x:v>
      </x:c>
      <x:c r="F75" s="70" t="str">
        <x:v>A</x:v>
      </x:c>
      <x:c r="G75" s="70" t="str">
        <x:v>Manter na PROPOSED V2</x:v>
      </x:c>
      <x:c r="H75" s="70" t="str">
        <x:v>DSK 312</x:v>
      </x:c>
      <x:c r="I75" s="70" t="str">
        <x:v>WinCon</x:v>
      </x:c>
      <x:c r="J75" s="70" t="str">
        <x:v>https://scryfall.com/search?q=%21%22Unstoppable+Slasher%22</x:v>
      </x:c>
    </x:row>
    <x:row r="76">
      <x:c r="A76" s="70" t="str">
        <x:v>Urborg, Tomb of Yawgmoth</x:v>
      </x:c>
      <x:c r="B76" s="72" t="n">
        <x:v>1</x:v>
      </x:c>
      <x:c r="C76" s="72" t="n">
        <x:v>1</x:v>
      </x:c>
      <x:c r="D76" s="70" t="str">
        <x:v>Land</x:v>
      </x:c>
      <x:c r="E76" s="70" t="str">
        <x:v>Land</x:v>
      </x:c>
      <x:c r="F76" s="70" t="str">
        <x:v>B</x:v>
      </x:c>
      <x:c r="G76" s="70" t="str">
        <x:v>Manter na PROPOSED V2</x:v>
      </x:c>
      <x:c r="H76" s="70" t="str">
        <x:v>LTC 375</x:v>
      </x:c>
      <x:c r="I76" s="70" t="str">
        <x:v>Ramp</x:v>
      </x:c>
      <x:c r="J76" s="70" t="str">
        <x:v>https://scryfall.com/search?q=%21%22Urborg%2C+Tomb+of+Yawgmoth%22</x:v>
      </x:c>
    </x:row>
    <x:row r="77">
      <x:c r="A77" s="70" t="str">
        <x:v>Valgavoth, Terror Eater</x:v>
      </x:c>
      <x:c r="B77" s="72" t="n">
        <x:v>1</x:v>
      </x:c>
      <x:c r="C77" s="72" t="n">
        <x:v>1</x:v>
      </x:c>
      <x:c r="D77" s="70" t="str">
        <x:v>WinCon</x:v>
      </x:c>
      <x:c r="E77" s="70" t="str">
        <x:v>WinCon</x:v>
      </x:c>
      <x:c r="F77" s="70" t="str">
        <x:v>A</x:v>
      </x:c>
      <x:c r="G77" s="70" t="str">
        <x:v>Manter na PROPOSED V2</x:v>
      </x:c>
      <x:c r="H77" s="70" t="str">
        <x:v>DSK 120</x:v>
      </x:c>
      <x:c r="I77" s="70" t="str">
        <x:v>WinCon</x:v>
      </x:c>
      <x:c r="J77" s="70" t="str">
        <x:v>https://scryfall.com/search?q=%21%22Valgavoth%2C+Terror+Eater%22</x:v>
      </x:c>
    </x:row>
    <x:row r="78">
      <x:c r="A78" s="70" t="str">
        <x:v>Vampiric Tutor</x:v>
      </x:c>
      <x:c r="B78" s="72" t="n">
        <x:v>1</x:v>
      </x:c>
      <x:c r="C78" s="72" t="n">
        <x:v>1</x:v>
      </x:c>
      <x:c r="D78" s="70" t="str">
        <x:v>Tutor + Reanimator</x:v>
      </x:c>
      <x:c r="E78" s="70" t="str">
        <x:v>Tutor + Reanimator</x:v>
      </x:c>
      <x:c r="F78" s="70" t="str">
        <x:v>S</x:v>
      </x:c>
      <x:c r="G78" s="70" t="str">
        <x:v>Manter na PROPOSED V2</x:v>
      </x:c>
      <x:c r="H78" s="70" t="str">
        <x:v>DMR 430</x:v>
      </x:c>
      <x:c r="I78" s="70" t="str">
        <x:v>Tutor + Reanimator</x:v>
      </x:c>
      <x:c r="J78" s="70" t="str">
        <x:v>https://scryfall.com/search?q=%21%22Vampiric+Tutor%22</x:v>
      </x:c>
    </x:row>
    <x:row r="79">
      <x:c r="A79" s="70" t="str">
        <x:v>Vito, Thorn of the Dusk Rose</x:v>
      </x:c>
      <x:c r="B79" s="72" t="n">
        <x:v>1</x:v>
      </x:c>
      <x:c r="C79" s="72" t="n">
        <x:v>1</x:v>
      </x:c>
      <x:c r="D79" s="70" t="str">
        <x:v>Drain/Gain life</x:v>
      </x:c>
      <x:c r="E79" s="70" t="str">
        <x:v>Drain/Gain life</x:v>
      </x:c>
      <x:c r="F79" s="70" t="str">
        <x:v>S</x:v>
      </x:c>
      <x:c r="G79" s="70" t="str">
        <x:v>Manter na PROPOSED V2</x:v>
      </x:c>
      <x:c r="H79" s="70" t="str">
        <x:v>J22 487</x:v>
      </x:c>
      <x:c r="I79" s="70" t="str">
        <x:v>Payoff de ganho de vida; pode combinar com Exquisite Blood</x:v>
      </x:c>
      <x:c r="J79" s="70" t="str">
        <x:v>https://scryfall.com/search?q=%21%22Vito%2C+Thorn+of+the+Dusk+Rose%22</x:v>
      </x:c>
    </x:row>
    <x:row r="80">
      <x:c r="A80" s="70" t="str">
        <x:v>Withering Torment</x:v>
      </x:c>
      <x:c r="B80" s="72" t="n">
        <x:v>1</x:v>
      </x:c>
      <x:c r="C80" s="72" t="n">
        <x:v>1</x:v>
      </x:c>
      <x:c r="D80" s="70" t="str">
        <x:v>Removal Pontual</x:v>
      </x:c>
      <x:c r="E80" s="70" t="str">
        <x:v>Removal Pontual</x:v>
      </x:c>
      <x:c r="F80" s="70" t="str">
        <x:v>B</x:v>
      </x:c>
      <x:c r="G80" s="70" t="str">
        <x:v>Manter na PROPOSED V2</x:v>
      </x:c>
      <x:c r="H80" s="70" t="str">
        <x:v>DSK 124</x:v>
      </x:c>
      <x:c r="I80" s="70" t="str">
        <x:v>Removal Pontual</x:v>
      </x:c>
      <x:c r="J80" s="70" t="str">
        <x:v>https://scryfall.com/search?q=%21%22Withering+Torment%22</x:v>
      </x:c>
    </x:row>
    <x:row r="81">
      <x:c r="A81" s="70" t="str">
        <x:v>Necropotence</x:v>
      </x:c>
      <x:c r="B81" s="72" t="n">
        <x:v>0</x:v>
      </x:c>
      <x:c r="C81" s="72" t="n">
        <x:v>1</x:v>
      </x:c>
      <x:c r="D81" s="70" t="str">
        <x:v>Others + Pet</x:v>
      </x:c>
      <x:c r="E81" s="70" t="str">
        <x:v>Draw</x:v>
      </x:c>
      <x:c r="F81" s="70" t="str">
        <x:v>S</x:v>
      </x:c>
      <x:c r="G81" s="70" t="str">
        <x:v>Nova inclusão — proposta não testada</x:v>
      </x:c>
      <x:c r="H81" s="70" t="str">
        <x:v>—</x:v>
      </x:c>
      <x:c r="I81" s="70" t="str">
        <x:v>Motor de compra convertido por K'rrik em 6 de vida sem mana</x:v>
      </x:c>
      <x:c r="J81" s="70" t="str">
        <x:v>https://scryfall.com/search?q=%21%22Necropotence%22</x:v>
      </x:c>
    </x:row>
    <x:row r="82">
      <x:c r="A82" s="70" t="str">
        <x:v>Bolas's Citadel</x:v>
      </x:c>
      <x:c r="B82" s="72" t="n">
        <x:v>0</x:v>
      </x:c>
      <x:c r="C82" s="72" t="n">
        <x:v>1</x:v>
      </x:c>
      <x:c r="D82" s="70" t="str">
        <x:v>Others + Pet</x:v>
      </x:c>
      <x:c r="E82" s="70" t="str">
        <x:v>WinCon</x:v>
      </x:c>
      <x:c r="F82" s="70" t="str">
        <x:v>S</x:v>
      </x:c>
      <x:c r="G82" s="70" t="str">
        <x:v>Nova inclusão — proposta não testada</x:v>
      </x:c>
      <x:c r="H82" s="70" t="str">
        <x:v>—</x:v>
      </x:c>
      <x:c r="I82" s="70" t="str">
        <x:v>Conjura cartas do topo pagando vida; motor de tempestade</x:v>
      </x:c>
      <x:c r="J82" s="70" t="str">
        <x:v>https://scryfall.com/search?q=%21%22Bolas%27s+Citadel%22</x:v>
      </x:c>
    </x:row>
    <x:row r="83">
      <x:c r="A83" s="70" t="str">
        <x:v>Vilis, Broker of Blood</x:v>
      </x:c>
      <x:c r="B83" s="72" t="n">
        <x:v>0</x:v>
      </x:c>
      <x:c r="C83" s="72" t="n">
        <x:v>1</x:v>
      </x:c>
      <x:c r="D83" s="70" t="str">
        <x:v>Others + Pet</x:v>
      </x:c>
      <x:c r="E83" s="70" t="str">
        <x:v>Draw</x:v>
      </x:c>
      <x:c r="F83" s="70" t="str">
        <x:v>S</x:v>
      </x:c>
      <x:c r="G83" s="70" t="str">
        <x:v>Nova inclusão — proposta não testada</x:v>
      </x:c>
      <x:c r="H83" s="70" t="str">
        <x:v>—</x:v>
      </x:c>
      <x:c r="I83" s="70" t="str">
        <x:v>Compra cartas quando você perde vida; alvo premium de reanimação</x:v>
      </x:c>
      <x:c r="J83" s="70" t="str">
        <x:v>https://scryfall.com/search?q=%21%22Vilis%2C+Broker+of+Blood%22</x:v>
      </x:c>
    </x:row>
    <x:row r="84">
      <x:c r="A84" s="70" t="str">
        <x:v>Sheoldred, the Apocalypse</x:v>
      </x:c>
      <x:c r="B84" s="72" t="n">
        <x:v>0</x:v>
      </x:c>
      <x:c r="C84" s="72" t="n">
        <x:v>1</x:v>
      </x:c>
      <x:c r="D84" s="70" t="str">
        <x:v>Others + Pet</x:v>
      </x:c>
      <x:c r="E84" s="70" t="str">
        <x:v>Drain/Gain life</x:v>
      </x:c>
      <x:c r="F84" s="70" t="str">
        <x:v>A</x:v>
      </x:c>
      <x:c r="G84" s="70" t="str">
        <x:v>Nova inclusão — proposta não testada</x:v>
      </x:c>
      <x:c r="H84" s="70" t="str">
        <x:v>—</x:v>
      </x:c>
      <x:c r="I84" s="70" t="str">
        <x:v>Ganha vida quando você compra e pune compras de oponentes</x:v>
      </x:c>
      <x:c r="J84" s="70" t="str">
        <x:v>https://scryfall.com/search?q=%21%22Sheoldred%2C+the+Apocalypse%22</x:v>
      </x:c>
    </x:row>
    <x:row r="85">
      <x:c r="A85" s="70" t="str">
        <x:v>Sensei's Divining Top</x:v>
      </x:c>
      <x:c r="B85" s="72" t="n">
        <x:v>0</x:v>
      </x:c>
      <x:c r="C85" s="72" t="n">
        <x:v>1</x:v>
      </x:c>
      <x:c r="D85" s="70" t="str">
        <x:v>Others + Pet</x:v>
      </x:c>
      <x:c r="E85" s="70" t="str">
        <x:v>Draw</x:v>
      </x:c>
      <x:c r="F85" s="70" t="str">
        <x:v>A</x:v>
      </x:c>
      <x:c r="G85" s="70" t="str">
        <x:v>Nova inclusão — proposta não testada</x:v>
      </x:c>
      <x:c r="H85" s="70" t="str">
        <x:v>—</x:v>
      </x:c>
      <x:c r="I85" s="70" t="str">
        <x:v>Filtra topo e sinergiza com Citadel</x:v>
      </x:c>
      <x:c r="J85" s="70" t="str">
        <x:v>https://scryfall.com/search?q=%21%22Sensei%27s+Divining+Top%22</x:v>
      </x:c>
    </x:row>
    <x:row r="86">
      <x:c r="A86" s="70" t="str">
        <x:v>Ancient Tomb</x:v>
      </x:c>
      <x:c r="B86" s="72" t="n">
        <x:v>0</x:v>
      </x:c>
      <x:c r="C86" s="72" t="n">
        <x:v>1</x:v>
      </x:c>
      <x:c r="D86" s="70" t="str">
        <x:v>Land</x:v>
      </x:c>
      <x:c r="E86" s="70" t="str">
        <x:v>Land</x:v>
      </x:c>
      <x:c r="F86" s="70" t="str">
        <x:v>A</x:v>
      </x:c>
      <x:c r="G86" s="70" t="str">
        <x:v>Nova inclusão — proposta não testada</x:v>
      </x:c>
      <x:c r="H86" s="70" t="str">
        <x:v>—</x:v>
      </x:c>
      <x:c r="I86" s="70" t="str">
        <x:v>Aceleração de mana genérica; custa 2 de vida por ativação</x:v>
      </x:c>
      <x:c r="J86" s="70" t="str">
        <x:v>https://scryfall.com/search?q=%21%22Ancient+Tomb%22</x:v>
      </x:c>
    </x:row>
    <x:row r="87">
      <x:c r="A87" s="70" t="str">
        <x:v>Cabal Ritual</x:v>
      </x:c>
      <x:c r="B87" s="72" t="n">
        <x:v>0</x:v>
      </x:c>
      <x:c r="C87" s="72" t="n">
        <x:v>1</x:v>
      </x:c>
      <x:c r="D87" s="70" t="str">
        <x:v>Others + Pet</x:v>
      </x:c>
      <x:c r="E87" s="70" t="str">
        <x:v>Ramp</x:v>
      </x:c>
      <x:c r="F87" s="70" t="str">
        <x:v>A</x:v>
      </x:c>
      <x:c r="G87" s="70" t="str">
        <x:v>Nova inclusão — proposta não testada</x:v>
      </x:c>
      <x:c r="H87" s="70" t="str">
        <x:v>—</x:v>
      </x:c>
      <x:c r="I87" s="70" t="str">
        <x:v>Mana instantânea; melhora com threshold</x:v>
      </x:c>
      <x:c r="J87" s="70" t="str">
        <x:v>https://scryfall.com/search?q=%21%22Cabal+Ritual%22</x:v>
      </x:c>
    </x:row>
    <x:row r="88">
      <x:c r="A88" s="70" t="str">
        <x:v>Bubbling Muck</x:v>
      </x:c>
      <x:c r="B88" s="72" t="n">
        <x:v>0</x:v>
      </x:c>
      <x:c r="C88" s="72" t="n">
        <x:v>1</x:v>
      </x:c>
      <x:c r="D88" s="70" t="str">
        <x:v>Others + Pet</x:v>
      </x:c>
      <x:c r="E88" s="70" t="str">
        <x:v>Ramp</x:v>
      </x:c>
      <x:c r="F88" s="70" t="str">
        <x:v>A</x:v>
      </x:c>
      <x:c r="G88" s="70" t="str">
        <x:v>Nova inclusão — proposta não testada</x:v>
      </x:c>
      <x:c r="H88" s="70" t="str">
        <x:v>—</x:v>
      </x:c>
      <x:c r="I88" s="70" t="str">
        <x:v>Turno explosivo com terrenos de tipo Swamp</x:v>
      </x:c>
      <x:c r="J88" s="70" t="str">
        <x:v>https://scryfall.com/search?q=%21%22Bubbling+Muck%22</x:v>
      </x:c>
    </x:row>
    <x:row r="89">
      <x:c r="A89" s="70" t="str">
        <x:v>Animate Dead</x:v>
      </x:c>
      <x:c r="B89" s="72" t="n">
        <x:v>0</x:v>
      </x:c>
      <x:c r="C89" s="72" t="n">
        <x:v>1</x:v>
      </x:c>
      <x:c r="D89" s="70" t="str">
        <x:v>Others + Pet</x:v>
      </x:c>
      <x:c r="E89" s="70" t="str">
        <x:v>Tutor + Reanimator</x:v>
      </x:c>
      <x:c r="F89" s="70" t="str">
        <x:v>A</x:v>
      </x:c>
      <x:c r="G89" s="70" t="str">
        <x:v>Nova inclusão — proposta não testada</x:v>
      </x:c>
      <x:c r="H89" s="70" t="str">
        <x:v>—</x:v>
      </x:c>
      <x:c r="I89" s="70" t="str">
        <x:v>Reanimação de baixo custo</x:v>
      </x:c>
      <x:c r="J89" s="70" t="str">
        <x:v>https://scryfall.com/search?q=%21%22Animate+Dead%22</x:v>
      </x:c>
    </x:row>
    <x:row r="90">
      <x:c r="A90" s="70" t="str">
        <x:v>Entomb</x:v>
      </x:c>
      <x:c r="B90" s="72" t="n">
        <x:v>0</x:v>
      </x:c>
      <x:c r="C90" s="72" t="n">
        <x:v>1</x:v>
      </x:c>
      <x:c r="D90" s="70" t="str">
        <x:v>Others + Pet</x:v>
      </x:c>
      <x:c r="E90" s="70" t="str">
        <x:v>Tutor + Reanimator</x:v>
      </x:c>
      <x:c r="F90" s="70" t="str">
        <x:v>A</x:v>
      </x:c>
      <x:c r="G90" s="70" t="str">
        <x:v>Nova inclusão — proposta não testada</x:v>
      </x:c>
      <x:c r="H90" s="70" t="str">
        <x:v>—</x:v>
      </x:c>
      <x:c r="I90" s="70" t="str">
        <x:v>Tutor instantâneo para o cemitério</x:v>
      </x:c>
      <x:c r="J90" s="70" t="str">
        <x:v>https://scryfall.com/search?q=%21%22Entomb%22</x:v>
      </x:c>
    </x:row>
    <x:row r="91">
      <x:c r="A91" s="70" t="str">
        <x:v>Leshrac's Sigil</x:v>
      </x:c>
      <x:c r="B91" s="72" t="n">
        <x:v>0</x:v>
      </x:c>
      <x:c r="C91" s="72" t="n">
        <x:v>1</x:v>
      </x:c>
      <x:c r="D91" s="70" t="str">
        <x:v>Others + Pet</x:v>
      </x:c>
      <x:c r="E91" s="70" t="str">
        <x:v>WinCon</x:v>
      </x:c>
      <x:c r="F91" s="70" t="str">
        <x:v>A</x:v>
      </x:c>
      <x:c r="G91" s="70" t="str">
        <x:v>Nova inclusão — proposta não testada</x:v>
      </x:c>
      <x:c r="H91" s="70" t="str">
        <x:v>—</x:v>
      </x:c>
      <x:c r="I91" s="70" t="str">
        <x:v>Combo: K'rrik + Aetherflux Reservoir + Sigil; exige vida inicial suficiente.</x:v>
      </x:c>
      <x:c r="J91" s="70" t="str">
        <x:v>https://mtg.wtf/card/sld/1188/Leshracs-Sigil</x:v>
      </x:c>
    </x:row>
    <x:row r="92">
      <x:c r="A92" s="70" t="str">
        <x:v>Snuff Out</x:v>
      </x:c>
      <x:c r="B92" s="72" t="n">
        <x:v>0</x:v>
      </x:c>
      <x:c r="C92" s="72" t="n">
        <x:v>1</x:v>
      </x:c>
      <x:c r="D92" s="70" t="str">
        <x:v>Others + Pet</x:v>
      </x:c>
      <x:c r="E92" s="70" t="str">
        <x:v>Removal Pontual</x:v>
      </x:c>
      <x:c r="F92" s="70" t="str">
        <x:v>A</x:v>
      </x:c>
      <x:c r="G92" s="70" t="str">
        <x:v>Nova inclusão — proposta não testada</x:v>
      </x:c>
      <x:c r="H92" s="70" t="str">
        <x:v>—</x:v>
      </x:c>
      <x:c r="I92" s="70" t="str">
        <x:v>Remoção gratuita condicional de criatura não preta</x:v>
      </x:c>
      <x:c r="J92" s="70" t="str">
        <x:v>https://scryfall.com/search?q=%21%22Snuff+Out%22</x:v>
      </x:c>
    </x:row>
    <x:row r="93">
      <x:c r="A93" s="70" t="str">
        <x:v>Bloodletter of Aclazotz</x:v>
      </x:c>
      <x:c r="B93" s="72" t="n">
        <x:v>0</x:v>
      </x:c>
      <x:c r="C93" s="72" t="n">
        <x:v>1</x:v>
      </x:c>
      <x:c r="D93" s="70" t="str">
        <x:v>Others + Pet</x:v>
      </x:c>
      <x:c r="E93" s="70" t="str">
        <x:v>WinCon</x:v>
      </x:c>
      <x:c r="F93" s="70" t="str">
        <x:v>A</x:v>
      </x:c>
      <x:c r="G93" s="70" t="str">
        <x:v>Nova inclusão — proposta não testada</x:v>
      </x:c>
      <x:c r="H93" s="70" t="str">
        <x:v>—</x:v>
      </x:c>
      <x:c r="I93" s="70" t="str">
        <x:v>Duplica perda de vida de oponentes durante seu turno</x:v>
      </x:c>
      <x:c r="J93" s="70" t="str">
        <x:v>https://mtg.wtf/card/lci/92/Bloodletter-of-Aclazotz</x:v>
      </x:c>
    </x:row>
  </x:sheetData>
  <x:mergeCells>
    <x:mergeCell ref="A1:J1"/>
    <x:mergeCell ref="A2:J2"/>
  </x:mergeCells>
  <x:conditionalFormatting sqref="F5:F93">
    <x:cfRule type="expression" dxfId="2" priority="1">
      <x:formula>F5="S"</x:formula>
    </x:cfRule>
    <x:cfRule type="expression" dxfId="3" priority="2">
      <x:formula>F5="C"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b4cceda7e6469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7" hidden="0" customWidth="1"/>
    <x:col min="4" max="4" width="12" hidden="0" customWidth="1"/>
    <x:col min="5" max="5" width="49" hidden="0" customWidth="1"/>
    <x:col min="6" max="6" width="54" hidden="0" customWidth="1"/>
    <x:col min="7" max="7" width="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32" customHeight="1">
      <x:c r="A1" s="5" t="str">
        <x:v>AGRUPAMENTOS FUNCIONAIS — 8 GRUPOS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0" customHeight="1">
      <x:c r="A2" s="13" t="str">
        <x:v>Cada carta tem um grupo primário para fins de contagem; funções secundárias aparecem nas notas. Terrenos não entram nos 8 grupos. MDFC Boggart Trawler é classificada pelo lado de criatura.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0" customHeight="1">
      <x:c r="A4" s="26" t="str">
        <x:v>Grupo</x:v>
      </x:c>
      <x:c r="B4" s="26" t="str">
        <x:v>Qty CURRENT</x:v>
      </x:c>
      <x:c r="C4" s="26" t="str">
        <x:v>Qty PROPOSED</x:v>
      </x:c>
      <x:c r="D4" s="26" t="str">
        <x:v>Delta</x:v>
      </x:c>
      <x:c r="E4" s="26" t="str">
        <x:v>Papel principal</x:v>
      </x:c>
      <x:c r="F4" s="26" t="str">
        <x:v>Observação crítica</x:v>
      </x:c>
    </x:row>
    <x:row r="5" ht="62" customHeight="1">
      <x:c r="A5" s="77" t="str">
        <x:v>Ramp</x:v>
      </x:c>
      <x:c r="B5" s="72" t="n">
        <x:f>SUMIF(Current!$E$5:$E$80,A5,Current!$A$5:$A$80)</x:f>
        <x:v>9</x:v>
      </x:c>
      <x:c r="C5" s="72" t="n">
        <x:f>SUMIF('Proposed V2'!$E$5:$E$80,A5,'Proposed V2'!$A$5:$A$80)</x:f>
        <x:v>9</x:v>
      </x:c>
      <x:c r="D5" s="72" t="n">
        <x:f>C5-B5</x:f>
        <x:v>0</x:v>
      </x:c>
      <x:c r="E5" s="70" t="str">
        <x:v>Acelerar K'rrik e pagar custos genéricos; a vida substitui apenas símbolos pretos.</x:v>
      </x:c>
      <x:c r="F5" s="70" t="str">
        <x:v>Ancient Tomb, Cabal Ritual e Bubbling Muck aumentam explosão. Ramp não pode ser confundido com substituição de mana genérica.</x:v>
      </x:c>
    </x:row>
    <x:row r="6" ht="62" customHeight="1">
      <x:c r="A6" s="77" t="str">
        <x:v>Draw</x:v>
      </x:c>
      <x:c r="B6" s="72" t="n">
        <x:f>SUMIF(Current!$E$5:$E$80,A6,Current!$A$5:$A$80)</x:f>
        <x:v>10</x:v>
      </x:c>
      <x:c r="C6" s="72" t="n">
        <x:f>SUMIF('Proposed V2'!$E$5:$E$80,A6,'Proposed V2'!$A$5:$A$80)</x:f>
        <x:v>11</x:v>
      </x:c>
      <x:c r="D6" s="72" t="n">
        <x:f>C6-B6</x:f>
        <x:v>1</x:v>
      </x:c>
      <x:c r="E6" s="70" t="str">
        <x:v>Transformar vida/recursos em cartas e manter gás após interação.</x:v>
      </x:c>
      <x:c r="F6" s="70" t="str">
        <x:v>Necropotence/Vilis/Citadel elevam muito o teto; medir a vida necessária.</x:v>
      </x:c>
    </x:row>
    <x:row r="7" ht="62" customHeight="1">
      <x:c r="A7" s="77" t="str">
        <x:v>Removal Pontual</x:v>
      </x:c>
      <x:c r="B7" s="72" t="n">
        <x:f>SUMIF(Current!$E$5:$E$80,A7,Current!$A$5:$A$80)</x:f>
        <x:v>13</x:v>
      </x:c>
      <x:c r="C7" s="72" t="n">
        <x:f>SUMIF('Proposed V2'!$E$5:$E$80,A7,'Proposed V2'!$A$5:$A$80)</x:f>
        <x:v>11</x:v>
      </x:c>
      <x:c r="D7" s="72" t="n">
        <x:f>C7-B7</x:f>
        <x:v>-2</x:v>
      </x:c>
      <x:c r="E7" s="70" t="str">
        <x:v>Responder a criaturas/permanentes ou limpar cemitérios em velocidade adequada.</x:v>
      </x:c>
      <x:c r="F7" s="70" t="str">
        <x:v>Snuff Out adiciona uma resposta sem gastar mana se o requisito de Swamp for cumprido.</x:v>
      </x:c>
    </x:row>
    <x:row r="8" ht="62" customHeight="1">
      <x:c r="A8" s="77" t="str">
        <x:v>Removal Global</x:v>
      </x:c>
      <x:c r="B8" s="72" t="n">
        <x:f>SUMIF(Current!$E$5:$E$80,A8,Current!$A$5:$A$80)</x:f>
        <x:v>6</x:v>
      </x:c>
      <x:c r="C8" s="72" t="n">
        <x:f>SUMIF('Proposed V2'!$E$5:$E$80,A8,'Proposed V2'!$A$5:$A$80)</x:f>
        <x:v>4</x:v>
      </x:c>
      <x:c r="D8" s="72" t="n">
        <x:f>C8-B8</x:f>
        <x:v>-2</x:v>
      </x:c>
      <x:c r="E8" s="70" t="str">
        <x:v>Resetar mesas que estejam à frente sem gastar slots em excesso de wipes.</x:v>
      </x:c>
      <x:c r="F8" s="70" t="str">
        <x:v>V2 cai de 6 para 4; manter Damnation, Toxic Deluge, Shadows' Verdict e Crippling Fear.</x:v>
      </x:c>
    </x:row>
    <x:row r="9" ht="62" customHeight="1">
      <x:c r="A9" s="77" t="str">
        <x:v>WinCon</x:v>
      </x:c>
      <x:c r="B9" s="72" t="n">
        <x:f>SUMIF(Current!$E$5:$E$80,A9,Current!$A$5:$A$80)</x:f>
        <x:v>8</x:v>
      </x:c>
      <x:c r="C9" s="72" t="n">
        <x:f>SUMIF('Proposed V2'!$E$5:$E$80,A9,'Proposed V2'!$A$5:$A$80)</x:f>
        <x:v>9</x:v>
      </x:c>
      <x:c r="D9" s="72" t="n">
        <x:f>C9-B9</x:f>
        <x:v>1</x:v>
      </x:c>
      <x:c r="E9" s="70" t="str">
        <x:v>Fechar com Aetherflux, combo, pressão ou multiplicadores.</x:v>
      </x:c>
      <x:c r="F9" s="70" t="str">
        <x:v>Leshrac's Sigil abre linha com K'rrik + Reservoir; Bloodletter acelera dreno durante seu turno.</x:v>
      </x:c>
    </x:row>
    <x:row r="10" ht="62" customHeight="1">
      <x:c r="A10" s="77" t="str">
        <x:v>Drain/Gain life</x:v>
      </x:c>
      <x:c r="B10" s="72" t="n">
        <x:f>SUMIF(Current!$E$5:$E$80,A10,Current!$A$5:$A$80)</x:f>
        <x:v>9</x:v>
      </x:c>
      <x:c r="C10" s="72" t="n">
        <x:f>SUMIF('Proposed V2'!$E$5:$E$80,A10,'Proposed V2'!$A$5:$A$80)</x:f>
        <x:v>10</x:v>
      </x:c>
      <x:c r="D10" s="72" t="n">
        <x:f>C10-B10</x:f>
        <x:v>1</x:v>
      </x:c>
      <x:c r="E10" s="70" t="str">
        <x:v>Recuperar vida paga e transformar ganho de vida em perda de vida para oponentes.</x:v>
      </x:c>
      <x:c r="F10" s="70" t="str">
        <x:v>Exquisite Blood + Sanguine Bond/Vito/Enduring Tenacity continua sendo a linha de combo mais compacta.</x:v>
      </x:c>
    </x:row>
    <x:row r="11" ht="62" customHeight="1">
      <x:c r="A11" s="77" t="str">
        <x:v>Tutor + Reanimator</x:v>
      </x:c>
      <x:c r="B11" s="72" t="n">
        <x:f>SUMIF(Current!$E$5:$E$80,A11,Current!$A$5:$A$80)</x:f>
        <x:v>6</x:v>
      </x:c>
      <x:c r="C11" s="72" t="n">
        <x:f>SUMIF('Proposed V2'!$E$5:$E$80,A11,'Proposed V2'!$A$5:$A$80)</x:f>
        <x:v>8</x:v>
      </x:c>
      <x:c r="D11" s="72" t="n">
        <x:f>C11-B11</x:f>
        <x:v>2</x:v>
      </x:c>
      <x:c r="E11" s="70" t="str">
        <x:v>Encontrar peças e colocar ameaças como Vilis/Gray Merchant no campo cedo.</x:v>
      </x:c>
      <x:c r="F11" s="70" t="str">
        <x:v>Entomb + Animate Dead complementam Reanimate e os reanimadores em massa.</x:v>
      </x:c>
    </x:row>
    <x:row r="12" ht="62" customHeight="1">
      <x:c r="A12" s="77" t="str">
        <x:v>Others + Pet</x:v>
      </x:c>
      <x:c r="B12" s="72" t="n">
        <x:f>SUMIF(Current!$E$5:$E$80,A12,Current!$A$5:$A$80)</x:f>
        <x:v>6</x:v>
      </x:c>
      <x:c r="C12" s="72" t="n">
        <x:f>SUMIF('Proposed V2'!$E$5:$E$80,A12,'Proposed V2'!$A$5:$A$80)</x:f>
        <x:v>5</x:v>
      </x:c>
      <x:c r="D12" s="72" t="n">
        <x:f>C12-B12</x:f>
        <x:v>-1</x:v>
      </x:c>
      <x:c r="E12" s="70" t="str">
        <x:v>Slots flexíveis, identidade pessoal e cartas dependentes de preferência/meta.</x:v>
      </x:c>
      <x:c r="F12" s="70" t="str">
        <x:v>Não foi fornecida uma lista nominal de pets; toda sugestão de corte permanece pendente de validação pessoal.</x:v>
      </x:c>
    </x:row>
  </x:sheetData>
  <x:mergeCells>
    <x:mergeCell ref="A1:M1"/>
    <x:mergeCell ref="A2:M2"/>
  </x:mergeCells>
  <x:conditionalFormatting sqref="B5:D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3ad3d280705c491f"/>
  <x:tableParts count="1">
    <x:tablePart xmlns:r="http://schemas.openxmlformats.org/officeDocument/2006/relationships" r:id="R6f6ec50638d3474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23" hidden="0" customWidth="1"/>
    <x:col min="4" max="4" width="31" hidden="0" customWidth="1"/>
    <x:col min="5" max="5" width="64" hidden="0" customWidth="1"/>
    <x:col min="6" max="6" width="20" hidden="0" customWidth="1"/>
  </x:cols>
  <x:sheetData>
    <x:row r="1" ht="32" customHeight="1">
      <x:c r="A1" s="5" t="str">
        <x:v>TIER LIST — ENCAIXE NESTE K'RRIK</x:v>
      </x:c>
      <x:c r="B1" s="5"/>
      <x:c r="C1" s="5"/>
      <x:c r="D1" s="5"/>
      <x:c r="E1" s="5"/>
      <x:c r="F1" s="5"/>
    </x:row>
    <x:row r="2" ht="30" customHeight="1">
      <x:c r="A2" s="13" t="str">
        <x:v>Tier mede contribuição estratégica para esta lista, não força absoluta da carta. As cartas cortadas são candidatas de OUT, não cartas já removidas da coleção.</x:v>
      </x:c>
      <x:c r="B2" s="13"/>
      <x:c r="C2" s="13"/>
      <x:c r="D2" s="13"/>
      <x:c r="E2" s="13"/>
      <x:c r="F2" s="13"/>
    </x:row>
    <x:row r="4" ht="30" customHeight="1">
      <x:c r="A4" s="26" t="str">
        <x:v>Tier</x:v>
      </x:c>
      <x:c r="B4" s="26" t="str">
        <x:v>Card</x:v>
      </x:c>
      <x:c r="C4" s="26" t="str">
        <x:v>Grupo principal</x:v>
      </x:c>
      <x:c r="D4" s="26" t="str">
        <x:v>Status V2</x:v>
      </x:c>
      <x:c r="E4" s="26" t="str">
        <x:v>Por que recebe esta avaliação</x:v>
      </x:c>
      <x:c r="F4" s="26" t="str">
        <x:v>Nível de confiança</x:v>
      </x:c>
    </x:row>
    <x:row r="5" ht="34" customHeight="1">
      <x:c r="A5" s="72" t="str">
        <x:v>S</x:v>
      </x:c>
      <x:c r="B5" s="70" t="str">
        <x:v>Aetherflux Reservoir</x:v>
      </x:c>
      <x:c r="C5" s="70" t="str">
        <x:v>WinCon</x:v>
      </x:c>
      <x:c r="D5" s="70" t="str">
        <x:v>Manter / revisar por pet ou meta</x:v>
      </x:c>
      <x:c r="E5" s="70" t="str">
        <x:v>Condição de vitória e recuperação de vida em turnos de mágicas.</x:v>
      </x:c>
      <x:c r="F5" s="70" t="str">
        <x:v>Média</x:v>
      </x:c>
    </x:row>
    <x:row r="6" ht="34" customHeight="1">
      <x:c r="A6" s="72" t="str">
        <x:v>S</x:v>
      </x:c>
      <x:c r="B6" s="70" t="str">
        <x:v>Bolas's Citadel</x:v>
      </x:c>
      <x:c r="C6" s="70" t="str">
        <x:v>Others + Pet</x:v>
      </x:c>
      <x:c r="D6" s="70" t="str">
        <x:v>IN proposto</x:v>
      </x:c>
      <x:c r="E6" s="70" t="str">
        <x:v>Engine de acesso ao topo e sinergia com Aetherflux Reservoir.</x:v>
      </x:c>
      <x:c r="F6" s="70" t="str">
        <x:v>Alta</x:v>
      </x:c>
    </x:row>
    <x:row r="7" ht="34" customHeight="1">
      <x:c r="A7" s="72" t="str">
        <x:v>S</x:v>
      </x:c>
      <x:c r="B7" s="70" t="str">
        <x:v>Demonic Tutor</x:v>
      </x:c>
      <x:c r="C7" s="70" t="str">
        <x:v>Tutor + Reanimator</x:v>
      </x:c>
      <x:c r="D7" s="70" t="str">
        <x:v>Manter / revisar por pet ou meta</x:v>
      </x:c>
      <x:c r="E7" s="70" t="str">
        <x:v>Tutor eficiente e flexível.</x:v>
      </x:c>
      <x:c r="F7" s="70" t="str">
        <x:v>Média</x:v>
      </x:c>
    </x:row>
    <x:row r="8" ht="34" customHeight="1">
      <x:c r="A8" s="72" t="str">
        <x:v>S</x:v>
      </x:c>
      <x:c r="B8" s="70" t="str">
        <x:v>Exquisite Blood</x:v>
      </x:c>
      <x:c r="C8" s="70" t="str">
        <x:v>Drain/Gain life</x:v>
      </x:c>
      <x:c r="D8" s="70" t="str">
        <x:v>Manter / revisar por pet ou meta</x:v>
      </x:c>
      <x:c r="E8" s="70" t="str">
        <x:v>Peça de combo e motor de ganho de vida.</x:v>
      </x:c>
      <x:c r="F8" s="70" t="str">
        <x:v>Média</x:v>
      </x:c>
    </x:row>
    <x:row r="9" ht="34" customHeight="1">
      <x:c r="A9" s="72" t="str">
        <x:v>S</x:v>
      </x:c>
      <x:c r="B9" s="70" t="str">
        <x:v>Imperial Seal</x:v>
      </x:c>
      <x:c r="C9" s="70" t="str">
        <x:v>Tutor + Reanimator</x:v>
      </x:c>
      <x:c r="D9" s="70" t="str">
        <x:v>Manter / revisar por pet ou meta</x:v>
      </x:c>
      <x:c r="E9" s="70" t="str">
        <x:v>Tutor premium; mantido.</x:v>
      </x:c>
      <x:c r="F9" s="70" t="str">
        <x:v>Média</x:v>
      </x:c>
    </x:row>
    <x:row r="10" ht="34" customHeight="1">
      <x:c r="A10" s="72" t="str">
        <x:v>S</x:v>
      </x:c>
      <x:c r="B10" s="70" t="str">
        <x:v>K'rrik, Son of Yawgmoth</x:v>
      </x:c>
      <x:c r="C10" s="70" t="str">
        <x:v>Commander</x:v>
      </x:c>
      <x:c r="D10" s="70" t="str">
        <x:v>Commander</x:v>
      </x:c>
      <x:c r="E10" s="70" t="str">
        <x:v>Aceleração por vida e lifelink; motor que define a lista.</x:v>
      </x:c>
      <x:c r="F10" s="70" t="str">
        <x:v>Alta</x:v>
      </x:c>
    </x:row>
    <x:row r="11" ht="34" customHeight="1">
      <x:c r="A11" s="72" t="str">
        <x:v>S</x:v>
      </x:c>
      <x:c r="B11" s="70" t="str">
        <x:v>Necropotence</x:v>
      </x:c>
      <x:c r="C11" s="70" t="str">
        <x:v>Others + Pet</x:v>
      </x:c>
      <x:c r="D11" s="70" t="str">
        <x:v>IN proposto</x:v>
      </x:c>
      <x:c r="E11" s="70" t="str">
        <x:v>Motor de compra altamente eficiente com K'rrik.</x:v>
      </x:c>
      <x:c r="F11" s="70" t="str">
        <x:v>Alta</x:v>
      </x:c>
    </x:row>
    <x:row r="12" ht="34" customHeight="1">
      <x:c r="A12" s="72" t="str">
        <x:v>S</x:v>
      </x:c>
      <x:c r="B12" s="70" t="str">
        <x:v>Sanguine Bond</x:v>
      </x:c>
      <x:c r="C12" s="70" t="str">
        <x:v>Drain/Gain life</x:v>
      </x:c>
      <x:c r="D12" s="70" t="str">
        <x:v>Manter / revisar por pet ou meta</x:v>
      </x:c>
      <x:c r="E12" s="70" t="str">
        <x:v>Payoff de combo com Exquisite Blood.</x:v>
      </x:c>
      <x:c r="F12" s="70" t="str">
        <x:v>Média</x:v>
      </x:c>
    </x:row>
    <x:row r="13" ht="34" customHeight="1">
      <x:c r="A13" s="72" t="str">
        <x:v>S</x:v>
      </x:c>
      <x:c r="B13" s="70" t="str">
        <x:v>Vampiric Tutor</x:v>
      </x:c>
      <x:c r="C13" s="70" t="str">
        <x:v>Tutor + Reanimator</x:v>
      </x:c>
      <x:c r="D13" s="70" t="str">
        <x:v>Manter / revisar por pet ou meta</x:v>
      </x:c>
      <x:c r="E13" s="70" t="str">
        <x:v>Tutor instantâneo de uma mana: consistência de combo/engine.</x:v>
      </x:c>
      <x:c r="F13" s="70" t="str">
        <x:v>Média</x:v>
      </x:c>
    </x:row>
    <x:row r="14" ht="34" customHeight="1">
      <x:c r="A14" s="72" t="str">
        <x:v>S</x:v>
      </x:c>
      <x:c r="B14" s="70" t="str">
        <x:v>Vilis, Broker of Blood</x:v>
      </x:c>
      <x:c r="C14" s="70" t="str">
        <x:v>Others + Pet</x:v>
      </x:c>
      <x:c r="D14" s="70" t="str">
        <x:v>IN proposto</x:v>
      </x:c>
      <x:c r="E14" s="70" t="str">
        <x:v>Converte perda de vida em mão cheia; alvo excelente de reanimação.</x:v>
      </x:c>
      <x:c r="F14" s="70" t="str">
        <x:v>Alta</x:v>
      </x:c>
    </x:row>
    <x:row r="15" ht="34" customHeight="1">
      <x:c r="A15" s="72" t="str">
        <x:v>S</x:v>
      </x:c>
      <x:c r="B15" s="70" t="str">
        <x:v>Vito, Thorn of the Dusk Rose</x:v>
      </x:c>
      <x:c r="C15" s="70" t="str">
        <x:v>Drain/Gain life</x:v>
      </x:c>
      <x:c r="D15" s="70" t="str">
        <x:v>Manter / revisar por pet ou meta</x:v>
      </x:c>
      <x:c r="E15" s="70" t="str">
        <x:v>Payoff redundante para ganho de vida e combo.</x:v>
      </x:c>
      <x:c r="F15" s="70" t="str">
        <x:v>Média</x:v>
      </x:c>
    </x:row>
    <x:row r="16" ht="34" customHeight="1">
      <x:c r="A16" s="72" t="str">
        <x:v>A</x:v>
      </x:c>
      <x:c r="B16" s="70" t="str">
        <x:v>Ancient Cellarspawn</x:v>
      </x:c>
      <x:c r="C16" s="70" t="str">
        <x:v>Others + Pet</x:v>
      </x:c>
      <x:c r="D16" s="70" t="str">
        <x:v>Manter / revisar por pet ou meta</x:v>
      </x:c>
      <x:c r="E16" s="70" t="str">
        <x:v>K'rrik faz muitos feitiços gastarem menos mana que o mana value; isso gera perda de vida.</x:v>
      </x:c>
      <x:c r="F16" s="70" t="str">
        <x:v>Média</x:v>
      </x:c>
    </x:row>
    <x:row r="17" ht="34" customHeight="1">
      <x:c r="A17" s="72" t="str">
        <x:v>A</x:v>
      </x:c>
      <x:c r="B17" s="70" t="str">
        <x:v>Ancient Tomb</x:v>
      </x:c>
      <x:c r="C17" s="70" t="str">
        <x:v>Land</x:v>
      </x:c>
      <x:c r="D17" s="70" t="str">
        <x:v>IN proposto</x:v>
      </x:c>
      <x:c r="E17" s="70" t="str">
        <x:v>Aceleração de mana genérica; custo de vida gerenciável.</x:v>
      </x:c>
      <x:c r="F17" s="70" t="str">
        <x:v>Média</x:v>
      </x:c>
    </x:row>
    <x:row r="18" ht="34" customHeight="1">
      <x:c r="A18" s="72" t="str">
        <x:v>A</x:v>
      </x:c>
      <x:c r="B18" s="70" t="str">
        <x:v>Animate Dead</x:v>
      </x:c>
      <x:c r="C18" s="70" t="str">
        <x:v>Others + Pet</x:v>
      </x:c>
      <x:c r="D18" s="70" t="str">
        <x:v>IN proposto</x:v>
      </x:c>
      <x:c r="E18" s="70" t="str">
        <x:v>Reanimação por custo baixo.</x:v>
      </x:c>
      <x:c r="F18" s="70" t="str">
        <x:v>Alta</x:v>
      </x:c>
    </x:row>
    <x:row r="19" ht="34" customHeight="1">
      <x:c r="A19" s="72" t="str">
        <x:v>A</x:v>
      </x:c>
      <x:c r="B19" s="70" t="str">
        <x:v>Bloodletter of Aclazotz</x:v>
      </x:c>
      <x:c r="C19" s="70" t="str">
        <x:v>Others + Pet</x:v>
      </x:c>
      <x:c r="D19" s="70" t="str">
        <x:v>IN proposto</x:v>
      </x:c>
      <x:c r="E19" s="70" t="str">
        <x:v>Multiplicador de perda de vida durante seu turno.</x:v>
      </x:c>
      <x:c r="F19" s="70" t="str">
        <x:v>Média</x:v>
      </x:c>
    </x:row>
    <x:row r="20" ht="34" customHeight="1">
      <x:c r="A20" s="72" t="str">
        <x:v>A</x:v>
      </x:c>
      <x:c r="B20" s="70" t="str">
        <x:v>Bubbling Muck</x:v>
      </x:c>
      <x:c r="C20" s="70" t="str">
        <x:v>Others + Pet</x:v>
      </x:c>
      <x:c r="D20" s="70" t="str">
        <x:v>IN proposto</x:v>
      </x:c>
      <x:c r="E20" s="70" t="str">
        <x:v>Turno explosivo em base pesada de Swamps.</x:v>
      </x:c>
      <x:c r="F20" s="70" t="str">
        <x:v>Média</x:v>
      </x:c>
    </x:row>
    <x:row r="21" ht="34" customHeight="1">
      <x:c r="A21" s="72" t="str">
        <x:v>A</x:v>
      </x:c>
      <x:c r="B21" s="70" t="str">
        <x:v>Cabal Ritual</x:v>
      </x:c>
      <x:c r="C21" s="70" t="str">
        <x:v>Others + Pet</x:v>
      </x:c>
      <x:c r="D21" s="70" t="str">
        <x:v>IN proposto</x:v>
      </x:c>
      <x:c r="E21" s="70" t="str">
        <x:v>Explosão de mana; alto teto com threshold.</x:v>
      </x:c>
      <x:c r="F21" s="70" t="str">
        <x:v>Média</x:v>
      </x:c>
    </x:row>
    <x:row r="22" ht="34" customHeight="1">
      <x:c r="A22" s="72" t="str">
        <x:v>A</x:v>
      </x:c>
      <x:c r="B22" s="70" t="str">
        <x:v>Crypt Ghast</x:v>
      </x:c>
      <x:c r="C22" s="70" t="str">
        <x:v>Ramp</x:v>
      </x:c>
      <x:c r="D22" s="70" t="str">
        <x:v>Manter / revisar por pet ou meta</x:v>
      </x:c>
      <x:c r="E22" s="70" t="str">
        <x:v>Dobra mana de Swamps e tem extort.</x:v>
      </x:c>
      <x:c r="F22" s="70" t="str">
        <x:v>Média</x:v>
      </x:c>
    </x:row>
    <x:row r="23" ht="34" customHeight="1">
      <x:c r="A23" s="72" t="str">
        <x:v>A</x:v>
      </x:c>
      <x:c r="B23" s="70" t="str">
        <x:v>Dark Ritual</x:v>
      </x:c>
      <x:c r="C23" s="70" t="str">
        <x:v>Ramp</x:v>
      </x:c>
      <x:c r="D23" s="70" t="str">
        <x:v>Manter / revisar por pet ou meta</x:v>
      </x:c>
      <x:c r="E23" s="70" t="str">
        <x:v>Explosão de mana imediata.</x:v>
      </x:c>
      <x:c r="F23" s="70" t="str">
        <x:v>Média</x:v>
      </x:c>
    </x:row>
    <x:row r="24" ht="34" customHeight="1">
      <x:c r="A24" s="72" t="str">
        <x:v>A</x:v>
      </x:c>
      <x:c r="B24" s="70" t="str">
        <x:v>Deadly Rollick</x:v>
      </x:c>
      <x:c r="C24" s="70" t="str">
        <x:v>Others + Pet</x:v>
      </x:c>
      <x:c r="D24" s="70" t="str">
        <x:v>Manter / revisar por pet ou meta</x:v>
      </x:c>
      <x:c r="E24" s="70" t="str">
        <x:v>Interação premium com comandante em campo.</x:v>
      </x:c>
      <x:c r="F24" s="70" t="str">
        <x:v>Média</x:v>
      </x:c>
    </x:row>
    <x:row r="25" ht="34" customHeight="1">
      <x:c r="A25" s="72" t="str">
        <x:v>A</x:v>
      </x:c>
      <x:c r="B25" s="70" t="str">
        <x:v>Enduring Tenacity</x:v>
      </x:c>
      <x:c r="C25" s="70" t="str">
        <x:v>Drain/Gain life</x:v>
      </x:c>
      <x:c r="D25" s="70" t="str">
        <x:v>Manter / revisar por pet ou meta</x:v>
      </x:c>
      <x:c r="E25" s="70" t="str">
        <x:v>Payoff de ganho de vida que retorna como encantamento.</x:v>
      </x:c>
      <x:c r="F25" s="70" t="str">
        <x:v>Média</x:v>
      </x:c>
    </x:row>
    <x:row r="26" ht="34" customHeight="1">
      <x:c r="A26" s="72" t="str">
        <x:v>A</x:v>
      </x:c>
      <x:c r="B26" s="70" t="str">
        <x:v>Entomb</x:v>
      </x:c>
      <x:c r="C26" s="70" t="str">
        <x:v>Others + Pet</x:v>
      </x:c>
      <x:c r="D26" s="70" t="str">
        <x:v>IN proposto</x:v>
      </x:c>
      <x:c r="E26" s="70" t="str">
        <x:v>Tutor para cemitério; aumenta consistência de reanimação.</x:v>
      </x:c>
      <x:c r="F26" s="70" t="str">
        <x:v>Alta</x:v>
      </x:c>
    </x:row>
    <x:row r="27" ht="34" customHeight="1">
      <x:c r="A27" s="72" t="str">
        <x:v>A</x:v>
      </x:c>
      <x:c r="B27" s="70" t="str">
        <x:v>Gray Merchant of Asphodel</x:v>
      </x:c>
      <x:c r="C27" s="70" t="str">
        <x:v>Drain/Gain life</x:v>
      </x:c>
      <x:c r="D27" s="70" t="str">
        <x:v>Manter / revisar por pet ou meta</x:v>
      </x:c>
      <x:c r="E27" s="70" t="str">
        <x:v>Dreno amplo que também recupera vida.</x:v>
      </x:c>
      <x:c r="F27" s="70" t="str">
        <x:v>Média</x:v>
      </x:c>
    </x:row>
    <x:row r="28" ht="34" customHeight="1">
      <x:c r="A28" s="72" t="str">
        <x:v>A</x:v>
      </x:c>
      <x:c r="B28" s="70" t="str">
        <x:v>Jet Medallion</x:v>
      </x:c>
      <x:c r="C28" s="70" t="str">
        <x:v>Ramp</x:v>
      </x:c>
      <x:c r="D28" s="70" t="str">
        <x:v>Manter / revisar por pet ou meta</x:v>
      </x:c>
      <x:c r="E28" s="70" t="str">
        <x:v>Reduz custo genérico efetivo de muitas mágicas pretas.</x:v>
      </x:c>
      <x:c r="F28" s="70" t="str">
        <x:v>Média</x:v>
      </x:c>
    </x:row>
    <x:row r="29" ht="34" customHeight="1">
      <x:c r="A29" s="72" t="str">
        <x:v>A</x:v>
      </x:c>
      <x:c r="B29" s="70" t="str">
        <x:v>Leshrac's Sigil</x:v>
      </x:c>
      <x:c r="C29" s="70" t="str">
        <x:v>Others + Pet</x:v>
      </x:c>
      <x:c r="D29" s="70" t="str">
        <x:v>IN proposto</x:v>
      </x:c>
      <x:c r="E29" s="70" t="str">
        <x:v>Abre linha de combo com K'rrik e Aetherflux Reservoir.</x:v>
      </x:c>
      <x:c r="F29" s="70" t="str">
        <x:v>Média</x:v>
      </x:c>
    </x:row>
    <x:row r="30" ht="34" customHeight="1">
      <x:c r="A30" s="72" t="str">
        <x:v>A</x:v>
      </x:c>
      <x:c r="B30" s="70" t="str">
        <x:v>Sensei's Divining Top</x:v>
      </x:c>
      <x:c r="C30" s="70" t="str">
        <x:v>Others + Pet</x:v>
      </x:c>
      <x:c r="D30" s="70" t="str">
        <x:v>IN proposto</x:v>
      </x:c>
      <x:c r="E30" s="70" t="str">
        <x:v>Melhora qualidade das cartas e ordena o topo para Citadel.</x:v>
      </x:c>
      <x:c r="F30" s="70" t="str">
        <x:v>Média</x:v>
      </x:c>
    </x:row>
    <x:row r="31" ht="34" customHeight="1">
      <x:c r="A31" s="72" t="str">
        <x:v>A</x:v>
      </x:c>
      <x:c r="B31" s="70" t="str">
        <x:v>Sheoldred, the Apocalypse</x:v>
      </x:c>
      <x:c r="C31" s="70" t="str">
        <x:v>Others + Pet</x:v>
      </x:c>
      <x:c r="D31" s="70" t="str">
        <x:v>IN proposto</x:v>
      </x:c>
      <x:c r="E31" s="70" t="str">
        <x:v>Compra vira ganho de vida; pune compras de oponentes.</x:v>
      </x:c>
      <x:c r="F31" s="70" t="str">
        <x:v>Alta</x:v>
      </x:c>
    </x:row>
    <x:row r="32" ht="34" customHeight="1">
      <x:c r="A32" s="72" t="str">
        <x:v>A</x:v>
      </x:c>
      <x:c r="B32" s="70" t="str">
        <x:v>Snuff Out</x:v>
      </x:c>
      <x:c r="C32" s="70" t="str">
        <x:v>Others + Pet</x:v>
      </x:c>
      <x:c r="D32" s="70" t="str">
        <x:v>IN proposto</x:v>
      </x:c>
      <x:c r="E32" s="70" t="str">
        <x:v>Interação barata/gratuita contra criatura não preta.</x:v>
      </x:c>
      <x:c r="F32" s="70" t="str">
        <x:v>Alta</x:v>
      </x:c>
    </x:row>
    <x:row r="33" ht="34" customHeight="1">
      <x:c r="A33" s="72" t="str">
        <x:v>A</x:v>
      </x:c>
      <x:c r="B33" s="70" t="str">
        <x:v>Toxic Deluge</x:v>
      </x:c>
      <x:c r="C33" s="70" t="str">
        <x:v>Removal Global</x:v>
      </x:c>
      <x:c r="D33" s="70" t="str">
        <x:v>Manter / revisar por pet ou meta</x:v>
      </x:c>
      <x:c r="E33" s="70" t="str">
        <x:v>Wipe eficiente para recuperar mesa adversa.</x:v>
      </x:c>
      <x:c r="F33" s="70" t="str">
        <x:v>Média</x:v>
      </x:c>
    </x:row>
    <x:row r="34" ht="34" customHeight="1">
      <x:c r="A34" s="72" t="str">
        <x:v>A</x:v>
      </x:c>
      <x:c r="B34" s="70" t="str">
        <x:v>Unstoppable Slasher</x:v>
      </x:c>
      <x:c r="C34" s="70" t="str">
        <x:v>WinCon</x:v>
      </x:c>
      <x:c r="D34" s="70" t="str">
        <x:v>Manter / revisar por pet ou meta</x:v>
      </x:c>
      <x:c r="E34" s="70" t="str">
        <x:v>Ameaça barata que pode reduzir muito a vida de um oponente ao conectar.</x:v>
      </x:c>
      <x:c r="F34" s="70" t="str">
        <x:v>Média</x:v>
      </x:c>
    </x:row>
    <x:row r="35" ht="34" customHeight="1">
      <x:c r="A35" s="72" t="str">
        <x:v>A</x:v>
      </x:c>
      <x:c r="B35" s="70" t="str">
        <x:v>Valgavoth, Terror Eater</x:v>
      </x:c>
      <x:c r="C35" s="70" t="str">
        <x:v>WinCon</x:v>
      </x:c>
      <x:c r="D35" s="70" t="str">
        <x:v>Manter / revisar por pet ou meta</x:v>
      </x:c>
      <x:c r="E35" s="70" t="str">
        <x:v>Ameaça enorme e valor ao exilar cartas de oponentes; excelente alvo de reanimação.</x:v>
      </x:c>
      <x:c r="F35" s="70" t="str">
        <x:v>Média</x:v>
      </x:c>
    </x:row>
    <x:row r="36" ht="34" customHeight="1">
      <x:c r="A36" s="72" t="str">
        <x:v>B</x:v>
      </x:c>
      <x:c r="B36" s="70" t="str">
        <x:v>Aclazotz, Deepest Betrayal</x:v>
      </x:c>
      <x:c r="C36" s="70" t="str">
        <x:v>Drain/Gain life</x:v>
      </x:c>
      <x:c r="D36" s="70" t="str">
        <x:v>Manter / revisar por pet ou meta</x:v>
      </x:c>
      <x:c r="E36" s="70" t="str">
        <x:v>Drain/Gain life</x:v>
      </x:c>
      <x:c r="F36" s="70" t="str">
        <x:v>Média</x:v>
      </x:c>
    </x:row>
    <x:row r="37" ht="34" customHeight="1">
      <x:c r="A37" s="72" t="str">
        <x:v>B</x:v>
      </x:c>
      <x:c r="B37" s="70" t="str">
        <x:v>Alhammarret's Archive</x:v>
      </x:c>
      <x:c r="C37" s="70" t="str">
        <x:v>Draw</x:v>
      </x:c>
      <x:c r="D37" s="70" t="str">
        <x:v>Manter / revisar por pet ou meta</x:v>
      </x:c>
      <x:c r="E37" s="70" t="str">
        <x:v>Duplica compra adicional e ganho de vida</x:v>
      </x:c>
      <x:c r="F37" s="70" t="str">
        <x:v>Média</x:v>
      </x:c>
    </x:row>
    <x:row r="38" ht="34" customHeight="1">
      <x:c r="A38" s="72" t="str">
        <x:v>B</x:v>
      </x:c>
      <x:c r="B38" s="70" t="str">
        <x:v>Arcane Signet</x:v>
      </x:c>
      <x:c r="C38" s="70" t="str">
        <x:v>Ramp</x:v>
      </x:c>
      <x:c r="D38" s="70" t="str">
        <x:v>Manter / revisar por pet ou meta</x:v>
      </x:c>
      <x:c r="E38" s="70" t="str">
        <x:v>Ramp</x:v>
      </x:c>
      <x:c r="F38" s="70" t="str">
        <x:v>Média</x:v>
      </x:c>
    </x:row>
    <x:row r="39" ht="34" customHeight="1">
      <x:c r="A39" s="72" t="str">
        <x:v>B</x:v>
      </x:c>
      <x:c r="B39" s="70" t="str">
        <x:v>Baleful Mastery</x:v>
      </x:c>
      <x:c r="C39" s="70" t="str">
        <x:v>Removal Pontual</x:v>
      </x:c>
      <x:c r="D39" s="70" t="str">
        <x:v>Manter / revisar por pet ou meta</x:v>
      </x:c>
      <x:c r="E39" s="70" t="str">
        <x:v>Removal Pontual</x:v>
      </x:c>
      <x:c r="F39" s="70" t="str">
        <x:v>Média</x:v>
      </x:c>
    </x:row>
    <x:row r="40" ht="34" customHeight="1">
      <x:c r="A40" s="72" t="str">
        <x:v>B</x:v>
      </x:c>
      <x:c r="B40" s="70" t="str">
        <x:v>Barbed Servitor</x:v>
      </x:c>
      <x:c r="C40" s="70" t="str">
        <x:v>Draw</x:v>
      </x:c>
      <x:c r="D40" s="70" t="str">
        <x:v>OUT sugerido</x:v>
      </x:c>
      <x:c r="E40" s="70" t="str">
        <x:v>Indestrutível e pode comprar ao conectar; custo quatro e impacto inconsistente.</x:v>
      </x:c>
      <x:c r="F40" s="70" t="str">
        <x:v>Média</x:v>
      </x:c>
    </x:row>
    <x:row r="41" ht="34" customHeight="1">
      <x:c r="A41" s="72" t="str">
        <x:v>B</x:v>
      </x:c>
      <x:c r="B41" s="70" t="str">
        <x:v>Blood Artist</x:v>
      </x:c>
      <x:c r="C41" s="70" t="str">
        <x:v>Drain/Gain life</x:v>
      </x:c>
      <x:c r="D41" s="70" t="str">
        <x:v>Manter / revisar por pet ou meta</x:v>
      </x:c>
      <x:c r="E41" s="70" t="str">
        <x:v>Dreno por morte de criaturas</x:v>
      </x:c>
      <x:c r="F41" s="70" t="str">
        <x:v>Média</x:v>
      </x:c>
    </x:row>
    <x:row r="42" ht="34" customHeight="1">
      <x:c r="A42" s="72" t="str">
        <x:v>B</x:v>
      </x:c>
      <x:c r="B42" s="70" t="str">
        <x:v>Boggart Trawler // Boggart Bog</x:v>
      </x:c>
      <x:c r="C42" s="70" t="str">
        <x:v>Removal Pontual</x:v>
      </x:c>
      <x:c r="D42" s="70" t="str">
        <x:v>Manter / revisar por pet ou meta</x:v>
      </x:c>
      <x:c r="E42" s="70" t="str">
        <x:v>MDFC; graveyard hate no ETB do lado criatura/land</x:v>
      </x:c>
      <x:c r="F42" s="70" t="str">
        <x:v>Média</x:v>
      </x:c>
    </x:row>
    <x:row r="43" ht="34" customHeight="1">
      <x:c r="A43" s="72" t="str">
        <x:v>B</x:v>
      </x:c>
      <x:c r="B43" s="70" t="str">
        <x:v>Bojuka Bog</x:v>
      </x:c>
      <x:c r="C43" s="70" t="str">
        <x:v>Land</x:v>
      </x:c>
      <x:c r="D43" s="70" t="str">
        <x:v>Manter / revisar por pet ou meta</x:v>
      </x:c>
      <x:c r="E43" s="70" t="str">
        <x:v>Others + Pet</x:v>
      </x:c>
      <x:c r="F43" s="70" t="str">
        <x:v>Média</x:v>
      </x:c>
    </x:row>
    <x:row r="44" ht="34" customHeight="1">
      <x:c r="A44" s="72" t="str">
        <x:v>B</x:v>
      </x:c>
      <x:c r="B44" s="70" t="str">
        <x:v>Cabal Stronghold</x:v>
      </x:c>
      <x:c r="C44" s="70" t="str">
        <x:v>Land</x:v>
      </x:c>
      <x:c r="D44" s="70" t="str">
        <x:v>Manter / revisar por pet ou meta</x:v>
      </x:c>
      <x:c r="E44" s="70" t="str">
        <x:v>Ramp</x:v>
      </x:c>
      <x:c r="F44" s="70" t="str">
        <x:v>Média</x:v>
      </x:c>
    </x:row>
    <x:row r="45" ht="34" customHeight="1">
      <x:c r="A45" s="72" t="str">
        <x:v>B</x:v>
      </x:c>
      <x:c r="B45" s="70" t="str">
        <x:v>Call to the Void</x:v>
      </x:c>
      <x:c r="C45" s="70" t="str">
        <x:v>Removal Pontual</x:v>
      </x:c>
      <x:c r="D45" s="70" t="str">
        <x:v>Manter / revisar por pet ou meta</x:v>
      </x:c>
      <x:c r="E45" s="70" t="str">
        <x:v>Remoção política de cinco manas; carta marcada como foil preservada.</x:v>
      </x:c>
      <x:c r="F45" s="70" t="str">
        <x:v>Média</x:v>
      </x:c>
    </x:row>
    <x:row r="46" ht="34" customHeight="1">
      <x:c r="A46" s="72" t="str">
        <x:v>B</x:v>
      </x:c>
      <x:c r="B46" s="70" t="str">
        <x:v>Charcoal Diamond</x:v>
      </x:c>
      <x:c r="C46" s="70" t="str">
        <x:v>Ramp</x:v>
      </x:c>
      <x:c r="D46" s="70" t="str">
        <x:v>Manter / revisar por pet ou meta</x:v>
      </x:c>
      <x:c r="E46" s="70" t="str">
        <x:v>Ramp</x:v>
      </x:c>
      <x:c r="F46" s="70" t="str">
        <x:v>Média</x:v>
      </x:c>
    </x:row>
    <x:row r="47" ht="34" customHeight="1">
      <x:c r="A47" s="72" t="str">
        <x:v>B</x:v>
      </x:c>
      <x:c r="B47" s="70" t="str">
        <x:v>Command the Dreadhorde</x:v>
      </x:c>
      <x:c r="C47" s="70" t="str">
        <x:v>Tutor + Reanimator</x:v>
      </x:c>
      <x:c r="D47" s="70" t="str">
        <x:v>Manter / revisar por pet ou meta</x:v>
      </x:c>
      <x:c r="E47" s="70" t="str">
        <x:v>Reanima criaturas/planeswalkers pagando vida</x:v>
      </x:c>
      <x:c r="F47" s="70" t="str">
        <x:v>Média</x:v>
      </x:c>
    </x:row>
    <x:row r="48" ht="34" customHeight="1">
      <x:c r="A48" s="72" t="str">
        <x:v>B</x:v>
      </x:c>
      <x:c r="B48" s="70" t="str">
        <x:v>Consuming Corruption</x:v>
      </x:c>
      <x:c r="C48" s="70" t="str">
        <x:v>Removal Pontual</x:v>
      </x:c>
      <x:c r="D48" s="70" t="str">
        <x:v>Manter / revisar por pet ou meta</x:v>
      </x:c>
      <x:c r="E48" s="70" t="str">
        <x:v>Removal Pontual</x:v>
      </x:c>
      <x:c r="F48" s="70" t="str">
        <x:v>Média</x:v>
      </x:c>
    </x:row>
    <x:row r="49" ht="34" customHeight="1">
      <x:c r="A49" s="72" t="str">
        <x:v>B</x:v>
      </x:c>
      <x:c r="B49" s="70" t="str">
        <x:v>Crippling Fear</x:v>
      </x:c>
      <x:c r="C49" s="70" t="str">
        <x:v>Removal Global</x:v>
      </x:c>
      <x:c r="D49" s="70" t="str">
        <x:v>Manter / revisar por pet ou meta</x:v>
      </x:c>
      <x:c r="E49" s="70" t="str">
        <x:v>Removal Global</x:v>
      </x:c>
      <x:c r="F49" s="70" t="str">
        <x:v>Média</x:v>
      </x:c>
    </x:row>
    <x:row r="50" ht="34" customHeight="1">
      <x:c r="A50" s="72" t="str">
        <x:v>B</x:v>
      </x:c>
      <x:c r="B50" s="70" t="str">
        <x:v>Damnation</x:v>
      </x:c>
      <x:c r="C50" s="70" t="str">
        <x:v>Removal Global</x:v>
      </x:c>
      <x:c r="D50" s="70" t="str">
        <x:v>Manter / revisar por pet ou meta</x:v>
      </x:c>
      <x:c r="E50" s="70" t="str">
        <x:v>Removal Global</x:v>
      </x:c>
      <x:c r="F50" s="70" t="str">
        <x:v>Média</x:v>
      </x:c>
    </x:row>
    <x:row r="51" ht="34" customHeight="1">
      <x:c r="A51" s="72" t="str">
        <x:v>B</x:v>
      </x:c>
      <x:c r="B51" s="70" t="str">
        <x:v>Deadly Dispute</x:v>
      </x:c>
      <x:c r="C51" s="70" t="str">
        <x:v>Draw</x:v>
      </x:c>
      <x:c r="D51" s="70" t="str">
        <x:v>Manter / revisar por pet ou meta</x:v>
      </x:c>
      <x:c r="E51" s="70" t="str">
        <x:v>Draw</x:v>
      </x:c>
      <x:c r="F51" s="70" t="str">
        <x:v>Média</x:v>
      </x:c>
    </x:row>
    <x:row r="52" ht="34" customHeight="1">
      <x:c r="A52" s="72" t="str">
        <x:v>B</x:v>
      </x:c>
      <x:c r="B52" s="70" t="str">
        <x:v>Demolition Field</x:v>
      </x:c>
      <x:c r="C52" s="70" t="str">
        <x:v>Land</x:v>
      </x:c>
      <x:c r="D52" s="70" t="str">
        <x:v>Manter / revisar por pet ou meta</x:v>
      </x:c>
      <x:c r="E52" s="70" t="str">
        <x:v>Others + Pet</x:v>
      </x:c>
      <x:c r="F52" s="70" t="str">
        <x:v>Média</x:v>
      </x:c>
    </x:row>
    <x:row r="53" ht="34" customHeight="1">
      <x:c r="A53" s="72" t="str">
        <x:v>B</x:v>
      </x:c>
      <x:c r="B53" s="70" t="str">
        <x:v>Dread Presence</x:v>
      </x:c>
      <x:c r="C53" s="70" t="str">
        <x:v>Drain/Gain life</x:v>
      </x:c>
      <x:c r="D53" s="70" t="str">
        <x:v>Manter / revisar por pet ou meta</x:v>
      </x:c>
      <x:c r="E53" s="70" t="str">
        <x:v>Valor de landfall em Swamp: compra/perda de vida ou dano/ganho de vida</x:v>
      </x:c>
      <x:c r="F53" s="70" t="str">
        <x:v>Média</x:v>
      </x:c>
    </x:row>
    <x:row r="54" ht="34" customHeight="1">
      <x:c r="A54" s="72" t="str">
        <x:v>B</x:v>
      </x:c>
      <x:c r="B54" s="70" t="str">
        <x:v>Erebos's Intervention</x:v>
      </x:c>
      <x:c r="C54" s="70" t="str">
        <x:v>Removal Pontual</x:v>
      </x:c>
      <x:c r="D54" s="70" t="str">
        <x:v>Manter / revisar por pet ou meta</x:v>
      </x:c>
      <x:c r="E54" s="70" t="str">
        <x:v>Removal Pontual</x:v>
      </x:c>
      <x:c r="F54" s="70" t="str">
        <x:v>Média</x:v>
      </x:c>
    </x:row>
    <x:row r="55" ht="34" customHeight="1">
      <x:c r="A55" s="72" t="str">
        <x:v>B</x:v>
      </x:c>
      <x:c r="B55" s="70" t="str">
        <x:v>Exsanguinate</x:v>
      </x:c>
      <x:c r="C55" s="70" t="str">
        <x:v>Drain/Gain life</x:v>
      </x:c>
      <x:c r="D55" s="70" t="str">
        <x:v>Manter / revisar por pet ou meta</x:v>
      </x:c>
      <x:c r="E55" s="70" t="str">
        <x:v>Drain/Gain life</x:v>
      </x:c>
      <x:c r="F55" s="70" t="str">
        <x:v>Média</x:v>
      </x:c>
    </x:row>
    <x:row r="56" ht="34" customHeight="1">
      <x:c r="A56" s="72" t="str">
        <x:v>B</x:v>
      </x:c>
      <x:c r="B56" s="70" t="str">
        <x:v>Feed the Swarm</x:v>
      </x:c>
      <x:c r="C56" s="70" t="str">
        <x:v>Removal Pontual</x:v>
      </x:c>
      <x:c r="D56" s="70" t="str">
        <x:v>Manter / revisar por pet ou meta</x:v>
      </x:c>
      <x:c r="E56" s="70" t="str">
        <x:v>Removal Pontual</x:v>
      </x:c>
      <x:c r="F56" s="70" t="str">
        <x:v>Média</x:v>
      </x:c>
    </x:row>
    <x:row r="57" ht="34" customHeight="1">
      <x:c r="A57" s="72" t="str">
        <x:v>B</x:v>
      </x:c>
      <x:c r="B57" s="70" t="str">
        <x:v>Font of Agonies</x:v>
      </x:c>
      <x:c r="C57" s="70" t="str">
        <x:v>Removal Pontual</x:v>
      </x:c>
      <x:c r="D57" s="70" t="str">
        <x:v>Manter / revisar por pet ou meta</x:v>
      </x:c>
      <x:c r="E57" s="70" t="str">
        <x:v>Pode converter pagamentos de vida em remoção, mas precisa de investimento adicional.</x:v>
      </x:c>
      <x:c r="F57" s="70" t="str">
        <x:v>Média</x:v>
      </x:c>
    </x:row>
    <x:row r="58" ht="34" customHeight="1">
      <x:c r="A58" s="72" t="str">
        <x:v>B</x:v>
      </x:c>
      <x:c r="B58" s="70" t="str">
        <x:v>Ghoulcaller Gisa</x:v>
      </x:c>
      <x:c r="C58" s="70" t="str">
        <x:v>Others + Pet</x:v>
      </x:c>
      <x:c r="D58" s="70" t="str">
        <x:v>Manter / revisar por pet ou meta</x:v>
      </x:c>
      <x:c r="E58" s="70" t="str">
        <x:v>Others + Pet</x:v>
      </x:c>
      <x:c r="F58" s="70" t="str">
        <x:v>Média</x:v>
      </x:c>
    </x:row>
    <x:row r="59" ht="34" customHeight="1">
      <x:c r="A59" s="72" t="str">
        <x:v>B</x:v>
      </x:c>
      <x:c r="B59" s="70" t="str">
        <x:v>Grievous Wound</x:v>
      </x:c>
      <x:c r="C59" s="70" t="str">
        <x:v>WinCon</x:v>
      </x:c>
      <x:c r="D59" s="70" t="str">
        <x:v>Manter / revisar por pet ou meta</x:v>
      </x:c>
      <x:c r="E59" s="70" t="str">
        <x:v>Pressiona vida após dano, mas é uma aura de cinco manas e precisa conectar dano.</x:v>
      </x:c>
      <x:c r="F59" s="70" t="str">
        <x:v>Média</x:v>
      </x:c>
    </x:row>
    <x:row r="60" ht="34" customHeight="1">
      <x:c r="A60" s="72" t="str">
        <x:v>B</x:v>
      </x:c>
      <x:c r="B60" s="70" t="str">
        <x:v>Infernal Offering</x:v>
      </x:c>
      <x:c r="C60" s="70" t="str">
        <x:v>Removal Pontual</x:v>
      </x:c>
      <x:c r="D60" s="70" t="str">
        <x:v>OUT sugerido</x:v>
      </x:c>
      <x:c r="E60" s="70" t="str">
        <x:v>Removal Pontual</x:v>
      </x:c>
      <x:c r="F60" s="70" t="str">
        <x:v>Média</x:v>
      </x:c>
    </x:row>
    <x:row r="61" ht="34" customHeight="1">
      <x:c r="A61" s="72" t="str">
        <x:v>B</x:v>
      </x:c>
      <x:c r="B61" s="70" t="str">
        <x:v>Insatiable Avarice</x:v>
      </x:c>
      <x:c r="C61" s="70" t="str">
        <x:v>Draw</x:v>
      </x:c>
      <x:c r="D61" s="70" t="str">
        <x:v>Manter / revisar por pet ou meta</x:v>
      </x:c>
      <x:c r="E61" s="70" t="str">
        <x:v>Draw</x:v>
      </x:c>
      <x:c r="F61" s="70" t="str">
        <x:v>Média</x:v>
      </x:c>
    </x:row>
    <x:row r="62" ht="34" customHeight="1">
      <x:c r="A62" s="72" t="str">
        <x:v>B</x:v>
      </x:c>
      <x:c r="B62" s="70" t="str">
        <x:v>Liliana of the Dark Realms</x:v>
      </x:c>
      <x:c r="C62" s="70" t="str">
        <x:v>Ramp</x:v>
      </x:c>
      <x:c r="D62" s="70" t="str">
        <x:v>OUT sugerido</x:v>
      </x:c>
      <x:c r="E62" s="70" t="str">
        <x:v>Ramp</x:v>
      </x:c>
      <x:c r="F62" s="70" t="str">
        <x:v>Média</x:v>
      </x:c>
    </x:row>
    <x:row r="63" ht="34" customHeight="1">
      <x:c r="A63" s="72" t="str">
        <x:v>B</x:v>
      </x:c>
      <x:c r="B63" s="70" t="str">
        <x:v>Liliana, Heretical Healer</x:v>
      </x:c>
      <x:c r="C63" s="70" t="str">
        <x:v>Others + Pet</x:v>
      </x:c>
      <x:c r="D63" s="70" t="str">
        <x:v>Manter / revisar por pet ou meta</x:v>
      </x:c>
      <x:c r="E63" s="70" t="str">
        <x:v>Others + Pet</x:v>
      </x:c>
      <x:c r="F63" s="70" t="str">
        <x:v>Média</x:v>
      </x:c>
    </x:row>
    <x:row r="64" ht="34" customHeight="1">
      <x:c r="A64" s="72" t="str">
        <x:v>B</x:v>
      </x:c>
      <x:c r="B64" s="70" t="str">
        <x:v>Mutavault</x:v>
      </x:c>
      <x:c r="C64" s="70" t="str">
        <x:v>Land</x:v>
      </x:c>
      <x:c r="D64" s="70" t="str">
        <x:v>Manter / revisar por pet ou meta</x:v>
      </x:c>
      <x:c r="E64" s="70" t="str">
        <x:v>Others + Pet</x:v>
      </x:c>
      <x:c r="F64" s="70" t="str">
        <x:v>Média</x:v>
      </x:c>
    </x:row>
    <x:row r="65" ht="34" customHeight="1">
      <x:c r="A65" s="72" t="str">
        <x:v>B</x:v>
      </x:c>
      <x:c r="B65" s="70" t="str">
        <x:v>Mutilate</x:v>
      </x:c>
      <x:c r="C65" s="70" t="str">
        <x:v>Removal Global</x:v>
      </x:c>
      <x:c r="D65" s="70" t="str">
        <x:v>OUT sugerido</x:v>
      </x:c>
      <x:c r="E65" s="70" t="str">
        <x:v>Wipe eficiente em mono-black, mas sai para aceleração explosiva; revisar conforme meta.</x:v>
      </x:c>
      <x:c r="F65" s="70" t="str">
        <x:v>Média</x:v>
      </x:c>
    </x:row>
    <x:row r="66" ht="34" customHeight="1">
      <x:c r="A66" s="72" t="str">
        <x:v>B</x:v>
      </x:c>
      <x:c r="B66" s="70" t="str">
        <x:v>Myriad Landscape</x:v>
      </x:c>
      <x:c r="C66" s="70" t="str">
        <x:v>Land</x:v>
      </x:c>
      <x:c r="D66" s="70" t="str">
        <x:v>Manter / revisar por pet ou meta</x:v>
      </x:c>
      <x:c r="E66" s="70" t="str">
        <x:v>Ramp</x:v>
      </x:c>
      <x:c r="F66" s="70" t="str">
        <x:v>Média</x:v>
      </x:c>
    </x:row>
    <x:row r="67" ht="34" customHeight="1">
      <x:c r="A67" s="72" t="str">
        <x:v>B</x:v>
      </x:c>
      <x:c r="B67" s="70" t="str">
        <x:v>Nirkana Revenant</x:v>
      </x:c>
      <x:c r="C67" s="70" t="str">
        <x:v>Ramp</x:v>
      </x:c>
      <x:c r="D67" s="70" t="str">
        <x:v>Manter / revisar por pet ou meta</x:v>
      </x:c>
      <x:c r="E67" s="70" t="str">
        <x:v>Dobra mana de Swamps e escala como ameaça</x:v>
      </x:c>
      <x:c r="F67" s="70" t="str">
        <x:v>Média</x:v>
      </x:c>
    </x:row>
    <x:row r="68" ht="34" customHeight="1">
      <x:c r="A68" s="72" t="str">
        <x:v>B</x:v>
      </x:c>
      <x:c r="B68" s="70" t="str">
        <x:v>Ophiomancer</x:v>
      </x:c>
      <x:c r="C68" s="70" t="str">
        <x:v>Others + Pet</x:v>
      </x:c>
      <x:c r="D68" s="70" t="str">
        <x:v>Manter / revisar por pet ou meta</x:v>
      </x:c>
      <x:c r="E68" s="70" t="str">
        <x:v>Others + Pet</x:v>
      </x:c>
      <x:c r="F68" s="70" t="str">
        <x:v>Média</x:v>
      </x:c>
    </x:row>
    <x:row r="69" ht="34" customHeight="1">
      <x:c r="A69" s="72" t="str">
        <x:v>B</x:v>
      </x:c>
      <x:c r="B69" s="70" t="str">
        <x:v>Phyrexian Arena</x:v>
      </x:c>
      <x:c r="C69" s="70" t="str">
        <x:v>Draw</x:v>
      </x:c>
      <x:c r="D69" s="70" t="str">
        <x:v>OUT sugerido</x:v>
      </x:c>
      <x:c r="E69" s="70" t="str">
        <x:v>Compra estável, mas lenta frente a Necropotence.</x:v>
      </x:c>
      <x:c r="F69" s="70" t="str">
        <x:v>Média</x:v>
      </x:c>
    </x:row>
    <x:row r="70" ht="34" customHeight="1">
      <x:c r="A70" s="72" t="str">
        <x:v>B</x:v>
      </x:c>
      <x:c r="B70" s="70" t="str">
        <x:v>Preacher of the Schism</x:v>
      </x:c>
      <x:c r="C70" s="70" t="str">
        <x:v>Draw</x:v>
      </x:c>
      <x:c r="D70" s="70" t="str">
        <x:v>Manter / revisar por pet ou meta</x:v>
      </x:c>
      <x:c r="E70" s="70" t="str">
        <x:v>Seleção/compra ou ficha, mas exige combate.</x:v>
      </x:c>
      <x:c r="F70" s="70" t="str">
        <x:v>Média</x:v>
      </x:c>
    </x:row>
    <x:row r="71" ht="34" customHeight="1">
      <x:c r="A71" s="72" t="str">
        <x:v>B</x:v>
      </x:c>
      <x:c r="B71" s="70" t="str">
        <x:v>Profane Tutor</x:v>
      </x:c>
      <x:c r="C71" s="70" t="str">
        <x:v>Tutor + Reanimator</x:v>
      </x:c>
      <x:c r="D71" s="70" t="str">
        <x:v>Manter / revisar por pet ou meta</x:v>
      </x:c>
      <x:c r="E71" s="70" t="str">
        <x:v>Tutor + Reanimator</x:v>
      </x:c>
      <x:c r="F71" s="70" t="str">
        <x:v>Média</x:v>
      </x:c>
    </x:row>
    <x:row r="72" ht="34" customHeight="1">
      <x:c r="A72" s="72" t="str">
        <x:v>B</x:v>
      </x:c>
      <x:c r="B72" s="70" t="str">
        <x:v>Promise of Power</x:v>
      </x:c>
      <x:c r="C72" s="70" t="str">
        <x:v>Draw</x:v>
      </x:c>
      <x:c r="D72" s="70" t="str">
        <x:v>Manter / revisar por pet ou meta</x:v>
      </x:c>
      <x:c r="E72" s="70" t="str">
        <x:v>Draw</x:v>
      </x:c>
      <x:c r="F72" s="70" t="str">
        <x:v>Média</x:v>
      </x:c>
    </x:row>
    <x:row r="73" ht="34" customHeight="1">
      <x:c r="A73" s="72" t="str">
        <x:v>B</x:v>
      </x:c>
      <x:c r="B73" s="70" t="str">
        <x:v>Reanimate</x:v>
      </x:c>
      <x:c r="C73" s="70" t="str">
        <x:v>Tutor + Reanimator</x:v>
      </x:c>
      <x:c r="D73" s="70" t="str">
        <x:v>Manter / revisar por pet ou meta</x:v>
      </x:c>
      <x:c r="E73" s="70" t="str">
        <x:v>Tutor + Reanimator</x:v>
      </x:c>
      <x:c r="F73" s="70" t="str">
        <x:v>Média</x:v>
      </x:c>
    </x:row>
    <x:row r="74" ht="34" customHeight="1">
      <x:c r="A74" s="72" t="str">
        <x:v>B</x:v>
      </x:c>
      <x:c r="B74" s="70" t="str">
        <x:v>Rise of the Dark Realms</x:v>
      </x:c>
      <x:c r="C74" s="70" t="str">
        <x:v>WinCon</x:v>
      </x:c>
      <x:c r="D74" s="70" t="str">
        <x:v>Manter / revisar por pet ou meta</x:v>
      </x:c>
      <x:c r="E74" s="70" t="str">
        <x:v>Fechamento explosivo, mas custo alto e dependência de cemitérios cheios.</x:v>
      </x:c>
      <x:c r="F74" s="70" t="str">
        <x:v>Média</x:v>
      </x:c>
    </x:row>
    <x:row r="75" ht="34" customHeight="1">
      <x:c r="A75" s="72" t="str">
        <x:v>B</x:v>
      </x:c>
      <x:c r="B75" s="70" t="str">
        <x:v>Shadows' Verdict</x:v>
      </x:c>
      <x:c r="C75" s="70" t="str">
        <x:v>Removal Global</x:v>
      </x:c>
      <x:c r="D75" s="70" t="str">
        <x:v>Manter / revisar por pet ou meta</x:v>
      </x:c>
      <x:c r="E75" s="70" t="str">
        <x:v>Removal Global</x:v>
      </x:c>
      <x:c r="F75" s="70" t="str">
        <x:v>Média</x:v>
      </x:c>
    </x:row>
    <x:row r="76" ht="34" customHeight="1">
      <x:c r="A76" s="72" t="str">
        <x:v>B</x:v>
      </x:c>
      <x:c r="B76" s="70" t="str">
        <x:v>Sign in Blood</x:v>
      </x:c>
      <x:c r="C76" s="70" t="str">
        <x:v>Draw</x:v>
      </x:c>
      <x:c r="D76" s="70" t="str">
        <x:v>Manter / revisar por pet ou meta</x:v>
      </x:c>
      <x:c r="E76" s="70" t="str">
        <x:v>Draw</x:v>
      </x:c>
      <x:c r="F76" s="70" t="str">
        <x:v>Média</x:v>
      </x:c>
    </x:row>
    <x:row r="77" ht="34" customHeight="1">
      <x:c r="A77" s="72" t="str">
        <x:v>B</x:v>
      </x:c>
      <x:c r="B77" s="70" t="str">
        <x:v>Slaughter Pact</x:v>
      </x:c>
      <x:c r="C77" s="70" t="str">
        <x:v>Removal Pontual</x:v>
      </x:c>
      <x:c r="D77" s="70" t="str">
        <x:v>Manter / revisar por pet ou meta</x:v>
      </x:c>
      <x:c r="E77" s="70" t="str">
        <x:v>Removal Pontual</x:v>
      </x:c>
      <x:c r="F77" s="70" t="str">
        <x:v>Média</x:v>
      </x:c>
    </x:row>
    <x:row r="78" ht="34" customHeight="1">
      <x:c r="A78" s="72" t="str">
        <x:v>B</x:v>
      </x:c>
      <x:c r="B78" s="70" t="str">
        <x:v>Sol Ring</x:v>
      </x:c>
      <x:c r="C78" s="70" t="str">
        <x:v>Ramp</x:v>
      </x:c>
      <x:c r="D78" s="70" t="str">
        <x:v>Manter / revisar por pet ou meta</x:v>
      </x:c>
      <x:c r="E78" s="70" t="str">
        <x:v>Ramp</x:v>
      </x:c>
      <x:c r="F78" s="70" t="str">
        <x:v>Média</x:v>
      </x:c>
    </x:row>
    <x:row r="79" ht="34" customHeight="1">
      <x:c r="A79" s="72" t="str">
        <x:v>B</x:v>
      </x:c>
      <x:c r="B79" s="70" t="str">
        <x:v>Suspended Sentence</x:v>
      </x:c>
      <x:c r="C79" s="70" t="str">
        <x:v>Removal Pontual</x:v>
      </x:c>
      <x:c r="D79" s="70" t="str">
        <x:v>OUT sugerido</x:v>
      </x:c>
      <x:c r="E79" s="70" t="str">
        <x:v>Remove criatura e faz oponente perder 3; corte proposto é relativo, não por inutilidade.</x:v>
      </x:c>
      <x:c r="F79" s="70" t="str">
        <x:v>Média</x:v>
      </x:c>
    </x:row>
    <x:row r="80" ht="34" customHeight="1">
      <x:c r="A80" s="72" t="str">
        <x:v>B</x:v>
      </x:c>
      <x:c r="B80" s="70" t="str">
        <x:v>Swamp</x:v>
      </x:c>
      <x:c r="C80" s="70" t="str">
        <x:v>Land</x:v>
      </x:c>
      <x:c r="D80" s="70" t="str">
        <x:v>Manter / revisar por pet ou meta</x:v>
      </x:c>
      <x:c r="E80" s="70" t="str">
        <x:v>Others + Pet</x:v>
      </x:c>
      <x:c r="F80" s="70" t="str">
        <x:v>Média</x:v>
      </x:c>
    </x:row>
    <x:row r="81" ht="34" customHeight="1">
      <x:c r="A81" s="72" t="str">
        <x:v>B</x:v>
      </x:c>
      <x:c r="B81" s="70" t="str">
        <x:v>Tarrian's Journal // The Tomb of Aclazotz</x:v>
      </x:c>
      <x:c r="C81" s="70" t="str">
        <x:v>Draw</x:v>
      </x:c>
      <x:c r="D81" s="70" t="str">
        <x:v>Manter / revisar por pet ou meta</x:v>
      </x:c>
      <x:c r="E81" s="70" t="str">
        <x:v>Draw</x:v>
      </x:c>
      <x:c r="F81" s="70" t="str">
        <x:v>Média</x:v>
      </x:c>
    </x:row>
    <x:row r="82" ht="34" customHeight="1">
      <x:c r="A82" s="72" t="str">
        <x:v>B</x:v>
      </x:c>
      <x:c r="B82" s="70" t="str">
        <x:v>Tendrils of Corruption</x:v>
      </x:c>
      <x:c r="C82" s="70" t="str">
        <x:v>Removal Pontual</x:v>
      </x:c>
      <x:c r="D82" s="70" t="str">
        <x:v>Manter / revisar por pet ou meta</x:v>
      </x:c>
      <x:c r="E82" s="70" t="str">
        <x:v>Removal Pontual</x:v>
      </x:c>
      <x:c r="F82" s="70" t="str">
        <x:v>Média</x:v>
      </x:c>
    </x:row>
    <x:row r="83" ht="34" customHeight="1">
      <x:c r="A83" s="72" t="str">
        <x:v>B</x:v>
      </x:c>
      <x:c r="B83" s="70" t="str">
        <x:v>Unholy Annex // Ritual Chamber</x:v>
      </x:c>
      <x:c r="C83" s="70" t="str">
        <x:v>Draw</x:v>
      </x:c>
      <x:c r="D83" s="70" t="str">
        <x:v>Manter / revisar por pet ou meta</x:v>
      </x:c>
      <x:c r="E83" s="70" t="str">
        <x:v>Draw</x:v>
      </x:c>
      <x:c r="F83" s="70" t="str">
        <x:v>Média</x:v>
      </x:c>
    </x:row>
    <x:row r="84" ht="34" customHeight="1">
      <x:c r="A84" s="72" t="str">
        <x:v>B</x:v>
      </x:c>
      <x:c r="B84" s="70" t="str">
        <x:v>Urborg, Tomb of Yawgmoth</x:v>
      </x:c>
      <x:c r="C84" s="70" t="str">
        <x:v>Land</x:v>
      </x:c>
      <x:c r="D84" s="70" t="str">
        <x:v>Manter / revisar por pet ou meta</x:v>
      </x:c>
      <x:c r="E84" s="70" t="str">
        <x:v>Ramp</x:v>
      </x:c>
      <x:c r="F84" s="70" t="str">
        <x:v>Média</x:v>
      </x:c>
    </x:row>
    <x:row r="85" ht="34" customHeight="1">
      <x:c r="A85" s="72" t="str">
        <x:v>B</x:v>
      </x:c>
      <x:c r="B85" s="70" t="str">
        <x:v>Withering Torment</x:v>
      </x:c>
      <x:c r="C85" s="70" t="str">
        <x:v>Removal Pontual</x:v>
      </x:c>
      <x:c r="D85" s="70" t="str">
        <x:v>Manter / revisar por pet ou meta</x:v>
      </x:c>
      <x:c r="E85" s="70" t="str">
        <x:v>Removal Pontual</x:v>
      </x:c>
      <x:c r="F85" s="70" t="str">
        <x:v>Média</x:v>
      </x:c>
    </x:row>
    <x:row r="86" ht="34" customHeight="1">
      <x:c r="A86" s="72" t="str">
        <x:v>C</x:v>
      </x:c>
      <x:c r="B86" s="70" t="str">
        <x:v>Army of the Damned</x:v>
      </x:c>
      <x:c r="C86" s="70" t="str">
        <x:v>WinCon</x:v>
      </x:c>
      <x:c r="D86" s="70" t="str">
        <x:v>OUT sugerido</x:v>
      </x:c>
      <x:c r="E86" s="70" t="str">
        <x:v>Impacto alto, mas lento; corte proposto por eficiência, não por falta de potencial.</x:v>
      </x:c>
      <x:c r="F86" s="70" t="str">
        <x:v>Média</x:v>
      </x:c>
    </x:row>
    <x:row r="87" ht="34" customHeight="1">
      <x:c r="A87" s="72" t="str">
        <x:v>C</x:v>
      </x:c>
      <x:c r="B87" s="70" t="str">
        <x:v>Heraldic Banner</x:v>
      </x:c>
      <x:c r="C87" s="70" t="str">
        <x:v>Ramp</x:v>
      </x:c>
      <x:c r="D87" s="70" t="str">
        <x:v>OUT sugerido</x:v>
      </x:c>
      <x:c r="E87" s="70" t="str">
        <x:v>Rampa, mas buff é pouco relevante frente a motores mais poderosos.</x:v>
      </x:c>
      <x:c r="F87" s="70" t="str">
        <x:v>Média</x:v>
      </x:c>
    </x:row>
    <x:row r="88" ht="34" customHeight="1">
      <x:c r="A88" s="72" t="str">
        <x:v>C</x:v>
      </x:c>
      <x:c r="B88" s="70" t="str">
        <x:v>Hex</x:v>
      </x:c>
      <x:c r="C88" s="70" t="str">
        <x:v>Removal Pontual</x:v>
      </x:c>
      <x:c r="D88" s="70" t="str">
        <x:v>OUT sugerido</x:v>
      </x:c>
      <x:c r="E88" s="70" t="str">
        <x:v>Pode remover várias criaturas, mas é caro e exige seis alvos.</x:v>
      </x:c>
      <x:c r="F88" s="70" t="str">
        <x:v>Média</x:v>
      </x:c>
    </x:row>
    <x:row r="89" ht="34" customHeight="1">
      <x:c r="A89" s="72" t="str">
        <x:v>C</x:v>
      </x:c>
      <x:c r="B89" s="70" t="str">
        <x:v>Ob Nixilis of the Black Oath</x:v>
      </x:c>
      <x:c r="C89" s="70" t="str">
        <x:v>Others + Pet</x:v>
      </x:c>
      <x:c r="D89" s="70" t="str">
        <x:v>OUT sugerido</x:v>
      </x:c>
      <x:c r="E89" s="70" t="str">
        <x:v>Planeswalker de cinco manas; valor incremental mais lento que Vilis.</x:v>
      </x:c>
      <x:c r="F89" s="70" t="str">
        <x:v>Média</x:v>
      </x:c>
    </x:row>
    <x:row r="90" ht="34" customHeight="1">
      <x:c r="A90" s="72" t="str">
        <x:v>C</x:v>
      </x:c>
      <x:c r="B90" s="70" t="str">
        <x:v>Platinum Angel</x:v>
      </x:c>
      <x:c r="C90" s="70" t="str">
        <x:v>WinCon</x:v>
      </x:c>
      <x:c r="D90" s="70" t="str">
        <x:v>Manter / revisar por pet ou meta</x:v>
      </x:c>
      <x:c r="E90" s="70" t="str">
        <x:v>Defensiva e cara; possível slot pessoal/pet, não incluída entre os cortes da V2.</x:v>
      </x:c>
      <x:c r="F90" s="70" t="str">
        <x:v>Média</x:v>
      </x:c>
    </x:row>
    <x:row r="91" ht="34" customHeight="1">
      <x:c r="A91" s="72" t="str">
        <x:v>C</x:v>
      </x:c>
      <x:c r="B91" s="70" t="str">
        <x:v>Ritual of Soot</x:v>
      </x:c>
      <x:c r="C91" s="70" t="str">
        <x:v>Removal Global</x:v>
      </x:c>
      <x:c r="D91" s="70" t="str">
        <x:v>OUT sugerido</x:v>
      </x:c>
      <x:c r="E91" s="70" t="str">
        <x:v>Wipe restrito por mana value; redundante frente a outras limpezas.</x:v>
      </x:c>
      <x:c r="F91" s="70" t="str">
        <x:v>Média</x:v>
      </x:c>
    </x:row>
    <x:row r="92" ht="34" customHeight="1">
      <x:c r="A92" s="72" t="str">
        <x:v>C</x:v>
      </x:c>
      <x:c r="B92" s="70" t="str">
        <x:v>Sorin's Vengeance</x:v>
      </x:c>
      <x:c r="C92" s="70" t="str">
        <x:v>WinCon</x:v>
      </x:c>
      <x:c r="D92" s="70" t="str">
        <x:v>OUT sugerido</x:v>
      </x:c>
      <x:c r="E92" s="70" t="str">
        <x:v>Drena um oponente, porém caro e estreito em comparação com motores/fechamentos.</x:v>
      </x:c>
      <x:c r="F92" s="70" t="str">
        <x:v>Média</x:v>
      </x:c>
    </x:row>
    <x:row r="93" ht="34" customHeight="1">
      <x:c r="A93" s="72" t="str">
        <x:v>C</x:v>
      </x:c>
      <x:c r="B93" s="70" t="str">
        <x:v>Temple of the False God</x:v>
      </x:c>
      <x:c r="C93" s="70" t="str">
        <x:v>Land</x:v>
      </x:c>
      <x:c r="D93" s="70" t="str">
        <x:v>OUT sugerido</x:v>
      </x:c>
      <x:c r="E93" s="70" t="str">
        <x:v>Terreno condicional que pode ficar inativo cedo.</x:v>
      </x:c>
      <x:c r="F93" s="70" t="str">
        <x:v>Média</x:v>
      </x:c>
    </x:row>
  </x:sheetData>
  <x:mergeCells>
    <x:mergeCell ref="A1:F1"/>
    <x:mergeCell ref="A2:F2"/>
  </x:mergeCells>
  <x:conditionalFormatting sqref="A5:A93">
    <x:cfRule type="expression" dxfId="4" priority="1">
      <x:formula>A5="S"</x:formula>
    </x:cfRule>
    <x:cfRule type="expression" dxfId="5" priority="2">
      <x:formula>A5="C"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150390734142eb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8" hidden="0" customWidth="1"/>
    <x:col min="4" max="4" width="78" hidden="0" customWidth="1"/>
    <x:col min="5" max="5" width="10" hidden="0" customWidth="1"/>
    <x:col min="6" max="6" width="10" hidden="0" customWidth="1"/>
  </x:cols>
  <x:sheetData>
    <x:row r="1" ht="32" customHeight="1">
      <x:c r="A1" s="5" t="str">
        <x:v>STRUCTURAL AUDIT — CONTAGEM, MANA E CONSISTÊNCIA</x:v>
      </x:c>
      <x:c r="B1" s="5"/>
      <x:c r="C1" s="5"/>
      <x:c r="D1" s="5"/>
      <x:c r="E1" s="5"/>
      <x:c r="F1" s="5"/>
    </x:row>
    <x:row r="2" ht="30" customHeight="1">
      <x:c r="A2" s="13" t="str">
        <x:v>Contagens derivadas das listas congeladas; MDFC tratada separadamente para evitar dupla contagem de cartas.</x:v>
      </x:c>
      <x:c r="B2" s="13"/>
      <x:c r="C2" s="13"/>
      <x:c r="D2" s="13"/>
      <x:c r="E2" s="13"/>
      <x:c r="F2" s="13"/>
    </x:row>
    <x:row r="4" ht="30" customHeight="1">
      <x:c r="A4" s="26" t="str">
        <x:v>Métrica</x:v>
      </x:c>
      <x:c r="B4" s="26" t="str">
        <x:v>CURRENT</x:v>
      </x:c>
      <x:c r="C4" s="26" t="str">
        <x:v>PROPOSED V2</x:v>
      </x:c>
      <x:c r="D4" s="26" t="str">
        <x:v>Leitura</x:v>
      </x:c>
    </x:row>
    <x:row r="5" ht="37" customHeight="1">
      <x:c r="A5" s="77" t="str">
        <x:v>Cartas totais</x:v>
      </x:c>
      <x:c r="B5" s="72" t="n">
        <x:f>SUM(Current!A5:A80)</x:f>
        <x:v>100</x:v>
      </x:c>
      <x:c r="C5" s="72" t="n">
        <x:f>SUM('Proposed V2'!A5:A80)</x:f>
        <x:v>100</x:v>
      </x:c>
      <x:c r="D5" s="70" t="str">
        <x:v>Commander + 99 cartas; singleton respeitado.</x:v>
      </x:c>
    </x:row>
    <x:row r="6" ht="37" customHeight="1">
      <x:c r="A6" s="77" t="str">
        <x:v>Quantidade de comandantes</x:v>
      </x:c>
      <x:c r="B6" s="72" t="n">
        <x:v>1</x:v>
      </x:c>
      <x:c r="C6" s="72" t="n">
        <x:v>1</x:v>
      </x:c>
      <x:c r="D6" s="70" t="str">
        <x:v>K'rrik permanece o único comandante.</x:v>
      </x:c>
    </x:row>
    <x:row r="7" ht="37" customHeight="1">
      <x:c r="A7" s="77" t="str">
        <x:v>Terrenos dedicados (inclui básicos)</x:v>
      </x:c>
      <x:c r="B7" s="72" t="n">
        <x:f>SUMIF(Current!D5:D80,"Land",Current!A5:A80)+SUMIF(Current!D5:D80,"Basic Land",Current!A5:A80)</x:f>
        <x:v>32</x:v>
      </x:c>
      <x:c r="C7" s="72" t="n">
        <x:f>SUMIF('Proposed V2'!D5:D80,"Land",'Proposed V2'!A5:A80)+SUMIF('Proposed V2'!D5:D80,"Basic Land",'Proposed V2'!A5:A80)</x:f>
        <x:v>32</x:v>
      </x:c>
      <x:c r="D7" s="70" t="str">
        <x:v>Não inclui Boggart Trawler // Boggart Bog, contado como MDFC.</x:v>
      </x:c>
    </x:row>
    <x:row r="8" ht="37" customHeight="1">
      <x:c r="A8" s="77" t="str">
        <x:v>Swamps básicos</x:v>
      </x:c>
      <x:c r="B8" s="72" t="n">
        <x:f>SUMIF(Current!B5:B80,"Swamp",Current!A5:A80)</x:f>
        <x:v>25</x:v>
      </x:c>
      <x:c r="C8" s="72" t="n">
        <x:f>SUMIF('Proposed V2'!B5:B80,"Swamp",'Proposed V2'!A5:A80)</x:f>
        <x:v>25</x:v>
      </x:c>
      <x:c r="D8" s="70" t="str">
        <x:v>Base relevante para Crypt Ghast, Nirkana Revenant, Cabal Stronghold e Bubbling Muck.</x:v>
      </x:c>
    </x:row>
    <x:row r="9" ht="37" customHeight="1">
      <x:c r="A9" s="77" t="str">
        <x:v>Fontes funcionais de terreno</x:v>
      </x:c>
      <x:c r="B9" s="72" t="n">
        <x:f>B7+COUNTIF(Current!B5:B80,"Boggart Trawler // Boggart Bog")</x:f>
        <x:v>33</x:v>
      </x:c>
      <x:c r="C9" s="72" t="n">
        <x:f>C7+COUNTIF('Proposed V2'!B5:B80,"Boggart Trawler // Boggart Bog")</x:f>
        <x:v>33</x:v>
      </x:c>
      <x:c r="D9" s="70" t="str">
        <x:v>Terrenos dedicados + lado terrestre de Boggart Trawler. Conta funcional, não física adicional.</x:v>
      </x:c>
    </x:row>
    <x:row r="10" ht="37" customHeight="1">
      <x:c r="A10" s="77" t="str">
        <x:v>Slots de não-terrenos na lista</x:v>
      </x:c>
      <x:c r="B10" s="72" t="n">
        <x:f>B5-B6-B7</x:f>
        <x:v>67</x:v>
      </x:c>
      <x:c r="C10" s="72" t="n">
        <x:f>C5-C6-C7</x:f>
        <x:v>67</x:v>
      </x:c>
      <x:c r="D10" s="70" t="str">
        <x:v>Inclui Boggart Trawler pela face frontal; a mesma carta também pode ser baixada como terreno.</x:v>
      </x:c>
    </x:row>
    <x:row r="11" ht="37" customHeight="1">
      <x:c r="A11" s="77" t="str">
        <x:v>Ramp — grupo primário</x:v>
      </x:c>
      <x:c r="B11" s="72" t="n">
        <x:f>SUMIF(Current!E5:E80,"Ramp",Current!A5:A80)</x:f>
        <x:v>9</x:v>
      </x:c>
      <x:c r="C11" s="72" t="n">
        <x:f>SUMIF('Proposed V2'!E5:E80,"Ramp",'Proposed V2'!A5:A80)</x:f>
        <x:v>9</x:v>
      </x:c>
      <x:c r="D11" s="70" t="str">
        <x:v>A contagem funcional não inclui terrenos utilitários.</x:v>
      </x:c>
    </x:row>
    <x:row r="12" ht="37" customHeight="1">
      <x:c r="A12" s="77" t="str">
        <x:v>Draw — grupo primário</x:v>
      </x:c>
      <x:c r="B12" s="72" t="n">
        <x:f>SUMIF(Current!E5:E80,"Draw",Current!A5:A80)</x:f>
        <x:v>10</x:v>
      </x:c>
      <x:c r="C12" s="72" t="n">
        <x:f>SUMIF('Proposed V2'!E5:E80,"Draw",'Proposed V2'!A5:A80)</x:f>
        <x:v>11</x:v>
      </x:c>
      <x:c r="D12" s="70" t="str">
        <x:v>O número aumenta com Necropotence/Vilis/Top; motores têm riscos de vida.</x:v>
      </x:c>
    </x:row>
    <x:row r="13" ht="37" customHeight="1">
      <x:c r="A13" s="77" t="str">
        <x:v>Removal global — grupo primário</x:v>
      </x:c>
      <x:c r="B13" s="72" t="n">
        <x:f>SUMIF(Current!E5:E80,"Removal Global",Current!A5:A80)</x:f>
        <x:v>6</x:v>
      </x:c>
      <x:c r="C13" s="72" t="n">
        <x:f>SUMIF('Proposed V2'!E5:E80,"Removal Global",'Proposed V2'!A5:A80)</x:f>
        <x:v>4</x:v>
      </x:c>
      <x:c r="D13" s="70" t="str">
        <x:v>A V2 corta wipe redundante sem remover as respostas principais.</x:v>
      </x:c>
    </x:row>
    <x:row r="14" ht="37" customHeight="1">
      <x:c r="A14" s="77" t="str">
        <x:v>Tutor + Reanimator — grupo primário</x:v>
      </x:c>
      <x:c r="B14" s="72" t="n">
        <x:f>SUMIF(Current!E5:E80,"Tutor + Reanimator",Current!A5:A80)</x:f>
        <x:v>6</x:v>
      </x:c>
      <x:c r="C14" s="72" t="n">
        <x:f>SUMIF('Proposed V2'!E5:E80,"Tutor + Reanimator",'Proposed V2'!A5:A80)</x:f>
        <x:v>8</x:v>
      </x:c>
      <x:c r="D14" s="70" t="str">
        <x:v>Entomb/Animate Dead reforçam a seleção e a reanimação de alvos premium.</x:v>
      </x:c>
    </x:row>
    <x:row r="15" ht="37" customHeight="1">
      <x:c r="A15" s="77" t="str">
        <x:v>V2 testada?</x:v>
      </x:c>
      <x:c r="B15" s="72" t="str">
        <x:v>Não</x:v>
      </x:c>
      <x:c r="C15" s="72" t="str">
        <x:v>Não</x:v>
      </x:c>
      <x:c r="D15" s="70" t="str">
        <x:v>Nenhuma partida foi fornecida; não afirmar melhoria observada.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72" hidden="0" customWidth="1"/>
    <x:col min="3" max="3" width="66" hidden="0" customWidth="1"/>
    <x:col min="4" max="4" width="57" hidden="0" customWidth="1"/>
    <x:col min="5" max="5" width="8" hidden="0" customWidth="1"/>
  </x:cols>
  <x:sheetData>
    <x:row r="1" ht="32" customHeight="1">
      <x:c r="A1" s="5" t="str">
        <x:v>SOURCES &amp; RULES — K'RRIK</x:v>
      </x:c>
      <x:c r="B1" s="5"/>
      <x:c r="C1" s="5"/>
      <x:c r="D1" s="5"/>
      <x:c r="E1" s="5"/>
    </x:row>
    <x:row r="2" ht="30" customHeight="1">
      <x:c r="A2" s="13" t="str">
        <x:v>Use os links para revisar Oracle text, benchmarks do arquétipo e interações. Os benchmarks orientam, mas não substituem a análise da lista.</x:v>
      </x:c>
      <x:c r="B2" s="13"/>
      <x:c r="C2" s="13"/>
      <x:c r="D2" s="13"/>
      <x:c r="E2" s="13"/>
    </x:row>
    <x:row r="4" ht="30" customHeight="1">
      <x:c r="A4" s="26" t="str">
        <x:v>Tema</x:v>
      </x:c>
      <x:c r="B4" s="26" t="str">
        <x:v>Conclusão de trabalho</x:v>
      </x:c>
      <x:c r="C4" s="26" t="str">
        <x:v>Fonte</x:v>
      </x:c>
      <x:c r="D4" s="26" t="str">
        <x:v>Uso / ressalva</x:v>
      </x:c>
    </x:row>
    <x:row r="5" ht="58" customHeight="1">
      <x:c r="A5" s="70" t="str">
        <x:v>Regra / Oracle do comandante</x:v>
      </x:c>
      <x:c r="B5" s="70" t="str">
        <x:v>K'rrik tem lifelink; para cada símbolo {B} em qualquer custo, pode pagar 2 de vida em vez dessa mana; cresce ao conjurar mágica preta.</x:v>
      </x:c>
      <x:c r="C5" s="70" t="str">
        <x:v>https://scryfall.com/card/mh3/274/krrik-son-of-yawgmoth</x:v>
      </x:c>
      <x:c r="D5" s="70" t="str">
        <x:v>Fonte indicada pelo usuário; conferir texto Oracle e impressão MH3.</x:v>
      </x:c>
    </x:row>
    <x:row r="6" ht="58" customHeight="1">
      <x:c r="A6" s="70" t="str">
        <x:v>Rulings K'rrik</x:v>
      </x:c>
      <x:c r="B6" s="70" t="str">
        <x:v>O efeito não reduz o custo; apenas muda como certos símbolos de mana são pagos. Não pode pagar vida por mana genérica. A habilidade pode valer para custos de mágicas e habilidades ativadas.</x:v>
      </x:c>
      <x:c r="C6" s="70" t="str">
        <x:v>https://mtgseeker.com/card/c19/18/krrik-son-of-yawgmoth</x:v>
      </x:c>
      <x:c r="D6" s="70" t="str">
        <x:v>Fonte secundária que reproduz os rulings citados.</x:v>
      </x:c>
    </x:row>
    <x:row r="7" ht="58" customHeight="1">
      <x:c r="A7" s="70" t="str">
        <x:v>Benchmark de lifegain</x:v>
      </x:c>
      <x:c r="B7" s="70" t="str">
        <x:v>EDH.Wiki lista lifegain, combo, self-damage e reanimator como linhas recorrentes; destaca Vilis, Sanguine Bond, Vito, Aetherflux, Exsanguinate, Gary e Crypt Ghast.</x:v>
      </x:c>
      <x:c r="C7" s="70" t="str">
        <x:v>https://edh.wiki/commanders/krrik-son-of-yawgmoth/lifegain/</x:v>
      </x:c>
      <x:c r="D7" s="70" t="str">
        <x:v>Benchmark para papéis/funções, não uma ordem absoluta de inclusões.</x:v>
      </x:c>
    </x:row>
    <x:row r="8" ht="58" customHeight="1">
      <x:c r="A8" s="70" t="str">
        <x:v>Benchmark agregado</x:v>
      </x:c>
      <x:c r="B8" s="70" t="str">
        <x:v>EDHREC mostra Gray Merchant, Dark Ritual, Jet Medallion, Exsanguinate, Crypt Ghast, Necropotence, Bolas's Citadel e Vilis como padrões recorrentes na construção K'rrik.</x:v>
      </x:c>
      <x:c r="C8" s="70" t="str">
        <x:v>https://edhrec.com/commanders/krrik-son-of-yawgmoth/lifegain</x:v>
      </x:c>
      <x:c r="D8" s="70" t="str">
        <x:v>Dados agregados consultados em outubro de 2026; prevalência não prova que cada carta seja correta para cada lista.</x:v>
      </x:c>
    </x:row>
    <x:row r="9" ht="58" customHeight="1">
      <x:c r="A9" s="70" t="str">
        <x:v>Benchmark high-power</x:v>
      </x:c>
      <x:c r="B9" s="70" t="str">
        <x:v>Listas otimizadas/cEDH aumentam fast mana, tutores, Necropotence, Vilis, Cabal Ritual e reanimação; isso indica o que falta para ultrapassar o casual forte, mas não obriga copiar uma lista cEDH.</x:v>
      </x:c>
      <x:c r="C9" s="70" t="str">
        <x:v>https://edhrec.com/commanders/krrik-son-of-yawgmoth/cedh/lifegain</x:v>
      </x:c>
      <x:c r="D9" s="70" t="str">
        <x:v>Utilizado apenas como comparação de teto de potência.</x:v>
      </x:c>
    </x:row>
    <x:row r="10" ht="58" customHeight="1">
      <x:c r="A10" s="70" t="str">
        <x:v>Combo Aetherflux + K'rrik + Sigil</x:v>
      </x:c>
      <x:c r="B10" s="70" t="str">
        <x:v>Leshrac's Sigil pode ser recastado pagando vida por {B}{B} e pode voltar à mão pagando vida por {B}{B}; com K'rrik + Aetherflux Reservoir, os gatilhos podem eventualmente ultrapassar os pagamentos.</x:v>
      </x:c>
      <x:c r="C10" s="70" t="str">
        <x:v>https://casualplaneswalker.com/combo/aetherflux-reservoir/krrik-son-of-yawgmoth/</x:v>
      </x:c>
      <x:c r="D10" s="70" t="str">
        <x:v>A linha exige vida suficiente para sobreviver ao começo do ciclo e proteger seus motores.</x:v>
      </x:c>
    </x:row>
    <x:row r="11" ht="58" customHeight="1">
      <x:c r="A11" s="70" t="str">
        <x:v>Oracle Leshrac's Sigil</x:v>
      </x:c>
      <x:c r="B11" s="70" t="str">
        <x:v>Custo {B}{B}; habilidade {B}{B} para retornar à mão. K'rrik pode substituir esses símbolos por vida enquanto está em campo.</x:v>
      </x:c>
      <x:c r="C11" s="70" t="str">
        <x:v>https://mtg.wtf/card/sld/1188/Leshracs-Sigil</x:v>
      </x:c>
      <x:c r="D11" s="70" t="str">
        <x:v>Confirmar o texto da própria carta; regra de K'rrik é determinante.</x:v>
      </x:c>
    </x:row>
    <x:row r="12" ht="58" customHeight="1">
      <x:c r="A12" s="70" t="str">
        <x:v>Oracle Bloodletter of Aclazotz</x:v>
      </x:c>
      <x:c r="B12" s="70" t="str">
        <x:v>Duplica a perda de vida de oponentes durante seu turno; isso não duplica dano causado, nem o ganho de vida automaticamente em todas as interações.</x:v>
      </x:c>
      <x:c r="C12" s="70" t="str">
        <x:v>https://mtg.wtf/card/lci/92/Bloodletter-of-Aclazotz</x:v>
      </x:c>
      <x:c r="D12" s="70" t="str">
        <x:v>Use para ampliar Exsanguinate/drains durante o seu turno.</x:v>
      </x:c>
    </x:row>
    <x:row r="13" ht="58" customHeight="1">
      <x:c r="A13" s="70" t="str">
        <x:v>Ancient Cellarspawn</x:v>
      </x:c>
      <x:c r="B13" s="70" t="str">
        <x:v>Reduz custo de Demon/Horror/Nightmare em {1}; sempre que mana gasto para conjurar spell for menor que mana value, um oponente perde vida igual à diferença.</x:v>
      </x:c>
      <x:c r="C13" s="70" t="str">
        <x:v>https://mtg.wtf/card/dsc/47/Ancient-Cellarspawn</x:v>
      </x:c>
      <x:c r="D13" s="70" t="str">
        <x:v>Manter: sinergia relevante com K'rrik pagando símbolos pretos com vida.</x:v>
      </x:c>
    </x:row>
    <x:row r="14" ht="58" customHeight="1">
      <x:c r="A14" s="70" t="str">
        <x:v>Bubbling Muck</x:v>
      </x:c>
      <x:c r="B14" s="70" t="str">
        <x:v>Até o fim do turno, terrenos com tipo Swamp adicionam {B} adicional ao virar para mana; vale para terrenos com tipo Swamp, não apenas nome 'Swamp'.</x:v>
      </x:c>
      <x:c r="C14" s="70" t="str">
        <x:v>https://mtg.wtf/card/plst/UDS-54/Bubbling-Muck</x:v>
      </x:c>
      <x:c r="D14" s="70" t="str">
        <x:v>Urborg pode tornar outros terrenos Swamps; efeito é explosivo, mas situacional.</x:v>
      </x:c>
    </x:row>
    <x:row r="15" ht="58" customHeight="1">
      <x:c r="A15" s="70" t="str">
        <x:v>Cabal Ritual</x:v>
      </x:c>
      <x:c r="B15" s="70" t="str">
        <x:v>Custo {1}{B}; gera BBB ou BBBBB com threshold de sete cartas no cemitério.</x:v>
      </x:c>
      <x:c r="C15" s="70" t="str">
        <x:v>https://mtg.wtf/card/tor/51/Cabal-Ritual</x:v>
      </x:c>
      <x:c r="D15" s="70" t="str">
        <x:v>K'rrik pode pagar vida por {B}, mas o {1} genérico ainda requer mana.</x:v>
      </x:c>
    </x:row>
    <x:row r="16" ht="58" customHeight="1">
      <x:c r="A16" s="70" t="str">
        <x:v>Suspended Sentence (CURRENT)</x:v>
      </x:c>
      <x:c r="B16" s="70" t="str">
        <x:v>Instantânea {3}{B}: destrói criatura do oponente e ele perde 3; tem suspend 3—{1}{B}.</x:v>
      </x:c>
      <x:c r="C16" s="70" t="str">
        <x:v>https://mtg.wtf/card/dsc/54/Suspended-Sentence</x:v>
      </x:c>
      <x:c r="D16" s="70" t="str">
        <x:v>Corte proposto é por custo de oportunidade, não por carta ruim; pode ser mantida se valorizada.</x:v>
      </x:c>
    </x:row>
    <x:row r="17" ht="58" customHeight="1">
      <x:c r="A17" s="70" t="str">
        <x:v>Infernal Offering (CURRENT)</x:v>
      </x:c>
      <x:c r="B17" s="70" t="str">
        <x:v>Escolhe oponente; sacrifica criatura e compra 2 para cada jogador que sacrificou; depois pode reanimar criatura do seu cemitério e o oponente reanima uma dele.</x:v>
      </x:c>
      <x:c r="C17" s="70" t="str">
        <x:v>https://mtg.wtf/card/c14/24/Infernal-Offering</x:v>
      </x:c>
      <x:c r="D17" s="70" t="str">
        <x:v>Corte proposto porque oferece recursos ao oponente e tem custo genérico alto.</x:v>
      </x:c>
    </x:row>
    <x:row r="18" ht="58" customHeight="1">
      <x:c r="A18" s="70" t="str">
        <x:v>Comprehensive Rules / K'rrik</x:v>
      </x:c>
      <x:c r="B18" s="70" t="str">
        <x:v>Rulings foram usados para separar pagamento de símbolos pretos de redução de custo; mana genérica continua sendo necessária.</x:v>
      </x:c>
      <x:c r="C18" s="70" t="str">
        <x:v>https://magic.wizards.com/en/news/announcements/comprehensive-rules-changes-2019-09-27</x:v>
      </x:c>
      <x:c r="D18" s="70" t="str">
        <x:v>Página da Wizards sobre atualizações nas regras; conferir a versão atual das Comprehensive Rules para dúvidas futuras.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26a62b5d768433a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6" hidden="0" customWidth="1"/>
    <x:col min="4" max="4" width="12" hidden="0" customWidth="1"/>
    <x:col min="5" max="5" width="16" hidden="0" customWidth="1"/>
    <x:col min="6" max="6" width="15" hidden="0" customWidth="1"/>
    <x:col min="7" max="7" width="15" hidden="0" customWidth="1"/>
    <x:col min="8" max="8" width="17" hidden="0" customWidth="1"/>
    <x:col min="9" max="9" width="15" hidden="0" customWidth="1"/>
    <x:col min="10" max="10" width="23" hidden="0" customWidth="1"/>
    <x:col min="11" max="11" width="24" hidden="0" customWidth="1"/>
    <x:col min="12" max="12" width="39" hidden="0" customWidth="1"/>
    <x:col min="13" max="13" width="50" hidden="0" customWidth="1"/>
  </x:cols>
  <x:sheetData>
    <x:row r="1" ht="32" customHeight="1">
      <x:c r="A1" s="5" t="str">
        <x:v>PLAYTEST LOG — REGISTRO DE EVIDÊNCIAS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0" customHeight="1">
      <x:c r="A2" s="13" t="str">
        <x:v>Registre CURRENT ou PROPOSED V2 como versão distinta. Não conclua que a versão melhorou a partir de uma única partida.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0" customHeight="1">
      <x:c r="A4" s="26" t="str">
        <x:v>ID</x:v>
      </x:c>
      <x:c r="B4" s="26" t="str">
        <x:v>Data</x:v>
      </x:c>
      <x:c r="C4" s="26" t="str">
        <x:v>Versão</x:v>
      </x:c>
      <x:c r="D4" s="26" t="str">
        <x:v>Jogadores</x:v>
      </x:c>
      <x:c r="E4" s="26" t="str">
        <x:v>Ordem de turno</x:v>
      </x:c>
      <x:c r="F4" s="26" t="str">
        <x:v>Resultado</x:v>
      </x:c>
      <x:c r="G4" s="26" t="str">
        <x:v>Turno K'rrik</x:v>
      </x:c>
      <x:c r="H4" s="26" t="str">
        <x:v>Turno 1º motor</x:v>
      </x:c>
      <x:c r="I4" s="26" t="str">
        <x:v>Vida mínima</x:v>
      </x:c>
      <x:c r="J4" s="26" t="str">
        <x:v>Cartas na mão no turno 5</x:v>
      </x:c>
      <x:c r="K4" s="26" t="str">
        <x:v>Mágicas/remoções mortas</x:v>
      </x:c>
      <x:c r="L4" s="26" t="str">
        <x:v>Como fechou / ameaça não respondida</x:v>
      </x:c>
      <x:c r="M4" s="26" t="str">
        <x:v>Observações</x:v>
      </x:c>
    </x:row>
    <x:row r="5" ht="32" customHeight="1">
      <x:c r="A5" s="70" t="n">
        <x:v>1</x:v>
      </x:c>
      <x:c r="B5" s="70" t="str"/>
      <x:c r="C5" s="70" t="str"/>
      <x:c r="D5" s="70" t="str"/>
      <x:c r="E5" s="70" t="str"/>
      <x:c r="F5" s="70" t="str"/>
      <x:c r="G5" s="70" t="str"/>
      <x:c r="H5" s="70" t="str"/>
      <x:c r="I5" s="70" t="str"/>
      <x:c r="J5" s="70" t="str"/>
      <x:c r="K5" s="70" t="str"/>
      <x:c r="L5" s="70" t="str"/>
      <x:c r="M5" s="70" t="str"/>
    </x:row>
    <x:row r="6" ht="32" customHeight="1">
      <x:c r="A6" s="70" t="n">
        <x:v>2</x:v>
      </x:c>
      <x:c r="B6" s="70" t="str"/>
      <x:c r="C6" s="70" t="str"/>
      <x:c r="D6" s="70" t="str"/>
      <x:c r="E6" s="70" t="str"/>
      <x:c r="F6" s="70" t="str"/>
      <x:c r="G6" s="70" t="str"/>
      <x:c r="H6" s="70" t="str"/>
      <x:c r="I6" s="70" t="str"/>
      <x:c r="J6" s="70" t="str"/>
      <x:c r="K6" s="70" t="str"/>
      <x:c r="L6" s="70" t="str"/>
      <x:c r="M6" s="70" t="str"/>
    </x:row>
    <x:row r="7" ht="32" customHeight="1">
      <x:c r="A7" s="70" t="n">
        <x:v>3</x:v>
      </x:c>
      <x:c r="B7" s="70" t="str"/>
      <x:c r="C7" s="70" t="str"/>
      <x:c r="D7" s="70" t="str"/>
      <x:c r="E7" s="70" t="str"/>
      <x:c r="F7" s="70" t="str"/>
      <x:c r="G7" s="70" t="str"/>
      <x:c r="H7" s="70" t="str"/>
      <x:c r="I7" s="70" t="str"/>
      <x:c r="J7" s="70" t="str"/>
      <x:c r="K7" s="70" t="str"/>
      <x:c r="L7" s="70" t="str"/>
      <x:c r="M7" s="70" t="str"/>
    </x:row>
    <x:row r="8" ht="32" customHeight="1">
      <x:c r="A8" s="70" t="n">
        <x:v>4</x:v>
      </x:c>
      <x:c r="B8" s="70" t="str"/>
      <x:c r="C8" s="70" t="str"/>
      <x:c r="D8" s="70" t="str"/>
      <x:c r="E8" s="70" t="str"/>
      <x:c r="F8" s="70" t="str"/>
      <x:c r="G8" s="70" t="str"/>
      <x:c r="H8" s="70" t="str"/>
      <x:c r="I8" s="70" t="str"/>
      <x:c r="J8" s="70" t="str"/>
      <x:c r="K8" s="70" t="str"/>
      <x:c r="L8" s="70" t="str"/>
      <x:c r="M8" s="70" t="str"/>
    </x:row>
    <x:row r="9" ht="32" customHeight="1">
      <x:c r="A9" s="70" t="n">
        <x:v>5</x:v>
      </x:c>
      <x:c r="B9" s="70" t="str"/>
      <x:c r="C9" s="70" t="str"/>
      <x:c r="D9" s="70" t="str"/>
      <x:c r="E9" s="70" t="str"/>
      <x:c r="F9" s="70" t="str"/>
      <x:c r="G9" s="70" t="str"/>
      <x:c r="H9" s="70" t="str"/>
      <x:c r="I9" s="70" t="str"/>
      <x:c r="J9" s="70" t="str"/>
      <x:c r="K9" s="70" t="str"/>
      <x:c r="L9" s="70" t="str"/>
      <x:c r="M9" s="70" t="str"/>
    </x:row>
    <x:row r="10" ht="32" customHeight="1">
      <x:c r="A10" s="70" t="n">
        <x:v>6</x:v>
      </x:c>
      <x:c r="B10" s="70" t="str"/>
      <x:c r="C10" s="70" t="str"/>
      <x:c r="D10" s="70" t="str"/>
      <x:c r="E10" s="70" t="str"/>
      <x:c r="F10" s="70" t="str"/>
      <x:c r="G10" s="70" t="str"/>
      <x:c r="H10" s="70" t="str"/>
      <x:c r="I10" s="70" t="str"/>
      <x:c r="J10" s="70" t="str"/>
      <x:c r="K10" s="70" t="str"/>
      <x:c r="L10" s="70" t="str"/>
      <x:c r="M10" s="70" t="str"/>
    </x:row>
    <x:row r="11" ht="32" customHeight="1">
      <x:c r="A11" s="70" t="n">
        <x:v>7</x:v>
      </x:c>
      <x:c r="B11" s="70" t="str"/>
      <x:c r="C11" s="70" t="str"/>
      <x:c r="D11" s="70" t="str"/>
      <x:c r="E11" s="70" t="str"/>
      <x:c r="F11" s="70" t="str"/>
      <x:c r="G11" s="70" t="str"/>
      <x:c r="H11" s="70" t="str"/>
      <x:c r="I11" s="70" t="str"/>
      <x:c r="J11" s="70" t="str"/>
      <x:c r="K11" s="70" t="str"/>
      <x:c r="L11" s="70" t="str"/>
      <x:c r="M11" s="70" t="str"/>
    </x:row>
    <x:row r="12" ht="32" customHeight="1">
      <x:c r="A12" s="70" t="n">
        <x:v>8</x:v>
      </x:c>
      <x:c r="B12" s="70" t="str"/>
      <x:c r="C12" s="70" t="str"/>
      <x:c r="D12" s="70" t="str"/>
      <x:c r="E12" s="70" t="str"/>
      <x:c r="F12" s="70" t="str"/>
      <x:c r="G12" s="70" t="str"/>
      <x:c r="H12" s="70" t="str"/>
      <x:c r="I12" s="70" t="str"/>
      <x:c r="J12" s="70" t="str"/>
      <x:c r="K12" s="70" t="str"/>
      <x:c r="L12" s="70" t="str"/>
      <x:c r="M12" s="70" t="str"/>
    </x:row>
    <x:row r="13" ht="32" customHeight="1">
      <x:c r="A13" s="70" t="n">
        <x:v>9</x:v>
      </x:c>
      <x:c r="B13" s="70" t="str"/>
      <x:c r="C13" s="70" t="str"/>
      <x:c r="D13" s="70" t="str"/>
      <x:c r="E13" s="70" t="str"/>
      <x:c r="F13" s="70" t="str"/>
      <x:c r="G13" s="70" t="str"/>
      <x:c r="H13" s="70" t="str"/>
      <x:c r="I13" s="70" t="str"/>
      <x:c r="J13" s="70" t="str"/>
      <x:c r="K13" s="70" t="str"/>
      <x:c r="L13" s="70" t="str"/>
      <x:c r="M13" s="70" t="str"/>
    </x:row>
    <x:row r="14" ht="32" customHeight="1">
      <x:c r="A14" s="70" t="n">
        <x:v>10</x:v>
      </x:c>
      <x:c r="B14" s="70" t="str"/>
      <x:c r="C14" s="70" t="str"/>
      <x:c r="D14" s="70" t="str"/>
      <x:c r="E14" s="70" t="str"/>
      <x:c r="F14" s="70" t="str"/>
      <x:c r="G14" s="70" t="str"/>
      <x:c r="H14" s="70" t="str"/>
      <x:c r="I14" s="70" t="str"/>
      <x:c r="J14" s="70" t="str"/>
      <x:c r="K14" s="70" t="str"/>
      <x:c r="L14" s="70" t="str"/>
      <x:c r="M14" s="70" t="str"/>
    </x:row>
    <x:row r="15" ht="32" customHeight="1">
      <x:c r="A15" s="70" t="n">
        <x:v>11</x:v>
      </x:c>
      <x:c r="B15" s="70" t="str"/>
      <x:c r="C15" s="70" t="str"/>
      <x:c r="D15" s="70" t="str"/>
      <x:c r="E15" s="70" t="str"/>
      <x:c r="F15" s="70" t="str"/>
      <x:c r="G15" s="70" t="str"/>
      <x:c r="H15" s="70" t="str"/>
      <x:c r="I15" s="70" t="str"/>
      <x:c r="J15" s="70" t="str"/>
      <x:c r="K15" s="70" t="str"/>
      <x:c r="L15" s="70" t="str"/>
      <x:c r="M15" s="70" t="str"/>
    </x:row>
    <x:row r="16" ht="32" customHeight="1">
      <x:c r="A16" s="70" t="n">
        <x:v>12</x:v>
      </x:c>
      <x:c r="B16" s="70" t="str"/>
      <x:c r="C16" s="70" t="str"/>
      <x:c r="D16" s="70" t="str"/>
      <x:c r="E16" s="70" t="str"/>
      <x:c r="F16" s="70" t="str"/>
      <x:c r="G16" s="70" t="str"/>
      <x:c r="H16" s="70" t="str"/>
      <x:c r="I16" s="70" t="str"/>
      <x:c r="J16" s="70" t="str"/>
      <x:c r="K16" s="70" t="str"/>
      <x:c r="L16" s="70" t="str"/>
      <x:c r="M16" s="70" t="str"/>
    </x:row>
    <x:row r="17" ht="32" customHeight="1">
      <x:c r="A17" s="70" t="n">
        <x:v>13</x:v>
      </x:c>
      <x:c r="B17" s="70" t="str"/>
      <x:c r="C17" s="70" t="str"/>
      <x:c r="D17" s="70" t="str"/>
      <x:c r="E17" s="70" t="str"/>
      <x:c r="F17" s="70" t="str"/>
      <x:c r="G17" s="70" t="str"/>
      <x:c r="H17" s="70" t="str"/>
      <x:c r="I17" s="70" t="str"/>
      <x:c r="J17" s="70" t="str"/>
      <x:c r="K17" s="70" t="str"/>
      <x:c r="L17" s="70" t="str"/>
      <x:c r="M17" s="70" t="str"/>
    </x:row>
    <x:row r="18" ht="32" customHeight="1">
      <x:c r="A18" s="70" t="n">
        <x:v>14</x:v>
      </x:c>
      <x:c r="B18" s="70" t="str"/>
      <x:c r="C18" s="70" t="str"/>
      <x:c r="D18" s="70" t="str"/>
      <x:c r="E18" s="70" t="str"/>
      <x:c r="F18" s="70" t="str"/>
      <x:c r="G18" s="70" t="str"/>
      <x:c r="H18" s="70" t="str"/>
      <x:c r="I18" s="70" t="str"/>
      <x:c r="J18" s="70" t="str"/>
      <x:c r="K18" s="70" t="str"/>
      <x:c r="L18" s="70" t="str"/>
      <x:c r="M18" s="70" t="str"/>
    </x:row>
    <x:row r="19" ht="32" customHeight="1">
      <x:c r="A19" s="70" t="n">
        <x:v>15</x:v>
      </x:c>
      <x:c r="B19" s="70" t="str"/>
      <x:c r="C19" s="70" t="str"/>
      <x:c r="D19" s="70" t="str"/>
      <x:c r="E19" s="70" t="str"/>
      <x:c r="F19" s="70" t="str"/>
      <x:c r="G19" s="70" t="str"/>
      <x:c r="H19" s="70" t="str"/>
      <x:c r="I19" s="70" t="str"/>
      <x:c r="J19" s="70" t="str"/>
      <x:c r="K19" s="70" t="str"/>
      <x:c r="L19" s="70" t="str"/>
      <x:c r="M19" s="70" t="str"/>
    </x:row>
    <x:row r="20" ht="32" customHeight="1">
      <x:c r="A20" s="70" t="n">
        <x:v>16</x:v>
      </x:c>
      <x:c r="B20" s="70" t="str"/>
      <x:c r="C20" s="70" t="str"/>
      <x:c r="D20" s="70" t="str"/>
      <x:c r="E20" s="70" t="str"/>
      <x:c r="F20" s="70" t="str"/>
      <x:c r="G20" s="70" t="str"/>
      <x:c r="H20" s="70" t="str"/>
      <x:c r="I20" s="70" t="str"/>
      <x:c r="J20" s="70" t="str"/>
      <x:c r="K20" s="70" t="str"/>
      <x:c r="L20" s="70" t="str"/>
      <x:c r="M20" s="70" t="str"/>
    </x:row>
    <x:row r="21" ht="32" customHeight="1">
      <x:c r="A21" s="70" t="n">
        <x:v>17</x:v>
      </x:c>
      <x:c r="B21" s="70" t="str"/>
      <x:c r="C21" s="70" t="str"/>
      <x:c r="D21" s="70" t="str"/>
      <x:c r="E21" s="70" t="str"/>
      <x:c r="F21" s="70" t="str"/>
      <x:c r="G21" s="70" t="str"/>
      <x:c r="H21" s="70" t="str"/>
      <x:c r="I21" s="70" t="str"/>
      <x:c r="J21" s="70" t="str"/>
      <x:c r="K21" s="70" t="str"/>
      <x:c r="L21" s="70" t="str"/>
      <x:c r="M21" s="70" t="str"/>
    </x:row>
    <x:row r="22" ht="32" customHeight="1">
      <x:c r="A22" s="70" t="n">
        <x:v>18</x:v>
      </x:c>
      <x:c r="B22" s="70" t="str"/>
      <x:c r="C22" s="70" t="str"/>
      <x:c r="D22" s="70" t="str"/>
      <x:c r="E22" s="70" t="str"/>
      <x:c r="F22" s="70" t="str"/>
      <x:c r="G22" s="70" t="str"/>
      <x:c r="H22" s="70" t="str"/>
      <x:c r="I22" s="70" t="str"/>
      <x:c r="J22" s="70" t="str"/>
      <x:c r="K22" s="70" t="str"/>
      <x:c r="L22" s="70" t="str"/>
      <x:c r="M22" s="70" t="str"/>
    </x:row>
    <x:row r="23" ht="32" customHeight="1">
      <x:c r="A23" s="70" t="n">
        <x:v>19</x:v>
      </x:c>
      <x:c r="B23" s="70" t="str"/>
      <x:c r="C23" s="70" t="str"/>
      <x:c r="D23" s="70" t="str"/>
      <x:c r="E23" s="70" t="str"/>
      <x:c r="F23" s="70" t="str"/>
      <x:c r="G23" s="70" t="str"/>
      <x:c r="H23" s="70" t="str"/>
      <x:c r="I23" s="70" t="str"/>
      <x:c r="J23" s="70" t="str"/>
      <x:c r="K23" s="70" t="str"/>
      <x:c r="L23" s="70" t="str"/>
      <x:c r="M23" s="70" t="str"/>
    </x:row>
    <x:row r="24" ht="32" customHeight="1">
      <x:c r="A24" s="70" t="n">
        <x:v>20</x:v>
      </x:c>
      <x:c r="B24" s="70" t="str"/>
      <x:c r="C24" s="70" t="str"/>
      <x:c r="D24" s="70" t="str"/>
      <x:c r="E24" s="70" t="str"/>
      <x:c r="F24" s="70" t="str"/>
      <x:c r="G24" s="70" t="str"/>
      <x:c r="H24" s="70" t="str"/>
      <x:c r="I24" s="70" t="str"/>
      <x:c r="J24" s="70" t="str"/>
      <x:c r="K24" s="70" t="str"/>
      <x:c r="L24" s="70" t="str"/>
      <x:c r="M24" s="70" t="str"/>
    </x:row>
  </x:sheetData>
  <x:mergeCells>
    <x:mergeCell ref="A1:M1"/>
    <x:mergeCell ref="A2:M2"/>
  </x:mergeCells>
  <x:dataValidations count="5">
    <x:dataValidation type="list" sqref="B5:B24">
      <x:formula1>"CURRENT,PROPOSED V2,Outra versão"</x:formula1>
    </x:dataValidation>
    <x:dataValidation type="list" sqref="E5:E24">
      <x:formula1>"Vitória,Derrota,Empate,Concessão,Não concluída"</x:formula1>
    </x:dataValidation>
    <x:dataValidation type="list" sqref="C5:C24">
      <x:formula1>"CURRENT,PROPOSED V2,Outra versão"</x:formula1>
    </x:dataValidation>
    <x:dataValidation type="list" sqref="F5:F24">
      <x:formula1>"Vitória,Derrota,Empate,Concessão,Não concluída"</x:formula1>
    </x:dataValidation>
    <x:dataValidation type="list" sqref="D5:D24">
      <x:formula1>"2,3,4,5+"</x:formula1>
    </x:dataValidation>
  </x:dataValidations>
  <x:pageMargins left="0.7" right="0.7" top="0.75" bottom="0.75" header="0.3" footer="0.3"/>
</x:worksheet>
</file>