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d3da24ad2e48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051f0df918d47b2"/>
    <x:sheet xmlns:r="http://schemas.openxmlformats.org/officeDocument/2006/relationships" name="Current List" sheetId="2" r:id="Ra210360a07404d99"/>
    <x:sheet xmlns:r="http://schemas.openxmlformats.org/officeDocument/2006/relationships" name="Proposed V2" sheetId="3" r:id="R0f12123f33e64aa4"/>
    <x:sheet xmlns:r="http://schemas.openxmlformats.org/officeDocument/2006/relationships" name="Upgrade Matrix" sheetId="4" r:id="Rec768a60dcaa4624"/>
    <x:sheet xmlns:r="http://schemas.openxmlformats.org/officeDocument/2006/relationships" name="Functional Groups" sheetId="5" r:id="Ra141e9647d544820"/>
    <x:sheet xmlns:r="http://schemas.openxmlformats.org/officeDocument/2006/relationships" name="Structural Audit" sheetId="6" r:id="R0c00ecc413194dbf"/>
    <x:sheet xmlns:r="http://schemas.openxmlformats.org/officeDocument/2006/relationships" name="Tier List" sheetId="7" r:id="Rc97141109df14cbe"/>
    <x:sheet xmlns:r="http://schemas.openxmlformats.org/officeDocument/2006/relationships" name="Sources" sheetId="8" r:id="Rf7312817df5f4713"/>
    <x:sheet xmlns:r="http://schemas.openxmlformats.org/officeDocument/2006/relationships" name="Playtest Log" sheetId="9" r:id="R64ac5d9c0ad048e0"/>
    <x:sheet xmlns:r="http://schemas.openxmlformats.org/officeDocument/2006/relationships" name="Read Me" sheetId="10" r:id="R3438638081144d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6">
    <x:font>
      <x:sz val="11"/>
      <x:name val="Carlito"/>
    </x:font>
    <x:font>
      <x:b/>
      <x:sz val="17"/>
      <x:color rgb="FFFFFFFF"/>
      <x:name val="Carlito"/>
    </x:font>
    <x:font>
      <x:i/>
      <x:sz val="10"/>
      <x:color rgb="FF202A35"/>
      <x:name val="Carlito"/>
    </x:font>
    <x:font>
      <x:b/>
      <x:sz val="9"/>
      <x:color rgb="FF202A35"/>
      <x:name val="Carlito"/>
    </x:font>
    <x:font>
      <x:b/>
      <x:sz val="19"/>
      <x:color rgb="FF8F2938"/>
      <x:name val="Carlito"/>
    </x:font>
    <x:font>
      <x:b/>
      <x:sz val="11"/>
      <x:color rgb="FF202A35"/>
      <x:name val="Carlito"/>
    </x:font>
    <x:font>
      <x:b/>
      <x:sz val="16"/>
      <x:color rgb="FF8F2938"/>
      <x:name val="Carlito"/>
    </x:font>
    <x:font>
      <x:b/>
      <x:sz val="11"/>
      <x:color rgb="FFFFFFFF"/>
      <x:name val="Carlito"/>
    </x:font>
    <x:font>
      <x:sz val="10"/>
      <x:color rgb="FF202A35"/>
      <x:name val="Carlito"/>
    </x:font>
    <x:font>
      <x:b/>
      <x:sz val="11"/>
      <x:color rgb="FF8F2938"/>
      <x:name val="Carlito"/>
    </x:font>
    <x:font>
      <x:b/>
      <x:sz val="10"/>
      <x:color rgb="FFFFFFFF"/>
      <x:name val="Carlito"/>
    </x:font>
    <x:font>
      <x:b/>
      <x:sz val="10"/>
      <x:color rgb="FF202A35"/>
      <x:name val="Aptos"/>
    </x:font>
    <x:font>
      <x:sz val="10"/>
      <x:color rgb="FF202A35"/>
      <x:name val="Aptos"/>
    </x:font>
    <x:font>
      <x:i/>
      <x:sz val="10"/>
      <x:color rgb="FF202A35"/>
      <x:name val="Aptos"/>
    </x:font>
    <x:font>
      <x:b/>
      <x:sz val="17"/>
      <x:color rgb="FFFFFFFF"/>
      <x:name val="Aptos"/>
    </x:font>
    <x:font>
      <x:b/>
      <x:sz val="10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20242B"/>
      </x:patternFill>
    </x:fill>
    <x:fill>
      <x:patternFill patternType="solid">
        <x:fgColor rgb="FFF3ECDD"/>
      </x:patternFill>
    </x:fill>
    <x:fill>
      <x:patternFill patternType="solid">
        <x:fgColor rgb="FFE7E1D4"/>
      </x:patternFill>
    </x:fill>
    <x:fill>
      <x:patternFill patternType="solid">
        <x:fgColor rgb="FFF7F4EC"/>
      </x:patternFill>
    </x:fill>
    <x:fill>
      <x:patternFill patternType="solid">
        <x:fgColor rgb="FF8F2938"/>
      </x:patternFill>
    </x:fill>
    <x:fill>
      <x:patternFill patternType="solid">
        <x:fgColor rgb="FFEEE5D2"/>
      </x:patternFill>
    </x:fill>
  </x:fills>
  <x:borders count="2">
    <x:border/>
    <x:border/>
  </x:borders>
  <x:cellStyleXfs count="1">
    <x:xf numFmtId="0" fontId="0" fillId="0" borderId="0"/>
  </x:cellStyleXfs>
  <x:cellXfs count="1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/>
    <x:xf numFmtId="200" fontId="6" fillId="5" borderId="0" xfId="0" applyNumberFormat="1" applyFont="1" applyFill="1" applyBorder="1"/>
    <x:xf numFmtId="200" fontId="6" fillId="5" borderId="0" xfId="0" applyNumberFormat="1" applyFont="1" applyFill="1" applyBorder="1" applyAlignment="1">
      <x:alignment horizontal="center"/>
    </x:xf>
    <x:xf numFmtId="200" fontId="6" fillId="5" borderId="0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/>
    <x:xf numFmtId="200" fontId="6" fillId="5" borderId="1" xfId="0" applyNumberFormat="1" applyFont="1" applyFill="1" applyBorder="1"/>
    <x:xf numFmtId="200" fontId="6" fillId="5" borderId="1" xfId="0" applyNumberFormat="1" applyFont="1" applyFill="1" applyBorder="1" applyAlignment="1">
      <x:alignment horizontal="center"/>
    </x:xf>
    <x:xf numFmtId="200" fontId="6" fillId="5" borderId="1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/>
    </x:xf>
    <x:xf numFmtId="0" fontId="7" fillId="2" borderId="0" xfId="0" applyNumberFormat="1" applyFont="1" applyFill="1" applyBorder="1" applyAlignment="1">
      <x:alignment horizontal="left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left"/>
    </x:xf>
    <x:xf numFmtId="0" fontId="7" fillId="2" borderId="1" xfId="0" applyNumberFormat="1" applyFont="1" applyFill="1" applyBorder="1" applyAlignment="1">
      <x:alignment horizontal="left" vertical="center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left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left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/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10" fillId="6" borderId="1" xfId="0" applyNumberFormat="1" applyFont="1" applyFill="1" applyBorder="1" applyAlignment="1">
      <x:alignment vertical="center" wrapText="1"/>
    </x:xf>
    <x:xf numFmtId="0" fontId="10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1" fillId="2" borderId="0" xfId="0" applyNumberFormat="1" applyFont="1" applyFill="1" applyBorder="1" applyAlignment="1">
      <x:alignment horizontal="left" vertical="center"/>
    </x:xf>
    <x:xf numFmtId="0" fontId="12" fillId="0" borderId="0" xfId="0" applyNumberFormat="1" applyFont="1" applyFill="1" applyBorder="1"/>
    <x:xf numFmtId="0" fontId="13" fillId="3" borderId="0" xfId="0" applyNumberFormat="1" applyFont="1" applyFill="1" applyBorder="1" applyAlignment="1">
      <x:alignment horizontal="left" vertical="center" wrapText="1"/>
    </x:xf>
    <x:xf numFmtId="0" fontId="11" fillId="4" borderId="0" xfId="0" applyNumberFormat="1" applyFont="1" applyFill="1" applyBorder="1" applyAlignment="1">
      <x:alignment horizontal="center" vertical="center" wrapText="1"/>
    </x:xf>
    <x:xf numFmtId="0" fontId="11" fillId="5" borderId="0" xfId="0" applyNumberFormat="1" applyFont="1" applyFill="1" applyBorder="1" applyAlignment="1">
      <x:alignment horizontal="center" vertical="center"/>
    </x:xf>
    <x:xf numFmtId="0" fontId="11" fillId="4" borderId="0" xfId="0" applyNumberFormat="1" applyFont="1" applyFill="1" applyBorder="1" applyAlignment="1">
      <x:alignment horizontal="center" vertical="center"/>
    </x:xf>
    <x:xf numFmtId="200" fontId="11" fillId="5" borderId="0" xfId="0" applyNumberFormat="1" applyFont="1" applyFill="1" applyBorder="1" applyAlignment="1">
      <x:alignment horizontal="center" vertical="center"/>
    </x:xf>
    <x:xf numFmtId="0" fontId="12" fillId="5" borderId="0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 applyAlignment="1">
      <x:alignment horizontal="left"/>
    </x:xf>
    <x:xf numFmtId="0" fontId="11" fillId="7" borderId="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/>
    <x:xf numFmtId="0" fontId="12" fillId="3" borderId="0" xfId="0" applyNumberFormat="1" applyFont="1" applyFill="1" applyBorder="1" applyAlignment="1">
      <x:alignment vertical="center" wrapText="1"/>
    </x:xf>
    <x:xf numFmtId="0" fontId="11" fillId="2" borderId="1" xfId="0" applyNumberFormat="1" applyFont="1" applyFill="1" applyBorder="1" applyAlignment="1">
      <x:alignment horizontal="left" vertical="center"/>
    </x:xf>
    <x:xf numFmtId="0" fontId="12" fillId="0" borderId="1" xfId="0" applyNumberFormat="1" applyFont="1" applyFill="1" applyBorder="1"/>
    <x:xf numFmtId="0" fontId="13" fillId="3" borderId="1" xfId="0" applyNumberFormat="1" applyFont="1" applyFill="1" applyBorder="1" applyAlignment="1">
      <x:alignment horizontal="left" vertical="center" wrapText="1"/>
    </x:xf>
    <x:xf numFmtId="0" fontId="11" fillId="4" borderId="1" xfId="0" applyNumberFormat="1" applyFont="1" applyFill="1" applyBorder="1" applyAlignment="1">
      <x:alignment horizontal="center" vertical="center" wrapText="1"/>
    </x:xf>
    <x:xf numFmtId="0" fontId="11" fillId="5" borderId="1" xfId="0" applyNumberFormat="1" applyFont="1" applyFill="1" applyBorder="1" applyAlignment="1">
      <x:alignment horizontal="center" vertical="center"/>
    </x:xf>
    <x:xf numFmtId="0" fontId="11" fillId="4" borderId="1" xfId="0" applyNumberFormat="1" applyFont="1" applyFill="1" applyBorder="1" applyAlignment="1">
      <x:alignment horizontal="center" vertical="center"/>
    </x:xf>
    <x:xf numFmtId="200" fontId="11" fillId="5" borderId="1" xfId="0" applyNumberFormat="1" applyFont="1" applyFill="1" applyBorder="1" applyAlignment="1">
      <x:alignment horizontal="center" vertical="center"/>
    </x:xf>
    <x:xf numFmtId="0" fontId="12" fillId="5" borderId="1" xfId="0" applyNumberFormat="1" applyFont="1" applyFill="1" applyBorder="1" applyAlignment="1">
      <x:alignment vertical="center" wrapText="1"/>
    </x:xf>
    <x:xf numFmtId="0" fontId="11" fillId="6" borderId="1" xfId="0" applyNumberFormat="1" applyFont="1" applyFill="1" applyBorder="1" applyAlignment="1">
      <x:alignment horizontal="left"/>
    </x:xf>
    <x:xf numFmtId="0" fontId="11" fillId="7" borderId="1" xfId="0" applyNumberFormat="1" applyFont="1" applyFill="1" applyBorder="1" applyAlignment="1">
      <x:alignment vertical="center"/>
    </x:xf>
    <x:xf numFmtId="0" fontId="11" fillId="2" borderId="1" xfId="0" applyNumberFormat="1" applyFont="1" applyFill="1" applyBorder="1"/>
    <x:xf numFmtId="0" fontId="12" fillId="3" borderId="1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horizontal="center" vertical="center" wrapText="1"/>
    </x:xf>
    <x:xf numFmtId="0" fontId="11" fillId="6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vertical="center" wrapText="1"/>
    </x:xf>
    <x:xf numFmtId="0" fontId="12" fillId="0" borderId="1" xfId="0" applyNumberFormat="1" applyFont="1" applyFill="1" applyBorder="1" applyAlignment="1">
      <x:alignment horizontal="center" vertical="center" wrapText="1"/>
    </x:xf>
    <x:xf numFmtId="0" fontId="14" fillId="2" borderId="0" xfId="0" applyNumberFormat="1" applyFont="1" applyFill="1" applyBorder="1" applyAlignment="1">
      <x:alignment horizontal="left" vertical="center"/>
    </x:xf>
    <x:xf numFmtId="0" fontId="14" fillId="2" borderId="1" xfId="0" applyNumberFormat="1" applyFont="1" applyFill="1" applyBorder="1" applyAlignment="1">
      <x:alignment horizontal="left" vertical="center"/>
    </x:xf>
    <x:xf numFmtId="0" fontId="12" fillId="2" borderId="0" xfId="0" applyNumberFormat="1" applyFont="1" applyFill="1" applyBorder="1"/>
    <x:xf numFmtId="0" fontId="14" fillId="2" borderId="0" xfId="0" applyNumberFormat="1" applyFont="1" applyFill="1" applyBorder="1"/>
    <x:xf numFmtId="0" fontId="14" fillId="2" borderId="0" xfId="0" applyNumberFormat="1" applyFont="1" applyFill="1" applyBorder="1" applyAlignment="1">
      <x:alignment horizontal="left"/>
    </x:xf>
    <x:xf numFmtId="0" fontId="12" fillId="2" borderId="1" xfId="0" applyNumberFormat="1" applyFont="1" applyFill="1" applyBorder="1"/>
    <x:xf numFmtId="0" fontId="14" fillId="2" borderId="1" xfId="0" applyNumberFormat="1" applyFont="1" applyFill="1" applyBorder="1"/>
    <x:xf numFmtId="0" fontId="14" fillId="2" borderId="1" xfId="0" applyNumberFormat="1" applyFont="1" applyFill="1" applyBorder="1" applyAlignment="1">
      <x:alignment horizontal="left"/>
    </x:xf>
    <x:xf numFmtId="0" fontId="15" fillId="6" borderId="0" xfId="0" applyNumberFormat="1" applyFont="1" applyFill="1" applyBorder="1" applyAlignment="1">
      <x:alignment horizontal="center" vertical="center" wrapText="1"/>
    </x:xf>
    <x:xf numFmtId="0" fontId="15" fillId="6" borderId="1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/>
    <x:xf numFmtId="0" fontId="13" fillId="0" borderId="1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1" xfId="0" applyNumberFormat="1" applyFont="1" applyFill="1" applyBorder="1" applyAlignment="1">
      <x:alignment wrapText="1"/>
    </x:xf>
    <x:xf numFmtId="0" fontId="15" fillId="2" borderId="0" xfId="0" applyNumberFormat="1" applyFont="1" applyFill="1" applyBorder="1" applyAlignment="1">
      <x:alignment horizontal="left" vertical="center"/>
    </x:xf>
    <x:xf numFmtId="0" fontId="15" fillId="2" borderId="0" xfId="0" applyNumberFormat="1" applyFont="1" applyFill="1" applyBorder="1" applyAlignment="1">
      <x:alignment horizontal="left" vertical="center" wrapText="1"/>
    </x:xf>
    <x:xf numFmtId="0" fontId="15" fillId="2" borderId="1" xfId="0" applyNumberFormat="1" applyFont="1" applyFill="1" applyBorder="1" applyAlignment="1">
      <x:alignment horizontal="left" vertical="center"/>
    </x:xf>
    <x:xf numFmtId="0" fontId="15" fillId="2" borderId="1" xfId="0" applyNumberFormat="1" applyFont="1" applyFill="1" applyBorder="1" applyAlignment="1">
      <x:alignment horizontal="left" vertical="center" wrapText="1"/>
    </x:xf>
    <x:xf numFmtId="0" fontId="15" fillId="6" borderId="0" xfId="0" applyNumberFormat="1" applyFont="1" applyFill="1" applyBorder="1" applyAlignment="1">
      <x:alignment horizontal="left"/>
    </x:xf>
    <x:xf numFmtId="0" fontId="15" fillId="6" borderId="0" xfId="0" applyNumberFormat="1" applyFont="1" applyFill="1" applyBorder="1" applyAlignment="1">
      <x:alignment horizontal="left" wrapText="1"/>
    </x:xf>
    <x:xf numFmtId="0" fontId="15" fillId="6" borderId="0" xfId="0" applyNumberFormat="1" applyFont="1" applyFill="1" applyBorder="1" applyAlignment="1">
      <x:alignment horizontal="left" vertical="center" wrapText="1"/>
    </x:xf>
    <x:xf numFmtId="0" fontId="15" fillId="6" borderId="1" xfId="0" applyNumberFormat="1" applyFont="1" applyFill="1" applyBorder="1" applyAlignment="1">
      <x:alignment horizontal="left"/>
    </x:xf>
    <x:xf numFmtId="0" fontId="15" fillId="6" borderId="1" xfId="0" applyNumberFormat="1" applyFont="1" applyFill="1" applyBorder="1" applyAlignment="1">
      <x:alignment horizontal="left" wrapText="1"/>
    </x:xf>
    <x:xf numFmtId="0" fontId="15" fillId="6" borderId="1" xfId="0" applyNumberFormat="1" applyFont="1" applyFill="1" applyBorder="1" applyAlignment="1">
      <x:alignment horizontal="left" vertical="center" wrapText="1"/>
    </x:xf>
    <x:xf numFmtId="0" fontId="15" fillId="2" borderId="0" xfId="0" applyNumberFormat="1" applyFont="1" applyFill="1" applyBorder="1"/>
    <x:xf numFmtId="0" fontId="15" fillId="2" borderId="0" xfId="0" applyNumberFormat="1" applyFont="1" applyFill="1" applyBorder="1" applyAlignment="1">
      <x:alignment wrapText="1"/>
    </x:xf>
    <x:xf numFmtId="0" fontId="15" fillId="2" borderId="0" xfId="0" applyNumberFormat="1" applyFont="1" applyFill="1" applyBorder="1" applyAlignment="1">
      <x:alignment horizontal="left" wrapText="1"/>
    </x:xf>
  </x:cellXfs>
  <x:cellStyles count="1">
    <x:cellStyle name="Normal" xfId="0"/>
  </x:cellStyles>
  <x:dxfs count="7">
    <x:dxf>
      <x:fill>
        <x:patternFill patternType="solid">
          <x:bgColor rgb="FFFBE4E6"/>
        </x:patternFill>
      </x:fill>
    </x:dxf>
    <x:dxf>
      <x:fill>
        <x:patternFill patternType="solid">
          <x:bgColor rgb="FFFBE4E6"/>
        </x:patternFill>
      </x:fill>
    </x:dxf>
    <x:dxf>
      <x:font>
        <x:b/>
        <x:color rgb="FF8F2938"/>
      </x:font>
      <x:fill>
        <x:patternFill patternType="solid">
          <x:bgColor rgb="FFFBE4E6"/>
        </x:patternFill>
      </x:fill>
    </x:dxf>
    <x:dxf>
      <x:fill>
        <x:patternFill patternType="solid">
          <x:bgColor rgb="FFD9EAD3"/>
        </x:patternFill>
      </x:fill>
    </x:dxf>
    <x:dxf>
      <x:font>
        <x:b/>
        <x:color rgb="FF20242B"/>
      </x:font>
      <x:fill>
        <x:patternFill patternType="solid">
          <x:bgColor rgb="FFEAD7A1"/>
        </x:patternFill>
      </x:fill>
    </x:dxf>
    <x:dxf>
      <x:font>
        <x:b/>
        <x:color rgb="FF202A35"/>
      </x:font>
      <x:fill>
        <x:patternFill patternType="solid">
          <x:bgColor rgb="FFD9EAD3"/>
        </x:patternFill>
      </x:fill>
    </x:dxf>
    <x:dxf>
      <x:font>
        <x:b/>
        <x:color rgb="FF8F293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45d24d39e44fbc" /><Relationship Type="http://schemas.openxmlformats.org/officeDocument/2006/relationships/theme" Target="/xl/theme/theme1.xml" Id="Re3921a7bff3d4e37" /><Relationship Type="http://schemas.openxmlformats.org/officeDocument/2006/relationships/sharedStrings" Target="/xl/sharedStrings.xml" Id="R0b845b9e4b5d4b85" /><Relationship Type="http://schemas.openxmlformats.org/officeDocument/2006/relationships/worksheet" Target="/xl/worksheets/sheet1.xml" Id="R4051f0df918d47b2" /><Relationship Type="http://schemas.openxmlformats.org/officeDocument/2006/relationships/worksheet" Target="/xl/worksheets/sheet2.xml" Id="Ra210360a07404d99" /><Relationship Type="http://schemas.openxmlformats.org/officeDocument/2006/relationships/worksheet" Target="/xl/worksheets/sheet3.xml" Id="R0f12123f33e64aa4" /><Relationship Type="http://schemas.openxmlformats.org/officeDocument/2006/relationships/worksheet" Target="/xl/worksheets/sheet4.xml" Id="Rec768a60dcaa4624" /><Relationship Type="http://schemas.openxmlformats.org/officeDocument/2006/relationships/worksheet" Target="/xl/worksheets/sheet5.xml" Id="Ra141e9647d544820" /><Relationship Type="http://schemas.openxmlformats.org/officeDocument/2006/relationships/worksheet" Target="/xl/worksheets/sheet6.xml" Id="R0c00ecc413194dbf" /><Relationship Type="http://schemas.openxmlformats.org/officeDocument/2006/relationships/worksheet" Target="/xl/worksheets/sheet7.xml" Id="Rc97141109df14cbe" /><Relationship Type="http://schemas.openxmlformats.org/officeDocument/2006/relationships/worksheet" Target="/xl/worksheets/sheet8.xml" Id="Rf7312817df5f4713" /><Relationship Type="http://schemas.openxmlformats.org/officeDocument/2006/relationships/worksheet" Target="/xl/worksheets/sheet9.xml" Id="R64ac5d9c0ad048e0" /><Relationship Type="http://schemas.openxmlformats.org/officeDocument/2006/relationships/worksheet" Target="/xl/worksheets/sheet10.xml" Id="R3438638081144d5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9b7a9680db14b5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Primary function count — CURRENT vs PROPOSED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CURRENT qty</c:v>
          </c:tx>
          <c:cat>
            <c:strRef>
              <c:f>'Functional Groups'!$A$5:$A$12</c:f>
              <c:strCache>
                <c:ptCount val="0"/>
              </c:strCache>
            </c:strRef>
          </c:cat>
          <c:val>
            <c:numRef>
              <c:f>'Functional Groups'!$B$5:$B$12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PROPOSED V2 qty</c:v>
          </c:tx>
          <c:cat>
            <c:strRef>
              <c:f>'Functional Groups'!$A$5:$A$12</c:f>
              <c:strCache>
                <c:ptCount val="0"/>
              </c:strCache>
            </c:strRef>
          </c:cat>
          <c:val>
            <c:numRef>
              <c:f>'Functional Groups'!$C$5:$C$12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b7a9680db14b5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urrentListTbl" displayName="CurrentListTbl" ref="A5:I90" headerRowCount="1" totalsRowCount="0" totalsRowShown="0">
  <x:tableColumns count="9">
    <x:tableColumn id="1" name="Card"/>
    <x:tableColumn id="2" name="Qty"/>
    <x:tableColumn id="3" name="Set"/>
    <x:tableColumn id="4" name="Finish tag"/>
    <x:tableColumn id="5" name="Primary 8×8 group"/>
    <x:tableColumn id="6" name="Version state"/>
    <x:tableColumn id="7" name="Card type (functional)"/>
    <x:tableColumn id="8" name="ACR printing?"/>
    <x:tableColumn id="9" name="Functional note / aud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posedListTbl" displayName="ProposedListTbl" ref="A5:I90" headerRowCount="1" totalsRowCount="0" totalsRowShown="0">
  <x:tableColumns count="9">
    <x:tableColumn id="1" name="Card"/>
    <x:tableColumn id="2" name="Qty"/>
    <x:tableColumn id="3" name="Set"/>
    <x:tableColumn id="4" name="Finish tag"/>
    <x:tableColumn id="5" name="Primary 8×8 group"/>
    <x:tableColumn id="6" name="Version state"/>
    <x:tableColumn id="7" name="Card type (functional)"/>
    <x:tableColumn id="8" name="ACR printing?"/>
    <x:tableColumn id="9" name="Functional note / aud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pgradeMatrixTbl" displayName="UpgradeMatrixTbl" ref="A5:I12" headerRowCount="1" totalsRowCount="0" totalsRowShown="0">
  <x:tableColumns count="9">
    <x:tableColumn id="1" name="OUT"/>
    <x:tableColumn id="2" name="IN"/>
    <x:tableColumn id="3" name="Papel/limite do corte"/>
    <x:tableColumn id="4" name="Por que a entrada ajuda"/>
    <x:tableColumn id="5" name="Custo / risco da troca"/>
    <x:tableColumn id="6" name="Priority"/>
    <x:tableColumn id="7" name="Confidence"/>
    <x:tableColumn id="8" name="State"/>
    <x:tableColumn id="9" name="Rationale / audit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unctionalGroupsTbl" displayName="FunctionalGroupsTbl" ref="A4:E12" headerRowCount="1" totalsRowCount="0" totalsRowShown="0">
  <x:tableColumns count="5">
    <x:tableColumn id="1" name="Primary group"/>
    <x:tableColumn id="2" name="CURRENT qty"/>
    <x:tableColumn id="3" name="PROPOSED V2 qty"/>
    <x:tableColumn id="4" name="Delta"/>
    <x:tableColumn id="5" name="What this reveal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ructuralAuditTbl" displayName="StructuralAuditTbl" ref="A4:E15" headerRowCount="1" totalsRowCount="0" totalsRowShown="0">
  <x:tableColumns count="5">
    <x:tableColumn id="1" name="Metric"/>
    <x:tableColumn id="2" name="CURRENT"/>
    <x:tableColumn id="3" name="PROPOSED V2"/>
    <x:tableColumn id="4" name="Assessment"/>
    <x:tableColumn id="5" name="Confidence / cavea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ierListTbl" displayName="TierListTbl" ref="A4:E16" headerRowCount="1" totalsRowCount="0" totalsRowShown="0">
  <x:tableColumns count="5">
    <x:tableColumn id="1" name="Tier"/>
    <x:tableColumn id="2" name="Card / package"/>
    <x:tableColumn id="3" name="Why it fits this deck"/>
    <x:tableColumn id="4" name="Risk / argument against"/>
    <x:tableColumn id="5" name="St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sTbl" displayName="SourcesTbl" ref="A4:D12" headerRowCount="1" totalsRowCount="0" totalsRowShown="0">
  <x:tableColumns count="4">
    <x:tableColumn id="1" name="Source"/>
    <x:tableColumn id="2" name="URL"/>
    <x:tableColumn id="3" name="Used for"/>
    <x:tableColumn id="4" name="Cavea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laytestTbl" displayName="PlaytestTbl" ref="A4:L19" headerRowCount="1" totalsRowCount="0" totalsRowShown="0">
  <x:tableColumns count="12">
    <x:tableColumn id="1" name="Date"/>
    <x:tableColumn id="2" name="Version"/>
    <x:tableColumn id="3" name="Players / pod"/>
    <x:tableColumn id="4" name="Turn order"/>
    <x:tableColumn id="5" name="Opening hand quality"/>
    <x:tableColumn id="6" name="Turn plan began"/>
    <x:tableColumn id="7" name="Cards with high impact"/>
    <x:tableColumn id="8" name="Dead / stuck cards"/>
    <x:tableColumn id="9" name="Interaction missed?"/>
    <x:tableColumn id="10" name="Board wipe / rebuild"/>
    <x:tableColumn id="11" name="Win condition / result"/>
    <x:tableColumn id="12" name="Notes / keep or rever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adMeTbl" displayName="ReadMeTbl" ref="A4:B11" headerRowCount="1" totalsRowCount="0" totalsRowShown="0">
  <x:tableColumns count="2">
    <x:tableColumn id="1" name="Topic"/>
    <x:tableColumn id="2" name="Instru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9b3a40c62446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d9baa0636c44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1b03d9668649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9d833d57d2fb4ec3" /><Relationship Type="http://schemas.openxmlformats.org/officeDocument/2006/relationships/table" Target="/xl/tables/table4.xml" Id="R6bd34c5ff4164e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ac649373614a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76e2987ce0948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f5d91b413b49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6b4cd31b580442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a47a541637c433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1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3" hidden="0" customWidth="1"/>
    <x:col min="10" max="10" width="13" hidden="0" customWidth="1"/>
  </x:cols>
  <x:sheetData>
    <x:row r="1" ht="32" customHeight="1">
      <x:c r="A1" s="124" t="str">
        <x:v>EZIO AUDITORE DA FIRENZE | ASSASSINS</x:v>
      </x:c>
      <x:c r="B1" s="124"/>
      <x:c r="C1" s="124"/>
      <x:c r="D1" s="124"/>
      <x:c r="E1" s="124"/>
      <x:c r="F1" s="124"/>
      <x:c r="G1" s="124"/>
      <x:c r="H1" s="124"/>
      <x:c r="I1" s="124"/>
      <x:c r="J1" s="124"/>
      <x:c r="K1" s="95"/>
      <x:c r="L1" s="95"/>
      <x:c r="M1" s="95"/>
      <x:c r="N1" s="95"/>
    </x:row>
    <x:row r="2" ht="28" customHeight="1">
      <x:c r="A2" s="96" t="str">
        <x:v>Assassin's Creed themed Commander • CURRENT congelada • V2 proposta casual, temática e ainda não testada</x:v>
      </x:c>
      <x:c r="B2" s="96"/>
      <x:c r="C2" s="96"/>
      <x:c r="D2" s="96"/>
      <x:c r="E2" s="96"/>
      <x:c r="F2" s="96"/>
      <x:c r="G2" s="96"/>
      <x:c r="H2" s="96"/>
      <x:c r="I2" s="96"/>
      <x:c r="J2" s="96"/>
      <x:c r="K2" s="136"/>
      <x:c r="L2" s="136"/>
      <x:c r="M2" s="136"/>
      <x:c r="N2" s="136"/>
    </x:row>
    <x:row r="3">
      <x:c r="A3" s="95"/>
      <x:c r="B3" s="95"/>
      <x:c r="C3" s="95"/>
      <x:c r="D3" s="95"/>
      <x:c r="E3" s="95"/>
      <x:c r="F3" s="95"/>
      <x:c r="G3" s="95"/>
      <x:c r="H3" s="95"/>
      <x:c r="I3" s="95"/>
      <x:c r="J3" s="95"/>
      <x:c r="K3" s="95"/>
      <x:c r="L3" s="95"/>
      <x:c r="M3" s="95"/>
      <x:c r="N3" s="95"/>
    </x:row>
    <x:row r="4" ht="28" customHeight="1">
      <x:c r="A4" s="97" t="str">
        <x:v>CURRENT • cartas</x:v>
      </x:c>
      <x:c r="B4" s="97"/>
      <x:c r="C4" s="97" t="str">
        <x:v>CURRENT • terrenos físicos</x:v>
      </x:c>
      <x:c r="D4" s="97"/>
      <x:c r="E4" s="97" t="str">
        <x:v>Impressões ACR • CURRENT</x:v>
      </x:c>
      <x:c r="F4" s="97"/>
      <x:c r="G4" s="97" t="str">
        <x:v>Impressões ACR • V2</x:v>
      </x:c>
      <x:c r="H4" s="97"/>
      <x:c r="I4" s="97" t="str">
        <x:v>Trocas propostas</x:v>
      </x:c>
      <x:c r="J4" s="97"/>
      <x:c r="K4" s="95"/>
      <x:c r="L4" s="95"/>
      <x:c r="M4" s="95"/>
      <x:c r="N4" s="95"/>
    </x:row>
    <x:row r="5" ht="32" customHeight="1">
      <x:c r="A5" s="98" t="n">
        <x:f>SUM('Current List'!B6:B90)</x:f>
        <x:v>100</x:v>
      </x:c>
      <x:c r="B5" s="98"/>
      <x:c r="C5" s="98" t="n">
        <x:f>SUMIF('Current List'!G6:G90,"Land",'Current List'!B6:B90)+SUMIF('Current List'!G6:G90,"Basic Land",'Current List'!B6:B90)</x:f>
        <x:v>34</x:v>
      </x:c>
      <x:c r="D5" s="98"/>
      <x:c r="E5" s="98" t="n">
        <x:f>SUMIF('Current List'!H6:H90,"Yes",'Current List'!B6:B90)</x:f>
        <x:v>55</x:v>
      </x:c>
      <x:c r="F5" s="98"/>
      <x:c r="G5" s="98" t="n">
        <x:f>SUMIF('Proposed V2'!H6:H90,"Yes",'Proposed V2'!B6:B90)</x:f>
        <x:v>56</x:v>
      </x:c>
      <x:c r="H5" s="98"/>
      <x:c r="I5" s="98" t="n">
        <x:f>COUNTA('Upgrade Matrix'!A6:A12)</x:f>
        <x:v>7</x:v>
      </x:c>
      <x:c r="J5" s="98"/>
      <x:c r="K5" s="95"/>
      <x:c r="L5" s="95"/>
      <x:c r="M5" s="95"/>
      <x:c r="N5" s="95"/>
    </x:row>
    <x:row r="6">
      <x:c r="A6" s="95"/>
      <x:c r="B6" s="95"/>
      <x:c r="C6" s="95"/>
      <x:c r="D6" s="95"/>
      <x:c r="E6" s="95"/>
      <x:c r="F6" s="95"/>
      <x:c r="G6" s="95"/>
      <x:c r="H6" s="95"/>
      <x:c r="I6" s="95"/>
      <x:c r="J6" s="95"/>
      <x:c r="K6" s="95"/>
      <x:c r="L6" s="95"/>
      <x:c r="M6" s="95"/>
      <x:c r="N6" s="95"/>
    </x:row>
    <x:row r="7">
      <x:c r="A7" s="99" t="str">
        <x:v>ACR share • CURRENT</x:v>
      </x:c>
      <x:c r="B7" s="99"/>
      <x:c r="C7" s="99" t="str">
        <x:v>ACR share • V2</x:v>
      </x:c>
      <x:c r="D7" s="99"/>
      <x:c r="E7" s="139" t="str">
        <x:v>DIAGNÓSTICO EXECUTIVO</x:v>
      </x:c>
      <x:c r="F7" s="139"/>
      <x:c r="G7" s="139"/>
      <x:c r="H7" s="139"/>
      <x:c r="I7" s="139"/>
      <x:c r="J7" s="139"/>
      <x:c r="K7" s="95"/>
      <x:c r="L7" s="95"/>
      <x:c r="M7" s="95"/>
      <x:c r="N7" s="95"/>
    </x:row>
    <x:row r="8">
      <x:c r="A8" s="100" t="n">
        <x:f>E5/A5</x:f>
        <x:v>0.55</x:v>
      </x:c>
      <x:c r="B8" s="100"/>
      <x:c r="C8" s="100" t="n">
        <x:f>G5/SUM('Proposed V2'!B6:B90)</x:f>
        <x:v>0.56</x:v>
      </x:c>
      <x:c r="D8" s="100"/>
      <x:c r="E8" s="101" t="str">
        <x:v>O deck já é claramente temático, mas as sinergias de Assassin, freerunning e historic estão distribuídas entre muitas cartas de impacto desigual. A prioridade V2 é consistência: acelerar o desenvolvimento, aumentar compra ligada à tribo e transformar conexões de combate em recursos. Não é uma conversão para cEDH.</x:v>
      </x:c>
      <x:c r="F8" s="101"/>
      <x:c r="G8" s="101"/>
      <x:c r="H8" s="101"/>
      <x:c r="I8" s="101"/>
      <x:c r="J8" s="101"/>
      <x:c r="K8" s="95"/>
      <x:c r="L8" s="95"/>
      <x:c r="M8" s="95"/>
      <x:c r="N8" s="95"/>
    </x:row>
    <x:row r="9">
      <x:c r="A9" s="95"/>
      <x:c r="B9" s="95"/>
      <x:c r="C9" s="95"/>
      <x:c r="D9" s="95"/>
      <x:c r="E9" s="101"/>
      <x:c r="F9" s="101"/>
      <x:c r="G9" s="101"/>
      <x:c r="H9" s="101"/>
      <x:c r="I9" s="101"/>
      <x:c r="J9" s="101"/>
      <x:c r="K9" s="95"/>
      <x:c r="L9" s="95"/>
      <x:c r="M9" s="95"/>
      <x:c r="N9" s="95"/>
    </x:row>
    <x:row r="10">
      <x:c r="A10" s="95"/>
      <x:c r="B10" s="95"/>
      <x:c r="C10" s="95"/>
      <x:c r="D10" s="95"/>
      <x:c r="E10" s="101"/>
      <x:c r="F10" s="101"/>
      <x:c r="G10" s="101"/>
      <x:c r="H10" s="101"/>
      <x:c r="I10" s="101"/>
      <x:c r="J10" s="101"/>
      <x:c r="K10" s="95"/>
      <x:c r="L10" s="95"/>
      <x:c r="M10" s="95"/>
      <x:c r="N10" s="95"/>
    </x:row>
    <x:row r="11">
      <x:c r="A11" s="144" t="str">
        <x:v>IDENTIDADE DE JOGO — COMO A LISTA DEVE SE COMPORTAR</x:v>
      </x:c>
      <x:c r="B11" s="144"/>
      <x:c r="C11" s="144"/>
      <x:c r="D11" s="144"/>
      <x:c r="E11" s="144"/>
      <x:c r="F11" s="144"/>
      <x:c r="G11" s="144"/>
      <x:c r="H11" s="144"/>
      <x:c r="I11" s="144"/>
      <x:c r="J11" s="144"/>
      <x:c r="K11" s="95"/>
      <x:c r="L11" s="95"/>
      <x:c r="M11" s="95"/>
      <x:c r="N11" s="95"/>
    </x:row>
    <x:row r="12" ht="36" customHeight="1">
      <x:c r="A12" s="103" t="str">
        <x:v>EARLY</x:v>
      </x:c>
      <x:c r="B12" s="101" t="str">
        <x:v>Consertar as cinco cores, baixar uma peça de aceleração e desenvolver uma ameaça evasiva/Assassin. Não precisa correr para o gatilho de eliminação de Ezio.</x:v>
      </x:c>
      <x:c r="C12" s="101"/>
      <x:c r="D12" s="101"/>
      <x:c r="E12" s="101"/>
      <x:c r="F12" s="101"/>
      <x:c r="G12" s="101"/>
      <x:c r="H12" s="101"/>
      <x:c r="I12" s="101"/>
      <x:c r="J12" s="101"/>
      <x:c r="K12" s="95"/>
      <x:c r="L12" s="95"/>
      <x:c r="M12" s="95"/>
      <x:c r="N12" s="95"/>
    </x:row>
    <x:row r="13" ht="36" customHeight="1">
      <x:c r="A13" s="103" t="str">
        <x:v>MID GAME</x:v>
      </x:c>
      <x:c r="B13" s="101" t="str">
        <x:v>Conectar com Ezio ou outro Assassin; aproveitar freerunning {B}{B} em mágicas de Assassino, usar Roshan para ampliar o tipo Assassin e gerar vantagem com Basim/Arbaaz/Coastal Piracy.</x:v>
      </x:c>
      <x:c r="C13" s="101"/>
      <x:c r="D13" s="101"/>
      <x:c r="E13" s="101"/>
      <x:c r="F13" s="101"/>
      <x:c r="G13" s="101"/>
      <x:c r="H13" s="101"/>
      <x:c r="I13" s="101"/>
      <x:c r="J13" s="101"/>
      <x:c r="K13" s="95"/>
      <x:c r="L13" s="95"/>
      <x:c r="M13" s="95"/>
      <x:c r="N13" s="95"/>
    </x:row>
    <x:row r="14" ht="36" customHeight="1">
      <x:c r="A14" s="103" t="str">
        <x:v>LATE GAME</x:v>
      </x:c>
      <x:c r="B14" s="101" t="str">
        <x:v>Transformar ataques conectados em cartas, fichas e valor Historic. Bayek pode dar double strike às outras criaturas historic durante seu turno; The Revelations of Ezio fornece remoção, counters de ataque e recursão por capítulos.</x:v>
      </x:c>
      <x:c r="C14" s="101"/>
      <x:c r="D14" s="101"/>
      <x:c r="E14" s="101"/>
      <x:c r="F14" s="101"/>
      <x:c r="G14" s="101"/>
      <x:c r="H14" s="101"/>
      <x:c r="I14" s="101"/>
      <x:c r="J14" s="101"/>
      <x:c r="K14" s="95"/>
      <x:c r="L14" s="95"/>
      <x:c r="M14" s="95"/>
      <x:c r="N14" s="95"/>
    </x:row>
    <x:row r="15" ht="36" customHeight="1">
      <x:c r="A15" s="103" t="str">
        <x:v>MESA / DIVERSÃO</x:v>
      </x:c>
      <x:c r="B15" s="101" t="str">
        <x:v>Preservar cartas ACR e personagens favoritos. Melhorar só os slots que fazem o deck travar; sem exigir tutores caros, infinitos ou uma base de mana competitiva.</x:v>
      </x:c>
      <x:c r="C15" s="101"/>
      <x:c r="D15" s="101"/>
      <x:c r="E15" s="101"/>
      <x:c r="F15" s="101"/>
      <x:c r="G15" s="101"/>
      <x:c r="H15" s="101"/>
      <x:c r="I15" s="101"/>
      <x:c r="J15" s="101"/>
      <x:c r="K15" s="95"/>
      <x:c r="L15" s="95"/>
      <x:c r="M15" s="95"/>
      <x:c r="N15" s="95"/>
    </x:row>
    <x:row r="16">
      <x:c r="A16" s="95"/>
      <x:c r="B16" s="95"/>
      <x:c r="C16" s="95"/>
      <x:c r="D16" s="95"/>
      <x:c r="E16" s="95"/>
      <x:c r="F16" s="95"/>
      <x:c r="G16" s="95"/>
      <x:c r="H16" s="95"/>
      <x:c r="I16" s="95"/>
      <x:c r="J16" s="95"/>
      <x:c r="K16" s="95"/>
      <x:c r="L16" s="95"/>
      <x:c r="M16" s="95"/>
      <x:c r="N16" s="95"/>
    </x:row>
    <x:row r="17">
      <x:c r="A17" s="139" t="str">
        <x:v>ESTADO DA VERSÃO</x:v>
      </x:c>
      <x:c r="B17" s="139"/>
      <x:c r="C17" s="139"/>
      <x:c r="D17" s="139"/>
      <x:c r="E17" s="139"/>
      <x:c r="F17" s="139"/>
      <x:c r="G17" s="139"/>
      <x:c r="H17" s="139"/>
      <x:c r="I17" s="139"/>
      <x:c r="J17" s="139"/>
      <x:c r="K17" s="95"/>
      <x:c r="L17" s="95"/>
      <x:c r="M17" s="95"/>
      <x:c r="N17" s="95"/>
    </x:row>
    <x:row r="18">
      <x:c r="A18" s="105" t="str">
        <x:v>CURRENT = lista exata recebida; PROPOSED V2 = proposta de 7 trocas, não comprada e não testada. A porcentagem ACR é calculada pelo código de impressão fornecido; os acabamentos *F*/*E* são preservados como metadados quando informados.</x:v>
      </x:c>
      <x:c r="B18" s="105"/>
      <x:c r="C18" s="105"/>
      <x:c r="D18" s="105"/>
      <x:c r="E18" s="105"/>
      <x:c r="F18" s="105"/>
      <x:c r="G18" s="105"/>
      <x:c r="H18" s="105"/>
      <x:c r="I18" s="105"/>
      <x:c r="J18" s="105"/>
      <x:c r="K18" s="95"/>
      <x:c r="L18" s="95"/>
      <x:c r="M18" s="95"/>
      <x:c r="N18" s="95"/>
    </x:row>
    <x:row r="19">
      <x:c r="A19" s="105"/>
      <x:c r="B19" s="105"/>
      <x:c r="C19" s="105"/>
      <x:c r="D19" s="105"/>
      <x:c r="E19" s="105"/>
      <x:c r="F19" s="105"/>
      <x:c r="G19" s="105"/>
      <x:c r="H19" s="105"/>
      <x:c r="I19" s="105"/>
      <x:c r="J19" s="105"/>
      <x:c r="K19" s="95"/>
      <x:c r="L19" s="95"/>
      <x:c r="M19" s="95"/>
      <x:c r="N19" s="95"/>
    </x:row>
    <x:row r="20">
      <x:c r="A20" s="95"/>
      <x:c r="B20" s="95"/>
      <x:c r="C20" s="95"/>
      <x:c r="D20" s="95"/>
      <x:c r="E20" s="95"/>
      <x:c r="F20" s="95"/>
      <x:c r="G20" s="95"/>
      <x:c r="H20" s="95"/>
      <x:c r="I20" s="95"/>
      <x:c r="J20" s="95"/>
      <x:c r="K20" s="95"/>
      <x:c r="L20" s="95"/>
      <x:c r="M20" s="95"/>
      <x:c r="N20" s="95"/>
    </x:row>
    <x:row r="21">
      <x:c r="A21" s="95"/>
      <x:c r="B21" s="95"/>
      <x:c r="C21" s="95"/>
      <x:c r="D21" s="95"/>
      <x:c r="E21" s="95"/>
      <x:c r="F21" s="95"/>
      <x:c r="G21" s="95"/>
      <x:c r="H21" s="95"/>
      <x:c r="I21" s="95"/>
      <x:c r="J21" s="95"/>
      <x:c r="K21" s="95"/>
      <x:c r="L21" s="95"/>
      <x:c r="M21" s="95"/>
      <x:c r="N21" s="95"/>
    </x:row>
    <x:row r="22">
      <x:c r="A22" s="95"/>
      <x:c r="B22" s="95"/>
      <x:c r="C22" s="95"/>
      <x:c r="D22" s="95"/>
      <x:c r="E22" s="95"/>
      <x:c r="F22" s="95"/>
      <x:c r="G22" s="95"/>
      <x:c r="H22" s="95"/>
      <x:c r="I22" s="95"/>
      <x:c r="J22" s="95"/>
      <x:c r="K22" s="95"/>
      <x:c r="L22" s="95"/>
      <x:c r="M22" s="95"/>
      <x:c r="N22" s="95"/>
    </x:row>
    <x:row r="23">
      <x:c r="A23" s="95"/>
      <x:c r="B23" s="95"/>
      <x:c r="C23" s="95"/>
      <x:c r="D23" s="95"/>
      <x:c r="E23" s="95"/>
      <x:c r="F23" s="95"/>
      <x:c r="G23" s="95"/>
      <x:c r="H23" s="95"/>
      <x:c r="I23" s="95"/>
      <x:c r="J23" s="95"/>
      <x:c r="K23" s="95"/>
      <x:c r="L23" s="95"/>
      <x:c r="M23" s="95"/>
      <x:c r="N23" s="95"/>
    </x:row>
    <x:row r="24">
      <x:c r="A24" s="95"/>
      <x:c r="B24" s="95"/>
      <x:c r="C24" s="95"/>
      <x:c r="D24" s="95"/>
      <x:c r="E24" s="95"/>
      <x:c r="F24" s="95"/>
      <x:c r="G24" s="95"/>
      <x:c r="H24" s="95"/>
      <x:c r="I24" s="95"/>
      <x:c r="J24" s="95"/>
      <x:c r="K24" s="95"/>
      <x:c r="L24" s="95"/>
      <x:c r="M24" s="95"/>
      <x:c r="N24" s="95"/>
    </x:row>
    <x:row r="25">
      <x:c r="A25" s="95"/>
      <x:c r="B25" s="95"/>
      <x:c r="C25" s="95"/>
      <x:c r="D25" s="95"/>
      <x:c r="E25" s="95"/>
      <x:c r="F25" s="95"/>
      <x:c r="G25" s="95"/>
      <x:c r="H25" s="95"/>
      <x:c r="I25" s="95"/>
      <x:c r="J25" s="95"/>
      <x:c r="K25" s="95"/>
      <x:c r="L25" s="95"/>
      <x:c r="M25" s="95"/>
      <x:c r="N25" s="95"/>
    </x:row>
    <x:row r="26">
      <x:c r="A26" s="95"/>
      <x:c r="B26" s="95"/>
      <x:c r="C26" s="95"/>
      <x:c r="D26" s="95"/>
      <x:c r="E26" s="95"/>
      <x:c r="F26" s="95"/>
      <x:c r="G26" s="95"/>
      <x:c r="H26" s="95"/>
      <x:c r="I26" s="95"/>
      <x:c r="J26" s="95"/>
      <x:c r="K26" s="95"/>
      <x:c r="L26" s="95"/>
      <x:c r="M26" s="95"/>
      <x:c r="N26" s="95"/>
    </x:row>
    <x:row r="27">
      <x:c r="A27" s="95"/>
      <x:c r="B27" s="95"/>
      <x:c r="C27" s="95"/>
      <x:c r="D27" s="95"/>
      <x:c r="E27" s="95"/>
      <x:c r="F27" s="95"/>
      <x:c r="G27" s="95"/>
      <x:c r="H27" s="95"/>
      <x:c r="I27" s="95"/>
      <x:c r="J27" s="95"/>
      <x:c r="K27" s="95"/>
      <x:c r="L27" s="95"/>
      <x:c r="M27" s="95"/>
      <x:c r="N27" s="95"/>
    </x:row>
    <x:row r="28">
      <x:c r="A28" s="95"/>
      <x:c r="B28" s="95"/>
      <x:c r="C28" s="95"/>
      <x:c r="D28" s="95"/>
      <x:c r="E28" s="95"/>
      <x:c r="F28" s="95"/>
      <x:c r="G28" s="95"/>
      <x:c r="H28" s="95"/>
      <x:c r="I28" s="95"/>
      <x:c r="J28" s="95"/>
      <x:c r="K28" s="95"/>
      <x:c r="L28" s="95"/>
      <x:c r="M28" s="95"/>
      <x:c r="N28" s="95"/>
    </x:row>
    <x:row r="29">
      <x:c r="A29" s="95"/>
      <x:c r="B29" s="95"/>
      <x:c r="C29" s="95"/>
      <x:c r="D29" s="95"/>
      <x:c r="E29" s="95"/>
      <x:c r="F29" s="95"/>
      <x:c r="G29" s="95"/>
      <x:c r="H29" s="95"/>
      <x:c r="I29" s="95"/>
      <x:c r="J29" s="95"/>
      <x:c r="K29" s="95"/>
      <x:c r="L29" s="95"/>
      <x:c r="M29" s="95"/>
      <x:c r="N29" s="95"/>
    </x:row>
    <x:row r="30">
      <x:c r="A30" s="95"/>
      <x:c r="B30" s="95"/>
      <x:c r="C30" s="95"/>
      <x:c r="D30" s="95"/>
      <x:c r="E30" s="95"/>
      <x:c r="F30" s="95"/>
      <x:c r="G30" s="95"/>
      <x:c r="H30" s="95"/>
      <x:c r="I30" s="95"/>
      <x:c r="J30" s="95"/>
      <x:c r="K30" s="95"/>
      <x:c r="L30" s="95"/>
      <x:c r="M30" s="95"/>
      <x:c r="N30" s="95"/>
    </x:row>
    <x:row r="31">
      <x:c r="A31" s="95"/>
      <x:c r="B31" s="95"/>
      <x:c r="C31" s="95"/>
      <x:c r="D31" s="95"/>
      <x:c r="E31" s="95"/>
      <x:c r="F31" s="95"/>
      <x:c r="G31" s="95"/>
      <x:c r="H31" s="95"/>
      <x:c r="I31" s="95"/>
      <x:c r="J31" s="95"/>
      <x:c r="K31" s="95"/>
      <x:c r="L31" s="95"/>
      <x:c r="M31" s="95"/>
      <x:c r="N31" s="95"/>
    </x:row>
    <x:row r="32">
      <x:c r="A32" s="95"/>
      <x:c r="B32" s="95"/>
      <x:c r="C32" s="95"/>
      <x:c r="D32" s="95"/>
      <x:c r="E32" s="95"/>
      <x:c r="F32" s="95"/>
      <x:c r="G32" s="95"/>
      <x:c r="H32" s="95"/>
      <x:c r="I32" s="95"/>
      <x:c r="J32" s="95"/>
      <x:c r="K32" s="95"/>
      <x:c r="L32" s="95"/>
      <x:c r="M32" s="95"/>
      <x:c r="N32" s="95"/>
    </x:row>
    <x:row r="33">
      <x:c r="A33" s="95"/>
      <x:c r="B33" s="95"/>
      <x:c r="C33" s="95"/>
      <x:c r="D33" s="95"/>
      <x:c r="E33" s="95"/>
      <x:c r="F33" s="95"/>
      <x:c r="G33" s="95"/>
      <x:c r="H33" s="95"/>
      <x:c r="I33" s="95"/>
      <x:c r="J33" s="95"/>
      <x:c r="K33" s="95"/>
      <x:c r="L33" s="95"/>
      <x:c r="M33" s="95"/>
      <x:c r="N33" s="95"/>
    </x:row>
    <x:row r="34">
      <x:c r="A34" s="95"/>
      <x:c r="B34" s="95"/>
      <x:c r="C34" s="95"/>
      <x:c r="D34" s="95"/>
      <x:c r="E34" s="95"/>
      <x:c r="F34" s="95"/>
      <x:c r="G34" s="95"/>
      <x:c r="H34" s="95"/>
      <x:c r="I34" s="95"/>
      <x:c r="J34" s="95"/>
      <x:c r="K34" s="95"/>
      <x:c r="L34" s="95"/>
      <x:c r="M34" s="95"/>
      <x:c r="N34" s="95"/>
    </x:row>
    <x:row r="35">
      <x:c r="A35" s="95"/>
      <x:c r="B35" s="95"/>
      <x:c r="C35" s="95"/>
      <x:c r="D35" s="95"/>
      <x:c r="E35" s="95"/>
      <x:c r="F35" s="95"/>
      <x:c r="G35" s="95"/>
      <x:c r="H35" s="95"/>
      <x:c r="I35" s="95"/>
      <x:c r="J35" s="95"/>
      <x:c r="K35" s="95"/>
      <x:c r="L35" s="95"/>
      <x:c r="M35" s="95"/>
      <x:c r="N35" s="95"/>
    </x:row>
    <x:row r="36">
      <x:c r="A36" s="95"/>
      <x:c r="B36" s="95"/>
      <x:c r="C36" s="95"/>
      <x:c r="D36" s="95"/>
      <x:c r="E36" s="95"/>
      <x:c r="F36" s="95"/>
      <x:c r="G36" s="95"/>
      <x:c r="H36" s="95"/>
      <x:c r="I36" s="95"/>
      <x:c r="J36" s="95"/>
      <x:c r="K36" s="95"/>
      <x:c r="L36" s="95"/>
      <x:c r="M36" s="95"/>
      <x:c r="N36" s="95"/>
    </x:row>
    <x:row r="37">
      <x:c r="A37" s="95"/>
      <x:c r="B37" s="95"/>
      <x:c r="C37" s="95"/>
      <x:c r="D37" s="95"/>
      <x:c r="E37" s="95"/>
      <x:c r="F37" s="95"/>
      <x:c r="G37" s="95"/>
      <x:c r="H37" s="95"/>
      <x:c r="I37" s="95"/>
      <x:c r="J37" s="95"/>
      <x:c r="K37" s="95"/>
      <x:c r="L37" s="95"/>
      <x:c r="M37" s="95"/>
      <x:c r="N37" s="95"/>
    </x:row>
    <x:row r="38">
      <x:c r="A38" s="95"/>
      <x:c r="B38" s="95"/>
      <x:c r="C38" s="95"/>
      <x:c r="D38" s="95"/>
      <x:c r="E38" s="95"/>
      <x:c r="F38" s="95"/>
      <x:c r="G38" s="95"/>
      <x:c r="H38" s="95"/>
      <x:c r="I38" s="95"/>
      <x:c r="J38" s="95"/>
      <x:c r="K38" s="95"/>
      <x:c r="L38" s="95"/>
      <x:c r="M38" s="95"/>
      <x:c r="N38" s="95"/>
    </x:row>
    <x:row r="39">
      <x:c r="A39" s="95"/>
      <x:c r="B39" s="95"/>
      <x:c r="C39" s="95"/>
      <x:c r="D39" s="95"/>
      <x:c r="E39" s="95"/>
      <x:c r="F39" s="95"/>
      <x:c r="G39" s="95"/>
      <x:c r="H39" s="95"/>
      <x:c r="I39" s="95"/>
      <x:c r="J39" s="95"/>
      <x:c r="K39" s="95"/>
      <x:c r="L39" s="95"/>
      <x:c r="M39" s="95"/>
      <x:c r="N39" s="95"/>
    </x:row>
    <x:row r="40">
      <x:c r="A40" s="95"/>
      <x:c r="B40" s="95"/>
      <x:c r="C40" s="95"/>
      <x:c r="D40" s="95"/>
      <x:c r="E40" s="95"/>
      <x:c r="F40" s="95"/>
      <x:c r="G40" s="95"/>
      <x:c r="H40" s="95"/>
      <x:c r="I40" s="95"/>
      <x:c r="J40" s="95"/>
      <x:c r="K40" s="95"/>
      <x:c r="L40" s="95"/>
      <x:c r="M40" s="95"/>
      <x:c r="N40" s="95"/>
    </x:row>
  </x:sheetData>
  <x:mergeCells>
    <x:mergeCell ref="A1:J1"/>
    <x:mergeCell ref="A2:J2"/>
    <x:mergeCell ref="A4:B4"/>
    <x:mergeCell ref="A5:B5"/>
    <x:mergeCell ref="C4:D4"/>
    <x:mergeCell ref="C5:D5"/>
    <x:mergeCell ref="E4:F4"/>
    <x:mergeCell ref="E5:F5"/>
    <x:mergeCell ref="G4:H4"/>
    <x:mergeCell ref="G5:H5"/>
    <x:mergeCell ref="I4:J4"/>
    <x:mergeCell ref="I5:J5"/>
    <x:mergeCell ref="A7:B7"/>
    <x:mergeCell ref="A8:B8"/>
    <x:mergeCell ref="C7:D7"/>
    <x:mergeCell ref="C8:D8"/>
    <x:mergeCell ref="E7:J7"/>
    <x:mergeCell ref="E8:J10"/>
    <x:mergeCell ref="A11:J11"/>
    <x:mergeCell ref="B12:J12"/>
    <x:mergeCell ref="B13:J13"/>
    <x:mergeCell ref="B14:J14"/>
    <x:mergeCell ref="B15:J15"/>
    <x:mergeCell ref="A17:J17"/>
    <x:mergeCell ref="A18:J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7" hidden="0" customWidth="1"/>
    <x:col min="3" max="3" width="10" hidden="0" customWidth="1"/>
    <x:col min="4" max="4" width="13" hidden="0" customWidth="1"/>
    <x:col min="5" max="5" width="36" hidden="0" customWidth="1"/>
    <x:col min="6" max="6" width="25" hidden="0" customWidth="1"/>
    <x:col min="7" max="7" width="30" hidden="0" customWidth="1"/>
    <x:col min="8" max="8" width="13" hidden="0" customWidth="1"/>
    <x:col min="9" max="9" width="64" hidden="0" customWidth="1"/>
  </x:cols>
  <x:sheetData>
    <x:row r="1" ht="32" customHeight="1">
      <x:c r="A1" s="124" t="str">
        <x:v>EZIO — CURRENT LIST (FROZEN)</x:v>
      </x:c>
      <x:c r="B1" s="124"/>
      <x:c r="C1" s="124"/>
      <x:c r="D1" s="124"/>
      <x:c r="E1" s="124"/>
      <x:c r="F1" s="124"/>
      <x:c r="G1" s="124"/>
      <x:c r="H1" s="124"/>
      <x:c r="I1" s="124"/>
      <x:c r="J1" s="95"/>
      <x:c r="K1" s="95"/>
      <x:c r="L1" s="95"/>
      <x:c r="M1" s="95"/>
      <x:c r="N1" s="95"/>
    </x:row>
    <x:row r="2" ht="28" customHeight="1">
      <x:c r="A2" s="96" t="str">
        <x:v>Lista enviada pelo usuário; referência imutável. Set code e acabamento informados preservados quando disponíveis.</x:v>
      </x:c>
      <x:c r="B2" s="96"/>
      <x:c r="C2" s="96"/>
      <x:c r="D2" s="96"/>
      <x:c r="E2" s="96"/>
      <x:c r="F2" s="96"/>
      <x:c r="G2" s="96"/>
      <x:c r="H2" s="96"/>
      <x:c r="I2" s="96"/>
      <x:c r="J2" s="136"/>
      <x:c r="K2" s="136"/>
      <x:c r="L2" s="136"/>
      <x:c r="M2" s="136"/>
      <x:c r="N2" s="136"/>
    </x:row>
    <x:row r="3">
      <x:c r="A3" s="95"/>
      <x:c r="B3" s="95"/>
      <x:c r="C3" s="95"/>
      <x:c r="D3" s="95"/>
      <x:c r="E3" s="95"/>
      <x:c r="F3" s="95"/>
      <x:c r="G3" s="95"/>
      <x:c r="H3" s="95"/>
      <x:c r="I3" s="95"/>
      <x:c r="J3" s="95"/>
      <x:c r="K3" s="95"/>
      <x:c r="L3" s="95"/>
      <x:c r="M3" s="95"/>
      <x:c r="N3" s="95"/>
    </x:row>
    <x:row r="4">
      <x:c r="A4" s="95"/>
      <x:c r="B4" s="95"/>
      <x:c r="C4" s="95"/>
      <x:c r="D4" s="95"/>
      <x:c r="E4" s="95"/>
      <x:c r="F4" s="95"/>
      <x:c r="G4" s="95"/>
      <x:c r="H4" s="95"/>
      <x:c r="I4" s="95"/>
      <x:c r="J4" s="95"/>
      <x:c r="K4" s="95"/>
      <x:c r="L4" s="95"/>
      <x:c r="M4" s="95"/>
      <x:c r="N4" s="95"/>
    </x:row>
    <x:row r="5" ht="28" customHeight="1">
      <x:c r="A5" s="132" t="str">
        <x:v>Card</x:v>
      </x:c>
      <x:c r="B5" s="132" t="str">
        <x:v>Qty</x:v>
      </x:c>
      <x:c r="C5" s="132" t="str">
        <x:v>Set</x:v>
      </x:c>
      <x:c r="D5" s="132" t="str">
        <x:v>Finish tag</x:v>
      </x:c>
      <x:c r="E5" s="132" t="str">
        <x:v>Primary 8×8 group</x:v>
      </x:c>
      <x:c r="F5" s="132" t="str">
        <x:v>Version state</x:v>
      </x:c>
      <x:c r="G5" s="132" t="str">
        <x:v>Card type (functional)</x:v>
      </x:c>
      <x:c r="H5" s="132" t="str">
        <x:v>ACR printing?</x:v>
      </x:c>
      <x:c r="I5" s="132" t="str">
        <x:v>Functional note / audit</x:v>
      </x:c>
      <x:c r="J5" s="95"/>
      <x:c r="K5" s="95"/>
      <x:c r="L5" s="95"/>
      <x:c r="M5" s="95"/>
      <x:c r="N5" s="95"/>
    </x:row>
    <x:row r="6">
      <x:c r="A6" s="119" t="str">
        <x:v>Ezio Auditore da Firenze</x:v>
      </x:c>
      <x:c r="B6" s="120" t="n">
        <x:v>1</x:v>
      </x:c>
      <x:c r="C6" s="119" t="str">
        <x:v>ACR</x:v>
      </x:c>
      <x:c r="D6" s="119" t="str">
        <x:v>*F*</x:v>
      </x:c>
      <x:c r="E6" s="119" t="str">
        <x:v>Commander / core</x:v>
      </x:c>
      <x:c r="F6" s="119" t="str">
        <x:v>CURRENT — Commander</x:v>
      </x:c>
      <x:c r="G6" s="119" t="str">
        <x:v>Legendary Creature — Human Assassin</x:v>
      </x:c>
      <x:c r="H6" s="119" t="str">
        <x:v>Yes</x:v>
      </x:c>
      <x:c r="I6" s="119" t="str">
        <x:v>Menace; Assassin spells you cast have freerunning {B}{B}; can eliminate a player after combat damage if that player has 10 or less life and you pay {W}{U}{B}{R}{G}.</x:v>
      </x:c>
      <x:c r="J6" s="95"/>
      <x:c r="K6" s="95"/>
      <x:c r="L6" s="95"/>
      <x:c r="M6" s="95"/>
      <x:c r="N6" s="95"/>
    </x:row>
    <x:row r="7">
      <x:c r="A7" s="119" t="str">
        <x:v>Abstergo Entertainment</x:v>
      </x:c>
      <x:c r="B7" s="120" t="n">
        <x:v>1</x:v>
      </x:c>
      <x:c r="C7" s="119" t="str">
        <x:v>ACR</x:v>
      </x:c>
      <x:c r="D7" s="119" t="str">
        <x:v>—</x:v>
      </x:c>
      <x:c r="E7" s="119" t="str">
        <x:v>LAND — not counted among 8 spell groups</x:v>
      </x:c>
      <x:c r="F7" s="119" t="str">
        <x:v>CURRENT</x:v>
      </x:c>
      <x:c r="G7" s="119" t="str">
        <x:v>Land</x:v>
      </x:c>
      <x:c r="H7" s="119" t="str">
        <x:v>Yes</x:v>
      </x:c>
      <x:c r="I7" s="119" t="str">
        <x:v>Legendary land: taps for {C}; {1}, {T}: add one mana of any color; {3}, {T}, exile this land: return a historic card from a graveyard to hand, then exile all graveyards. Land utility, not a copy effect.</x:v>
      </x:c>
      <x:c r="J7" s="95"/>
      <x:c r="K7" s="95"/>
      <x:c r="L7" s="95"/>
      <x:c r="M7" s="95"/>
      <x:c r="N7" s="95"/>
    </x:row>
    <x:row r="8">
      <x:c r="A8" s="119" t="str">
        <x:v>Adrestia</x:v>
      </x:c>
      <x:c r="B8" s="120" t="n">
        <x:v>1</x:v>
      </x:c>
      <x:c r="C8" s="119" t="str">
        <x:v>ACR</x:v>
      </x:c>
      <x:c r="D8" s="119" t="str">
        <x:v>—</x:v>
      </x:c>
      <x:c r="E8" s="119" t="str">
        <x:v>5. Historic / legendary / Sagas</x:v>
      </x:c>
      <x:c r="F8" s="119" t="str">
        <x:v>CURRENT</x:v>
      </x:c>
      <x:c r="G8" s="119" t="str">
        <x:v>Vehicle</x:v>
      </x:c>
      <x:c r="H8" s="119" t="str">
        <x:v>Yes</x:v>
      </x:c>
      <x:c r="I8" s="119" t="str">
        <x:v>Thematic vehicle; needs crew support to turn into a creature.</x:v>
      </x:c>
      <x:c r="J8" s="95"/>
      <x:c r="K8" s="95"/>
      <x:c r="L8" s="95"/>
      <x:c r="M8" s="95"/>
      <x:c r="N8" s="95"/>
    </x:row>
    <x:row r="9">
      <x:c r="A9" s="119" t="str">
        <x:v>Adéwalé, Breaker of Chains</x:v>
      </x:c>
      <x:c r="B9" s="120" t="n">
        <x:v>1</x:v>
      </x:c>
      <x:c r="C9" s="119" t="str">
        <x:v>ACR</x:v>
      </x:c>
      <x:c r="D9" s="119" t="str">
        <x:v>—</x:v>
      </x:c>
      <x:c r="E9" s="119" t="str">
        <x:v>8. Combat pressure / other thematic utility</x:v>
      </x:c>
      <x:c r="F9" s="119" t="str">
        <x:v>CURRENT</x:v>
      </x:c>
      <x:c r="G9" s="119" t="str">
        <x:v>Creature</x:v>
      </x:c>
      <x:c r="H9" s="119" t="str">
        <x:v>Yes</x:v>
      </x:c>
      <x:c r="I9" s="119" t="str">
        <x:v>Pirate character; evaluate as a thematic role-player rather than core Assassin payoff.</x:v>
      </x:c>
      <x:c r="J9" s="95"/>
      <x:c r="K9" s="95"/>
      <x:c r="L9" s="95"/>
      <x:c r="M9" s="95"/>
      <x:c r="N9" s="95"/>
    </x:row>
    <x:row r="10">
      <x:c r="A10" s="119" t="str">
        <x:v>Alexios, Deimos of Kosmos</x:v>
      </x:c>
      <x:c r="B10" s="120" t="n">
        <x:v>1</x:v>
      </x:c>
      <x:c r="C10" s="119" t="str">
        <x:v>ACR</x:v>
      </x:c>
      <x:c r="D10" s="119" t="str">
        <x:v>*F*</x:v>
      </x:c>
      <x:c r="E10" s="119" t="str">
        <x:v>8. Combat pressure / other thematic utility</x:v>
      </x:c>
      <x:c r="F10" s="119" t="str">
        <x:v>CURRENT</x:v>
      </x:c>
      <x:c r="G10" s="119" t="str">
        <x:v>Creature</x:v>
      </x:c>
      <x:c r="H10" s="119" t="str">
        <x:v>Yes</x:v>
      </x:c>
      <x:c r="I10" s="119" t="str">
        <x:v>Political/chaotic combat role; thematic but not a core freerunning enabler.</x:v>
      </x:c>
      <x:c r="J10" s="95"/>
      <x:c r="K10" s="95"/>
      <x:c r="L10" s="95"/>
      <x:c r="M10" s="95"/>
      <x:c r="N10" s="95"/>
    </x:row>
    <x:row r="11">
      <x:c r="A11" s="119" t="str">
        <x:v>Apple of Eden, Isu Relic</x:v>
      </x:c>
      <x:c r="B11" s="120" t="n">
        <x:v>1</x:v>
      </x:c>
      <x:c r="C11" s="119" t="str">
        <x:v>ACR</x:v>
      </x:c>
      <x:c r="D11" s="119" t="str">
        <x:v>—</x:v>
      </x:c>
      <x:c r="E11" s="119" t="str">
        <x:v>5. Historic / legendary / Sagas</x:v>
      </x:c>
      <x:c r="F11" s="119" t="str">
        <x:v>CURRENT</x:v>
      </x:c>
      <x:c r="G11" s="119" t="str">
        <x:v>Artifact</x:v>
      </x:c>
      <x:c r="H11" s="119" t="str">
        <x:v>Yes</x:v>
      </x:c>
      <x:c r="I11" s="119" t="str">
        <x:v>Thematic artifact; contributes to historic density.</x:v>
      </x:c>
      <x:c r="J11" s="95"/>
      <x:c r="K11" s="95"/>
      <x:c r="L11" s="95"/>
      <x:c r="M11" s="95"/>
      <x:c r="N11" s="95"/>
    </x:row>
    <x:row r="12">
      <x:c r="A12" s="119" t="str">
        <x:v>Arbaaz Mir</x:v>
      </x:c>
      <x:c r="B12" s="120" t="n">
        <x:v>1</x:v>
      </x:c>
      <x:c r="C12" s="119" t="str">
        <x:v>ACR</x:v>
      </x:c>
      <x:c r="D12" s="119" t="str">
        <x:v>*F*</x:v>
      </x:c>
      <x:c r="E12" s="119" t="str">
        <x:v>3. Assassin tribal + freerunning</x:v>
      </x:c>
      <x:c r="F12" s="119" t="str">
        <x:v>CURRENT</x:v>
      </x:c>
      <x:c r="G12" s="119" t="str">
        <x:v>Creature</x:v>
      </x:c>
      <x:c r="H12" s="119" t="str">
        <x:v>Yes</x:v>
      </x:c>
      <x:c r="I12" s="119" t="str">
        <x:v>Pings each opponent when nontoken historic permanents enter and gains life.</x:v>
      </x:c>
      <x:c r="J12" s="95"/>
      <x:c r="K12" s="95"/>
      <x:c r="L12" s="95"/>
      <x:c r="M12" s="95"/>
      <x:c r="N12" s="95"/>
    </x:row>
    <x:row r="13">
      <x:c r="A13" s="119" t="str">
        <x:v>Arno Dorian</x:v>
      </x:c>
      <x:c r="B13" s="120" t="n">
        <x:v>1</x:v>
      </x:c>
      <x:c r="C13" s="119" t="str">
        <x:v>ACR</x:v>
      </x:c>
      <x:c r="D13" s="119" t="str">
        <x:v>—</x:v>
      </x:c>
      <x:c r="E13" s="119" t="str">
        <x:v>3. Assassin tribal + freerunning</x:v>
      </x:c>
      <x:c r="F13" s="119" t="str">
        <x:v>CURRENT</x:v>
      </x:c>
      <x:c r="G13" s="119" t="str">
        <x:v>Creature</x:v>
      </x:c>
      <x:c r="H13" s="119" t="str">
        <x:v>Yes</x:v>
      </x:c>
      <x:c r="I13" s="119" t="str">
        <x:v>Deathtouch and +2/+0 to other Assassins.</x:v>
      </x:c>
      <x:c r="J13" s="95"/>
      <x:c r="K13" s="95"/>
      <x:c r="L13" s="95"/>
      <x:c r="M13" s="95"/>
      <x:c r="N13" s="95"/>
    </x:row>
    <x:row r="14">
      <x:c r="A14" s="119" t="str">
        <x:v>Ash Barrens</x:v>
      </x:c>
      <x:c r="B14" s="120" t="n">
        <x:v>1</x:v>
      </x:c>
      <x:c r="C14" s="119" t="str">
        <x:v>CLB</x:v>
      </x:c>
      <x:c r="D14" s="119" t="str">
        <x:v>—</x:v>
      </x:c>
      <x:c r="E14" s="119" t="str">
        <x:v>LAND — not counted among 8 spell groups</x:v>
      </x:c>
      <x:c r="F14" s="119" t="str">
        <x:v>CURRENT</x:v>
      </x:c>
      <x:c r="G14" s="119" t="str">
        <x:v>Land</x:v>
      </x:c>
      <x:c r="H14" s="119" t="str">
        <x:v>No</x:v>
      </x:c>
      <x:c r="I14" s="119" t="str">
        <x:v>Basic-land cycling/fixing.</x:v>
      </x:c>
      <x:c r="J14" s="95"/>
      <x:c r="K14" s="95"/>
      <x:c r="L14" s="95"/>
      <x:c r="M14" s="95"/>
      <x:c r="N14" s="95"/>
    </x:row>
    <x:row r="15">
      <x:c r="A15" s="119" t="str">
        <x:v>Assassin Gauntlet</x:v>
      </x:c>
      <x:c r="B15" s="120" t="n">
        <x:v>1</x:v>
      </x:c>
      <x:c r="C15" s="119" t="str">
        <x:v>ACR</x:v>
      </x:c>
      <x:c r="D15" s="119" t="str">
        <x:v>*F*</x:v>
      </x:c>
      <x:c r="E15" s="119" t="str">
        <x:v>4. Evasion / equipment / protection</x:v>
      </x:c>
      <x:c r="F15" s="119" t="str">
        <x:v>CURRENT</x:v>
      </x:c>
      <x:c r="G15" s="119" t="str">
        <x:v>Equipment</x:v>
      </x:c>
      <x:c r="H15" s="119" t="str">
        <x:v>Yes</x:v>
      </x:c>
      <x:c r="I15" s="119" t="str">
        <x:v>Thematic equipment; evaluate alongside other equipment slots.</x:v>
      </x:c>
      <x:c r="J15" s="95"/>
      <x:c r="K15" s="95"/>
      <x:c r="L15" s="95"/>
      <x:c r="M15" s="95"/>
      <x:c r="N15" s="95"/>
    </x:row>
    <x:row r="16">
      <x:c r="A16" s="119" t="str">
        <x:v>Assassin Initiate</x:v>
      </x:c>
      <x:c r="B16" s="120" t="n">
        <x:v>1</x:v>
      </x:c>
      <x:c r="C16" s="119" t="str">
        <x:v>ACR</x:v>
      </x:c>
      <x:c r="D16" s="119" t="str">
        <x:v>—</x:v>
      </x:c>
      <x:c r="E16" s="119" t="str">
        <x:v>3. Assassin tribal + freerunning</x:v>
      </x:c>
      <x:c r="F16" s="119" t="str">
        <x:v>CURRENT</x:v>
      </x:c>
      <x:c r="G16" s="119" t="str">
        <x:v>Creature</x:v>
      </x:c>
      <x:c r="H16" s="119" t="str">
        <x:v>Yes</x:v>
      </x:c>
      <x:c r="I16" s="119" t="str">
        <x:v>Flexible combat keyword by paying mana.</x:v>
      </x:c>
      <x:c r="J16" s="95"/>
      <x:c r="K16" s="95"/>
      <x:c r="L16" s="95"/>
      <x:c r="M16" s="95"/>
      <x:c r="N16" s="95"/>
    </x:row>
    <x:row r="17">
      <x:c r="A17" s="119" t="str">
        <x:v>Assassin's Trophy</x:v>
      </x:c>
      <x:c r="B17" s="120" t="n">
        <x:v>1</x:v>
      </x:c>
      <x:c r="C17" s="119" t="str">
        <x:v>ACR</x:v>
      </x:c>
      <x:c r="D17" s="119" t="str">
        <x:v>—</x:v>
      </x:c>
      <x:c r="E17" s="119" t="str">
        <x:v>6. Removal / interaction</x:v>
      </x:c>
      <x:c r="F17" s="119" t="str">
        <x:v>CURRENT</x:v>
      </x:c>
      <x:c r="G17" s="119" t="str">
        <x:v>Removal</x:v>
      </x:c>
      <x:c r="H17" s="119" t="str">
        <x:v>Yes</x:v>
      </x:c>
      <x:c r="I17" s="119" t="str">
        <x:v>Efficient broad permanent answer.</x:v>
      </x:c>
      <x:c r="J17" s="95"/>
      <x:c r="K17" s="95"/>
      <x:c r="L17" s="95"/>
      <x:c r="M17" s="95"/>
      <x:c r="N17" s="95"/>
    </x:row>
    <x:row r="18">
      <x:c r="A18" s="119" t="str">
        <x:v>Ballad of the Black Flag</x:v>
      </x:c>
      <x:c r="B18" s="120" t="n">
        <x:v>1</x:v>
      </x:c>
      <x:c r="C18" s="119" t="str">
        <x:v>ACR</x:v>
      </x:c>
      <x:c r="D18" s="119" t="str">
        <x:v>—</x:v>
      </x:c>
      <x:c r="E18" s="119" t="str">
        <x:v>5. Historic / legendary / Sagas</x:v>
      </x:c>
      <x:c r="F18" s="119" t="str">
        <x:v>CURRENT</x:v>
      </x:c>
      <x:c r="G18" s="119" t="str">
        <x:v>Saga</x:v>
      </x:c>
      <x:c r="H18" s="119" t="str">
        <x:v>Yes</x:v>
      </x:c>
      <x:c r="I18" s="119" t="str">
        <x:v>Thematic saga; historic permanent.</x:v>
      </x:c>
      <x:c r="J18" s="95"/>
      <x:c r="K18" s="95"/>
      <x:c r="L18" s="95"/>
      <x:c r="M18" s="95"/>
      <x:c r="N18" s="95"/>
    </x:row>
    <x:row r="19">
      <x:c r="A19" s="119" t="str">
        <x:v>Bayek of Siwa</x:v>
      </x:c>
      <x:c r="B19" s="120" t="n">
        <x:v>1</x:v>
      </x:c>
      <x:c r="C19" s="119" t="str">
        <x:v>ACR</x:v>
      </x:c>
      <x:c r="D19" s="119" t="str">
        <x:v>*F*</x:v>
      </x:c>
      <x:c r="E19" s="119" t="str">
        <x:v>3. Assassin tribal + freerunning</x:v>
      </x:c>
      <x:c r="F19" s="119" t="str">
        <x:v>CURRENT</x:v>
      </x:c>
      <x:c r="G19" s="119" t="str">
        <x:v>Creature</x:v>
      </x:c>
      <x:c r="H19" s="119" t="str">
        <x:v>Yes</x:v>
      </x:c>
      <x:c r="I19" s="119" t="str">
        <x:v>Gives other historic creatures double strike during your turn.</x:v>
      </x:c>
      <x:c r="J19" s="95"/>
      <x:c r="K19" s="95"/>
      <x:c r="L19" s="95"/>
      <x:c r="M19" s="95"/>
      <x:c r="N19" s="95"/>
    </x:row>
    <x:row r="20">
      <x:c r="A20" s="119" t="str">
        <x:v>Become Anonymous</x:v>
      </x:c>
      <x:c r="B20" s="120" t="n">
        <x:v>1</x:v>
      </x:c>
      <x:c r="C20" s="119" t="str">
        <x:v>ACR</x:v>
      </x:c>
      <x:c r="D20" s="119" t="str">
        <x:v>—</x:v>
      </x:c>
      <x:c r="E20" s="119" t="str">
        <x:v>4. Evasion / equipment / protection</x:v>
      </x:c>
      <x:c r="F20" s="119" t="str">
        <x:v>CURRENT</x:v>
      </x:c>
      <x:c r="G20" s="119" t="str">
        <x:v>Interaction</x:v>
      </x:c>
      <x:c r="H20" s="119" t="str">
        <x:v>Yes</x:v>
      </x:c>
      <x:c r="I20" s="119" t="str">
        <x:v>Thematic trick; exact mode and tempo matter.</x:v>
      </x:c>
      <x:c r="J20" s="95"/>
      <x:c r="K20" s="95"/>
      <x:c r="L20" s="95"/>
      <x:c r="M20" s="95"/>
      <x:c r="N20" s="95"/>
    </x:row>
    <x:row r="21">
      <x:c r="A21" s="119" t="str">
        <x:v>Bleeding Effect</x:v>
      </x:c>
      <x:c r="B21" s="120" t="n">
        <x:v>1</x:v>
      </x:c>
      <x:c r="C21" s="119" t="str">
        <x:v>ACR</x:v>
      </x:c>
      <x:c r="D21" s="119" t="str">
        <x:v>*F*</x:v>
      </x:c>
      <x:c r="E21" s="119" t="str">
        <x:v>5. Historic / legendary / Sagas</x:v>
      </x:c>
      <x:c r="F21" s="119" t="str">
        <x:v>CURRENT</x:v>
      </x:c>
      <x:c r="G21" s="119" t="str">
        <x:v>Saga</x:v>
      </x:c>
      <x:c r="H21" s="119" t="str">
        <x:v>Yes</x:v>
      </x:c>
      <x:c r="I21" s="119" t="str">
        <x:v>Thematic saga; supports historic package.</x:v>
      </x:c>
      <x:c r="J21" s="95"/>
      <x:c r="K21" s="95"/>
      <x:c r="L21" s="95"/>
      <x:c r="M21" s="95"/>
      <x:c r="N21" s="95"/>
    </x:row>
    <x:row r="22">
      <x:c r="A22" s="119" t="str">
        <x:v>Bountiful Landscape</x:v>
      </x:c>
      <x:c r="B22" s="120" t="n">
        <x:v>1</x:v>
      </x:c>
      <x:c r="C22" s="119" t="str">
        <x:v>TDC</x:v>
      </x:c>
      <x:c r="D22" s="119" t="str">
        <x:v>—</x:v>
      </x:c>
      <x:c r="E22" s="119" t="str">
        <x:v>LAND — not counted among 8 spell groups</x:v>
      </x:c>
      <x:c r="F22" s="119" t="str">
        <x:v>CURRENT</x:v>
      </x:c>
      <x:c r="G22" s="119" t="str">
        <x:v>Land</x:v>
      </x:c>
      <x:c r="H22" s="119" t="str">
        <x:v>No</x:v>
      </x:c>
      <x:c r="I22" s="119" t="str">
        <x:v>Slow color fixing through land search.</x:v>
      </x:c>
      <x:c r="J22" s="95"/>
      <x:c r="K22" s="95"/>
      <x:c r="L22" s="95"/>
      <x:c r="M22" s="95"/>
      <x:c r="N22" s="95"/>
    </x:row>
    <x:row r="23">
      <x:c r="A23" s="119" t="str">
        <x:v>Brotherhood Regalia</x:v>
      </x:c>
      <x:c r="B23" s="120" t="n">
        <x:v>1</x:v>
      </x:c>
      <x:c r="C23" s="119" t="str">
        <x:v>ACR</x:v>
      </x:c>
      <x:c r="D23" s="119" t="str">
        <x:v>—</x:v>
      </x:c>
      <x:c r="E23" s="119" t="str">
        <x:v>4. Evasion / equipment / protection</x:v>
      </x:c>
      <x:c r="F23" s="119" t="str">
        <x:v>CURRENT</x:v>
      </x:c>
      <x:c r="G23" s="119" t="str">
        <x:v>Equipment</x:v>
      </x:c>
      <x:c r="H23" s="119" t="str">
        <x:v>Yes</x:v>
      </x:c>
      <x:c r="I23" s="119" t="str">
        <x:v>Equipped legendary creature gets ward, becomes Assassin and can't be blocked.</x:v>
      </x:c>
      <x:c r="J23" s="95"/>
      <x:c r="K23" s="95"/>
      <x:c r="L23" s="95"/>
      <x:c r="M23" s="95"/>
      <x:c r="N23" s="95"/>
    </x:row>
    <x:row r="24">
      <x:c r="A24" s="119" t="str">
        <x:v>Casualties of War</x:v>
      </x:c>
      <x:c r="B24" s="120" t="n">
        <x:v>1</x:v>
      </x:c>
      <x:c r="C24" s="119" t="str">
        <x:v>KHC</x:v>
      </x:c>
      <x:c r="D24" s="119" t="str">
        <x:v>—</x:v>
      </x:c>
      <x:c r="E24" s="119" t="str">
        <x:v>7. Board control / graveyard</x:v>
      </x:c>
      <x:c r="F24" s="119" t="str">
        <x:v>CURRENT</x:v>
      </x:c>
      <x:c r="G24" s="119" t="str">
        <x:v>Premium removal</x:v>
      </x:c>
      <x:c r="H24" s="119" t="str">
        <x:v>No</x:v>
      </x:c>
      <x:c r="I24" s="119" t="str">
        <x:v>Powerful modes but six mana and demanding black/green pips in a five-color deck.</x:v>
      </x:c>
      <x:c r="J24" s="95"/>
      <x:c r="K24" s="95"/>
      <x:c r="L24" s="95"/>
      <x:c r="M24" s="95"/>
      <x:c r="N24" s="95"/>
    </x:row>
    <x:row r="25">
      <x:c r="A25" s="119" t="str">
        <x:v>Chain Assassination</x:v>
      </x:c>
      <x:c r="B25" s="120" t="n">
        <x:v>1</x:v>
      </x:c>
      <x:c r="C25" s="119" t="str">
        <x:v>ACR</x:v>
      </x:c>
      <x:c r="D25" s="119" t="str">
        <x:v>—</x:v>
      </x:c>
      <x:c r="E25" s="119" t="str">
        <x:v>6. Removal / interaction</x:v>
      </x:c>
      <x:c r="F25" s="119" t="str">
        <x:v>CURRENT</x:v>
      </x:c>
      <x:c r="G25" s="119" t="str">
        <x:v>Removal</x:v>
      </x:c>
      <x:c r="H25" s="119" t="str">
        <x:v>Yes</x:v>
      </x:c>
      <x:c r="I25" s="119" t="str">
        <x:v>Thematic interaction.</x:v>
      </x:c>
      <x:c r="J25" s="95"/>
      <x:c r="K25" s="95"/>
      <x:c r="L25" s="95"/>
      <x:c r="M25" s="95"/>
      <x:c r="N25" s="95"/>
    </x:row>
    <x:row r="26">
      <x:c r="A26" s="119" t="str">
        <x:v>Coastal Piracy</x:v>
      </x:c>
      <x:c r="B26" s="120" t="n">
        <x:v>1</x:v>
      </x:c>
      <x:c r="C26" s="119" t="str">
        <x:v>ACR</x:v>
      </x:c>
      <x:c r="D26" s="119" t="str">
        <x:v>—</x:v>
      </x:c>
      <x:c r="E26" s="119" t="str">
        <x:v>2. Draw / selection / recursion</x:v>
      </x:c>
      <x:c r="F26" s="119" t="str">
        <x:v>CURRENT</x:v>
      </x:c>
      <x:c r="G26" s="119" t="str">
        <x:v>Draw</x:v>
      </x:c>
      <x:c r="H26" s="119" t="str">
        <x:v>Yes</x:v>
      </x:c>
      <x:c r="I26" s="119" t="str">
        <x:v>Draws from combat damage; rewards evasion and multiple attackers.</x:v>
      </x:c>
      <x:c r="J26" s="95"/>
      <x:c r="K26" s="95"/>
      <x:c r="L26" s="95"/>
      <x:c r="M26" s="95"/>
      <x:c r="N26" s="95"/>
    </x:row>
    <x:row r="27">
      <x:c r="A27" s="119" t="str">
        <x:v>Crystal Grotto</x:v>
      </x:c>
      <x:c r="B27" s="120" t="n">
        <x:v>1</x:v>
      </x:c>
      <x:c r="C27" s="119" t="str">
        <x:v>WOE</x:v>
      </x:c>
      <x:c r="D27" s="119" t="str">
        <x:v>—</x:v>
      </x:c>
      <x:c r="E27" s="119" t="str">
        <x:v>LAND — not counted among 8 spell groups</x:v>
      </x:c>
      <x:c r="F27" s="119" t="str">
        <x:v>CURRENT</x:v>
      </x:c>
      <x:c r="G27" s="119" t="str">
        <x:v>Land</x:v>
      </x:c>
      <x:c r="H27" s="119" t="str">
        <x:v>No</x:v>
      </x:c>
      <x:c r="I27" s="119" t="str">
        <x:v>Enters tapped, filters one mana; possible upgrade slot.</x:v>
      </x:c>
      <x:c r="J27" s="95"/>
      <x:c r="K27" s="95"/>
      <x:c r="L27" s="95"/>
      <x:c r="M27" s="95"/>
      <x:c r="N27" s="95"/>
    </x:row>
    <x:row r="28">
      <x:c r="A28" s="119" t="str">
        <x:v>Crystal Skull, Isu Spyglass</x:v>
      </x:c>
      <x:c r="B28" s="120" t="n">
        <x:v>1</x:v>
      </x:c>
      <x:c r="C28" s="119" t="str">
        <x:v>ACR</x:v>
      </x:c>
      <x:c r="D28" s="119" t="str">
        <x:v>—</x:v>
      </x:c>
      <x:c r="E28" s="119" t="str">
        <x:v>5. Historic / legendary / Sagas</x:v>
      </x:c>
      <x:c r="F28" s="119" t="str">
        <x:v>CURRENT</x:v>
      </x:c>
      <x:c r="G28" s="119" t="str">
        <x:v>Artifact</x:v>
      </x:c>
      <x:c r="H28" s="119" t="str">
        <x:v>Yes</x:v>
      </x:c>
      <x:c r="I28" s="119" t="str">
        <x:v>Thematic artifact.</x:v>
      </x:c>
      <x:c r="J28" s="95"/>
      <x:c r="K28" s="95"/>
      <x:c r="L28" s="95"/>
      <x:c r="M28" s="95"/>
      <x:c r="N28" s="95"/>
    </x:row>
    <x:row r="29">
      <x:c r="A29" s="119" t="str">
        <x:v>Dead Weight</x:v>
      </x:c>
      <x:c r="B29" s="120" t="n">
        <x:v>1</x:v>
      </x:c>
      <x:c r="C29" s="119" t="str">
        <x:v>GRN</x:v>
      </x:c>
      <x:c r="D29" s="119" t="str">
        <x:v>—</x:v>
      </x:c>
      <x:c r="E29" s="119" t="str">
        <x:v>8. Combat pressure / other thematic utility</x:v>
      </x:c>
      <x:c r="F29" s="119" t="str">
        <x:v>CURRENT</x:v>
      </x:c>
      <x:c r="G29" s="119" t="str">
        <x:v>Removal</x:v>
      </x:c>
      <x:c r="H29" s="119" t="str">
        <x:v>No</x:v>
      </x:c>
      <x:c r="I29" s="119" t="str">
        <x:v>Cheap -2/-2 aura; can answer a small creature early, but has a low ceiling later and is not part of the Assassin engine.</x:v>
      </x:c>
      <x:c r="J29" s="95"/>
      <x:c r="K29" s="95"/>
      <x:c r="L29" s="95"/>
      <x:c r="M29" s="95"/>
      <x:c r="N29" s="95"/>
    </x:row>
    <x:row r="30">
      <x:c r="A30" s="119" t="str">
        <x:v>Deceptive Landscape</x:v>
      </x:c>
      <x:c r="B30" s="120" t="n">
        <x:v>1</x:v>
      </x:c>
      <x:c r="C30" s="119" t="str">
        <x:v>TDC</x:v>
      </x:c>
      <x:c r="D30" s="119" t="str">
        <x:v>—</x:v>
      </x:c>
      <x:c r="E30" s="119" t="str">
        <x:v>LAND — not counted among 8 spell groups</x:v>
      </x:c>
      <x:c r="F30" s="119" t="str">
        <x:v>CURRENT</x:v>
      </x:c>
      <x:c r="G30" s="119" t="str">
        <x:v>Land</x:v>
      </x:c>
      <x:c r="H30" s="119" t="str">
        <x:v>No</x:v>
      </x:c>
      <x:c r="I30" s="119" t="str">
        <x:v>Slow land-based fixing.</x:v>
      </x:c>
      <x:c r="J30" s="95"/>
      <x:c r="K30" s="95"/>
      <x:c r="L30" s="95"/>
      <x:c r="M30" s="95"/>
      <x:c r="N30" s="95"/>
    </x:row>
    <x:row r="31">
      <x:c r="A31" s="119" t="str">
        <x:v>Deflecting Palm</x:v>
      </x:c>
      <x:c r="B31" s="120" t="n">
        <x:v>1</x:v>
      </x:c>
      <x:c r="C31" s="119" t="str">
        <x:v>CMR</x:v>
      </x:c>
      <x:c r="D31" s="119" t="str">
        <x:v>—</x:v>
      </x:c>
      <x:c r="E31" s="119" t="str">
        <x:v>6. Removal / interaction</x:v>
      </x:c>
      <x:c r="F31" s="119" t="str">
        <x:v>CURRENT</x:v>
      </x:c>
      <x:c r="G31" s="119" t="str">
        <x:v>Combat trick</x:v>
      </x:c>
      <x:c r="H31" s="119" t="str">
        <x:v>No</x:v>
      </x:c>
      <x:c r="I31" s="119" t="str">
        <x:v>Can create a swing but requires a specific damage scenario and color pair.</x:v>
      </x:c>
      <x:c r="J31" s="95"/>
      <x:c r="K31" s="95"/>
      <x:c r="L31" s="95"/>
      <x:c r="M31" s="95"/>
      <x:c r="N31" s="95"/>
    </x:row>
    <x:row r="32">
      <x:c r="A32" s="119" t="str">
        <x:v>Distract the Guards</x:v>
      </x:c>
      <x:c r="B32" s="120" t="n">
        <x:v>1</x:v>
      </x:c>
      <x:c r="C32" s="119" t="str">
        <x:v>ACR</x:v>
      </x:c>
      <x:c r="D32" s="119" t="str">
        <x:v>*F*</x:v>
      </x:c>
      <x:c r="E32" s="119" t="str">
        <x:v>6. Removal / interaction</x:v>
      </x:c>
      <x:c r="F32" s="119" t="str">
        <x:v>CURRENT</x:v>
      </x:c>
      <x:c r="G32" s="119" t="str">
        <x:v>Interaction</x:v>
      </x:c>
      <x:c r="H32" s="119" t="str">
        <x:v>Yes</x:v>
      </x:c>
      <x:c r="I32" s="119" t="str">
        <x:v>Thematic tempo interaction.</x:v>
      </x:c>
      <x:c r="J32" s="95"/>
      <x:c r="K32" s="95"/>
      <x:c r="L32" s="95"/>
      <x:c r="M32" s="95"/>
      <x:c r="N32" s="95"/>
    </x:row>
    <x:row r="33">
      <x:c r="A33" s="119" t="str">
        <x:v>Eivor, Wolf-Kissed</x:v>
      </x:c>
      <x:c r="B33" s="120" t="n">
        <x:v>1</x:v>
      </x:c>
      <x:c r="C33" s="119" t="str">
        <x:v>ACR</x:v>
      </x:c>
      <x:c r="D33" s="119" t="str">
        <x:v>*F*</x:v>
      </x:c>
      <x:c r="E33" s="119" t="str">
        <x:v>8. Combat pressure / other thematic utility</x:v>
      </x:c>
      <x:c r="F33" s="119" t="str">
        <x:v>CURRENT</x:v>
      </x:c>
      <x:c r="G33" s="119" t="str">
        <x:v>Creature</x:v>
      </x:c>
      <x:c r="H33" s="119" t="str">
        <x:v>Yes</x:v>
      </x:c>
      <x:c r="I33" s="119" t="str">
        <x:v>Thematic heavyweight; not a core Assassin by type.</x:v>
      </x:c>
      <x:c r="J33" s="95"/>
      <x:c r="K33" s="95"/>
      <x:c r="L33" s="95"/>
      <x:c r="M33" s="95"/>
      <x:c r="N33" s="95"/>
    </x:row>
    <x:row r="34">
      <x:c r="A34" s="119" t="str">
        <x:v>Escape Detection</x:v>
      </x:c>
      <x:c r="B34" s="120" t="n">
        <x:v>1</x:v>
      </x:c>
      <x:c r="C34" s="119" t="str">
        <x:v>ACR</x:v>
      </x:c>
      <x:c r="D34" s="119" t="str">
        <x:v>—</x:v>
      </x:c>
      <x:c r="E34" s="119" t="str">
        <x:v>4. Evasion / equipment / protection</x:v>
      </x:c>
      <x:c r="F34" s="119" t="str">
        <x:v>CURRENT</x:v>
      </x:c>
      <x:c r="G34" s="119" t="str">
        <x:v>Protection</x:v>
      </x:c>
      <x:c r="H34" s="119" t="str">
        <x:v>Yes</x:v>
      </x:c>
      <x:c r="I34" s="119" t="str">
        <x:v>Thematic protection/tempo spell.</x:v>
      </x:c>
      <x:c r="J34" s="95"/>
      <x:c r="K34" s="95"/>
      <x:c r="L34" s="95"/>
      <x:c r="M34" s="95"/>
      <x:c r="N34" s="95"/>
    </x:row>
    <x:row r="35">
      <x:c r="A35" s="119" t="str">
        <x:v>Ezio, Brash Novice</x:v>
      </x:c>
      <x:c r="B35" s="120" t="n">
        <x:v>1</x:v>
      </x:c>
      <x:c r="C35" s="119" t="str">
        <x:v>ACR</x:v>
      </x:c>
      <x:c r="D35" s="119" t="str">
        <x:v>*F*</x:v>
      </x:c>
      <x:c r="E35" s="119" t="str">
        <x:v>3. Assassin tribal + freerunning</x:v>
      </x:c>
      <x:c r="F35" s="119" t="str">
        <x:v>CURRENT</x:v>
      </x:c>
      <x:c r="G35" s="119" t="str">
        <x:v>Creature</x:v>
      </x:c>
      <x:c r="H35" s="119" t="str">
        <x:v>Yes</x:v>
      </x:c>
      <x:c r="I35" s="119" t="str">
        <x:v>Becomes an Assassin once it has two or more +1/+1 counters.</x:v>
      </x:c>
      <x:c r="J35" s="95"/>
      <x:c r="K35" s="95"/>
      <x:c r="L35" s="95"/>
      <x:c r="M35" s="95"/>
      <x:c r="N35" s="95"/>
    </x:row>
    <x:row r="36">
      <x:c r="A36" s="119" t="str">
        <x:v>Fatal Push</x:v>
      </x:c>
      <x:c r="B36" s="120" t="n">
        <x:v>1</x:v>
      </x:c>
      <x:c r="C36" s="119" t="str">
        <x:v>ACR</x:v>
      </x:c>
      <x:c r="D36" s="119" t="str">
        <x:v>*F*</x:v>
      </x:c>
      <x:c r="E36" s="119" t="str">
        <x:v>6. Removal / interaction</x:v>
      </x:c>
      <x:c r="F36" s="119" t="str">
        <x:v>CURRENT</x:v>
      </x:c>
      <x:c r="G36" s="119" t="str">
        <x:v>Removal</x:v>
      </x:c>
      <x:c r="H36" s="119" t="str">
        <x:v>Yes</x:v>
      </x:c>
      <x:c r="I36" s="119" t="str">
        <x:v>Efficient early creature answer.</x:v>
      </x:c>
      <x:c r="J36" s="95"/>
      <x:c r="K36" s="95"/>
      <x:c r="L36" s="95"/>
      <x:c r="M36" s="95"/>
      <x:c r="N36" s="95"/>
    </x:row>
    <x:row r="37">
      <x:c r="A37" s="119" t="str">
        <x:v>Foreboding Landscape</x:v>
      </x:c>
      <x:c r="B37" s="120" t="n">
        <x:v>1</x:v>
      </x:c>
      <x:c r="C37" s="119" t="str">
        <x:v>TDC</x:v>
      </x:c>
      <x:c r="D37" s="119" t="str">
        <x:v>—</x:v>
      </x:c>
      <x:c r="E37" s="119" t="str">
        <x:v>LAND — not counted among 8 spell groups</x:v>
      </x:c>
      <x:c r="F37" s="119" t="str">
        <x:v>CURRENT</x:v>
      </x:c>
      <x:c r="G37" s="119" t="str">
        <x:v>Land</x:v>
      </x:c>
      <x:c r="H37" s="119" t="str">
        <x:v>No</x:v>
      </x:c>
      <x:c r="I37" s="119" t="str">
        <x:v>Slow land-based fixing.</x:v>
      </x:c>
      <x:c r="J37" s="95"/>
      <x:c r="K37" s="95"/>
      <x:c r="L37" s="95"/>
      <x:c r="M37" s="95"/>
      <x:c r="N37" s="95"/>
    </x:row>
    <x:row r="38">
      <x:c r="A38" s="119" t="str">
        <x:v>Forest</x:v>
      </x:c>
      <x:c r="B38" s="120" t="n">
        <x:v>4</x:v>
      </x:c>
      <x:c r="C38" s="119" t="str">
        <x:v>LTR</x:v>
      </x:c>
      <x:c r="D38" s="119" t="str">
        <x:v>*F*</x:v>
      </x:c>
      <x:c r="E38" s="119" t="str">
        <x:v>LAND — not counted among 8 spell groups</x:v>
      </x:c>
      <x:c r="F38" s="119" t="str">
        <x:v>CURRENT</x:v>
      </x:c>
      <x:c r="G38" s="119" t="str">
        <x:v>Basic Land</x:v>
      </x:c>
      <x:c r="H38" s="119" t="str">
        <x:v>No</x:v>
      </x:c>
      <x:c r="I38" s="119" t="str">
        <x:v>Green source.</x:v>
      </x:c>
      <x:c r="J38" s="95"/>
      <x:c r="K38" s="95"/>
      <x:c r="L38" s="95"/>
      <x:c r="M38" s="95"/>
      <x:c r="N38" s="95"/>
    </x:row>
    <x:row r="39">
      <x:c r="A39" s="119" t="str">
        <x:v>Go for the Throat</x:v>
      </x:c>
      <x:c r="B39" s="120" t="n">
        <x:v>1</x:v>
      </x:c>
      <x:c r="C39" s="119" t="str">
        <x:v>ACR</x:v>
      </x:c>
      <x:c r="D39" s="119" t="str">
        <x:v>—</x:v>
      </x:c>
      <x:c r="E39" s="119" t="str">
        <x:v>6. Removal / interaction</x:v>
      </x:c>
      <x:c r="F39" s="119" t="str">
        <x:v>CURRENT</x:v>
      </x:c>
      <x:c r="G39" s="119" t="str">
        <x:v>Removal</x:v>
      </x:c>
      <x:c r="H39" s="119" t="str">
        <x:v>Yes</x:v>
      </x:c>
      <x:c r="I39" s="119" t="str">
        <x:v>Efficient targeted creature answer with artifact-creature restriction.</x:v>
      </x:c>
      <x:c r="J39" s="95"/>
      <x:c r="K39" s="95"/>
      <x:c r="L39" s="95"/>
      <x:c r="M39" s="95"/>
      <x:c r="N39" s="95"/>
    </x:row>
    <x:row r="40">
      <x:c r="A40" s="119" t="str">
        <x:v>Haunted Screen</x:v>
      </x:c>
      <x:c r="B40" s="120" t="n">
        <x:v>1</x:v>
      </x:c>
      <x:c r="C40" s="119" t="str">
        <x:v>DSK</x:v>
      </x:c>
      <x:c r="D40" s="119" t="str">
        <x:v>—</x:v>
      </x:c>
      <x:c r="E40" s="119" t="str">
        <x:v>1. Ramp + color fixing</x:v>
      </x:c>
      <x:c r="F40" s="119" t="str">
        <x:v>CURRENT</x:v>
      </x:c>
      <x:c r="G40" s="119" t="str">
        <x:v>Artifact</x:v>
      </x:c>
      <x:c r="H40" s="119" t="str">
        <x:v>No</x:v>
      </x:c>
      <x:c r="I40" s="119" t="str">
        <x:v>Three-mana artifact mana source: {T} adds {W} or {B}; alternatively pay 1 life to add {G}, {U}, or {R}. Slow fixing.</x:v>
      </x:c>
      <x:c r="J40" s="95"/>
      <x:c r="K40" s="95"/>
      <x:c r="L40" s="95"/>
      <x:c r="M40" s="95"/>
      <x:c r="N40" s="95"/>
    </x:row>
    <x:row r="41">
      <x:c r="A41" s="84" t="str">
        <x:v>Haystack</x:v>
      </x:c>
      <x:c r="B41" s="92" t="n">
        <x:v>1</x:v>
      </x:c>
      <x:c r="C41" s="84" t="str">
        <x:v>ACR</x:v>
      </x:c>
      <x:c r="D41" s="84" t="str">
        <x:v>—</x:v>
      </x:c>
      <x:c r="E41" s="84" t="str">
        <x:v>4. Evasion / equipment / protection</x:v>
      </x:c>
      <x:c r="F41" s="84" t="str">
        <x:v>CURRENT</x:v>
      </x:c>
      <x:c r="G41" s="84" t="str">
        <x:v>Artifact</x:v>
      </x:c>
      <x:c r="H41" s="84" t="str">
        <x:v>Yes</x:v>
      </x:c>
      <x:c r="I41" s="84" t="str">
        <x:v>Can phase out a creature you control; keep as a flavorful protection piece.</x:v>
      </x:c>
    </x:row>
    <x:row r="42">
      <x:c r="A42" s="84" t="str">
        <x:v>Hemlock Vial</x:v>
      </x:c>
      <x:c r="B42" s="92" t="n">
        <x:v>1</x:v>
      </x:c>
      <x:c r="C42" s="84" t="str">
        <x:v>ACR</x:v>
      </x:c>
      <x:c r="D42" s="84" t="str">
        <x:v>*F*</x:v>
      </x:c>
      <x:c r="E42" s="84" t="str">
        <x:v>8. Combat pressure / other thematic utility</x:v>
      </x:c>
      <x:c r="F42" s="84" t="str">
        <x:v>CURRENT</x:v>
      </x:c>
      <x:c r="G42" s="84" t="str">
        <x:v>Artifact</x:v>
      </x:c>
      <x:c r="H42" s="84" t="str">
        <x:v>Yes</x:v>
      </x:c>
      <x:c r="I42" s="84" t="str">
        <x:v>Thematic utility artifact.</x:v>
      </x:c>
    </x:row>
    <x:row r="43">
      <x:c r="A43" s="84" t="str">
        <x:v>Hidden Blade</x:v>
      </x:c>
      <x:c r="B43" s="92" t="n">
        <x:v>1</x:v>
      </x:c>
      <x:c r="C43" s="84" t="str">
        <x:v>ACR</x:v>
      </x:c>
      <x:c r="D43" s="84" t="str">
        <x:v>—</x:v>
      </x:c>
      <x:c r="E43" s="84" t="str">
        <x:v>4. Evasion / equipment / protection</x:v>
      </x:c>
      <x:c r="F43" s="84" t="str">
        <x:v>CURRENT</x:v>
      </x:c>
      <x:c r="G43" s="84" t="str">
        <x:v>Equipment</x:v>
      </x:c>
      <x:c r="H43" s="84" t="str">
        <x:v>Yes</x:v>
      </x:c>
      <x:c r="I43" s="84" t="str">
        <x:v>Thematic Equipment; rewards combat.</x:v>
      </x:c>
    </x:row>
    <x:row r="44">
      <x:c r="A44" s="84" t="str">
        <x:v>Hidden Footblade</x:v>
      </x:c>
      <x:c r="B44" s="92" t="n">
        <x:v>1</x:v>
      </x:c>
      <x:c r="C44" s="84" t="str">
        <x:v>ACR</x:v>
      </x:c>
      <x:c r="D44" s="84" t="str">
        <x:v>*F*</x:v>
      </x:c>
      <x:c r="E44" s="84" t="str">
        <x:v>4. Evasion / equipment / protection</x:v>
      </x:c>
      <x:c r="F44" s="84" t="str">
        <x:v>CURRENT</x:v>
      </x:c>
      <x:c r="G44" s="84" t="str">
        <x:v>Equipment</x:v>
      </x:c>
      <x:c r="H44" s="84" t="str">
        <x:v>Yes</x:v>
      </x:c>
      <x:c r="I44" s="84" t="str">
        <x:v>Thematic Equipment.</x:v>
      </x:c>
    </x:row>
    <x:row r="45">
      <x:c r="A45" s="84" t="str">
        <x:v>Hunter's Bow</x:v>
      </x:c>
      <x:c r="B45" s="92" t="n">
        <x:v>1</x:v>
      </x:c>
      <x:c r="C45" s="84" t="str">
        <x:v>ACR</x:v>
      </x:c>
      <x:c r="D45" s="84" t="str">
        <x:v>—</x:v>
      </x:c>
      <x:c r="E45" s="84" t="str">
        <x:v>4. Evasion / equipment / protection</x:v>
      </x:c>
      <x:c r="F45" s="84" t="str">
        <x:v>CURRENT</x:v>
      </x:c>
      <x:c r="G45" s="84" t="str">
        <x:v>Equipment</x:v>
      </x:c>
      <x:c r="H45" s="84" t="str">
        <x:v>Yes</x:v>
      </x:c>
      <x:c r="I45" s="84" t="str">
        <x:v>Utility is narrow compared with stronger tribal pieces.</x:v>
      </x:c>
    </x:row>
    <x:row r="46">
      <x:c r="A46" s="84" t="str">
        <x:v>Island</x:v>
      </x:c>
      <x:c r="B46" s="92" t="n">
        <x:v>4</x:v>
      </x:c>
      <x:c r="C46" s="84" t="str">
        <x:v>LTR</x:v>
      </x:c>
      <x:c r="D46" s="84" t="str">
        <x:v>*F*</x:v>
      </x:c>
      <x:c r="E46" s="84" t="str">
        <x:v>LAND — not counted among 8 spell groups</x:v>
      </x:c>
      <x:c r="F46" s="84" t="str">
        <x:v>CURRENT</x:v>
      </x:c>
      <x:c r="G46" s="84" t="str">
        <x:v>Basic Land</x:v>
      </x:c>
      <x:c r="H46" s="84" t="str">
        <x:v>No</x:v>
      </x:c>
      <x:c r="I46" s="84" t="str">
        <x:v>Blue source.</x:v>
      </x:c>
    </x:row>
    <x:row r="47">
      <x:c r="A47" s="84" t="str">
        <x:v>Jackdaw</x:v>
      </x:c>
      <x:c r="B47" s="92" t="n">
        <x:v>1</x:v>
      </x:c>
      <x:c r="C47" s="84" t="str">
        <x:v>ACR</x:v>
      </x:c>
      <x:c r="D47" s="84" t="str">
        <x:v>*E*</x:v>
      </x:c>
      <x:c r="E47" s="84" t="str">
        <x:v>5. Historic / legendary / Sagas</x:v>
      </x:c>
      <x:c r="F47" s="84" t="str">
        <x:v>CURRENT</x:v>
      </x:c>
      <x:c r="G47" s="84" t="str">
        <x:v>Vehicle</x:v>
      </x:c>
      <x:c r="H47" s="84" t="str">
        <x:v>Yes</x:v>
      </x:c>
      <x:c r="I47" s="84" t="str">
        <x:v>Thematic vehicle.</x:v>
      </x:c>
    </x:row>
    <x:row r="48">
      <x:c r="A48" s="84" t="str">
        <x:v>Lavaspur Boots</x:v>
      </x:c>
      <x:c r="B48" s="92" t="n">
        <x:v>1</x:v>
      </x:c>
      <x:c r="C48" s="84" t="str">
        <x:v>OTJ</x:v>
      </x:c>
      <x:c r="D48" s="84" t="str">
        <x:v>—</x:v>
      </x:c>
      <x:c r="E48" s="84" t="str">
        <x:v>4. Evasion / equipment / protection</x:v>
      </x:c>
      <x:c r="F48" s="84" t="str">
        <x:v>CURRENT</x:v>
      </x:c>
      <x:c r="G48" s="84" t="str">
        <x:v>Equipment</x:v>
      </x:c>
      <x:c r="H48" s="84" t="str">
        <x:v>No</x:v>
      </x:c>
      <x:c r="I48" s="84" t="str">
        <x:v>Haste and ward help the key attackers connect.</x:v>
      </x:c>
    </x:row>
    <x:row r="49">
      <x:c r="A49" s="84" t="str">
        <x:v>Layla Hassan</x:v>
      </x:c>
      <x:c r="B49" s="92" t="n">
        <x:v>1</x:v>
      </x:c>
      <x:c r="C49" s="84" t="str">
        <x:v>ACR</x:v>
      </x:c>
      <x:c r="D49" s="84" t="str">
        <x:v>*F*</x:v>
      </x:c>
      <x:c r="E49" s="84" t="str">
        <x:v>2. Draw / selection / recursion</x:v>
      </x:c>
      <x:c r="F49" s="84" t="str">
        <x:v>CURRENT</x:v>
      </x:c>
      <x:c r="G49" s="84" t="str">
        <x:v>Creature</x:v>
      </x:c>
      <x:c r="H49" s="84" t="str">
        <x:v>Yes</x:v>
      </x:c>
      <x:c r="I49" s="84" t="str">
        <x:v>Returns historic cards from graveyard to hand on ETB and Assassin combat damage.</x:v>
      </x:c>
    </x:row>
    <x:row r="50">
      <x:c r="A50" s="84" t="str">
        <x:v>Lydia Frye</x:v>
      </x:c>
      <x:c r="B50" s="92" t="n">
        <x:v>1</x:v>
      </x:c>
      <x:c r="C50" s="84" t="str">
        <x:v>ACR</x:v>
      </x:c>
      <x:c r="D50" s="84" t="str">
        <x:v>*F*</x:v>
      </x:c>
      <x:c r="E50" s="84" t="str">
        <x:v>2. Draw / selection / recursion</x:v>
      </x:c>
      <x:c r="F50" s="84" t="str">
        <x:v>CURRENT</x:v>
      </x:c>
      <x:c r="G50" s="84" t="str">
        <x:v>Creature</x:v>
      </x:c>
      <x:c r="H50" s="84" t="str">
        <x:v>Yes</x:v>
      </x:c>
      <x:c r="I50" s="84" t="str">
        <x:v>End-step surveil scales with tapped Assassins.</x:v>
      </x:c>
    </x:row>
    <x:row r="51">
      <x:c r="A51" s="84" t="str">
        <x:v>Mary Read and Anne Bonny</x:v>
      </x:c>
      <x:c r="B51" s="92" t="n">
        <x:v>1</x:v>
      </x:c>
      <x:c r="C51" s="84" t="str">
        <x:v>ACR</x:v>
      </x:c>
      <x:c r="D51" s="84" t="str">
        <x:v>*F*</x:v>
      </x:c>
      <x:c r="E51" s="84" t="str">
        <x:v>8. Combat pressure / other thematic utility</x:v>
      </x:c>
      <x:c r="F51" s="84" t="str">
        <x:v>CURRENT</x:v>
      </x:c>
      <x:c r="G51" s="84" t="str">
        <x:v>Creature</x:v>
      </x:c>
      <x:c r="H51" s="84" t="str">
        <x:v>Yes</x:v>
      </x:c>
      <x:c r="I51" s="84" t="str">
        <x:v>Pirate duo; keep for Assassin's Creed flavor.</x:v>
      </x:c>
    </x:row>
    <x:row r="52">
      <x:c r="A52" s="84" t="str">
        <x:v>Metallic Mimic</x:v>
      </x:c>
      <x:c r="B52" s="92" t="n">
        <x:v>1</x:v>
      </x:c>
      <x:c r="C52" s="84" t="str">
        <x:v>PZA</x:v>
      </x:c>
      <x:c r="D52" s="84" t="str">
        <x:v>*F*</x:v>
      </x:c>
      <x:c r="E52" s="84" t="str">
        <x:v>3. Assassin tribal + freerunning</x:v>
      </x:c>
      <x:c r="F52" s="84" t="str">
        <x:v>CURRENT</x:v>
      </x:c>
      <x:c r="G52" s="84" t="str">
        <x:v>Artifact creature</x:v>
      </x:c>
      <x:c r="H52" s="84" t="str">
        <x:v>No</x:v>
      </x:c>
      <x:c r="I52" s="84" t="str">
        <x:v>Choose Assassin as it enters; other Assassins you control enter with an additional +1/+1 counter. A useful tribal enhancer, not itself an Assassin in the usual rules text.</x:v>
      </x:c>
    </x:row>
    <x:row r="53">
      <x:c r="A53" s="84" t="str">
        <x:v>Mjölnir, Storm Hammer</x:v>
      </x:c>
      <x:c r="B53" s="92" t="n">
        <x:v>1</x:v>
      </x:c>
      <x:c r="C53" s="84" t="str">
        <x:v>ACR</x:v>
      </x:c>
      <x:c r="D53" s="84" t="str">
        <x:v>—</x:v>
      </x:c>
      <x:c r="E53" s="84" t="str">
        <x:v>4. Evasion / equipment / protection</x:v>
      </x:c>
      <x:c r="F53" s="84" t="str">
        <x:v>CURRENT</x:v>
      </x:c>
      <x:c r="G53" s="84" t="str">
        <x:v>Equipment</x:v>
      </x:c>
      <x:c r="H53" s="84" t="str">
        <x:v>Yes</x:v>
      </x:c>
      <x:c r="I53" s="84" t="str">
        <x:v>Thematic equipment; assess against the deck's equipment density.</x:v>
      </x:c>
    </x:row>
    <x:row r="54">
      <x:c r="A54" s="84" t="str">
        <x:v>Monastery Raid</x:v>
      </x:c>
      <x:c r="B54" s="92" t="n">
        <x:v>1</x:v>
      </x:c>
      <x:c r="C54" s="84" t="str">
        <x:v>ACR</x:v>
      </x:c>
      <x:c r="D54" s="84" t="str">
        <x:v>—</x:v>
      </x:c>
      <x:c r="E54" s="84" t="str">
        <x:v>5. Historic / legendary / Sagas</x:v>
      </x:c>
      <x:c r="F54" s="84" t="str">
        <x:v>CURRENT</x:v>
      </x:c>
      <x:c r="G54" s="84" t="str">
        <x:v>Saga</x:v>
      </x:c>
      <x:c r="H54" s="84" t="str">
        <x:v>Yes</x:v>
      </x:c>
      <x:c r="I54" s="84" t="str">
        <x:v>Thematic Saga.</x:v>
      </x:c>
    </x:row>
    <x:row r="55">
      <x:c r="A55" s="84" t="str">
        <x:v>Mortify</x:v>
      </x:c>
      <x:c r="B55" s="92" t="n">
        <x:v>1</x:v>
      </x:c>
      <x:c r="C55" s="84" t="str">
        <x:v>ACR</x:v>
      </x:c>
      <x:c r="D55" s="84" t="str">
        <x:v>—</x:v>
      </x:c>
      <x:c r="E55" s="84" t="str">
        <x:v>6. Removal / interaction</x:v>
      </x:c>
      <x:c r="F55" s="84" t="str">
        <x:v>CURRENT</x:v>
      </x:c>
      <x:c r="G55" s="84" t="str">
        <x:v>Removal</x:v>
      </x:c>
      <x:c r="H55" s="84" t="str">
        <x:v>Yes</x:v>
      </x:c>
      <x:c r="I55" s="84" t="str">
        <x:v>Flexible enchantment/creature answer.</x:v>
      </x:c>
    </x:row>
    <x:row r="56">
      <x:c r="A56" s="84" t="str">
        <x:v>Mountain</x:v>
      </x:c>
      <x:c r="B56" s="92" t="n">
        <x:v>4</x:v>
      </x:c>
      <x:c r="C56" s="84" t="str">
        <x:v>NEO</x:v>
      </x:c>
      <x:c r="D56" s="84" t="str">
        <x:v>*F*</x:v>
      </x:c>
      <x:c r="E56" s="84" t="str">
        <x:v>LAND — not counted among 8 spell groups</x:v>
      </x:c>
      <x:c r="F56" s="84" t="str">
        <x:v>CURRENT</x:v>
      </x:c>
      <x:c r="G56" s="84" t="str">
        <x:v>Basic Land</x:v>
      </x:c>
      <x:c r="H56" s="84" t="str">
        <x:v>No</x:v>
      </x:c>
      <x:c r="I56" s="84" t="str">
        <x:v>Red source.</x:v>
      </x:c>
    </x:row>
    <x:row r="57">
      <x:c r="A57" s="84" t="str">
        <x:v>Murder</x:v>
      </x:c>
      <x:c r="B57" s="92" t="n">
        <x:v>1</x:v>
      </x:c>
      <x:c r="C57" s="84" t="str">
        <x:v>ACR</x:v>
      </x:c>
      <x:c r="D57" s="84" t="str">
        <x:v>*F*</x:v>
      </x:c>
      <x:c r="E57" s="84" t="str">
        <x:v>6. Removal / interaction</x:v>
      </x:c>
      <x:c r="F57" s="84" t="str">
        <x:v>CURRENT</x:v>
      </x:c>
      <x:c r="G57" s="84" t="str">
        <x:v>Removal</x:v>
      </x:c>
      <x:c r="H57" s="84" t="str">
        <x:v>Yes</x:v>
      </x:c>
      <x:c r="I57" s="84" t="str">
        <x:v>Three-mana destroy effect is outclassed by existing cheaper answers.</x:v>
      </x:c>
    </x:row>
    <x:row r="58">
      <x:c r="A58" s="84" t="str">
        <x:v>Ominous Cemetery</x:v>
      </x:c>
      <x:c r="B58" s="92" t="n">
        <x:v>1</x:v>
      </x:c>
      <x:c r="C58" s="84" t="str">
        <x:v>WHO</x:v>
      </x:c>
      <x:c r="D58" s="84" t="str">
        <x:v>—</x:v>
      </x:c>
      <x:c r="E58" s="84" t="str">
        <x:v>LAND — not counted among 8 spell groups</x:v>
      </x:c>
      <x:c r="F58" s="84" t="str">
        <x:v>CURRENT</x:v>
      </x:c>
      <x:c r="G58" s="84" t="str">
        <x:v>Land</x:v>
      </x:c>
      <x:c r="H58" s="84" t="str">
        <x:v>No</x:v>
      </x:c>
      <x:c r="I58" s="84" t="str">
        <x:v>Colorless land with expensive creature-shuffle ability.</x:v>
      </x:c>
    </x:row>
    <x:row r="59">
      <x:c r="A59" s="84" t="str">
        <x:v>Origin of the Hidden Ones</x:v>
      </x:c>
      <x:c r="B59" s="92" t="n">
        <x:v>1</x:v>
      </x:c>
      <x:c r="C59" s="84" t="str">
        <x:v>ACR</x:v>
      </x:c>
      <x:c r="D59" s="84" t="str">
        <x:v>—</x:v>
      </x:c>
      <x:c r="E59" s="84" t="str">
        <x:v>5. Historic / legendary / Sagas</x:v>
      </x:c>
      <x:c r="F59" s="84" t="str">
        <x:v>CURRENT</x:v>
      </x:c>
      <x:c r="G59" s="84" t="str">
        <x:v>Saga</x:v>
      </x:c>
      <x:c r="H59" s="84" t="str">
        <x:v>Yes</x:v>
      </x:c>
      <x:c r="I59" s="84" t="str">
        <x:v>Thematic Saga and historic permanent.</x:v>
      </x:c>
    </x:row>
    <x:row r="60">
      <x:c r="A60" s="84" t="str">
        <x:v>Path of Ancestry</x:v>
      </x:c>
      <x:c r="B60" s="92" t="n">
        <x:v>1</x:v>
      </x:c>
      <x:c r="C60" s="84" t="str">
        <x:v>FRC</x:v>
      </x:c>
      <x:c r="D60" s="84" t="str">
        <x:v>—</x:v>
      </x:c>
      <x:c r="E60" s="84" t="str">
        <x:v>LAND — not counted among 8 spell groups</x:v>
      </x:c>
      <x:c r="F60" s="84" t="str">
        <x:v>CURRENT</x:v>
      </x:c>
      <x:c r="G60" s="84" t="str">
        <x:v>Land</x:v>
      </x:c>
      <x:c r="H60" s="84" t="str">
        <x:v>No</x:v>
      </x:c>
      <x:c r="I60" s="84" t="str">
        <x:v>Can fix creature colors and scry with matching type.</x:v>
      </x:c>
    </x:row>
    <x:row r="61">
      <x:c r="A61" s="84" t="str">
        <x:v>Path to Exile</x:v>
      </x:c>
      <x:c r="B61" s="92" t="n">
        <x:v>1</x:v>
      </x:c>
      <x:c r="C61" s="84" t="str">
        <x:v>ACR</x:v>
      </x:c>
      <x:c r="D61" s="84" t="str">
        <x:v>—</x:v>
      </x:c>
      <x:c r="E61" s="84" t="str">
        <x:v>6. Removal / interaction</x:v>
      </x:c>
      <x:c r="F61" s="84" t="str">
        <x:v>CURRENT</x:v>
      </x:c>
      <x:c r="G61" s="84" t="str">
        <x:v>Removal</x:v>
      </x:c>
      <x:c r="H61" s="84" t="str">
        <x:v>Yes</x:v>
      </x:c>
      <x:c r="I61" s="84" t="str">
        <x:v>Efficient exile answer.</x:v>
      </x:c>
    </x:row>
    <x:row r="62">
      <x:c r="A62" s="84" t="str">
        <x:v>Perilous Landscape</x:v>
      </x:c>
      <x:c r="B62" s="92" t="n">
        <x:v>1</x:v>
      </x:c>
      <x:c r="C62" s="84" t="str">
        <x:v>FRC</x:v>
      </x:c>
      <x:c r="D62" s="84" t="str">
        <x:v>—</x:v>
      </x:c>
      <x:c r="E62" s="84" t="str">
        <x:v>LAND — not counted among 8 spell groups</x:v>
      </x:c>
      <x:c r="F62" s="84" t="str">
        <x:v>CURRENT</x:v>
      </x:c>
      <x:c r="G62" s="84" t="str">
        <x:v>Land</x:v>
      </x:c>
      <x:c r="H62" s="84" t="str">
        <x:v>No</x:v>
      </x:c>
      <x:c r="I62" s="84" t="str">
        <x:v>Slow land-based fixing.</x:v>
      </x:c>
    </x:row>
    <x:row r="63">
      <x:c r="A63" s="84" t="str">
        <x:v>Petty Larceny</x:v>
      </x:c>
      <x:c r="B63" s="92" t="n">
        <x:v>1</x:v>
      </x:c>
      <x:c r="C63" s="84" t="str">
        <x:v>ACR</x:v>
      </x:c>
      <x:c r="D63" s="84" t="str">
        <x:v>*F*</x:v>
      </x:c>
      <x:c r="E63" s="84" t="str">
        <x:v>6. Removal / interaction</x:v>
      </x:c>
      <x:c r="F63" s="84" t="str">
        <x:v>CURRENT</x:v>
      </x:c>
      <x:c r="G63" s="84" t="str">
        <x:v>Interaction</x:v>
      </x:c>
      <x:c r="H63" s="84" t="str">
        <x:v>Yes</x:v>
      </x:c>
      <x:c r="I63" s="84" t="str">
        <x:v>Thematic trick; supports the set's action and theft flavor.</x:v>
      </x:c>
    </x:row>
    <x:row r="64">
      <x:c r="A64" s="84" t="str">
        <x:v>Plains</x:v>
      </x:c>
      <x:c r="B64" s="92" t="n">
        <x:v>4</x:v>
      </x:c>
      <x:c r="C64" s="84" t="str">
        <x:v>MID</x:v>
      </x:c>
      <x:c r="D64" s="84" t="str">
        <x:v>*F*</x:v>
      </x:c>
      <x:c r="E64" s="84" t="str">
        <x:v>LAND — not counted among 8 spell groups</x:v>
      </x:c>
      <x:c r="F64" s="84" t="str">
        <x:v>CURRENT</x:v>
      </x:c>
      <x:c r="G64" s="84" t="str">
        <x:v>Basic Land</x:v>
      </x:c>
      <x:c r="H64" s="84" t="str">
        <x:v>No</x:v>
      </x:c>
      <x:c r="I64" s="84" t="str">
        <x:v>White source.</x:v>
      </x:c>
    </x:row>
    <x:row r="65">
      <x:c r="A65" s="84" t="str">
        <x:v>Primal Command</x:v>
      </x:c>
      <x:c r="B65" s="92" t="n">
        <x:v>1</x:v>
      </x:c>
      <x:c r="C65" s="84" t="str">
        <x:v>STA</x:v>
      </x:c>
      <x:c r="D65" s="84" t="str">
        <x:v>—</x:v>
      </x:c>
      <x:c r="E65" s="84" t="str">
        <x:v>7. Board control / graveyard</x:v>
      </x:c>
      <x:c r="F65" s="84" t="str">
        <x:v>CURRENT</x:v>
      </x:c>
      <x:c r="G65" s="84" t="str">
        <x:v>Utility</x:v>
      </x:c>
      <x:c r="H65" s="84" t="str">
        <x:v>No</x:v>
      </x:c>
      <x:c r="I65" s="84" t="str">
        <x:v>Flexible but five mana and not particularly tied to Assassin/legendary plan.</x:v>
      </x:c>
    </x:row>
    <x:row r="66">
      <x:c r="A66" s="84" t="str">
        <x:v>Queen Marchesa</x:v>
      </x:c>
      <x:c r="B66" s="92" t="n">
        <x:v>1</x:v>
      </x:c>
      <x:c r="C66" s="84" t="str">
        <x:v>OTC</x:v>
      </x:c>
      <x:c r="D66" s="84" t="str">
        <x:v>—</x:v>
      </x:c>
      <x:c r="E66" s="84" t="str">
        <x:v>3. Assassin tribal + freerunning</x:v>
      </x:c>
      <x:c r="F66" s="84" t="str">
        <x:v>CURRENT</x:v>
      </x:c>
      <x:c r="G66" s="84" t="str">
        <x:v>Creature</x:v>
      </x:c>
      <x:c r="H66" s="84" t="str">
        <x:v>No</x:v>
      </x:c>
      <x:c r="I66" s="84" t="str">
        <x:v>Assassin type; monarchy gives a draw engine and political dimension.</x:v>
      </x:c>
    </x:row>
    <x:row r="67">
      <x:c r="A67" s="84" t="str">
        <x:v>Rest in Peace</x:v>
      </x:c>
      <x:c r="B67" s="92" t="n">
        <x:v>1</x:v>
      </x:c>
      <x:c r="C67" s="84" t="str">
        <x:v>ACR</x:v>
      </x:c>
      <x:c r="D67" s="84" t="str">
        <x:v>*F*</x:v>
      </x:c>
      <x:c r="E67" s="84" t="str">
        <x:v>7. Board control / graveyard</x:v>
      </x:c>
      <x:c r="F67" s="84" t="str">
        <x:v>CURRENT</x:v>
      </x:c>
      <x:c r="G67" s="84" t="str">
        <x:v>Graveyard hate</x:v>
      </x:c>
      <x:c r="H67" s="84" t="str">
        <x:v>Yes</x:v>
      </x:c>
      <x:c r="I67" s="84" t="str">
        <x:v>Powerful graveyard hate, but disables your own graveyard plans, including Layla Hassan recursion and Altaïr's attack trigger if Altaïr is added.</x:v>
      </x:c>
    </x:row>
    <x:row r="68">
      <x:c r="A68" s="84" t="str">
        <x:v>Restart Sequence</x:v>
      </x:c>
      <x:c r="B68" s="92" t="n">
        <x:v>1</x:v>
      </x:c>
      <x:c r="C68" s="84" t="str">
        <x:v>ACR</x:v>
      </x:c>
      <x:c r="D68" s="84" t="str">
        <x:v>*F*</x:v>
      </x:c>
      <x:c r="E68" s="84" t="str">
        <x:v>5. Historic / legendary / Sagas</x:v>
      </x:c>
      <x:c r="F68" s="84" t="str">
        <x:v>CURRENT</x:v>
      </x:c>
      <x:c r="G68" s="84" t="str">
        <x:v>Saga</x:v>
      </x:c>
      <x:c r="H68" s="84" t="str">
        <x:v>Yes</x:v>
      </x:c>
      <x:c r="I68" s="84" t="str">
        <x:v>Thematic Saga.</x:v>
      </x:c>
    </x:row>
    <x:row r="69">
      <x:c r="A69" s="84" t="str">
        <x:v>Roshan, Hidden Magister</x:v>
      </x:c>
      <x:c r="B69" s="92" t="n">
        <x:v>1</x:v>
      </x:c>
      <x:c r="C69" s="84" t="str">
        <x:v>ACR</x:v>
      </x:c>
      <x:c r="D69" s="84" t="str">
        <x:v>—</x:v>
      </x:c>
      <x:c r="E69" s="84" t="str">
        <x:v>3. Assassin tribal + freerunning</x:v>
      </x:c>
      <x:c r="F69" s="84" t="str">
        <x:v>CURRENT</x:v>
      </x:c>
      <x:c r="G69" s="84" t="str">
        <x:v>Creature</x:v>
      </x:c>
      <x:c r="H69" s="84" t="str">
        <x:v>Yes</x:v>
      </x:c>
      <x:c r="I69" s="84" t="str">
        <x:v>Makes other creatures/spells/cards you own Assassins while on battlefield; face-down creatures have menace.</x:v>
      </x:c>
    </x:row>
    <x:row r="70">
      <x:c r="A70" s="84" t="str">
        <x:v>Royal Assassin</x:v>
      </x:c>
      <x:c r="B70" s="92" t="n">
        <x:v>1</x:v>
      </x:c>
      <x:c r="C70" s="84" t="str">
        <x:v>ACR</x:v>
      </x:c>
      <x:c r="D70" s="84" t="str">
        <x:v>—</x:v>
      </x:c>
      <x:c r="E70" s="84" t="str">
        <x:v>3. Assassin tribal + freerunning</x:v>
      </x:c>
      <x:c r="F70" s="84" t="str">
        <x:v>CURRENT</x:v>
      </x:c>
      <x:c r="G70" s="84" t="str">
        <x:v>Creature</x:v>
      </x:c>
      <x:c r="H70" s="84" t="str">
        <x:v>Yes</x:v>
      </x:c>
      <x:c r="I70" s="84" t="str">
        <x:v>Classic thematic control piece.</x:v>
      </x:c>
    </x:row>
    <x:row r="71">
      <x:c r="A71" s="84" t="str">
        <x:v>Secluded Courtyard</x:v>
      </x:c>
      <x:c r="B71" s="92" t="n">
        <x:v>1</x:v>
      </x:c>
      <x:c r="C71" s="84" t="str">
        <x:v>FDN</x:v>
      </x:c>
      <x:c r="D71" s="84" t="str">
        <x:v>—</x:v>
      </x:c>
      <x:c r="E71" s="84" t="str">
        <x:v>LAND — not counted among 8 spell groups</x:v>
      </x:c>
      <x:c r="F71" s="84" t="str">
        <x:v>CURRENT</x:v>
      </x:c>
      <x:c r="G71" s="84" t="str">
        <x:v>Land</x:v>
      </x:c>
      <x:c r="H71" s="84" t="str">
        <x:v>No</x:v>
      </x:c>
      <x:c r="I71" s="84" t="str">
        <x:v>Can produce a color for Assassin creature spells (or qualifying activated abilities); does not provide unrestricted colors for every noncreature/triggered cost.</x:v>
      </x:c>
    </x:row>
    <x:row r="72">
      <x:c r="A72" s="84" t="str">
        <x:v>Seething Landscape</x:v>
      </x:c>
      <x:c r="B72" s="92" t="n">
        <x:v>1</x:v>
      </x:c>
      <x:c r="C72" s="84" t="str">
        <x:v>MH3</x:v>
      </x:c>
      <x:c r="D72" s="84" t="str">
        <x:v>—</x:v>
      </x:c>
      <x:c r="E72" s="84" t="str">
        <x:v>LAND — not counted among 8 spell groups</x:v>
      </x:c>
      <x:c r="F72" s="84" t="str">
        <x:v>CURRENT</x:v>
      </x:c>
      <x:c r="G72" s="84" t="str">
        <x:v>Land</x:v>
      </x:c>
      <x:c r="H72" s="84" t="str">
        <x:v>No</x:v>
      </x:c>
      <x:c r="I72" s="84" t="str">
        <x:v>Slow color fixing.</x:v>
      </x:c>
    </x:row>
    <x:row r="73">
      <x:c r="A73" s="84" t="str">
        <x:v>Shanid, Sleepers' Scourge</x:v>
      </x:c>
      <x:c r="B73" s="92" t="n">
        <x:v>1</x:v>
      </x:c>
      <x:c r="C73" s="84" t="str">
        <x:v>DMC</x:v>
      </x:c>
      <x:c r="D73" s="84" t="str">
        <x:v>—</x:v>
      </x:c>
      <x:c r="E73" s="84" t="str">
        <x:v>2. Draw / selection / recursion</x:v>
      </x:c>
      <x:c r="F73" s="84" t="str">
        <x:v>CURRENT</x:v>
      </x:c>
      <x:c r="G73" s="84" t="str">
        <x:v>Creature</x:v>
      </x:c>
      <x:c r="H73" s="84" t="str">
        <x:v>No</x:v>
      </x:c>
      <x:c r="I73" s="84" t="str">
        <x:v>Makes legendary creatures menace and supports card advantage.</x:v>
      </x:c>
    </x:row>
    <x:row r="74">
      <x:c r="A74" s="84" t="str">
        <x:v>Shao Jun</x:v>
      </x:c>
      <x:c r="B74" s="92" t="n">
        <x:v>1</x:v>
      </x:c>
      <x:c r="C74" s="84" t="str">
        <x:v>ACR</x:v>
      </x:c>
      <x:c r="D74" s="84" t="str">
        <x:v>—</x:v>
      </x:c>
      <x:c r="E74" s="84" t="str">
        <x:v>3. Assassin tribal + freerunning</x:v>
      </x:c>
      <x:c r="F74" s="84" t="str">
        <x:v>CURRENT</x:v>
      </x:c>
      <x:c r="G74" s="84" t="str">
        <x:v>Creature</x:v>
      </x:c>
      <x:c r="H74" s="84" t="str">
        <x:v>Yes</x:v>
      </x:c>
      <x:c r="I74" s="84" t="str">
        <x:v>Thematic Assassin character.</x:v>
      </x:c>
    </x:row>
    <x:row r="75">
      <x:c r="A75" s="84" t="str">
        <x:v>Shay Cormac</x:v>
      </x:c>
      <x:c r="B75" s="92" t="n">
        <x:v>1</x:v>
      </x:c>
      <x:c r="C75" s="84" t="str">
        <x:v>ACR</x:v>
      </x:c>
      <x:c r="D75" s="84" t="str">
        <x:v>—</x:v>
      </x:c>
      <x:c r="E75" s="84" t="str">
        <x:v>6. Removal / interaction</x:v>
      </x:c>
      <x:c r="F75" s="84" t="str">
        <x:v>CURRENT</x:v>
      </x:c>
      <x:c r="G75" s="84" t="str">
        <x:v>Creature</x:v>
      </x:c>
      <x:c r="H75" s="84" t="str">
        <x:v>Yes</x:v>
      </x:c>
      <x:c r="I75" s="84" t="str">
        <x:v>Knight Rogue; helps target/remove protected creatures and grows when marked creatures die.</x:v>
      </x:c>
    </x:row>
    <x:row r="76">
      <x:c r="A76" s="84" t="str">
        <x:v>Sheltering Landscape</x:v>
      </x:c>
      <x:c r="B76" s="92" t="n">
        <x:v>1</x:v>
      </x:c>
      <x:c r="C76" s="84" t="str">
        <x:v>MH3</x:v>
      </x:c>
      <x:c r="D76" s="84" t="str">
        <x:v>—</x:v>
      </x:c>
      <x:c r="E76" s="84" t="str">
        <x:v>LAND — not counted among 8 spell groups</x:v>
      </x:c>
      <x:c r="F76" s="84" t="str">
        <x:v>CURRENT</x:v>
      </x:c>
      <x:c r="G76" s="84" t="str">
        <x:v>Land</x:v>
      </x:c>
      <x:c r="H76" s="84" t="str">
        <x:v>No</x:v>
      </x:c>
      <x:c r="I76" s="84" t="str">
        <x:v>Slow color fixing.</x:v>
      </x:c>
    </x:row>
    <x:row r="77">
      <x:c r="A77" s="84" t="str">
        <x:v>Sigurd, Jarl of Ravensthorpe</x:v>
      </x:c>
      <x:c r="B77" s="92" t="n">
        <x:v>1</x:v>
      </x:c>
      <x:c r="C77" s="84" t="str">
        <x:v>ACR</x:v>
      </x:c>
      <x:c r="D77" s="84" t="str">
        <x:v>—</x:v>
      </x:c>
      <x:c r="E77" s="84" t="str">
        <x:v>8. Combat pressure / other thematic utility</x:v>
      </x:c>
      <x:c r="F77" s="84" t="str">
        <x:v>CURRENT</x:v>
      </x:c>
      <x:c r="G77" s="84" t="str">
        <x:v>Creature</x:v>
      </x:c>
      <x:c r="H77" s="84" t="str">
        <x:v>Yes</x:v>
      </x:c>
      <x:c r="I77" s="84" t="str">
        <x:v>Thematic legendary character.</x:v>
      </x:c>
    </x:row>
    <x:row r="78">
      <x:c r="A78" s="84" t="str">
        <x:v>Smoke Bomb</x:v>
      </x:c>
      <x:c r="B78" s="92" t="n">
        <x:v>1</x:v>
      </x:c>
      <x:c r="C78" s="84" t="str">
        <x:v>ACR</x:v>
      </x:c>
      <x:c r="D78" s="84" t="str">
        <x:v>—</x:v>
      </x:c>
      <x:c r="E78" s="84" t="str">
        <x:v>4. Evasion / equipment / protection</x:v>
      </x:c>
      <x:c r="F78" s="84" t="str">
        <x:v>CURRENT</x:v>
      </x:c>
      <x:c r="G78" s="84" t="str">
        <x:v>Artifact</x:v>
      </x:c>
      <x:c r="H78" s="84" t="str">
        <x:v>Yes</x:v>
      </x:c>
      <x:c r="I78" s="84" t="str">
        <x:v>Thematic utility/protection; keep unless tests show it is dead.</x:v>
      </x:c>
    </x:row>
    <x:row r="79">
      <x:c r="A79" s="84" t="str">
        <x:v>Supreme Verdict</x:v>
      </x:c>
      <x:c r="B79" s="92" t="n">
        <x:v>1</x:v>
      </x:c>
      <x:c r="C79" s="84" t="str">
        <x:v>TMC</x:v>
      </x:c>
      <x:c r="D79" s="84" t="str">
        <x:v>*F*</x:v>
      </x:c>
      <x:c r="E79" s="84" t="str">
        <x:v>7. Board control / graveyard</x:v>
      </x:c>
      <x:c r="F79" s="84" t="str">
        <x:v>CURRENT</x:v>
      </x:c>
      <x:c r="G79" s="84" t="str">
        <x:v>Board wipe</x:v>
      </x:c>
      <x:c r="H79" s="84" t="str">
        <x:v>No</x:v>
      </x:c>
      <x:c r="I79" s="84" t="str">
        <x:v>Reliable reset; preserve as the main global creature reset.</x:v>
      </x:c>
    </x:row>
    <x:row r="80">
      <x:c r="A80" s="84" t="str">
        <x:v>Swamp</x:v>
      </x:c>
      <x:c r="B80" s="92" t="n">
        <x:v>4</x:v>
      </x:c>
      <x:c r="C80" s="84" t="str">
        <x:v>NEO</x:v>
      </x:c>
      <x:c r="D80" s="84" t="str">
        <x:v>*F*</x:v>
      </x:c>
      <x:c r="E80" s="84" t="str">
        <x:v>LAND — not counted among 8 spell groups</x:v>
      </x:c>
      <x:c r="F80" s="84" t="str">
        <x:v>CURRENT</x:v>
      </x:c>
      <x:c r="G80" s="84" t="str">
        <x:v>Basic Land</x:v>
      </x:c>
      <x:c r="H80" s="84" t="str">
        <x:v>No</x:v>
      </x:c>
      <x:c r="I80" s="84" t="str">
        <x:v>Black source.</x:v>
      </x:c>
    </x:row>
    <x:row r="81">
      <x:c r="A81" s="84" t="str">
        <x:v>Swords to Plowshares</x:v>
      </x:c>
      <x:c r="B81" s="92" t="n">
        <x:v>1</x:v>
      </x:c>
      <x:c r="C81" s="84" t="str">
        <x:v>STA</x:v>
      </x:c>
      <x:c r="D81" s="84" t="str">
        <x:v>—</x:v>
      </x:c>
      <x:c r="E81" s="84" t="str">
        <x:v>6. Removal / interaction</x:v>
      </x:c>
      <x:c r="F81" s="84" t="str">
        <x:v>CURRENT</x:v>
      </x:c>
      <x:c r="G81" s="84" t="str">
        <x:v>Removal</x:v>
      </x:c>
      <x:c r="H81" s="84" t="str">
        <x:v>No</x:v>
      </x:c>
      <x:c r="I81" s="84" t="str">
        <x:v>Premium creature answer.</x:v>
      </x:c>
    </x:row>
    <x:row r="82">
      <x:c r="A82" s="84" t="str">
        <x:v>Tax Collector</x:v>
      </x:c>
      <x:c r="B82" s="92" t="n">
        <x:v>1</x:v>
      </x:c>
      <x:c r="C82" s="84" t="str">
        <x:v>ACR</x:v>
      </x:c>
      <x:c r="D82" s="84" t="str">
        <x:v>—</x:v>
      </x:c>
      <x:c r="E82" s="84" t="str">
        <x:v>6. Removal / interaction</x:v>
      </x:c>
      <x:c r="F82" s="84" t="str">
        <x:v>CURRENT</x:v>
      </x:c>
      <x:c r="G82" s="84" t="str">
        <x:v>Creature</x:v>
      </x:c>
      <x:c r="H82" s="84" t="str">
        <x:v>Yes</x:v>
      </x:c>
      <x:c r="I82" s="84" t="str">
        <x:v>ETB taxes spells or detains an opposing creature until your next turn.</x:v>
      </x:c>
    </x:row>
    <x:row r="83">
      <x:c r="A83" s="84" t="str">
        <x:v>Terminate</x:v>
      </x:c>
      <x:c r="B83" s="92" t="n">
        <x:v>1</x:v>
      </x:c>
      <x:c r="C83" s="84" t="str">
        <x:v>ACR</x:v>
      </x:c>
      <x:c r="D83" s="84" t="str">
        <x:v>—</x:v>
      </x:c>
      <x:c r="E83" s="84" t="str">
        <x:v>6. Removal / interaction</x:v>
      </x:c>
      <x:c r="F83" s="84" t="str">
        <x:v>CURRENT</x:v>
      </x:c>
      <x:c r="G83" s="84" t="str">
        <x:v>Removal</x:v>
      </x:c>
      <x:c r="H83" s="84" t="str">
        <x:v>Yes</x:v>
      </x:c>
      <x:c r="I83" s="84" t="str">
        <x:v>Efficient creature answer.</x:v>
      </x:c>
    </x:row>
    <x:row r="84">
      <x:c r="A84" s="84" t="str">
        <x:v>The Aesir Escape Valhalla</x:v>
      </x:c>
      <x:c r="B84" s="92" t="n">
        <x:v>1</x:v>
      </x:c>
      <x:c r="C84" s="84" t="str">
        <x:v>ACR</x:v>
      </x:c>
      <x:c r="D84" s="84" t="str">
        <x:v>*F*</x:v>
      </x:c>
      <x:c r="E84" s="84" t="str">
        <x:v>5. Historic / legendary / Sagas</x:v>
      </x:c>
      <x:c r="F84" s="84" t="str">
        <x:v>CURRENT</x:v>
      </x:c>
      <x:c r="G84" s="84" t="str">
        <x:v>Saga</x:v>
      </x:c>
      <x:c r="H84" s="84" t="str">
        <x:v>Yes</x:v>
      </x:c>
      <x:c r="I84" s="84" t="str">
        <x:v>Saga with graveyard/value and +1/+1 counter effects; recurring its chapter value is relevant to the historic theme. Verify exact chapter sequencing when piloting.</x:v>
      </x:c>
    </x:row>
    <x:row r="85">
      <x:c r="A85" s="84" t="str">
        <x:v>The Animus</x:v>
      </x:c>
      <x:c r="B85" s="92" t="n">
        <x:v>1</x:v>
      </x:c>
      <x:c r="C85" s="84" t="str">
        <x:v>ACR</x:v>
      </x:c>
      <x:c r="D85" s="84" t="str">
        <x:v>—</x:v>
      </x:c>
      <x:c r="E85" s="84" t="str">
        <x:v>5. Historic / legendary / Sagas</x:v>
      </x:c>
      <x:c r="F85" s="84" t="str">
        <x:v>CURRENT</x:v>
      </x:c>
      <x:c r="G85" s="84" t="str">
        <x:v>Artifact</x:v>
      </x:c>
      <x:c r="H85" s="84" t="str">
        <x:v>Yes</x:v>
      </x:c>
      <x:c r="I85" s="84" t="str">
        <x:v>Artifact that can make a legendary creature you control become a copy of a legendary creature card in a graveyard until end of turn; encourages legendary-density and graveyard awareness.</x:v>
      </x:c>
    </x:row>
    <x:row r="86">
      <x:c r="A86" s="84" t="str">
        <x:v>The Revelations of Ezio</x:v>
      </x:c>
      <x:c r="B86" s="92" t="n">
        <x:v>1</x:v>
      </x:c>
      <x:c r="C86" s="84" t="str">
        <x:v>ACR</x:v>
      </x:c>
      <x:c r="D86" s="84" t="str">
        <x:v>*F*</x:v>
      </x:c>
      <x:c r="E86" s="84" t="str">
        <x:v>5. Historic / legendary / Sagas</x:v>
      </x:c>
      <x:c r="F86" s="84" t="str">
        <x:v>CURRENT</x:v>
      </x:c>
      <x:c r="G86" s="84" t="str">
        <x:v>Saga</x:v>
      </x:c>
      <x:c r="H86" s="84" t="str">
        <x:v>Yes</x:v>
      </x:c>
      <x:c r="I86" s="84" t="str">
        <x:v>Saga: chapter abilities provide removal against a tapped creature, an attack-wide Assassin counter boost, and an Assassin reanimation line. Historic permanent.</x:v>
      </x:c>
    </x:row>
    <x:row r="87">
      <x:c r="A87" s="84" t="str">
        <x:v>Three Tree Mascot</x:v>
      </x:c>
      <x:c r="B87" s="92" t="n">
        <x:v>1</x:v>
      </x:c>
      <x:c r="C87" s="84" t="str">
        <x:v>BLB</x:v>
      </x:c>
      <x:c r="D87" s="84" t="str">
        <x:v>—</x:v>
      </x:c>
      <x:c r="E87" s="84" t="str">
        <x:v>1. Ramp + color fixing</x:v>
      </x:c>
      <x:c r="F87" s="84" t="str">
        <x:v>CURRENT</x:v>
      </x:c>
      <x:c r="G87" s="84" t="str">
        <x:v>Artifact creature</x:v>
      </x:c>
      <x:c r="H87" s="84" t="str">
        <x:v>No</x:v>
      </x:c>
      <x:c r="I87" s="84" t="str">
        <x:v>Changeling means it has every creature type; it taps for one mana of any color. A modest on-theme-adjacent fixer.</x:v>
      </x:c>
    </x:row>
    <x:row r="88">
      <x:c r="A88" s="84" t="str">
        <x:v>Towering Viewpoint</x:v>
      </x:c>
      <x:c r="B88" s="92" t="n">
        <x:v>1</x:v>
      </x:c>
      <x:c r="C88" s="84" t="str">
        <x:v>ACR</x:v>
      </x:c>
      <x:c r="D88" s="84" t="str">
        <x:v>*F*</x:v>
      </x:c>
      <x:c r="E88" s="84" t="str">
        <x:v>4. Evasion / equipment / protection</x:v>
      </x:c>
      <x:c r="F88" s="84" t="str">
        <x:v>CURRENT</x:v>
      </x:c>
      <x:c r="G88" s="84" t="str">
        <x:v>Artifact creature</x:v>
      </x:c>
      <x:c r="H88" s="84" t="str">
        <x:v>Yes</x:v>
      </x:c>
      <x:c r="I88" s="84" t="str">
        <x:v>Artifact Creature — Wall with reach/defender; its {3} ability grants flying to a target creature for the turn. Evasion is useful but the activation is mana-intensive.</x:v>
      </x:c>
    </x:row>
    <x:row r="89">
      <x:c r="A89" s="84" t="str">
        <x:v>Tranquil Landscape</x:v>
      </x:c>
      <x:c r="B89" s="92" t="n">
        <x:v>1</x:v>
      </x:c>
      <x:c r="C89" s="84" t="str">
        <x:v>MH3</x:v>
      </x:c>
      <x:c r="D89" s="84" t="str">
        <x:v>—</x:v>
      </x:c>
      <x:c r="E89" s="84" t="str">
        <x:v>LAND — not counted among 8 spell groups</x:v>
      </x:c>
      <x:c r="F89" s="84" t="str">
        <x:v>CURRENT</x:v>
      </x:c>
      <x:c r="G89" s="84" t="str">
        <x:v>Land</x:v>
      </x:c>
      <x:c r="H89" s="84" t="str">
        <x:v>No</x:v>
      </x:c>
      <x:c r="I89" s="84" t="str">
        <x:v>Slow color fixing.</x:v>
      </x:c>
    </x:row>
    <x:row r="90">
      <x:c r="A90" s="84" t="str">
        <x:v>Twisted Landscape</x:v>
      </x:c>
      <x:c r="B90" s="92" t="n">
        <x:v>1</x:v>
      </x:c>
      <x:c r="C90" s="84" t="str">
        <x:v>MH3</x:v>
      </x:c>
      <x:c r="D90" s="84" t="str">
        <x:v>—</x:v>
      </x:c>
      <x:c r="E90" s="84" t="str">
        <x:v>LAND — not counted among 8 spell groups</x:v>
      </x:c>
      <x:c r="F90" s="84" t="str">
        <x:v>CURRENT</x:v>
      </x:c>
      <x:c r="G90" s="84" t="str">
        <x:v>Land</x:v>
      </x:c>
      <x:c r="H90" s="84" t="str">
        <x:v>No</x:v>
      </x:c>
      <x:c r="I90" s="84" t="str">
        <x:v>Slow color fixing.</x:v>
      </x:c>
    </x:row>
  </x:sheetData>
  <x:mergeCells>
    <x:mergeCell ref="A1:I1"/>
    <x:mergeCell ref="A2:I2"/>
  </x:mergeCells>
  <x:conditionalFormatting sqref="H6:H90">
    <x:cfRule type="expression" dxfId="0" priority="1">
      <x:formula>H6="Yes"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e9b3a40c6244625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7" hidden="0" customWidth="1"/>
    <x:col min="3" max="3" width="10" hidden="0" customWidth="1"/>
    <x:col min="4" max="4" width="13" hidden="0" customWidth="1"/>
    <x:col min="5" max="5" width="36" hidden="0" customWidth="1"/>
    <x:col min="6" max="6" width="25" hidden="0" customWidth="1"/>
    <x:col min="7" max="7" width="30" hidden="0" customWidth="1"/>
    <x:col min="8" max="8" width="13" hidden="0" customWidth="1"/>
    <x:col min="9" max="9" width="64" hidden="0" customWidth="1"/>
  </x:cols>
  <x:sheetData>
    <x:row r="1" ht="32" customHeight="1">
      <x:c r="A1" s="124" t="str">
        <x:v>EZIO — PROPOSED V2</x:v>
      </x:c>
      <x:c r="B1" s="124"/>
      <x:c r="C1" s="124"/>
      <x:c r="D1" s="124"/>
      <x:c r="E1" s="124"/>
      <x:c r="F1" s="124"/>
      <x:c r="G1" s="124"/>
      <x:c r="H1" s="124"/>
      <x:c r="I1" s="124"/>
      <x:c r="J1" s="95"/>
      <x:c r="K1" s="95"/>
      <x:c r="L1" s="95"/>
      <x:c r="M1" s="95"/>
      <x:c r="N1" s="95"/>
    </x:row>
    <x:row r="2" ht="28" customHeight="1">
      <x:c r="A2" s="96" t="str">
        <x:v>V2 com 7 trocas, não testada; atualizações futuras devem preservar CURRENT.</x:v>
      </x:c>
      <x:c r="B2" s="96"/>
      <x:c r="C2" s="96"/>
      <x:c r="D2" s="96"/>
      <x:c r="E2" s="96"/>
      <x:c r="F2" s="96"/>
      <x:c r="G2" s="96"/>
      <x:c r="H2" s="96"/>
      <x:c r="I2" s="96"/>
      <x:c r="J2" s="136"/>
      <x:c r="K2" s="136"/>
      <x:c r="L2" s="136"/>
      <x:c r="M2" s="136"/>
      <x:c r="N2" s="136"/>
    </x:row>
    <x:row r="3">
      <x:c r="A3" s="95"/>
      <x:c r="B3" s="95"/>
      <x:c r="C3" s="95"/>
      <x:c r="D3" s="95"/>
      <x:c r="E3" s="95"/>
      <x:c r="F3" s="95"/>
      <x:c r="G3" s="95"/>
      <x:c r="H3" s="95"/>
      <x:c r="I3" s="95"/>
      <x:c r="J3" s="95"/>
      <x:c r="K3" s="95"/>
      <x:c r="L3" s="95"/>
      <x:c r="M3" s="95"/>
      <x:c r="N3" s="95"/>
    </x:row>
    <x:row r="4">
      <x:c r="A4" s="95"/>
      <x:c r="B4" s="95"/>
      <x:c r="C4" s="95"/>
      <x:c r="D4" s="95"/>
      <x:c r="E4" s="95"/>
      <x:c r="F4" s="95"/>
      <x:c r="G4" s="95"/>
      <x:c r="H4" s="95"/>
      <x:c r="I4" s="95"/>
      <x:c r="J4" s="95"/>
      <x:c r="K4" s="95"/>
      <x:c r="L4" s="95"/>
      <x:c r="M4" s="95"/>
      <x:c r="N4" s="95"/>
    </x:row>
    <x:row r="5" ht="28" customHeight="1">
      <x:c r="A5" s="132" t="str">
        <x:v>Card</x:v>
      </x:c>
      <x:c r="B5" s="132" t="str">
        <x:v>Qty</x:v>
      </x:c>
      <x:c r="C5" s="132" t="str">
        <x:v>Set</x:v>
      </x:c>
      <x:c r="D5" s="132" t="str">
        <x:v>Finish tag</x:v>
      </x:c>
      <x:c r="E5" s="132" t="str">
        <x:v>Primary 8×8 group</x:v>
      </x:c>
      <x:c r="F5" s="132" t="str">
        <x:v>Version state</x:v>
      </x:c>
      <x:c r="G5" s="132" t="str">
        <x:v>Card type (functional)</x:v>
      </x:c>
      <x:c r="H5" s="132" t="str">
        <x:v>ACR printing?</x:v>
      </x:c>
      <x:c r="I5" s="132" t="str">
        <x:v>Functional note / audit</x:v>
      </x:c>
      <x:c r="J5" s="95"/>
      <x:c r="K5" s="95"/>
      <x:c r="L5" s="95"/>
      <x:c r="M5" s="95"/>
      <x:c r="N5" s="95"/>
    </x:row>
    <x:row r="6">
      <x:c r="A6" s="119" t="str">
        <x:v>Ezio Auditore da Firenze</x:v>
      </x:c>
      <x:c r="B6" s="120" t="n">
        <x:v>1</x:v>
      </x:c>
      <x:c r="C6" s="119" t="str">
        <x:v>ACR</x:v>
      </x:c>
      <x:c r="D6" s="119" t="str">
        <x:v>*F*</x:v>
      </x:c>
      <x:c r="E6" s="119" t="str">
        <x:v>Commander / core</x:v>
      </x:c>
      <x:c r="F6" s="119" t="str">
        <x:v>Commander — unchanged</x:v>
      </x:c>
      <x:c r="G6" s="119" t="str">
        <x:v>Legendary Creature — Human Assassin</x:v>
      </x:c>
      <x:c r="H6" s="119" t="str">
        <x:v>Yes</x:v>
      </x:c>
      <x:c r="I6" s="119" t="str">
        <x:v>Menace; Assassin spells you cast have freerunning {B}{B}; can eliminate a player after combat damage if that player has 10 or less life and you pay {W}{U}{B}{R}{G}.</x:v>
      </x:c>
      <x:c r="J6" s="95"/>
      <x:c r="K6" s="95"/>
      <x:c r="L6" s="95"/>
      <x:c r="M6" s="95"/>
      <x:c r="N6" s="95"/>
    </x:row>
    <x:row r="7">
      <x:c r="A7" s="119" t="str">
        <x:v>Abstergo Entertainment</x:v>
      </x:c>
      <x:c r="B7" s="120" t="n">
        <x:v>1</x:v>
      </x:c>
      <x:c r="C7" s="119" t="str">
        <x:v>ACR</x:v>
      </x:c>
      <x:c r="D7" s="119" t="str">
        <x:v>—</x:v>
      </x:c>
      <x:c r="E7" s="119" t="str">
        <x:v>LAND — not counted among 8 spell groups</x:v>
      </x:c>
      <x:c r="F7" s="119" t="str">
        <x:v>PROPOSED V2 — added</x:v>
      </x:c>
      <x:c r="G7" s="119" t="str">
        <x:v>Land</x:v>
      </x:c>
      <x:c r="H7" s="119" t="str">
        <x:v>Yes</x:v>
      </x:c>
      <x:c r="I7" s="119" t="str">
        <x:v>Legendary land: taps for {C}; {1}, {T}: add one mana of any color; {3}, {T}, exile this land: return a historic card from a graveyard to hand, then exile all graveyards. Land utility, not a copy effect.</x:v>
      </x:c>
      <x:c r="J7" s="95"/>
      <x:c r="K7" s="95"/>
      <x:c r="L7" s="95"/>
      <x:c r="M7" s="95"/>
      <x:c r="N7" s="95"/>
    </x:row>
    <x:row r="8">
      <x:c r="A8" s="119" t="str">
        <x:v>Adrestia</x:v>
      </x:c>
      <x:c r="B8" s="120" t="n">
        <x:v>1</x:v>
      </x:c>
      <x:c r="C8" s="119" t="str">
        <x:v>ACR</x:v>
      </x:c>
      <x:c r="D8" s="119" t="str">
        <x:v>—</x:v>
      </x:c>
      <x:c r="E8" s="119" t="str">
        <x:v>5. Historic / legendary / Sagas</x:v>
      </x:c>
      <x:c r="F8" s="119" t="str">
        <x:v>PROPOSED V2 — added</x:v>
      </x:c>
      <x:c r="G8" s="119" t="str">
        <x:v>Vehicle</x:v>
      </x:c>
      <x:c r="H8" s="119" t="str">
        <x:v>Yes</x:v>
      </x:c>
      <x:c r="I8" s="119" t="str">
        <x:v>Thematic vehicle; needs crew support to turn into a creature.</x:v>
      </x:c>
      <x:c r="J8" s="95"/>
      <x:c r="K8" s="95"/>
      <x:c r="L8" s="95"/>
      <x:c r="M8" s="95"/>
      <x:c r="N8" s="95"/>
    </x:row>
    <x:row r="9">
      <x:c r="A9" s="119" t="str">
        <x:v>Adéwalé, Breaker of Chains</x:v>
      </x:c>
      <x:c r="B9" s="120" t="n">
        <x:v>1</x:v>
      </x:c>
      <x:c r="C9" s="119" t="str">
        <x:v>ACR</x:v>
      </x:c>
      <x:c r="D9" s="119" t="str">
        <x:v>—</x:v>
      </x:c>
      <x:c r="E9" s="119" t="str">
        <x:v>8. Combat pressure / other thematic utility</x:v>
      </x:c>
      <x:c r="F9" s="119" t="str">
        <x:v>PROPOSED V2 — added</x:v>
      </x:c>
      <x:c r="G9" s="119" t="str">
        <x:v>Creature</x:v>
      </x:c>
      <x:c r="H9" s="119" t="str">
        <x:v>Yes</x:v>
      </x:c>
      <x:c r="I9" s="119" t="str">
        <x:v>Pirate character; evaluate as a thematic role-player rather than core Assassin payoff.</x:v>
      </x:c>
      <x:c r="J9" s="95"/>
      <x:c r="K9" s="95"/>
      <x:c r="L9" s="95"/>
      <x:c r="M9" s="95"/>
      <x:c r="N9" s="95"/>
    </x:row>
    <x:row r="10">
      <x:c r="A10" s="119" t="str">
        <x:v>Alexios, Deimos of Kosmos</x:v>
      </x:c>
      <x:c r="B10" s="120" t="n">
        <x:v>1</x:v>
      </x:c>
      <x:c r="C10" s="119" t="str">
        <x:v>ACR</x:v>
      </x:c>
      <x:c r="D10" s="119" t="str">
        <x:v>*F*</x:v>
      </x:c>
      <x:c r="E10" s="119" t="str">
        <x:v>8. Combat pressure / other thematic utility</x:v>
      </x:c>
      <x:c r="F10" s="119" t="str">
        <x:v>PROPOSED V2 — added</x:v>
      </x:c>
      <x:c r="G10" s="119" t="str">
        <x:v>Creature</x:v>
      </x:c>
      <x:c r="H10" s="119" t="str">
        <x:v>Yes</x:v>
      </x:c>
      <x:c r="I10" s="119" t="str">
        <x:v>Political/chaotic combat role; thematic but not a core freerunning enabler.</x:v>
      </x:c>
      <x:c r="J10" s="95"/>
      <x:c r="K10" s="95"/>
      <x:c r="L10" s="95"/>
      <x:c r="M10" s="95"/>
      <x:c r="N10" s="95"/>
    </x:row>
    <x:row r="11">
      <x:c r="A11" s="119" t="str">
        <x:v>Apple of Eden, Isu Relic</x:v>
      </x:c>
      <x:c r="B11" s="120" t="n">
        <x:v>1</x:v>
      </x:c>
      <x:c r="C11" s="119" t="str">
        <x:v>ACR</x:v>
      </x:c>
      <x:c r="D11" s="119" t="str">
        <x:v>—</x:v>
      </x:c>
      <x:c r="E11" s="119" t="str">
        <x:v>5. Historic / legendary / Sagas</x:v>
      </x:c>
      <x:c r="F11" s="119" t="str">
        <x:v>PROPOSED V2 — added</x:v>
      </x:c>
      <x:c r="G11" s="119" t="str">
        <x:v>Artifact</x:v>
      </x:c>
      <x:c r="H11" s="119" t="str">
        <x:v>Yes</x:v>
      </x:c>
      <x:c r="I11" s="119" t="str">
        <x:v>Thematic artifact; contributes to historic density.</x:v>
      </x:c>
      <x:c r="J11" s="95"/>
      <x:c r="K11" s="95"/>
      <x:c r="L11" s="95"/>
      <x:c r="M11" s="95"/>
      <x:c r="N11" s="95"/>
    </x:row>
    <x:row r="12">
      <x:c r="A12" s="119" t="str">
        <x:v>Arbaaz Mir</x:v>
      </x:c>
      <x:c r="B12" s="120" t="n">
        <x:v>1</x:v>
      </x:c>
      <x:c r="C12" s="119" t="str">
        <x:v>ACR</x:v>
      </x:c>
      <x:c r="D12" s="119" t="str">
        <x:v>*F*</x:v>
      </x:c>
      <x:c r="E12" s="119" t="str">
        <x:v>3. Assassin tribal + freerunning</x:v>
      </x:c>
      <x:c r="F12" s="119" t="str">
        <x:v>PROPOSED V2 — added</x:v>
      </x:c>
      <x:c r="G12" s="119" t="str">
        <x:v>Creature</x:v>
      </x:c>
      <x:c r="H12" s="119" t="str">
        <x:v>Yes</x:v>
      </x:c>
      <x:c r="I12" s="119" t="str">
        <x:v>Pings each opponent when nontoken historic permanents enter and gains life.</x:v>
      </x:c>
      <x:c r="J12" s="95"/>
      <x:c r="K12" s="95"/>
      <x:c r="L12" s="95"/>
      <x:c r="M12" s="95"/>
      <x:c r="N12" s="95"/>
    </x:row>
    <x:row r="13">
      <x:c r="A13" s="119" t="str">
        <x:v>Arno Dorian</x:v>
      </x:c>
      <x:c r="B13" s="120" t="n">
        <x:v>1</x:v>
      </x:c>
      <x:c r="C13" s="119" t="str">
        <x:v>ACR</x:v>
      </x:c>
      <x:c r="D13" s="119" t="str">
        <x:v>—</x:v>
      </x:c>
      <x:c r="E13" s="119" t="str">
        <x:v>3. Assassin tribal + freerunning</x:v>
      </x:c>
      <x:c r="F13" s="119" t="str">
        <x:v>PROPOSED V2 — added</x:v>
      </x:c>
      <x:c r="G13" s="119" t="str">
        <x:v>Creature</x:v>
      </x:c>
      <x:c r="H13" s="119" t="str">
        <x:v>Yes</x:v>
      </x:c>
      <x:c r="I13" s="119" t="str">
        <x:v>Deathtouch and +2/+0 to other Assassins.</x:v>
      </x:c>
      <x:c r="J13" s="95"/>
      <x:c r="K13" s="95"/>
      <x:c r="L13" s="95"/>
      <x:c r="M13" s="95"/>
      <x:c r="N13" s="95"/>
    </x:row>
    <x:row r="14">
      <x:c r="A14" s="119" t="str">
        <x:v>Ash Barrens</x:v>
      </x:c>
      <x:c r="B14" s="120" t="n">
        <x:v>1</x:v>
      </x:c>
      <x:c r="C14" s="119" t="str">
        <x:v>CLB</x:v>
      </x:c>
      <x:c r="D14" s="119" t="str">
        <x:v>—</x:v>
      </x:c>
      <x:c r="E14" s="119" t="str">
        <x:v>LAND — not counted among 8 spell groups</x:v>
      </x:c>
      <x:c r="F14" s="119" t="str">
        <x:v>PROPOSED V2 — added</x:v>
      </x:c>
      <x:c r="G14" s="119" t="str">
        <x:v>Land</x:v>
      </x:c>
      <x:c r="H14" s="119" t="str">
        <x:v>No</x:v>
      </x:c>
      <x:c r="I14" s="119" t="str">
        <x:v>Basic-land cycling/fixing.</x:v>
      </x:c>
      <x:c r="J14" s="95"/>
      <x:c r="K14" s="95"/>
      <x:c r="L14" s="95"/>
      <x:c r="M14" s="95"/>
      <x:c r="N14" s="95"/>
    </x:row>
    <x:row r="15">
      <x:c r="A15" s="119" t="str">
        <x:v>Assassin Gauntlet</x:v>
      </x:c>
      <x:c r="B15" s="120" t="n">
        <x:v>1</x:v>
      </x:c>
      <x:c r="C15" s="119" t="str">
        <x:v>ACR</x:v>
      </x:c>
      <x:c r="D15" s="119" t="str">
        <x:v>*F*</x:v>
      </x:c>
      <x:c r="E15" s="119" t="str">
        <x:v>4. Evasion / equipment / protection</x:v>
      </x:c>
      <x:c r="F15" s="119" t="str">
        <x:v>PROPOSED V2 — added</x:v>
      </x:c>
      <x:c r="G15" s="119" t="str">
        <x:v>Equipment</x:v>
      </x:c>
      <x:c r="H15" s="119" t="str">
        <x:v>Yes</x:v>
      </x:c>
      <x:c r="I15" s="119" t="str">
        <x:v>Thematic equipment; evaluate alongside other equipment slots.</x:v>
      </x:c>
      <x:c r="J15" s="95"/>
      <x:c r="K15" s="95"/>
      <x:c r="L15" s="95"/>
      <x:c r="M15" s="95"/>
      <x:c r="N15" s="95"/>
    </x:row>
    <x:row r="16">
      <x:c r="A16" s="119" t="str">
        <x:v>Assassin Initiate</x:v>
      </x:c>
      <x:c r="B16" s="120" t="n">
        <x:v>1</x:v>
      </x:c>
      <x:c r="C16" s="119" t="str">
        <x:v>ACR</x:v>
      </x:c>
      <x:c r="D16" s="119" t="str">
        <x:v>—</x:v>
      </x:c>
      <x:c r="E16" s="119" t="str">
        <x:v>3. Assassin tribal + freerunning</x:v>
      </x:c>
      <x:c r="F16" s="119" t="str">
        <x:v>PROPOSED V2 — added</x:v>
      </x:c>
      <x:c r="G16" s="119" t="str">
        <x:v>Creature</x:v>
      </x:c>
      <x:c r="H16" s="119" t="str">
        <x:v>Yes</x:v>
      </x:c>
      <x:c r="I16" s="119" t="str">
        <x:v>Flexible combat keyword by paying mana.</x:v>
      </x:c>
      <x:c r="J16" s="95"/>
      <x:c r="K16" s="95"/>
      <x:c r="L16" s="95"/>
      <x:c r="M16" s="95"/>
      <x:c r="N16" s="95"/>
    </x:row>
    <x:row r="17">
      <x:c r="A17" s="119" t="str">
        <x:v>Assassin's Trophy</x:v>
      </x:c>
      <x:c r="B17" s="120" t="n">
        <x:v>1</x:v>
      </x:c>
      <x:c r="C17" s="119" t="str">
        <x:v>ACR</x:v>
      </x:c>
      <x:c r="D17" s="119" t="str">
        <x:v>—</x:v>
      </x:c>
      <x:c r="E17" s="119" t="str">
        <x:v>6. Removal / interaction</x:v>
      </x:c>
      <x:c r="F17" s="119" t="str">
        <x:v>PROPOSED V2 — added</x:v>
      </x:c>
      <x:c r="G17" s="119" t="str">
        <x:v>Removal</x:v>
      </x:c>
      <x:c r="H17" s="119" t="str">
        <x:v>Yes</x:v>
      </x:c>
      <x:c r="I17" s="119" t="str">
        <x:v>Efficient broad permanent answer.</x:v>
      </x:c>
      <x:c r="J17" s="95"/>
      <x:c r="K17" s="95"/>
      <x:c r="L17" s="95"/>
      <x:c r="M17" s="95"/>
      <x:c r="N17" s="95"/>
    </x:row>
    <x:row r="18">
      <x:c r="A18" s="119" t="str">
        <x:v>Ballad of the Black Flag</x:v>
      </x:c>
      <x:c r="B18" s="120" t="n">
        <x:v>1</x:v>
      </x:c>
      <x:c r="C18" s="119" t="str">
        <x:v>ACR</x:v>
      </x:c>
      <x:c r="D18" s="119" t="str">
        <x:v>—</x:v>
      </x:c>
      <x:c r="E18" s="119" t="str">
        <x:v>5. Historic / legendary / Sagas</x:v>
      </x:c>
      <x:c r="F18" s="119" t="str">
        <x:v>PROPOSED V2 — added</x:v>
      </x:c>
      <x:c r="G18" s="119" t="str">
        <x:v>Saga</x:v>
      </x:c>
      <x:c r="H18" s="119" t="str">
        <x:v>Yes</x:v>
      </x:c>
      <x:c r="I18" s="119" t="str">
        <x:v>Thematic saga; historic permanent.</x:v>
      </x:c>
      <x:c r="J18" s="95"/>
      <x:c r="K18" s="95"/>
      <x:c r="L18" s="95"/>
      <x:c r="M18" s="95"/>
      <x:c r="N18" s="95"/>
    </x:row>
    <x:row r="19">
      <x:c r="A19" s="119" t="str">
        <x:v>Bayek of Siwa</x:v>
      </x:c>
      <x:c r="B19" s="120" t="n">
        <x:v>1</x:v>
      </x:c>
      <x:c r="C19" s="119" t="str">
        <x:v>ACR</x:v>
      </x:c>
      <x:c r="D19" s="119" t="str">
        <x:v>*F*</x:v>
      </x:c>
      <x:c r="E19" s="119" t="str">
        <x:v>3. Assassin tribal + freerunning</x:v>
      </x:c>
      <x:c r="F19" s="119" t="str">
        <x:v>PROPOSED V2 — added</x:v>
      </x:c>
      <x:c r="G19" s="119" t="str">
        <x:v>Creature</x:v>
      </x:c>
      <x:c r="H19" s="119" t="str">
        <x:v>Yes</x:v>
      </x:c>
      <x:c r="I19" s="119" t="str">
        <x:v>Gives other historic creatures double strike during your turn.</x:v>
      </x:c>
      <x:c r="J19" s="95"/>
      <x:c r="K19" s="95"/>
      <x:c r="L19" s="95"/>
      <x:c r="M19" s="95"/>
      <x:c r="N19" s="95"/>
    </x:row>
    <x:row r="20">
      <x:c r="A20" s="119" t="str">
        <x:v>Become Anonymous</x:v>
      </x:c>
      <x:c r="B20" s="120" t="n">
        <x:v>1</x:v>
      </x:c>
      <x:c r="C20" s="119" t="str">
        <x:v>ACR</x:v>
      </x:c>
      <x:c r="D20" s="119" t="str">
        <x:v>—</x:v>
      </x:c>
      <x:c r="E20" s="119" t="str">
        <x:v>4. Evasion / equipment / protection</x:v>
      </x:c>
      <x:c r="F20" s="119" t="str">
        <x:v>PROPOSED V2 — added</x:v>
      </x:c>
      <x:c r="G20" s="119" t="str">
        <x:v>Interaction</x:v>
      </x:c>
      <x:c r="H20" s="119" t="str">
        <x:v>Yes</x:v>
      </x:c>
      <x:c r="I20" s="119" t="str">
        <x:v>Thematic trick; exact mode and tempo matter.</x:v>
      </x:c>
      <x:c r="J20" s="95"/>
      <x:c r="K20" s="95"/>
      <x:c r="L20" s="95"/>
      <x:c r="M20" s="95"/>
      <x:c r="N20" s="95"/>
    </x:row>
    <x:row r="21">
      <x:c r="A21" s="119" t="str">
        <x:v>Bleeding Effect</x:v>
      </x:c>
      <x:c r="B21" s="120" t="n">
        <x:v>1</x:v>
      </x:c>
      <x:c r="C21" s="119" t="str">
        <x:v>ACR</x:v>
      </x:c>
      <x:c r="D21" s="119" t="str">
        <x:v>*F*</x:v>
      </x:c>
      <x:c r="E21" s="119" t="str">
        <x:v>5. Historic / legendary / Sagas</x:v>
      </x:c>
      <x:c r="F21" s="119" t="str">
        <x:v>PROPOSED V2 — added</x:v>
      </x:c>
      <x:c r="G21" s="119" t="str">
        <x:v>Saga</x:v>
      </x:c>
      <x:c r="H21" s="119" t="str">
        <x:v>Yes</x:v>
      </x:c>
      <x:c r="I21" s="119" t="str">
        <x:v>Thematic saga; supports historic package.</x:v>
      </x:c>
      <x:c r="J21" s="95"/>
      <x:c r="K21" s="95"/>
      <x:c r="L21" s="95"/>
      <x:c r="M21" s="95"/>
      <x:c r="N21" s="95"/>
    </x:row>
    <x:row r="22">
      <x:c r="A22" s="119" t="str">
        <x:v>Bountiful Landscape</x:v>
      </x:c>
      <x:c r="B22" s="120" t="n">
        <x:v>1</x:v>
      </x:c>
      <x:c r="C22" s="119" t="str">
        <x:v>TDC</x:v>
      </x:c>
      <x:c r="D22" s="119" t="str">
        <x:v>—</x:v>
      </x:c>
      <x:c r="E22" s="119" t="str">
        <x:v>LAND — not counted among 8 spell groups</x:v>
      </x:c>
      <x:c r="F22" s="119" t="str">
        <x:v>PROPOSED V2 — added</x:v>
      </x:c>
      <x:c r="G22" s="119" t="str">
        <x:v>Land</x:v>
      </x:c>
      <x:c r="H22" s="119" t="str">
        <x:v>No</x:v>
      </x:c>
      <x:c r="I22" s="119" t="str">
        <x:v>Slow color fixing through land search.</x:v>
      </x:c>
      <x:c r="J22" s="95"/>
      <x:c r="K22" s="95"/>
      <x:c r="L22" s="95"/>
      <x:c r="M22" s="95"/>
      <x:c r="N22" s="95"/>
    </x:row>
    <x:row r="23">
      <x:c r="A23" s="119" t="str">
        <x:v>Brotherhood Regalia</x:v>
      </x:c>
      <x:c r="B23" s="120" t="n">
        <x:v>1</x:v>
      </x:c>
      <x:c r="C23" s="119" t="str">
        <x:v>ACR</x:v>
      </x:c>
      <x:c r="D23" s="119" t="str">
        <x:v>—</x:v>
      </x:c>
      <x:c r="E23" s="119" t="str">
        <x:v>4. Evasion / equipment / protection</x:v>
      </x:c>
      <x:c r="F23" s="119" t="str">
        <x:v>PROPOSED V2 — added</x:v>
      </x:c>
      <x:c r="G23" s="119" t="str">
        <x:v>Equipment</x:v>
      </x:c>
      <x:c r="H23" s="119" t="str">
        <x:v>Yes</x:v>
      </x:c>
      <x:c r="I23" s="119" t="str">
        <x:v>Equipped legendary creature gets ward, becomes Assassin and can't be blocked.</x:v>
      </x:c>
      <x:c r="J23" s="95"/>
      <x:c r="K23" s="95"/>
      <x:c r="L23" s="95"/>
      <x:c r="M23" s="95"/>
      <x:c r="N23" s="95"/>
    </x:row>
    <x:row r="24">
      <x:c r="A24" s="119" t="str">
        <x:v>Chain Assassination</x:v>
      </x:c>
      <x:c r="B24" s="120" t="n">
        <x:v>1</x:v>
      </x:c>
      <x:c r="C24" s="119" t="str">
        <x:v>ACR</x:v>
      </x:c>
      <x:c r="D24" s="119" t="str">
        <x:v>—</x:v>
      </x:c>
      <x:c r="E24" s="119" t="str">
        <x:v>6. Removal / interaction</x:v>
      </x:c>
      <x:c r="F24" s="119" t="str">
        <x:v>PROPOSED V2 — added</x:v>
      </x:c>
      <x:c r="G24" s="119" t="str">
        <x:v>Removal</x:v>
      </x:c>
      <x:c r="H24" s="119" t="str">
        <x:v>Yes</x:v>
      </x:c>
      <x:c r="I24" s="119" t="str">
        <x:v>Thematic interaction.</x:v>
      </x:c>
      <x:c r="J24" s="95"/>
      <x:c r="K24" s="95"/>
      <x:c r="L24" s="95"/>
      <x:c r="M24" s="95"/>
      <x:c r="N24" s="95"/>
    </x:row>
    <x:row r="25">
      <x:c r="A25" s="119" t="str">
        <x:v>Coastal Piracy</x:v>
      </x:c>
      <x:c r="B25" s="120" t="n">
        <x:v>1</x:v>
      </x:c>
      <x:c r="C25" s="119" t="str">
        <x:v>ACR</x:v>
      </x:c>
      <x:c r="D25" s="119" t="str">
        <x:v>—</x:v>
      </x:c>
      <x:c r="E25" s="119" t="str">
        <x:v>2. Draw / selection / recursion</x:v>
      </x:c>
      <x:c r="F25" s="119" t="str">
        <x:v>PROPOSED V2 — added</x:v>
      </x:c>
      <x:c r="G25" s="119" t="str">
        <x:v>Draw</x:v>
      </x:c>
      <x:c r="H25" s="119" t="str">
        <x:v>Yes</x:v>
      </x:c>
      <x:c r="I25" s="119" t="str">
        <x:v>Draws from combat damage; rewards evasion and multiple attackers.</x:v>
      </x:c>
      <x:c r="J25" s="95"/>
      <x:c r="K25" s="95"/>
      <x:c r="L25" s="95"/>
      <x:c r="M25" s="95"/>
      <x:c r="N25" s="95"/>
    </x:row>
    <x:row r="26">
      <x:c r="A26" s="119" t="str">
        <x:v>Crystal Grotto</x:v>
      </x:c>
      <x:c r="B26" s="120" t="n">
        <x:v>1</x:v>
      </x:c>
      <x:c r="C26" s="119" t="str">
        <x:v>WOE</x:v>
      </x:c>
      <x:c r="D26" s="119" t="str">
        <x:v>—</x:v>
      </x:c>
      <x:c r="E26" s="119" t="str">
        <x:v>LAND — not counted among 8 spell groups</x:v>
      </x:c>
      <x:c r="F26" s="119" t="str">
        <x:v>PROPOSED V2 — added</x:v>
      </x:c>
      <x:c r="G26" s="119" t="str">
        <x:v>Land</x:v>
      </x:c>
      <x:c r="H26" s="119" t="str">
        <x:v>No</x:v>
      </x:c>
      <x:c r="I26" s="119" t="str">
        <x:v>Enters tapped, filters one mana; possible upgrade slot.</x:v>
      </x:c>
      <x:c r="J26" s="95"/>
      <x:c r="K26" s="95"/>
      <x:c r="L26" s="95"/>
      <x:c r="M26" s="95"/>
      <x:c r="N26" s="95"/>
    </x:row>
    <x:row r="27">
      <x:c r="A27" s="119" t="str">
        <x:v>Crystal Skull, Isu Spyglass</x:v>
      </x:c>
      <x:c r="B27" s="120" t="n">
        <x:v>1</x:v>
      </x:c>
      <x:c r="C27" s="119" t="str">
        <x:v>ACR</x:v>
      </x:c>
      <x:c r="D27" s="119" t="str">
        <x:v>—</x:v>
      </x:c>
      <x:c r="E27" s="119" t="str">
        <x:v>5. Historic / legendary / Sagas</x:v>
      </x:c>
      <x:c r="F27" s="119" t="str">
        <x:v>PROPOSED V2 — added</x:v>
      </x:c>
      <x:c r="G27" s="119" t="str">
        <x:v>Artifact</x:v>
      </x:c>
      <x:c r="H27" s="119" t="str">
        <x:v>Yes</x:v>
      </x:c>
      <x:c r="I27" s="119" t="str">
        <x:v>Thematic artifact.</x:v>
      </x:c>
      <x:c r="J27" s="95"/>
      <x:c r="K27" s="95"/>
      <x:c r="L27" s="95"/>
      <x:c r="M27" s="95"/>
      <x:c r="N27" s="95"/>
    </x:row>
    <x:row r="28">
      <x:c r="A28" s="119" t="str">
        <x:v>Deceptive Landscape</x:v>
      </x:c>
      <x:c r="B28" s="120" t="n">
        <x:v>1</x:v>
      </x:c>
      <x:c r="C28" s="119" t="str">
        <x:v>TDC</x:v>
      </x:c>
      <x:c r="D28" s="119" t="str">
        <x:v>—</x:v>
      </x:c>
      <x:c r="E28" s="119" t="str">
        <x:v>LAND — not counted among 8 spell groups</x:v>
      </x:c>
      <x:c r="F28" s="119" t="str">
        <x:v>PROPOSED V2 — added</x:v>
      </x:c>
      <x:c r="G28" s="119" t="str">
        <x:v>Land</x:v>
      </x:c>
      <x:c r="H28" s="119" t="str">
        <x:v>No</x:v>
      </x:c>
      <x:c r="I28" s="119" t="str">
        <x:v>Slow land-based fixing.</x:v>
      </x:c>
      <x:c r="J28" s="95"/>
      <x:c r="K28" s="95"/>
      <x:c r="L28" s="95"/>
      <x:c r="M28" s="95"/>
      <x:c r="N28" s="95"/>
    </x:row>
    <x:row r="29">
      <x:c r="A29" s="119" t="str">
        <x:v>Distract the Guards</x:v>
      </x:c>
      <x:c r="B29" s="120" t="n">
        <x:v>1</x:v>
      </x:c>
      <x:c r="C29" s="119" t="str">
        <x:v>ACR</x:v>
      </x:c>
      <x:c r="D29" s="119" t="str">
        <x:v>*F*</x:v>
      </x:c>
      <x:c r="E29" s="119" t="str">
        <x:v>6. Removal / interaction</x:v>
      </x:c>
      <x:c r="F29" s="119" t="str">
        <x:v>PROPOSED V2 — added</x:v>
      </x:c>
      <x:c r="G29" s="119" t="str">
        <x:v>Interaction</x:v>
      </x:c>
      <x:c r="H29" s="119" t="str">
        <x:v>Yes</x:v>
      </x:c>
      <x:c r="I29" s="119" t="str">
        <x:v>Thematic tempo interaction.</x:v>
      </x:c>
      <x:c r="J29" s="95"/>
      <x:c r="K29" s="95"/>
      <x:c r="L29" s="95"/>
      <x:c r="M29" s="95"/>
      <x:c r="N29" s="95"/>
    </x:row>
    <x:row r="30">
      <x:c r="A30" s="119" t="str">
        <x:v>Eivor, Wolf-Kissed</x:v>
      </x:c>
      <x:c r="B30" s="120" t="n">
        <x:v>1</x:v>
      </x:c>
      <x:c r="C30" s="119" t="str">
        <x:v>ACR</x:v>
      </x:c>
      <x:c r="D30" s="119" t="str">
        <x:v>*F*</x:v>
      </x:c>
      <x:c r="E30" s="119" t="str">
        <x:v>8. Combat pressure / other thematic utility</x:v>
      </x:c>
      <x:c r="F30" s="119" t="str">
        <x:v>PROPOSED V2 — added</x:v>
      </x:c>
      <x:c r="G30" s="119" t="str">
        <x:v>Creature</x:v>
      </x:c>
      <x:c r="H30" s="119" t="str">
        <x:v>Yes</x:v>
      </x:c>
      <x:c r="I30" s="119" t="str">
        <x:v>Thematic heavyweight; not a core Assassin by type.</x:v>
      </x:c>
      <x:c r="J30" s="95"/>
      <x:c r="K30" s="95"/>
      <x:c r="L30" s="95"/>
      <x:c r="M30" s="95"/>
      <x:c r="N30" s="95"/>
    </x:row>
    <x:row r="31">
      <x:c r="A31" s="119" t="str">
        <x:v>Escape Detection</x:v>
      </x:c>
      <x:c r="B31" s="120" t="n">
        <x:v>1</x:v>
      </x:c>
      <x:c r="C31" s="119" t="str">
        <x:v>ACR</x:v>
      </x:c>
      <x:c r="D31" s="119" t="str">
        <x:v>—</x:v>
      </x:c>
      <x:c r="E31" s="119" t="str">
        <x:v>4. Evasion / equipment / protection</x:v>
      </x:c>
      <x:c r="F31" s="119" t="str">
        <x:v>PROPOSED V2 — added</x:v>
      </x:c>
      <x:c r="G31" s="119" t="str">
        <x:v>Protection</x:v>
      </x:c>
      <x:c r="H31" s="119" t="str">
        <x:v>Yes</x:v>
      </x:c>
      <x:c r="I31" s="119" t="str">
        <x:v>Thematic protection/tempo spell.</x:v>
      </x:c>
      <x:c r="J31" s="95"/>
      <x:c r="K31" s="95"/>
      <x:c r="L31" s="95"/>
      <x:c r="M31" s="95"/>
      <x:c r="N31" s="95"/>
    </x:row>
    <x:row r="32">
      <x:c r="A32" s="119" t="str">
        <x:v>Ezio, Brash Novice</x:v>
      </x:c>
      <x:c r="B32" s="120" t="n">
        <x:v>1</x:v>
      </x:c>
      <x:c r="C32" s="119" t="str">
        <x:v>ACR</x:v>
      </x:c>
      <x:c r="D32" s="119" t="str">
        <x:v>*F*</x:v>
      </x:c>
      <x:c r="E32" s="119" t="str">
        <x:v>3. Assassin tribal + freerunning</x:v>
      </x:c>
      <x:c r="F32" s="119" t="str">
        <x:v>PROPOSED V2 — added</x:v>
      </x:c>
      <x:c r="G32" s="119" t="str">
        <x:v>Creature</x:v>
      </x:c>
      <x:c r="H32" s="119" t="str">
        <x:v>Yes</x:v>
      </x:c>
      <x:c r="I32" s="119" t="str">
        <x:v>Becomes an Assassin once it has two or more +1/+1 counters.</x:v>
      </x:c>
      <x:c r="J32" s="95"/>
      <x:c r="K32" s="95"/>
      <x:c r="L32" s="95"/>
      <x:c r="M32" s="95"/>
      <x:c r="N32" s="95"/>
    </x:row>
    <x:row r="33">
      <x:c r="A33" s="119" t="str">
        <x:v>Fatal Push</x:v>
      </x:c>
      <x:c r="B33" s="120" t="n">
        <x:v>1</x:v>
      </x:c>
      <x:c r="C33" s="119" t="str">
        <x:v>ACR</x:v>
      </x:c>
      <x:c r="D33" s="119" t="str">
        <x:v>*F*</x:v>
      </x:c>
      <x:c r="E33" s="119" t="str">
        <x:v>6. Removal / interaction</x:v>
      </x:c>
      <x:c r="F33" s="119" t="str">
        <x:v>PROPOSED V2 — added</x:v>
      </x:c>
      <x:c r="G33" s="119" t="str">
        <x:v>Removal</x:v>
      </x:c>
      <x:c r="H33" s="119" t="str">
        <x:v>Yes</x:v>
      </x:c>
      <x:c r="I33" s="119" t="str">
        <x:v>Efficient early creature answer.</x:v>
      </x:c>
      <x:c r="J33" s="95"/>
      <x:c r="K33" s="95"/>
      <x:c r="L33" s="95"/>
      <x:c r="M33" s="95"/>
      <x:c r="N33" s="95"/>
    </x:row>
    <x:row r="34">
      <x:c r="A34" s="119" t="str">
        <x:v>Foreboding Landscape</x:v>
      </x:c>
      <x:c r="B34" s="120" t="n">
        <x:v>1</x:v>
      </x:c>
      <x:c r="C34" s="119" t="str">
        <x:v>TDC</x:v>
      </x:c>
      <x:c r="D34" s="119" t="str">
        <x:v>—</x:v>
      </x:c>
      <x:c r="E34" s="119" t="str">
        <x:v>LAND — not counted among 8 spell groups</x:v>
      </x:c>
      <x:c r="F34" s="119" t="str">
        <x:v>PROPOSED V2 — added</x:v>
      </x:c>
      <x:c r="G34" s="119" t="str">
        <x:v>Land</x:v>
      </x:c>
      <x:c r="H34" s="119" t="str">
        <x:v>No</x:v>
      </x:c>
      <x:c r="I34" s="119" t="str">
        <x:v>Slow land-based fixing.</x:v>
      </x:c>
      <x:c r="J34" s="95"/>
      <x:c r="K34" s="95"/>
      <x:c r="L34" s="95"/>
      <x:c r="M34" s="95"/>
      <x:c r="N34" s="95"/>
    </x:row>
    <x:row r="35">
      <x:c r="A35" s="119" t="str">
        <x:v>Forest</x:v>
      </x:c>
      <x:c r="B35" s="120" t="n">
        <x:v>4</x:v>
      </x:c>
      <x:c r="C35" s="119" t="str">
        <x:v>LTR</x:v>
      </x:c>
      <x:c r="D35" s="119" t="str">
        <x:v>*F*</x:v>
      </x:c>
      <x:c r="E35" s="119" t="str">
        <x:v>LAND — not counted among 8 spell groups</x:v>
      </x:c>
      <x:c r="F35" s="119" t="str">
        <x:v>PROPOSED V2 — added</x:v>
      </x:c>
      <x:c r="G35" s="119" t="str">
        <x:v>Basic Land</x:v>
      </x:c>
      <x:c r="H35" s="119" t="str">
        <x:v>No</x:v>
      </x:c>
      <x:c r="I35" s="119" t="str">
        <x:v>Green source.</x:v>
      </x:c>
      <x:c r="J35" s="95"/>
      <x:c r="K35" s="95"/>
      <x:c r="L35" s="95"/>
      <x:c r="M35" s="95"/>
      <x:c r="N35" s="95"/>
    </x:row>
    <x:row r="36">
      <x:c r="A36" s="119" t="str">
        <x:v>Go for the Throat</x:v>
      </x:c>
      <x:c r="B36" s="120" t="n">
        <x:v>1</x:v>
      </x:c>
      <x:c r="C36" s="119" t="str">
        <x:v>ACR</x:v>
      </x:c>
      <x:c r="D36" s="119" t="str">
        <x:v>—</x:v>
      </x:c>
      <x:c r="E36" s="119" t="str">
        <x:v>6. Removal / interaction</x:v>
      </x:c>
      <x:c r="F36" s="119" t="str">
        <x:v>PROPOSED V2 — added</x:v>
      </x:c>
      <x:c r="G36" s="119" t="str">
        <x:v>Removal</x:v>
      </x:c>
      <x:c r="H36" s="119" t="str">
        <x:v>Yes</x:v>
      </x:c>
      <x:c r="I36" s="119" t="str">
        <x:v>Efficient targeted creature answer with artifact-creature restriction.</x:v>
      </x:c>
      <x:c r="J36" s="95"/>
      <x:c r="K36" s="95"/>
      <x:c r="L36" s="95"/>
      <x:c r="M36" s="95"/>
      <x:c r="N36" s="95"/>
    </x:row>
    <x:row r="37">
      <x:c r="A37" s="119" t="str">
        <x:v>Haunted Screen</x:v>
      </x:c>
      <x:c r="B37" s="120" t="n">
        <x:v>1</x:v>
      </x:c>
      <x:c r="C37" s="119" t="str">
        <x:v>DSK</x:v>
      </x:c>
      <x:c r="D37" s="119" t="str">
        <x:v>—</x:v>
      </x:c>
      <x:c r="E37" s="119" t="str">
        <x:v>1. Ramp + color fixing</x:v>
      </x:c>
      <x:c r="F37" s="119" t="str">
        <x:v>PROPOSED V2 — added</x:v>
      </x:c>
      <x:c r="G37" s="119" t="str">
        <x:v>Artifact</x:v>
      </x:c>
      <x:c r="H37" s="119" t="str">
        <x:v>No</x:v>
      </x:c>
      <x:c r="I37" s="119" t="str">
        <x:v>Three-mana artifact mana source: {T} adds {W} or {B}; alternatively pay 1 life to add {G}, {U}, or {R}. Slow fixing.</x:v>
      </x:c>
      <x:c r="J37" s="95"/>
      <x:c r="K37" s="95"/>
      <x:c r="L37" s="95"/>
      <x:c r="M37" s="95"/>
      <x:c r="N37" s="95"/>
    </x:row>
    <x:row r="38">
      <x:c r="A38" s="119" t="str">
        <x:v>Haystack</x:v>
      </x:c>
      <x:c r="B38" s="120" t="n">
        <x:v>1</x:v>
      </x:c>
      <x:c r="C38" s="119" t="str">
        <x:v>ACR</x:v>
      </x:c>
      <x:c r="D38" s="119" t="str">
        <x:v>—</x:v>
      </x:c>
      <x:c r="E38" s="119" t="str">
        <x:v>4. Evasion / equipment / protection</x:v>
      </x:c>
      <x:c r="F38" s="119" t="str">
        <x:v>PROPOSED V2 — added</x:v>
      </x:c>
      <x:c r="G38" s="119" t="str">
        <x:v>Artifact</x:v>
      </x:c>
      <x:c r="H38" s="119" t="str">
        <x:v>Yes</x:v>
      </x:c>
      <x:c r="I38" s="119" t="str">
        <x:v>Can phase out a creature you control; keep as a flavorful protection piece.</x:v>
      </x:c>
      <x:c r="J38" s="95"/>
      <x:c r="K38" s="95"/>
      <x:c r="L38" s="95"/>
      <x:c r="M38" s="95"/>
      <x:c r="N38" s="95"/>
    </x:row>
    <x:row r="39">
      <x:c r="A39" s="119" t="str">
        <x:v>Hemlock Vial</x:v>
      </x:c>
      <x:c r="B39" s="120" t="n">
        <x:v>1</x:v>
      </x:c>
      <x:c r="C39" s="119" t="str">
        <x:v>ACR</x:v>
      </x:c>
      <x:c r="D39" s="119" t="str">
        <x:v>*F*</x:v>
      </x:c>
      <x:c r="E39" s="119" t="str">
        <x:v>8. Combat pressure / other thematic utility</x:v>
      </x:c>
      <x:c r="F39" s="119" t="str">
        <x:v>PROPOSED V2 — added</x:v>
      </x:c>
      <x:c r="G39" s="119" t="str">
        <x:v>Artifact</x:v>
      </x:c>
      <x:c r="H39" s="119" t="str">
        <x:v>Yes</x:v>
      </x:c>
      <x:c r="I39" s="119" t="str">
        <x:v>Thematic utility artifact.</x:v>
      </x:c>
      <x:c r="J39" s="95"/>
      <x:c r="K39" s="95"/>
      <x:c r="L39" s="95"/>
      <x:c r="M39" s="95"/>
      <x:c r="N39" s="95"/>
    </x:row>
    <x:row r="40">
      <x:c r="A40" s="119" t="str">
        <x:v>Hidden Blade</x:v>
      </x:c>
      <x:c r="B40" s="120" t="n">
        <x:v>1</x:v>
      </x:c>
      <x:c r="C40" s="119" t="str">
        <x:v>ACR</x:v>
      </x:c>
      <x:c r="D40" s="119" t="str">
        <x:v>—</x:v>
      </x:c>
      <x:c r="E40" s="119" t="str">
        <x:v>4. Evasion / equipment / protection</x:v>
      </x:c>
      <x:c r="F40" s="119" t="str">
        <x:v>PROPOSED V2 — added</x:v>
      </x:c>
      <x:c r="G40" s="119" t="str">
        <x:v>Equipment</x:v>
      </x:c>
      <x:c r="H40" s="119" t="str">
        <x:v>Yes</x:v>
      </x:c>
      <x:c r="I40" s="119" t="str">
        <x:v>Thematic Equipment; rewards combat.</x:v>
      </x:c>
      <x:c r="J40" s="95"/>
      <x:c r="K40" s="95"/>
      <x:c r="L40" s="95"/>
      <x:c r="M40" s="95"/>
      <x:c r="N40" s="95"/>
    </x:row>
    <x:row r="41">
      <x:c r="A41" s="84" t="str">
        <x:v>Hidden Footblade</x:v>
      </x:c>
      <x:c r="B41" s="92" t="n">
        <x:v>1</x:v>
      </x:c>
      <x:c r="C41" s="84" t="str">
        <x:v>ACR</x:v>
      </x:c>
      <x:c r="D41" s="84" t="str">
        <x:v>*F*</x:v>
      </x:c>
      <x:c r="E41" s="84" t="str">
        <x:v>4. Evasion / equipment / protection</x:v>
      </x:c>
      <x:c r="F41" s="84" t="str">
        <x:v>PROPOSED V2 — added</x:v>
      </x:c>
      <x:c r="G41" s="84" t="str">
        <x:v>Equipment</x:v>
      </x:c>
      <x:c r="H41" s="84" t="str">
        <x:v>Yes</x:v>
      </x:c>
      <x:c r="I41" s="84" t="str">
        <x:v>Thematic Equipment.</x:v>
      </x:c>
    </x:row>
    <x:row r="42">
      <x:c r="A42" s="84" t="str">
        <x:v>Island</x:v>
      </x:c>
      <x:c r="B42" s="92" t="n">
        <x:v>4</x:v>
      </x:c>
      <x:c r="C42" s="84" t="str">
        <x:v>LTR</x:v>
      </x:c>
      <x:c r="D42" s="84" t="str">
        <x:v>*F*</x:v>
      </x:c>
      <x:c r="E42" s="84" t="str">
        <x:v>LAND — not counted among 8 spell groups</x:v>
      </x:c>
      <x:c r="F42" s="84" t="str">
        <x:v>PROPOSED V2 — added</x:v>
      </x:c>
      <x:c r="G42" s="84" t="str">
        <x:v>Basic Land</x:v>
      </x:c>
      <x:c r="H42" s="84" t="str">
        <x:v>No</x:v>
      </x:c>
      <x:c r="I42" s="84" t="str">
        <x:v>Blue source.</x:v>
      </x:c>
    </x:row>
    <x:row r="43">
      <x:c r="A43" s="84" t="str">
        <x:v>Jackdaw</x:v>
      </x:c>
      <x:c r="B43" s="92" t="n">
        <x:v>1</x:v>
      </x:c>
      <x:c r="C43" s="84" t="str">
        <x:v>ACR</x:v>
      </x:c>
      <x:c r="D43" s="84" t="str">
        <x:v>*E*</x:v>
      </x:c>
      <x:c r="E43" s="84" t="str">
        <x:v>5. Historic / legendary / Sagas</x:v>
      </x:c>
      <x:c r="F43" s="84" t="str">
        <x:v>PROPOSED V2 — added</x:v>
      </x:c>
      <x:c r="G43" s="84" t="str">
        <x:v>Vehicle</x:v>
      </x:c>
      <x:c r="H43" s="84" t="str">
        <x:v>Yes</x:v>
      </x:c>
      <x:c r="I43" s="84" t="str">
        <x:v>Thematic vehicle.</x:v>
      </x:c>
    </x:row>
    <x:row r="44">
      <x:c r="A44" s="84" t="str">
        <x:v>Lavaspur Boots</x:v>
      </x:c>
      <x:c r="B44" s="92" t="n">
        <x:v>1</x:v>
      </x:c>
      <x:c r="C44" s="84" t="str">
        <x:v>OTJ</x:v>
      </x:c>
      <x:c r="D44" s="84" t="str">
        <x:v>—</x:v>
      </x:c>
      <x:c r="E44" s="84" t="str">
        <x:v>4. Evasion / equipment / protection</x:v>
      </x:c>
      <x:c r="F44" s="84" t="str">
        <x:v>PROPOSED V2 — added</x:v>
      </x:c>
      <x:c r="G44" s="84" t="str">
        <x:v>Equipment</x:v>
      </x:c>
      <x:c r="H44" s="84" t="str">
        <x:v>No</x:v>
      </x:c>
      <x:c r="I44" s="84" t="str">
        <x:v>Haste and ward help the key attackers connect.</x:v>
      </x:c>
    </x:row>
    <x:row r="45">
      <x:c r="A45" s="84" t="str">
        <x:v>Layla Hassan</x:v>
      </x:c>
      <x:c r="B45" s="92" t="n">
        <x:v>1</x:v>
      </x:c>
      <x:c r="C45" s="84" t="str">
        <x:v>ACR</x:v>
      </x:c>
      <x:c r="D45" s="84" t="str">
        <x:v>*F*</x:v>
      </x:c>
      <x:c r="E45" s="84" t="str">
        <x:v>2. Draw / selection / recursion</x:v>
      </x:c>
      <x:c r="F45" s="84" t="str">
        <x:v>PROPOSED V2 — added</x:v>
      </x:c>
      <x:c r="G45" s="84" t="str">
        <x:v>Creature</x:v>
      </x:c>
      <x:c r="H45" s="84" t="str">
        <x:v>Yes</x:v>
      </x:c>
      <x:c r="I45" s="84" t="str">
        <x:v>Returns historic cards from graveyard to hand on ETB and Assassin combat damage.</x:v>
      </x:c>
    </x:row>
    <x:row r="46">
      <x:c r="A46" s="84" t="str">
        <x:v>Lydia Frye</x:v>
      </x:c>
      <x:c r="B46" s="92" t="n">
        <x:v>1</x:v>
      </x:c>
      <x:c r="C46" s="84" t="str">
        <x:v>ACR</x:v>
      </x:c>
      <x:c r="D46" s="84" t="str">
        <x:v>*F*</x:v>
      </x:c>
      <x:c r="E46" s="84" t="str">
        <x:v>2. Draw / selection / recursion</x:v>
      </x:c>
      <x:c r="F46" s="84" t="str">
        <x:v>PROPOSED V2 — added</x:v>
      </x:c>
      <x:c r="G46" s="84" t="str">
        <x:v>Creature</x:v>
      </x:c>
      <x:c r="H46" s="84" t="str">
        <x:v>Yes</x:v>
      </x:c>
      <x:c r="I46" s="84" t="str">
        <x:v>End-step surveil scales with tapped Assassins.</x:v>
      </x:c>
    </x:row>
    <x:row r="47">
      <x:c r="A47" s="84" t="str">
        <x:v>Mary Read and Anne Bonny</x:v>
      </x:c>
      <x:c r="B47" s="92" t="n">
        <x:v>1</x:v>
      </x:c>
      <x:c r="C47" s="84" t="str">
        <x:v>ACR</x:v>
      </x:c>
      <x:c r="D47" s="84" t="str">
        <x:v>*F*</x:v>
      </x:c>
      <x:c r="E47" s="84" t="str">
        <x:v>8. Combat pressure / other thematic utility</x:v>
      </x:c>
      <x:c r="F47" s="84" t="str">
        <x:v>PROPOSED V2 — added</x:v>
      </x:c>
      <x:c r="G47" s="84" t="str">
        <x:v>Creature</x:v>
      </x:c>
      <x:c r="H47" s="84" t="str">
        <x:v>Yes</x:v>
      </x:c>
      <x:c r="I47" s="84" t="str">
        <x:v>Pirate duo; keep for Assassin's Creed flavor.</x:v>
      </x:c>
    </x:row>
    <x:row r="48">
      <x:c r="A48" s="84" t="str">
        <x:v>Metallic Mimic</x:v>
      </x:c>
      <x:c r="B48" s="92" t="n">
        <x:v>1</x:v>
      </x:c>
      <x:c r="C48" s="84" t="str">
        <x:v>PZA</x:v>
      </x:c>
      <x:c r="D48" s="84" t="str">
        <x:v>*F*</x:v>
      </x:c>
      <x:c r="E48" s="84" t="str">
        <x:v>3. Assassin tribal + freerunning</x:v>
      </x:c>
      <x:c r="F48" s="84" t="str">
        <x:v>PROPOSED V2 — added</x:v>
      </x:c>
      <x:c r="G48" s="84" t="str">
        <x:v>Artifact creature</x:v>
      </x:c>
      <x:c r="H48" s="84" t="str">
        <x:v>No</x:v>
      </x:c>
      <x:c r="I48" s="84" t="str">
        <x:v>Choose Assassin as it enters; other Assassins you control enter with an additional +1/+1 counter. A useful tribal enhancer, not itself an Assassin in the usual rules text.</x:v>
      </x:c>
    </x:row>
    <x:row r="49">
      <x:c r="A49" s="84" t="str">
        <x:v>Mjölnir, Storm Hammer</x:v>
      </x:c>
      <x:c r="B49" s="92" t="n">
        <x:v>1</x:v>
      </x:c>
      <x:c r="C49" s="84" t="str">
        <x:v>ACR</x:v>
      </x:c>
      <x:c r="D49" s="84" t="str">
        <x:v>—</x:v>
      </x:c>
      <x:c r="E49" s="84" t="str">
        <x:v>4. Evasion / equipment / protection</x:v>
      </x:c>
      <x:c r="F49" s="84" t="str">
        <x:v>PROPOSED V2 — added</x:v>
      </x:c>
      <x:c r="G49" s="84" t="str">
        <x:v>Equipment</x:v>
      </x:c>
      <x:c r="H49" s="84" t="str">
        <x:v>Yes</x:v>
      </x:c>
      <x:c r="I49" s="84" t="str">
        <x:v>Thematic equipment; assess against the deck's equipment density.</x:v>
      </x:c>
    </x:row>
    <x:row r="50">
      <x:c r="A50" s="84" t="str">
        <x:v>Monastery Raid</x:v>
      </x:c>
      <x:c r="B50" s="92" t="n">
        <x:v>1</x:v>
      </x:c>
      <x:c r="C50" s="84" t="str">
        <x:v>ACR</x:v>
      </x:c>
      <x:c r="D50" s="84" t="str">
        <x:v>—</x:v>
      </x:c>
      <x:c r="E50" s="84" t="str">
        <x:v>5. Historic / legendary / Sagas</x:v>
      </x:c>
      <x:c r="F50" s="84" t="str">
        <x:v>PROPOSED V2 — added</x:v>
      </x:c>
      <x:c r="G50" s="84" t="str">
        <x:v>Saga</x:v>
      </x:c>
      <x:c r="H50" s="84" t="str">
        <x:v>Yes</x:v>
      </x:c>
      <x:c r="I50" s="84" t="str">
        <x:v>Thematic Saga.</x:v>
      </x:c>
    </x:row>
    <x:row r="51">
      <x:c r="A51" s="84" t="str">
        <x:v>Mortify</x:v>
      </x:c>
      <x:c r="B51" s="92" t="n">
        <x:v>1</x:v>
      </x:c>
      <x:c r="C51" s="84" t="str">
        <x:v>ACR</x:v>
      </x:c>
      <x:c r="D51" s="84" t="str">
        <x:v>—</x:v>
      </x:c>
      <x:c r="E51" s="84" t="str">
        <x:v>6. Removal / interaction</x:v>
      </x:c>
      <x:c r="F51" s="84" t="str">
        <x:v>PROPOSED V2 — added</x:v>
      </x:c>
      <x:c r="G51" s="84" t="str">
        <x:v>Removal</x:v>
      </x:c>
      <x:c r="H51" s="84" t="str">
        <x:v>Yes</x:v>
      </x:c>
      <x:c r="I51" s="84" t="str">
        <x:v>Flexible enchantment/creature answer.</x:v>
      </x:c>
    </x:row>
    <x:row r="52">
      <x:c r="A52" s="84" t="str">
        <x:v>Mountain</x:v>
      </x:c>
      <x:c r="B52" s="92" t="n">
        <x:v>4</x:v>
      </x:c>
      <x:c r="C52" s="84" t="str">
        <x:v>NEO</x:v>
      </x:c>
      <x:c r="D52" s="84" t="str">
        <x:v>*F*</x:v>
      </x:c>
      <x:c r="E52" s="84" t="str">
        <x:v>LAND — not counted among 8 spell groups</x:v>
      </x:c>
      <x:c r="F52" s="84" t="str">
        <x:v>PROPOSED V2 — added</x:v>
      </x:c>
      <x:c r="G52" s="84" t="str">
        <x:v>Basic Land</x:v>
      </x:c>
      <x:c r="H52" s="84" t="str">
        <x:v>No</x:v>
      </x:c>
      <x:c r="I52" s="84" t="str">
        <x:v>Red source.</x:v>
      </x:c>
    </x:row>
    <x:row r="53">
      <x:c r="A53" s="84" t="str">
        <x:v>Ominous Cemetery</x:v>
      </x:c>
      <x:c r="B53" s="92" t="n">
        <x:v>1</x:v>
      </x:c>
      <x:c r="C53" s="84" t="str">
        <x:v>WHO</x:v>
      </x:c>
      <x:c r="D53" s="84" t="str">
        <x:v>—</x:v>
      </x:c>
      <x:c r="E53" s="84" t="str">
        <x:v>LAND — not counted among 8 spell groups</x:v>
      </x:c>
      <x:c r="F53" s="84" t="str">
        <x:v>PROPOSED V2 — added</x:v>
      </x:c>
      <x:c r="G53" s="84" t="str">
        <x:v>Land</x:v>
      </x:c>
      <x:c r="H53" s="84" t="str">
        <x:v>No</x:v>
      </x:c>
      <x:c r="I53" s="84" t="str">
        <x:v>Colorless land with expensive creature-shuffle ability.</x:v>
      </x:c>
    </x:row>
    <x:row r="54">
      <x:c r="A54" s="84" t="str">
        <x:v>Origin of the Hidden Ones</x:v>
      </x:c>
      <x:c r="B54" s="92" t="n">
        <x:v>1</x:v>
      </x:c>
      <x:c r="C54" s="84" t="str">
        <x:v>ACR</x:v>
      </x:c>
      <x:c r="D54" s="84" t="str">
        <x:v>—</x:v>
      </x:c>
      <x:c r="E54" s="84" t="str">
        <x:v>5. Historic / legendary / Sagas</x:v>
      </x:c>
      <x:c r="F54" s="84" t="str">
        <x:v>PROPOSED V2 — added</x:v>
      </x:c>
      <x:c r="G54" s="84" t="str">
        <x:v>Saga</x:v>
      </x:c>
      <x:c r="H54" s="84" t="str">
        <x:v>Yes</x:v>
      </x:c>
      <x:c r="I54" s="84" t="str">
        <x:v>Thematic Saga and historic permanent.</x:v>
      </x:c>
    </x:row>
    <x:row r="55">
      <x:c r="A55" s="84" t="str">
        <x:v>Path of Ancestry</x:v>
      </x:c>
      <x:c r="B55" s="92" t="n">
        <x:v>1</x:v>
      </x:c>
      <x:c r="C55" s="84" t="str">
        <x:v>FRC</x:v>
      </x:c>
      <x:c r="D55" s="84" t="str">
        <x:v>—</x:v>
      </x:c>
      <x:c r="E55" s="84" t="str">
        <x:v>LAND — not counted among 8 spell groups</x:v>
      </x:c>
      <x:c r="F55" s="84" t="str">
        <x:v>PROPOSED V2 — added</x:v>
      </x:c>
      <x:c r="G55" s="84" t="str">
        <x:v>Land</x:v>
      </x:c>
      <x:c r="H55" s="84" t="str">
        <x:v>No</x:v>
      </x:c>
      <x:c r="I55" s="84" t="str">
        <x:v>Can fix creature colors and scry with matching type.</x:v>
      </x:c>
    </x:row>
    <x:row r="56">
      <x:c r="A56" s="84" t="str">
        <x:v>Path to Exile</x:v>
      </x:c>
      <x:c r="B56" s="92" t="n">
        <x:v>1</x:v>
      </x:c>
      <x:c r="C56" s="84" t="str">
        <x:v>ACR</x:v>
      </x:c>
      <x:c r="D56" s="84" t="str">
        <x:v>—</x:v>
      </x:c>
      <x:c r="E56" s="84" t="str">
        <x:v>6. Removal / interaction</x:v>
      </x:c>
      <x:c r="F56" s="84" t="str">
        <x:v>PROPOSED V2 — added</x:v>
      </x:c>
      <x:c r="G56" s="84" t="str">
        <x:v>Removal</x:v>
      </x:c>
      <x:c r="H56" s="84" t="str">
        <x:v>Yes</x:v>
      </x:c>
      <x:c r="I56" s="84" t="str">
        <x:v>Efficient exile answer.</x:v>
      </x:c>
    </x:row>
    <x:row r="57">
      <x:c r="A57" s="84" t="str">
        <x:v>Perilous Landscape</x:v>
      </x:c>
      <x:c r="B57" s="92" t="n">
        <x:v>1</x:v>
      </x:c>
      <x:c r="C57" s="84" t="str">
        <x:v>FRC</x:v>
      </x:c>
      <x:c r="D57" s="84" t="str">
        <x:v>—</x:v>
      </x:c>
      <x:c r="E57" s="84" t="str">
        <x:v>LAND — not counted among 8 spell groups</x:v>
      </x:c>
      <x:c r="F57" s="84" t="str">
        <x:v>PROPOSED V2 — added</x:v>
      </x:c>
      <x:c r="G57" s="84" t="str">
        <x:v>Land</x:v>
      </x:c>
      <x:c r="H57" s="84" t="str">
        <x:v>No</x:v>
      </x:c>
      <x:c r="I57" s="84" t="str">
        <x:v>Slow land-based fixing.</x:v>
      </x:c>
    </x:row>
    <x:row r="58">
      <x:c r="A58" s="84" t="str">
        <x:v>Petty Larceny</x:v>
      </x:c>
      <x:c r="B58" s="92" t="n">
        <x:v>1</x:v>
      </x:c>
      <x:c r="C58" s="84" t="str">
        <x:v>ACR</x:v>
      </x:c>
      <x:c r="D58" s="84" t="str">
        <x:v>*F*</x:v>
      </x:c>
      <x:c r="E58" s="84" t="str">
        <x:v>6. Removal / interaction</x:v>
      </x:c>
      <x:c r="F58" s="84" t="str">
        <x:v>PROPOSED V2 — added</x:v>
      </x:c>
      <x:c r="G58" s="84" t="str">
        <x:v>Interaction</x:v>
      </x:c>
      <x:c r="H58" s="84" t="str">
        <x:v>Yes</x:v>
      </x:c>
      <x:c r="I58" s="84" t="str">
        <x:v>Thematic trick; supports the set's action and theft flavor.</x:v>
      </x:c>
    </x:row>
    <x:row r="59">
      <x:c r="A59" s="84" t="str">
        <x:v>Plains</x:v>
      </x:c>
      <x:c r="B59" s="92" t="n">
        <x:v>4</x:v>
      </x:c>
      <x:c r="C59" s="84" t="str">
        <x:v>MID</x:v>
      </x:c>
      <x:c r="D59" s="84" t="str">
        <x:v>*F*</x:v>
      </x:c>
      <x:c r="E59" s="84" t="str">
        <x:v>LAND — not counted among 8 spell groups</x:v>
      </x:c>
      <x:c r="F59" s="84" t="str">
        <x:v>PROPOSED V2 — added</x:v>
      </x:c>
      <x:c r="G59" s="84" t="str">
        <x:v>Basic Land</x:v>
      </x:c>
      <x:c r="H59" s="84" t="str">
        <x:v>No</x:v>
      </x:c>
      <x:c r="I59" s="84" t="str">
        <x:v>White source.</x:v>
      </x:c>
    </x:row>
    <x:row r="60">
      <x:c r="A60" s="84" t="str">
        <x:v>Primal Command</x:v>
      </x:c>
      <x:c r="B60" s="92" t="n">
        <x:v>1</x:v>
      </x:c>
      <x:c r="C60" s="84" t="str">
        <x:v>STA</x:v>
      </x:c>
      <x:c r="D60" s="84" t="str">
        <x:v>—</x:v>
      </x:c>
      <x:c r="E60" s="84" t="str">
        <x:v>7. Board control / graveyard</x:v>
      </x:c>
      <x:c r="F60" s="84" t="str">
        <x:v>PROPOSED V2 — added</x:v>
      </x:c>
      <x:c r="G60" s="84" t="str">
        <x:v>Utility</x:v>
      </x:c>
      <x:c r="H60" s="84" t="str">
        <x:v>No</x:v>
      </x:c>
      <x:c r="I60" s="84" t="str">
        <x:v>Flexible but five mana and not particularly tied to Assassin/legendary plan.</x:v>
      </x:c>
    </x:row>
    <x:row r="61">
      <x:c r="A61" s="84" t="str">
        <x:v>Queen Marchesa</x:v>
      </x:c>
      <x:c r="B61" s="92" t="n">
        <x:v>1</x:v>
      </x:c>
      <x:c r="C61" s="84" t="str">
        <x:v>OTC</x:v>
      </x:c>
      <x:c r="D61" s="84" t="str">
        <x:v>—</x:v>
      </x:c>
      <x:c r="E61" s="84" t="str">
        <x:v>3. Assassin tribal + freerunning</x:v>
      </x:c>
      <x:c r="F61" s="84" t="str">
        <x:v>PROPOSED V2 — added</x:v>
      </x:c>
      <x:c r="G61" s="84" t="str">
        <x:v>Creature</x:v>
      </x:c>
      <x:c r="H61" s="84" t="str">
        <x:v>No</x:v>
      </x:c>
      <x:c r="I61" s="84" t="str">
        <x:v>Assassin type; monarchy gives a draw engine and political dimension.</x:v>
      </x:c>
    </x:row>
    <x:row r="62">
      <x:c r="A62" s="84" t="str">
        <x:v>Restart Sequence</x:v>
      </x:c>
      <x:c r="B62" s="92" t="n">
        <x:v>1</x:v>
      </x:c>
      <x:c r="C62" s="84" t="str">
        <x:v>ACR</x:v>
      </x:c>
      <x:c r="D62" s="84" t="str">
        <x:v>*F*</x:v>
      </x:c>
      <x:c r="E62" s="84" t="str">
        <x:v>5. Historic / legendary / Sagas</x:v>
      </x:c>
      <x:c r="F62" s="84" t="str">
        <x:v>PROPOSED V2 — added</x:v>
      </x:c>
      <x:c r="G62" s="84" t="str">
        <x:v>Saga</x:v>
      </x:c>
      <x:c r="H62" s="84" t="str">
        <x:v>Yes</x:v>
      </x:c>
      <x:c r="I62" s="84" t="str">
        <x:v>Thematic Saga.</x:v>
      </x:c>
    </x:row>
    <x:row r="63">
      <x:c r="A63" s="84" t="str">
        <x:v>Roshan, Hidden Magister</x:v>
      </x:c>
      <x:c r="B63" s="92" t="n">
        <x:v>1</x:v>
      </x:c>
      <x:c r="C63" s="84" t="str">
        <x:v>ACR</x:v>
      </x:c>
      <x:c r="D63" s="84" t="str">
        <x:v>—</x:v>
      </x:c>
      <x:c r="E63" s="84" t="str">
        <x:v>3. Assassin tribal + freerunning</x:v>
      </x:c>
      <x:c r="F63" s="84" t="str">
        <x:v>PROPOSED V2 — added</x:v>
      </x:c>
      <x:c r="G63" s="84" t="str">
        <x:v>Creature</x:v>
      </x:c>
      <x:c r="H63" s="84" t="str">
        <x:v>Yes</x:v>
      </x:c>
      <x:c r="I63" s="84" t="str">
        <x:v>Makes other creatures/spells/cards you own Assassins while on battlefield; face-down creatures have menace.</x:v>
      </x:c>
    </x:row>
    <x:row r="64">
      <x:c r="A64" s="84" t="str">
        <x:v>Royal Assassin</x:v>
      </x:c>
      <x:c r="B64" s="92" t="n">
        <x:v>1</x:v>
      </x:c>
      <x:c r="C64" s="84" t="str">
        <x:v>ACR</x:v>
      </x:c>
      <x:c r="D64" s="84" t="str">
        <x:v>—</x:v>
      </x:c>
      <x:c r="E64" s="84" t="str">
        <x:v>3. Assassin tribal + freerunning</x:v>
      </x:c>
      <x:c r="F64" s="84" t="str">
        <x:v>PROPOSED V2 — added</x:v>
      </x:c>
      <x:c r="G64" s="84" t="str">
        <x:v>Creature</x:v>
      </x:c>
      <x:c r="H64" s="84" t="str">
        <x:v>Yes</x:v>
      </x:c>
      <x:c r="I64" s="84" t="str">
        <x:v>Classic thematic control piece.</x:v>
      </x:c>
    </x:row>
    <x:row r="65">
      <x:c r="A65" s="84" t="str">
        <x:v>Secluded Courtyard</x:v>
      </x:c>
      <x:c r="B65" s="92" t="n">
        <x:v>1</x:v>
      </x:c>
      <x:c r="C65" s="84" t="str">
        <x:v>FDN</x:v>
      </x:c>
      <x:c r="D65" s="84" t="str">
        <x:v>—</x:v>
      </x:c>
      <x:c r="E65" s="84" t="str">
        <x:v>LAND — not counted among 8 spell groups</x:v>
      </x:c>
      <x:c r="F65" s="84" t="str">
        <x:v>PROPOSED V2 — added</x:v>
      </x:c>
      <x:c r="G65" s="84" t="str">
        <x:v>Land</x:v>
      </x:c>
      <x:c r="H65" s="84" t="str">
        <x:v>No</x:v>
      </x:c>
      <x:c r="I65" s="84" t="str">
        <x:v>Can produce a color for Assassin creature spells (or qualifying activated abilities); does not provide unrestricted colors for every noncreature/triggered cost.</x:v>
      </x:c>
    </x:row>
    <x:row r="66">
      <x:c r="A66" s="84" t="str">
        <x:v>Seething Landscape</x:v>
      </x:c>
      <x:c r="B66" s="92" t="n">
        <x:v>1</x:v>
      </x:c>
      <x:c r="C66" s="84" t="str">
        <x:v>MH3</x:v>
      </x:c>
      <x:c r="D66" s="84" t="str">
        <x:v>—</x:v>
      </x:c>
      <x:c r="E66" s="84" t="str">
        <x:v>LAND — not counted among 8 spell groups</x:v>
      </x:c>
      <x:c r="F66" s="84" t="str">
        <x:v>PROPOSED V2 — added</x:v>
      </x:c>
      <x:c r="G66" s="84" t="str">
        <x:v>Land</x:v>
      </x:c>
      <x:c r="H66" s="84" t="str">
        <x:v>No</x:v>
      </x:c>
      <x:c r="I66" s="84" t="str">
        <x:v>Slow color fixing.</x:v>
      </x:c>
    </x:row>
    <x:row r="67">
      <x:c r="A67" s="84" t="str">
        <x:v>Shanid, Sleepers' Scourge</x:v>
      </x:c>
      <x:c r="B67" s="92" t="n">
        <x:v>1</x:v>
      </x:c>
      <x:c r="C67" s="84" t="str">
        <x:v>DMC</x:v>
      </x:c>
      <x:c r="D67" s="84" t="str">
        <x:v>—</x:v>
      </x:c>
      <x:c r="E67" s="84" t="str">
        <x:v>2. Draw / selection / recursion</x:v>
      </x:c>
      <x:c r="F67" s="84" t="str">
        <x:v>PROPOSED V2 — added</x:v>
      </x:c>
      <x:c r="G67" s="84" t="str">
        <x:v>Creature</x:v>
      </x:c>
      <x:c r="H67" s="84" t="str">
        <x:v>No</x:v>
      </x:c>
      <x:c r="I67" s="84" t="str">
        <x:v>Makes legendary creatures menace and supports card advantage.</x:v>
      </x:c>
    </x:row>
    <x:row r="68">
      <x:c r="A68" s="84" t="str">
        <x:v>Shao Jun</x:v>
      </x:c>
      <x:c r="B68" s="92" t="n">
        <x:v>1</x:v>
      </x:c>
      <x:c r="C68" s="84" t="str">
        <x:v>ACR</x:v>
      </x:c>
      <x:c r="D68" s="84" t="str">
        <x:v>—</x:v>
      </x:c>
      <x:c r="E68" s="84" t="str">
        <x:v>3. Assassin tribal + freerunning</x:v>
      </x:c>
      <x:c r="F68" s="84" t="str">
        <x:v>PROPOSED V2 — added</x:v>
      </x:c>
      <x:c r="G68" s="84" t="str">
        <x:v>Creature</x:v>
      </x:c>
      <x:c r="H68" s="84" t="str">
        <x:v>Yes</x:v>
      </x:c>
      <x:c r="I68" s="84" t="str">
        <x:v>Thematic Assassin character.</x:v>
      </x:c>
    </x:row>
    <x:row r="69">
      <x:c r="A69" s="84" t="str">
        <x:v>Shay Cormac</x:v>
      </x:c>
      <x:c r="B69" s="92" t="n">
        <x:v>1</x:v>
      </x:c>
      <x:c r="C69" s="84" t="str">
        <x:v>ACR</x:v>
      </x:c>
      <x:c r="D69" s="84" t="str">
        <x:v>—</x:v>
      </x:c>
      <x:c r="E69" s="84" t="str">
        <x:v>6. Removal / interaction</x:v>
      </x:c>
      <x:c r="F69" s="84" t="str">
        <x:v>PROPOSED V2 — added</x:v>
      </x:c>
      <x:c r="G69" s="84" t="str">
        <x:v>Creature</x:v>
      </x:c>
      <x:c r="H69" s="84" t="str">
        <x:v>Yes</x:v>
      </x:c>
      <x:c r="I69" s="84" t="str">
        <x:v>Knight Rogue; helps target/remove protected creatures and grows when marked creatures die.</x:v>
      </x:c>
    </x:row>
    <x:row r="70">
      <x:c r="A70" s="84" t="str">
        <x:v>Sheltering Landscape</x:v>
      </x:c>
      <x:c r="B70" s="92" t="n">
        <x:v>1</x:v>
      </x:c>
      <x:c r="C70" s="84" t="str">
        <x:v>MH3</x:v>
      </x:c>
      <x:c r="D70" s="84" t="str">
        <x:v>—</x:v>
      </x:c>
      <x:c r="E70" s="84" t="str">
        <x:v>LAND — not counted among 8 spell groups</x:v>
      </x:c>
      <x:c r="F70" s="84" t="str">
        <x:v>PROPOSED V2 — added</x:v>
      </x:c>
      <x:c r="G70" s="84" t="str">
        <x:v>Land</x:v>
      </x:c>
      <x:c r="H70" s="84" t="str">
        <x:v>No</x:v>
      </x:c>
      <x:c r="I70" s="84" t="str">
        <x:v>Slow color fixing.</x:v>
      </x:c>
    </x:row>
    <x:row r="71">
      <x:c r="A71" s="84" t="str">
        <x:v>Sigurd, Jarl of Ravensthorpe</x:v>
      </x:c>
      <x:c r="B71" s="92" t="n">
        <x:v>1</x:v>
      </x:c>
      <x:c r="C71" s="84" t="str">
        <x:v>ACR</x:v>
      </x:c>
      <x:c r="D71" s="84" t="str">
        <x:v>—</x:v>
      </x:c>
      <x:c r="E71" s="84" t="str">
        <x:v>8. Combat pressure / other thematic utility</x:v>
      </x:c>
      <x:c r="F71" s="84" t="str">
        <x:v>PROPOSED V2 — added</x:v>
      </x:c>
      <x:c r="G71" s="84" t="str">
        <x:v>Creature</x:v>
      </x:c>
      <x:c r="H71" s="84" t="str">
        <x:v>Yes</x:v>
      </x:c>
      <x:c r="I71" s="84" t="str">
        <x:v>Thematic legendary character.</x:v>
      </x:c>
    </x:row>
    <x:row r="72">
      <x:c r="A72" s="84" t="str">
        <x:v>Smoke Bomb</x:v>
      </x:c>
      <x:c r="B72" s="92" t="n">
        <x:v>1</x:v>
      </x:c>
      <x:c r="C72" s="84" t="str">
        <x:v>ACR</x:v>
      </x:c>
      <x:c r="D72" s="84" t="str">
        <x:v>—</x:v>
      </x:c>
      <x:c r="E72" s="84" t="str">
        <x:v>4. Evasion / equipment / protection</x:v>
      </x:c>
      <x:c r="F72" s="84" t="str">
        <x:v>PROPOSED V2 — added</x:v>
      </x:c>
      <x:c r="G72" s="84" t="str">
        <x:v>Artifact</x:v>
      </x:c>
      <x:c r="H72" s="84" t="str">
        <x:v>Yes</x:v>
      </x:c>
      <x:c r="I72" s="84" t="str">
        <x:v>Thematic utility/protection; keep unless tests show it is dead.</x:v>
      </x:c>
    </x:row>
    <x:row r="73">
      <x:c r="A73" s="84" t="str">
        <x:v>Supreme Verdict</x:v>
      </x:c>
      <x:c r="B73" s="92" t="n">
        <x:v>1</x:v>
      </x:c>
      <x:c r="C73" s="84" t="str">
        <x:v>TMC</x:v>
      </x:c>
      <x:c r="D73" s="84" t="str">
        <x:v>*F*</x:v>
      </x:c>
      <x:c r="E73" s="84" t="str">
        <x:v>7. Board control / graveyard</x:v>
      </x:c>
      <x:c r="F73" s="84" t="str">
        <x:v>PROPOSED V2 — added</x:v>
      </x:c>
      <x:c r="G73" s="84" t="str">
        <x:v>Board wipe</x:v>
      </x:c>
      <x:c r="H73" s="84" t="str">
        <x:v>No</x:v>
      </x:c>
      <x:c r="I73" s="84" t="str">
        <x:v>Reliable reset; preserve as the main global creature reset.</x:v>
      </x:c>
    </x:row>
    <x:row r="74">
      <x:c r="A74" s="84" t="str">
        <x:v>Swamp</x:v>
      </x:c>
      <x:c r="B74" s="92" t="n">
        <x:v>4</x:v>
      </x:c>
      <x:c r="C74" s="84" t="str">
        <x:v>NEO</x:v>
      </x:c>
      <x:c r="D74" s="84" t="str">
        <x:v>*F*</x:v>
      </x:c>
      <x:c r="E74" s="84" t="str">
        <x:v>LAND — not counted among 8 spell groups</x:v>
      </x:c>
      <x:c r="F74" s="84" t="str">
        <x:v>PROPOSED V2 — added</x:v>
      </x:c>
      <x:c r="G74" s="84" t="str">
        <x:v>Basic Land</x:v>
      </x:c>
      <x:c r="H74" s="84" t="str">
        <x:v>No</x:v>
      </x:c>
      <x:c r="I74" s="84" t="str">
        <x:v>Black source.</x:v>
      </x:c>
    </x:row>
    <x:row r="75">
      <x:c r="A75" s="84" t="str">
        <x:v>Swords to Plowshares</x:v>
      </x:c>
      <x:c r="B75" s="92" t="n">
        <x:v>1</x:v>
      </x:c>
      <x:c r="C75" s="84" t="str">
        <x:v>STA</x:v>
      </x:c>
      <x:c r="D75" s="84" t="str">
        <x:v>—</x:v>
      </x:c>
      <x:c r="E75" s="84" t="str">
        <x:v>6. Removal / interaction</x:v>
      </x:c>
      <x:c r="F75" s="84" t="str">
        <x:v>PROPOSED V2 — added</x:v>
      </x:c>
      <x:c r="G75" s="84" t="str">
        <x:v>Removal</x:v>
      </x:c>
      <x:c r="H75" s="84" t="str">
        <x:v>No</x:v>
      </x:c>
      <x:c r="I75" s="84" t="str">
        <x:v>Premium creature answer.</x:v>
      </x:c>
    </x:row>
    <x:row r="76">
      <x:c r="A76" s="84" t="str">
        <x:v>Tax Collector</x:v>
      </x:c>
      <x:c r="B76" s="92" t="n">
        <x:v>1</x:v>
      </x:c>
      <x:c r="C76" s="84" t="str">
        <x:v>ACR</x:v>
      </x:c>
      <x:c r="D76" s="84" t="str">
        <x:v>—</x:v>
      </x:c>
      <x:c r="E76" s="84" t="str">
        <x:v>6. Removal / interaction</x:v>
      </x:c>
      <x:c r="F76" s="84" t="str">
        <x:v>PROPOSED V2 — added</x:v>
      </x:c>
      <x:c r="G76" s="84" t="str">
        <x:v>Creature</x:v>
      </x:c>
      <x:c r="H76" s="84" t="str">
        <x:v>Yes</x:v>
      </x:c>
      <x:c r="I76" s="84" t="str">
        <x:v>ETB taxes spells or detains an opposing creature until your next turn.</x:v>
      </x:c>
    </x:row>
    <x:row r="77">
      <x:c r="A77" s="84" t="str">
        <x:v>Terminate</x:v>
      </x:c>
      <x:c r="B77" s="92" t="n">
        <x:v>1</x:v>
      </x:c>
      <x:c r="C77" s="84" t="str">
        <x:v>ACR</x:v>
      </x:c>
      <x:c r="D77" s="84" t="str">
        <x:v>—</x:v>
      </x:c>
      <x:c r="E77" s="84" t="str">
        <x:v>6. Removal / interaction</x:v>
      </x:c>
      <x:c r="F77" s="84" t="str">
        <x:v>PROPOSED V2 — added</x:v>
      </x:c>
      <x:c r="G77" s="84" t="str">
        <x:v>Removal</x:v>
      </x:c>
      <x:c r="H77" s="84" t="str">
        <x:v>Yes</x:v>
      </x:c>
      <x:c r="I77" s="84" t="str">
        <x:v>Efficient creature answer.</x:v>
      </x:c>
    </x:row>
    <x:row r="78">
      <x:c r="A78" s="84" t="str">
        <x:v>The Aesir Escape Valhalla</x:v>
      </x:c>
      <x:c r="B78" s="92" t="n">
        <x:v>1</x:v>
      </x:c>
      <x:c r="C78" s="84" t="str">
        <x:v>ACR</x:v>
      </x:c>
      <x:c r="D78" s="84" t="str">
        <x:v>*F*</x:v>
      </x:c>
      <x:c r="E78" s="84" t="str">
        <x:v>5. Historic / legendary / Sagas</x:v>
      </x:c>
      <x:c r="F78" s="84" t="str">
        <x:v>PROPOSED V2 — added</x:v>
      </x:c>
      <x:c r="G78" s="84" t="str">
        <x:v>Saga</x:v>
      </x:c>
      <x:c r="H78" s="84" t="str">
        <x:v>Yes</x:v>
      </x:c>
      <x:c r="I78" s="84" t="str">
        <x:v>Saga with graveyard/value and +1/+1 counter effects; recurring its chapter value is relevant to the historic theme. Verify exact chapter sequencing when piloting.</x:v>
      </x:c>
    </x:row>
    <x:row r="79">
      <x:c r="A79" s="84" t="str">
        <x:v>The Animus</x:v>
      </x:c>
      <x:c r="B79" s="92" t="n">
        <x:v>1</x:v>
      </x:c>
      <x:c r="C79" s="84" t="str">
        <x:v>ACR</x:v>
      </x:c>
      <x:c r="D79" s="84" t="str">
        <x:v>—</x:v>
      </x:c>
      <x:c r="E79" s="84" t="str">
        <x:v>5. Historic / legendary / Sagas</x:v>
      </x:c>
      <x:c r="F79" s="84" t="str">
        <x:v>PROPOSED V2 — added</x:v>
      </x:c>
      <x:c r="G79" s="84" t="str">
        <x:v>Artifact</x:v>
      </x:c>
      <x:c r="H79" s="84" t="str">
        <x:v>Yes</x:v>
      </x:c>
      <x:c r="I79" s="84" t="str">
        <x:v>Artifact that can make a legendary creature you control become a copy of a legendary creature card in a graveyard until end of turn; encourages legendary-density and graveyard awareness.</x:v>
      </x:c>
    </x:row>
    <x:row r="80">
      <x:c r="A80" s="84" t="str">
        <x:v>The Revelations of Ezio</x:v>
      </x:c>
      <x:c r="B80" s="92" t="n">
        <x:v>1</x:v>
      </x:c>
      <x:c r="C80" s="84" t="str">
        <x:v>ACR</x:v>
      </x:c>
      <x:c r="D80" s="84" t="str">
        <x:v>*F*</x:v>
      </x:c>
      <x:c r="E80" s="84" t="str">
        <x:v>5. Historic / legendary / Sagas</x:v>
      </x:c>
      <x:c r="F80" s="84" t="str">
        <x:v>PROPOSED V2 — added</x:v>
      </x:c>
      <x:c r="G80" s="84" t="str">
        <x:v>Saga</x:v>
      </x:c>
      <x:c r="H80" s="84" t="str">
        <x:v>Yes</x:v>
      </x:c>
      <x:c r="I80" s="84" t="str">
        <x:v>Saga: chapter abilities provide removal against a tapped creature, an attack-wide Assassin counter boost, and an Assassin reanimation line. Historic permanent.</x:v>
      </x:c>
    </x:row>
    <x:row r="81">
      <x:c r="A81" s="84" t="str">
        <x:v>Three Tree Mascot</x:v>
      </x:c>
      <x:c r="B81" s="92" t="n">
        <x:v>1</x:v>
      </x:c>
      <x:c r="C81" s="84" t="str">
        <x:v>BLB</x:v>
      </x:c>
      <x:c r="D81" s="84" t="str">
        <x:v>—</x:v>
      </x:c>
      <x:c r="E81" s="84" t="str">
        <x:v>1. Ramp + color fixing</x:v>
      </x:c>
      <x:c r="F81" s="84" t="str">
        <x:v>PROPOSED V2 — added</x:v>
      </x:c>
      <x:c r="G81" s="84" t="str">
        <x:v>Artifact creature</x:v>
      </x:c>
      <x:c r="H81" s="84" t="str">
        <x:v>No</x:v>
      </x:c>
      <x:c r="I81" s="84" t="str">
        <x:v>Changeling means it has every creature type; it taps for one mana of any color. A modest on-theme-adjacent fixer.</x:v>
      </x:c>
    </x:row>
    <x:row r="82">
      <x:c r="A82" s="84" t="str">
        <x:v>Tranquil Landscape</x:v>
      </x:c>
      <x:c r="B82" s="92" t="n">
        <x:v>1</x:v>
      </x:c>
      <x:c r="C82" s="84" t="str">
        <x:v>MH3</x:v>
      </x:c>
      <x:c r="D82" s="84" t="str">
        <x:v>—</x:v>
      </x:c>
      <x:c r="E82" s="84" t="str">
        <x:v>LAND — not counted among 8 spell groups</x:v>
      </x:c>
      <x:c r="F82" s="84" t="str">
        <x:v>PROPOSED V2 — added</x:v>
      </x:c>
      <x:c r="G82" s="84" t="str">
        <x:v>Land</x:v>
      </x:c>
      <x:c r="H82" s="84" t="str">
        <x:v>No</x:v>
      </x:c>
      <x:c r="I82" s="84" t="str">
        <x:v>Slow color fixing.</x:v>
      </x:c>
    </x:row>
    <x:row r="83">
      <x:c r="A83" s="84" t="str">
        <x:v>Twisted Landscape</x:v>
      </x:c>
      <x:c r="B83" s="92" t="n">
        <x:v>1</x:v>
      </x:c>
      <x:c r="C83" s="84" t="str">
        <x:v>MH3</x:v>
      </x:c>
      <x:c r="D83" s="84" t="str">
        <x:v>—</x:v>
      </x:c>
      <x:c r="E83" s="84" t="str">
        <x:v>LAND — not counted among 8 spell groups</x:v>
      </x:c>
      <x:c r="F83" s="84" t="str">
        <x:v>PROPOSED V2 — added</x:v>
      </x:c>
      <x:c r="G83" s="84" t="str">
        <x:v>Land</x:v>
      </x:c>
      <x:c r="H83" s="84" t="str">
        <x:v>No</x:v>
      </x:c>
      <x:c r="I83" s="84" t="str">
        <x:v>Slow color fixing.</x:v>
      </x:c>
    </x:row>
    <x:row r="84">
      <x:c r="A84" s="84" t="str">
        <x:v>Sol Ring</x:v>
      </x:c>
      <x:c r="B84" s="92" t="n">
        <x:v>1</x:v>
      </x:c>
      <x:c r="C84" s="84" t="str">
        <x:v>CMM</x:v>
      </x:c>
      <x:c r="D84" s="84" t="str">
        <x:v>—</x:v>
      </x:c>
      <x:c r="E84" s="84" t="str">
        <x:v>1. Ramp + color fixing</x:v>
      </x:c>
      <x:c r="F84" s="84" t="str">
        <x:v>PROPOSED V2 — added</x:v>
      </x:c>
      <x:c r="G84" s="84" t="str">
        <x:v>Artifact</x:v>
      </x:c>
      <x:c r="H84" s="84" t="str">
        <x:v>No</x:v>
      </x:c>
      <x:c r="I84" s="84" t="str">
        <x:v>Two mana immediately from one tap; raises early development while remaining just one non-ACR staple.</x:v>
      </x:c>
    </x:row>
    <x:row r="85">
      <x:c r="A85" s="84" t="str">
        <x:v>Arcane Signet</x:v>
      </x:c>
      <x:c r="B85" s="92" t="n">
        <x:v>1</x:v>
      </x:c>
      <x:c r="C85" s="84" t="str">
        <x:v>CMR</x:v>
      </x:c>
      <x:c r="D85" s="84" t="str">
        <x:v>—</x:v>
      </x:c>
      <x:c r="E85" s="84" t="str">
        <x:v>1. Ramp + color fixing</x:v>
      </x:c>
      <x:c r="F85" s="84" t="str">
        <x:v>PROPOSED V2 — added</x:v>
      </x:c>
      <x:c r="G85" s="84" t="str">
        <x:v>Artifact</x:v>
      </x:c>
      <x:c r="H85" s="84" t="str">
        <x:v>No</x:v>
      </x:c>
      <x:c r="I85" s="84" t="str">
        <x:v>Two-mana color fixing for any color in the commander's identity; directly addresses the slow five-color mana base.</x:v>
      </x:c>
    </x:row>
    <x:row r="86">
      <x:c r="A86" s="84" t="str">
        <x:v>Basim Ibn Ishaq</x:v>
      </x:c>
      <x:c r="B86" s="92" t="n">
        <x:v>1</x:v>
      </x:c>
      <x:c r="C86" s="84" t="str">
        <x:v>ACR</x:v>
      </x:c>
      <x:c r="D86" s="84" t="str">
        <x:v>—</x:v>
      </x:c>
      <x:c r="E86" s="84" t="str">
        <x:v>2. Draw / selection / recursion</x:v>
      </x:c>
      <x:c r="F86" s="84" t="str">
        <x:v>PROPOSED V2 — added</x:v>
      </x:c>
      <x:c r="G86" s="84" t="str">
        <x:v>Legendary Creature — Human Assassin</x:v>
      </x:c>
      <x:c r="H86" s="84" t="str">
        <x:v>Yes</x:v>
      </x:c>
      <x:c r="I86" s="84" t="str">
        <x:v>When you cast a historic spell, draws a card once each turn; hard-to-block and grows on combat damage. Excellent fit for artifact/Saga/legendary density.</x:v>
      </x:c>
    </x:row>
    <x:row r="87">
      <x:c r="A87" s="84" t="str">
        <x:v>Ezio, Blade of Vengeance</x:v>
      </x:c>
      <x:c r="B87" s="92" t="n">
        <x:v>1</x:v>
      </x:c>
      <x:c r="C87" s="84" t="str">
        <x:v>ACR</x:v>
      </x:c>
      <x:c r="D87" s="84" t="str">
        <x:v>—</x:v>
      </x:c>
      <x:c r="E87" s="84" t="str">
        <x:v>2. Draw / selection / recursion</x:v>
      </x:c>
      <x:c r="F87" s="84" t="str">
        <x:v>PROPOSED V2 — added</x:v>
      </x:c>
      <x:c r="G87" s="84" t="str">
        <x:v>Legendary Creature — Human Assassin</x:v>
      </x:c>
      <x:c r="H87" s="84" t="str">
        <x:v>Yes</x:v>
      </x:c>
      <x:c r="I87" s="84" t="str">
        <x:v>Whenever an Assassin you control deals combat damage to a player, draw a card. Strong payoff with evasion and Roshan, without requiring combo play.</x:v>
      </x:c>
    </x:row>
    <x:row r="88">
      <x:c r="A88" s="84" t="str">
        <x:v>Aya of Alexandria</x:v>
      </x:c>
      <x:c r="B88" s="92" t="n">
        <x:v>1</x:v>
      </x:c>
      <x:c r="C88" s="84" t="str">
        <x:v>ACR</x:v>
      </x:c>
      <x:c r="D88" s="84" t="str">
        <x:v>—</x:v>
      </x:c>
      <x:c r="E88" s="84" t="str">
        <x:v>3. Assassin tribal + freerunning</x:v>
      </x:c>
      <x:c r="F88" s="84" t="str">
        <x:v>PROPOSED V2 — added</x:v>
      </x:c>
      <x:c r="G88" s="84" t="str">
        <x:v>Legendary Creature — Human Assassin</x:v>
      </x:c>
      <x:c r="H88" s="84" t="str">
        <x:v>Yes</x:v>
      </x:c>
      <x:c r="I88" s="84" t="str">
        <x:v>Menace/lifelink; when a historic creature you control deals combat damage to a player, creates a 1/1 Assassin token with menace. Converts successful attacks into board presence.</x:v>
      </x:c>
    </x:row>
    <x:row r="89">
      <x:c r="A89" s="84" t="str">
        <x:v>Altaïr Ibn-La'Ahad</x:v>
      </x:c>
      <x:c r="B89" s="92" t="n">
        <x:v>1</x:v>
      </x:c>
      <x:c r="C89" s="84" t="str">
        <x:v>ACR</x:v>
      </x:c>
      <x:c r="D89" s="84" t="str">
        <x:v>—</x:v>
      </x:c>
      <x:c r="E89" s="84" t="str">
        <x:v>3. Assassin tribal + freerunning</x:v>
      </x:c>
      <x:c r="F89" s="84" t="str">
        <x:v>PROPOSED V2 — added</x:v>
      </x:c>
      <x:c r="G89" s="84" t="str">
        <x:v>Legendary Creature — Human Assassin</x:v>
      </x:c>
      <x:c r="H89" s="84" t="str">
        <x:v>Yes</x:v>
      </x:c>
      <x:c r="I89" s="84" t="str">
        <x:v>On attack, can mark an Assassin creature card in your graveyard with a memory counter; creates tapped-and-attacking token copies of creatures you own in exile with memory counters. Tokens exile at end of combat. Removing Rest in Peace makes this line possible.</x:v>
      </x:c>
    </x:row>
    <x:row r="90">
      <x:c r="A90" s="84" t="str">
        <x:v>Eagle Vision</x:v>
      </x:c>
      <x:c r="B90" s="92" t="n">
        <x:v>1</x:v>
      </x:c>
      <x:c r="C90" s="84" t="str">
        <x:v>ACR</x:v>
      </x:c>
      <x:c r="D90" s="84" t="str">
        <x:v>—</x:v>
      </x:c>
      <x:c r="E90" s="84" t="str">
        <x:v>2. Draw / selection / recursion</x:v>
      </x:c>
      <x:c r="F90" s="84" t="str">
        <x:v>PROPOSED V2 — added</x:v>
      </x:c>
      <x:c r="G90" s="84" t="str">
        <x:v>Sorcery</x:v>
      </x:c>
      <x:c r="H90" s="84" t="str">
        <x:v>Yes</x:v>
      </x:c>
      <x:c r="I90" s="84" t="str">
        <x:v>Draw three cards; its freerunning cost is {1}{U}. With Ezio, a combat hit can make this an efficient refill and it preserves Assassin's Creed flavor.</x:v>
      </x:c>
    </x:row>
  </x:sheetData>
  <x:mergeCells>
    <x:mergeCell ref="A1:I1"/>
    <x:mergeCell ref="A2:I2"/>
  </x:mergeCells>
  <x:conditionalFormatting sqref="H6:H90">
    <x:cfRule type="expression" dxfId="1" priority="1">
      <x:formula>H6="Yes"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6d9baa0636c44dc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7" hidden="0" customWidth="1"/>
    <x:col min="3" max="3" width="42" hidden="0" customWidth="1"/>
    <x:col min="4" max="4" width="45" hidden="0" customWidth="1"/>
    <x:col min="5" max="5" width="46" hidden="0" customWidth="1"/>
    <x:col min="6" max="6" width="12" hidden="0" customWidth="1"/>
    <x:col min="7" max="7" width="15" hidden="0" customWidth="1"/>
    <x:col min="8" max="8" width="23" hidden="0" customWidth="1"/>
    <x:col min="9" max="9" width="52" hidden="0" customWidth="1"/>
  </x:cols>
  <x:sheetData>
    <x:row r="1" ht="32" customHeight="1">
      <x:c r="A1" s="124" t="str">
        <x:v>MATRIZ DE UPGRADES — V2</x:v>
      </x:c>
      <x:c r="B1" s="124"/>
      <x:c r="C1" s="124"/>
      <x:c r="D1" s="124"/>
      <x:c r="E1" s="124"/>
      <x:c r="F1" s="124"/>
      <x:c r="G1" s="124"/>
      <x:c r="H1" s="124"/>
      <x:c r="I1" s="124"/>
      <x:c r="J1" s="95"/>
      <x:c r="K1" s="95"/>
      <x:c r="L1" s="95"/>
      <x:c r="M1" s="95"/>
      <x:c r="N1" s="95"/>
    </x:row>
    <x:row r="2" ht="28" customHeight="1">
      <x:c r="A2" s="96" t="str">
        <x:v>Só 7 trocas. Foco: consistência, sinergia tribal/historic e preservar uma experiência casual temática.</x:v>
      </x:c>
      <x:c r="B2" s="96"/>
      <x:c r="C2" s="96"/>
      <x:c r="D2" s="96"/>
      <x:c r="E2" s="96"/>
      <x:c r="F2" s="96"/>
      <x:c r="G2" s="96"/>
      <x:c r="H2" s="96"/>
      <x:c r="I2" s="96"/>
      <x:c r="J2" s="136"/>
      <x:c r="K2" s="136"/>
      <x:c r="L2" s="136"/>
      <x:c r="M2" s="136"/>
      <x:c r="N2" s="136"/>
    </x:row>
    <x:row r="3">
      <x:c r="A3" s="95"/>
      <x:c r="B3" s="95"/>
      <x:c r="C3" s="95"/>
      <x:c r="D3" s="95"/>
      <x:c r="E3" s="95"/>
      <x:c r="F3" s="95"/>
      <x:c r="G3" s="95"/>
      <x:c r="H3" s="95"/>
      <x:c r="I3" s="95"/>
      <x:c r="J3" s="95"/>
      <x:c r="K3" s="95"/>
      <x:c r="L3" s="95"/>
      <x:c r="M3" s="95"/>
      <x:c r="N3" s="95"/>
    </x:row>
    <x:row r="4">
      <x:c r="A4" s="95"/>
      <x:c r="B4" s="95"/>
      <x:c r="C4" s="95"/>
      <x:c r="D4" s="95"/>
      <x:c r="E4" s="95"/>
      <x:c r="F4" s="95"/>
      <x:c r="G4" s="95"/>
      <x:c r="H4" s="95"/>
      <x:c r="I4" s="95"/>
      <x:c r="J4" s="95"/>
      <x:c r="K4" s="95"/>
      <x:c r="L4" s="95"/>
      <x:c r="M4" s="95"/>
      <x:c r="N4" s="95"/>
    </x:row>
    <x:row r="5" ht="28" customHeight="1">
      <x:c r="A5" s="132" t="str">
        <x:v>OUT</x:v>
      </x:c>
      <x:c r="B5" s="132" t="str">
        <x:v>IN</x:v>
      </x:c>
      <x:c r="C5" s="132" t="str">
        <x:v>Papel/limite do corte</x:v>
      </x:c>
      <x:c r="D5" s="132" t="str">
        <x:v>Por que a entrada ajuda</x:v>
      </x:c>
      <x:c r="E5" s="132" t="str">
        <x:v>Custo / risco da troca</x:v>
      </x:c>
      <x:c r="F5" s="132" t="str">
        <x:v>Priority</x:v>
      </x:c>
      <x:c r="G5" s="132" t="str">
        <x:v>Confidence</x:v>
      </x:c>
      <x:c r="H5" s="132" t="str">
        <x:v>State</x:v>
      </x:c>
      <x:c r="I5" s="132" t="str">
        <x:v>Rationale / audit note</x:v>
      </x:c>
      <x:c r="J5" s="95"/>
      <x:c r="K5" s="95"/>
      <x:c r="L5" s="95"/>
      <x:c r="M5" s="95"/>
      <x:c r="N5" s="95"/>
    </x:row>
    <x:row r="6">
      <x:c r="A6" s="119" t="str">
        <x:v>Dead Weight</x:v>
      </x:c>
      <x:c r="B6" s="119" t="str">
        <x:v>Sol Ring</x:v>
      </x:c>
      <x:c r="C6" s="119" t="str">
        <x:v>Remoção pequena e de baixo teto</x:v>
      </x:c>
      <x:c r="D6" s="119" t="str">
        <x:v>Aceleração relevante desde o turno inicial</x:v>
      </x:c>
      <x:c r="E6" s="119" t="str">
        <x:v>Menos remoção barata; não usar Sol Ring se a mesa tem regra de grupo que o evita.</x:v>
      </x:c>
      <x:c r="F6" s="119" t="str">
        <x:v>P1</x:v>
      </x:c>
      <x:c r="G6" s="119" t="str">
        <x:v>Alta</x:v>
      </x:c>
      <x:c r="H6" s="119" t="str">
        <x:v>Proposed — untested</x:v>
      </x:c>
      <x:c r="I6" s="119" t="str">
        <x:v>Sol Ring is a non-ACR staple, only two non-ACR additions are staples.</x:v>
      </x:c>
      <x:c r="J6" s="95"/>
      <x:c r="K6" s="95"/>
      <x:c r="L6" s="95"/>
      <x:c r="M6" s="95"/>
      <x:c r="N6" s="95"/>
    </x:row>
    <x:row r="7">
      <x:c r="A7" s="119" t="str">
        <x:v>Casualties of War</x:v>
      </x:c>
      <x:c r="B7" s="119" t="str">
        <x:v>Arcane Signet</x:v>
      </x:c>
      <x:c r="C7" s="119" t="str">
        <x:v>Feitiço de seis manas com {B}{B}{G}{G}, exigente na base</x:v>
      </x:c>
      <x:c r="D7" s="119" t="str">
        <x:v>Mana mais estável para conjurar cartas multicoloridas</x:v>
      </x:c>
      <x:c r="E7" s="119" t="str">
        <x:v>Perde uma resposta ampla em um único card; o deck mantém respostas eficientes e Supreme Verdict.</x:v>
      </x:c>
      <x:c r="F7" s="119" t="str">
        <x:v>P1</x:v>
      </x:c>
      <x:c r="G7" s="119" t="str">
        <x:v>Alta</x:v>
      </x:c>
      <x:c r="H7" s="119" t="str">
        <x:v>Proposed — untested</x:v>
      </x:c>
      <x:c r="I7" s="119" t="str">
        <x:v>Fixing has higher early-game value than the six-mana modal answer in this build.</x:v>
      </x:c>
      <x:c r="J7" s="95"/>
      <x:c r="K7" s="95"/>
      <x:c r="L7" s="95"/>
      <x:c r="M7" s="95"/>
      <x:c r="N7" s="95"/>
    </x:row>
    <x:row r="8">
      <x:c r="A8" s="119" t="str">
        <x:v>Murder</x:v>
      </x:c>
      <x:c r="B8" s="119" t="str">
        <x:v>Basim Ibn Ishaq</x:v>
      </x:c>
      <x:c r="C8" s="119" t="str">
        <x:v>Remoção genérica de três manas, redundante no pacote</x:v>
      </x:c>
      <x:c r="D8" s="119" t="str">
        <x:v>Compra recorrente ao conjurar Historic; Assassin que pode conectar</x:v>
      </x:c>
      <x:c r="E8" s="119" t="str">
        <x:v>Menos uma resposta a criatura; monitorar ameaças que escapam das demais remoções.</x:v>
      </x:c>
      <x:c r="F8" s="119" t="str">
        <x:v>P1</x:v>
      </x:c>
      <x:c r="G8" s="119" t="str">
        <x:v>Alta</x:v>
      </x:c>
      <x:c r="H8" s="119" t="str">
        <x:v>Proposed — untested</x:v>
      </x:c>
      <x:c r="I8" s="119" t="str">
        <x:v>Basim is ACR and supports the historic/Assassin identity.</x:v>
      </x:c>
      <x:c r="J8" s="95"/>
      <x:c r="K8" s="95"/>
      <x:c r="L8" s="95"/>
      <x:c r="M8" s="95"/>
      <x:c r="N8" s="95"/>
    </x:row>
    <x:row r="9">
      <x:c r="A9" s="119" t="str">
        <x:v>Rest in Peace</x:v>
      </x:c>
      <x:c r="B9" s="119" t="str">
        <x:v>Altaïr Ibn-La'Ahad</x:v>
      </x:c>
      <x:c r="C9" s="119" t="str">
        <x:v>Hate de cemitério global que também desativa valor próprio</x:v>
      </x:c>
      <x:c r="D9" s="119" t="str">
        <x:v>Linha temática de memória/exílio e tokens cópia de Assassinos</x:v>
      </x:c>
      <x:c r="E9" s="119" t="str">
        <x:v>Perde hate de cemitério forte. Se o meta exigir esse hate, não adotar esta troca sem rever Altaïr/Layla.</x:v>
      </x:c>
      <x:c r="F9" s="119" t="str">
        <x:v>P2</x:v>
      </x:c>
      <x:c r="G9" s="119" t="str">
        <x:v>Alta</x:v>
      </x:c>
      <x:c r="H9" s="119" t="str">
        <x:v>Proposed — untested</x:v>
      </x:c>
      <x:c r="I9" s="119" t="str">
        <x:v>Important anti-synergy correction: Rest in Peace conflicts with Layla/Altaïr graveyard lines.</x:v>
      </x:c>
      <x:c r="J9" s="95"/>
      <x:c r="K9" s="95"/>
      <x:c r="L9" s="95"/>
      <x:c r="M9" s="95"/>
      <x:c r="N9" s="95"/>
    </x:row>
    <x:row r="10">
      <x:c r="A10" s="119" t="str">
        <x:v>Deflecting Palm</x:v>
      </x:c>
      <x:c r="B10" s="119" t="str">
        <x:v>Ezio, Blade of Vengeance</x:v>
      </x:c>
      <x:c r="C10" s="119" t="str">
        <x:v>Resposta situacional, dependente do dano e das cores</x:v>
      </x:c>
      <x:c r="D10" s="119" t="str">
        <x:v>Compra uma carta para cada Assassin que conecte, gerando vantagem sustentada</x:v>
      </x:c>
      <x:c r="E10" s="119" t="str">
        <x:v>Perde uma surpresa defensiva contra ataques enormes; a proposta fica mais proativa.</x:v>
      </x:c>
      <x:c r="F10" s="119" t="str">
        <x:v>P1</x:v>
      </x:c>
      <x:c r="G10" s="119" t="str">
        <x:v>Média-alta</x:v>
      </x:c>
      <x:c r="H10" s="119" t="str">
        <x:v>Proposed — untested</x:v>
      </x:c>
      <x:c r="I10" s="119" t="str">
        <x:v>Protect the combat engine while turning connections into card draw.</x:v>
      </x:c>
      <x:c r="J10" s="95"/>
      <x:c r="K10" s="95"/>
      <x:c r="L10" s="95"/>
      <x:c r="M10" s="95"/>
      <x:c r="N10" s="95"/>
    </x:row>
    <x:row r="11">
      <x:c r="A11" s="119" t="str">
        <x:v>Hunter's Bow</x:v>
      </x:c>
      <x:c r="B11" s="119" t="str">
        <x:v>Aya of Alexandria</x:v>
      </x:c>
      <x:c r="C11" s="119" t="str">
        <x:v>Equipamento de impacto baixo/nicho na lista</x:v>
      </x:c>
      <x:c r="D11" s="119" t="str">
        <x:v>Historic combat damage creates Assassin tokens with menace; lifelink also stabilizes</x:v>
      </x:c>
      <x:c r="E11" s="119" t="str">
        <x:v>Menos uma ferramenta de equipamento temática; mantém-se o pacote principal.</x:v>
      </x:c>
      <x:c r="F11" s="119" t="str">
        <x:v>P2</x:v>
      </x:c>
      <x:c r="G11" s="119" t="str">
        <x:v>Alta</x:v>
      </x:c>
      <x:c r="H11" s="119" t="str">
        <x:v>Proposed — untested</x:v>
      </x:c>
      <x:c r="I11" s="119" t="str">
        <x:v>Adds threat density and tokens, rather than a low-impact equipment.</x:v>
      </x:c>
      <x:c r="J11" s="95"/>
      <x:c r="K11" s="95"/>
      <x:c r="L11" s="95"/>
      <x:c r="M11" s="95"/>
      <x:c r="N11" s="95"/>
    </x:row>
    <x:row r="12">
      <x:c r="A12" s="119" t="str">
        <x:v>Towering Viewpoint</x:v>
      </x:c>
      <x:c r="B12" s="119" t="str">
        <x:v>Eagle Vision</x:v>
      </x:c>
      <x:c r="C12" s="119" t="str">
        <x:v>Corpo defensivo e ativação de {3} para conceder flying</x:v>
      </x:c>
      <x:c r="D12" s="119" t="str">
        <x:v>Compra 3, com freerunning {1}{U}; payoff direto para conectar com Ezio/Assassin</x:v>
      </x:c>
      <x:c r="E12" s="119" t="str">
        <x:v>Menos uma forma repetível de dar flying; Boots, menace e evasão do deck continuam presentes.</x:v>
      </x:c>
      <x:c r="F12" s="119" t="str">
        <x:v>P1</x:v>
      </x:c>
      <x:c r="G12" s="119" t="str">
        <x:v>Alta</x:v>
      </x:c>
      <x:c r="H12" s="119" t="str">
        <x:v>Proposed — untested</x:v>
      </x:c>
      <x:c r="I12" s="119" t="str">
        <x:v>Eagle Vision preserves ACR theme and helps refill after a combat hit.</x:v>
      </x:c>
      <x:c r="J12" s="95"/>
      <x:c r="K12" s="95"/>
      <x:c r="L12" s="95"/>
      <x:c r="M12" s="95"/>
      <x:c r="N12" s="95"/>
    </x:row>
    <x:row r="13">
      <x:c r="A13" s="95"/>
      <x:c r="B13" s="95"/>
      <x:c r="C13" s="95"/>
      <x:c r="D13" s="95"/>
      <x:c r="E13" s="95"/>
      <x:c r="F13" s="95"/>
      <x:c r="G13" s="95"/>
      <x:c r="H13" s="95"/>
      <x:c r="I13" s="95"/>
      <x:c r="J13" s="95"/>
      <x:c r="K13" s="95"/>
      <x:c r="L13" s="95"/>
      <x:c r="M13" s="95"/>
      <x:c r="N13" s="95"/>
    </x:row>
    <x:row r="14">
      <x:c r="A14" s="95"/>
      <x:c r="B14" s="95"/>
      <x:c r="C14" s="95"/>
      <x:c r="D14" s="95"/>
      <x:c r="E14" s="95"/>
      <x:c r="F14" s="95"/>
      <x:c r="G14" s="95"/>
      <x:c r="H14" s="95"/>
      <x:c r="I14" s="95"/>
      <x:c r="J14" s="95"/>
      <x:c r="K14" s="95"/>
      <x:c r="L14" s="95"/>
      <x:c r="M14" s="95"/>
      <x:c r="N14" s="95"/>
    </x:row>
    <x:row r="15">
      <x:c r="A15" s="95"/>
      <x:c r="B15" s="95"/>
      <x:c r="C15" s="95"/>
      <x:c r="D15" s="95"/>
      <x:c r="E15" s="95"/>
      <x:c r="F15" s="95"/>
      <x:c r="G15" s="95"/>
      <x:c r="H15" s="95"/>
      <x:c r="I15" s="95"/>
      <x:c r="J15" s="95"/>
      <x:c r="K15" s="95"/>
      <x:c r="L15" s="95"/>
      <x:c r="M15" s="95"/>
      <x:c r="N15" s="95"/>
    </x:row>
    <x:row r="16">
      <x:c r="A16" s="95"/>
      <x:c r="B16" s="95"/>
      <x:c r="C16" s="95"/>
      <x:c r="D16" s="95"/>
      <x:c r="E16" s="95"/>
      <x:c r="F16" s="95"/>
      <x:c r="G16" s="95"/>
      <x:c r="H16" s="95"/>
      <x:c r="I16" s="95"/>
      <x:c r="J16" s="95"/>
      <x:c r="K16" s="95"/>
      <x:c r="L16" s="95"/>
      <x:c r="M16" s="95"/>
      <x:c r="N16" s="95"/>
    </x:row>
    <x:row r="17">
      <x:c r="A17" s="95"/>
      <x:c r="B17" s="95"/>
      <x:c r="C17" s="95"/>
      <x:c r="D17" s="95"/>
      <x:c r="E17" s="95"/>
      <x:c r="F17" s="95"/>
      <x:c r="G17" s="95"/>
      <x:c r="H17" s="95"/>
      <x:c r="I17" s="95"/>
      <x:c r="J17" s="95"/>
      <x:c r="K17" s="95"/>
      <x:c r="L17" s="95"/>
      <x:c r="M17" s="95"/>
      <x:c r="N17" s="95"/>
    </x:row>
    <x:row r="18">
      <x:c r="A18" s="95"/>
      <x:c r="B18" s="95"/>
      <x:c r="C18" s="95"/>
      <x:c r="D18" s="95"/>
      <x:c r="E18" s="95"/>
      <x:c r="F18" s="95"/>
      <x:c r="G18" s="95"/>
      <x:c r="H18" s="95"/>
      <x:c r="I18" s="95"/>
      <x:c r="J18" s="95"/>
      <x:c r="K18" s="95"/>
      <x:c r="L18" s="95"/>
      <x:c r="M18" s="95"/>
      <x:c r="N18" s="95"/>
    </x:row>
    <x:row r="19">
      <x:c r="A19" s="95"/>
      <x:c r="B19" s="95"/>
      <x:c r="C19" s="95"/>
      <x:c r="D19" s="95"/>
      <x:c r="E19" s="95"/>
      <x:c r="F19" s="95"/>
      <x:c r="G19" s="95"/>
      <x:c r="H19" s="95"/>
      <x:c r="I19" s="95"/>
      <x:c r="J19" s="95"/>
      <x:c r="K19" s="95"/>
      <x:c r="L19" s="95"/>
      <x:c r="M19" s="95"/>
      <x:c r="N19" s="95"/>
    </x:row>
    <x:row r="20">
      <x:c r="A20" s="95"/>
      <x:c r="B20" s="95"/>
      <x:c r="C20" s="95"/>
      <x:c r="D20" s="95"/>
      <x:c r="E20" s="95"/>
      <x:c r="F20" s="95"/>
      <x:c r="G20" s="95"/>
      <x:c r="H20" s="95"/>
      <x:c r="I20" s="95"/>
      <x:c r="J20" s="95"/>
      <x:c r="K20" s="95"/>
      <x:c r="L20" s="95"/>
      <x:c r="M20" s="95"/>
      <x:c r="N20" s="95"/>
    </x:row>
    <x:row r="21">
      <x:c r="A21" s="95"/>
      <x:c r="B21" s="95"/>
      <x:c r="C21" s="95"/>
      <x:c r="D21" s="95"/>
      <x:c r="E21" s="95"/>
      <x:c r="F21" s="95"/>
      <x:c r="G21" s="95"/>
      <x:c r="H21" s="95"/>
      <x:c r="I21" s="95"/>
      <x:c r="J21" s="95"/>
      <x:c r="K21" s="95"/>
      <x:c r="L21" s="95"/>
      <x:c r="M21" s="95"/>
      <x:c r="N21" s="95"/>
    </x:row>
    <x:row r="22">
      <x:c r="A22" s="95"/>
      <x:c r="B22" s="95"/>
      <x:c r="C22" s="95"/>
      <x:c r="D22" s="95"/>
      <x:c r="E22" s="95"/>
      <x:c r="F22" s="95"/>
      <x:c r="G22" s="95"/>
      <x:c r="H22" s="95"/>
      <x:c r="I22" s="95"/>
      <x:c r="J22" s="95"/>
      <x:c r="K22" s="95"/>
      <x:c r="L22" s="95"/>
      <x:c r="M22" s="95"/>
      <x:c r="N22" s="95"/>
    </x:row>
    <x:row r="23">
      <x:c r="A23" s="95"/>
      <x:c r="B23" s="95"/>
      <x:c r="C23" s="95"/>
      <x:c r="D23" s="95"/>
      <x:c r="E23" s="95"/>
      <x:c r="F23" s="95"/>
      <x:c r="G23" s="95"/>
      <x:c r="H23" s="95"/>
      <x:c r="I23" s="95"/>
      <x:c r="J23" s="95"/>
      <x:c r="K23" s="95"/>
      <x:c r="L23" s="95"/>
      <x:c r="M23" s="95"/>
      <x:c r="N23" s="95"/>
    </x:row>
    <x:row r="24">
      <x:c r="A24" s="95"/>
      <x:c r="B24" s="95"/>
      <x:c r="C24" s="95"/>
      <x:c r="D24" s="95"/>
      <x:c r="E24" s="95"/>
      <x:c r="F24" s="95"/>
      <x:c r="G24" s="95"/>
      <x:c r="H24" s="95"/>
      <x:c r="I24" s="95"/>
      <x:c r="J24" s="95"/>
      <x:c r="K24" s="95"/>
      <x:c r="L24" s="95"/>
      <x:c r="M24" s="95"/>
      <x:c r="N24" s="95"/>
    </x:row>
    <x:row r="25">
      <x:c r="A25" s="95"/>
      <x:c r="B25" s="95"/>
      <x:c r="C25" s="95"/>
      <x:c r="D25" s="95"/>
      <x:c r="E25" s="95"/>
      <x:c r="F25" s="95"/>
      <x:c r="G25" s="95"/>
      <x:c r="H25" s="95"/>
      <x:c r="I25" s="95"/>
      <x:c r="J25" s="95"/>
      <x:c r="K25" s="95"/>
      <x:c r="L25" s="95"/>
      <x:c r="M25" s="95"/>
      <x:c r="N25" s="95"/>
    </x:row>
    <x:row r="26">
      <x:c r="A26" s="95"/>
      <x:c r="B26" s="95"/>
      <x:c r="C26" s="95"/>
      <x:c r="D26" s="95"/>
      <x:c r="E26" s="95"/>
      <x:c r="F26" s="95"/>
      <x:c r="G26" s="95"/>
      <x:c r="H26" s="95"/>
      <x:c r="I26" s="95"/>
      <x:c r="J26" s="95"/>
      <x:c r="K26" s="95"/>
      <x:c r="L26" s="95"/>
      <x:c r="M26" s="95"/>
      <x:c r="N26" s="95"/>
    </x:row>
    <x:row r="27">
      <x:c r="A27" s="95"/>
      <x:c r="B27" s="95"/>
      <x:c r="C27" s="95"/>
      <x:c r="D27" s="95"/>
      <x:c r="E27" s="95"/>
      <x:c r="F27" s="95"/>
      <x:c r="G27" s="95"/>
      <x:c r="H27" s="95"/>
      <x:c r="I27" s="95"/>
      <x:c r="J27" s="95"/>
      <x:c r="K27" s="95"/>
      <x:c r="L27" s="95"/>
      <x:c r="M27" s="95"/>
      <x:c r="N27" s="95"/>
    </x:row>
    <x:row r="28">
      <x:c r="A28" s="95"/>
      <x:c r="B28" s="95"/>
      <x:c r="C28" s="95"/>
      <x:c r="D28" s="95"/>
      <x:c r="E28" s="95"/>
      <x:c r="F28" s="95"/>
      <x:c r="G28" s="95"/>
      <x:c r="H28" s="95"/>
      <x:c r="I28" s="95"/>
      <x:c r="J28" s="95"/>
      <x:c r="K28" s="95"/>
      <x:c r="L28" s="95"/>
      <x:c r="M28" s="95"/>
      <x:c r="N28" s="95"/>
    </x:row>
    <x:row r="29">
      <x:c r="A29" s="95"/>
      <x:c r="B29" s="95"/>
      <x:c r="C29" s="95"/>
      <x:c r="D29" s="95"/>
      <x:c r="E29" s="95"/>
      <x:c r="F29" s="95"/>
      <x:c r="G29" s="95"/>
      <x:c r="H29" s="95"/>
      <x:c r="I29" s="95"/>
      <x:c r="J29" s="95"/>
      <x:c r="K29" s="95"/>
      <x:c r="L29" s="95"/>
      <x:c r="M29" s="95"/>
      <x:c r="N29" s="95"/>
    </x:row>
    <x:row r="30">
      <x:c r="A30" s="95"/>
      <x:c r="B30" s="95"/>
      <x:c r="C30" s="95"/>
      <x:c r="D30" s="95"/>
      <x:c r="E30" s="95"/>
      <x:c r="F30" s="95"/>
      <x:c r="G30" s="95"/>
      <x:c r="H30" s="95"/>
      <x:c r="I30" s="95"/>
      <x:c r="J30" s="95"/>
      <x:c r="K30" s="95"/>
      <x:c r="L30" s="95"/>
      <x:c r="M30" s="95"/>
      <x:c r="N30" s="95"/>
    </x:row>
    <x:row r="31">
      <x:c r="A31" s="95"/>
      <x:c r="B31" s="95"/>
      <x:c r="C31" s="95"/>
      <x:c r="D31" s="95"/>
      <x:c r="E31" s="95"/>
      <x:c r="F31" s="95"/>
      <x:c r="G31" s="95"/>
      <x:c r="H31" s="95"/>
      <x:c r="I31" s="95"/>
      <x:c r="J31" s="95"/>
      <x:c r="K31" s="95"/>
      <x:c r="L31" s="95"/>
      <x:c r="M31" s="95"/>
      <x:c r="N31" s="95"/>
    </x:row>
    <x:row r="32">
      <x:c r="A32" s="95"/>
      <x:c r="B32" s="95"/>
      <x:c r="C32" s="95"/>
      <x:c r="D32" s="95"/>
      <x:c r="E32" s="95"/>
      <x:c r="F32" s="95"/>
      <x:c r="G32" s="95"/>
      <x:c r="H32" s="95"/>
      <x:c r="I32" s="95"/>
      <x:c r="J32" s="95"/>
      <x:c r="K32" s="95"/>
      <x:c r="L32" s="95"/>
      <x:c r="M32" s="95"/>
      <x:c r="N32" s="95"/>
    </x:row>
    <x:row r="33">
      <x:c r="A33" s="95"/>
      <x:c r="B33" s="95"/>
      <x:c r="C33" s="95"/>
      <x:c r="D33" s="95"/>
      <x:c r="E33" s="95"/>
      <x:c r="F33" s="95"/>
      <x:c r="G33" s="95"/>
      <x:c r="H33" s="95"/>
      <x:c r="I33" s="95"/>
      <x:c r="J33" s="95"/>
      <x:c r="K33" s="95"/>
      <x:c r="L33" s="95"/>
      <x:c r="M33" s="95"/>
      <x:c r="N33" s="95"/>
    </x:row>
    <x:row r="34">
      <x:c r="A34" s="95"/>
      <x:c r="B34" s="95"/>
      <x:c r="C34" s="95"/>
      <x:c r="D34" s="95"/>
      <x:c r="E34" s="95"/>
      <x:c r="F34" s="95"/>
      <x:c r="G34" s="95"/>
      <x:c r="H34" s="95"/>
      <x:c r="I34" s="95"/>
      <x:c r="J34" s="95"/>
      <x:c r="K34" s="95"/>
      <x:c r="L34" s="95"/>
      <x:c r="M34" s="95"/>
      <x:c r="N34" s="95"/>
    </x:row>
    <x:row r="35">
      <x:c r="A35" s="95"/>
      <x:c r="B35" s="95"/>
      <x:c r="C35" s="95"/>
      <x:c r="D35" s="95"/>
      <x:c r="E35" s="95"/>
      <x:c r="F35" s="95"/>
      <x:c r="G35" s="95"/>
      <x:c r="H35" s="95"/>
      <x:c r="I35" s="95"/>
      <x:c r="J35" s="95"/>
      <x:c r="K35" s="95"/>
      <x:c r="L35" s="95"/>
      <x:c r="M35" s="95"/>
      <x:c r="N35" s="95"/>
    </x:row>
    <x:row r="36">
      <x:c r="A36" s="95"/>
      <x:c r="B36" s="95"/>
      <x:c r="C36" s="95"/>
      <x:c r="D36" s="95"/>
      <x:c r="E36" s="95"/>
      <x:c r="F36" s="95"/>
      <x:c r="G36" s="95"/>
      <x:c r="H36" s="95"/>
      <x:c r="I36" s="95"/>
      <x:c r="J36" s="95"/>
      <x:c r="K36" s="95"/>
      <x:c r="L36" s="95"/>
      <x:c r="M36" s="95"/>
      <x:c r="N36" s="95"/>
    </x:row>
    <x:row r="37">
      <x:c r="A37" s="95"/>
      <x:c r="B37" s="95"/>
      <x:c r="C37" s="95"/>
      <x:c r="D37" s="95"/>
      <x:c r="E37" s="95"/>
      <x:c r="F37" s="95"/>
      <x:c r="G37" s="95"/>
      <x:c r="H37" s="95"/>
      <x:c r="I37" s="95"/>
      <x:c r="J37" s="95"/>
      <x:c r="K37" s="95"/>
      <x:c r="L37" s="95"/>
      <x:c r="M37" s="95"/>
      <x:c r="N37" s="95"/>
    </x:row>
    <x:row r="38">
      <x:c r="A38" s="95"/>
      <x:c r="B38" s="95"/>
      <x:c r="C38" s="95"/>
      <x:c r="D38" s="95"/>
      <x:c r="E38" s="95"/>
      <x:c r="F38" s="95"/>
      <x:c r="G38" s="95"/>
      <x:c r="H38" s="95"/>
      <x:c r="I38" s="95"/>
      <x:c r="J38" s="95"/>
      <x:c r="K38" s="95"/>
      <x:c r="L38" s="95"/>
      <x:c r="M38" s="95"/>
      <x:c r="N38" s="95"/>
    </x:row>
    <x:row r="39">
      <x:c r="A39" s="95"/>
      <x:c r="B39" s="95"/>
      <x:c r="C39" s="95"/>
      <x:c r="D39" s="95"/>
      <x:c r="E39" s="95"/>
      <x:c r="F39" s="95"/>
      <x:c r="G39" s="95"/>
      <x:c r="H39" s="95"/>
      <x:c r="I39" s="95"/>
      <x:c r="J39" s="95"/>
      <x:c r="K39" s="95"/>
      <x:c r="L39" s="95"/>
      <x:c r="M39" s="95"/>
      <x:c r="N39" s="95"/>
    </x:row>
    <x:row r="40">
      <x:c r="A40" s="95"/>
      <x:c r="B40" s="95"/>
      <x:c r="C40" s="95"/>
      <x:c r="D40" s="95"/>
      <x:c r="E40" s="95"/>
      <x:c r="F40" s="95"/>
      <x:c r="G40" s="95"/>
      <x:c r="H40" s="95"/>
      <x:c r="I40" s="95"/>
      <x:c r="J40" s="95"/>
      <x:c r="K40" s="95"/>
      <x:c r="L40" s="95"/>
      <x:c r="M40" s="95"/>
      <x:c r="N40" s="95"/>
    </x:row>
  </x:sheetData>
  <x:mergeCells>
    <x:mergeCell ref="A1:I1"/>
    <x:mergeCell ref="A2:I2"/>
  </x:mergeCells>
  <x:conditionalFormatting sqref="F6:F12">
    <x:cfRule type="expression" dxfId="2" priority="1">
      <x:formula>F6="P1"</x:formula>
    </x:cfRule>
  </x:conditionalFormatting>
  <x:conditionalFormatting sqref="G6:G12">
    <x:cfRule type="expression" dxfId="3" priority="2">
      <x:formula>G6="Alta"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71b03d966864918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18" hidden="0" customWidth="1"/>
    <x:col min="4" max="4" width="12" hidden="0" customWidth="1"/>
    <x:col min="5" max="5" width="76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2" customHeight="1">
      <x:c r="A1" s="124" t="str">
        <x:v>FUNÇÕES — TEORIA 8×8 FLEXÍVEL</x:v>
      </x:c>
      <x:c r="B1" s="124"/>
      <x:c r="C1" s="124"/>
      <x:c r="D1" s="124"/>
      <x:c r="E1" s="124"/>
      <x:c r="F1" s="124"/>
      <x:c r="G1" s="124"/>
      <x:c r="H1" s="124"/>
      <x:c r="I1" s="95"/>
      <x:c r="J1" s="95"/>
      <x:c r="K1" s="95"/>
      <x:c r="L1" s="95"/>
      <x:c r="M1" s="95"/>
      <x:c r="N1" s="95"/>
    </x:row>
    <x:row r="2" ht="28" customHeight="1">
      <x:c r="A2" s="96" t="str">
        <x:v>Cada carta tem um grupo primário apenas para que a soma não duplique cartas; funções secundárias estão nas notas da Card Matrix/lista.</x:v>
      </x:c>
      <x:c r="B2" s="96"/>
      <x:c r="C2" s="96"/>
      <x:c r="D2" s="96"/>
      <x:c r="E2" s="96"/>
      <x:c r="F2" s="96"/>
      <x:c r="G2" s="96"/>
      <x:c r="H2" s="96"/>
      <x:c r="I2" s="136"/>
      <x:c r="J2" s="136"/>
      <x:c r="K2" s="136"/>
      <x:c r="L2" s="136"/>
      <x:c r="M2" s="136"/>
      <x:c r="N2" s="136"/>
    </x:row>
    <x:row r="3">
      <x:c r="A3" s="95"/>
      <x:c r="B3" s="95"/>
      <x:c r="C3" s="95"/>
      <x:c r="D3" s="95"/>
      <x:c r="E3" s="95"/>
      <x:c r="F3" s="95"/>
      <x:c r="G3" s="95"/>
      <x:c r="H3" s="95"/>
      <x:c r="I3" s="95"/>
      <x:c r="J3" s="95"/>
      <x:c r="K3" s="95"/>
      <x:c r="L3" s="95"/>
      <x:c r="M3" s="95"/>
      <x:c r="N3" s="95"/>
    </x:row>
    <x:row r="4" ht="28" customHeight="1">
      <x:c r="A4" s="132" t="str">
        <x:v>Primary group</x:v>
      </x:c>
      <x:c r="B4" s="132" t="str">
        <x:v>CURRENT qty</x:v>
      </x:c>
      <x:c r="C4" s="132" t="str">
        <x:v>PROPOSED V2 qty</x:v>
      </x:c>
      <x:c r="D4" s="132" t="str">
        <x:v>Delta</x:v>
      </x:c>
      <x:c r="E4" s="132" t="str">
        <x:v>What this reveals</x:v>
      </x:c>
      <x:c r="F4" s="95"/>
      <x:c r="G4" s="95"/>
      <x:c r="H4" s="95"/>
      <x:c r="I4" s="95"/>
      <x:c r="J4" s="95"/>
      <x:c r="K4" s="95"/>
      <x:c r="L4" s="95"/>
      <x:c r="M4" s="95"/>
      <x:c r="N4" s="95"/>
    </x:row>
    <x:row r="5">
      <x:c r="A5" s="119" t="str">
        <x:v>1. Ramp + color fixing</x:v>
      </x:c>
      <x:c r="B5" s="119" t="n">
        <x:f>SUMIF('Current List'!$E$6:$E$90,A5,'Current List'!$B$6:$B$90)</x:f>
        <x:v>2</x:v>
      </x:c>
      <x:c r="C5" s="119" t="n">
        <x:f>SUMIF('Proposed V2'!$E$6:$E$90,A5,'Proposed V2'!$B$6:$B$90)</x:f>
        <x:v>4</x:v>
      </x:c>
      <x:c r="D5" s="119" t="n">
        <x:f>C5-B5</x:f>
        <x:v>2</x:v>
      </x:c>
      <x:c r="E5" s="119" t="str">
        <x:v>Very thin acceleration/fixing among spells; V2 adds Sol Ring and Arcane Signet.</x:v>
      </x:c>
      <x:c r="F5" s="95"/>
      <x:c r="G5" s="95"/>
      <x:c r="H5" s="95"/>
      <x:c r="I5" s="95"/>
      <x:c r="J5" s="95"/>
      <x:c r="K5" s="95"/>
      <x:c r="L5" s="95"/>
      <x:c r="M5" s="95"/>
      <x:c r="N5" s="95"/>
    </x:row>
    <x:row r="6">
      <x:c r="A6" s="119" t="str">
        <x:v>2. Draw / selection / recursion</x:v>
      </x:c>
      <x:c r="B6" s="119" t="n">
        <x:f>SUMIF('Current List'!$E$6:$E$90,A6,'Current List'!$B$6:$B$90)</x:f>
        <x:v>4</x:v>
      </x:c>
      <x:c r="C6" s="119" t="n">
        <x:f>SUMIF('Proposed V2'!$E$6:$E$90,A6,'Proposed V2'!$B$6:$B$90)</x:f>
        <x:v>7</x:v>
      </x:c>
      <x:c r="D6" s="119" t="n">
        <x:f>C6-B6</x:f>
        <x:v>3</x:v>
      </x:c>
      <x:c r="E6" s="119" t="str">
        <x:v>Current relies heavily on combat to draw; Basim, Ezio Blade and Eagle Vision diversify draw.</x:v>
      </x:c>
      <x:c r="F6" s="95"/>
      <x:c r="G6" s="95"/>
      <x:c r="H6" s="95"/>
      <x:c r="I6" s="95"/>
      <x:c r="J6" s="95"/>
      <x:c r="K6" s="95"/>
      <x:c r="L6" s="95"/>
      <x:c r="M6" s="95"/>
      <x:c r="N6" s="95"/>
    </x:row>
    <x:row r="7">
      <x:c r="A7" s="119" t="str">
        <x:v>3. Assassin tribal + freerunning</x:v>
      </x:c>
      <x:c r="B7" s="119" t="n">
        <x:f>SUMIF('Current List'!$E$6:$E$90,A7,'Current List'!$B$6:$B$90)</x:f>
        <x:v>10</x:v>
      </x:c>
      <x:c r="C7" s="119" t="n">
        <x:f>SUMIF('Proposed V2'!$E$6:$E$90,A7,'Proposed V2'!$B$6:$B$90)</x:f>
        <x:v>12</x:v>
      </x:c>
      <x:c r="D7" s="119" t="n">
        <x:f>C7-B7</x:f>
        <x:v>2</x:v>
      </x:c>
      <x:c r="E7" s="119" t="str">
        <x:v>Roshan is a keystone: when he is in play, other creature spells/cards you own are Assassins too.</x:v>
      </x:c>
      <x:c r="F7" s="95"/>
      <x:c r="G7" s="95"/>
      <x:c r="H7" s="95"/>
      <x:c r="I7" s="95"/>
      <x:c r="J7" s="95"/>
      <x:c r="K7" s="95"/>
      <x:c r="L7" s="95"/>
      <x:c r="M7" s="95"/>
      <x:c r="N7" s="95"/>
    </x:row>
    <x:row r="8">
      <x:c r="A8" s="119" t="str">
        <x:v>4. Evasion / equipment / protection</x:v>
      </x:c>
      <x:c r="B8" s="119" t="n">
        <x:f>SUMIF('Current List'!$E$6:$E$90,A8,'Current List'!$B$6:$B$90)</x:f>
        <x:v>12</x:v>
      </x:c>
      <x:c r="C8" s="119" t="n">
        <x:f>SUMIF('Proposed V2'!$E$6:$E$90,A8,'Proposed V2'!$B$6:$B$90)</x:f>
        <x:v>10</x:v>
      </x:c>
      <x:c r="D8" s="119" t="n">
        <x:f>C8-B8</x:f>
        <x:v>-2</x:v>
      </x:c>
      <x:c r="E8" s="119" t="str">
        <x:v>High thematic density; V2 trims lower-impact evasion/equipment pieces but keeps core gear.</x:v>
      </x:c>
      <x:c r="F8" s="95"/>
      <x:c r="G8" s="95"/>
      <x:c r="H8" s="95"/>
      <x:c r="I8" s="95"/>
      <x:c r="J8" s="95"/>
      <x:c r="K8" s="95"/>
      <x:c r="L8" s="95"/>
      <x:c r="M8" s="95"/>
      <x:c r="N8" s="95"/>
    </x:row>
    <x:row r="9">
      <x:c r="A9" s="119" t="str">
        <x:v>5. Historic / legendary / Sagas</x:v>
      </x:c>
      <x:c r="B9" s="119" t="n">
        <x:f>SUMIF('Current List'!$E$6:$E$90,A9,'Current List'!$B$6:$B$90)</x:f>
        <x:v>12</x:v>
      </x:c>
      <x:c r="C9" s="119" t="n">
        <x:f>SUMIF('Proposed V2'!$E$6:$E$90,A9,'Proposed V2'!$B$6:$B$90)</x:f>
        <x:v>12</x:v>
      </x:c>
      <x:c r="D9" s="119" t="n">
        <x:f>C9-B9</x:f>
        <x:v>0</x:v>
      </x:c>
      <x:c r="E9" s="119" t="str">
        <x:v>Historic includes artifacts, legendary cards and Sagas; several cards can be Historic and also fill another role.</x:v>
      </x:c>
      <x:c r="F9" s="95"/>
      <x:c r="G9" s="95"/>
      <x:c r="H9" s="95"/>
      <x:c r="I9" s="95"/>
      <x:c r="J9" s="95"/>
      <x:c r="K9" s="95"/>
      <x:c r="L9" s="95"/>
      <x:c r="M9" s="95"/>
      <x:c r="N9" s="95"/>
    </x:row>
    <x:row r="10">
      <x:c r="A10" s="119" t="str">
        <x:v>6. Removal / interaction</x:v>
      </x:c>
      <x:c r="B10" s="119" t="n">
        <x:f>SUMIF('Current List'!$E$6:$E$90,A10,'Current List'!$B$6:$B$90)</x:f>
        <x:v>14</x:v>
      </x:c>
      <x:c r="C10" s="119" t="n">
        <x:f>SUMIF('Proposed V2'!$E$6:$E$90,A10,'Proposed V2'!$B$6:$B$90)</x:f>
        <x:v>12</x:v>
      </x:c>
      <x:c r="D10" s="119" t="n">
        <x:f>C10-B10</x:f>
        <x:v>-2</x:v>
      </x:c>
      <x:c r="E10" s="119" t="str">
        <x:v>Current removal count is high; V2 trims redundant/narrow options rather than removing interaction wholesale.</x:v>
      </x:c>
      <x:c r="F10" s="95"/>
      <x:c r="G10" s="95"/>
      <x:c r="H10" s="95"/>
      <x:c r="I10" s="95"/>
      <x:c r="J10" s="95"/>
      <x:c r="K10" s="95"/>
      <x:c r="L10" s="95"/>
      <x:c r="M10" s="95"/>
      <x:c r="N10" s="95"/>
    </x:row>
    <x:row r="11">
      <x:c r="A11" s="119" t="str">
        <x:v>7. Board control / graveyard</x:v>
      </x:c>
      <x:c r="B11" s="119" t="n">
        <x:f>SUMIF('Current List'!$E$6:$E$90,A11,'Current List'!$B$6:$B$90)</x:f>
        <x:v>4</x:v>
      </x:c>
      <x:c r="C11" s="119" t="n">
        <x:f>SUMIF('Proposed V2'!$E$6:$E$90,A11,'Proposed V2'!$B$6:$B$90)</x:f>
        <x:v>2</x:v>
      </x:c>
      <x:c r="D11" s="119" t="n">
        <x:f>C11-B11</x:f>
        <x:v>-2</x:v>
      </x:c>
      <x:c r="E11" s="119" t="str">
        <x:v>V2 removes Rest in Peace because it shuts down own graveyard value; keeps Supreme Verdict and Primal Command.</x:v>
      </x:c>
      <x:c r="F11" s="95"/>
      <x:c r="G11" s="95"/>
      <x:c r="H11" s="95"/>
      <x:c r="I11" s="95"/>
      <x:c r="J11" s="95"/>
      <x:c r="K11" s="95"/>
      <x:c r="L11" s="95"/>
      <x:c r="M11" s="95"/>
      <x:c r="N11" s="95"/>
    </x:row>
    <x:row r="12">
      <x:c r="A12" s="119" t="str">
        <x:v>8. Combat pressure / other thematic utility</x:v>
      </x:c>
      <x:c r="B12" s="119" t="n">
        <x:f>SUMIF('Current List'!$E$6:$E$90,A12,'Current List'!$B$6:$B$90)</x:f>
        <x:v>7</x:v>
      </x:c>
      <x:c r="C12" s="119" t="n">
        <x:f>SUMIF('Proposed V2'!$E$6:$E$90,A12,'Proposed V2'!$B$6:$B$90)</x:f>
        <x:v>6</x:v>
      </x:c>
      <x:c r="D12" s="119" t="n">
        <x:f>C12-B12</x:f>
        <x:v>-1</x:v>
      </x:c>
      <x:c r="E12" s="119" t="str">
        <x:v>Broad role-player category; avoid cuts based on card price/foil status and test actual impact.</x:v>
      </x:c>
      <x:c r="F12" s="95"/>
      <x:c r="G12" s="95"/>
      <x:c r="H12" s="95"/>
      <x:c r="I12" s="95"/>
      <x:c r="J12" s="95"/>
      <x:c r="K12" s="95"/>
      <x:c r="L12" s="95"/>
      <x:c r="M12" s="95"/>
      <x:c r="N12" s="95"/>
    </x:row>
    <x:row r="13">
      <x:c r="A13" s="95"/>
      <x:c r="B13" s="95"/>
      <x:c r="C13" s="95"/>
      <x:c r="D13" s="95"/>
      <x:c r="E13" s="95"/>
      <x:c r="F13" s="95"/>
      <x:c r="G13" s="95"/>
      <x:c r="H13" s="95"/>
      <x:c r="I13" s="95"/>
      <x:c r="J13" s="95"/>
      <x:c r="K13" s="95"/>
      <x:c r="L13" s="95"/>
      <x:c r="M13" s="95"/>
      <x:c r="N13" s="95"/>
    </x:row>
    <x:row r="14">
      <x:c r="A14" s="95"/>
      <x:c r="B14" s="95"/>
      <x:c r="C14" s="95"/>
      <x:c r="D14" s="95"/>
      <x:c r="E14" s="95"/>
      <x:c r="F14" s="95"/>
      <x:c r="G14" s="95"/>
      <x:c r="H14" s="95"/>
      <x:c r="I14" s="95"/>
      <x:c r="J14" s="95"/>
      <x:c r="K14" s="95"/>
      <x:c r="L14" s="95"/>
      <x:c r="M14" s="95"/>
      <x:c r="N14" s="95"/>
    </x:row>
    <x:row r="15">
      <x:c r="A15" s="95"/>
      <x:c r="B15" s="95"/>
      <x:c r="C15" s="95"/>
      <x:c r="D15" s="95"/>
      <x:c r="E15" s="95"/>
      <x:c r="F15" s="95"/>
      <x:c r="G15" s="95"/>
      <x:c r="H15" s="95"/>
      <x:c r="I15" s="95"/>
      <x:c r="J15" s="95"/>
      <x:c r="K15" s="95"/>
      <x:c r="L15" s="95"/>
      <x:c r="M15" s="95"/>
      <x:c r="N15" s="95"/>
    </x:row>
    <x:row r="16">
      <x:c r="A16" s="95"/>
      <x:c r="B16" s="95"/>
      <x:c r="C16" s="95"/>
      <x:c r="D16" s="95"/>
      <x:c r="E16" s="95"/>
      <x:c r="F16" s="95"/>
      <x:c r="G16" s="95"/>
      <x:c r="H16" s="95"/>
      <x:c r="I16" s="95"/>
      <x:c r="J16" s="95"/>
      <x:c r="K16" s="95"/>
      <x:c r="L16" s="95"/>
      <x:c r="M16" s="95"/>
      <x:c r="N16" s="95"/>
    </x:row>
    <x:row r="17">
      <x:c r="A17" s="95"/>
      <x:c r="B17" s="95"/>
      <x:c r="C17" s="95"/>
      <x:c r="D17" s="95"/>
      <x:c r="E17" s="95"/>
      <x:c r="F17" s="95"/>
      <x:c r="G17" s="95"/>
      <x:c r="H17" s="95"/>
      <x:c r="I17" s="95"/>
      <x:c r="J17" s="95"/>
      <x:c r="K17" s="95"/>
      <x:c r="L17" s="95"/>
      <x:c r="M17" s="95"/>
      <x:c r="N17" s="95"/>
    </x:row>
    <x:row r="18">
      <x:c r="A18" s="95"/>
      <x:c r="B18" s="95"/>
      <x:c r="C18" s="95"/>
      <x:c r="D18" s="95"/>
      <x:c r="E18" s="95"/>
      <x:c r="F18" s="95"/>
      <x:c r="G18" s="95"/>
      <x:c r="H18" s="95"/>
      <x:c r="I18" s="95"/>
      <x:c r="J18" s="95"/>
      <x:c r="K18" s="95"/>
      <x:c r="L18" s="95"/>
      <x:c r="M18" s="95"/>
      <x:c r="N18" s="95"/>
    </x:row>
    <x:row r="19">
      <x:c r="A19" s="95"/>
      <x:c r="B19" s="95"/>
      <x:c r="C19" s="95"/>
      <x:c r="D19" s="95"/>
      <x:c r="E19" s="95"/>
      <x:c r="F19" s="95"/>
      <x:c r="G19" s="95"/>
      <x:c r="H19" s="95"/>
      <x:c r="I19" s="95"/>
      <x:c r="J19" s="95"/>
      <x:c r="K19" s="95"/>
      <x:c r="L19" s="95"/>
      <x:c r="M19" s="95"/>
      <x:c r="N19" s="95"/>
    </x:row>
    <x:row r="20">
      <x:c r="A20" s="95"/>
      <x:c r="B20" s="95"/>
      <x:c r="C20" s="95"/>
      <x:c r="D20" s="95"/>
      <x:c r="E20" s="95"/>
      <x:c r="F20" s="95"/>
      <x:c r="G20" s="95"/>
      <x:c r="H20" s="95"/>
      <x:c r="I20" s="95"/>
      <x:c r="J20" s="95"/>
      <x:c r="K20" s="95"/>
      <x:c r="L20" s="95"/>
      <x:c r="M20" s="95"/>
      <x:c r="N20" s="95"/>
    </x:row>
    <x:row r="21">
      <x:c r="A21" s="95"/>
      <x:c r="B21" s="95"/>
      <x:c r="C21" s="95"/>
      <x:c r="D21" s="95"/>
      <x:c r="E21" s="95"/>
      <x:c r="F21" s="95"/>
      <x:c r="G21" s="95"/>
      <x:c r="H21" s="95"/>
      <x:c r="I21" s="95"/>
      <x:c r="J21" s="95"/>
      <x:c r="K21" s="95"/>
      <x:c r="L21" s="95"/>
      <x:c r="M21" s="95"/>
      <x:c r="N21" s="95"/>
    </x:row>
    <x:row r="22">
      <x:c r="A22" s="95"/>
      <x:c r="B22" s="95"/>
      <x:c r="C22" s="95"/>
      <x:c r="D22" s="95"/>
      <x:c r="E22" s="95"/>
      <x:c r="F22" s="95"/>
      <x:c r="G22" s="95"/>
      <x:c r="H22" s="95"/>
      <x:c r="I22" s="95"/>
      <x:c r="J22" s="95"/>
      <x:c r="K22" s="95"/>
      <x:c r="L22" s="95"/>
      <x:c r="M22" s="95"/>
      <x:c r="N22" s="95"/>
    </x:row>
    <x:row r="23">
      <x:c r="A23" s="95"/>
      <x:c r="B23" s="95"/>
      <x:c r="C23" s="95"/>
      <x:c r="D23" s="95"/>
      <x:c r="E23" s="95"/>
      <x:c r="F23" s="95"/>
      <x:c r="G23" s="95"/>
      <x:c r="H23" s="95"/>
      <x:c r="I23" s="95"/>
      <x:c r="J23" s="95"/>
      <x:c r="K23" s="95"/>
      <x:c r="L23" s="95"/>
      <x:c r="M23" s="95"/>
      <x:c r="N23" s="95"/>
    </x:row>
    <x:row r="24">
      <x:c r="A24" s="95"/>
      <x:c r="B24" s="95"/>
      <x:c r="C24" s="95"/>
      <x:c r="D24" s="95"/>
      <x:c r="E24" s="95"/>
      <x:c r="F24" s="95"/>
      <x:c r="G24" s="95"/>
      <x:c r="H24" s="95"/>
      <x:c r="I24" s="95"/>
      <x:c r="J24" s="95"/>
      <x:c r="K24" s="95"/>
      <x:c r="L24" s="95"/>
      <x:c r="M24" s="95"/>
      <x:c r="N24" s="95"/>
    </x:row>
    <x:row r="25">
      <x:c r="A25" s="95"/>
      <x:c r="B25" s="95"/>
      <x:c r="C25" s="95"/>
      <x:c r="D25" s="95"/>
      <x:c r="E25" s="95"/>
      <x:c r="F25" s="95"/>
      <x:c r="G25" s="95"/>
      <x:c r="H25" s="95"/>
      <x:c r="I25" s="95"/>
      <x:c r="J25" s="95"/>
      <x:c r="K25" s="95"/>
      <x:c r="L25" s="95"/>
      <x:c r="M25" s="95"/>
      <x:c r="N25" s="95"/>
    </x:row>
    <x:row r="26">
      <x:c r="A26" s="95"/>
      <x:c r="B26" s="95"/>
      <x:c r="C26" s="95"/>
      <x:c r="D26" s="95"/>
      <x:c r="E26" s="95"/>
      <x:c r="F26" s="95"/>
      <x:c r="G26" s="95"/>
      <x:c r="H26" s="95"/>
      <x:c r="I26" s="95"/>
      <x:c r="J26" s="95"/>
      <x:c r="K26" s="95"/>
      <x:c r="L26" s="95"/>
      <x:c r="M26" s="95"/>
      <x:c r="N26" s="95"/>
    </x:row>
    <x:row r="27">
      <x:c r="A27" s="95"/>
      <x:c r="B27" s="95"/>
      <x:c r="C27" s="95"/>
      <x:c r="D27" s="95"/>
      <x:c r="E27" s="95"/>
      <x:c r="F27" s="95"/>
      <x:c r="G27" s="95"/>
      <x:c r="H27" s="95"/>
      <x:c r="I27" s="95"/>
      <x:c r="J27" s="95"/>
      <x:c r="K27" s="95"/>
      <x:c r="L27" s="95"/>
      <x:c r="M27" s="95"/>
      <x:c r="N27" s="95"/>
    </x:row>
    <x:row r="28">
      <x:c r="A28" s="95"/>
      <x:c r="B28" s="95"/>
      <x:c r="C28" s="95"/>
      <x:c r="D28" s="95"/>
      <x:c r="E28" s="95"/>
      <x:c r="F28" s="95"/>
      <x:c r="G28" s="95"/>
      <x:c r="H28" s="95"/>
      <x:c r="I28" s="95"/>
      <x:c r="J28" s="95"/>
      <x:c r="K28" s="95"/>
      <x:c r="L28" s="95"/>
      <x:c r="M28" s="95"/>
      <x:c r="N28" s="95"/>
    </x:row>
    <x:row r="29">
      <x:c r="A29" s="95"/>
      <x:c r="B29" s="95"/>
      <x:c r="C29" s="95"/>
      <x:c r="D29" s="95"/>
      <x:c r="E29" s="95"/>
      <x:c r="F29" s="95"/>
      <x:c r="G29" s="95"/>
      <x:c r="H29" s="95"/>
      <x:c r="I29" s="95"/>
      <x:c r="J29" s="95"/>
      <x:c r="K29" s="95"/>
      <x:c r="L29" s="95"/>
      <x:c r="M29" s="95"/>
      <x:c r="N29" s="95"/>
    </x:row>
    <x:row r="30">
      <x:c r="A30" s="95"/>
      <x:c r="B30" s="95"/>
      <x:c r="C30" s="95"/>
      <x:c r="D30" s="95"/>
      <x:c r="E30" s="95"/>
      <x:c r="F30" s="95"/>
      <x:c r="G30" s="95"/>
      <x:c r="H30" s="95"/>
      <x:c r="I30" s="95"/>
      <x:c r="J30" s="95"/>
      <x:c r="K30" s="95"/>
      <x:c r="L30" s="95"/>
      <x:c r="M30" s="95"/>
      <x:c r="N30" s="95"/>
    </x:row>
    <x:row r="31">
      <x:c r="A31" s="95"/>
      <x:c r="B31" s="95"/>
      <x:c r="C31" s="95"/>
      <x:c r="D31" s="95"/>
      <x:c r="E31" s="95"/>
      <x:c r="F31" s="95"/>
      <x:c r="G31" s="95"/>
      <x:c r="H31" s="95"/>
      <x:c r="I31" s="95"/>
      <x:c r="J31" s="95"/>
      <x:c r="K31" s="95"/>
      <x:c r="L31" s="95"/>
      <x:c r="M31" s="95"/>
      <x:c r="N31" s="95"/>
    </x:row>
    <x:row r="32">
      <x:c r="A32" s="95"/>
      <x:c r="B32" s="95"/>
      <x:c r="C32" s="95"/>
      <x:c r="D32" s="95"/>
      <x:c r="E32" s="95"/>
      <x:c r="F32" s="95"/>
      <x:c r="G32" s="95"/>
      <x:c r="H32" s="95"/>
      <x:c r="I32" s="95"/>
      <x:c r="J32" s="95"/>
      <x:c r="K32" s="95"/>
      <x:c r="L32" s="95"/>
      <x:c r="M32" s="95"/>
      <x:c r="N32" s="95"/>
    </x:row>
    <x:row r="33">
      <x:c r="A33" s="95"/>
      <x:c r="B33" s="95"/>
      <x:c r="C33" s="95"/>
      <x:c r="D33" s="95"/>
      <x:c r="E33" s="95"/>
      <x:c r="F33" s="95"/>
      <x:c r="G33" s="95"/>
      <x:c r="H33" s="95"/>
      <x:c r="I33" s="95"/>
      <x:c r="J33" s="95"/>
      <x:c r="K33" s="95"/>
      <x:c r="L33" s="95"/>
      <x:c r="M33" s="95"/>
      <x:c r="N33" s="95"/>
    </x:row>
    <x:row r="34">
      <x:c r="A34" s="95"/>
      <x:c r="B34" s="95"/>
      <x:c r="C34" s="95"/>
      <x:c r="D34" s="95"/>
      <x:c r="E34" s="95"/>
      <x:c r="F34" s="95"/>
      <x:c r="G34" s="95"/>
      <x:c r="H34" s="95"/>
      <x:c r="I34" s="95"/>
      <x:c r="J34" s="95"/>
      <x:c r="K34" s="95"/>
      <x:c r="L34" s="95"/>
      <x:c r="M34" s="95"/>
      <x:c r="N34" s="95"/>
    </x:row>
    <x:row r="35">
      <x:c r="A35" s="95"/>
      <x:c r="B35" s="95"/>
      <x:c r="C35" s="95"/>
      <x:c r="D35" s="95"/>
      <x:c r="E35" s="95"/>
      <x:c r="F35" s="95"/>
      <x:c r="G35" s="95"/>
      <x:c r="H35" s="95"/>
      <x:c r="I35" s="95"/>
      <x:c r="J35" s="95"/>
      <x:c r="K35" s="95"/>
      <x:c r="L35" s="95"/>
      <x:c r="M35" s="95"/>
      <x:c r="N35" s="95"/>
    </x:row>
    <x:row r="36">
      <x:c r="A36" s="95"/>
      <x:c r="B36" s="95"/>
      <x:c r="C36" s="95"/>
      <x:c r="D36" s="95"/>
      <x:c r="E36" s="95"/>
      <x:c r="F36" s="95"/>
      <x:c r="G36" s="95"/>
      <x:c r="H36" s="95"/>
      <x:c r="I36" s="95"/>
      <x:c r="J36" s="95"/>
      <x:c r="K36" s="95"/>
      <x:c r="L36" s="95"/>
      <x:c r="M36" s="95"/>
      <x:c r="N36" s="95"/>
    </x:row>
    <x:row r="37">
      <x:c r="A37" s="95"/>
      <x:c r="B37" s="95"/>
      <x:c r="C37" s="95"/>
      <x:c r="D37" s="95"/>
      <x:c r="E37" s="95"/>
      <x:c r="F37" s="95"/>
      <x:c r="G37" s="95"/>
      <x:c r="H37" s="95"/>
      <x:c r="I37" s="95"/>
      <x:c r="J37" s="95"/>
      <x:c r="K37" s="95"/>
      <x:c r="L37" s="95"/>
      <x:c r="M37" s="95"/>
      <x:c r="N37" s="95"/>
    </x:row>
    <x:row r="38">
      <x:c r="A38" s="95"/>
      <x:c r="B38" s="95"/>
      <x:c r="C38" s="95"/>
      <x:c r="D38" s="95"/>
      <x:c r="E38" s="95"/>
      <x:c r="F38" s="95"/>
      <x:c r="G38" s="95"/>
      <x:c r="H38" s="95"/>
      <x:c r="I38" s="95"/>
      <x:c r="J38" s="95"/>
      <x:c r="K38" s="95"/>
      <x:c r="L38" s="95"/>
      <x:c r="M38" s="95"/>
      <x:c r="N38" s="95"/>
    </x:row>
    <x:row r="39">
      <x:c r="A39" s="95"/>
      <x:c r="B39" s="95"/>
      <x:c r="C39" s="95"/>
      <x:c r="D39" s="95"/>
      <x:c r="E39" s="95"/>
      <x:c r="F39" s="95"/>
      <x:c r="G39" s="95"/>
      <x:c r="H39" s="95"/>
      <x:c r="I39" s="95"/>
      <x:c r="J39" s="95"/>
      <x:c r="K39" s="95"/>
      <x:c r="L39" s="95"/>
      <x:c r="M39" s="95"/>
      <x:c r="N39" s="95"/>
    </x:row>
    <x:row r="40">
      <x:c r="A40" s="95"/>
      <x:c r="B40" s="95"/>
      <x:c r="C40" s="95"/>
      <x:c r="D40" s="95"/>
      <x:c r="E40" s="95"/>
      <x:c r="F40" s="95"/>
      <x:c r="G40" s="95"/>
      <x:c r="H40" s="95"/>
      <x:c r="I40" s="95"/>
      <x:c r="J40" s="95"/>
      <x:c r="K40" s="95"/>
      <x:c r="L40" s="95"/>
      <x:c r="M40" s="95"/>
      <x:c r="N40" s="95"/>
    </x:row>
  </x:sheetData>
  <x:mergeCells>
    <x:mergeCell ref="A1:H1"/>
    <x:mergeCell ref="A2:H2"/>
  </x:mergeCells>
  <x:conditionalFormatting sqref="D5:D12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9d833d57d2fb4ec3"/>
  <x:tableParts count="1">
    <x:tablePart xmlns:r="http://schemas.openxmlformats.org/officeDocument/2006/relationships" r:id="R6bd34c5ff4164ee2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32" hidden="0" customWidth="1"/>
    <x:col min="3" max="3" width="32" hidden="0" customWidth="1"/>
    <x:col min="4" max="4" width="83" hidden="0" customWidth="1"/>
    <x:col min="5" max="5" width="40" hidden="0" customWidth="1"/>
  </x:cols>
  <x:sheetData>
    <x:row r="1" ht="32" customHeight="1">
      <x:c r="A1" s="124" t="str">
        <x:v>AUDITORIA ESTRUTURAL</x:v>
      </x:c>
      <x:c r="B1" s="124"/>
      <x:c r="C1" s="124"/>
      <x:c r="D1" s="124"/>
      <x:c r="E1" s="124"/>
      <x:c r="F1" s="95"/>
      <x:c r="G1" s="95"/>
      <x:c r="H1" s="95"/>
      <x:c r="I1" s="95"/>
      <x:c r="J1" s="95"/>
      <x:c r="K1" s="95"/>
      <x:c r="L1" s="95"/>
      <x:c r="M1" s="95"/>
      <x:c r="N1" s="95"/>
    </x:row>
    <x:row r="2" ht="28" customHeight="1">
      <x:c r="A2" s="96" t="str">
        <x:v>Factos contados da lista; interpretações de potência são diagnósticos, não resultados de partidas.</x:v>
      </x:c>
      <x:c r="B2" s="96"/>
      <x:c r="C2" s="96"/>
      <x:c r="D2" s="96"/>
      <x:c r="E2" s="96"/>
      <x:c r="F2" s="136"/>
      <x:c r="G2" s="136"/>
      <x:c r="H2" s="136"/>
      <x:c r="I2" s="136"/>
      <x:c r="J2" s="136"/>
      <x:c r="K2" s="136"/>
      <x:c r="L2" s="136"/>
      <x:c r="M2" s="136"/>
      <x:c r="N2" s="136"/>
    </x:row>
    <x:row r="3">
      <x:c r="A3" s="95"/>
      <x:c r="B3" s="95"/>
      <x:c r="C3" s="95"/>
      <x:c r="D3" s="95"/>
      <x:c r="E3" s="95"/>
      <x:c r="F3" s="95"/>
      <x:c r="G3" s="95"/>
      <x:c r="H3" s="95"/>
      <x:c r="I3" s="95"/>
      <x:c r="J3" s="95"/>
      <x:c r="K3" s="95"/>
      <x:c r="L3" s="95"/>
      <x:c r="M3" s="95"/>
      <x:c r="N3" s="95"/>
    </x:row>
    <x:row r="4" ht="28" customHeight="1">
      <x:c r="A4" s="132" t="str">
        <x:v>Metric</x:v>
      </x:c>
      <x:c r="B4" s="132" t="str">
        <x:v>CURRENT</x:v>
      </x:c>
      <x:c r="C4" s="132" t="str">
        <x:v>PROPOSED V2</x:v>
      </x:c>
      <x:c r="D4" s="132" t="str">
        <x:v>Assessment</x:v>
      </x:c>
      <x:c r="E4" s="132" t="str">
        <x:v>Confidence / caveat</x:v>
      </x:c>
      <x:c r="F4" s="95"/>
      <x:c r="G4" s="95"/>
      <x:c r="H4" s="95"/>
      <x:c r="I4" s="95"/>
      <x:c r="J4" s="95"/>
      <x:c r="K4" s="95"/>
      <x:c r="L4" s="95"/>
      <x:c r="M4" s="95"/>
      <x:c r="N4" s="95"/>
    </x:row>
    <x:row r="5">
      <x:c r="A5" s="119" t="str">
        <x:v>Total cards including commander</x:v>
      </x:c>
      <x:c r="B5" s="119" t="n">
        <x:v>100</x:v>
      </x:c>
      <x:c r="C5" s="119" t="n">
        <x:v>100</x:v>
      </x:c>
      <x:c r="D5" s="119" t="str">
        <x:v>Correct Commander deck count; no duplicate singleton found in parsed inventory.</x:v>
      </x:c>
      <x:c r="E5" s="119" t="str">
        <x:v>High — quantity check</x:v>
      </x:c>
      <x:c r="F5" s="95"/>
      <x:c r="G5" s="95"/>
      <x:c r="H5" s="95"/>
      <x:c r="I5" s="95"/>
      <x:c r="J5" s="95"/>
      <x:c r="K5" s="95"/>
      <x:c r="L5" s="95"/>
      <x:c r="M5" s="95"/>
      <x:c r="N5" s="95"/>
    </x:row>
    <x:row r="6">
      <x:c r="A6" s="119" t="str">
        <x:v>Physical lands</x:v>
      </x:c>
      <x:c r="B6" s="119" t="n">
        <x:v>34</x:v>
      </x:c>
      <x:c r="C6" s="119" t="n">
        <x:v>34</x:v>
      </x:c>
      <x:c r="D6" s="119" t="str">
        <x:v>Below a conservative target for a five-color casual deck only if fixing and ramp underperform; test openers before changing more slots.</x:v>
      </x:c>
      <x:c r="E6" s="119" t="str">
        <x:v>High — list count; strategic view medium</x:v>
      </x:c>
      <x:c r="F6" s="95"/>
      <x:c r="G6" s="95"/>
      <x:c r="H6" s="95"/>
      <x:c r="I6" s="95"/>
      <x:c r="J6" s="95"/>
      <x:c r="K6" s="95"/>
      <x:c r="L6" s="95"/>
      <x:c r="M6" s="95"/>
      <x:c r="N6" s="95"/>
    </x:row>
    <x:row r="7">
      <x:c r="A7" s="119" t="str">
        <x:v>Basic lands</x:v>
      </x:c>
      <x:c r="B7" s="119" t="n">
        <x:v>20</x:v>
      </x:c>
      <x:c r="C7" s="119" t="n">
        <x:v>20</x:v>
      </x:c>
      <x:c r="D7" s="119" t="str">
        <x:v>Four of each basic type; green sources are limited to Forests/basic fetching/filters and some rainbow sources.</x:v>
      </x:c>
      <x:c r="E7" s="119" t="str">
        <x:v>High — list count</x:v>
      </x:c>
      <x:c r="F7" s="95"/>
      <x:c r="G7" s="95"/>
      <x:c r="H7" s="95"/>
      <x:c r="I7" s="95"/>
      <x:c r="J7" s="95"/>
      <x:c r="K7" s="95"/>
      <x:c r="L7" s="95"/>
      <x:c r="M7" s="95"/>
      <x:c r="N7" s="95"/>
    </x:row>
    <x:row r="8">
      <x:c r="A8" s="119" t="str">
        <x:v>Nonland spells (excluding commander)</x:v>
      </x:c>
      <x:c r="B8" s="119" t="n">
        <x:v>65</x:v>
      </x:c>
      <x:c r="C8" s="119" t="n">
        <x:v>65</x:v>
      </x:c>
      <x:c r="D8" s="119" t="str">
        <x:v>Eight groups sum to 65; each nonland receives one primary group only.</x:v>
      </x:c>
      <x:c r="E8" s="119" t="str">
        <x:v>High — arithmetic</x:v>
      </x:c>
      <x:c r="F8" s="95"/>
      <x:c r="G8" s="95"/>
      <x:c r="H8" s="95"/>
      <x:c r="I8" s="95"/>
      <x:c r="J8" s="95"/>
      <x:c r="K8" s="95"/>
      <x:c r="L8" s="95"/>
      <x:c r="M8" s="95"/>
      <x:c r="N8" s="95"/>
    </x:row>
    <x:row r="9">
      <x:c r="A9" s="119" t="str">
        <x:v>ACR printings including commander</x:v>
      </x:c>
      <x:c r="B9" s="119" t="n">
        <x:v>55</x:v>
      </x:c>
      <x:c r="C9" s="119" t="n">
        <x:v>56</x:v>
      </x:c>
      <x:c r="D9" s="119" t="str">
        <x:v>55% CURRENT -&gt; 56% V2. That is a majority but not a vast majority; thematic identity remains strongly Assassin's Creed.</x:v>
      </x:c>
      <x:c r="E9" s="119" t="str">
        <x:v>High — set-code count</x:v>
      </x:c>
      <x:c r="F9" s="95"/>
      <x:c r="G9" s="95"/>
      <x:c r="H9" s="95"/>
      <x:c r="I9" s="95"/>
      <x:c r="J9" s="95"/>
      <x:c r="K9" s="95"/>
      <x:c r="L9" s="95"/>
      <x:c r="M9" s="95"/>
      <x:c r="N9" s="95"/>
    </x:row>
    <x:row r="10">
      <x:c r="A10" s="119" t="str">
        <x:v>Non-ACR slots including commander</x:v>
      </x:c>
      <x:c r="B10" s="119" t="n">
        <x:v>45</x:v>
      </x:c>
      <x:c r="C10" s="119" t="n">
        <x:v>44</x:v>
      </x:c>
      <x:c r="D10" s="119" t="str">
        <x:v>Most off-set slots are basics, mana-fixing, and staple answers. No broad staple injection planned.</x:v>
      </x:c>
      <x:c r="E10" s="119" t="str">
        <x:v>High — set-code count</x:v>
      </x:c>
      <x:c r="F10" s="95"/>
      <x:c r="G10" s="95"/>
      <x:c r="H10" s="95"/>
      <x:c r="I10" s="95"/>
      <x:c r="J10" s="95"/>
      <x:c r="K10" s="95"/>
      <x:c r="L10" s="95"/>
      <x:c r="M10" s="95"/>
      <x:c r="N10" s="95"/>
    </x:row>
    <x:row r="11">
      <x:c r="A11" s="119" t="str">
        <x:v>Ramp / spell-based color fixing</x:v>
      </x:c>
      <x:c r="B11" s="119" t="n">
        <x:v>2</x:v>
      </x:c>
      <x:c r="C11" s="119" t="n">
        <x:v>4</x:v>
      </x:c>
      <x:c r="D11" s="119" t="str">
        <x:v>Haunted Screen and Three Tree Mascot CURRENT; Sol Ring + Arcane Signet proposed. Abstergo is a land source and not counted in spell group.</x:v>
      </x:c>
      <x:c r="E11" s="119" t="str">
        <x:v>High — functional classification</x:v>
      </x:c>
      <x:c r="F11" s="95"/>
      <x:c r="G11" s="95"/>
      <x:c r="H11" s="95"/>
      <x:c r="I11" s="95"/>
      <x:c r="J11" s="95"/>
      <x:c r="K11" s="95"/>
      <x:c r="L11" s="95"/>
      <x:c r="M11" s="95"/>
      <x:c r="N11" s="95"/>
    </x:row>
    <x:row r="12">
      <x:c r="A12" s="119" t="str">
        <x:v>Draw / selection / graveyard package</x:v>
      </x:c>
      <x:c r="B12" s="119" t="n">
        <x:v>4</x:v>
      </x:c>
      <x:c r="C12" s="119" t="n">
        <x:v>7</x:v>
      </x:c>
      <x:c r="D12" s="119" t="str">
        <x:v>Current count includes Coastal Piracy, Layla, Lydia, Shanid; V2 adds three distinct draw lines.</x:v>
      </x:c>
      <x:c r="E12" s="119" t="str">
        <x:v>Medium — grouping is primary-role assignment</x:v>
      </x:c>
      <x:c r="F12" s="95"/>
      <x:c r="G12" s="95"/>
      <x:c r="H12" s="95"/>
      <x:c r="I12" s="95"/>
      <x:c r="J12" s="95"/>
      <x:c r="K12" s="95"/>
      <x:c r="L12" s="95"/>
      <x:c r="M12" s="95"/>
      <x:c r="N12" s="95"/>
    </x:row>
    <x:row r="13">
      <x:c r="A13" s="119" t="str">
        <x:v>Removal / interaction</x:v>
      </x:c>
      <x:c r="B13" s="119" t="n">
        <x:v>14</x:v>
      </x:c>
      <x:c r="C13" s="119" t="n">
        <x:v>12</x:v>
      </x:c>
      <x:c r="D13" s="119" t="str">
        <x:v>Still 12 cards after trimming Murder/Deflecting Palm; classification includes targeted interaction and on-theme control.</x:v>
      </x:c>
      <x:c r="E13" s="119" t="str">
        <x:v>Medium — broad role classification</x:v>
      </x:c>
      <x:c r="F13" s="95"/>
      <x:c r="G13" s="95"/>
      <x:c r="H13" s="95"/>
      <x:c r="I13" s="95"/>
      <x:c r="J13" s="95"/>
      <x:c r="K13" s="95"/>
      <x:c r="L13" s="95"/>
      <x:c r="M13" s="95"/>
      <x:c r="N13" s="95"/>
    </x:row>
    <x:row r="14">
      <x:c r="A14" s="119" t="str">
        <x:v>Known deck identity</x:v>
      </x:c>
      <x:c r="B14" s="119" t="str">
        <x:v>Five-color Assassin / freerunning / historic</x:v>
      </x:c>
      <x:c r="C14" s="119" t="str">
        <x:v>Same; with better card flow</x:v>
      </x:c>
      <x:c r="D14" s="119" t="str">
        <x:v>Plan should be combat-driven, historical-artifact/Saga value and Ezio's freerunning, not cEDH combo.</x:v>
      </x:c>
      <x:c r="E14" s="119" t="str">
        <x:v>Analytical recommendation</x:v>
      </x:c>
      <x:c r="F14" s="95"/>
      <x:c r="G14" s="95"/>
      <x:c r="H14" s="95"/>
      <x:c r="I14" s="95"/>
      <x:c r="J14" s="95"/>
      <x:c r="K14" s="95"/>
      <x:c r="L14" s="95"/>
      <x:c r="M14" s="95"/>
      <x:c r="N14" s="95"/>
    </x:row>
    <x:row r="15">
      <x:c r="A15" s="119" t="str">
        <x:v>Rule/legality scan</x:v>
      </x:c>
      <x:c r="B15" s="119" t="str">
        <x:v>No listed card identified as banned; singleton appears valid</x:v>
      </x:c>
      <x:c r="C15" s="119" t="str">
        <x:v>Same</x:v>
      </x:c>
      <x:c r="D15" s="119" t="str">
        <x:v>Commander identity is WUBRG due Ezio's WUBRG ability cost. All listed off-color cards are therefore within identity. Re-check current official ban list before physical changes.</x:v>
      </x:c>
      <x:c r="E15" s="119" t="str">
        <x:v>High on visible list; current list source linked</x:v>
      </x:c>
      <x:c r="F15" s="95"/>
      <x:c r="G15" s="95"/>
      <x:c r="H15" s="95"/>
      <x:c r="I15" s="95"/>
      <x:c r="J15" s="95"/>
      <x:c r="K15" s="95"/>
      <x:c r="L15" s="95"/>
      <x:c r="M15" s="95"/>
      <x:c r="N15" s="95"/>
    </x:row>
    <x:row r="16">
      <x:c r="A16" s="95"/>
      <x:c r="B16" s="95"/>
      <x:c r="C16" s="95"/>
      <x:c r="D16" s="95"/>
      <x:c r="E16" s="95"/>
      <x:c r="F16" s="95"/>
      <x:c r="G16" s="95"/>
      <x:c r="H16" s="95"/>
      <x:c r="I16" s="95"/>
      <x:c r="J16" s="95"/>
      <x:c r="K16" s="95"/>
      <x:c r="L16" s="95"/>
      <x:c r="M16" s="95"/>
      <x:c r="N16" s="95"/>
    </x:row>
    <x:row r="17">
      <x:c r="A17" s="95"/>
      <x:c r="B17" s="95"/>
      <x:c r="C17" s="95"/>
      <x:c r="D17" s="95"/>
      <x:c r="E17" s="95"/>
      <x:c r="F17" s="95"/>
      <x:c r="G17" s="95"/>
      <x:c r="H17" s="95"/>
      <x:c r="I17" s="95"/>
      <x:c r="J17" s="95"/>
      <x:c r="K17" s="95"/>
      <x:c r="L17" s="95"/>
      <x:c r="M17" s="95"/>
      <x:c r="N17" s="95"/>
    </x:row>
    <x:row r="18">
      <x:c r="A18" s="95"/>
      <x:c r="B18" s="95"/>
      <x:c r="C18" s="95"/>
      <x:c r="D18" s="95"/>
      <x:c r="E18" s="95"/>
      <x:c r="F18" s="95"/>
      <x:c r="G18" s="95"/>
      <x:c r="H18" s="95"/>
      <x:c r="I18" s="95"/>
      <x:c r="J18" s="95"/>
      <x:c r="K18" s="95"/>
      <x:c r="L18" s="95"/>
      <x:c r="M18" s="95"/>
      <x:c r="N18" s="95"/>
    </x:row>
    <x:row r="19">
      <x:c r="A19" s="95"/>
      <x:c r="B19" s="95"/>
      <x:c r="C19" s="95"/>
      <x:c r="D19" s="95"/>
      <x:c r="E19" s="95"/>
      <x:c r="F19" s="95"/>
      <x:c r="G19" s="95"/>
      <x:c r="H19" s="95"/>
      <x:c r="I19" s="95"/>
      <x:c r="J19" s="95"/>
      <x:c r="K19" s="95"/>
      <x:c r="L19" s="95"/>
      <x:c r="M19" s="95"/>
      <x:c r="N19" s="95"/>
    </x:row>
    <x:row r="20">
      <x:c r="A20" s="95"/>
      <x:c r="B20" s="95"/>
      <x:c r="C20" s="95"/>
      <x:c r="D20" s="95"/>
      <x:c r="E20" s="95"/>
      <x:c r="F20" s="95"/>
      <x:c r="G20" s="95"/>
      <x:c r="H20" s="95"/>
      <x:c r="I20" s="95"/>
      <x:c r="J20" s="95"/>
      <x:c r="K20" s="95"/>
      <x:c r="L20" s="95"/>
      <x:c r="M20" s="95"/>
      <x:c r="N20" s="95"/>
    </x:row>
    <x:row r="21">
      <x:c r="A21" s="95"/>
      <x:c r="B21" s="95"/>
      <x:c r="C21" s="95"/>
      <x:c r="D21" s="95"/>
      <x:c r="E21" s="95"/>
      <x:c r="F21" s="95"/>
      <x:c r="G21" s="95"/>
      <x:c r="H21" s="95"/>
      <x:c r="I21" s="95"/>
      <x:c r="J21" s="95"/>
      <x:c r="K21" s="95"/>
      <x:c r="L21" s="95"/>
      <x:c r="M21" s="95"/>
      <x:c r="N21" s="95"/>
    </x:row>
    <x:row r="22">
      <x:c r="A22" s="95"/>
      <x:c r="B22" s="95"/>
      <x:c r="C22" s="95"/>
      <x:c r="D22" s="95"/>
      <x:c r="E22" s="95"/>
      <x:c r="F22" s="95"/>
      <x:c r="G22" s="95"/>
      <x:c r="H22" s="95"/>
      <x:c r="I22" s="95"/>
      <x:c r="J22" s="95"/>
      <x:c r="K22" s="95"/>
      <x:c r="L22" s="95"/>
      <x:c r="M22" s="95"/>
      <x:c r="N22" s="95"/>
    </x:row>
    <x:row r="23">
      <x:c r="A23" s="95"/>
      <x:c r="B23" s="95"/>
      <x:c r="C23" s="95"/>
      <x:c r="D23" s="95"/>
      <x:c r="E23" s="95"/>
      <x:c r="F23" s="95"/>
      <x:c r="G23" s="95"/>
      <x:c r="H23" s="95"/>
      <x:c r="I23" s="95"/>
      <x:c r="J23" s="95"/>
      <x:c r="K23" s="95"/>
      <x:c r="L23" s="95"/>
      <x:c r="M23" s="95"/>
      <x:c r="N23" s="95"/>
    </x:row>
    <x:row r="24">
      <x:c r="A24" s="95"/>
      <x:c r="B24" s="95"/>
      <x:c r="C24" s="95"/>
      <x:c r="D24" s="95"/>
      <x:c r="E24" s="95"/>
      <x:c r="F24" s="95"/>
      <x:c r="G24" s="95"/>
      <x:c r="H24" s="95"/>
      <x:c r="I24" s="95"/>
      <x:c r="J24" s="95"/>
      <x:c r="K24" s="95"/>
      <x:c r="L24" s="95"/>
      <x:c r="M24" s="95"/>
      <x:c r="N24" s="95"/>
    </x:row>
    <x:row r="25">
      <x:c r="A25" s="95"/>
      <x:c r="B25" s="95"/>
      <x:c r="C25" s="95"/>
      <x:c r="D25" s="95"/>
      <x:c r="E25" s="95"/>
      <x:c r="F25" s="95"/>
      <x:c r="G25" s="95"/>
      <x:c r="H25" s="95"/>
      <x:c r="I25" s="95"/>
      <x:c r="J25" s="95"/>
      <x:c r="K25" s="95"/>
      <x:c r="L25" s="95"/>
      <x:c r="M25" s="95"/>
      <x:c r="N25" s="95"/>
    </x:row>
    <x:row r="26">
      <x:c r="A26" s="95"/>
      <x:c r="B26" s="95"/>
      <x:c r="C26" s="95"/>
      <x:c r="D26" s="95"/>
      <x:c r="E26" s="95"/>
      <x:c r="F26" s="95"/>
      <x:c r="G26" s="95"/>
      <x:c r="H26" s="95"/>
      <x:c r="I26" s="95"/>
      <x:c r="J26" s="95"/>
      <x:c r="K26" s="95"/>
      <x:c r="L26" s="95"/>
      <x:c r="M26" s="95"/>
      <x:c r="N26" s="95"/>
    </x:row>
    <x:row r="27">
      <x:c r="A27" s="95"/>
      <x:c r="B27" s="95"/>
      <x:c r="C27" s="95"/>
      <x:c r="D27" s="95"/>
      <x:c r="E27" s="95"/>
      <x:c r="F27" s="95"/>
      <x:c r="G27" s="95"/>
      <x:c r="H27" s="95"/>
      <x:c r="I27" s="95"/>
      <x:c r="J27" s="95"/>
      <x:c r="K27" s="95"/>
      <x:c r="L27" s="95"/>
      <x:c r="M27" s="95"/>
      <x:c r="N27" s="95"/>
    </x:row>
    <x:row r="28">
      <x:c r="A28" s="95"/>
      <x:c r="B28" s="95"/>
      <x:c r="C28" s="95"/>
      <x:c r="D28" s="95"/>
      <x:c r="E28" s="95"/>
      <x:c r="F28" s="95"/>
      <x:c r="G28" s="95"/>
      <x:c r="H28" s="95"/>
      <x:c r="I28" s="95"/>
      <x:c r="J28" s="95"/>
      <x:c r="K28" s="95"/>
      <x:c r="L28" s="95"/>
      <x:c r="M28" s="95"/>
      <x:c r="N28" s="95"/>
    </x:row>
    <x:row r="29">
      <x:c r="A29" s="95"/>
      <x:c r="B29" s="95"/>
      <x:c r="C29" s="95"/>
      <x:c r="D29" s="95"/>
      <x:c r="E29" s="95"/>
      <x:c r="F29" s="95"/>
      <x:c r="G29" s="95"/>
      <x:c r="H29" s="95"/>
      <x:c r="I29" s="95"/>
      <x:c r="J29" s="95"/>
      <x:c r="K29" s="95"/>
      <x:c r="L29" s="95"/>
      <x:c r="M29" s="95"/>
      <x:c r="N29" s="95"/>
    </x:row>
    <x:row r="30">
      <x:c r="A30" s="95"/>
      <x:c r="B30" s="95"/>
      <x:c r="C30" s="95"/>
      <x:c r="D30" s="95"/>
      <x:c r="E30" s="95"/>
      <x:c r="F30" s="95"/>
      <x:c r="G30" s="95"/>
      <x:c r="H30" s="95"/>
      <x:c r="I30" s="95"/>
      <x:c r="J30" s="95"/>
      <x:c r="K30" s="95"/>
      <x:c r="L30" s="95"/>
      <x:c r="M30" s="95"/>
      <x:c r="N30" s="95"/>
    </x:row>
    <x:row r="31">
      <x:c r="A31" s="95"/>
      <x:c r="B31" s="95"/>
      <x:c r="C31" s="95"/>
      <x:c r="D31" s="95"/>
      <x:c r="E31" s="95"/>
      <x:c r="F31" s="95"/>
      <x:c r="G31" s="95"/>
      <x:c r="H31" s="95"/>
      <x:c r="I31" s="95"/>
      <x:c r="J31" s="95"/>
      <x:c r="K31" s="95"/>
      <x:c r="L31" s="95"/>
      <x:c r="M31" s="95"/>
      <x:c r="N31" s="95"/>
    </x:row>
    <x:row r="32">
      <x:c r="A32" s="95"/>
      <x:c r="B32" s="95"/>
      <x:c r="C32" s="95"/>
      <x:c r="D32" s="95"/>
      <x:c r="E32" s="95"/>
      <x:c r="F32" s="95"/>
      <x:c r="G32" s="95"/>
      <x:c r="H32" s="95"/>
      <x:c r="I32" s="95"/>
      <x:c r="J32" s="95"/>
      <x:c r="K32" s="95"/>
      <x:c r="L32" s="95"/>
      <x:c r="M32" s="95"/>
      <x:c r="N32" s="95"/>
    </x:row>
    <x:row r="33">
      <x:c r="A33" s="95"/>
      <x:c r="B33" s="95"/>
      <x:c r="C33" s="95"/>
      <x:c r="D33" s="95"/>
      <x:c r="E33" s="95"/>
      <x:c r="F33" s="95"/>
      <x:c r="G33" s="95"/>
      <x:c r="H33" s="95"/>
      <x:c r="I33" s="95"/>
      <x:c r="J33" s="95"/>
      <x:c r="K33" s="95"/>
      <x:c r="L33" s="95"/>
      <x:c r="M33" s="95"/>
      <x:c r="N33" s="95"/>
    </x:row>
    <x:row r="34">
      <x:c r="A34" s="95"/>
      <x:c r="B34" s="95"/>
      <x:c r="C34" s="95"/>
      <x:c r="D34" s="95"/>
      <x:c r="E34" s="95"/>
      <x:c r="F34" s="95"/>
      <x:c r="G34" s="95"/>
      <x:c r="H34" s="95"/>
      <x:c r="I34" s="95"/>
      <x:c r="J34" s="95"/>
      <x:c r="K34" s="95"/>
      <x:c r="L34" s="95"/>
      <x:c r="M34" s="95"/>
      <x:c r="N34" s="95"/>
    </x:row>
    <x:row r="35">
      <x:c r="A35" s="95"/>
      <x:c r="B35" s="95"/>
      <x:c r="C35" s="95"/>
      <x:c r="D35" s="95"/>
      <x:c r="E35" s="95"/>
      <x:c r="F35" s="95"/>
      <x:c r="G35" s="95"/>
      <x:c r="H35" s="95"/>
      <x:c r="I35" s="95"/>
      <x:c r="J35" s="95"/>
      <x:c r="K35" s="95"/>
      <x:c r="L35" s="95"/>
      <x:c r="M35" s="95"/>
      <x:c r="N35" s="95"/>
    </x:row>
    <x:row r="36">
      <x:c r="A36" s="95"/>
      <x:c r="B36" s="95"/>
      <x:c r="C36" s="95"/>
      <x:c r="D36" s="95"/>
      <x:c r="E36" s="95"/>
      <x:c r="F36" s="95"/>
      <x:c r="G36" s="95"/>
      <x:c r="H36" s="95"/>
      <x:c r="I36" s="95"/>
      <x:c r="J36" s="95"/>
      <x:c r="K36" s="95"/>
      <x:c r="L36" s="95"/>
      <x:c r="M36" s="95"/>
      <x:c r="N36" s="95"/>
    </x:row>
    <x:row r="37">
      <x:c r="A37" s="95"/>
      <x:c r="B37" s="95"/>
      <x:c r="C37" s="95"/>
      <x:c r="D37" s="95"/>
      <x:c r="E37" s="95"/>
      <x:c r="F37" s="95"/>
      <x:c r="G37" s="95"/>
      <x:c r="H37" s="95"/>
      <x:c r="I37" s="95"/>
      <x:c r="J37" s="95"/>
      <x:c r="K37" s="95"/>
      <x:c r="L37" s="95"/>
      <x:c r="M37" s="95"/>
      <x:c r="N37" s="95"/>
    </x:row>
    <x:row r="38">
      <x:c r="A38" s="95"/>
      <x:c r="B38" s="95"/>
      <x:c r="C38" s="95"/>
      <x:c r="D38" s="95"/>
      <x:c r="E38" s="95"/>
      <x:c r="F38" s="95"/>
      <x:c r="G38" s="95"/>
      <x:c r="H38" s="95"/>
      <x:c r="I38" s="95"/>
      <x:c r="J38" s="95"/>
      <x:c r="K38" s="95"/>
      <x:c r="L38" s="95"/>
      <x:c r="M38" s="95"/>
      <x:c r="N38" s="95"/>
    </x:row>
    <x:row r="39">
      <x:c r="A39" s="95"/>
      <x:c r="B39" s="95"/>
      <x:c r="C39" s="95"/>
      <x:c r="D39" s="95"/>
      <x:c r="E39" s="95"/>
      <x:c r="F39" s="95"/>
      <x:c r="G39" s="95"/>
      <x:c r="H39" s="95"/>
      <x:c r="I39" s="95"/>
      <x:c r="J39" s="95"/>
      <x:c r="K39" s="95"/>
      <x:c r="L39" s="95"/>
      <x:c r="M39" s="95"/>
      <x:c r="N39" s="95"/>
    </x:row>
    <x:row r="40">
      <x:c r="A40" s="95"/>
      <x:c r="B40" s="95"/>
      <x:c r="C40" s="95"/>
      <x:c r="D40" s="95"/>
      <x:c r="E40" s="95"/>
      <x:c r="F40" s="95"/>
      <x:c r="G40" s="95"/>
      <x:c r="H40" s="95"/>
      <x:c r="I40" s="95"/>
      <x:c r="J40" s="95"/>
      <x:c r="K40" s="95"/>
      <x:c r="L40" s="95"/>
      <x:c r="M40" s="95"/>
      <x:c r="N40" s="95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9ac649373614ae7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4" hidden="0" customWidth="1"/>
    <x:col min="3" max="3" width="70" hidden="0" customWidth="1"/>
    <x:col min="4" max="4" width="70" hidden="0" customWidth="1"/>
    <x:col min="5" max="5" width="30" hidden="0" customWidth="1"/>
  </x:cols>
  <x:sheetData>
    <x:row r="1" ht="32" customHeight="1">
      <x:c r="A1" s="124" t="str">
        <x:v>TIER LIST — ENCAIXE NESTA LISTA</x:v>
      </x:c>
      <x:c r="B1" s="124"/>
      <x:c r="C1" s="124"/>
      <x:c r="D1" s="124"/>
      <x:c r="E1" s="124"/>
      <x:c r="F1" s="95"/>
      <x:c r="G1" s="95"/>
      <x:c r="H1" s="95"/>
      <x:c r="I1" s="95"/>
      <x:c r="J1" s="95"/>
      <x:c r="K1" s="95"/>
      <x:c r="L1" s="95"/>
      <x:c r="M1" s="95"/>
      <x:c r="N1" s="95"/>
    </x:row>
    <x:row r="2" ht="28" customHeight="1">
      <x:c r="A2" s="96" t="str">
        <x:v>Tiers são sobre papel e encaixe no Ezio casual-temático, não sobre força isolada nem sobre raridade/preço/foil.</x:v>
      </x:c>
      <x:c r="B2" s="96"/>
      <x:c r="C2" s="96"/>
      <x:c r="D2" s="96"/>
      <x:c r="E2" s="96"/>
      <x:c r="F2" s="136"/>
      <x:c r="G2" s="136"/>
      <x:c r="H2" s="136"/>
      <x:c r="I2" s="136"/>
      <x:c r="J2" s="136"/>
      <x:c r="K2" s="136"/>
      <x:c r="L2" s="136"/>
      <x:c r="M2" s="136"/>
      <x:c r="N2" s="136"/>
    </x:row>
    <x:row r="3">
      <x:c r="A3" s="95"/>
      <x:c r="B3" s="95"/>
      <x:c r="C3" s="95"/>
      <x:c r="D3" s="95"/>
      <x:c r="E3" s="95"/>
      <x:c r="F3" s="95"/>
      <x:c r="G3" s="95"/>
      <x:c r="H3" s="95"/>
      <x:c r="I3" s="95"/>
      <x:c r="J3" s="95"/>
      <x:c r="K3" s="95"/>
      <x:c r="L3" s="95"/>
      <x:c r="M3" s="95"/>
      <x:c r="N3" s="95"/>
    </x:row>
    <x:row r="4" ht="28" customHeight="1">
      <x:c r="A4" s="132" t="str">
        <x:v>Tier</x:v>
      </x:c>
      <x:c r="B4" s="132" t="str">
        <x:v>Card / package</x:v>
      </x:c>
      <x:c r="C4" s="132" t="str">
        <x:v>Why it fits this deck</x:v>
      </x:c>
      <x:c r="D4" s="132" t="str">
        <x:v>Risk / argument against</x:v>
      </x:c>
      <x:c r="E4" s="132" t="str">
        <x:v>State</x:v>
      </x:c>
      <x:c r="F4" s="95"/>
      <x:c r="G4" s="95"/>
      <x:c r="H4" s="95"/>
      <x:c r="I4" s="95"/>
      <x:c r="J4" s="95"/>
      <x:c r="K4" s="95"/>
      <x:c r="L4" s="95"/>
      <x:c r="M4" s="95"/>
      <x:c r="N4" s="95"/>
    </x:row>
    <x:row r="5">
      <x:c r="A5" s="119" t="str">
        <x:v>S</x:v>
      </x:c>
      <x:c r="B5" s="119" t="str">
        <x:v>Ezio Auditore da Firenze</x:v>
      </x:c>
      <x:c r="C5" s="119" t="str">
        <x:v>Commander engine: Assassin spells have freerunning {B}{B}; can provide a conditional endgame kill when connecting against a player at 10 or less life and paying WUBRG.</x:v>
      </x:c>
      <x:c r="D5" s="119" t="str">
        <x:v>3/2 body can die easily; WUBRG finish may require preserving mana and should be optional, not the whole plan.</x:v>
      </x:c>
      <x:c r="E5" s="119" t="str">
        <x:v>CURRENT — Commander</x:v>
      </x:c>
      <x:c r="F5" s="95"/>
      <x:c r="G5" s="95"/>
      <x:c r="H5" s="95"/>
      <x:c r="I5" s="95"/>
      <x:c r="J5" s="95"/>
      <x:c r="K5" s="95"/>
      <x:c r="L5" s="95"/>
      <x:c r="M5" s="95"/>
      <x:c r="N5" s="95"/>
    </x:row>
    <x:row r="6">
      <x:c r="A6" s="119" t="str">
        <x:v>A</x:v>
      </x:c>
      <x:c r="B6" s="119" t="str">
        <x:v>Roshan, Hidden Magister</x:v>
      </x:c>
      <x:c r="C6" s="119" t="str">
        <x:v>Turns other creatures/spells/cards you own into Assassins while present, greatly widening freerunning and tribal payoffs.</x:v>
      </x:c>
      <x:c r="D6" s="119" t="str">
        <x:v>Four mana and vulnerable; some effects still depend on attack damage and board state.</x:v>
      </x:c>
      <x:c r="E6" s="119" t="str">
        <x:v>CURRENT</x:v>
      </x:c>
      <x:c r="F6" s="95"/>
      <x:c r="G6" s="95"/>
      <x:c r="H6" s="95"/>
      <x:c r="I6" s="95"/>
      <x:c r="J6" s="95"/>
      <x:c r="K6" s="95"/>
      <x:c r="L6" s="95"/>
      <x:c r="M6" s="95"/>
      <x:c r="N6" s="95"/>
    </x:row>
    <x:row r="7">
      <x:c r="A7" s="119" t="str">
        <x:v>A</x:v>
      </x:c>
      <x:c r="B7" s="119" t="str">
        <x:v>Arbaaz Mir + historic density</x:v>
      </x:c>
      <x:c r="C7" s="119" t="str">
        <x:v>Historic permanents entering create drain/lifegain; artifacts and Sagas in the list support repeated triggers.</x:v>
      </x:c>
      <x:c r="D7" s="119" t="str">
        <x:v>Triggered value is incremental and depends on playing permanents; not an immediate closer.</x:v>
      </x:c>
      <x:c r="E7" s="119" t="str">
        <x:v>CURRENT</x:v>
      </x:c>
      <x:c r="F7" s="95"/>
      <x:c r="G7" s="95"/>
      <x:c r="H7" s="95"/>
      <x:c r="I7" s="95"/>
      <x:c r="J7" s="95"/>
      <x:c r="K7" s="95"/>
      <x:c r="L7" s="95"/>
      <x:c r="M7" s="95"/>
      <x:c r="N7" s="95"/>
    </x:row>
    <x:row r="8">
      <x:c r="A8" s="119" t="str">
        <x:v>A</x:v>
      </x:c>
      <x:c r="B8" s="119" t="str">
        <x:v>Bayek of Siwa</x:v>
      </x:c>
      <x:c r="C8" s="119" t="str">
        <x:v>Double strike for other historic creatures during your turn; makes combat and historic board relevant.</x:v>
      </x:c>
      <x:c r="D8" s="119" t="str">
        <x:v>Needs a board and a combat phase; can attract removal.</x:v>
      </x:c>
      <x:c r="E8" s="119" t="str">
        <x:v>CURRENT</x:v>
      </x:c>
      <x:c r="F8" s="95"/>
      <x:c r="G8" s="95"/>
      <x:c r="H8" s="95"/>
      <x:c r="I8" s="95"/>
      <x:c r="J8" s="95"/>
      <x:c r="K8" s="95"/>
      <x:c r="L8" s="95"/>
      <x:c r="M8" s="95"/>
      <x:c r="N8" s="95"/>
    </x:row>
    <x:row r="9">
      <x:c r="A9" s="119" t="str">
        <x:v>A</x:v>
      </x:c>
      <x:c r="B9" s="119" t="str">
        <x:v>Layla Hassan</x:v>
      </x:c>
      <x:c r="C9" s="119" t="str">
        <x:v>Returns historic value on ETB and Assassin combat damage; rewards the intended combat loop.</x:v>
      </x:c>
      <x:c r="D9" s="119" t="str">
        <x:v>Gets weaker if graveyard is shut off by Rest in Peace.</x:v>
      </x:c>
      <x:c r="E9" s="119" t="str">
        <x:v>CURRENT</x:v>
      </x:c>
      <x:c r="F9" s="95"/>
      <x:c r="G9" s="95"/>
      <x:c r="H9" s="95"/>
      <x:c r="I9" s="95"/>
      <x:c r="J9" s="95"/>
      <x:c r="K9" s="95"/>
      <x:c r="L9" s="95"/>
      <x:c r="M9" s="95"/>
      <x:c r="N9" s="95"/>
    </x:row>
    <x:row r="10">
      <x:c r="A10" s="119" t="str">
        <x:v>A</x:v>
      </x:c>
      <x:c r="B10" s="119" t="str">
        <x:v>Basim Ibn Ishaq</x:v>
      </x:c>
      <x:c r="C10" s="119" t="str">
        <x:v>Adds repeatable draw from Historic casts and is an Assassin for freerunning.</x:v>
      </x:c>
      <x:c r="D10" s="119" t="str">
        <x:v>Only triggers once per turn; don't mistake it for an unrestricted draw engine.</x:v>
      </x:c>
      <x:c r="E10" s="119" t="str">
        <x:v>PROPOSED V2</x:v>
      </x:c>
      <x:c r="F10" s="95"/>
      <x:c r="G10" s="95"/>
      <x:c r="H10" s="95"/>
      <x:c r="I10" s="95"/>
      <x:c r="J10" s="95"/>
      <x:c r="K10" s="95"/>
      <x:c r="L10" s="95"/>
      <x:c r="M10" s="95"/>
      <x:c r="N10" s="95"/>
    </x:row>
    <x:row r="11">
      <x:c r="A11" s="119" t="str">
        <x:v>A</x:v>
      </x:c>
      <x:c r="B11" s="119" t="str">
        <x:v>Ezio, Blade of Vengeance</x:v>
      </x:c>
      <x:c r="C11" s="119" t="str">
        <x:v>Converts Assassin combat connections into cards and plays well with Roshan/evasion.</x:v>
      </x:c>
      <x:c r="D11" s="119" t="str">
        <x:v>Five-mana-value threat; vulnerable to removal and asks for combat to connect.</x:v>
      </x:c>
      <x:c r="E11" s="119" t="str">
        <x:v>PROPOSED V2</x:v>
      </x:c>
      <x:c r="F11" s="95"/>
      <x:c r="G11" s="95"/>
      <x:c r="H11" s="95"/>
      <x:c r="I11" s="95"/>
      <x:c r="J11" s="95"/>
      <x:c r="K11" s="95"/>
      <x:c r="L11" s="95"/>
      <x:c r="M11" s="95"/>
      <x:c r="N11" s="95"/>
    </x:row>
    <x:row r="12">
      <x:c r="A12" s="119" t="str">
        <x:v>A</x:v>
      </x:c>
      <x:c r="B12" s="119" t="str">
        <x:v>Aya of Alexandria</x:v>
      </x:c>
      <x:c r="C12" s="119" t="str">
        <x:v>Historic creature combat damage creates Assassin tokens; menace/lifelink adds pressure and stabilization.</x:v>
      </x:c>
      <x:c r="D12" s="119" t="str">
        <x:v>Needs attack connections; token value can be wiped away.</x:v>
      </x:c>
      <x:c r="E12" s="119" t="str">
        <x:v>PROPOSED V2</x:v>
      </x:c>
      <x:c r="F12" s="95"/>
      <x:c r="G12" s="95"/>
      <x:c r="H12" s="95"/>
      <x:c r="I12" s="95"/>
      <x:c r="J12" s="95"/>
      <x:c r="K12" s="95"/>
      <x:c r="L12" s="95"/>
      <x:c r="M12" s="95"/>
      <x:c r="N12" s="95"/>
    </x:row>
    <x:row r="13">
      <x:c r="A13" s="119" t="str">
        <x:v>A</x:v>
      </x:c>
      <x:c r="B13" s="119" t="str">
        <x:v>Altaïr Ibn-La'Ahad</x:v>
      </x:c>
      <x:c r="C13" s="119" t="str">
        <x:v>Turns Assassin cards in graveyard/exile into temporary attacking token copies; very thematic and potentially explosive combat.</x:v>
      </x:c>
      <x:c r="D13" s="119" t="str">
        <x:v>Requires graveyard setup and attack; not a consistent value engine if Rest in Peace remains.</x:v>
      </x:c>
      <x:c r="E13" s="119" t="str">
        <x:v>PROPOSED V2 — requires Rest in Peace cut</x:v>
      </x:c>
      <x:c r="F13" s="95"/>
      <x:c r="G13" s="95"/>
      <x:c r="H13" s="95"/>
      <x:c r="I13" s="95"/>
      <x:c r="J13" s="95"/>
      <x:c r="K13" s="95"/>
      <x:c r="L13" s="95"/>
      <x:c r="M13" s="95"/>
      <x:c r="N13" s="95"/>
    </x:row>
    <x:row r="14">
      <x:c r="A14" s="119" t="str">
        <x:v>B</x:v>
      </x:c>
      <x:c r="B14" s="119" t="str">
        <x:v>Queen Marchesa + Shanid</x:v>
      </x:c>
      <x:c r="C14" s="119" t="str">
        <x:v>Adds menace, combat incentives, monarchy/legendary value and political texture.</x:v>
      </x:c>
      <x:c r="D14" s="119" t="str">
        <x:v>Not core to the Ezio engine; each slot competes with Assassin density.</x:v>
      </x:c>
      <x:c r="E14" s="119" t="str">
        <x:v>CURRENT</x:v>
      </x:c>
      <x:c r="F14" s="95"/>
      <x:c r="G14" s="95"/>
      <x:c r="H14" s="95"/>
      <x:c r="I14" s="95"/>
      <x:c r="J14" s="95"/>
      <x:c r="K14" s="95"/>
      <x:c r="L14" s="95"/>
      <x:c r="M14" s="95"/>
      <x:c r="N14" s="95"/>
    </x:row>
    <x:row r="15">
      <x:c r="A15" s="119" t="str">
        <x:v>B</x:v>
      </x:c>
      <x:c r="B15" s="119" t="str">
        <x:v>The Revelations of Ezio / The Animus</x:v>
      </x:c>
      <x:c r="C15" s="119" t="str">
        <x:v>Flavorful Historic permanents with interaction or copy/recursion utility; directly support the collection identity.</x:v>
      </x:c>
      <x:c r="D15" s="119" t="str">
        <x:v>Sagas are slower and timing-sensitive; The Animus needs suitable legendary creature cards in graveyards.</x:v>
      </x:c>
      <x:c r="E15" s="119" t="str">
        <x:v>CURRENT</x:v>
      </x:c>
      <x:c r="F15" s="95"/>
      <x:c r="G15" s="95"/>
      <x:c r="H15" s="95"/>
      <x:c r="I15" s="95"/>
      <x:c r="J15" s="95"/>
      <x:c r="K15" s="95"/>
      <x:c r="L15" s="95"/>
      <x:c r="M15" s="95"/>
      <x:c r="N15" s="95"/>
    </x:row>
    <x:row r="16">
      <x:c r="A16" s="119" t="str">
        <x:v>C</x:v>
      </x:c>
      <x:c r="B16" s="119" t="str">
        <x:v>Assassin Gauntlet / Hunter's Bow / Towering Viewpoint</x:v>
      </x:c>
      <x:c r="C16" s="119" t="str">
        <x:v>Flavor and evasion/equipment roles fit the theme.</x:v>
      </x:c>
      <x:c r="D16" s="119" t="str">
        <x:v>Some effects are low-impact or mana intensive; Hunter's Bow and Towering Viewpoint are proposed cuts.</x:v>
      </x:c>
      <x:c r="E16" s="119" t="str">
        <x:v>CURRENT / some proposed cuts</x:v>
      </x:c>
      <x:c r="F16" s="95"/>
      <x:c r="G16" s="95"/>
      <x:c r="H16" s="95"/>
      <x:c r="I16" s="95"/>
      <x:c r="J16" s="95"/>
      <x:c r="K16" s="95"/>
      <x:c r="L16" s="95"/>
      <x:c r="M16" s="95"/>
      <x:c r="N16" s="95"/>
    </x:row>
    <x:row r="17">
      <x:c r="A17" s="95"/>
      <x:c r="B17" s="95"/>
      <x:c r="C17" s="95"/>
      <x:c r="D17" s="95"/>
      <x:c r="E17" s="95"/>
      <x:c r="F17" s="95"/>
      <x:c r="G17" s="95"/>
      <x:c r="H17" s="95"/>
      <x:c r="I17" s="95"/>
      <x:c r="J17" s="95"/>
      <x:c r="K17" s="95"/>
      <x:c r="L17" s="95"/>
      <x:c r="M17" s="95"/>
      <x:c r="N17" s="95"/>
    </x:row>
    <x:row r="18">
      <x:c r="A18" s="95"/>
      <x:c r="B18" s="95"/>
      <x:c r="C18" s="95"/>
      <x:c r="D18" s="95"/>
      <x:c r="E18" s="95"/>
      <x:c r="F18" s="95"/>
      <x:c r="G18" s="95"/>
      <x:c r="H18" s="95"/>
      <x:c r="I18" s="95"/>
      <x:c r="J18" s="95"/>
      <x:c r="K18" s="95"/>
      <x:c r="L18" s="95"/>
      <x:c r="M18" s="95"/>
      <x:c r="N18" s="95"/>
    </x:row>
    <x:row r="19">
      <x:c r="A19" s="95"/>
      <x:c r="B19" s="95"/>
      <x:c r="C19" s="95"/>
      <x:c r="D19" s="95"/>
      <x:c r="E19" s="95"/>
      <x:c r="F19" s="95"/>
      <x:c r="G19" s="95"/>
      <x:c r="H19" s="95"/>
      <x:c r="I19" s="95"/>
      <x:c r="J19" s="95"/>
      <x:c r="K19" s="95"/>
      <x:c r="L19" s="95"/>
      <x:c r="M19" s="95"/>
      <x:c r="N19" s="95"/>
    </x:row>
    <x:row r="20">
      <x:c r="A20" s="95"/>
      <x:c r="B20" s="95"/>
      <x:c r="C20" s="95"/>
      <x:c r="D20" s="95"/>
      <x:c r="E20" s="95"/>
      <x:c r="F20" s="95"/>
      <x:c r="G20" s="95"/>
      <x:c r="H20" s="95"/>
      <x:c r="I20" s="95"/>
      <x:c r="J20" s="95"/>
      <x:c r="K20" s="95"/>
      <x:c r="L20" s="95"/>
      <x:c r="M20" s="95"/>
      <x:c r="N20" s="95"/>
    </x:row>
    <x:row r="21">
      <x:c r="A21" s="95"/>
      <x:c r="B21" s="95"/>
      <x:c r="C21" s="95"/>
      <x:c r="D21" s="95"/>
      <x:c r="E21" s="95"/>
      <x:c r="F21" s="95"/>
      <x:c r="G21" s="95"/>
      <x:c r="H21" s="95"/>
      <x:c r="I21" s="95"/>
      <x:c r="J21" s="95"/>
      <x:c r="K21" s="95"/>
      <x:c r="L21" s="95"/>
      <x:c r="M21" s="95"/>
      <x:c r="N21" s="95"/>
    </x:row>
    <x:row r="22">
      <x:c r="A22" s="95"/>
      <x:c r="B22" s="95"/>
      <x:c r="C22" s="95"/>
      <x:c r="D22" s="95"/>
      <x:c r="E22" s="95"/>
      <x:c r="F22" s="95"/>
      <x:c r="G22" s="95"/>
      <x:c r="H22" s="95"/>
      <x:c r="I22" s="95"/>
      <x:c r="J22" s="95"/>
      <x:c r="K22" s="95"/>
      <x:c r="L22" s="95"/>
      <x:c r="M22" s="95"/>
      <x:c r="N22" s="95"/>
    </x:row>
    <x:row r="23">
      <x:c r="A23" s="95"/>
      <x:c r="B23" s="95"/>
      <x:c r="C23" s="95"/>
      <x:c r="D23" s="95"/>
      <x:c r="E23" s="95"/>
      <x:c r="F23" s="95"/>
      <x:c r="G23" s="95"/>
      <x:c r="H23" s="95"/>
      <x:c r="I23" s="95"/>
      <x:c r="J23" s="95"/>
      <x:c r="K23" s="95"/>
      <x:c r="L23" s="95"/>
      <x:c r="M23" s="95"/>
      <x:c r="N23" s="95"/>
    </x:row>
    <x:row r="24">
      <x:c r="A24" s="95"/>
      <x:c r="B24" s="95"/>
      <x:c r="C24" s="95"/>
      <x:c r="D24" s="95"/>
      <x:c r="E24" s="95"/>
      <x:c r="F24" s="95"/>
      <x:c r="G24" s="95"/>
      <x:c r="H24" s="95"/>
      <x:c r="I24" s="95"/>
      <x:c r="J24" s="95"/>
      <x:c r="K24" s="95"/>
      <x:c r="L24" s="95"/>
      <x:c r="M24" s="95"/>
      <x:c r="N24" s="95"/>
    </x:row>
    <x:row r="25">
      <x:c r="A25" s="95"/>
      <x:c r="B25" s="95"/>
      <x:c r="C25" s="95"/>
      <x:c r="D25" s="95"/>
      <x:c r="E25" s="95"/>
      <x:c r="F25" s="95"/>
      <x:c r="G25" s="95"/>
      <x:c r="H25" s="95"/>
      <x:c r="I25" s="95"/>
      <x:c r="J25" s="95"/>
      <x:c r="K25" s="95"/>
      <x:c r="L25" s="95"/>
      <x:c r="M25" s="95"/>
      <x:c r="N25" s="95"/>
    </x:row>
    <x:row r="26">
      <x:c r="A26" s="95"/>
      <x:c r="B26" s="95"/>
      <x:c r="C26" s="95"/>
      <x:c r="D26" s="95"/>
      <x:c r="E26" s="95"/>
      <x:c r="F26" s="95"/>
      <x:c r="G26" s="95"/>
      <x:c r="H26" s="95"/>
      <x:c r="I26" s="95"/>
      <x:c r="J26" s="95"/>
      <x:c r="K26" s="95"/>
      <x:c r="L26" s="95"/>
      <x:c r="M26" s="95"/>
      <x:c r="N26" s="95"/>
    </x:row>
    <x:row r="27">
      <x:c r="A27" s="95"/>
      <x:c r="B27" s="95"/>
      <x:c r="C27" s="95"/>
      <x:c r="D27" s="95"/>
      <x:c r="E27" s="95"/>
      <x:c r="F27" s="95"/>
      <x:c r="G27" s="95"/>
      <x:c r="H27" s="95"/>
      <x:c r="I27" s="95"/>
      <x:c r="J27" s="95"/>
      <x:c r="K27" s="95"/>
      <x:c r="L27" s="95"/>
      <x:c r="M27" s="95"/>
      <x:c r="N27" s="95"/>
    </x:row>
    <x:row r="28">
      <x:c r="A28" s="95"/>
      <x:c r="B28" s="95"/>
      <x:c r="C28" s="95"/>
      <x:c r="D28" s="95"/>
      <x:c r="E28" s="95"/>
      <x:c r="F28" s="95"/>
      <x:c r="G28" s="95"/>
      <x:c r="H28" s="95"/>
      <x:c r="I28" s="95"/>
      <x:c r="J28" s="95"/>
      <x:c r="K28" s="95"/>
      <x:c r="L28" s="95"/>
      <x:c r="M28" s="95"/>
      <x:c r="N28" s="95"/>
    </x:row>
    <x:row r="29">
      <x:c r="A29" s="95"/>
      <x:c r="B29" s="95"/>
      <x:c r="C29" s="95"/>
      <x:c r="D29" s="95"/>
      <x:c r="E29" s="95"/>
      <x:c r="F29" s="95"/>
      <x:c r="G29" s="95"/>
      <x:c r="H29" s="95"/>
      <x:c r="I29" s="95"/>
      <x:c r="J29" s="95"/>
      <x:c r="K29" s="95"/>
      <x:c r="L29" s="95"/>
      <x:c r="M29" s="95"/>
      <x:c r="N29" s="95"/>
    </x:row>
    <x:row r="30">
      <x:c r="A30" s="95"/>
      <x:c r="B30" s="95"/>
      <x:c r="C30" s="95"/>
      <x:c r="D30" s="95"/>
      <x:c r="E30" s="95"/>
      <x:c r="F30" s="95"/>
      <x:c r="G30" s="95"/>
      <x:c r="H30" s="95"/>
      <x:c r="I30" s="95"/>
      <x:c r="J30" s="95"/>
      <x:c r="K30" s="95"/>
      <x:c r="L30" s="95"/>
      <x:c r="M30" s="95"/>
      <x:c r="N30" s="95"/>
    </x:row>
    <x:row r="31">
      <x:c r="A31" s="95"/>
      <x:c r="B31" s="95"/>
      <x:c r="C31" s="95"/>
      <x:c r="D31" s="95"/>
      <x:c r="E31" s="95"/>
      <x:c r="F31" s="95"/>
      <x:c r="G31" s="95"/>
      <x:c r="H31" s="95"/>
      <x:c r="I31" s="95"/>
      <x:c r="J31" s="95"/>
      <x:c r="K31" s="95"/>
      <x:c r="L31" s="95"/>
      <x:c r="M31" s="95"/>
      <x:c r="N31" s="95"/>
    </x:row>
    <x:row r="32">
      <x:c r="A32" s="95"/>
      <x:c r="B32" s="95"/>
      <x:c r="C32" s="95"/>
      <x:c r="D32" s="95"/>
      <x:c r="E32" s="95"/>
      <x:c r="F32" s="95"/>
      <x:c r="G32" s="95"/>
      <x:c r="H32" s="95"/>
      <x:c r="I32" s="95"/>
      <x:c r="J32" s="95"/>
      <x:c r="K32" s="95"/>
      <x:c r="L32" s="95"/>
      <x:c r="M32" s="95"/>
      <x:c r="N32" s="95"/>
    </x:row>
    <x:row r="33">
      <x:c r="A33" s="95"/>
      <x:c r="B33" s="95"/>
      <x:c r="C33" s="95"/>
      <x:c r="D33" s="95"/>
      <x:c r="E33" s="95"/>
      <x:c r="F33" s="95"/>
      <x:c r="G33" s="95"/>
      <x:c r="H33" s="95"/>
      <x:c r="I33" s="95"/>
      <x:c r="J33" s="95"/>
      <x:c r="K33" s="95"/>
      <x:c r="L33" s="95"/>
      <x:c r="M33" s="95"/>
      <x:c r="N33" s="95"/>
    </x:row>
    <x:row r="34">
      <x:c r="A34" s="95"/>
      <x:c r="B34" s="95"/>
      <x:c r="C34" s="95"/>
      <x:c r="D34" s="95"/>
      <x:c r="E34" s="95"/>
      <x:c r="F34" s="95"/>
      <x:c r="G34" s="95"/>
      <x:c r="H34" s="95"/>
      <x:c r="I34" s="95"/>
      <x:c r="J34" s="95"/>
      <x:c r="K34" s="95"/>
      <x:c r="L34" s="95"/>
      <x:c r="M34" s="95"/>
      <x:c r="N34" s="95"/>
    </x:row>
    <x:row r="35">
      <x:c r="A35" s="95"/>
      <x:c r="B35" s="95"/>
      <x:c r="C35" s="95"/>
      <x:c r="D35" s="95"/>
      <x:c r="E35" s="95"/>
      <x:c r="F35" s="95"/>
      <x:c r="G35" s="95"/>
      <x:c r="H35" s="95"/>
      <x:c r="I35" s="95"/>
      <x:c r="J35" s="95"/>
      <x:c r="K35" s="95"/>
      <x:c r="L35" s="95"/>
      <x:c r="M35" s="95"/>
      <x:c r="N35" s="95"/>
    </x:row>
    <x:row r="36">
      <x:c r="A36" s="95"/>
      <x:c r="B36" s="95"/>
      <x:c r="C36" s="95"/>
      <x:c r="D36" s="95"/>
      <x:c r="E36" s="95"/>
      <x:c r="F36" s="95"/>
      <x:c r="G36" s="95"/>
      <x:c r="H36" s="95"/>
      <x:c r="I36" s="95"/>
      <x:c r="J36" s="95"/>
      <x:c r="K36" s="95"/>
      <x:c r="L36" s="95"/>
      <x:c r="M36" s="95"/>
      <x:c r="N36" s="95"/>
    </x:row>
    <x:row r="37">
      <x:c r="A37" s="95"/>
      <x:c r="B37" s="95"/>
      <x:c r="C37" s="95"/>
      <x:c r="D37" s="95"/>
      <x:c r="E37" s="95"/>
      <x:c r="F37" s="95"/>
      <x:c r="G37" s="95"/>
      <x:c r="H37" s="95"/>
      <x:c r="I37" s="95"/>
      <x:c r="J37" s="95"/>
      <x:c r="K37" s="95"/>
      <x:c r="L37" s="95"/>
      <x:c r="M37" s="95"/>
      <x:c r="N37" s="95"/>
    </x:row>
    <x:row r="38">
      <x:c r="A38" s="95"/>
      <x:c r="B38" s="95"/>
      <x:c r="C38" s="95"/>
      <x:c r="D38" s="95"/>
      <x:c r="E38" s="95"/>
      <x:c r="F38" s="95"/>
      <x:c r="G38" s="95"/>
      <x:c r="H38" s="95"/>
      <x:c r="I38" s="95"/>
      <x:c r="J38" s="95"/>
      <x:c r="K38" s="95"/>
      <x:c r="L38" s="95"/>
      <x:c r="M38" s="95"/>
      <x:c r="N38" s="95"/>
    </x:row>
    <x:row r="39">
      <x:c r="A39" s="95"/>
      <x:c r="B39" s="95"/>
      <x:c r="C39" s="95"/>
      <x:c r="D39" s="95"/>
      <x:c r="E39" s="95"/>
      <x:c r="F39" s="95"/>
      <x:c r="G39" s="95"/>
      <x:c r="H39" s="95"/>
      <x:c r="I39" s="95"/>
      <x:c r="J39" s="95"/>
      <x:c r="K39" s="95"/>
      <x:c r="L39" s="95"/>
      <x:c r="M39" s="95"/>
      <x:c r="N39" s="95"/>
    </x:row>
    <x:row r="40">
      <x:c r="A40" s="95"/>
      <x:c r="B40" s="95"/>
      <x:c r="C40" s="95"/>
      <x:c r="D40" s="95"/>
      <x:c r="E40" s="95"/>
      <x:c r="F40" s="95"/>
      <x:c r="G40" s="95"/>
      <x:c r="H40" s="95"/>
      <x:c r="I40" s="95"/>
      <x:c r="J40" s="95"/>
      <x:c r="K40" s="95"/>
      <x:c r="L40" s="95"/>
      <x:c r="M40" s="95"/>
      <x:c r="N40" s="95"/>
    </x:row>
  </x:sheetData>
  <x:mergeCells>
    <x:mergeCell ref="A1:E1"/>
    <x:mergeCell ref="A2:E2"/>
  </x:mergeCells>
  <x:conditionalFormatting sqref="A5:A16">
    <x:cfRule type="expression" dxfId="4" priority="1">
      <x:formula>A5="S"</x:formula>
    </x:cfRule>
    <x:cfRule type="expression" dxfId="5" priority="2">
      <x:formula>A5="A"</x:formula>
    </x:cfRule>
    <x:cfRule type="expression" dxfId="6" priority="3">
      <x:formula>A5="C"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76e2987ce09480c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67" hidden="0" customWidth="1"/>
    <x:col min="3" max="3" width="72" hidden="0" customWidth="1"/>
    <x:col min="4" max="4" width="52" hidden="0" customWidth="1"/>
  </x:cols>
  <x:sheetData>
    <x:row r="1" ht="32" customHeight="1">
      <x:c r="A1" s="124" t="str">
        <x:v>FONTES E REFERÊNCIAS</x:v>
      </x:c>
      <x:c r="B1" s="124"/>
      <x:c r="C1" s="124"/>
      <x:c r="D1" s="124"/>
      <x:c r="E1" s="95"/>
      <x:c r="F1" s="95"/>
      <x:c r="G1" s="95"/>
      <x:c r="H1" s="95"/>
      <x:c r="I1" s="95"/>
      <x:c r="J1" s="95"/>
      <x:c r="K1" s="95"/>
      <x:c r="L1" s="95"/>
      <x:c r="M1" s="95"/>
      <x:c r="N1" s="95"/>
    </x:row>
    <x:row r="2" ht="28" customHeight="1">
      <x:c r="A2" s="96" t="str">
        <x:v>Fontes externas informam texto, regras e benchmarks; a decisão final é contextual ao seu deck e ao objetivo casual.</x:v>
      </x:c>
      <x:c r="B2" s="96"/>
      <x:c r="C2" s="96"/>
      <x:c r="D2" s="96"/>
      <x:c r="E2" s="136"/>
      <x:c r="F2" s="136"/>
      <x:c r="G2" s="136"/>
      <x:c r="H2" s="136"/>
      <x:c r="I2" s="136"/>
      <x:c r="J2" s="136"/>
      <x:c r="K2" s="136"/>
      <x:c r="L2" s="136"/>
      <x:c r="M2" s="136"/>
      <x:c r="N2" s="136"/>
    </x:row>
    <x:row r="3">
      <x:c r="A3" s="95"/>
      <x:c r="B3" s="95"/>
      <x:c r="C3" s="95"/>
      <x:c r="D3" s="95"/>
      <x:c r="E3" s="95"/>
      <x:c r="F3" s="95"/>
      <x:c r="G3" s="95"/>
      <x:c r="H3" s="95"/>
      <x:c r="I3" s="95"/>
      <x:c r="J3" s="95"/>
      <x:c r="K3" s="95"/>
      <x:c r="L3" s="95"/>
      <x:c r="M3" s="95"/>
      <x:c r="N3" s="95"/>
    </x:row>
    <x:row r="4" ht="28" customHeight="1">
      <x:c r="A4" s="132" t="str">
        <x:v>Source</x:v>
      </x:c>
      <x:c r="B4" s="132" t="str">
        <x:v>URL</x:v>
      </x:c>
      <x:c r="C4" s="132" t="str">
        <x:v>Used for</x:v>
      </x:c>
      <x:c r="D4" s="132" t="str">
        <x:v>Caveat</x:v>
      </x:c>
      <x:c r="E4" s="95"/>
      <x:c r="F4" s="95"/>
      <x:c r="G4" s="95"/>
      <x:c r="H4" s="95"/>
      <x:c r="I4" s="95"/>
      <x:c r="J4" s="95"/>
      <x:c r="K4" s="95"/>
      <x:c r="L4" s="95"/>
      <x:c r="M4" s="95"/>
      <x:c r="N4" s="95"/>
    </x:row>
    <x:row r="5">
      <x:c r="A5" s="119" t="str">
        <x:v>Official — Assassin's Creed release notes</x:v>
      </x:c>
      <x:c r="B5" s="119" t="str">
        <x:v>https://magic.wizards.com/en/news/feature/assassins-creed-release-notes</x:v>
      </x:c>
      <x:c r="C5" s="119" t="str">
        <x:v>Texto e rulings oficiais para cartas ACR, incluindo Ezio, Roshan, Altaïr e Historic.</x:v>
      </x:c>
      <x:c r="D5" s="119" t="str">
        <x:v>Fonte prioritária para regras/textos.</x:v>
      </x:c>
      <x:c r="E5" s="95"/>
      <x:c r="F5" s="95"/>
      <x:c r="G5" s="95"/>
      <x:c r="H5" s="95"/>
      <x:c r="I5" s="95"/>
      <x:c r="J5" s="95"/>
      <x:c r="K5" s="95"/>
      <x:c r="L5" s="95"/>
      <x:c r="M5" s="95"/>
      <x:c r="N5" s="95"/>
    </x:row>
    <x:row r="6">
      <x:c r="A6" s="119" t="str">
        <x:v>Scryfall — Ezio Auditore da Firenze</x:v>
      </x:c>
      <x:c r="B6" s="119" t="str">
        <x:v>https://scryfall.com/card/acr/25/ezio-auditore-da-firenze</x:v>
      </x:c>
      <x:c r="C6" s="119" t="str">
        <x:v>Card page do comandante indicado pelo usuário.</x:v>
      </x:c>
      <x:c r="D6" s="119" t="str">
        <x:v>Usar Oracle atual, não apenas o texto impresso.</x:v>
      </x:c>
      <x:c r="E6" s="95"/>
      <x:c r="F6" s="95"/>
      <x:c r="G6" s="95"/>
      <x:c r="H6" s="95"/>
      <x:c r="I6" s="95"/>
      <x:c r="J6" s="95"/>
      <x:c r="K6" s="95"/>
      <x:c r="L6" s="95"/>
      <x:c r="M6" s="95"/>
      <x:c r="N6" s="95"/>
    </x:row>
    <x:row r="7">
      <x:c r="A7" s="119" t="str">
        <x:v>EDH.Wiki — Ezio</x:v>
      </x:c>
      <x:c r="B7" s="119" t="str">
        <x:v>https://edh.wiki/commanders/ezio-auditore-da-firenze/</x:v>
      </x:c>
      <x:c r="C7" s="119" t="str">
        <x:v>Benchmark de estratégia, freerunning e construção Assassin.</x:v>
      </x:c>
      <x:c r="D7" s="119" t="str">
        <x:v>Guia comunitário; não é autoridade final de regras.</x:v>
      </x:c>
      <x:c r="E7" s="95"/>
      <x:c r="F7" s="95"/>
      <x:c r="G7" s="95"/>
      <x:c r="H7" s="95"/>
      <x:c r="I7" s="95"/>
      <x:c r="J7" s="95"/>
      <x:c r="K7" s="95"/>
      <x:c r="L7" s="95"/>
      <x:c r="M7" s="95"/>
      <x:c r="N7" s="95"/>
    </x:row>
    <x:row r="8">
      <x:c r="A8" s="119" t="str">
        <x:v>EDH.Wiki — Assassins</x:v>
      </x:c>
      <x:c r="B8" s="119" t="str">
        <x:v>https://edh.wiki/commanders/ezio-auditore-da-firenze/assassins/</x:v>
      </x:c>
      <x:c r="C8" s="119" t="str">
        <x:v>Recorte de arquétipo Assassin tribal.</x:v>
      </x:c>
      <x:c r="D8" s="119" t="str">
        <x:v>Inspiração, não uma lista a copiar.</x:v>
      </x:c>
      <x:c r="E8" s="95"/>
      <x:c r="F8" s="95"/>
      <x:c r="G8" s="95"/>
      <x:c r="H8" s="95"/>
      <x:c r="I8" s="95"/>
      <x:c r="J8" s="95"/>
      <x:c r="K8" s="95"/>
      <x:c r="L8" s="95"/>
      <x:c r="M8" s="95"/>
      <x:c r="N8" s="95"/>
    </x:row>
    <x:row r="9">
      <x:c r="A9" s="119" t="str">
        <x:v>EDHREC — Ezio / Assassins</x:v>
      </x:c>
      <x:c r="B9" s="119" t="str">
        <x:v>https://edhrec.com/commanders/ezio-auditore-da-firenze/assassins</x:v>
      </x:c>
      <x:c r="C9" s="119" t="str">
        <x:v>Tendências agregadas: Basim, Ezio Blade, Bayek, Aya, Desmond, Altaïr, Eagle Vision.</x:v>
      </x:c>
      <x:c r="D9" s="119" t="str">
        <x:v>Popularidade sugere candidates; não prova melhor encaixe.</x:v>
      </x:c>
      <x:c r="E9" s="95"/>
      <x:c r="F9" s="95"/>
      <x:c r="G9" s="95"/>
      <x:c r="H9" s="95"/>
      <x:c r="I9" s="95"/>
      <x:c r="J9" s="95"/>
      <x:c r="K9" s="95"/>
      <x:c r="L9" s="95"/>
      <x:c r="M9" s="95"/>
      <x:c r="N9" s="95"/>
    </x:row>
    <x:row r="10">
      <x:c r="A10" s="119" t="str">
        <x:v>EDHREC — guia sobre cartas quentes/frias</x:v>
      </x:c>
      <x:c r="B10" s="119" t="str">
        <x:v>https://edhrec.com/articles/which-cards-are-hot-and-cold-for-ezio-auditore-da-firenze</x:v>
      </x:c>
      <x:c r="C10" s="119" t="str">
        <x:v>Analisa cartas da tribo, inclusive críticas a Chain Assassination/Assassin Gauntlet em builds comuns.</x:v>
      </x:c>
      <x:c r="D10" s="119" t="str">
        <x:v>Útil para avaliar slots de baixo impacto; o contexto da lista importa.</x:v>
      </x:c>
      <x:c r="E10" s="95"/>
      <x:c r="F10" s="95"/>
      <x:c r="G10" s="95"/>
      <x:c r="H10" s="95"/>
      <x:c r="I10" s="95"/>
      <x:c r="J10" s="95"/>
      <x:c r="K10" s="95"/>
      <x:c r="L10" s="95"/>
      <x:c r="M10" s="95"/>
      <x:c r="N10" s="95"/>
    </x:row>
    <x:row r="11">
      <x:c r="A11" s="119" t="str">
        <x:v>Commander ban list — Wizards</x:v>
      </x:c>
      <x:c r="B11" s="119" t="str">
        <x:v>https://magic.wizards.com/en/banned-restricted-list</x:v>
      </x:c>
      <x:c r="C11" s="119" t="str">
        <x:v>Página oficial para checar ban list.</x:v>
      </x:c>
      <x:c r="D11" s="119" t="str">
        <x:v>Rever antes de fazer mudanças futuras.</x:v>
      </x:c>
      <x:c r="E11" s="95"/>
      <x:c r="F11" s="95"/>
      <x:c r="G11" s="95"/>
      <x:c r="H11" s="95"/>
      <x:c r="I11" s="95"/>
      <x:c r="J11" s="95"/>
      <x:c r="K11" s="95"/>
      <x:c r="L11" s="95"/>
      <x:c r="M11" s="95"/>
      <x:c r="N11" s="95"/>
    </x:row>
    <x:row r="12">
      <x:c r="A12" s="119" t="str">
        <x:v>EDHREC — Assassin deck guide</x:v>
      </x:c>
      <x:c r="B12" s="119" t="str">
        <x:v>https://cloudflare.edhrec.com/guides/edhrec-guide-to-assassins-in-commander</x:v>
      </x:c>
      <x:c r="C12" s="119" t="str">
        <x:v>Alternativas para tribal Assassin e suporte de combate.</x:v>
      </x:c>
      <x:c r="D12" s="119" t="str">
        <x:v>Benchmark; várias opções podem elevar o poder mais que o desejado.</x:v>
      </x:c>
      <x:c r="E12" s="95"/>
      <x:c r="F12" s="95"/>
      <x:c r="G12" s="95"/>
      <x:c r="H12" s="95"/>
      <x:c r="I12" s="95"/>
      <x:c r="J12" s="95"/>
      <x:c r="K12" s="95"/>
      <x:c r="L12" s="95"/>
      <x:c r="M12" s="95"/>
      <x:c r="N12" s="95"/>
    </x:row>
    <x:row r="13">
      <x:c r="A13" s="95"/>
      <x:c r="B13" s="95"/>
      <x:c r="C13" s="95"/>
      <x:c r="D13" s="95"/>
      <x:c r="E13" s="95"/>
      <x:c r="F13" s="95"/>
      <x:c r="G13" s="95"/>
      <x:c r="H13" s="95"/>
      <x:c r="I13" s="95"/>
      <x:c r="J13" s="95"/>
      <x:c r="K13" s="95"/>
      <x:c r="L13" s="95"/>
      <x:c r="M13" s="95"/>
      <x:c r="N13" s="95"/>
    </x:row>
    <x:row r="14">
      <x:c r="A14" s="95"/>
      <x:c r="B14" s="95"/>
      <x:c r="C14" s="95"/>
      <x:c r="D14" s="95"/>
      <x:c r="E14" s="95"/>
      <x:c r="F14" s="95"/>
      <x:c r="G14" s="95"/>
      <x:c r="H14" s="95"/>
      <x:c r="I14" s="95"/>
      <x:c r="J14" s="95"/>
      <x:c r="K14" s="95"/>
      <x:c r="L14" s="95"/>
      <x:c r="M14" s="95"/>
      <x:c r="N14" s="95"/>
    </x:row>
    <x:row r="15">
      <x:c r="A15" s="95"/>
      <x:c r="B15" s="95"/>
      <x:c r="C15" s="95"/>
      <x:c r="D15" s="95"/>
      <x:c r="E15" s="95"/>
      <x:c r="F15" s="95"/>
      <x:c r="G15" s="95"/>
      <x:c r="H15" s="95"/>
      <x:c r="I15" s="95"/>
      <x:c r="J15" s="95"/>
      <x:c r="K15" s="95"/>
      <x:c r="L15" s="95"/>
      <x:c r="M15" s="95"/>
      <x:c r="N15" s="95"/>
    </x:row>
    <x:row r="16">
      <x:c r="A16" s="95"/>
      <x:c r="B16" s="95"/>
      <x:c r="C16" s="95"/>
      <x:c r="D16" s="95"/>
      <x:c r="E16" s="95"/>
      <x:c r="F16" s="95"/>
      <x:c r="G16" s="95"/>
      <x:c r="H16" s="95"/>
      <x:c r="I16" s="95"/>
      <x:c r="J16" s="95"/>
      <x:c r="K16" s="95"/>
      <x:c r="L16" s="95"/>
      <x:c r="M16" s="95"/>
      <x:c r="N16" s="95"/>
    </x:row>
    <x:row r="17">
      <x:c r="A17" s="95"/>
      <x:c r="B17" s="95"/>
      <x:c r="C17" s="95"/>
      <x:c r="D17" s="95"/>
      <x:c r="E17" s="95"/>
      <x:c r="F17" s="95"/>
      <x:c r="G17" s="95"/>
      <x:c r="H17" s="95"/>
      <x:c r="I17" s="95"/>
      <x:c r="J17" s="95"/>
      <x:c r="K17" s="95"/>
      <x:c r="L17" s="95"/>
      <x:c r="M17" s="95"/>
      <x:c r="N17" s="95"/>
    </x:row>
    <x:row r="18">
      <x:c r="A18" s="95"/>
      <x:c r="B18" s="95"/>
      <x:c r="C18" s="95"/>
      <x:c r="D18" s="95"/>
      <x:c r="E18" s="95"/>
      <x:c r="F18" s="95"/>
      <x:c r="G18" s="95"/>
      <x:c r="H18" s="95"/>
      <x:c r="I18" s="95"/>
      <x:c r="J18" s="95"/>
      <x:c r="K18" s="95"/>
      <x:c r="L18" s="95"/>
      <x:c r="M18" s="95"/>
      <x:c r="N18" s="95"/>
    </x:row>
    <x:row r="19">
      <x:c r="A19" s="95"/>
      <x:c r="B19" s="95"/>
      <x:c r="C19" s="95"/>
      <x:c r="D19" s="95"/>
      <x:c r="E19" s="95"/>
      <x:c r="F19" s="95"/>
      <x:c r="G19" s="95"/>
      <x:c r="H19" s="95"/>
      <x:c r="I19" s="95"/>
      <x:c r="J19" s="95"/>
      <x:c r="K19" s="95"/>
      <x:c r="L19" s="95"/>
      <x:c r="M19" s="95"/>
      <x:c r="N19" s="95"/>
    </x:row>
    <x:row r="20">
      <x:c r="A20" s="95"/>
      <x:c r="B20" s="95"/>
      <x:c r="C20" s="95"/>
      <x:c r="D20" s="95"/>
      <x:c r="E20" s="95"/>
      <x:c r="F20" s="95"/>
      <x:c r="G20" s="95"/>
      <x:c r="H20" s="95"/>
      <x:c r="I20" s="95"/>
      <x:c r="J20" s="95"/>
      <x:c r="K20" s="95"/>
      <x:c r="L20" s="95"/>
      <x:c r="M20" s="95"/>
      <x:c r="N20" s="95"/>
    </x:row>
    <x:row r="21">
      <x:c r="A21" s="95"/>
      <x:c r="B21" s="95"/>
      <x:c r="C21" s="95"/>
      <x:c r="D21" s="95"/>
      <x:c r="E21" s="95"/>
      <x:c r="F21" s="95"/>
      <x:c r="G21" s="95"/>
      <x:c r="H21" s="95"/>
      <x:c r="I21" s="95"/>
      <x:c r="J21" s="95"/>
      <x:c r="K21" s="95"/>
      <x:c r="L21" s="95"/>
      <x:c r="M21" s="95"/>
      <x:c r="N21" s="95"/>
    </x:row>
    <x:row r="22">
      <x:c r="A22" s="95"/>
      <x:c r="B22" s="95"/>
      <x:c r="C22" s="95"/>
      <x:c r="D22" s="95"/>
      <x:c r="E22" s="95"/>
      <x:c r="F22" s="95"/>
      <x:c r="G22" s="95"/>
      <x:c r="H22" s="95"/>
      <x:c r="I22" s="95"/>
      <x:c r="J22" s="95"/>
      <x:c r="K22" s="95"/>
      <x:c r="L22" s="95"/>
      <x:c r="M22" s="95"/>
      <x:c r="N22" s="95"/>
    </x:row>
    <x:row r="23">
      <x:c r="A23" s="95"/>
      <x:c r="B23" s="95"/>
      <x:c r="C23" s="95"/>
      <x:c r="D23" s="95"/>
      <x:c r="E23" s="95"/>
      <x:c r="F23" s="95"/>
      <x:c r="G23" s="95"/>
      <x:c r="H23" s="95"/>
      <x:c r="I23" s="95"/>
      <x:c r="J23" s="95"/>
      <x:c r="K23" s="95"/>
      <x:c r="L23" s="95"/>
      <x:c r="M23" s="95"/>
      <x:c r="N23" s="95"/>
    </x:row>
    <x:row r="24">
      <x:c r="A24" s="95"/>
      <x:c r="B24" s="95"/>
      <x:c r="C24" s="95"/>
      <x:c r="D24" s="95"/>
      <x:c r="E24" s="95"/>
      <x:c r="F24" s="95"/>
      <x:c r="G24" s="95"/>
      <x:c r="H24" s="95"/>
      <x:c r="I24" s="95"/>
      <x:c r="J24" s="95"/>
      <x:c r="K24" s="95"/>
      <x:c r="L24" s="95"/>
      <x:c r="M24" s="95"/>
      <x:c r="N24" s="95"/>
    </x:row>
    <x:row r="25">
      <x:c r="A25" s="95"/>
      <x:c r="B25" s="95"/>
      <x:c r="C25" s="95"/>
      <x:c r="D25" s="95"/>
      <x:c r="E25" s="95"/>
      <x:c r="F25" s="95"/>
      <x:c r="G25" s="95"/>
      <x:c r="H25" s="95"/>
      <x:c r="I25" s="95"/>
      <x:c r="J25" s="95"/>
      <x:c r="K25" s="95"/>
      <x:c r="L25" s="95"/>
      <x:c r="M25" s="95"/>
      <x:c r="N25" s="95"/>
    </x:row>
    <x:row r="26">
      <x:c r="A26" s="95"/>
      <x:c r="B26" s="95"/>
      <x:c r="C26" s="95"/>
      <x:c r="D26" s="95"/>
      <x:c r="E26" s="95"/>
      <x:c r="F26" s="95"/>
      <x:c r="G26" s="95"/>
      <x:c r="H26" s="95"/>
      <x:c r="I26" s="95"/>
      <x:c r="J26" s="95"/>
      <x:c r="K26" s="95"/>
      <x:c r="L26" s="95"/>
      <x:c r="M26" s="95"/>
      <x:c r="N26" s="95"/>
    </x:row>
    <x:row r="27">
      <x:c r="A27" s="95"/>
      <x:c r="B27" s="95"/>
      <x:c r="C27" s="95"/>
      <x:c r="D27" s="95"/>
      <x:c r="E27" s="95"/>
      <x:c r="F27" s="95"/>
      <x:c r="G27" s="95"/>
      <x:c r="H27" s="95"/>
      <x:c r="I27" s="95"/>
      <x:c r="J27" s="95"/>
      <x:c r="K27" s="95"/>
      <x:c r="L27" s="95"/>
      <x:c r="M27" s="95"/>
      <x:c r="N27" s="95"/>
    </x:row>
    <x:row r="28">
      <x:c r="A28" s="95"/>
      <x:c r="B28" s="95"/>
      <x:c r="C28" s="95"/>
      <x:c r="D28" s="95"/>
      <x:c r="E28" s="95"/>
      <x:c r="F28" s="95"/>
      <x:c r="G28" s="95"/>
      <x:c r="H28" s="95"/>
      <x:c r="I28" s="95"/>
      <x:c r="J28" s="95"/>
      <x:c r="K28" s="95"/>
      <x:c r="L28" s="95"/>
      <x:c r="M28" s="95"/>
      <x:c r="N28" s="95"/>
    </x:row>
    <x:row r="29">
      <x:c r="A29" s="95"/>
      <x:c r="B29" s="95"/>
      <x:c r="C29" s="95"/>
      <x:c r="D29" s="95"/>
      <x:c r="E29" s="95"/>
      <x:c r="F29" s="95"/>
      <x:c r="G29" s="95"/>
      <x:c r="H29" s="95"/>
      <x:c r="I29" s="95"/>
      <x:c r="J29" s="95"/>
      <x:c r="K29" s="95"/>
      <x:c r="L29" s="95"/>
      <x:c r="M29" s="95"/>
      <x:c r="N29" s="95"/>
    </x:row>
    <x:row r="30">
      <x:c r="A30" s="95"/>
      <x:c r="B30" s="95"/>
      <x:c r="C30" s="95"/>
      <x:c r="D30" s="95"/>
      <x:c r="E30" s="95"/>
      <x:c r="F30" s="95"/>
      <x:c r="G30" s="95"/>
      <x:c r="H30" s="95"/>
      <x:c r="I30" s="95"/>
      <x:c r="J30" s="95"/>
      <x:c r="K30" s="95"/>
      <x:c r="L30" s="95"/>
      <x:c r="M30" s="95"/>
      <x:c r="N30" s="95"/>
    </x:row>
    <x:row r="31">
      <x:c r="A31" s="95"/>
      <x:c r="B31" s="95"/>
      <x:c r="C31" s="95"/>
      <x:c r="D31" s="95"/>
      <x:c r="E31" s="95"/>
      <x:c r="F31" s="95"/>
      <x:c r="G31" s="95"/>
      <x:c r="H31" s="95"/>
      <x:c r="I31" s="95"/>
      <x:c r="J31" s="95"/>
      <x:c r="K31" s="95"/>
      <x:c r="L31" s="95"/>
      <x:c r="M31" s="95"/>
      <x:c r="N31" s="95"/>
    </x:row>
    <x:row r="32">
      <x:c r="A32" s="95"/>
      <x:c r="B32" s="95"/>
      <x:c r="C32" s="95"/>
      <x:c r="D32" s="95"/>
      <x:c r="E32" s="95"/>
      <x:c r="F32" s="95"/>
      <x:c r="G32" s="95"/>
      <x:c r="H32" s="95"/>
      <x:c r="I32" s="95"/>
      <x:c r="J32" s="95"/>
      <x:c r="K32" s="95"/>
      <x:c r="L32" s="95"/>
      <x:c r="M32" s="95"/>
      <x:c r="N32" s="95"/>
    </x:row>
    <x:row r="33">
      <x:c r="A33" s="95"/>
      <x:c r="B33" s="95"/>
      <x:c r="C33" s="95"/>
      <x:c r="D33" s="95"/>
      <x:c r="E33" s="95"/>
      <x:c r="F33" s="95"/>
      <x:c r="G33" s="95"/>
      <x:c r="H33" s="95"/>
      <x:c r="I33" s="95"/>
      <x:c r="J33" s="95"/>
      <x:c r="K33" s="95"/>
      <x:c r="L33" s="95"/>
      <x:c r="M33" s="95"/>
      <x:c r="N33" s="95"/>
    </x:row>
    <x:row r="34">
      <x:c r="A34" s="95"/>
      <x:c r="B34" s="95"/>
      <x:c r="C34" s="95"/>
      <x:c r="D34" s="95"/>
      <x:c r="E34" s="95"/>
      <x:c r="F34" s="95"/>
      <x:c r="G34" s="95"/>
      <x:c r="H34" s="95"/>
      <x:c r="I34" s="95"/>
      <x:c r="J34" s="95"/>
      <x:c r="K34" s="95"/>
      <x:c r="L34" s="95"/>
      <x:c r="M34" s="95"/>
      <x:c r="N34" s="95"/>
    </x:row>
    <x:row r="35">
      <x:c r="A35" s="95"/>
      <x:c r="B35" s="95"/>
      <x:c r="C35" s="95"/>
      <x:c r="D35" s="95"/>
      <x:c r="E35" s="95"/>
      <x:c r="F35" s="95"/>
      <x:c r="G35" s="95"/>
      <x:c r="H35" s="95"/>
      <x:c r="I35" s="95"/>
      <x:c r="J35" s="95"/>
      <x:c r="K35" s="95"/>
      <x:c r="L35" s="95"/>
      <x:c r="M35" s="95"/>
      <x:c r="N35" s="95"/>
    </x:row>
    <x:row r="36">
      <x:c r="A36" s="95"/>
      <x:c r="B36" s="95"/>
      <x:c r="C36" s="95"/>
      <x:c r="D36" s="95"/>
      <x:c r="E36" s="95"/>
      <x:c r="F36" s="95"/>
      <x:c r="G36" s="95"/>
      <x:c r="H36" s="95"/>
      <x:c r="I36" s="95"/>
      <x:c r="J36" s="95"/>
      <x:c r="K36" s="95"/>
      <x:c r="L36" s="95"/>
      <x:c r="M36" s="95"/>
      <x:c r="N36" s="95"/>
    </x:row>
    <x:row r="37">
      <x:c r="A37" s="95"/>
      <x:c r="B37" s="95"/>
      <x:c r="C37" s="95"/>
      <x:c r="D37" s="95"/>
      <x:c r="E37" s="95"/>
      <x:c r="F37" s="95"/>
      <x:c r="G37" s="95"/>
      <x:c r="H37" s="95"/>
      <x:c r="I37" s="95"/>
      <x:c r="J37" s="95"/>
      <x:c r="K37" s="95"/>
      <x:c r="L37" s="95"/>
      <x:c r="M37" s="95"/>
      <x:c r="N37" s="95"/>
    </x:row>
    <x:row r="38">
      <x:c r="A38" s="95"/>
      <x:c r="B38" s="95"/>
      <x:c r="C38" s="95"/>
      <x:c r="D38" s="95"/>
      <x:c r="E38" s="95"/>
      <x:c r="F38" s="95"/>
      <x:c r="G38" s="95"/>
      <x:c r="H38" s="95"/>
      <x:c r="I38" s="95"/>
      <x:c r="J38" s="95"/>
      <x:c r="K38" s="95"/>
      <x:c r="L38" s="95"/>
      <x:c r="M38" s="95"/>
      <x:c r="N38" s="95"/>
    </x:row>
    <x:row r="39">
      <x:c r="A39" s="95"/>
      <x:c r="B39" s="95"/>
      <x:c r="C39" s="95"/>
      <x:c r="D39" s="95"/>
      <x:c r="E39" s="95"/>
      <x:c r="F39" s="95"/>
      <x:c r="G39" s="95"/>
      <x:c r="H39" s="95"/>
      <x:c r="I39" s="95"/>
      <x:c r="J39" s="95"/>
      <x:c r="K39" s="95"/>
      <x:c r="L39" s="95"/>
      <x:c r="M39" s="95"/>
      <x:c r="N39" s="95"/>
    </x:row>
    <x:row r="40">
      <x:c r="A40" s="95"/>
      <x:c r="B40" s="95"/>
      <x:c r="C40" s="95"/>
      <x:c r="D40" s="95"/>
      <x:c r="E40" s="95"/>
      <x:c r="F40" s="95"/>
      <x:c r="G40" s="95"/>
      <x:c r="H40" s="95"/>
      <x:c r="I40" s="95"/>
      <x:c r="J40" s="95"/>
      <x:c r="K40" s="95"/>
      <x:c r="L40" s="95"/>
      <x:c r="M40" s="95"/>
      <x:c r="N40" s="95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ff5d91b413b49be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3" hidden="0" customWidth="1"/>
    <x:col min="5" max="5" width="22" hidden="0" customWidth="1"/>
    <x:col min="6" max="6" width="18" hidden="0" customWidth="1"/>
    <x:col min="7" max="7" width="33" hidden="0" customWidth="1"/>
    <x:col min="8" max="8" width="30" hidden="0" customWidth="1"/>
    <x:col min="9" max="9" width="24" hidden="0" customWidth="1"/>
    <x:col min="10" max="10" width="25" hidden="0" customWidth="1"/>
    <x:col min="11" max="11" width="25" hidden="0" customWidth="1"/>
    <x:col min="12" max="12" width="48" hidden="0" customWidth="1"/>
  </x:cols>
  <x:sheetData>
    <x:row r="1" ht="32" customHeight="1">
      <x:c r="A1" s="124" t="str">
        <x:v>PLAYTEST LOG</x:v>
      </x:c>
      <x:c r="B1" s="124"/>
      <x:c r="C1" s="124"/>
      <x:c r="D1" s="124"/>
      <x:c r="E1" s="124"/>
      <x:c r="F1" s="124"/>
      <x:c r="G1" s="124"/>
      <x:c r="H1" s="124"/>
      <x:c r="I1" s="124"/>
      <x:c r="J1" s="124"/>
      <x:c r="K1" s="124"/>
      <x:c r="L1" s="124"/>
      <x:c r="M1" s="95"/>
      <x:c r="N1" s="95"/>
    </x:row>
    <x:row r="2" ht="28" customHeight="1">
      <x:c r="A2" s="96" t="str">
        <x:v>Preencha após cada partida. Não tratar cartas como adquiridas/testadas apenas porque aparecem na V2.</x:v>
      </x:c>
      <x:c r="B2" s="96"/>
      <x:c r="C2" s="96"/>
      <x:c r="D2" s="96"/>
      <x:c r="E2" s="96"/>
      <x:c r="F2" s="96"/>
      <x:c r="G2" s="96"/>
      <x:c r="H2" s="96"/>
      <x:c r="I2" s="96"/>
      <x:c r="J2" s="96"/>
      <x:c r="K2" s="136"/>
      <x:c r="L2" s="136"/>
      <x:c r="M2" s="136"/>
      <x:c r="N2" s="136"/>
    </x:row>
    <x:row r="3">
      <x:c r="A3" s="95"/>
      <x:c r="B3" s="95"/>
      <x:c r="C3" s="95"/>
      <x:c r="D3" s="95"/>
      <x:c r="E3" s="95"/>
      <x:c r="F3" s="95"/>
      <x:c r="G3" s="95"/>
      <x:c r="H3" s="95"/>
      <x:c r="I3" s="95"/>
      <x:c r="J3" s="95"/>
      <x:c r="K3" s="95"/>
      <x:c r="L3" s="95"/>
      <x:c r="M3" s="95"/>
      <x:c r="N3" s="95"/>
    </x:row>
    <x:row r="4" ht="28" customHeight="1">
      <x:c r="A4" s="132" t="str">
        <x:v>Date</x:v>
      </x:c>
      <x:c r="B4" s="132" t="str">
        <x:v>Version</x:v>
      </x:c>
      <x:c r="C4" s="132" t="str">
        <x:v>Players / pod</x:v>
      </x:c>
      <x:c r="D4" s="132" t="str">
        <x:v>Turn order</x:v>
      </x:c>
      <x:c r="E4" s="132" t="str">
        <x:v>Opening hand quality</x:v>
      </x:c>
      <x:c r="F4" s="132" t="str">
        <x:v>Turn plan began</x:v>
      </x:c>
      <x:c r="G4" s="132" t="str">
        <x:v>Cards with high impact</x:v>
      </x:c>
      <x:c r="H4" s="132" t="str">
        <x:v>Dead / stuck cards</x:v>
      </x:c>
      <x:c r="I4" s="132" t="str">
        <x:v>Interaction missed?</x:v>
      </x:c>
      <x:c r="J4" s="132" t="str">
        <x:v>Board wipe / rebuild</x:v>
      </x:c>
      <x:c r="K4" s="132" t="str">
        <x:v>Win condition / result</x:v>
      </x:c>
      <x:c r="L4" s="132" t="str">
        <x:v>Notes / keep or revert</x:v>
      </x:c>
      <x:c r="M4" s="95"/>
      <x:c r="N4" s="95"/>
    </x:row>
    <x:row r="5">
      <x:c r="A5" s="119" t="str"/>
      <x:c r="B5" s="119" t="str"/>
      <x:c r="C5" s="119" t="str"/>
      <x:c r="D5" s="119" t="str"/>
      <x:c r="E5" s="119" t="str"/>
      <x:c r="F5" s="119" t="str"/>
      <x:c r="G5" s="119" t="str"/>
      <x:c r="H5" s="119" t="str"/>
      <x:c r="I5" s="119" t="str"/>
      <x:c r="J5" s="119" t="str"/>
      <x:c r="K5" s="119" t="str"/>
      <x:c r="L5" s="119" t="str"/>
      <x:c r="M5" s="95"/>
      <x:c r="N5" s="95"/>
    </x:row>
    <x:row r="6">
      <x:c r="A6" s="119" t="str"/>
      <x:c r="B6" s="119" t="str"/>
      <x:c r="C6" s="119" t="str"/>
      <x:c r="D6" s="119" t="str"/>
      <x:c r="E6" s="119" t="str"/>
      <x:c r="F6" s="119" t="str"/>
      <x:c r="G6" s="119" t="str"/>
      <x:c r="H6" s="119" t="str"/>
      <x:c r="I6" s="119" t="str"/>
      <x:c r="J6" s="119" t="str"/>
      <x:c r="K6" s="119" t="str"/>
      <x:c r="L6" s="119" t="str"/>
      <x:c r="M6" s="95"/>
      <x:c r="N6" s="95"/>
    </x:row>
    <x:row r="7">
      <x:c r="A7" s="119" t="str"/>
      <x:c r="B7" s="119" t="str"/>
      <x:c r="C7" s="119" t="str"/>
      <x:c r="D7" s="119" t="str"/>
      <x:c r="E7" s="119" t="str"/>
      <x:c r="F7" s="119" t="str"/>
      <x:c r="G7" s="119" t="str"/>
      <x:c r="H7" s="119" t="str"/>
      <x:c r="I7" s="119" t="str"/>
      <x:c r="J7" s="119" t="str"/>
      <x:c r="K7" s="119" t="str"/>
      <x:c r="L7" s="119" t="str"/>
      <x:c r="M7" s="95"/>
      <x:c r="N7" s="95"/>
    </x:row>
    <x:row r="8">
      <x:c r="A8" s="119" t="str"/>
      <x:c r="B8" s="119" t="str"/>
      <x:c r="C8" s="119" t="str"/>
      <x:c r="D8" s="119" t="str"/>
      <x:c r="E8" s="119" t="str"/>
      <x:c r="F8" s="119" t="str"/>
      <x:c r="G8" s="119" t="str"/>
      <x:c r="H8" s="119" t="str"/>
      <x:c r="I8" s="119" t="str"/>
      <x:c r="J8" s="119" t="str"/>
      <x:c r="K8" s="119" t="str"/>
      <x:c r="L8" s="119" t="str"/>
      <x:c r="M8" s="95"/>
      <x:c r="N8" s="95"/>
    </x:row>
    <x:row r="9">
      <x:c r="A9" s="119" t="str"/>
      <x:c r="B9" s="119" t="str"/>
      <x:c r="C9" s="119" t="str"/>
      <x:c r="D9" s="119" t="str"/>
      <x:c r="E9" s="119" t="str"/>
      <x:c r="F9" s="119" t="str"/>
      <x:c r="G9" s="119" t="str"/>
      <x:c r="H9" s="119" t="str"/>
      <x:c r="I9" s="119" t="str"/>
      <x:c r="J9" s="119" t="str"/>
      <x:c r="K9" s="119" t="str"/>
      <x:c r="L9" s="119" t="str"/>
      <x:c r="M9" s="95"/>
      <x:c r="N9" s="95"/>
    </x:row>
    <x:row r="10">
      <x:c r="A10" s="119" t="str"/>
      <x:c r="B10" s="119" t="str"/>
      <x:c r="C10" s="119" t="str"/>
      <x:c r="D10" s="119" t="str"/>
      <x:c r="E10" s="119" t="str"/>
      <x:c r="F10" s="119" t="str"/>
      <x:c r="G10" s="119" t="str"/>
      <x:c r="H10" s="119" t="str"/>
      <x:c r="I10" s="119" t="str"/>
      <x:c r="J10" s="119" t="str"/>
      <x:c r="K10" s="119" t="str"/>
      <x:c r="L10" s="119" t="str"/>
      <x:c r="M10" s="95"/>
      <x:c r="N10" s="95"/>
    </x:row>
    <x:row r="11">
      <x:c r="A11" s="119" t="str"/>
      <x:c r="B11" s="119" t="str"/>
      <x:c r="C11" s="119" t="str"/>
      <x:c r="D11" s="119" t="str"/>
      <x:c r="E11" s="119" t="str"/>
      <x:c r="F11" s="119" t="str"/>
      <x:c r="G11" s="119" t="str"/>
      <x:c r="H11" s="119" t="str"/>
      <x:c r="I11" s="119" t="str"/>
      <x:c r="J11" s="119" t="str"/>
      <x:c r="K11" s="119" t="str"/>
      <x:c r="L11" s="119" t="str"/>
      <x:c r="M11" s="95"/>
      <x:c r="N11" s="95"/>
    </x:row>
    <x:row r="12">
      <x:c r="A12" s="119" t="str"/>
      <x:c r="B12" s="119" t="str"/>
      <x:c r="C12" s="119" t="str"/>
      <x:c r="D12" s="119" t="str"/>
      <x:c r="E12" s="119" t="str"/>
      <x:c r="F12" s="119" t="str"/>
      <x:c r="G12" s="119" t="str"/>
      <x:c r="H12" s="119" t="str"/>
      <x:c r="I12" s="119" t="str"/>
      <x:c r="J12" s="119" t="str"/>
      <x:c r="K12" s="119" t="str"/>
      <x:c r="L12" s="119" t="str"/>
      <x:c r="M12" s="95"/>
      <x:c r="N12" s="95"/>
    </x:row>
    <x:row r="13">
      <x:c r="A13" s="119" t="str"/>
      <x:c r="B13" s="119" t="str"/>
      <x:c r="C13" s="119" t="str"/>
      <x:c r="D13" s="119" t="str"/>
      <x:c r="E13" s="119" t="str"/>
      <x:c r="F13" s="119" t="str"/>
      <x:c r="G13" s="119" t="str"/>
      <x:c r="H13" s="119" t="str"/>
      <x:c r="I13" s="119" t="str"/>
      <x:c r="J13" s="119" t="str"/>
      <x:c r="K13" s="119" t="str"/>
      <x:c r="L13" s="119" t="str"/>
      <x:c r="M13" s="95"/>
      <x:c r="N13" s="95"/>
    </x:row>
    <x:row r="14">
      <x:c r="A14" s="119" t="str"/>
      <x:c r="B14" s="119" t="str"/>
      <x:c r="C14" s="119" t="str"/>
      <x:c r="D14" s="119" t="str"/>
      <x:c r="E14" s="119" t="str"/>
      <x:c r="F14" s="119" t="str"/>
      <x:c r="G14" s="119" t="str"/>
      <x:c r="H14" s="119" t="str"/>
      <x:c r="I14" s="119" t="str"/>
      <x:c r="J14" s="119" t="str"/>
      <x:c r="K14" s="119" t="str"/>
      <x:c r="L14" s="119" t="str"/>
      <x:c r="M14" s="95"/>
      <x:c r="N14" s="95"/>
    </x:row>
    <x:row r="15">
      <x:c r="A15" s="119" t="str"/>
      <x:c r="B15" s="119" t="str"/>
      <x:c r="C15" s="119" t="str"/>
      <x:c r="D15" s="119" t="str"/>
      <x:c r="E15" s="119" t="str"/>
      <x:c r="F15" s="119" t="str"/>
      <x:c r="G15" s="119" t="str"/>
      <x:c r="H15" s="119" t="str"/>
      <x:c r="I15" s="119" t="str"/>
      <x:c r="J15" s="119" t="str"/>
      <x:c r="K15" s="119" t="str"/>
      <x:c r="L15" s="119" t="str"/>
      <x:c r="M15" s="95"/>
      <x:c r="N15" s="95"/>
    </x:row>
    <x:row r="16">
      <x:c r="A16" s="119" t="str"/>
      <x:c r="B16" s="119" t="str"/>
      <x:c r="C16" s="119" t="str"/>
      <x:c r="D16" s="119" t="str"/>
      <x:c r="E16" s="119" t="str"/>
      <x:c r="F16" s="119" t="str"/>
      <x:c r="G16" s="119" t="str"/>
      <x:c r="H16" s="119" t="str"/>
      <x:c r="I16" s="119" t="str"/>
      <x:c r="J16" s="119" t="str"/>
      <x:c r="K16" s="119" t="str"/>
      <x:c r="L16" s="119" t="str"/>
      <x:c r="M16" s="95"/>
      <x:c r="N16" s="95"/>
    </x:row>
    <x:row r="17">
      <x:c r="A17" s="119" t="str"/>
      <x:c r="B17" s="119" t="str"/>
      <x:c r="C17" s="119" t="str"/>
      <x:c r="D17" s="119" t="str"/>
      <x:c r="E17" s="119" t="str"/>
      <x:c r="F17" s="119" t="str"/>
      <x:c r="G17" s="119" t="str"/>
      <x:c r="H17" s="119" t="str"/>
      <x:c r="I17" s="119" t="str"/>
      <x:c r="J17" s="119" t="str"/>
      <x:c r="K17" s="119" t="str"/>
      <x:c r="L17" s="119" t="str"/>
      <x:c r="M17" s="95"/>
      <x:c r="N17" s="95"/>
    </x:row>
    <x:row r="18">
      <x:c r="A18" s="119" t="str"/>
      <x:c r="B18" s="119" t="str"/>
      <x:c r="C18" s="119" t="str"/>
      <x:c r="D18" s="119" t="str"/>
      <x:c r="E18" s="119" t="str"/>
      <x:c r="F18" s="119" t="str"/>
      <x:c r="G18" s="119" t="str"/>
      <x:c r="H18" s="119" t="str"/>
      <x:c r="I18" s="119" t="str"/>
      <x:c r="J18" s="119" t="str"/>
      <x:c r="K18" s="119" t="str"/>
      <x:c r="L18" s="119" t="str"/>
      <x:c r="M18" s="95"/>
      <x:c r="N18" s="95"/>
    </x:row>
    <x:row r="19">
      <x:c r="A19" s="119" t="str"/>
      <x:c r="B19" s="119" t="str"/>
      <x:c r="C19" s="119" t="str"/>
      <x:c r="D19" s="119" t="str"/>
      <x:c r="E19" s="119" t="str"/>
      <x:c r="F19" s="119" t="str"/>
      <x:c r="G19" s="119" t="str"/>
      <x:c r="H19" s="119" t="str"/>
      <x:c r="I19" s="119" t="str"/>
      <x:c r="J19" s="119" t="str"/>
      <x:c r="K19" s="119" t="str"/>
      <x:c r="L19" s="119" t="str"/>
      <x:c r="M19" s="95"/>
      <x:c r="N19" s="95"/>
    </x:row>
    <x:row r="20">
      <x:c r="A20" s="95"/>
      <x:c r="B20" s="95"/>
      <x:c r="C20" s="95"/>
      <x:c r="D20" s="95"/>
      <x:c r="E20" s="95"/>
      <x:c r="F20" s="95"/>
      <x:c r="G20" s="95"/>
      <x:c r="H20" s="95"/>
      <x:c r="I20" s="95"/>
      <x:c r="J20" s="95"/>
      <x:c r="K20" s="95"/>
      <x:c r="L20" s="95"/>
      <x:c r="M20" s="95"/>
      <x:c r="N20" s="95"/>
    </x:row>
    <x:row r="21">
      <x:c r="A21" s="95"/>
      <x:c r="B21" s="95"/>
      <x:c r="C21" s="95"/>
      <x:c r="D21" s="95"/>
      <x:c r="E21" s="95"/>
      <x:c r="F21" s="95"/>
      <x:c r="G21" s="95"/>
      <x:c r="H21" s="95"/>
      <x:c r="I21" s="95"/>
      <x:c r="J21" s="95"/>
      <x:c r="K21" s="95"/>
      <x:c r="L21" s="95"/>
      <x:c r="M21" s="95"/>
      <x:c r="N21" s="95"/>
    </x:row>
    <x:row r="22">
      <x:c r="A22" s="95"/>
      <x:c r="B22" s="95"/>
      <x:c r="C22" s="95"/>
      <x:c r="D22" s="95"/>
      <x:c r="E22" s="95"/>
      <x:c r="F22" s="95"/>
      <x:c r="G22" s="95"/>
      <x:c r="H22" s="95"/>
      <x:c r="I22" s="95"/>
      <x:c r="J22" s="95"/>
      <x:c r="K22" s="95"/>
      <x:c r="L22" s="95"/>
      <x:c r="M22" s="95"/>
      <x:c r="N22" s="95"/>
    </x:row>
    <x:row r="23">
      <x:c r="A23" s="95"/>
      <x:c r="B23" s="95"/>
      <x:c r="C23" s="95"/>
      <x:c r="D23" s="95"/>
      <x:c r="E23" s="95"/>
      <x:c r="F23" s="95"/>
      <x:c r="G23" s="95"/>
      <x:c r="H23" s="95"/>
      <x:c r="I23" s="95"/>
      <x:c r="J23" s="95"/>
      <x:c r="K23" s="95"/>
      <x:c r="L23" s="95"/>
      <x:c r="M23" s="95"/>
      <x:c r="N23" s="95"/>
    </x:row>
    <x:row r="24">
      <x:c r="A24" s="95"/>
      <x:c r="B24" s="95"/>
      <x:c r="C24" s="95"/>
      <x:c r="D24" s="95"/>
      <x:c r="E24" s="95"/>
      <x:c r="F24" s="95"/>
      <x:c r="G24" s="95"/>
      <x:c r="H24" s="95"/>
      <x:c r="I24" s="95"/>
      <x:c r="J24" s="95"/>
      <x:c r="K24" s="95"/>
      <x:c r="L24" s="95"/>
      <x:c r="M24" s="95"/>
      <x:c r="N24" s="95"/>
    </x:row>
    <x:row r="25">
      <x:c r="A25" s="95"/>
      <x:c r="B25" s="95"/>
      <x:c r="C25" s="95"/>
      <x:c r="D25" s="95"/>
      <x:c r="E25" s="95"/>
      <x:c r="F25" s="95"/>
      <x:c r="G25" s="95"/>
      <x:c r="H25" s="95"/>
      <x:c r="I25" s="95"/>
      <x:c r="J25" s="95"/>
      <x:c r="K25" s="95"/>
      <x:c r="L25" s="95"/>
      <x:c r="M25" s="95"/>
      <x:c r="N25" s="95"/>
    </x:row>
    <x:row r="26">
      <x:c r="A26" s="95"/>
      <x:c r="B26" s="95"/>
      <x:c r="C26" s="95"/>
      <x:c r="D26" s="95"/>
      <x:c r="E26" s="95"/>
      <x:c r="F26" s="95"/>
      <x:c r="G26" s="95"/>
      <x:c r="H26" s="95"/>
      <x:c r="I26" s="95"/>
      <x:c r="J26" s="95"/>
      <x:c r="K26" s="95"/>
      <x:c r="L26" s="95"/>
      <x:c r="M26" s="95"/>
      <x:c r="N26" s="95"/>
    </x:row>
    <x:row r="27">
      <x:c r="A27" s="95"/>
      <x:c r="B27" s="95"/>
      <x:c r="C27" s="95"/>
      <x:c r="D27" s="95"/>
      <x:c r="E27" s="95"/>
      <x:c r="F27" s="95"/>
      <x:c r="G27" s="95"/>
      <x:c r="H27" s="95"/>
      <x:c r="I27" s="95"/>
      <x:c r="J27" s="95"/>
      <x:c r="K27" s="95"/>
      <x:c r="L27" s="95"/>
      <x:c r="M27" s="95"/>
      <x:c r="N27" s="95"/>
    </x:row>
    <x:row r="28">
      <x:c r="A28" s="95"/>
      <x:c r="B28" s="95"/>
      <x:c r="C28" s="95"/>
      <x:c r="D28" s="95"/>
      <x:c r="E28" s="95"/>
      <x:c r="F28" s="95"/>
      <x:c r="G28" s="95"/>
      <x:c r="H28" s="95"/>
      <x:c r="I28" s="95"/>
      <x:c r="J28" s="95"/>
      <x:c r="K28" s="95"/>
      <x:c r="L28" s="95"/>
      <x:c r="M28" s="95"/>
      <x:c r="N28" s="95"/>
    </x:row>
    <x:row r="29">
      <x:c r="A29" s="95"/>
      <x:c r="B29" s="95"/>
      <x:c r="C29" s="95"/>
      <x:c r="D29" s="95"/>
      <x:c r="E29" s="95"/>
      <x:c r="F29" s="95"/>
      <x:c r="G29" s="95"/>
      <x:c r="H29" s="95"/>
      <x:c r="I29" s="95"/>
      <x:c r="J29" s="95"/>
      <x:c r="K29" s="95"/>
      <x:c r="L29" s="95"/>
      <x:c r="M29" s="95"/>
      <x:c r="N29" s="95"/>
    </x:row>
    <x:row r="30">
      <x:c r="A30" s="95"/>
      <x:c r="B30" s="95"/>
      <x:c r="C30" s="95"/>
      <x:c r="D30" s="95"/>
      <x:c r="E30" s="95"/>
      <x:c r="F30" s="95"/>
      <x:c r="G30" s="95"/>
      <x:c r="H30" s="95"/>
      <x:c r="I30" s="95"/>
      <x:c r="J30" s="95"/>
      <x:c r="K30" s="95"/>
      <x:c r="L30" s="95"/>
      <x:c r="M30" s="95"/>
      <x:c r="N30" s="95"/>
    </x:row>
    <x:row r="31">
      <x:c r="A31" s="95"/>
      <x:c r="B31" s="95"/>
      <x:c r="C31" s="95"/>
      <x:c r="D31" s="95"/>
      <x:c r="E31" s="95"/>
      <x:c r="F31" s="95"/>
      <x:c r="G31" s="95"/>
      <x:c r="H31" s="95"/>
      <x:c r="I31" s="95"/>
      <x:c r="J31" s="95"/>
      <x:c r="K31" s="95"/>
      <x:c r="L31" s="95"/>
      <x:c r="M31" s="95"/>
      <x:c r="N31" s="95"/>
    </x:row>
    <x:row r="32">
      <x:c r="A32" s="95"/>
      <x:c r="B32" s="95"/>
      <x:c r="C32" s="95"/>
      <x:c r="D32" s="95"/>
      <x:c r="E32" s="95"/>
      <x:c r="F32" s="95"/>
      <x:c r="G32" s="95"/>
      <x:c r="H32" s="95"/>
      <x:c r="I32" s="95"/>
      <x:c r="J32" s="95"/>
      <x:c r="K32" s="95"/>
      <x:c r="L32" s="95"/>
      <x:c r="M32" s="95"/>
      <x:c r="N32" s="95"/>
    </x:row>
    <x:row r="33">
      <x:c r="A33" s="95"/>
      <x:c r="B33" s="95"/>
      <x:c r="C33" s="95"/>
      <x:c r="D33" s="95"/>
      <x:c r="E33" s="95"/>
      <x:c r="F33" s="95"/>
      <x:c r="G33" s="95"/>
      <x:c r="H33" s="95"/>
      <x:c r="I33" s="95"/>
      <x:c r="J33" s="95"/>
      <x:c r="K33" s="95"/>
      <x:c r="L33" s="95"/>
      <x:c r="M33" s="95"/>
      <x:c r="N33" s="95"/>
    </x:row>
    <x:row r="34">
      <x:c r="A34" s="95"/>
      <x:c r="B34" s="95"/>
      <x:c r="C34" s="95"/>
      <x:c r="D34" s="95"/>
      <x:c r="E34" s="95"/>
      <x:c r="F34" s="95"/>
      <x:c r="G34" s="95"/>
      <x:c r="H34" s="95"/>
      <x:c r="I34" s="95"/>
      <x:c r="J34" s="95"/>
      <x:c r="K34" s="95"/>
      <x:c r="L34" s="95"/>
      <x:c r="M34" s="95"/>
      <x:c r="N34" s="95"/>
    </x:row>
    <x:row r="35">
      <x:c r="A35" s="95"/>
      <x:c r="B35" s="95"/>
      <x:c r="C35" s="95"/>
      <x:c r="D35" s="95"/>
      <x:c r="E35" s="95"/>
      <x:c r="F35" s="95"/>
      <x:c r="G35" s="95"/>
      <x:c r="H35" s="95"/>
      <x:c r="I35" s="95"/>
      <x:c r="J35" s="95"/>
      <x:c r="K35" s="95"/>
      <x:c r="L35" s="95"/>
      <x:c r="M35" s="95"/>
      <x:c r="N35" s="95"/>
    </x:row>
    <x:row r="36">
      <x:c r="A36" s="95"/>
      <x:c r="B36" s="95"/>
      <x:c r="C36" s="95"/>
      <x:c r="D36" s="95"/>
      <x:c r="E36" s="95"/>
      <x:c r="F36" s="95"/>
      <x:c r="G36" s="95"/>
      <x:c r="H36" s="95"/>
      <x:c r="I36" s="95"/>
      <x:c r="J36" s="95"/>
      <x:c r="K36" s="95"/>
      <x:c r="L36" s="95"/>
      <x:c r="M36" s="95"/>
      <x:c r="N36" s="95"/>
    </x:row>
    <x:row r="37">
      <x:c r="A37" s="95"/>
      <x:c r="B37" s="95"/>
      <x:c r="C37" s="95"/>
      <x:c r="D37" s="95"/>
      <x:c r="E37" s="95"/>
      <x:c r="F37" s="95"/>
      <x:c r="G37" s="95"/>
      <x:c r="H37" s="95"/>
      <x:c r="I37" s="95"/>
      <x:c r="J37" s="95"/>
      <x:c r="K37" s="95"/>
      <x:c r="L37" s="95"/>
      <x:c r="M37" s="95"/>
      <x:c r="N37" s="95"/>
    </x:row>
    <x:row r="38">
      <x:c r="A38" s="95"/>
      <x:c r="B38" s="95"/>
      <x:c r="C38" s="95"/>
      <x:c r="D38" s="95"/>
      <x:c r="E38" s="95"/>
      <x:c r="F38" s="95"/>
      <x:c r="G38" s="95"/>
      <x:c r="H38" s="95"/>
      <x:c r="I38" s="95"/>
      <x:c r="J38" s="95"/>
      <x:c r="K38" s="95"/>
      <x:c r="L38" s="95"/>
      <x:c r="M38" s="95"/>
      <x:c r="N38" s="95"/>
    </x:row>
    <x:row r="39">
      <x:c r="A39" s="95"/>
      <x:c r="B39" s="95"/>
      <x:c r="C39" s="95"/>
      <x:c r="D39" s="95"/>
      <x:c r="E39" s="95"/>
      <x:c r="F39" s="95"/>
      <x:c r="G39" s="95"/>
      <x:c r="H39" s="95"/>
      <x:c r="I39" s="95"/>
      <x:c r="J39" s="95"/>
      <x:c r="K39" s="95"/>
      <x:c r="L39" s="95"/>
      <x:c r="M39" s="95"/>
      <x:c r="N39" s="95"/>
    </x:row>
    <x:row r="40">
      <x:c r="A40" s="95"/>
      <x:c r="B40" s="95"/>
      <x:c r="C40" s="95"/>
      <x:c r="D40" s="95"/>
      <x:c r="E40" s="95"/>
      <x:c r="F40" s="95"/>
      <x:c r="G40" s="95"/>
      <x:c r="H40" s="95"/>
      <x:c r="I40" s="95"/>
      <x:c r="J40" s="95"/>
      <x:c r="K40" s="95"/>
      <x:c r="L40" s="95"/>
      <x:c r="M40" s="95"/>
      <x:c r="N40" s="95"/>
    </x:row>
  </x:sheetData>
  <x:mergeCells>
    <x:mergeCell ref="A1:J1"/>
    <x:mergeCell ref="A2:J2"/>
  </x:mergeCells>
  <x:dataValidations count="2">
    <x:dataValidation type="list" sqref="B5:B19">
      <x:formula1>"CURRENT,PROPOSED V2,Other version"</x:formula1>
    </x:dataValidation>
    <x:dataValidation type="list" sqref="E5:E19">
      <x:formula1>"Keep,Mulligan,Borderline,Nonfunctional"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b4cd31b5804429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15" hidden="0" customWidth="1"/>
  </x:cols>
  <x:sheetData>
    <x:row r="1" ht="32" customHeight="1">
      <x:c r="A1" s="124" t="str">
        <x:v>COMO USAR O ARTEFATO</x:v>
      </x:c>
      <x:c r="B1" s="124"/>
      <x:c r="C1" s="124"/>
      <x:c r="D1" s="124"/>
      <x:c r="E1" s="95"/>
      <x:c r="F1" s="95"/>
      <x:c r="G1" s="95"/>
      <x:c r="H1" s="95"/>
      <x:c r="I1" s="95"/>
      <x:c r="J1" s="95"/>
      <x:c r="K1" s="95"/>
      <x:c r="L1" s="95"/>
      <x:c r="M1" s="95"/>
      <x:c r="N1" s="95"/>
    </x:row>
    <x:row r="2" ht="28" customHeight="1">
      <x:c r="A2" s="96" t="str">
        <x:v>Dashboard de decisão e handover do deck Ezio Auditore da Firenze; manter a lista original e propostas rastreáveis.</x:v>
      </x:c>
      <x:c r="B2" s="96"/>
      <x:c r="C2" s="96"/>
      <x:c r="D2" s="96"/>
      <x:c r="E2" s="136"/>
      <x:c r="F2" s="136"/>
      <x:c r="G2" s="136"/>
      <x:c r="H2" s="136"/>
      <x:c r="I2" s="136"/>
      <x:c r="J2" s="136"/>
      <x:c r="K2" s="136"/>
      <x:c r="L2" s="136"/>
      <x:c r="M2" s="136"/>
      <x:c r="N2" s="136"/>
    </x:row>
    <x:row r="3">
      <x:c r="A3" s="95"/>
      <x:c r="B3" s="95"/>
      <x:c r="C3" s="95"/>
      <x:c r="D3" s="95"/>
      <x:c r="E3" s="95"/>
      <x:c r="F3" s="95"/>
      <x:c r="G3" s="95"/>
      <x:c r="H3" s="95"/>
      <x:c r="I3" s="95"/>
      <x:c r="J3" s="95"/>
      <x:c r="K3" s="95"/>
      <x:c r="L3" s="95"/>
      <x:c r="M3" s="95"/>
      <x:c r="N3" s="95"/>
    </x:row>
    <x:row r="4" ht="28" customHeight="1">
      <x:c r="A4" s="132" t="str">
        <x:v>Topic</x:v>
      </x:c>
      <x:c r="B4" s="132" t="str">
        <x:v>Instruction</x:v>
      </x:c>
      <x:c r="C4" s="95"/>
      <x:c r="D4" s="95"/>
      <x:c r="E4" s="95"/>
      <x:c r="F4" s="95"/>
      <x:c r="G4" s="95"/>
      <x:c r="H4" s="95"/>
      <x:c r="I4" s="95"/>
      <x:c r="J4" s="95"/>
      <x:c r="K4" s="95"/>
      <x:c r="L4" s="95"/>
      <x:c r="M4" s="95"/>
      <x:c r="N4" s="95"/>
    </x:row>
    <x:row r="5">
      <x:c r="A5" s="119" t="str">
        <x:v>1. CURRENT</x:v>
      </x:c>
      <x:c r="B5" s="119" t="str">
        <x:v>É a lista exata recebida, preservada como referência. Não editar em cima dela quando testar novas cartas.</x:v>
      </x:c>
      <x:c r="C5" s="95"/>
      <x:c r="D5" s="95"/>
      <x:c r="E5" s="95"/>
      <x:c r="F5" s="95"/>
      <x:c r="G5" s="95"/>
      <x:c r="H5" s="95"/>
      <x:c r="I5" s="95"/>
      <x:c r="J5" s="95"/>
      <x:c r="K5" s="95"/>
      <x:c r="L5" s="95"/>
      <x:c r="M5" s="95"/>
      <x:c r="N5" s="95"/>
    </x:row>
    <x:row r="6">
      <x:c r="A6" s="119" t="str">
        <x:v>2. PROPOSED V2</x:v>
      </x:c>
      <x:c r="B6" s="119" t="str">
        <x:v>A proposta contém 7 entradas e 7 saídas. Não representa compras nem alterações físicas e não é TESTED.</x:v>
      </x:c>
      <x:c r="C6" s="95"/>
      <x:c r="D6" s="95"/>
      <x:c r="E6" s="95"/>
      <x:c r="F6" s="95"/>
      <x:c r="G6" s="95"/>
      <x:c r="H6" s="95"/>
      <x:c r="I6" s="95"/>
      <x:c r="J6" s="95"/>
      <x:c r="K6" s="95"/>
      <x:c r="L6" s="95"/>
      <x:c r="M6" s="95"/>
      <x:c r="N6" s="95"/>
    </x:row>
    <x:row r="7">
      <x:c r="A7" s="119" t="str">
        <x:v>3. Status</x:v>
      </x:c>
      <x:c r="B7" s="119" t="str">
        <x:v>Só marcar ACQUIRED/INCLUDED após confirmação do usuário; só marcar TESTED após partidas com log.</x:v>
      </x:c>
      <x:c r="C7" s="95"/>
      <x:c r="D7" s="95"/>
      <x:c r="E7" s="95"/>
      <x:c r="F7" s="95"/>
      <x:c r="G7" s="95"/>
      <x:c r="H7" s="95"/>
      <x:c r="I7" s="95"/>
      <x:c r="J7" s="95"/>
      <x:c r="K7" s="95"/>
      <x:c r="L7" s="95"/>
      <x:c r="M7" s="95"/>
      <x:c r="N7" s="95"/>
    </x:row>
    <x:row r="8">
      <x:c r="A8" s="119" t="str">
        <x:v>4. Funções 8×8</x:v>
      </x:c>
      <x:c r="B8" s="119" t="str">
        <x:v>Cada carta não-terreno tem um grupo primário para que as quantidades somem exatamente 65. As funções secundárias devem ser registradas nas notas, sem duplicar a contagem física.</x:v>
      </x:c>
      <x:c r="C8" s="95"/>
      <x:c r="D8" s="95"/>
      <x:c r="E8" s="95"/>
      <x:c r="F8" s="95"/>
      <x:c r="G8" s="95"/>
      <x:c r="H8" s="95"/>
      <x:c r="I8" s="95"/>
      <x:c r="J8" s="95"/>
      <x:c r="K8" s="95"/>
      <x:c r="L8" s="95"/>
      <x:c r="M8" s="95"/>
      <x:c r="N8" s="95"/>
    </x:row>
    <x:row r="9">
      <x:c r="A9" s="119" t="str">
        <x:v>5. ACR printings</x:v>
      </x:c>
      <x:c r="B9" s="119" t="str">
        <x:v>ACR flag é baseada no código de edição fornecido. Foil (*F*) e etched (*E*) são metadados, não sinal automático de carta PET.</x:v>
      </x:c>
      <x:c r="C9" s="95"/>
      <x:c r="D9" s="95"/>
      <x:c r="E9" s="95"/>
      <x:c r="F9" s="95"/>
      <x:c r="G9" s="95"/>
      <x:c r="H9" s="95"/>
      <x:c r="I9" s="95"/>
      <x:c r="J9" s="95"/>
      <x:c r="K9" s="95"/>
      <x:c r="L9" s="95"/>
      <x:c r="M9" s="95"/>
      <x:c r="N9" s="95"/>
    </x:row>
    <x:row r="10">
      <x:c r="A10" s="119" t="str">
        <x:v>6. Como testar</x:v>
      </x:c>
      <x:c r="B10" s="119" t="str">
        <x:v>Anotar mãos iniciais, primeiro turno em que o plano funcionou, cartas mortas, conexão de Assassins, cartas compradas por combate e reconstrução depois de remoções/wipes.</x:v>
      </x:c>
      <x:c r="C10" s="95"/>
      <x:c r="D10" s="95"/>
      <x:c r="E10" s="95"/>
      <x:c r="F10" s="95"/>
      <x:c r="G10" s="95"/>
      <x:c r="H10" s="95"/>
      <x:c r="I10" s="95"/>
      <x:c r="J10" s="95"/>
      <x:c r="K10" s="95"/>
      <x:c r="L10" s="95"/>
      <x:c r="M10" s="95"/>
      <x:c r="N10" s="95"/>
    </x:row>
    <x:row r="11">
      <x:c r="A11" s="119" t="str">
        <x:v>7. Meta de qualidade</x:v>
      </x:c>
      <x:c r="B11" s="119" t="str">
        <x:v>Melhorar consistência sem competir com a identidade for-fun. Não incluir infinitos/tutors/staples de forma automática e não julgar a qualidade por quantidade de upgrades.</x:v>
      </x:c>
      <x:c r="C11" s="95"/>
      <x:c r="D11" s="95"/>
      <x:c r="E11" s="95"/>
      <x:c r="F11" s="95"/>
      <x:c r="G11" s="95"/>
      <x:c r="H11" s="95"/>
      <x:c r="I11" s="95"/>
      <x:c r="J11" s="95"/>
      <x:c r="K11" s="95"/>
      <x:c r="L11" s="95"/>
      <x:c r="M11" s="95"/>
      <x:c r="N11" s="95"/>
    </x:row>
    <x:row r="12">
      <x:c r="A12" s="95" t="str">
        <x:v>8. Pendências</x:v>
      </x:c>
      <x:c r="B12" s="95" t="str">
        <x:v>Confirmar preferências PET, se Rest in Peace é carta favorita/metagame call e se o usuário quer preservar 100% da identidade ACR mesmo aceitando 2 staples universais.</x:v>
      </x:c>
      <x:c r="C12" s="95"/>
      <x:c r="D12" s="95"/>
      <x:c r="E12" s="95"/>
      <x:c r="F12" s="95"/>
      <x:c r="G12" s="95"/>
      <x:c r="H12" s="95"/>
      <x:c r="I12" s="95"/>
      <x:c r="J12" s="95"/>
      <x:c r="K12" s="95"/>
      <x:c r="L12" s="95"/>
      <x:c r="M12" s="95"/>
      <x:c r="N12" s="95"/>
    </x:row>
    <x:row r="13">
      <x:c r="A13" s="95"/>
      <x:c r="B13" s="95"/>
      <x:c r="C13" s="95"/>
      <x:c r="D13" s="95"/>
      <x:c r="E13" s="95"/>
      <x:c r="F13" s="95"/>
      <x:c r="G13" s="95"/>
      <x:c r="H13" s="95"/>
      <x:c r="I13" s="95"/>
      <x:c r="J13" s="95"/>
      <x:c r="K13" s="95"/>
      <x:c r="L13" s="95"/>
      <x:c r="M13" s="95"/>
      <x:c r="N13" s="95"/>
    </x:row>
    <x:row r="14">
      <x:c r="A14" s="95"/>
      <x:c r="B14" s="95"/>
      <x:c r="C14" s="95"/>
      <x:c r="D14" s="95"/>
      <x:c r="E14" s="95"/>
      <x:c r="F14" s="95"/>
      <x:c r="G14" s="95"/>
      <x:c r="H14" s="95"/>
      <x:c r="I14" s="95"/>
      <x:c r="J14" s="95"/>
      <x:c r="K14" s="95"/>
      <x:c r="L14" s="95"/>
      <x:c r="M14" s="95"/>
      <x:c r="N14" s="95"/>
    </x:row>
    <x:row r="15">
      <x:c r="A15" s="95"/>
      <x:c r="B15" s="95"/>
      <x:c r="C15" s="95"/>
      <x:c r="D15" s="95"/>
      <x:c r="E15" s="95"/>
      <x:c r="F15" s="95"/>
      <x:c r="G15" s="95"/>
      <x:c r="H15" s="95"/>
      <x:c r="I15" s="95"/>
      <x:c r="J15" s="95"/>
      <x:c r="K15" s="95"/>
      <x:c r="L15" s="95"/>
      <x:c r="M15" s="95"/>
      <x:c r="N15" s="95"/>
    </x:row>
    <x:row r="16">
      <x:c r="A16" s="95"/>
      <x:c r="B16" s="95"/>
      <x:c r="C16" s="95"/>
      <x:c r="D16" s="95"/>
      <x:c r="E16" s="95"/>
      <x:c r="F16" s="95"/>
      <x:c r="G16" s="95"/>
      <x:c r="H16" s="95"/>
      <x:c r="I16" s="95"/>
      <x:c r="J16" s="95"/>
      <x:c r="K16" s="95"/>
      <x:c r="L16" s="95"/>
      <x:c r="M16" s="95"/>
      <x:c r="N16" s="95"/>
    </x:row>
    <x:row r="17">
      <x:c r="A17" s="95"/>
      <x:c r="B17" s="95"/>
      <x:c r="C17" s="95"/>
      <x:c r="D17" s="95"/>
      <x:c r="E17" s="95"/>
      <x:c r="F17" s="95"/>
      <x:c r="G17" s="95"/>
      <x:c r="H17" s="95"/>
      <x:c r="I17" s="95"/>
      <x:c r="J17" s="95"/>
      <x:c r="K17" s="95"/>
      <x:c r="L17" s="95"/>
      <x:c r="M17" s="95"/>
      <x:c r="N17" s="95"/>
    </x:row>
    <x:row r="18">
      <x:c r="A18" s="95"/>
      <x:c r="B18" s="95"/>
      <x:c r="C18" s="95"/>
      <x:c r="D18" s="95"/>
      <x:c r="E18" s="95"/>
      <x:c r="F18" s="95"/>
      <x:c r="G18" s="95"/>
      <x:c r="H18" s="95"/>
      <x:c r="I18" s="95"/>
      <x:c r="J18" s="95"/>
      <x:c r="K18" s="95"/>
      <x:c r="L18" s="95"/>
      <x:c r="M18" s="95"/>
      <x:c r="N18" s="95"/>
    </x:row>
    <x:row r="19">
      <x:c r="A19" s="95"/>
      <x:c r="B19" s="95"/>
      <x:c r="C19" s="95"/>
      <x:c r="D19" s="95"/>
      <x:c r="E19" s="95"/>
      <x:c r="F19" s="95"/>
      <x:c r="G19" s="95"/>
      <x:c r="H19" s="95"/>
      <x:c r="I19" s="95"/>
      <x:c r="J19" s="95"/>
      <x:c r="K19" s="95"/>
      <x:c r="L19" s="95"/>
      <x:c r="M19" s="95"/>
      <x:c r="N19" s="95"/>
    </x:row>
    <x:row r="20">
      <x:c r="A20" s="95"/>
      <x:c r="B20" s="95"/>
      <x:c r="C20" s="95"/>
      <x:c r="D20" s="95"/>
      <x:c r="E20" s="95"/>
      <x:c r="F20" s="95"/>
      <x:c r="G20" s="95"/>
      <x:c r="H20" s="95"/>
      <x:c r="I20" s="95"/>
      <x:c r="J20" s="95"/>
      <x:c r="K20" s="95"/>
      <x:c r="L20" s="95"/>
      <x:c r="M20" s="95"/>
      <x:c r="N20" s="95"/>
    </x:row>
    <x:row r="21">
      <x:c r="A21" s="95"/>
      <x:c r="B21" s="95"/>
      <x:c r="C21" s="95"/>
      <x:c r="D21" s="95"/>
      <x:c r="E21" s="95"/>
      <x:c r="F21" s="95"/>
      <x:c r="G21" s="95"/>
      <x:c r="H21" s="95"/>
      <x:c r="I21" s="95"/>
      <x:c r="J21" s="95"/>
      <x:c r="K21" s="95"/>
      <x:c r="L21" s="95"/>
      <x:c r="M21" s="95"/>
      <x:c r="N21" s="95"/>
    </x:row>
    <x:row r="22">
      <x:c r="A22" s="95"/>
      <x:c r="B22" s="95"/>
      <x:c r="C22" s="95"/>
      <x:c r="D22" s="95"/>
      <x:c r="E22" s="95"/>
      <x:c r="F22" s="95"/>
      <x:c r="G22" s="95"/>
      <x:c r="H22" s="95"/>
      <x:c r="I22" s="95"/>
      <x:c r="J22" s="95"/>
      <x:c r="K22" s="95"/>
      <x:c r="L22" s="95"/>
      <x:c r="M22" s="95"/>
      <x:c r="N22" s="95"/>
    </x:row>
    <x:row r="23">
      <x:c r="A23" s="95"/>
      <x:c r="B23" s="95"/>
      <x:c r="C23" s="95"/>
      <x:c r="D23" s="95"/>
      <x:c r="E23" s="95"/>
      <x:c r="F23" s="95"/>
      <x:c r="G23" s="95"/>
      <x:c r="H23" s="95"/>
      <x:c r="I23" s="95"/>
      <x:c r="J23" s="95"/>
      <x:c r="K23" s="95"/>
      <x:c r="L23" s="95"/>
      <x:c r="M23" s="95"/>
      <x:c r="N23" s="95"/>
    </x:row>
    <x:row r="24">
      <x:c r="A24" s="95"/>
      <x:c r="B24" s="95"/>
      <x:c r="C24" s="95"/>
      <x:c r="D24" s="95"/>
      <x:c r="E24" s="95"/>
      <x:c r="F24" s="95"/>
      <x:c r="G24" s="95"/>
      <x:c r="H24" s="95"/>
      <x:c r="I24" s="95"/>
      <x:c r="J24" s="95"/>
      <x:c r="K24" s="95"/>
      <x:c r="L24" s="95"/>
      <x:c r="M24" s="95"/>
      <x:c r="N24" s="95"/>
    </x:row>
    <x:row r="25">
      <x:c r="A25" s="95"/>
      <x:c r="B25" s="95"/>
      <x:c r="C25" s="95"/>
      <x:c r="D25" s="95"/>
      <x:c r="E25" s="95"/>
      <x:c r="F25" s="95"/>
      <x:c r="G25" s="95"/>
      <x:c r="H25" s="95"/>
      <x:c r="I25" s="95"/>
      <x:c r="J25" s="95"/>
      <x:c r="K25" s="95"/>
      <x:c r="L25" s="95"/>
      <x:c r="M25" s="95"/>
      <x:c r="N25" s="95"/>
    </x:row>
    <x:row r="26">
      <x:c r="A26" s="95"/>
      <x:c r="B26" s="95"/>
      <x:c r="C26" s="95"/>
      <x:c r="D26" s="95"/>
      <x:c r="E26" s="95"/>
      <x:c r="F26" s="95"/>
      <x:c r="G26" s="95"/>
      <x:c r="H26" s="95"/>
      <x:c r="I26" s="95"/>
      <x:c r="J26" s="95"/>
      <x:c r="K26" s="95"/>
      <x:c r="L26" s="95"/>
      <x:c r="M26" s="95"/>
      <x:c r="N26" s="95"/>
    </x:row>
    <x:row r="27">
      <x:c r="A27" s="95"/>
      <x:c r="B27" s="95"/>
      <x:c r="C27" s="95"/>
      <x:c r="D27" s="95"/>
      <x:c r="E27" s="95"/>
      <x:c r="F27" s="95"/>
      <x:c r="G27" s="95"/>
      <x:c r="H27" s="95"/>
      <x:c r="I27" s="95"/>
      <x:c r="J27" s="95"/>
      <x:c r="K27" s="95"/>
      <x:c r="L27" s="95"/>
      <x:c r="M27" s="95"/>
      <x:c r="N27" s="95"/>
    </x:row>
    <x:row r="28">
      <x:c r="A28" s="95"/>
      <x:c r="B28" s="95"/>
      <x:c r="C28" s="95"/>
      <x:c r="D28" s="95"/>
      <x:c r="E28" s="95"/>
      <x:c r="F28" s="95"/>
      <x:c r="G28" s="95"/>
      <x:c r="H28" s="95"/>
      <x:c r="I28" s="95"/>
      <x:c r="J28" s="95"/>
      <x:c r="K28" s="95"/>
      <x:c r="L28" s="95"/>
      <x:c r="M28" s="95"/>
      <x:c r="N28" s="95"/>
    </x:row>
    <x:row r="29">
      <x:c r="A29" s="95"/>
      <x:c r="B29" s="95"/>
      <x:c r="C29" s="95"/>
      <x:c r="D29" s="95"/>
      <x:c r="E29" s="95"/>
      <x:c r="F29" s="95"/>
      <x:c r="G29" s="95"/>
      <x:c r="H29" s="95"/>
      <x:c r="I29" s="95"/>
      <x:c r="J29" s="95"/>
      <x:c r="K29" s="95"/>
      <x:c r="L29" s="95"/>
      <x:c r="M29" s="95"/>
      <x:c r="N29" s="95"/>
    </x:row>
    <x:row r="30">
      <x:c r="A30" s="95"/>
      <x:c r="B30" s="95"/>
      <x:c r="C30" s="95"/>
      <x:c r="D30" s="95"/>
      <x:c r="E30" s="95"/>
      <x:c r="F30" s="95"/>
      <x:c r="G30" s="95"/>
      <x:c r="H30" s="95"/>
      <x:c r="I30" s="95"/>
      <x:c r="J30" s="95"/>
      <x:c r="K30" s="95"/>
      <x:c r="L30" s="95"/>
      <x:c r="M30" s="95"/>
      <x:c r="N30" s="95"/>
    </x:row>
    <x:row r="31">
      <x:c r="A31" s="95"/>
      <x:c r="B31" s="95"/>
      <x:c r="C31" s="95"/>
      <x:c r="D31" s="95"/>
      <x:c r="E31" s="95"/>
      <x:c r="F31" s="95"/>
      <x:c r="G31" s="95"/>
      <x:c r="H31" s="95"/>
      <x:c r="I31" s="95"/>
      <x:c r="J31" s="95"/>
      <x:c r="K31" s="95"/>
      <x:c r="L31" s="95"/>
      <x:c r="M31" s="95"/>
      <x:c r="N31" s="95"/>
    </x:row>
    <x:row r="32">
      <x:c r="A32" s="95"/>
      <x:c r="B32" s="95"/>
      <x:c r="C32" s="95"/>
      <x:c r="D32" s="95"/>
      <x:c r="E32" s="95"/>
      <x:c r="F32" s="95"/>
      <x:c r="G32" s="95"/>
      <x:c r="H32" s="95"/>
      <x:c r="I32" s="95"/>
      <x:c r="J32" s="95"/>
      <x:c r="K32" s="95"/>
      <x:c r="L32" s="95"/>
      <x:c r="M32" s="95"/>
      <x:c r="N32" s="95"/>
    </x:row>
    <x:row r="33">
      <x:c r="A33" s="95"/>
      <x:c r="B33" s="95"/>
      <x:c r="C33" s="95"/>
      <x:c r="D33" s="95"/>
      <x:c r="E33" s="95"/>
      <x:c r="F33" s="95"/>
      <x:c r="G33" s="95"/>
      <x:c r="H33" s="95"/>
      <x:c r="I33" s="95"/>
      <x:c r="J33" s="95"/>
      <x:c r="K33" s="95"/>
      <x:c r="L33" s="95"/>
      <x:c r="M33" s="95"/>
      <x:c r="N33" s="95"/>
    </x:row>
    <x:row r="34">
      <x:c r="A34" s="95"/>
      <x:c r="B34" s="95"/>
      <x:c r="C34" s="95"/>
      <x:c r="D34" s="95"/>
      <x:c r="E34" s="95"/>
      <x:c r="F34" s="95"/>
      <x:c r="G34" s="95"/>
      <x:c r="H34" s="95"/>
      <x:c r="I34" s="95"/>
      <x:c r="J34" s="95"/>
      <x:c r="K34" s="95"/>
      <x:c r="L34" s="95"/>
      <x:c r="M34" s="95"/>
      <x:c r="N34" s="95"/>
    </x:row>
    <x:row r="35">
      <x:c r="A35" s="95"/>
      <x:c r="B35" s="95"/>
      <x:c r="C35" s="95"/>
      <x:c r="D35" s="95"/>
      <x:c r="E35" s="95"/>
      <x:c r="F35" s="95"/>
      <x:c r="G35" s="95"/>
      <x:c r="H35" s="95"/>
      <x:c r="I35" s="95"/>
      <x:c r="J35" s="95"/>
      <x:c r="K35" s="95"/>
      <x:c r="L35" s="95"/>
      <x:c r="M35" s="95"/>
      <x:c r="N35" s="95"/>
    </x:row>
    <x:row r="36">
      <x:c r="A36" s="95"/>
      <x:c r="B36" s="95"/>
      <x:c r="C36" s="95"/>
      <x:c r="D36" s="95"/>
      <x:c r="E36" s="95"/>
      <x:c r="F36" s="95"/>
      <x:c r="G36" s="95"/>
      <x:c r="H36" s="95"/>
      <x:c r="I36" s="95"/>
      <x:c r="J36" s="95"/>
      <x:c r="K36" s="95"/>
      <x:c r="L36" s="95"/>
      <x:c r="M36" s="95"/>
      <x:c r="N36" s="95"/>
    </x:row>
    <x:row r="37">
      <x:c r="A37" s="95"/>
      <x:c r="B37" s="95"/>
      <x:c r="C37" s="95"/>
      <x:c r="D37" s="95"/>
      <x:c r="E37" s="95"/>
      <x:c r="F37" s="95"/>
      <x:c r="G37" s="95"/>
      <x:c r="H37" s="95"/>
      <x:c r="I37" s="95"/>
      <x:c r="J37" s="95"/>
      <x:c r="K37" s="95"/>
      <x:c r="L37" s="95"/>
      <x:c r="M37" s="95"/>
      <x:c r="N37" s="95"/>
    </x:row>
    <x:row r="38">
      <x:c r="A38" s="95"/>
      <x:c r="B38" s="95"/>
      <x:c r="C38" s="95"/>
      <x:c r="D38" s="95"/>
      <x:c r="E38" s="95"/>
      <x:c r="F38" s="95"/>
      <x:c r="G38" s="95"/>
      <x:c r="H38" s="95"/>
      <x:c r="I38" s="95"/>
      <x:c r="J38" s="95"/>
      <x:c r="K38" s="95"/>
      <x:c r="L38" s="95"/>
      <x:c r="M38" s="95"/>
      <x:c r="N38" s="95"/>
    </x:row>
    <x:row r="39">
      <x:c r="A39" s="95"/>
      <x:c r="B39" s="95"/>
      <x:c r="C39" s="95"/>
      <x:c r="D39" s="95"/>
      <x:c r="E39" s="95"/>
      <x:c r="F39" s="95"/>
      <x:c r="G39" s="95"/>
      <x:c r="H39" s="95"/>
      <x:c r="I39" s="95"/>
      <x:c r="J39" s="95"/>
      <x:c r="K39" s="95"/>
      <x:c r="L39" s="95"/>
      <x:c r="M39" s="95"/>
      <x:c r="N39" s="95"/>
    </x:row>
    <x:row r="40">
      <x:c r="A40" s="95"/>
      <x:c r="B40" s="95"/>
      <x:c r="C40" s="95"/>
      <x:c r="D40" s="95"/>
      <x:c r="E40" s="95"/>
      <x:c r="F40" s="95"/>
      <x:c r="G40" s="95"/>
      <x:c r="H40" s="95"/>
      <x:c r="I40" s="95"/>
      <x:c r="J40" s="95"/>
      <x:c r="K40" s="95"/>
      <x:c r="L40" s="95"/>
      <x:c r="M40" s="95"/>
      <x:c r="N40" s="95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a47a541637c433e"/>
  </x:tableParts>
</x:worksheet>
</file>