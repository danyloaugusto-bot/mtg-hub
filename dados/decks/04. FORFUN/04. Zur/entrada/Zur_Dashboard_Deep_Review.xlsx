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b3b30f296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5c4c7f3b574c1d"/>
    <x:sheet xmlns:r="http://schemas.openxmlformats.org/officeDocument/2006/relationships" name="CURRENT List" sheetId="2" r:id="Rcaa8003e17e24d3f"/>
    <x:sheet xmlns:r="http://schemas.openxmlformats.org/officeDocument/2006/relationships" name="PROPOSED V3" sheetId="3" r:id="R6a79729e30304ea8"/>
    <x:sheet xmlns:r="http://schemas.openxmlformats.org/officeDocument/2006/relationships" name="Upgrade Matrix" sheetId="4" r:id="R1ef6cffe2c404a3d"/>
    <x:sheet xmlns:r="http://schemas.openxmlformats.org/officeDocument/2006/relationships" name="Card Matrix" sheetId="5" r:id="R4ff4a96f7aa34981"/>
    <x:sheet xmlns:r="http://schemas.openxmlformats.org/officeDocument/2006/relationships" name="8x8 Groups" sheetId="6" r:id="R73b288717eb04aa9"/>
    <x:sheet xmlns:r="http://schemas.openxmlformats.org/officeDocument/2006/relationships" name="Structural Audit" sheetId="7" r:id="R58249786f05845ea"/>
    <x:sheet xmlns:r="http://schemas.openxmlformats.org/officeDocument/2006/relationships" name="Tier List" sheetId="8" r:id="R3d57ac982aad4e92"/>
    <x:sheet xmlns:r="http://schemas.openxmlformats.org/officeDocument/2006/relationships" name="Watchlist" sheetId="9" r:id="Red91a212c2d241a8"/>
    <x:sheet xmlns:r="http://schemas.openxmlformats.org/officeDocument/2006/relationships" name="Sources &amp; Rules" sheetId="10" r:id="Raa51205de2d749da"/>
    <x:sheet xmlns:r="http://schemas.openxmlformats.org/officeDocument/2006/relationships" name="Playtest Log" sheetId="11" r:id="R635f9b2ad4284acd"/>
    <x:sheet xmlns:r="http://schemas.openxmlformats.org/officeDocument/2006/relationships" name="Control Panel" sheetId="12" r:id="R65c1a12d9354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6365B"/>
      <x:name val="Carlito"/>
    </x:font>
    <x:font>
      <x:b/>
      <x:sz val="10"/>
      <x:color rgb="FFFFFFFF"/>
      <x:name val="Carlito"/>
    </x:font>
    <x:font>
      <x:b/>
      <x:sz val="11"/>
      <x:color rgb="FF18213A"/>
      <x:name val="Carlito"/>
    </x:font>
    <x:font>
      <x:b/>
      <x:sz val="11"/>
      <x:color rgb="FFFFFFFF"/>
      <x:name val="Carlito"/>
    </x:font>
    <x:font>
      <x:b/>
      <x:sz val="22"/>
      <x:color rgb="FF18213A"/>
      <x:name val="Carlito"/>
    </x:font>
    <x:font>
      <x:sz val="11"/>
      <x:color rgb="FF26365B"/>
      <x:name val="Carlito"/>
    </x:font>
    <x:font>
      <x:b/>
      <x:sz val="11"/>
      <x:color rgb="FF26365B"/>
      <x:name val="Carlito"/>
    </x:font>
    <x:font>
      <x:b/>
      <x:sz val="11"/>
      <x:color rgb="FF0F766E"/>
      <x:name val="Carlito"/>
    </x:font>
    <x:font>
      <x:sz val="10"/>
      <x:color rgb="FF26365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213A"/>
      </x:patternFill>
    </x:fill>
    <x:fill>
      <x:patternFill patternType="solid">
        <x:fgColor rgb="FFE8EEF9"/>
      </x:patternFill>
    </x:fill>
    <x:fill>
      <x:patternFill patternType="solid">
        <x:fgColor rgb="FF0F766E"/>
      </x:patternFill>
    </x:fill>
    <x:fill>
      <x:patternFill patternType="solid">
        <x:fgColor rgb="FF26365B"/>
      </x:patternFill>
    </x:fill>
    <x:fill>
      <x:patternFill patternType="solid">
        <x:fgColor rgb="FFF3F6FA"/>
      </x:patternFill>
    </x:fill>
    <x:fill>
      <x:patternFill patternType="solid">
        <x:fgColor rgb="FF6D28D9"/>
      </x:patternFill>
    </x:fill>
    <x:fill>
      <x:patternFill patternType="solid">
        <x:fgColor rgb="FFD97706"/>
      </x:patternFill>
    </x:fill>
    <x:fill>
      <x:patternFill patternType="solid">
        <x:fgColor rgb="FFDFF3F0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75a9e940d4759" /><Relationship Type="http://schemas.openxmlformats.org/officeDocument/2006/relationships/theme" Target="/xl/theme/theme1.xml" Id="R372457231cb94809" /><Relationship Type="http://schemas.openxmlformats.org/officeDocument/2006/relationships/sharedStrings" Target="/xl/sharedStrings.xml" Id="R1153aac5c3f34d77" /><Relationship Type="http://schemas.openxmlformats.org/officeDocument/2006/relationships/worksheet" Target="/xl/worksheets/sheet1.xml" Id="Ra15c4c7f3b574c1d" /><Relationship Type="http://schemas.openxmlformats.org/officeDocument/2006/relationships/worksheet" Target="/xl/worksheets/sheet2.xml" Id="Rcaa8003e17e24d3f" /><Relationship Type="http://schemas.openxmlformats.org/officeDocument/2006/relationships/worksheet" Target="/xl/worksheets/sheet3.xml" Id="R6a79729e30304ea8" /><Relationship Type="http://schemas.openxmlformats.org/officeDocument/2006/relationships/worksheet" Target="/xl/worksheets/sheet4.xml" Id="R1ef6cffe2c404a3d" /><Relationship Type="http://schemas.openxmlformats.org/officeDocument/2006/relationships/worksheet" Target="/xl/worksheets/sheet5.xml" Id="R4ff4a96f7aa34981" /><Relationship Type="http://schemas.openxmlformats.org/officeDocument/2006/relationships/worksheet" Target="/xl/worksheets/sheet6.xml" Id="R73b288717eb04aa9" /><Relationship Type="http://schemas.openxmlformats.org/officeDocument/2006/relationships/worksheet" Target="/xl/worksheets/sheet7.xml" Id="R58249786f05845ea" /><Relationship Type="http://schemas.openxmlformats.org/officeDocument/2006/relationships/worksheet" Target="/xl/worksheets/sheet8.xml" Id="R3d57ac982aad4e92" /><Relationship Type="http://schemas.openxmlformats.org/officeDocument/2006/relationships/worksheet" Target="/xl/worksheets/sheet9.xml" Id="Red91a212c2d241a8" /><Relationship Type="http://schemas.openxmlformats.org/officeDocument/2006/relationships/worksheet" Target="/xl/worksheets/sheet10.xml" Id="Raa51205de2d749da" /><Relationship Type="http://schemas.openxmlformats.org/officeDocument/2006/relationships/worksheet" Target="/xl/worksheets/sheet11.xml" Id="R635f9b2ad4284acd" /><Relationship Type="http://schemas.openxmlformats.org/officeDocument/2006/relationships/worksheet" Target="/xl/worksheets/sheet12.xml" Id="R65c1a12d93544d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0ec42dcd2144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por grupo funcional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CURRENT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PROPOSED V3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'Dashboard'!$C$15:$C$22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0ec42dcd2144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DeckTable" displayName="CurrentDeckTable" ref="A4:H84" headerRowCount="1" totalsRowCount="0" totalsRowShown="0">
  <x:tableColumns count="8">
    <x:tableColumn id="1" name="Qtd."/>
    <x:tableColumn id="2" name="Carta"/>
    <x:tableColumn id="3" name="Tipo (referência)"/>
    <x:tableColumn id="4" name="MV"/>
    <x:tableColumn id="5" name="Grupo primário"/>
    <x:tableColumn id="6" name="Zur pode buscar?"/>
    <x:tableColumn id="7" name="Estado"/>
    <x:tableColumn id="8" name="Impressão / acaba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osedV3Table" displayName="ProposedV3Table" ref="A4:H84" headerRowCount="1" totalsRowCount="0" totalsRowShown="0">
  <x:tableColumns count="8">
    <x:tableColumn id="1" name="Qtd."/>
    <x:tableColumn id="2" name="Carta"/>
    <x:tableColumn id="3" name="Tipo (referência)"/>
    <x:tableColumn id="4" name="MV"/>
    <x:tableColumn id="5" name="Grupo primário"/>
    <x:tableColumn id="6" name="Zur pode buscar?"/>
    <x:tableColumn id="7" name="Estado"/>
    <x:tableColumn id="8" name="Impressão /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pgradeMatrixTable" displayName="UpgradeMatrixTable" ref="A4:J26" headerRowCount="1" totalsRowCount="0" totalsRowShown="0">
  <x:tableColumns count="10">
    <x:tableColumn id="1" name="OUT / ajuste"/>
    <x:tableColumn id="2" name="IN / ajuste"/>
    <x:tableColumn id="3" name="Prioridade"/>
    <x:tableColumn id="4" name="Confiança"/>
    <x:tableColumn id="5" name="Problema observado"/>
    <x:tableColumn id="6" name="Benefício esperado"/>
    <x:tableColumn id="7" name="Custo / risco"/>
    <x:tableColumn id="8" name="Estado"/>
    <x:tableColumn id="9" name="Fonte / texto de referência"/>
    <x:tableColumn id="10" name="Validação em jog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dMatrixTable" displayName="CardMatrixTable" ref="A4:K105" headerRowCount="1" totalsRowCount="0" totalsRowShown="0">
  <x:tableColumns count="11">
    <x:tableColumn id="1" name="Carta"/>
    <x:tableColumn id="2" name="Qtd CURRENT"/>
    <x:tableColumn id="3" name="Qtd PROPOSED"/>
    <x:tableColumn id="4" name="Delta"/>
    <x:tableColumn id="5" name="Tipo (referência)"/>
    <x:tableColumn id="6" name="MV"/>
    <x:tableColumn id="7" name="Grupo CURRENT"/>
    <x:tableColumn id="8" name="Grupo PROPOSED"/>
    <x:tableColumn id="9" name="Alvo de Zur CURRENT?"/>
    <x:tableColumn id="10" name="Alvo de Zur PROPOSED?"/>
    <x:tableColumn id="11" name="Nota de encaixe / risc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nctionalGroupsTable" displayName="FunctionalGroupsTable" ref="A4:F12" headerRowCount="1" totalsRowCount="0" totalsRowShown="0">
  <x:tableColumns count="6">
    <x:tableColumn id="1" name="Grupo"/>
    <x:tableColumn id="2" name="Qtd CURRENT"/>
    <x:tableColumn id="3" name="Qtd V3"/>
    <x:tableColumn id="4" name="Delta"/>
    <x:tableColumn id="5" name="Diagnóstico da mudança"/>
    <x:tableColumn id="6" name="Critério de análi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ucturalAuditTable" displayName="StructuralAuditTable" ref="A4:F11" headerRowCount="1" totalsRowCount="0" totalsRowShown="0">
  <x:tableColumns count="6">
    <x:tableColumn id="1" name="Métrica"/>
    <x:tableColumn id="2" name="CURRENT"/>
    <x:tableColumn id="3" name="PROPOSED V3"/>
    <x:tableColumn id="4" name="Delta"/>
    <x:tableColumn id="5" name="Leitura"/>
    <x:tableColumn id="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ierListTable" displayName="TierListTable" ref="A4:F22" headerRowCount="1" totalsRowCount="0" totalsRowShown="0">
  <x:tableColumns count="6">
    <x:tableColumn id="1" name="Tier"/>
    <x:tableColumn id="2" name="Carta / grupo"/>
    <x:tableColumn id="3" name="Estado"/>
    <x:tableColumn id="4" name="Papel nesta lista"/>
    <x:tableColumn id="5" name="Justificativa"/>
    <x:tableColumn id="6" name="Risco / argumento contr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listTable" displayName="WatchlistTable" ref="A4:G15" headerRowCount="1" totalsRowCount="0" totalsRowShown="0">
  <x:tableColumns count="7">
    <x:tableColumn id="1" name="Carta"/>
    <x:tableColumn id="2" name="Função"/>
    <x:tableColumn id="3" name="Prioridade potencial"/>
    <x:tableColumn id="4" name="Pode ser buscada por Zur?"/>
    <x:tableColumn id="5" name="Por que investigar"/>
    <x:tableColumn id="6" name="Principal custo/risco"/>
    <x:tableColumn id="7" name="Fo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4:D17" headerRowCount="1" totalsRowCount="0" totalsRowShown="0">
  <x:tableColumns count="4">
    <x:tableColumn id="1" name="Fonte"/>
    <x:tableColumn id="2" name="URL"/>
    <x:tableColumn id="3" name="Uso nesta revisão"/>
    <x:tableColumn id="4" name="Limitação / interpretaçã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SourcesExtraTable" displayName="SourcesExtraTable" ref="A18:D20" headerRowCount="1" totalsRowCount="0" totalsRowShown="0">
  <x:tableColumns count="4">
    <x:tableColumn id="1" name="EDHREC — Zur Control"/>
    <x:tableColumn id="2" name="https://edhrec.com/commanders/zur-the-enchanter/control"/>
    <x:tableColumn id="3" name="Benchmark de controle"/>
    <x:tableColumn id="4" name="Snapshot consultado em outubro de 2026; uso agregado em listas categorizadas como Control, não prescrição individual.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PlaytestLogTable" displayName="PlaytestLogTable" ref="A4:M24" headerRowCount="1" totalsRowCount="0" totalsRowShown="0">
  <x:tableColumns count="13">
    <x:tableColumn id="1" name="Data"/>
    <x:tableColumn id="2" name="Versão"/>
    <x:tableColumn id="3" name="Jogadores"/>
    <x:tableColumn id="4" name="Posição"/>
    <x:tableColumn id="5" name="Resultado"/>
    <x:tableColumn id="6" name="Duração (min)"/>
    <x:tableColumn id="7" name="Mão inicial"/>
    <x:tableColumn id="8" name="Turno do plano"/>
    <x:tableColumn id="9" name="Cartas-chave"/>
    <x:tableColumn id="10" name="Cartas mortas"/>
    <x:tableColumn id="11" name="Interação faltante"/>
    <x:tableColumn id="12" name="Recuperou após wipe?"/>
    <x:tableColumn id="13" name="Notas / decisã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ControlPanelTable" displayName="ControlPanelTable" ref="A4:F12" headerRowCount="1" totalsRowCount="0" totalsRowShown="0">
  <x:tableColumns count="6">
    <x:tableColumn id="1" name="Item"/>
    <x:tableColumn id="2" name="Estado atual"/>
    <x:tableColumn id="3" name="Regra de continuidade"/>
    <x:tableColumn id="4" name="Responsável pela próxima ação"/>
    <x:tableColumn id="5" name="Status"/>
    <x:tableColumn id="6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0c7b8d767e4c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2463bfbd45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968060e65241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9d8ae216b34b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28a0ee44f4b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025040fcbe47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1daff3aa804f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86a4179b6c41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50f9b791ae40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afea4d9dd4745e8" /><Relationship Type="http://schemas.openxmlformats.org/officeDocument/2006/relationships/table" Target="/xl/tables/table10.xml" Id="Rc0a962c13ba74d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8f98706080d47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d03b0187d7e4a61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5" t="str">
        <x:v>ZUR THE ENCHANTER — POLITICAL CONTROL | DEEP REVIEW V3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Alta potência casual com política real: toolbox de encantamentos, interação de pilha e combate negociável. V3 é uma hipótese de construção, ainda sem playtests.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23" customHeight="1">
      <x:c r="A4" s="42" t="str">
        <x:v>CURRENT — cartas</x:v>
      </x:c>
      <x:c r="B4" s="42"/>
      <x:c r="D4" s="55" t="str">
        <x:v>PROPOSED V3 — cartas</x:v>
      </x:c>
      <x:c r="E4" s="55"/>
      <x:c r="G4" s="61" t="str">
        <x:v>Terrenos físicos</x:v>
      </x:c>
      <x:c r="H4" s="61"/>
      <x:c r="J4" s="69" t="str">
        <x:v>Alvos de Zur (MV≤3)</x:v>
      </x:c>
      <x:c r="K4" s="69"/>
    </x:row>
    <x:row r="5">
      <x:c r="A5" s="49" t="n">
        <x:f>SUM('CURRENT List'!$A$5:$A$84)</x:f>
        <x:v>100</x:v>
      </x:c>
      <x:c r="B5" s="49"/>
      <x:c r="D5" s="49" t="n">
        <x:f>SUM('PROPOSED V3'!$A$5:$A$84)</x:f>
        <x:v>100</x:v>
      </x:c>
      <x:c r="E5" s="49"/>
      <x:c r="G5" s="49" t="n">
        <x:f>SUMIF('PROPOSED V3'!$E$5:$E$84,"Land",'PROPOSED V3'!$A$5:$A$84)</x:f>
        <x:v>33</x:v>
      </x:c>
      <x:c r="H5" s="49"/>
      <x:c r="J5" s="49" t="n">
        <x:f>SUMIF('PROPOSED V3'!$F$5:$F$84,"Yes",'PROPOSED V3'!$A$5:$A$84)</x:f>
        <x:v>31</x:v>
      </x:c>
      <x:c r="K5" s="49"/>
    </x:row>
    <x:row r="6">
      <x:c r="A6" s="49"/>
      <x:c r="B6" s="49"/>
      <x:c r="D6" s="49"/>
      <x:c r="E6" s="49"/>
      <x:c r="G6" s="49"/>
      <x:c r="H6" s="49"/>
      <x:c r="J6" s="49"/>
      <x:c r="K6" s="49"/>
    </x:row>
    <x:row r="8" ht="23" customHeight="1">
      <x:c r="A8" s="37" t="str">
        <x:v>TESE ESTRATÉGICA</x:v>
      </x:c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</x:row>
    <x:row r="9">
      <x:c r="A9" s="77" t="str">
        <x:v>Zur transforma ataques em decisões de toolbox: buscar tax/pillowfort quando precisa comprar tempo; Grasp of Fate/Darksteel Mutation/Imprisoned in the Moon para ameaças; Vanishing para proteger o motor; Duelist's Heritage e Curses para negociar o combate. O objetivo não é hard lock: é controlar seletivamente, criar escolhas e ainda ter como encerrar partidas.</x:v>
      </x:c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</x:row>
    <x:row r="10">
      <x:c r="A10" s="77"/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</x:row>
    <x:row r="12" ht="26" customHeight="1">
      <x:c r="A12" s="83" t="str">
        <x:v>CURRENT: 6,4/10 (estimativa)</x:v>
      </x:c>
      <x:c r="B12" s="83"/>
      <x:c r="C12" s="83"/>
      <x:c r="D12" s="87" t="str">
        <x:v>PROPOSED V3: 8,5/10 (projeção)</x:v>
      </x:c>
      <x:c r="E12" s="87"/>
      <x:c r="F12" s="87"/>
      <x:c r="G12" s="93" t="str">
        <x:v>Contexto: Commander casual de alto poder / política; não cEDH, sem combo obrigatório. Nenhuma partida registrada.</x:v>
      </x:c>
      <x:c r="H12" s="93"/>
      <x:c r="I12" s="93"/>
      <x:c r="J12" s="93"/>
      <x:c r="K12" s="93"/>
      <x:c r="L12" s="93"/>
      <x:c r="M12" s="93"/>
      <x:c r="N12" s="93"/>
    </x:row>
    <x:row r="14" ht="30" customHeight="1">
      <x:c r="A14" s="22" t="str">
        <x:v>Grupo funcional</x:v>
      </x:c>
      <x:c r="B14" s="22" t="str">
        <x:v>CURRENT</x:v>
      </x:c>
      <x:c r="C14" s="22" t="str">
        <x:v>PROPOSED V3</x:v>
      </x:c>
    </x:row>
    <x:row r="15">
      <x:c r="A15" s="28" t="str">
        <x:f>'8x8 Groups'!A5</x:f>
        <x:v>1. Ramp + fixing</x:v>
      </x:c>
      <x:c r="B15" s="28" t="n">
        <x:f>'8x8 Groups'!B5</x:f>
        <x:v>10</x:v>
      </x:c>
      <x:c r="C15" s="28" t="n">
        <x:f>'8x8 Groups'!C5</x:f>
        <x:v>10</x:v>
      </x:c>
    </x:row>
    <x:row r="16">
      <x:c r="A16" s="28" t="str">
        <x:f>'8x8 Groups'!A6</x:f>
        <x:v>2. Draw + selection</x:v>
      </x:c>
      <x:c r="B16" s="28" t="n">
        <x:f>'8x8 Groups'!B6</x:f>
        <x:v>13</x:v>
      </x:c>
      <x:c r="C16" s="28" t="n">
        <x:f>'8x8 Groups'!C6</x:f>
        <x:v>13</x:v>
      </x:c>
    </x:row>
    <x:row r="17">
      <x:c r="A17" s="28" t="str">
        <x:f>'8x8 Groups'!A7</x:f>
        <x:v>3. Interaction — non-enchantment</x:v>
      </x:c>
      <x:c r="B17" s="28" t="n">
        <x:f>'8x8 Groups'!B7</x:f>
        <x:v>12</x:v>
      </x:c>
      <x:c r="C17" s="28" t="n">
        <x:f>'8x8 Groups'!C7</x:f>
        <x:v>12</x:v>
      </x:c>
    </x:row>
    <x:row r="18">
      <x:c r="A18" s="28" t="str">
        <x:f>'8x8 Groups'!A8</x:f>
        <x:v>4. Enchantment toolbox / removal</x:v>
      </x:c>
      <x:c r="B18" s="28" t="n">
        <x:f>'8x8 Groups'!B8</x:f>
        <x:v>6</x:v>
      </x:c>
      <x:c r="C18" s="28" t="n">
        <x:f>'8x8 Groups'!C8</x:f>
        <x:v>6</x:v>
      </x:c>
    </x:row>
    <x:row r="19">
      <x:c r="A19" s="28" t="str">
        <x:f>'8x8 Groups'!A9</x:f>
        <x:v>5. Tax + pillowfort</x:v>
      </x:c>
      <x:c r="B19" s="28" t="n">
        <x:f>'8x8 Groups'!B9</x:f>
        <x:v>6</x:v>
      </x:c>
      <x:c r="C19" s="28" t="n">
        <x:f>'8x8 Groups'!C9</x:f>
        <x:v>4</x:v>
      </x:c>
    </x:row>
    <x:row r="20">
      <x:c r="A20" s="28" t="str">
        <x:f>'8x8 Groups'!A10</x:f>
        <x:v>6. Protection + recursion</x:v>
      </x:c>
      <x:c r="B20" s="28" t="n">
        <x:f>'8x8 Groups'!B10</x:f>
        <x:v>9</x:v>
      </x:c>
      <x:c r="C20" s="28" t="n">
        <x:f>'8x8 Groups'!C10</x:f>
        <x:v>9</x:v>
      </x:c>
    </x:row>
    <x:row r="21">
      <x:c r="A21" s="28" t="str">
        <x:f>'8x8 Groups'!A11</x:f>
        <x:v>7. Politics + combat manipulation</x:v>
      </x:c>
      <x:c r="B21" s="28" t="n">
        <x:f>'8x8 Groups'!B11</x:f>
        <x:v>3</x:v>
      </x:c>
      <x:c r="C21" s="28" t="n">
        <x:f>'8x8 Groups'!C11</x:f>
        <x:v>5</x:v>
      </x:c>
    </x:row>
    <x:row r="22">
      <x:c r="A22" s="28" t="str">
        <x:f>'8x8 Groups'!A12</x:f>
        <x:v>8. Synergy + wincons</x:v>
      </x:c>
      <x:c r="B22" s="28" t="n">
        <x:f>'8x8 Groups'!B12</x:f>
        <x:v>7</x:v>
      </x:c>
      <x:c r="C22" s="28" t="n">
        <x:f>'8x8 Groups'!C12</x:f>
        <x:v>7</x:v>
      </x:c>
    </x:row>
    <x:row r="24" ht="22" customHeight="1">
      <x:c r="A24" s="37" t="str">
        <x:v>O QUE MUDA NA V3</x:v>
      </x:c>
      <x:c r="B24" s="37"/>
      <x:c r="C24" s="37"/>
    </x:row>
    <x:row r="25">
      <x:c r="A25" s="99" t="str">
        <x:v>01 · Ramp</x:v>
      </x:c>
      <x:c r="B25" s="103" t="str">
        <x:v>Dois lockets de 3 mana + Prism viram dois Talismans + Fellwar Stone.</x:v>
      </x:c>
      <x:c r="C25" s="103"/>
    </x:row>
    <x:row r="26">
      <x:c r="A26" s="99" t="str">
        <x:v>02 · Respostas</x:v>
      </x:c>
      <x:c r="B26" s="103" t="str">
        <x:v>7 resets/locks de criaturas caem para 3; entram Swords + três counters.</x:v>
      </x:c>
      <x:c r="C26" s="103"/>
    </x:row>
    <x:row r="27">
      <x:c r="A27" s="99" t="str">
        <x:v>03 · Engines</x:v>
      </x:c>
      <x:c r="B27" s="103" t="str">
        <x:v>Mystic Remora, Rhystic Study e Necropotence elevam o teto de cartas — também o threat.</x:v>
      </x:c>
      <x:c r="C27" s="103"/>
    </x:row>
    <x:row r="28">
      <x:c r="A28" s="99" t="str">
        <x:v>04 · Política</x:v>
      </x:c>
      <x:c r="B28" s="103" t="str">
        <x:v>Duelist's Heritage, Curse of Disturbance e Curse of Verbosity oferecem incentivos reais.</x:v>
      </x:c>
      <x:c r="C28" s="103"/>
    </x:row>
    <x:row r="29">
      <x:c r="A29" s="99" t="str">
        <x:v>05 · Mana</x:v>
      </x:c>
      <x:c r="B29" s="103" t="str">
        <x:v>Rebalanceamento de básicos e três terrenos para reduzir tempo perdido e sustentar custos pretos.</x:v>
      </x:c>
      <x:c r="C29" s="103"/>
    </x:row>
    <x:row r="31" ht="22" customHeight="1">
      <x:c r="E31" s="37" t="str">
        <x:v>PRINCIPAIS RISCOS A VALIDAR</x:v>
      </x:c>
      <x:c r="F31" s="37"/>
      <x:c r="G31" s="37"/>
      <x:c r="H31" s="37"/>
      <x:c r="I31" s="37"/>
      <x:c r="J31" s="37"/>
      <x:c r="K31" s="37"/>
      <x:c r="L31" s="37"/>
      <x:c r="M31" s="37"/>
      <x:c r="N31" s="37"/>
    </x:row>
    <x:row r="32">
      <x:c r="E32" s="108" t="str">
        <x:v>1) Necropotence é o maior upgrade de consistência, mas aumenta ameaça e pula sua etapa de compra.  2) Três pillowforts combinados (Ghostly Prison, Propaganda, Crawlspace) ainda podem deixar de convidar a mesa à interação.  3) A V3 tem menos resets: testar se três bastam sem perder capacidade de recuperação.  4) A lista continua sem combo obrigatório: a potência vem de eficiência, engines e toolbox — não de um lock infinito.</x:v>
      </x:c>
      <x:c r="F32" s="108"/>
      <x:c r="G32" s="108"/>
      <x:c r="H32" s="108"/>
      <x:c r="I32" s="108"/>
      <x:c r="J32" s="108"/>
      <x:c r="K32" s="108"/>
      <x:c r="L32" s="108"/>
      <x:c r="M32" s="108"/>
      <x:c r="N32" s="108"/>
    </x:row>
    <x:row r="33">
      <x:c r="E33" s="108"/>
      <x:c r="F33" s="108"/>
      <x:c r="G33" s="108"/>
      <x:c r="H33" s="108"/>
      <x:c r="I33" s="108"/>
      <x:c r="J33" s="108"/>
      <x:c r="K33" s="108"/>
      <x:c r="L33" s="108"/>
      <x:c r="M33" s="108"/>
      <x:c r="N33" s="108"/>
    </x:row>
    <x:row r="34">
      <x:c r="E34" s="108"/>
      <x:c r="F34" s="108"/>
      <x:c r="G34" s="108"/>
      <x:c r="H34" s="108"/>
      <x:c r="I34" s="108"/>
      <x:c r="J34" s="108"/>
      <x:c r="K34" s="108"/>
      <x:c r="L34" s="108"/>
      <x:c r="M34" s="108"/>
      <x:c r="N34" s="108"/>
    </x:row>
  </x:sheetData>
  <x:mergeCells>
    <x:mergeCell ref="A1:N1"/>
    <x:mergeCell ref="A2:N2"/>
    <x:mergeCell ref="A4:B4"/>
    <x:mergeCell ref="A5:B6"/>
    <x:mergeCell ref="D4:E4"/>
    <x:mergeCell ref="D5:E6"/>
    <x:mergeCell ref="G4:H4"/>
    <x:mergeCell ref="G5:H6"/>
    <x:mergeCell ref="J4:K4"/>
    <x:mergeCell ref="J5:K6"/>
    <x:mergeCell ref="A8:N8"/>
    <x:mergeCell ref="A9:N10"/>
    <x:mergeCell ref="A12:C12"/>
    <x:mergeCell ref="D12:F12"/>
    <x:mergeCell ref="G12:N12"/>
    <x:mergeCell ref="A24:C24"/>
    <x:mergeCell ref="B25:C25"/>
    <x:mergeCell ref="B26:C26"/>
    <x:mergeCell ref="B27:C27"/>
    <x:mergeCell ref="B28:C28"/>
    <x:mergeCell ref="B29:C29"/>
    <x:mergeCell ref="E31:N31"/>
    <x:mergeCell ref="E32:N34"/>
  </x:mergeCells>
  <x:pageMargins left="0.7" right="0.7" top="0.75" bottom="0.75" header="0.3" footer="0.3"/>
  <x:drawing xmlns:r="http://schemas.openxmlformats.org/officeDocument/2006/relationships" r:id="R1d0c7b8d767e4c42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27" hidden="0" customWidth="1"/>
    <x:col min="4" max="4" width="8" hidden="0" customWidth="1"/>
    <x:col min="5" max="5" width="31" hidden="0" customWidth="1"/>
    <x:col min="6" max="6" width="15" hidden="0" customWidth="1"/>
    <x:col min="7" max="7" width="15" hidden="0" customWidth="1"/>
    <x:col min="8" max="8" width="24" hidden="0" customWidth="1"/>
  </x:cols>
  <x:sheetData>
    <x:row r="1" ht="30" customHeight="1">
      <x:c r="A1" s="5" t="str">
        <x:v>CURRENT — Lista congelada</x:v>
      </x:c>
      <x:c r="B1" s="5"/>
      <x:c r="C1" s="5"/>
      <x:c r="D1" s="5"/>
      <x:c r="E1" s="5"/>
      <x:c r="F1" s="5"/>
      <x:c r="G1" s="5"/>
      <x:c r="H1" s="5"/>
      <x:c r="I1" s="112"/>
      <x:c r="J1" s="112"/>
      <x:c r="K1" s="112"/>
      <x:c r="L1" s="112"/>
      <x:c r="M1" s="112"/>
      <x:c r="N1" s="112"/>
    </x:row>
    <x:row r="2" ht="30" customHeight="1">
      <x:c r="A2" s="13" t="str">
        <x:v>Lista transcrita do usuário. Nunca sobrescrever silenciosamente; impressão/acabamento são metadados, não indicação de carta PET.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Qtd.</x:v>
      </x:c>
      <x:c r="B4" s="22" t="str">
        <x:v>Carta</x:v>
      </x:c>
      <x:c r="C4" s="22" t="str">
        <x:v>Tipo (referência)</x:v>
      </x:c>
      <x:c r="D4" s="22" t="str">
        <x:v>MV</x:v>
      </x:c>
      <x:c r="E4" s="22" t="str">
        <x:v>Grupo primário</x:v>
      </x:c>
      <x:c r="F4" s="22" t="str">
        <x:v>Zur pode buscar?</x:v>
      </x:c>
      <x:c r="G4" s="22" t="str">
        <x:v>Estado</x:v>
      </x:c>
      <x:c r="H4" s="22" t="str">
        <x:v>Impressão / acabamento</x:v>
      </x:c>
    </x:row>
    <x:row r="5">
      <x:c r="A5" s="28" t="n">
        <x:v>1</x:v>
      </x:c>
      <x:c r="B5" s="28" t="str">
        <x:v>Zur the Enchanter</x:v>
      </x:c>
      <x:c r="C5" s="28" t="str">
        <x:v>Legendary Creature — Wizard</x:v>
      </x:c>
      <x:c r="D5" s="30" t="n">
        <x:v>4</x:v>
      </x:c>
      <x:c r="E5" s="28" t="str">
        <x:v>Commander</x:v>
      </x:c>
      <x:c r="F5" s="28" t="str">
        <x:v>No</x:v>
      </x:c>
      <x:c r="G5" s="28" t="str">
        <x:v>CURRENT</x:v>
      </x:c>
      <x:c r="H5" s="28" t="str">
        <x:v>CSP 135</x:v>
      </x:c>
    </x:row>
    <x:row r="6">
      <x:c r="A6" s="28" t="n">
        <x:v>1</x:v>
      </x:c>
      <x:c r="B6" s="28" t="str">
        <x:v>Act of Authority</x:v>
      </x:c>
      <x:c r="C6" s="28" t="str">
        <x:v>Enchantment</x:v>
      </x:c>
      <x:c r="D6" s="30" t="n">
        <x:v>3</x:v>
      </x:c>
      <x:c r="E6" s="28" t="str">
        <x:v>4. Enchantment toolbox / removal</x:v>
      </x:c>
      <x:c r="F6" s="28" t="str">
        <x:v>Yes</x:v>
      </x:c>
      <x:c r="G6" s="28" t="str">
        <x:v>CURRENT</x:v>
      </x:c>
      <x:c r="H6" s="28" t="str">
        <x:v>C13 1</x:v>
      </x:c>
    </x:row>
    <x:row r="7">
      <x:c r="A7" s="28" t="n">
        <x:v>1</x:v>
      </x:c>
      <x:c r="B7" s="28" t="str">
        <x:v>Akroma's Blessing</x:v>
      </x:c>
      <x:c r="C7" s="28" t="str">
        <x:v>Instant</x:v>
      </x:c>
      <x:c r="D7" s="30" t="n">
        <x:v>4</x:v>
      </x:c>
      <x:c r="E7" s="28" t="str">
        <x:v>6. Protection + recursion</x:v>
      </x:c>
      <x:c r="F7" s="28" t="str">
        <x:v>No</x:v>
      </x:c>
      <x:c r="G7" s="28" t="str">
        <x:v>CURRENT</x:v>
      </x:c>
      <x:c r="H7" s="28" t="str">
        <x:v>ONS 1</x:v>
      </x:c>
    </x:row>
    <x:row r="8">
      <x:c r="A8" s="28" t="n">
        <x:v>1</x:v>
      </x:c>
      <x:c r="B8" s="28" t="str">
        <x:v>All That Glitters</x:v>
      </x:c>
      <x:c r="C8" s="28" t="str">
        <x:v>Enchantment</x:v>
      </x:c>
      <x:c r="D8" s="30" t="n">
        <x:v>2</x:v>
      </x:c>
      <x:c r="E8" s="28" t="str">
        <x:v>8. Synergy + wincons</x:v>
      </x:c>
      <x:c r="F8" s="28" t="str">
        <x:v>Yes</x:v>
      </x:c>
      <x:c r="G8" s="28" t="str">
        <x:v>CURRENT</x:v>
      </x:c>
      <x:c r="H8" s="28" t="str">
        <x:v>CMM 622</x:v>
      </x:c>
    </x:row>
    <x:row r="9">
      <x:c r="A9" s="28" t="n">
        <x:v>1</x:v>
      </x:c>
      <x:c r="B9" s="28" t="str">
        <x:v>Alseid of Life's Bounty</x:v>
      </x:c>
      <x:c r="C9" s="28" t="str">
        <x:v>Enchantment Creature</x:v>
      </x:c>
      <x:c r="D9" s="30" t="n">
        <x:v>1</x:v>
      </x:c>
      <x:c r="E9" s="28" t="str">
        <x:v>6. Protection + recursion</x:v>
      </x:c>
      <x:c r="F9" s="28" t="str">
        <x:v>Yes</x:v>
      </x:c>
      <x:c r="G9" s="28" t="str">
        <x:v>CURRENT</x:v>
      </x:c>
      <x:c r="H9" s="28" t="str">
        <x:v>THB 1</x:v>
      </x:c>
    </x:row>
    <x:row r="10">
      <x:c r="A10" s="28" t="n">
        <x:v>1</x:v>
      </x:c>
      <x:c r="B10" s="28" t="str">
        <x:v>Arcane Sanctum</x:v>
      </x:c>
      <x:c r="C10" s="28" t="str">
        <x:v>Land</x:v>
      </x:c>
      <x:c r="D10" s="30"/>
      <x:c r="E10" s="28" t="str">
        <x:v>Land</x:v>
      </x:c>
      <x:c r="F10" s="28" t="str">
        <x:v>No</x:v>
      </x:c>
      <x:c r="G10" s="28" t="str">
        <x:v>CURRENT</x:v>
      </x:c>
      <x:c r="H10" s="28" t="str">
        <x:v>PLST C18-232</x:v>
      </x:c>
    </x:row>
    <x:row r="11">
      <x:c r="A11" s="28" t="n">
        <x:v>1</x:v>
      </x:c>
      <x:c r="B11" s="28" t="str">
        <x:v>Arcane Signet</x:v>
      </x:c>
      <x:c r="C11" s="28" t="str">
        <x:v>Artifact</x:v>
      </x:c>
      <x:c r="D11" s="30" t="n">
        <x:v>2</x:v>
      </x:c>
      <x:c r="E11" s="28" t="str">
        <x:v>1. Ramp + fixing</x:v>
      </x:c>
      <x:c r="F11" s="28" t="str">
        <x:v>No</x:v>
      </x:c>
      <x:c r="G11" s="28" t="str">
        <x:v>CURRENT</x:v>
      </x:c>
      <x:c r="H11" s="28" t="str">
        <x:v>CMR 297</x:v>
      </x:c>
    </x:row>
    <x:row r="12">
      <x:c r="A12" s="28" t="n">
        <x:v>1</x:v>
      </x:c>
      <x:c r="B12" s="28" t="str">
        <x:v>Arguel's Blood Fast</x:v>
      </x:c>
      <x:c r="C12" s="28" t="str">
        <x:v>Enchantment</x:v>
      </x:c>
      <x:c r="D12" s="30" t="n">
        <x:v>2</x:v>
      </x:c>
      <x:c r="E12" s="28" t="str">
        <x:v>2. Draw + selection</x:v>
      </x:c>
      <x:c r="F12" s="28" t="str">
        <x:v>Yes</x:v>
      </x:c>
      <x:c r="G12" s="28" t="str">
        <x:v>CURRENT</x:v>
      </x:c>
      <x:c r="H12" s="28" t="str">
        <x:v>V17 2 *F*</x:v>
      </x:c>
    </x:row>
    <x:row r="13">
      <x:c r="A13" s="28" t="n">
        <x:v>1</x:v>
      </x:c>
      <x:c r="B13" s="28" t="str">
        <x:v>Azorius Chancery</x:v>
      </x:c>
      <x:c r="C13" s="28" t="str">
        <x:v>Land</x:v>
      </x:c>
      <x:c r="D13" s="30"/>
      <x:c r="E13" s="28" t="str">
        <x:v>Land</x:v>
      </x:c>
      <x:c r="F13" s="28" t="str">
        <x:v>No</x:v>
      </x:c>
      <x:c r="G13" s="28" t="str">
        <x:v>CURRENT</x:v>
      </x:c>
      <x:c r="H13" s="28" t="str">
        <x:v>2X2 318</x:v>
      </x:c>
    </x:row>
    <x:row r="14">
      <x:c r="A14" s="28" t="n">
        <x:v>1</x:v>
      </x:c>
      <x:c r="B14" s="28" t="str">
        <x:v>Azorius Locket</x:v>
      </x:c>
      <x:c r="C14" s="28" t="str">
        <x:v>Artifact</x:v>
      </x:c>
      <x:c r="D14" s="30" t="n">
        <x:v>3</x:v>
      </x:c>
      <x:c r="E14" s="28" t="str">
        <x:v>1. Ramp + fixing</x:v>
      </x:c>
      <x:c r="F14" s="28" t="str">
        <x:v>No</x:v>
      </x:c>
      <x:c r="G14" s="28" t="str">
        <x:v>CURRENT</x:v>
      </x:c>
      <x:c r="H14" s="28" t="str">
        <x:v>RNA 231</x:v>
      </x:c>
    </x:row>
    <x:row r="15">
      <x:c r="A15" s="28" t="n">
        <x:v>1</x:v>
      </x:c>
      <x:c r="B15" s="28" t="str">
        <x:v>Baleful Strix</x:v>
      </x:c>
      <x:c r="C15" s="28" t="str">
        <x:v>Creature</x:v>
      </x:c>
      <x:c r="D15" s="30" t="n">
        <x:v>2</x:v>
      </x:c>
      <x:c r="E15" s="28" t="str">
        <x:v>2. Draw + selection</x:v>
      </x:c>
      <x:c r="F15" s="28" t="str">
        <x:v>No</x:v>
      </x:c>
      <x:c r="G15" s="28" t="str">
        <x:v>CURRENT</x:v>
      </x:c>
      <x:c r="H15" s="28" t="str">
        <x:v>PLST PCA-82</x:v>
      </x:c>
    </x:row>
    <x:row r="16">
      <x:c r="A16" s="28" t="n">
        <x:v>1</x:v>
      </x:c>
      <x:c r="B16" s="28" t="str">
        <x:v>Blind Obedience</x:v>
      </x:c>
      <x:c r="C16" s="28" t="str">
        <x:v>Enchantment</x:v>
      </x:c>
      <x:c r="D16" s="30" t="n">
        <x:v>2</x:v>
      </x:c>
      <x:c r="E16" s="28" t="str">
        <x:v>5. Tax + pillowfort</x:v>
      </x:c>
      <x:c r="F16" s="28" t="str">
        <x:v>Yes</x:v>
      </x:c>
      <x:c r="G16" s="28" t="str">
        <x:v>CURRENT</x:v>
      </x:c>
      <x:c r="H16" s="28" t="str">
        <x:v>GTC 6</x:v>
      </x:c>
    </x:row>
    <x:row r="17">
      <x:c r="A17" s="28" t="n">
        <x:v>1</x:v>
      </x:c>
      <x:c r="B17" s="28" t="str">
        <x:v>Bloodthirsty Blade</x:v>
      </x:c>
      <x:c r="C17" s="28" t="str">
        <x:v>Artifact — Equipment</x:v>
      </x:c>
      <x:c r="D17" s="30" t="n">
        <x:v>2</x:v>
      </x:c>
      <x:c r="E17" s="28" t="str">
        <x:v>7. Politics + combat manipulation</x:v>
      </x:c>
      <x:c r="F17" s="28" t="str">
        <x:v>No</x:v>
      </x:c>
      <x:c r="G17" s="28" t="str">
        <x:v>CURRENT</x:v>
      </x:c>
      <x:c r="H17" s="28" t="str">
        <x:v>C19 53</x:v>
      </x:c>
    </x:row>
    <x:row r="18">
      <x:c r="A18" s="28" t="n">
        <x:v>1</x:v>
      </x:c>
      <x:c r="B18" s="28" t="str">
        <x:v>Brainstorm</x:v>
      </x:c>
      <x:c r="C18" s="28" t="str">
        <x:v>Instant</x:v>
      </x:c>
      <x:c r="D18" s="30" t="n">
        <x:v>1</x:v>
      </x:c>
      <x:c r="E18" s="28" t="str">
        <x:v>2. Draw + selection</x:v>
      </x:c>
      <x:c r="F18" s="28" t="str">
        <x:v>No</x:v>
      </x:c>
      <x:c r="G18" s="28" t="str">
        <x:v>CURRENT</x:v>
      </x:c>
      <x:c r="H18" s="28" t="str">
        <x:v>2XM 44</x:v>
      </x:c>
    </x:row>
    <x:row r="19">
      <x:c r="A19" s="28" t="n">
        <x:v>1</x:v>
      </x:c>
      <x:c r="B19" s="28" t="str">
        <x:v>By Invitation Only</x:v>
      </x:c>
      <x:c r="C19" s="28" t="str">
        <x:v>Sorcery</x:v>
      </x:c>
      <x:c r="D19" s="30" t="n">
        <x:v>5</x:v>
      </x:c>
      <x:c r="E19" s="28" t="str">
        <x:v>3. Interaction — non-enchantment</x:v>
      </x:c>
      <x:c r="F19" s="28" t="str">
        <x:v>No</x:v>
      </x:c>
      <x:c r="G19" s="28" t="str">
        <x:v>CURRENT</x:v>
      </x:c>
      <x:c r="H19" s="28" t="str">
        <x:v>VOW 5</x:v>
      </x:c>
    </x:row>
    <x:row r="20">
      <x:c r="A20" s="28" t="n">
        <x:v>1</x:v>
      </x:c>
      <x:c r="B20" s="28" t="str">
        <x:v>Chromatic Lantern</x:v>
      </x:c>
      <x:c r="C20" s="28" t="str">
        <x:v>Artifact</x:v>
      </x:c>
      <x:c r="D20" s="30" t="n">
        <x:v>3</x:v>
      </x:c>
      <x:c r="E20" s="28" t="str">
        <x:v>1. Ramp + fixing</x:v>
      </x:c>
      <x:c r="F20" s="28" t="str">
        <x:v>No</x:v>
      </x:c>
      <x:c r="G20" s="28" t="str">
        <x:v>CURRENT</x:v>
      </x:c>
      <x:c r="H20" s="28" t="str">
        <x:v>CMM 376</x:v>
      </x:c>
    </x:row>
    <x:row r="21">
      <x:c r="A21" s="28" t="n">
        <x:v>1</x:v>
      </x:c>
      <x:c r="B21" s="28" t="str">
        <x:v>Cleansing Nova</x:v>
      </x:c>
      <x:c r="C21" s="28" t="str">
        <x:v>Sorcery</x:v>
      </x:c>
      <x:c r="D21" s="30" t="n">
        <x:v>5</x:v>
      </x:c>
      <x:c r="E21" s="28" t="str">
        <x:v>3. Interaction — non-enchantment</x:v>
      </x:c>
      <x:c r="F21" s="28" t="str">
        <x:v>No</x:v>
      </x:c>
      <x:c r="G21" s="28" t="str">
        <x:v>CURRENT</x:v>
      </x:c>
      <x:c r="H21" s="28" t="str">
        <x:v>C20 83</x:v>
      </x:c>
    </x:row>
    <x:row r="22">
      <x:c r="A22" s="28" t="n">
        <x:v>1</x:v>
      </x:c>
      <x:c r="B22" s="28" t="str">
        <x:v>Combat Research</x:v>
      </x:c>
      <x:c r="C22" s="28" t="str">
        <x:v>Aura / Enchantment</x:v>
      </x:c>
      <x:c r="D22" s="30" t="n">
        <x:v>1</x:v>
      </x:c>
      <x:c r="E22" s="28" t="str">
        <x:v>2. Draw + selection</x:v>
      </x:c>
      <x:c r="F22" s="28" t="str">
        <x:v>Yes</x:v>
      </x:c>
      <x:c r="G22" s="28" t="str">
        <x:v>CURRENT</x:v>
      </x:c>
      <x:c r="H22" s="28" t="str">
        <x:v>DMU 44</x:v>
      </x:c>
    </x:row>
    <x:row r="23">
      <x:c r="A23" s="28" t="n">
        <x:v>1</x:v>
      </x:c>
      <x:c r="B23" s="28" t="str">
        <x:v>Command Tower</x:v>
      </x:c>
      <x:c r="C23" s="28" t="str">
        <x:v>Land</x:v>
      </x:c>
      <x:c r="D23" s="30"/>
      <x:c r="E23" s="28" t="str">
        <x:v>Land</x:v>
      </x:c>
      <x:c r="F23" s="28" t="str">
        <x:v>No</x:v>
      </x:c>
      <x:c r="G23" s="28" t="str">
        <x:v>CURRENT</x:v>
      </x:c>
      <x:c r="H23" s="28" t="str">
        <x:v>LCC 325</x:v>
      </x:c>
    </x:row>
    <x:row r="24">
      <x:c r="A24" s="28" t="n">
        <x:v>1</x:v>
      </x:c>
      <x:c r="B24" s="28" t="str">
        <x:v>Commander's Sphere</x:v>
      </x:c>
      <x:c r="C24" s="28" t="str">
        <x:v>Artifact</x:v>
      </x:c>
      <x:c r="D24" s="30" t="n">
        <x:v>3</x:v>
      </x:c>
      <x:c r="E24" s="28" t="str">
        <x:v>1. Ramp + fixing</x:v>
      </x:c>
      <x:c r="F24" s="28" t="str">
        <x:v>No</x:v>
      </x:c>
      <x:c r="G24" s="28" t="str">
        <x:v>CURRENT</x:v>
      </x:c>
      <x:c r="H24" s="28" t="str">
        <x:v>VOC 163</x:v>
      </x:c>
    </x:row>
    <x:row r="25">
      <x:c r="A25" s="28" t="n">
        <x:v>1</x:v>
      </x:c>
      <x:c r="B25" s="28" t="str">
        <x:v>Consecrated Sphinx</x:v>
      </x:c>
      <x:c r="C25" s="28" t="str">
        <x:v>Creature</x:v>
      </x:c>
      <x:c r="D25" s="30" t="n">
        <x:v>6</x:v>
      </x:c>
      <x:c r="E25" s="28" t="str">
        <x:v>2. Draw + selection</x:v>
      </x:c>
      <x:c r="F25" s="28" t="str">
        <x:v>No</x:v>
      </x:c>
      <x:c r="G25" s="28" t="str">
        <x:v>CURRENT</x:v>
      </x:c>
      <x:c r="H25" s="28" t="str">
        <x:v>2X2 43</x:v>
      </x:c>
    </x:row>
    <x:row r="26">
      <x:c r="A26" s="28" t="n">
        <x:v>1</x:v>
      </x:c>
      <x:c r="B26" s="28" t="str">
        <x:v>Copy Enchantment</x:v>
      </x:c>
      <x:c r="C26" s="28" t="str">
        <x:v>Enchantment</x:v>
      </x:c>
      <x:c r="D26" s="30" t="n">
        <x:v>3</x:v>
      </x:c>
      <x:c r="E26" s="28" t="str">
        <x:v>8. Synergy + wincons</x:v>
      </x:c>
      <x:c r="F26" s="28" t="str">
        <x:v>Yes</x:v>
      </x:c>
      <x:c r="G26" s="28" t="str">
        <x:v>CURRENT</x:v>
      </x:c>
      <x:c r="H26" s="28" t="str">
        <x:v>RAV 42</x:v>
      </x:c>
    </x:row>
    <x:row r="27">
      <x:c r="A27" s="28" t="n">
        <x:v>1</x:v>
      </x:c>
      <x:c r="B27" s="28" t="str">
        <x:v>Crawlspace</x:v>
      </x:c>
      <x:c r="C27" s="28" t="str">
        <x:v>Artifact</x:v>
      </x:c>
      <x:c r="D27" s="30" t="n">
        <x:v>3</x:v>
      </x:c>
      <x:c r="E27" s="28" t="str">
        <x:v>5. Tax + pillowfort</x:v>
      </x:c>
      <x:c r="F27" s="28" t="str">
        <x:v>No</x:v>
      </x:c>
      <x:c r="G27" s="28" t="str">
        <x:v>CURRENT</x:v>
      </x:c>
      <x:c r="H27" s="28" t="str">
        <x:v>C13 240</x:v>
      </x:c>
    </x:row>
    <x:row r="28">
      <x:c r="A28" s="28" t="n">
        <x:v>1</x:v>
      </x:c>
      <x:c r="B28" s="28" t="str">
        <x:v>Crystal Chimes</x:v>
      </x:c>
      <x:c r="C28" s="28" t="str">
        <x:v>Artifact</x:v>
      </x:c>
      <x:c r="D28" s="30" t="n">
        <x:v>3</x:v>
      </x:c>
      <x:c r="E28" s="28" t="str">
        <x:v>6. Protection + recursion</x:v>
      </x:c>
      <x:c r="F28" s="28" t="str">
        <x:v>No</x:v>
      </x:c>
      <x:c r="G28" s="28" t="str">
        <x:v>CURRENT</x:v>
      </x:c>
      <x:c r="H28" s="28" t="str">
        <x:v>PLST C15-250</x:v>
      </x:c>
    </x:row>
    <x:row r="29">
      <x:c r="A29" s="28" t="n">
        <x:v>1</x:v>
      </x:c>
      <x:c r="B29" s="28" t="str">
        <x:v>Dark Tutelage</x:v>
      </x:c>
      <x:c r="C29" s="28" t="str">
        <x:v>Enchantment</x:v>
      </x:c>
      <x:c r="D29" s="30" t="n">
        <x:v>3</x:v>
      </x:c>
      <x:c r="E29" s="28" t="str">
        <x:v>2. Draw + selection</x:v>
      </x:c>
      <x:c r="F29" s="28" t="str">
        <x:v>Yes</x:v>
      </x:c>
      <x:c r="G29" s="28" t="str">
        <x:v>CURRENT</x:v>
      </x:c>
      <x:c r="H29" s="28" t="str">
        <x:v>WOT 28</x:v>
      </x:c>
    </x:row>
    <x:row r="30">
      <x:c r="A30" s="28" t="n">
        <x:v>1</x:v>
      </x:c>
      <x:c r="B30" s="28" t="str">
        <x:v>Darksteel Mutation</x:v>
      </x:c>
      <x:c r="C30" s="28" t="str">
        <x:v>Aura / Enchantment</x:v>
      </x:c>
      <x:c r="D30" s="30" t="n">
        <x:v>2</x:v>
      </x:c>
      <x:c r="E30" s="28" t="str">
        <x:v>4. Enchantment toolbox / removal</x:v>
      </x:c>
      <x:c r="F30" s="28" t="str">
        <x:v>Yes</x:v>
      </x:c>
      <x:c r="G30" s="28" t="str">
        <x:v>CURRENT</x:v>
      </x:c>
      <x:c r="H30" s="28" t="str">
        <x:v>VOC 84</x:v>
      </x:c>
    </x:row>
    <x:row r="31">
      <x:c r="A31" s="28" t="n">
        <x:v>1</x:v>
      </x:c>
      <x:c r="B31" s="28" t="str">
        <x:v>Decanter of Endless Water</x:v>
      </x:c>
      <x:c r="C31" s="28" t="str">
        <x:v>Artifact</x:v>
      </x:c>
      <x:c r="D31" s="30" t="n">
        <x:v>3</x:v>
      </x:c>
      <x:c r="E31" s="28" t="str">
        <x:v>1. Ramp + fixing</x:v>
      </x:c>
      <x:c r="F31" s="28" t="str">
        <x:v>No</x:v>
      </x:c>
      <x:c r="G31" s="28" t="str">
        <x:v>CURRENT</x:v>
      </x:c>
      <x:c r="H31" s="28" t="str">
        <x:v>CLB 444</x:v>
      </x:c>
    </x:row>
    <x:row r="32">
      <x:c r="A32" s="28" t="n">
        <x:v>1</x:v>
      </x:c>
      <x:c r="B32" s="28" t="str">
        <x:v>Dictate of Kruphix</x:v>
      </x:c>
      <x:c r="C32" s="28" t="str">
        <x:v>Enchantment</x:v>
      </x:c>
      <x:c r="D32" s="30" t="n">
        <x:v>3</x:v>
      </x:c>
      <x:c r="E32" s="28" t="str">
        <x:v>2. Draw + selection</x:v>
      </x:c>
      <x:c r="F32" s="28" t="str">
        <x:v>Yes</x:v>
      </x:c>
      <x:c r="G32" s="28" t="str">
        <x:v>CURRENT</x:v>
      </x:c>
      <x:c r="H32" s="28" t="str">
        <x:v>PJOU 37 *F*</x:v>
      </x:c>
    </x:row>
    <x:row r="33">
      <x:c r="A33" s="28" t="n">
        <x:v>1</x:v>
      </x:c>
      <x:c r="B33" s="28" t="str">
        <x:v>Doomskar</x:v>
      </x:c>
      <x:c r="C33" s="28" t="str">
        <x:v>Sorcery</x:v>
      </x:c>
      <x:c r="D33" s="30" t="n">
        <x:v>5</x:v>
      </x:c>
      <x:c r="E33" s="28" t="str">
        <x:v>3. Interaction — non-enchantment</x:v>
      </x:c>
      <x:c r="F33" s="28" t="str">
        <x:v>No</x:v>
      </x:c>
      <x:c r="G33" s="28" t="str">
        <x:v>CURRENT</x:v>
      </x:c>
      <x:c r="H33" s="28" t="str">
        <x:v>KHM 9</x:v>
      </x:c>
    </x:row>
    <x:row r="34">
      <x:c r="A34" s="28" t="n">
        <x:v>1</x:v>
      </x:c>
      <x:c r="B34" s="28" t="str">
        <x:v>Extinction Event</x:v>
      </x:c>
      <x:c r="C34" s="28" t="str">
        <x:v>Sorcery</x:v>
      </x:c>
      <x:c r="D34" s="30" t="n">
        <x:v>4</x:v>
      </x:c>
      <x:c r="E34" s="28" t="str">
        <x:v>3. Interaction — non-enchantment</x:v>
      </x:c>
      <x:c r="F34" s="28" t="str">
        <x:v>No</x:v>
      </x:c>
      <x:c r="G34" s="28" t="str">
        <x:v>CURRENT</x:v>
      </x:c>
      <x:c r="H34" s="28" t="str">
        <x:v>IKO 88</x:v>
      </x:c>
    </x:row>
    <x:row r="35">
      <x:c r="A35" s="28" t="n">
        <x:v>1</x:v>
      </x:c>
      <x:c r="B35" s="28" t="str">
        <x:v>Fracture</x:v>
      </x:c>
      <x:c r="C35" s="28" t="str">
        <x:v>Instant</x:v>
      </x:c>
      <x:c r="D35" s="30" t="n">
        <x:v>2</x:v>
      </x:c>
      <x:c r="E35" s="28" t="str">
        <x:v>3. Interaction — non-enchantment</x:v>
      </x:c>
      <x:c r="F35" s="28" t="str">
        <x:v>No</x:v>
      </x:c>
      <x:c r="G35" s="28" t="str">
        <x:v>CURRENT</x:v>
      </x:c>
      <x:c r="H35" s="28" t="str">
        <x:v>STX 188</x:v>
      </x:c>
    </x:row>
    <x:row r="36">
      <x:c r="A36" s="28" t="n">
        <x:v>1</x:v>
      </x:c>
      <x:c r="B36" s="28" t="str">
        <x:v>Greater Auramancy</x:v>
      </x:c>
      <x:c r="C36" s="28" t="str">
        <x:v>Enchantment</x:v>
      </x:c>
      <x:c r="D36" s="30" t="n">
        <x:v>2</x:v>
      </x:c>
      <x:c r="E36" s="28" t="str">
        <x:v>6. Protection + recursion</x:v>
      </x:c>
      <x:c r="F36" s="28" t="str">
        <x:v>Yes</x:v>
      </x:c>
      <x:c r="G36" s="28" t="str">
        <x:v>CURRENT</x:v>
      </x:c>
      <x:c r="H36" s="28" t="str">
        <x:v>P22 1 *F*</x:v>
      </x:c>
    </x:row>
    <x:row r="37">
      <x:c r="A37" s="28" t="n">
        <x:v>1</x:v>
      </x:c>
      <x:c r="B37" s="28" t="str">
        <x:v>Hall of Heliod's Generosity</x:v>
      </x:c>
      <x:c r="C37" s="28" t="str">
        <x:v>Land</x:v>
      </x:c>
      <x:c r="D37" s="30"/>
      <x:c r="E37" s="28" t="str">
        <x:v>Land</x:v>
      </x:c>
      <x:c r="F37" s="28" t="str">
        <x:v>No</x:v>
      </x:c>
      <x:c r="G37" s="28" t="str">
        <x:v>CURRENT</x:v>
      </x:c>
      <x:c r="H37" s="28" t="str">
        <x:v>MH1 241</x:v>
      </x:c>
    </x:row>
    <x:row r="38">
      <x:c r="A38" s="28" t="n">
        <x:v>1</x:v>
      </x:c>
      <x:c r="B38" s="28" t="str">
        <x:v>Hall of Storm Giants</x:v>
      </x:c>
      <x:c r="C38" s="28" t="str">
        <x:v>Land</x:v>
      </x:c>
      <x:c r="D38" s="30"/>
      <x:c r="E38" s="28" t="str">
        <x:v>Land</x:v>
      </x:c>
      <x:c r="F38" s="28" t="str">
        <x:v>No</x:v>
      </x:c>
      <x:c r="G38" s="28" t="str">
        <x:v>CURRENT</x:v>
      </x:c>
      <x:c r="H38" s="28" t="str">
        <x:v>AFR 354</x:v>
      </x:c>
    </x:row>
    <x:row r="39">
      <x:c r="A39" s="28" t="n">
        <x:v>1</x:v>
      </x:c>
      <x:c r="B39" s="28" t="str">
        <x:v>Hallowed Fountain</x:v>
      </x:c>
      <x:c r="C39" s="28" t="str">
        <x:v>Land</x:v>
      </x:c>
      <x:c r="D39" s="30"/>
      <x:c r="E39" s="28" t="str">
        <x:v>Land</x:v>
      </x:c>
      <x:c r="F39" s="28" t="str">
        <x:v>No</x:v>
      </x:c>
      <x:c r="G39" s="28" t="str">
        <x:v>CURRENT</x:v>
      </x:c>
      <x:c r="H39" s="28" t="str">
        <x:v>RNA 251</x:v>
      </x:c>
    </x:row>
    <x:row r="40">
      <x:c r="A40" s="28" t="n">
        <x:v>1</x:v>
      </x:c>
      <x:c r="B40" s="28" t="str">
        <x:v>Hengegate Pathway</x:v>
      </x:c>
      <x:c r="C40" s="28" t="str">
        <x:v>Land</x:v>
      </x:c>
      <x:c r="D40" s="30"/>
      <x:c r="E40" s="28" t="str">
        <x:v>Land</x:v>
      </x:c>
      <x:c r="F40" s="28" t="str">
        <x:v>No</x:v>
      </x:c>
      <x:c r="G40" s="28" t="str">
        <x:v>CURRENT</x:v>
      </x:c>
      <x:c r="H40" s="28" t="str">
        <x:v>SLU 18 *F*</x:v>
      </x:c>
    </x:row>
    <x:row r="41">
      <x:c r="A41" s="28" t="n">
        <x:v>1</x:v>
      </x:c>
      <x:c r="B41" s="28" t="str">
        <x:v>Hissing Miasma</x:v>
      </x:c>
      <x:c r="C41" s="28" t="str">
        <x:v>Enchantment</x:v>
      </x:c>
      <x:c r="D41" s="30" t="n">
        <x:v>3</x:v>
      </x:c>
      <x:c r="E41" s="28" t="str">
        <x:v>5. Tax + pillowfort</x:v>
      </x:c>
      <x:c r="F41" s="28" t="str">
        <x:v>Yes</x:v>
      </x:c>
      <x:c r="G41" s="28" t="str">
        <x:v>CURRENT</x:v>
      </x:c>
      <x:c r="H41" s="28" t="str">
        <x:v>GPT 51</x:v>
      </x:c>
    </x:row>
    <x:row r="42">
      <x:c r="A42" s="28" t="n">
        <x:v>1</x:v>
      </x:c>
      <x:c r="B42" s="28" t="str">
        <x:v>Imprisoned in the Moon</x:v>
      </x:c>
      <x:c r="C42" s="28" t="str">
        <x:v>Aura / Enchantment</x:v>
      </x:c>
      <x:c r="D42" s="30" t="n">
        <x:v>3</x:v>
      </x:c>
      <x:c r="E42" s="28" t="str">
        <x:v>4. Enchantment toolbox / removal</x:v>
      </x:c>
      <x:c r="F42" s="28" t="str">
        <x:v>Yes</x:v>
      </x:c>
      <x:c r="G42" s="28" t="str">
        <x:v>CURRENT</x:v>
      </x:c>
      <x:c r="H42" s="28" t="str">
        <x:v>AFC 85</x:v>
      </x:c>
    </x:row>
    <x:row r="43">
      <x:c r="A43" s="28" t="n">
        <x:v>10</x:v>
      </x:c>
      <x:c r="B43" s="28" t="str">
        <x:v>Island</x:v>
      </x:c>
      <x:c r="C43" s="28" t="str">
        <x:v>Land</x:v>
      </x:c>
      <x:c r="D43" s="30"/>
      <x:c r="E43" s="28" t="str">
        <x:v>Land</x:v>
      </x:c>
      <x:c r="F43" s="28" t="str">
        <x:v>No</x:v>
      </x:c>
      <x:c r="G43" s="28" t="str">
        <x:v>CURRENT</x:v>
      </x:c>
      <x:c r="H43" s="28" t="str">
        <x:v>BFZ 259</x:v>
      </x:c>
    </x:row>
    <x:row r="44">
      <x:c r="A44" s="28" t="n">
        <x:v>1</x:v>
      </x:c>
      <x:c r="B44" s="28" t="str">
        <x:v>Judge's Familiar</x:v>
      </x:c>
      <x:c r="C44" s="28" t="str">
        <x:v>Creature</x:v>
      </x:c>
      <x:c r="D44" s="30" t="n">
        <x:v>1</x:v>
      </x:c>
      <x:c r="E44" s="28" t="str">
        <x:v>3. Interaction — non-enchantment</x:v>
      </x:c>
      <x:c r="F44" s="28" t="str">
        <x:v>No</x:v>
      </x:c>
      <x:c r="G44" s="28" t="str">
        <x:v>CURRENT</x:v>
      </x:c>
      <x:c r="H44" s="28" t="str">
        <x:v>RTR 218</x:v>
      </x:c>
    </x:row>
    <x:row r="45">
      <x:c r="A45" s="28" t="n">
        <x:v>1</x:v>
      </x:c>
      <x:c r="B45" s="28" t="str">
        <x:v>Karmic Justice</x:v>
      </x:c>
      <x:c r="C45" s="28" t="str">
        <x:v>Enchantment</x:v>
      </x:c>
      <x:c r="D45" s="30" t="n">
        <x:v>3</x:v>
      </x:c>
      <x:c r="E45" s="28" t="str">
        <x:v>6. Protection + recursion</x:v>
      </x:c>
      <x:c r="F45" s="28" t="str">
        <x:v>Yes</x:v>
      </x:c>
      <x:c r="G45" s="28" t="str">
        <x:v>CURRENT</x:v>
      </x:c>
      <x:c r="H45" s="28" t="str">
        <x:v>WOT 7</x:v>
      </x:c>
    </x:row>
    <x:row r="46">
      <x:c r="A46" s="28" t="n">
        <x:v>1</x:v>
      </x:c>
      <x:c r="B46" s="28" t="str">
        <x:v>Lightning Greaves</x:v>
      </x:c>
      <x:c r="C46" s="28" t="str">
        <x:v>Artifact</x:v>
      </x:c>
      <x:c r="D46" s="30" t="n">
        <x:v>2</x:v>
      </x:c>
      <x:c r="E46" s="28" t="str">
        <x:v>6. Protection + recursion</x:v>
      </x:c>
      <x:c r="F46" s="28" t="str">
        <x:v>No</x:v>
      </x:c>
      <x:c r="G46" s="28" t="str">
        <x:v>CURRENT</x:v>
      </x:c>
      <x:c r="H46" s="28" t="str">
        <x:v>AFC 331</x:v>
      </x:c>
    </x:row>
    <x:row r="47">
      <x:c r="A47" s="28" t="n">
        <x:v>1</x:v>
      </x:c>
      <x:c r="B47" s="28" t="str">
        <x:v>Luminarch Ascension</x:v>
      </x:c>
      <x:c r="C47" s="28" t="str">
        <x:v>Enchantment</x:v>
      </x:c>
      <x:c r="D47" s="30" t="n">
        <x:v>2</x:v>
      </x:c>
      <x:c r="E47" s="28" t="str">
        <x:v>8. Synergy + wincons</x:v>
      </x:c>
      <x:c r="F47" s="28" t="str">
        <x:v>Yes</x:v>
      </x:c>
      <x:c r="G47" s="28" t="str">
        <x:v>CURRENT</x:v>
      </x:c>
      <x:c r="H47" s="28" t="str">
        <x:v>ZEN 25</x:v>
      </x:c>
    </x:row>
    <x:row r="48">
      <x:c r="A48" s="28" t="n">
        <x:v>1</x:v>
      </x:c>
      <x:c r="B48" s="28" t="str">
        <x:v>Meticulous Archive</x:v>
      </x:c>
      <x:c r="C48" s="28" t="str">
        <x:v>Land</x:v>
      </x:c>
      <x:c r="D48" s="30"/>
      <x:c r="E48" s="28" t="str">
        <x:v>Land</x:v>
      </x:c>
      <x:c r="F48" s="28" t="str">
        <x:v>No</x:v>
      </x:c>
      <x:c r="G48" s="28" t="str">
        <x:v>CURRENT</x:v>
      </x:c>
      <x:c r="H48" s="28" t="str">
        <x:v>MKM 264</x:v>
      </x:c>
    </x:row>
    <x:row r="49">
      <x:c r="A49" s="28" t="n">
        <x:v>1</x:v>
      </x:c>
      <x:c r="B49" s="28" t="str">
        <x:v>Mind Stone</x:v>
      </x:c>
      <x:c r="C49" s="28" t="str">
        <x:v>Artifact</x:v>
      </x:c>
      <x:c r="D49" s="30" t="n">
        <x:v>2</x:v>
      </x:c>
      <x:c r="E49" s="28" t="str">
        <x:v>1. Ramp + fixing</x:v>
      </x:c>
      <x:c r="F49" s="28" t="str">
        <x:v>No</x:v>
      </x:c>
      <x:c r="G49" s="28" t="str">
        <x:v>CURRENT</x:v>
      </x:c>
      <x:c r="H49" s="28" t="str">
        <x:v>C14 250</x:v>
      </x:c>
    </x:row>
    <x:row r="50">
      <x:c r="A50" s="28" t="n">
        <x:v>1</x:v>
      </x:c>
      <x:c r="B50" s="28" t="str">
        <x:v>Mind's Eye</x:v>
      </x:c>
      <x:c r="C50" s="28" t="str">
        <x:v>Artifact</x:v>
      </x:c>
      <x:c r="D50" s="30" t="n">
        <x:v>5</x:v>
      </x:c>
      <x:c r="E50" s="28" t="str">
        <x:v>2. Draw + selection</x:v>
      </x:c>
      <x:c r="F50" s="28" t="str">
        <x:v>No</x:v>
      </x:c>
      <x:c r="G50" s="28" t="str">
        <x:v>CURRENT</x:v>
      </x:c>
      <x:c r="H50" s="28" t="str">
        <x:v>BBD 240 *F*</x:v>
      </x:c>
    </x:row>
    <x:row r="51">
      <x:c r="A51" s="28" t="n">
        <x:v>1</x:v>
      </x:c>
      <x:c r="B51" s="28" t="str">
        <x:v>Minimus Containment</x:v>
      </x:c>
      <x:c r="C51" s="28" t="str">
        <x:v>Aura / Enchantment</x:v>
      </x:c>
      <x:c r="D51" s="30" t="n">
        <x:v>3</x:v>
      </x:c>
      <x:c r="E51" s="28" t="str">
        <x:v>4. Enchantment toolbox / removal</x:v>
      </x:c>
      <x:c r="F51" s="28" t="str">
        <x:v>Yes</x:v>
      </x:c>
      <x:c r="G51" s="28" t="str">
        <x:v>CURRENT</x:v>
      </x:c>
      <x:c r="H51" s="28" t="str">
        <x:v>CLB 34</x:v>
      </x:c>
    </x:row>
    <x:row r="52">
      <x:c r="A52" s="28" t="n">
        <x:v>1</x:v>
      </x:c>
      <x:c r="B52" s="28" t="str">
        <x:v>Mortify</x:v>
      </x:c>
      <x:c r="C52" s="28" t="str">
        <x:v>Instant</x:v>
      </x:c>
      <x:c r="D52" s="30" t="n">
        <x:v>3</x:v>
      </x:c>
      <x:c r="E52" s="28" t="str">
        <x:v>3. Interaction — non-enchantment</x:v>
      </x:c>
      <x:c r="F52" s="28" t="str">
        <x:v>No</x:v>
      </x:c>
      <x:c r="G52" s="28" t="str">
        <x:v>CURRENT</x:v>
      </x:c>
      <x:c r="H52" s="28" t="str">
        <x:v>RNA 192</x:v>
      </x:c>
    </x:row>
    <x:row r="53">
      <x:c r="A53" s="28" t="n">
        <x:v>1</x:v>
      </x:c>
      <x:c r="B53" s="28" t="str">
        <x:v>Myriad Landscape</x:v>
      </x:c>
      <x:c r="C53" s="28" t="str">
        <x:v>Land</x:v>
      </x:c>
      <x:c r="D53" s="30"/>
      <x:c r="E53" s="28" t="str">
        <x:v>Land</x:v>
      </x:c>
      <x:c r="F53" s="28" t="str">
        <x:v>No</x:v>
      </x:c>
      <x:c r="G53" s="28" t="str">
        <x:v>CURRENT</x:v>
      </x:c>
      <x:c r="H53" s="28" t="str">
        <x:v>CMM 660</x:v>
      </x:c>
    </x:row>
    <x:row r="54">
      <x:c r="A54" s="28" t="n">
        <x:v>1</x:v>
      </x:c>
      <x:c r="B54" s="28" t="str">
        <x:v>Mystic Subdual</x:v>
      </x:c>
      <x:c r="C54" s="28" t="str">
        <x:v>Aura / Enchantment</x:v>
      </x:c>
      <x:c r="D54" s="30" t="n">
        <x:v>2</x:v>
      </x:c>
      <x:c r="E54" s="28" t="str">
        <x:v>4. Enchantment toolbox / removal</x:v>
      </x:c>
      <x:c r="F54" s="28" t="str">
        <x:v>Yes</x:v>
      </x:c>
      <x:c r="G54" s="28" t="str">
        <x:v>CURRENT</x:v>
      </x:c>
      <x:c r="H54" s="28" t="str">
        <x:v>IKO 57</x:v>
      </x:c>
    </x:row>
    <x:row r="55">
      <x:c r="A55" s="28" t="n">
        <x:v>1</x:v>
      </x:c>
      <x:c r="B55" s="28" t="str">
        <x:v>Nighthowler</x:v>
      </x:c>
      <x:c r="C55" s="28" t="str">
        <x:v>Enchantment Creature</x:v>
      </x:c>
      <x:c r="D55" s="30" t="n">
        <x:v>3</x:v>
      </x:c>
      <x:c r="E55" s="28" t="str">
        <x:v>8. Synergy + wincons</x:v>
      </x:c>
      <x:c r="F55" s="28" t="str">
        <x:v>Yes</x:v>
      </x:c>
      <x:c r="G55" s="28" t="str">
        <x:v>CURRENT</x:v>
      </x:c>
      <x:c r="H55" s="28" t="str">
        <x:v>THS 98</x:v>
      </x:c>
    </x:row>
    <x:row r="56">
      <x:c r="A56" s="28" t="n">
        <x:v>1</x:v>
      </x:c>
      <x:c r="B56" s="28" t="str">
        <x:v>Ojutai's Command</x:v>
      </x:c>
      <x:c r="C56" s="28" t="str">
        <x:v>Instant</x:v>
      </x:c>
      <x:c r="D56" s="30" t="n">
        <x:v>4</x:v>
      </x:c>
      <x:c r="E56" s="28" t="str">
        <x:v>3. Interaction — non-enchantment</x:v>
      </x:c>
      <x:c r="F56" s="28" t="str">
        <x:v>No</x:v>
      </x:c>
      <x:c r="G56" s="28" t="str">
        <x:v>CURRENT</x:v>
      </x:c>
      <x:c r="H56" s="28" t="str">
        <x:v>DTK 227</x:v>
      </x:c>
    </x:row>
    <x:row r="57">
      <x:c r="A57" s="28" t="n">
        <x:v>1</x:v>
      </x:c>
      <x:c r="B57" s="28" t="str">
        <x:v>Ominous Seas</x:v>
      </x:c>
      <x:c r="C57" s="28" t="str">
        <x:v>Enchantment</x:v>
      </x:c>
      <x:c r="D57" s="30" t="n">
        <x:v>2</x:v>
      </x:c>
      <x:c r="E57" s="28" t="str">
        <x:v>8. Synergy + wincons</x:v>
      </x:c>
      <x:c r="F57" s="28" t="str">
        <x:v>Yes</x:v>
      </x:c>
      <x:c r="G57" s="28" t="str">
        <x:v>CURRENT</x:v>
      </x:c>
      <x:c r="H57" s="28" t="str">
        <x:v>IKO 61</x:v>
      </x:c>
    </x:row>
    <x:row r="58">
      <x:c r="A58" s="28" t="n">
        <x:v>1</x:v>
      </x:c>
      <x:c r="B58" s="28" t="str">
        <x:v>Oppression</x:v>
      </x:c>
      <x:c r="C58" s="28" t="str">
        <x:v>Enchantment</x:v>
      </x:c>
      <x:c r="D58" s="30" t="n">
        <x:v>3</x:v>
      </x:c>
      <x:c r="E58" s="28" t="str">
        <x:v>5. Tax + pillowfort</x:v>
      </x:c>
      <x:c r="F58" s="28" t="str">
        <x:v>Yes</x:v>
      </x:c>
      <x:c r="G58" s="28" t="str">
        <x:v>CURRENT</x:v>
      </x:c>
      <x:c r="H58" s="28" t="str">
        <x:v>WOT 32</x:v>
      </x:c>
    </x:row>
    <x:row r="59">
      <x:c r="A59" s="28" t="n">
        <x:v>1</x:v>
      </x:c>
      <x:c r="B59" s="28" t="str">
        <x:v>Orzhov Locket</x:v>
      </x:c>
      <x:c r="C59" s="28" t="str">
        <x:v>Artifact</x:v>
      </x:c>
      <x:c r="D59" s="30" t="n">
        <x:v>3</x:v>
      </x:c>
      <x:c r="E59" s="28" t="str">
        <x:v>1. Ramp + fixing</x:v>
      </x:c>
      <x:c r="F59" s="28" t="str">
        <x:v>No</x:v>
      </x:c>
      <x:c r="G59" s="28" t="str">
        <x:v>CURRENT</x:v>
      </x:c>
      <x:c r="H59" s="28" t="str">
        <x:v>RNA 236</x:v>
      </x:c>
    </x:row>
    <x:row r="60">
      <x:c r="A60" s="28" t="n">
        <x:v>1</x:v>
      </x:c>
      <x:c r="B60" s="28" t="str">
        <x:v>Out of Time</x:v>
      </x:c>
      <x:c r="C60" s="28" t="str">
        <x:v>Enchantment</x:v>
      </x:c>
      <x:c r="D60" s="30" t="n">
        <x:v>3</x:v>
      </x:c>
      <x:c r="E60" s="28" t="str">
        <x:v>4. Enchantment toolbox / removal</x:v>
      </x:c>
      <x:c r="F60" s="28" t="str">
        <x:v>Yes</x:v>
      </x:c>
      <x:c r="G60" s="28" t="str">
        <x:v>CURRENT</x:v>
      </x:c>
      <x:c r="H60" s="28" t="str">
        <x:v>MH2 23</x:v>
      </x:c>
    </x:row>
    <x:row r="61">
      <x:c r="A61" s="28" t="n">
        <x:v>1</x:v>
      </x:c>
      <x:c r="B61" s="28" t="str">
        <x:v>Parasitic Impetus</x:v>
      </x:c>
      <x:c r="C61" s="28" t="str">
        <x:v>Aura / Enchantment</x:v>
      </x:c>
      <x:c r="D61" s="30" t="n">
        <x:v>3</x:v>
      </x:c>
      <x:c r="E61" s="28" t="str">
        <x:v>7. Politics + combat manipulation</x:v>
      </x:c>
      <x:c r="F61" s="28" t="str">
        <x:v>Yes</x:v>
      </x:c>
      <x:c r="G61" s="28" t="str">
        <x:v>CURRENT</x:v>
      </x:c>
      <x:c r="H61" s="28" t="str">
        <x:v>C20 46</x:v>
      </x:c>
    </x:row>
    <x:row r="62">
      <x:c r="A62" s="28" t="n">
        <x:v>1</x:v>
      </x:c>
      <x:c r="B62" s="28" t="str">
        <x:v>Phyrexian Arena</x:v>
      </x:c>
      <x:c r="C62" s="28" t="str">
        <x:v>Enchantment</x:v>
      </x:c>
      <x:c r="D62" s="30" t="n">
        <x:v>3</x:v>
      </x:c>
      <x:c r="E62" s="28" t="str">
        <x:v>2. Draw + selection</x:v>
      </x:c>
      <x:c r="F62" s="28" t="str">
        <x:v>Yes</x:v>
      </x:c>
      <x:c r="G62" s="28" t="str">
        <x:v>CURRENT</x:v>
      </x:c>
      <x:c r="H62" s="28" t="str">
        <x:v>ONE 104</x:v>
      </x:c>
    </x:row>
    <x:row r="63">
      <x:c r="A63" s="28" t="n">
        <x:v>8</x:v>
      </x:c>
      <x:c r="B63" s="28" t="str">
        <x:v>Plains</x:v>
      </x:c>
      <x:c r="C63" s="28" t="str">
        <x:v>Land</x:v>
      </x:c>
      <x:c r="D63" s="30"/>
      <x:c r="E63" s="28" t="str">
        <x:v>Land</x:v>
      </x:c>
      <x:c r="F63" s="28" t="str">
        <x:v>No</x:v>
      </x:c>
      <x:c r="G63" s="28" t="str">
        <x:v>CURRENT</x:v>
      </x:c>
      <x:c r="H63" s="28" t="str">
        <x:v>BFZ 253</x:v>
      </x:c>
    </x:row>
    <x:row r="64">
      <x:c r="A64" s="28" t="n">
        <x:v>1</x:v>
      </x:c>
      <x:c r="B64" s="28" t="str">
        <x:v>Port Town</x:v>
      </x:c>
      <x:c r="C64" s="28" t="str">
        <x:v>Land</x:v>
      </x:c>
      <x:c r="D64" s="30"/>
      <x:c r="E64" s="28" t="str">
        <x:v>Land</x:v>
      </x:c>
      <x:c r="F64" s="28" t="str">
        <x:v>No</x:v>
      </x:c>
      <x:c r="G64" s="28" t="str">
        <x:v>CURRENT</x:v>
      </x:c>
      <x:c r="H64" s="28" t="str">
        <x:v>VOC 178</x:v>
      </x:c>
    </x:row>
    <x:row r="65">
      <x:c r="A65" s="28" t="n">
        <x:v>1</x:v>
      </x:c>
      <x:c r="B65" s="28" t="str">
        <x:v>Promise of Power</x:v>
      </x:c>
      <x:c r="C65" s="28" t="str">
        <x:v>Review type</x:v>
      </x:c>
      <x:c r="D65" s="30" t="n">
        <x:v>5</x:v>
      </x:c>
      <x:c r="E65" s="28" t="str">
        <x:v>2. Draw + selection</x:v>
      </x:c>
      <x:c r="F65" s="28" t="str">
        <x:v>No</x:v>
      </x:c>
      <x:c r="G65" s="28" t="str">
        <x:v>CURRENT</x:v>
      </x:c>
      <x:c r="H65" s="28" t="str">
        <x:v>C14 157</x:v>
      </x:c>
    </x:row>
    <x:row r="66">
      <x:c r="A66" s="28" t="n">
        <x:v>1</x:v>
      </x:c>
      <x:c r="B66" s="28" t="str">
        <x:v>Propaganda</x:v>
      </x:c>
      <x:c r="C66" s="28" t="str">
        <x:v>Enchantment</x:v>
      </x:c>
      <x:c r="D66" s="30" t="n">
        <x:v>3</x:v>
      </x:c>
      <x:c r="E66" s="28" t="str">
        <x:v>5. Tax + pillowfort</x:v>
      </x:c>
      <x:c r="F66" s="28" t="str">
        <x:v>Yes</x:v>
      </x:c>
      <x:c r="G66" s="28" t="str">
        <x:v>CURRENT</x:v>
      </x:c>
      <x:c r="H66" s="28" t="str">
        <x:v>C20 123</x:v>
      </x:c>
    </x:row>
    <x:row r="67">
      <x:c r="A67" s="28" t="n">
        <x:v>1</x:v>
      </x:c>
      <x:c r="B67" s="28" t="str">
        <x:v>Prophetic Prism</x:v>
      </x:c>
      <x:c r="C67" s="28" t="str">
        <x:v>Artifact</x:v>
      </x:c>
      <x:c r="D67" s="30" t="n">
        <x:v>2</x:v>
      </x:c>
      <x:c r="E67" s="28" t="str">
        <x:v>1. Ramp + fixing</x:v>
      </x:c>
      <x:c r="F67" s="28" t="str">
        <x:v>No</x:v>
      </x:c>
      <x:c r="G67" s="28" t="str">
        <x:v>CURRENT</x:v>
      </x:c>
      <x:c r="H67" s="28" t="str">
        <x:v>CLB 335</x:v>
      </x:c>
    </x:row>
    <x:row r="68">
      <x:c r="A68" s="28" t="n">
        <x:v>1</x:v>
      </x:c>
      <x:c r="B68" s="28" t="str">
        <x:v>Psychic Impetus</x:v>
      </x:c>
      <x:c r="C68" s="28" t="str">
        <x:v>Aura / Enchantment</x:v>
      </x:c>
      <x:c r="D68" s="30" t="n">
        <x:v>3</x:v>
      </x:c>
      <x:c r="E68" s="28" t="str">
        <x:v>7. Politics + combat manipulation</x:v>
      </x:c>
      <x:c r="F68" s="28" t="str">
        <x:v>Yes</x:v>
      </x:c>
      <x:c r="G68" s="28" t="str">
        <x:v>CURRENT</x:v>
      </x:c>
      <x:c r="H68" s="28" t="str">
        <x:v>C20 37</x:v>
      </x:c>
    </x:row>
    <x:row r="69">
      <x:c r="A69" s="28" t="n">
        <x:v>1</x:v>
      </x:c>
      <x:c r="B69" s="28" t="str">
        <x:v>Reconnaissance</x:v>
      </x:c>
      <x:c r="C69" s="28" t="str">
        <x:v>Review type</x:v>
      </x:c>
      <x:c r="D69" s="30" t="n">
        <x:v>1</x:v>
      </x:c>
      <x:c r="E69" s="28" t="str">
        <x:v>6. Protection + recursion</x:v>
      </x:c>
      <x:c r="F69" s="28" t="str">
        <x:v>No</x:v>
      </x:c>
      <x:c r="G69" s="28" t="str">
        <x:v>CURRENT</x:v>
      </x:c>
      <x:c r="H69" s="28" t="str">
        <x:v>ACR 179 *E*</x:v>
      </x:c>
    </x:row>
    <x:row r="70">
      <x:c r="A70" s="28" t="n">
        <x:v>1</x:v>
      </x:c>
      <x:c r="B70" s="28" t="str">
        <x:v>Sakashima the Impostor</x:v>
      </x:c>
      <x:c r="C70" s="28" t="str">
        <x:v>Creature</x:v>
      </x:c>
      <x:c r="D70" s="30" t="n">
        <x:v>4</x:v>
      </x:c>
      <x:c r="E70" s="28" t="str">
        <x:v>8. Synergy + wincons</x:v>
      </x:c>
      <x:c r="F70" s="28" t="str">
        <x:v>No</x:v>
      </x:c>
      <x:c r="G70" s="28" t="str">
        <x:v>CURRENT</x:v>
      </x:c>
      <x:c r="H70" s="28" t="str">
        <x:v>PLST SOK-53</x:v>
      </x:c>
    </x:row>
    <x:row r="71">
      <x:c r="A71" s="28" t="n">
        <x:v>1</x:v>
      </x:c>
      <x:c r="B71" s="28" t="str">
        <x:v>Sculpted Sunburst</x:v>
      </x:c>
      <x:c r="C71" s="28" t="str">
        <x:v>Sorcery</x:v>
      </x:c>
      <x:c r="D71" s="30" t="n">
        <x:v>5</x:v>
      </x:c>
      <x:c r="E71" s="28" t="str">
        <x:v>3. Interaction — non-enchantment</x:v>
      </x:c>
      <x:c r="F71" s="28" t="str">
        <x:v>No</x:v>
      </x:c>
      <x:c r="G71" s="28" t="str">
        <x:v>CURRENT</x:v>
      </x:c>
      <x:c r="H71" s="28" t="str">
        <x:v>CLB 42</x:v>
      </x:c>
    </x:row>
    <x:row r="72">
      <x:c r="A72" s="28" t="n">
        <x:v>1</x:v>
      </x:c>
      <x:c r="B72" s="28" t="str">
        <x:v>Secret Rendezvous</x:v>
      </x:c>
      <x:c r="C72" s="28" t="str">
        <x:v>Review type</x:v>
      </x:c>
      <x:c r="D72" s="30" t="n">
        <x:v>3</x:v>
      </x:c>
      <x:c r="E72" s="28" t="str">
        <x:v>2. Draw + selection</x:v>
      </x:c>
      <x:c r="F72" s="28" t="str">
        <x:v>No</x:v>
      </x:c>
      <x:c r="G72" s="28" t="str">
        <x:v>CURRENT</x:v>
      </x:c>
      <x:c r="H72" s="28" t="str">
        <x:v>STX 26</x:v>
      </x:c>
    </x:row>
    <x:row r="73">
      <x:c r="A73" s="28" t="n">
        <x:v>1</x:v>
      </x:c>
      <x:c r="B73" s="28" t="str">
        <x:v>Shade's Form</x:v>
      </x:c>
      <x:c r="C73" s="28" t="str">
        <x:v>Aura / Enchantment</x:v>
      </x:c>
      <x:c r="D73" s="30" t="n">
        <x:v>3</x:v>
      </x:c>
      <x:c r="E73" s="28" t="str">
        <x:v>6. Protection + recursion</x:v>
      </x:c>
      <x:c r="F73" s="28" t="str">
        <x:v>Yes</x:v>
      </x:c>
      <x:c r="G73" s="28" t="str">
        <x:v>CURRENT</x:v>
      </x:c>
      <x:c r="H73" s="28" t="str">
        <x:v>TOR 81</x:v>
      </x:c>
    </x:row>
    <x:row r="74">
      <x:c r="A74" s="28" t="n">
        <x:v>1</x:v>
      </x:c>
      <x:c r="B74" s="28" t="str">
        <x:v>Silent Arbiter</x:v>
      </x:c>
      <x:c r="C74" s="28" t="str">
        <x:v>Creature</x:v>
      </x:c>
      <x:c r="D74" s="30" t="n">
        <x:v>4</x:v>
      </x:c>
      <x:c r="E74" s="28" t="str">
        <x:v>5. Tax + pillowfort</x:v>
      </x:c>
      <x:c r="F74" s="28" t="str">
        <x:v>No</x:v>
      </x:c>
      <x:c r="G74" s="28" t="str">
        <x:v>CURRENT</x:v>
      </x:c>
      <x:c r="H74" s="28" t="str">
        <x:v>C20 250</x:v>
      </x:c>
    </x:row>
    <x:row r="75">
      <x:c r="A75" s="28" t="n">
        <x:v>1</x:v>
      </x:c>
      <x:c r="B75" s="28" t="str">
        <x:v>Sol Ring</x:v>
      </x:c>
      <x:c r="C75" s="28" t="str">
        <x:v>Artifact</x:v>
      </x:c>
      <x:c r="D75" s="30" t="n">
        <x:v>1</x:v>
      </x:c>
      <x:c r="E75" s="28" t="str">
        <x:v>1. Ramp + fixing</x:v>
      </x:c>
      <x:c r="F75" s="28" t="str">
        <x:v>No</x:v>
      </x:c>
      <x:c r="G75" s="28" t="str">
        <x:v>CURRENT</x:v>
      </x:c>
      <x:c r="H75" s="28" t="str">
        <x:v>C20 252</x:v>
      </x:c>
    </x:row>
    <x:row r="76">
      <x:c r="A76" s="28" t="n">
        <x:v>1</x:v>
      </x:c>
      <x:c r="B76" s="28" t="str">
        <x:v>Sphinx's Revelation</x:v>
      </x:c>
      <x:c r="C76" s="28" t="str">
        <x:v>Instant</x:v>
      </x:c>
      <x:c r="D76" s="30" t="n">
        <x:v>3</x:v>
      </x:c>
      <x:c r="E76" s="28" t="str">
        <x:v>2. Draw + selection</x:v>
      </x:c>
      <x:c r="F76" s="28" t="str">
        <x:v>No</x:v>
      </x:c>
      <x:c r="G76" s="28" t="str">
        <x:v>CURRENT</x:v>
      </x:c>
      <x:c r="H76" s="28" t="str">
        <x:v>RTR 200</x:v>
      </x:c>
    </x:row>
    <x:row r="77">
      <x:c r="A77" s="28" t="n">
        <x:v>1</x:v>
      </x:c>
      <x:c r="B77" s="28" t="str">
        <x:v>Stroke of Midnight</x:v>
      </x:c>
      <x:c r="C77" s="28" t="str">
        <x:v>Instant</x:v>
      </x:c>
      <x:c r="D77" s="30" t="n">
        <x:v>3</x:v>
      </x:c>
      <x:c r="E77" s="28" t="str">
        <x:v>3. Interaction — non-enchantment</x:v>
      </x:c>
      <x:c r="F77" s="28" t="str">
        <x:v>No</x:v>
      </x:c>
      <x:c r="G77" s="28" t="str">
        <x:v>CURRENT</x:v>
      </x:c>
      <x:c r="H77" s="28" t="str">
        <x:v>WOE 33</x:v>
      </x:c>
    </x:row>
    <x:row r="78">
      <x:c r="A78" s="28" t="n">
        <x:v>1</x:v>
      </x:c>
      <x:c r="B78" s="28" t="str">
        <x:v>Sun Titan</x:v>
      </x:c>
      <x:c r="C78" s="28" t="str">
        <x:v>Creature</x:v>
      </x:c>
      <x:c r="D78" s="30" t="n">
        <x:v>6</x:v>
      </x:c>
      <x:c r="E78" s="28" t="str">
        <x:v>6. Protection + recursion</x:v>
      </x:c>
      <x:c r="F78" s="28" t="str">
        <x:v>No</x:v>
      </x:c>
      <x:c r="G78" s="28" t="str">
        <x:v>CURRENT</x:v>
      </x:c>
      <x:c r="H78" s="28" t="str">
        <x:v>MKC 87</x:v>
      </x:c>
    </x:row>
    <x:row r="79">
      <x:c r="A79" s="28" t="n">
        <x:v>1</x:v>
      </x:c>
      <x:c r="B79" s="28" t="str">
        <x:v>Supreme Verdict</x:v>
      </x:c>
      <x:c r="C79" s="28" t="str">
        <x:v>Sorcery</x:v>
      </x:c>
      <x:c r="D79" s="30" t="n">
        <x:v>4</x:v>
      </x:c>
      <x:c r="E79" s="28" t="str">
        <x:v>3. Interaction — non-enchantment</x:v>
      </x:c>
      <x:c r="F79" s="28" t="str">
        <x:v>No</x:v>
      </x:c>
      <x:c r="G79" s="28" t="str">
        <x:v>CURRENT</x:v>
      </x:c>
      <x:c r="H79" s="28" t="str">
        <x:v>PLST IMA-210</x:v>
      </x:c>
    </x:row>
    <x:row r="80">
      <x:c r="A80" s="28" t="n">
        <x:v>5</x:v>
      </x:c>
      <x:c r="B80" s="28" t="str">
        <x:v>Swamp</x:v>
      </x:c>
      <x:c r="C80" s="28" t="str">
        <x:v>Land</x:v>
      </x:c>
      <x:c r="D80" s="30"/>
      <x:c r="E80" s="28" t="str">
        <x:v>Land</x:v>
      </x:c>
      <x:c r="F80" s="28" t="str">
        <x:v>No</x:v>
      </x:c>
      <x:c r="G80" s="28" t="str">
        <x:v>CURRENT</x:v>
      </x:c>
      <x:c r="H80" s="28" t="str">
        <x:v>BFZ 264</x:v>
      </x:c>
    </x:row>
    <x:row r="81">
      <x:c r="A81" s="28" t="n">
        <x:v>1</x:v>
      </x:c>
      <x:c r="B81" s="28" t="str">
        <x:v>Talisman of Hierarchy</x:v>
      </x:c>
      <x:c r="C81" s="28" t="str">
        <x:v>Artifact</x:v>
      </x:c>
      <x:c r="D81" s="30" t="n">
        <x:v>2</x:v>
      </x:c>
      <x:c r="E81" s="28" t="str">
        <x:v>1. Ramp + fixing</x:v>
      </x:c>
      <x:c r="F81" s="28" t="str">
        <x:v>No</x:v>
      </x:c>
      <x:c r="G81" s="28" t="str">
        <x:v>CURRENT</x:v>
      </x:c>
      <x:c r="H81" s="28" t="str">
        <x:v>MH1 233</x:v>
      </x:c>
    </x:row>
    <x:row r="82">
      <x:c r="A82" s="28" t="n">
        <x:v>1</x:v>
      </x:c>
      <x:c r="B82" s="28" t="str">
        <x:v>Teferi, Time Raveler</x:v>
      </x:c>
      <x:c r="C82" s="28" t="str">
        <x:v>Planeswalker</x:v>
      </x:c>
      <x:c r="D82" s="30" t="n">
        <x:v>3</x:v>
      </x:c>
      <x:c r="E82" s="28" t="str">
        <x:v>3. Interaction — non-enchantment</x:v>
      </x:c>
      <x:c r="F82" s="28" t="str">
        <x:v>No</x:v>
      </x:c>
      <x:c r="G82" s="28" t="str">
        <x:v>CURRENT</x:v>
      </x:c>
      <x:c r="H82" s="28" t="str">
        <x:v>PWAR 221p</x:v>
      </x:c>
    </x:row>
    <x:row r="83">
      <x:c r="A83" s="28" t="n">
        <x:v>1</x:v>
      </x:c>
      <x:c r="B83" s="28" t="str">
        <x:v>Underworld Dreams</x:v>
      </x:c>
      <x:c r="C83" s="28" t="str">
        <x:v>Enchantment</x:v>
      </x:c>
      <x:c r="D83" s="30" t="n">
        <x:v>3</x:v>
      </x:c>
      <x:c r="E83" s="28" t="str">
        <x:v>8. Synergy + wincons</x:v>
      </x:c>
      <x:c r="F83" s="28" t="str">
        <x:v>Yes</x:v>
      </x:c>
      <x:c r="G83" s="28" t="str">
        <x:v>CURRENT</x:v>
      </x:c>
      <x:c r="H83" s="28" t="str">
        <x:v>THB 121</x:v>
      </x:c>
    </x:row>
    <x:row r="84">
      <x:c r="A84" s="28" t="n">
        <x:v>1</x:v>
      </x:c>
      <x:c r="B84" s="28" t="str">
        <x:v>Wedding Ring</x:v>
      </x:c>
      <x:c r="C84" s="28" t="str">
        <x:v>Artifact</x:v>
      </x:c>
      <x:c r="D84" s="30" t="n">
        <x:v>4</x:v>
      </x:c>
      <x:c r="E84" s="28" t="str">
        <x:v>2. Draw + selection</x:v>
      </x:c>
      <x:c r="F84" s="28" t="str">
        <x:v>No</x:v>
      </x:c>
      <x:c r="G84" s="28" t="str">
        <x:v>CURRENT</x:v>
      </x:c>
      <x:c r="H84" s="28" t="str">
        <x:v>VOC 32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62463bfbd454b5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9" hidden="0" customWidth="1"/>
    <x:col min="3" max="3" width="27" hidden="0" customWidth="1"/>
    <x:col min="4" max="4" width="8" hidden="0" customWidth="1"/>
    <x:col min="5" max="5" width="31" hidden="0" customWidth="1"/>
    <x:col min="6" max="6" width="19" hidden="0" customWidth="1"/>
    <x:col min="7" max="7" width="19" hidden="0" customWidth="1"/>
    <x:col min="8" max="8" width="24" hidden="0" customWidth="1"/>
  </x:cols>
  <x:sheetData>
    <x:row r="1" ht="30" customHeight="1">
      <x:c r="A1" s="5" t="str">
        <x:v>PROPOSED V3 — Lista projetada</x:v>
      </x:c>
      <x:c r="B1" s="5"/>
      <x:c r="C1" s="5"/>
      <x:c r="D1" s="5"/>
      <x:c r="E1" s="5"/>
      <x:c r="F1" s="5"/>
      <x:c r="G1" s="5"/>
      <x:c r="H1" s="5"/>
      <x:c r="I1" s="112"/>
      <x:c r="J1" s="112"/>
      <x:c r="K1" s="112"/>
      <x:c r="L1" s="112"/>
      <x:c r="M1" s="112"/>
      <x:c r="N1" s="112"/>
    </x:row>
    <x:row r="2" ht="30" customHeight="1">
      <x:c r="A2" s="13" t="str">
        <x:v>Proposta de revisão aprofundada; ainda não testada. Mantém 100 cartas e 33 terrenos físicos. Não significa que cartas foram compradas ou incluídas.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Qtd.</x:v>
      </x:c>
      <x:c r="B4" s="22" t="str">
        <x:v>Carta</x:v>
      </x:c>
      <x:c r="C4" s="22" t="str">
        <x:v>Tipo (referência)</x:v>
      </x:c>
      <x:c r="D4" s="22" t="str">
        <x:v>MV</x:v>
      </x:c>
      <x:c r="E4" s="22" t="str">
        <x:v>Grupo primário</x:v>
      </x:c>
      <x:c r="F4" s="22" t="str">
        <x:v>Zur pode buscar?</x:v>
      </x:c>
      <x:c r="G4" s="22" t="str">
        <x:v>Estado</x:v>
      </x:c>
      <x:c r="H4" s="22" t="str">
        <x:v>Impressão / status</x:v>
      </x:c>
    </x:row>
    <x:row r="5">
      <x:c r="A5" s="28" t="n">
        <x:v>1</x:v>
      </x:c>
      <x:c r="B5" s="28" t="str">
        <x:v>Zur the Enchanter</x:v>
      </x:c>
      <x:c r="C5" s="28" t="str">
        <x:v>Legendary Creature — Wizard</x:v>
      </x:c>
      <x:c r="D5" s="28" t="n">
        <x:v>4</x:v>
      </x:c>
      <x:c r="E5" s="28" t="str">
        <x:v>Commander</x:v>
      </x:c>
      <x:c r="F5" s="28" t="str">
        <x:v>No</x:v>
      </x:c>
      <x:c r="G5" s="28" t="str">
        <x:v>COMMANDER — mantido</x:v>
      </x:c>
      <x:c r="H5" s="28" t="str">
        <x:v>CSP 135</x:v>
      </x:c>
    </x:row>
    <x:row r="6">
      <x:c r="A6" s="28" t="n">
        <x:v>1</x:v>
      </x:c>
      <x:c r="B6" s="28" t="str">
        <x:v>Act of Authority</x:v>
      </x:c>
      <x:c r="C6" s="28" t="str">
        <x:v>Enchantment</x:v>
      </x:c>
      <x:c r="D6" s="28" t="n">
        <x:v>3</x:v>
      </x:c>
      <x:c r="E6" s="28" t="str">
        <x:v>4. Enchantment toolbox / removal</x:v>
      </x:c>
      <x:c r="F6" s="28" t="str">
        <x:v>Yes</x:v>
      </x:c>
      <x:c r="G6" s="28" t="str">
        <x:v>CURRENT — mantida</x:v>
      </x:c>
      <x:c r="H6" s="28" t="str">
        <x:v>C13 1</x:v>
      </x:c>
    </x:row>
    <x:row r="7">
      <x:c r="A7" s="28" t="n">
        <x:v>1</x:v>
      </x:c>
      <x:c r="B7" s="28" t="str">
        <x:v>Vanishing</x:v>
      </x:c>
      <x:c r="C7" s="28" t="str">
        <x:v>Enchantment — Aura</x:v>
      </x:c>
      <x:c r="D7" s="28" t="n">
        <x:v>1</x:v>
      </x:c>
      <x:c r="E7" s="28" t="str">
        <x:v>6. Protection + recursion</x:v>
      </x:c>
      <x:c r="F7" s="28" t="str">
        <x:v>Yes</x:v>
      </x:c>
      <x:c r="G7" s="28" t="str">
        <x:v>PROPOSED V3 — não testada</x:v>
      </x:c>
      <x:c r="H7" s="28" t="str">
        <x:v>New recommendation</x:v>
      </x:c>
    </x:row>
    <x:row r="8">
      <x:c r="A8" s="28" t="n">
        <x:v>1</x:v>
      </x:c>
      <x:c r="B8" s="28" t="str">
        <x:v>All That Glitters</x:v>
      </x:c>
      <x:c r="C8" s="28" t="str">
        <x:v>Enchantment</x:v>
      </x:c>
      <x:c r="D8" s="28" t="n">
        <x:v>2</x:v>
      </x:c>
      <x:c r="E8" s="28" t="str">
        <x:v>8. Synergy + wincons</x:v>
      </x:c>
      <x:c r="F8" s="28" t="str">
        <x:v>Yes</x:v>
      </x:c>
      <x:c r="G8" s="28" t="str">
        <x:v>CURRENT — mantida</x:v>
      </x:c>
      <x:c r="H8" s="28" t="str">
        <x:v>CMM 622</x:v>
      </x:c>
    </x:row>
    <x:row r="9">
      <x:c r="A9" s="28" t="n">
        <x:v>1</x:v>
      </x:c>
      <x:c r="B9" s="28" t="str">
        <x:v>Alseid of Life's Bounty</x:v>
      </x:c>
      <x:c r="C9" s="28" t="str">
        <x:v>Enchantment Creature</x:v>
      </x:c>
      <x:c r="D9" s="28" t="n">
        <x:v>1</x:v>
      </x:c>
      <x:c r="E9" s="28" t="str">
        <x:v>6. Protection + recursion</x:v>
      </x:c>
      <x:c r="F9" s="28" t="str">
        <x:v>Yes</x:v>
      </x:c>
      <x:c r="G9" s="28" t="str">
        <x:v>CURRENT — mantida</x:v>
      </x:c>
      <x:c r="H9" s="28" t="str">
        <x:v>THB 1</x:v>
      </x:c>
    </x:row>
    <x:row r="10">
      <x:c r="A10" s="28" t="n">
        <x:v>1</x:v>
      </x:c>
      <x:c r="B10" s="28" t="str">
        <x:v>Arcane Sanctum</x:v>
      </x:c>
      <x:c r="C10" s="28" t="str">
        <x:v>Land</x:v>
      </x:c>
      <x:c r="D10" s="28"/>
      <x:c r="E10" s="28" t="str">
        <x:v>Land</x:v>
      </x:c>
      <x:c r="F10" s="28" t="str">
        <x:v>No</x:v>
      </x:c>
      <x:c r="G10" s="28" t="str">
        <x:v>CURRENT — mantida</x:v>
      </x:c>
      <x:c r="H10" s="28" t="str">
        <x:v>PLST C18-232</x:v>
      </x:c>
    </x:row>
    <x:row r="11">
      <x:c r="A11" s="28" t="n">
        <x:v>1</x:v>
      </x:c>
      <x:c r="B11" s="28" t="str">
        <x:v>Arcane Signet</x:v>
      </x:c>
      <x:c r="C11" s="28" t="str">
        <x:v>Artifact</x:v>
      </x:c>
      <x:c r="D11" s="28" t="n">
        <x:v>2</x:v>
      </x:c>
      <x:c r="E11" s="28" t="str">
        <x:v>1. Ramp + fixing</x:v>
      </x:c>
      <x:c r="F11" s="28" t="str">
        <x:v>No</x:v>
      </x:c>
      <x:c r="G11" s="28" t="str">
        <x:v>CURRENT — mantida</x:v>
      </x:c>
      <x:c r="H11" s="28" t="str">
        <x:v>CMR 297</x:v>
      </x:c>
    </x:row>
    <x:row r="12">
      <x:c r="A12" s="28" t="n">
        <x:v>1</x:v>
      </x:c>
      <x:c r="B12" s="28" t="str">
        <x:v>Arguel's Blood Fast</x:v>
      </x:c>
      <x:c r="C12" s="28" t="str">
        <x:v>Enchantment</x:v>
      </x:c>
      <x:c r="D12" s="28" t="n">
        <x:v>2</x:v>
      </x:c>
      <x:c r="E12" s="28" t="str">
        <x:v>2. Draw + selection</x:v>
      </x:c>
      <x:c r="F12" s="28" t="str">
        <x:v>Yes</x:v>
      </x:c>
      <x:c r="G12" s="28" t="str">
        <x:v>CURRENT — mantida</x:v>
      </x:c>
      <x:c r="H12" s="28" t="str">
        <x:v>V17 2</x:v>
      </x:c>
    </x:row>
    <x:row r="13">
      <x:c r="A13" s="28" t="n">
        <x:v>1</x:v>
      </x:c>
      <x:c r="B13" s="28" t="str">
        <x:v>Drowned Catacomb</x:v>
      </x:c>
      <x:c r="C13" s="28" t="str">
        <x:v>Land</x:v>
      </x:c>
      <x:c r="D13" s="28"/>
      <x:c r="E13" s="28" t="str">
        <x:v>Land</x:v>
      </x:c>
      <x:c r="F13" s="28" t="str">
        <x:v>No</x:v>
      </x:c>
      <x:c r="G13" s="28" t="str">
        <x:v>PROPOSED V3 — não testada</x:v>
      </x:c>
      <x:c r="H13" s="28" t="str">
        <x:v>New recommendation</x:v>
      </x:c>
    </x:row>
    <x:row r="14">
      <x:c r="A14" s="28" t="n">
        <x:v>1</x:v>
      </x:c>
      <x:c r="B14" s="28" t="str">
        <x:v>Talisman of Progress</x:v>
      </x:c>
      <x:c r="C14" s="28" t="str">
        <x:v>Artifact</x:v>
      </x:c>
      <x:c r="D14" s="28" t="n">
        <x:v>2</x:v>
      </x:c>
      <x:c r="E14" s="28" t="str">
        <x:v>1. Ramp + fixing</x:v>
      </x:c>
      <x:c r="F14" s="28" t="str">
        <x:v>No</x:v>
      </x:c>
      <x:c r="G14" s="28" t="str">
        <x:v>PROPOSED V3 — não testada</x:v>
      </x:c>
      <x:c r="H14" s="28" t="str">
        <x:v>New recommendation</x:v>
      </x:c>
    </x:row>
    <x:row r="15">
      <x:c r="A15" s="28" t="n">
        <x:v>1</x:v>
      </x:c>
      <x:c r="B15" s="28" t="str">
        <x:v>Baleful Strix</x:v>
      </x:c>
      <x:c r="C15" s="28" t="str">
        <x:v>Creature</x:v>
      </x:c>
      <x:c r="D15" s="28" t="n">
        <x:v>2</x:v>
      </x:c>
      <x:c r="E15" s="28" t="str">
        <x:v>2. Draw + selection</x:v>
      </x:c>
      <x:c r="F15" s="28" t="str">
        <x:v>No</x:v>
      </x:c>
      <x:c r="G15" s="28" t="str">
        <x:v>CURRENT — mantida</x:v>
      </x:c>
      <x:c r="H15" s="28" t="str">
        <x:v>PLST PCA-82</x:v>
      </x:c>
    </x:row>
    <x:row r="16">
      <x:c r="A16" s="28" t="n">
        <x:v>1</x:v>
      </x:c>
      <x:c r="B16" s="28" t="str">
        <x:v>Blind Obedience</x:v>
      </x:c>
      <x:c r="C16" s="28" t="str">
        <x:v>Enchantment</x:v>
      </x:c>
      <x:c r="D16" s="28" t="n">
        <x:v>2</x:v>
      </x:c>
      <x:c r="E16" s="28" t="str">
        <x:v>5. Tax + pillowfort</x:v>
      </x:c>
      <x:c r="F16" s="28" t="str">
        <x:v>Yes</x:v>
      </x:c>
      <x:c r="G16" s="28" t="str">
        <x:v>CURRENT — mantida</x:v>
      </x:c>
      <x:c r="H16" s="28" t="str">
        <x:v>GTC 6</x:v>
      </x:c>
    </x:row>
    <x:row r="17">
      <x:c r="A17" s="28" t="n">
        <x:v>1</x:v>
      </x:c>
      <x:c r="B17" s="28" t="str">
        <x:v>Bloodthirsty Blade</x:v>
      </x:c>
      <x:c r="C17" s="28" t="str">
        <x:v>Artifact — Equipment</x:v>
      </x:c>
      <x:c r="D17" s="28" t="n">
        <x:v>2</x:v>
      </x:c>
      <x:c r="E17" s="28" t="str">
        <x:v>7. Politics + combat manipulation</x:v>
      </x:c>
      <x:c r="F17" s="28" t="str">
        <x:v>No</x:v>
      </x:c>
      <x:c r="G17" s="28" t="str">
        <x:v>CURRENT — mantida</x:v>
      </x:c>
      <x:c r="H17" s="28" t="str">
        <x:v>C19 53</x:v>
      </x:c>
    </x:row>
    <x:row r="18">
      <x:c r="A18" s="28" t="n">
        <x:v>1</x:v>
      </x:c>
      <x:c r="B18" s="28" t="str">
        <x:v>Brainstorm</x:v>
      </x:c>
      <x:c r="C18" s="28" t="str">
        <x:v>Instant</x:v>
      </x:c>
      <x:c r="D18" s="28" t="n">
        <x:v>1</x:v>
      </x:c>
      <x:c r="E18" s="28" t="str">
        <x:v>2. Draw + selection</x:v>
      </x:c>
      <x:c r="F18" s="28" t="str">
        <x:v>No</x:v>
      </x:c>
      <x:c r="G18" s="28" t="str">
        <x:v>CURRENT — mantida</x:v>
      </x:c>
      <x:c r="H18" s="28" t="str">
        <x:v>2XM 44</x:v>
      </x:c>
    </x:row>
    <x:row r="19">
      <x:c r="A19" s="28" t="n">
        <x:v>1</x:v>
      </x:c>
      <x:c r="B19" s="28" t="str">
        <x:v>By Invitation Only</x:v>
      </x:c>
      <x:c r="C19" s="28" t="str">
        <x:v>Sorcery</x:v>
      </x:c>
      <x:c r="D19" s="28" t="n">
        <x:v>5</x:v>
      </x:c>
      <x:c r="E19" s="28" t="str">
        <x:v>3. Interaction — non-enchantment</x:v>
      </x:c>
      <x:c r="F19" s="28" t="str">
        <x:v>No</x:v>
      </x:c>
      <x:c r="G19" s="28" t="str">
        <x:v>CURRENT — mantida</x:v>
      </x:c>
      <x:c r="H19" s="28" t="str">
        <x:v>VOW 5</x:v>
      </x:c>
    </x:row>
    <x:row r="20">
      <x:c r="A20" s="28" t="n">
        <x:v>1</x:v>
      </x:c>
      <x:c r="B20" s="28" t="str">
        <x:v>Chromatic Lantern</x:v>
      </x:c>
      <x:c r="C20" s="28" t="str">
        <x:v>Artifact</x:v>
      </x:c>
      <x:c r="D20" s="28" t="n">
        <x:v>3</x:v>
      </x:c>
      <x:c r="E20" s="28" t="str">
        <x:v>1. Ramp + fixing</x:v>
      </x:c>
      <x:c r="F20" s="28" t="str">
        <x:v>No</x:v>
      </x:c>
      <x:c r="G20" s="28" t="str">
        <x:v>CURRENT — mantida</x:v>
      </x:c>
      <x:c r="H20" s="28" t="str">
        <x:v>CMM 376</x:v>
      </x:c>
    </x:row>
    <x:row r="21">
      <x:c r="A21" s="28" t="n">
        <x:v>1</x:v>
      </x:c>
      <x:c r="B21" s="28" t="str">
        <x:v>Curse of Disturbance</x:v>
      </x:c>
      <x:c r="C21" s="28" t="str">
        <x:v>Enchantment — Aura Curse</x:v>
      </x:c>
      <x:c r="D21" s="28" t="n">
        <x:v>3</x:v>
      </x:c>
      <x:c r="E21" s="28" t="str">
        <x:v>7. Politics + combat manipulation</x:v>
      </x:c>
      <x:c r="F21" s="28" t="str">
        <x:v>Yes</x:v>
      </x:c>
      <x:c r="G21" s="28" t="str">
        <x:v>PROPOSED V3 — não testada</x:v>
      </x:c>
      <x:c r="H21" s="28" t="str">
        <x:v>New recommendation</x:v>
      </x:c>
    </x:row>
    <x:row r="22">
      <x:c r="A22" s="28" t="n">
        <x:v>1</x:v>
      </x:c>
      <x:c r="B22" s="28" t="str">
        <x:v>Combat Research</x:v>
      </x:c>
      <x:c r="C22" s="28" t="str">
        <x:v>Aura / Enchantment</x:v>
      </x:c>
      <x:c r="D22" s="28" t="n">
        <x:v>1</x:v>
      </x:c>
      <x:c r="E22" s="28" t="str">
        <x:v>2. Draw + selection</x:v>
      </x:c>
      <x:c r="F22" s="28" t="str">
        <x:v>Yes</x:v>
      </x:c>
      <x:c r="G22" s="28" t="str">
        <x:v>CURRENT — mantida</x:v>
      </x:c>
      <x:c r="H22" s="28" t="str">
        <x:v>DMU 44</x:v>
      </x:c>
    </x:row>
    <x:row r="23">
      <x:c r="A23" s="28" t="n">
        <x:v>1</x:v>
      </x:c>
      <x:c r="B23" s="28" t="str">
        <x:v>Command Tower</x:v>
      </x:c>
      <x:c r="C23" s="28" t="str">
        <x:v>Land</x:v>
      </x:c>
      <x:c r="D23" s="28"/>
      <x:c r="E23" s="28" t="str">
        <x:v>Land</x:v>
      </x:c>
      <x:c r="F23" s="28" t="str">
        <x:v>No</x:v>
      </x:c>
      <x:c r="G23" s="28" t="str">
        <x:v>CURRENT — mantida</x:v>
      </x:c>
      <x:c r="H23" s="28" t="str">
        <x:v>LCC 325</x:v>
      </x:c>
    </x:row>
    <x:row r="24">
      <x:c r="A24" s="28" t="n">
        <x:v>1</x:v>
      </x:c>
      <x:c r="B24" s="28" t="str">
        <x:v>Commander's Sphere</x:v>
      </x:c>
      <x:c r="C24" s="28" t="str">
        <x:v>Artifact</x:v>
      </x:c>
      <x:c r="D24" s="28" t="n">
        <x:v>3</x:v>
      </x:c>
      <x:c r="E24" s="28" t="str">
        <x:v>1. Ramp + fixing</x:v>
      </x:c>
      <x:c r="F24" s="28" t="str">
        <x:v>No</x:v>
      </x:c>
      <x:c r="G24" s="28" t="str">
        <x:v>CURRENT — mantida</x:v>
      </x:c>
      <x:c r="H24" s="28" t="str">
        <x:v>VOC 163</x:v>
      </x:c>
    </x:row>
    <x:row r="25">
      <x:c r="A25" s="28" t="n">
        <x:v>1</x:v>
      </x:c>
      <x:c r="B25" s="28" t="str">
        <x:v>Consecrated Sphinx</x:v>
      </x:c>
      <x:c r="C25" s="28" t="str">
        <x:v>Creature</x:v>
      </x:c>
      <x:c r="D25" s="28" t="n">
        <x:v>6</x:v>
      </x:c>
      <x:c r="E25" s="28" t="str">
        <x:v>2. Draw + selection</x:v>
      </x:c>
      <x:c r="F25" s="28" t="str">
        <x:v>No</x:v>
      </x:c>
      <x:c r="G25" s="28" t="str">
        <x:v>CURRENT — mantida</x:v>
      </x:c>
      <x:c r="H25" s="28" t="str">
        <x:v>2X2 43</x:v>
      </x:c>
    </x:row>
    <x:row r="26">
      <x:c r="A26" s="28" t="n">
        <x:v>1</x:v>
      </x:c>
      <x:c r="B26" s="28" t="str">
        <x:v>Copy Enchantment</x:v>
      </x:c>
      <x:c r="C26" s="28" t="str">
        <x:v>Enchantment</x:v>
      </x:c>
      <x:c r="D26" s="28" t="n">
        <x:v>3</x:v>
      </x:c>
      <x:c r="E26" s="28" t="str">
        <x:v>8. Synergy + wincons</x:v>
      </x:c>
      <x:c r="F26" s="28" t="str">
        <x:v>Yes</x:v>
      </x:c>
      <x:c r="G26" s="28" t="str">
        <x:v>CURRENT — mantida</x:v>
      </x:c>
      <x:c r="H26" s="28" t="str">
        <x:v>RAV 42</x:v>
      </x:c>
    </x:row>
    <x:row r="27">
      <x:c r="A27" s="28" t="n">
        <x:v>1</x:v>
      </x:c>
      <x:c r="B27" s="28" t="str">
        <x:v>Crawlspace</x:v>
      </x:c>
      <x:c r="C27" s="28" t="str">
        <x:v>Artifact</x:v>
      </x:c>
      <x:c r="D27" s="28" t="n">
        <x:v>3</x:v>
      </x:c>
      <x:c r="E27" s="28" t="str">
        <x:v>5. Tax + pillowfort</x:v>
      </x:c>
      <x:c r="F27" s="28" t="str">
        <x:v>No</x:v>
      </x:c>
      <x:c r="G27" s="28" t="str">
        <x:v>CURRENT — mantida</x:v>
      </x:c>
      <x:c r="H27" s="28" t="str">
        <x:v>C13 240</x:v>
      </x:c>
    </x:row>
    <x:row r="28">
      <x:c r="A28" s="28" t="n">
        <x:v>1</x:v>
      </x:c>
      <x:c r="B28" s="28" t="str">
        <x:v>Crystal Chimes</x:v>
      </x:c>
      <x:c r="C28" s="28" t="str">
        <x:v>Artifact</x:v>
      </x:c>
      <x:c r="D28" s="28" t="n">
        <x:v>3</x:v>
      </x:c>
      <x:c r="E28" s="28" t="str">
        <x:v>6. Protection + recursion</x:v>
      </x:c>
      <x:c r="F28" s="28" t="str">
        <x:v>No</x:v>
      </x:c>
      <x:c r="G28" s="28" t="str">
        <x:v>CURRENT — mantida</x:v>
      </x:c>
      <x:c r="H28" s="28" t="str">
        <x:v>PLST C15-250</x:v>
      </x:c>
    </x:row>
    <x:row r="29">
      <x:c r="A29" s="28" t="n">
        <x:v>1</x:v>
      </x:c>
      <x:c r="B29" s="28" t="str">
        <x:v>Mystic Remora</x:v>
      </x:c>
      <x:c r="C29" s="28" t="str">
        <x:v>Enchantment</x:v>
      </x:c>
      <x:c r="D29" s="28" t="n">
        <x:v>1</x:v>
      </x:c>
      <x:c r="E29" s="28" t="str">
        <x:v>2. Draw + selection</x:v>
      </x:c>
      <x:c r="F29" s="28" t="str">
        <x:v>Yes</x:v>
      </x:c>
      <x:c r="G29" s="28" t="str">
        <x:v>PROPOSED V3 — não testada</x:v>
      </x:c>
      <x:c r="H29" s="28" t="str">
        <x:v>New recommendation</x:v>
      </x:c>
    </x:row>
    <x:row r="30">
      <x:c r="A30" s="28" t="n">
        <x:v>1</x:v>
      </x:c>
      <x:c r="B30" s="28" t="str">
        <x:v>Darksteel Mutation</x:v>
      </x:c>
      <x:c r="C30" s="28" t="str">
        <x:v>Aura / Enchantment</x:v>
      </x:c>
      <x:c r="D30" s="28" t="n">
        <x:v>2</x:v>
      </x:c>
      <x:c r="E30" s="28" t="str">
        <x:v>4. Enchantment toolbox / removal</x:v>
      </x:c>
      <x:c r="F30" s="28" t="str">
        <x:v>Yes</x:v>
      </x:c>
      <x:c r="G30" s="28" t="str">
        <x:v>CURRENT — mantida</x:v>
      </x:c>
      <x:c r="H30" s="28" t="str">
        <x:v>VOC 84</x:v>
      </x:c>
    </x:row>
    <x:row r="31">
      <x:c r="A31" s="28" t="n">
        <x:v>1</x:v>
      </x:c>
      <x:c r="B31" s="28" t="str">
        <x:v>Decanter of Endless Water</x:v>
      </x:c>
      <x:c r="C31" s="28" t="str">
        <x:v>Artifact</x:v>
      </x:c>
      <x:c r="D31" s="28" t="n">
        <x:v>3</x:v>
      </x:c>
      <x:c r="E31" s="28" t="str">
        <x:v>1. Ramp + fixing</x:v>
      </x:c>
      <x:c r="F31" s="28" t="str">
        <x:v>No</x:v>
      </x:c>
      <x:c r="G31" s="28" t="str">
        <x:v>CURRENT — mantida</x:v>
      </x:c>
      <x:c r="H31" s="28" t="str">
        <x:v>CLB 444</x:v>
      </x:c>
    </x:row>
    <x:row r="32">
      <x:c r="A32" s="28" t="n">
        <x:v>1</x:v>
      </x:c>
      <x:c r="B32" s="28" t="str">
        <x:v>Dictate of Kruphix</x:v>
      </x:c>
      <x:c r="C32" s="28" t="str">
        <x:v>Enchantment</x:v>
      </x:c>
      <x:c r="D32" s="28" t="n">
        <x:v>3</x:v>
      </x:c>
      <x:c r="E32" s="28" t="str">
        <x:v>2. Draw + selection</x:v>
      </x:c>
      <x:c r="F32" s="28" t="str">
        <x:v>Yes</x:v>
      </x:c>
      <x:c r="G32" s="28" t="str">
        <x:v>CURRENT — mantida</x:v>
      </x:c>
      <x:c r="H32" s="28" t="str">
        <x:v>PJOU 37</x:v>
      </x:c>
    </x:row>
    <x:row r="33">
      <x:c r="A33" s="28" t="n">
        <x:v>1</x:v>
      </x:c>
      <x:c r="B33" s="28" t="str">
        <x:v>Swan Song</x:v>
      </x:c>
      <x:c r="C33" s="28" t="str">
        <x:v>Instant</x:v>
      </x:c>
      <x:c r="D33" s="28" t="n">
        <x:v>1</x:v>
      </x:c>
      <x:c r="E33" s="28" t="str">
        <x:v>3. Interaction — non-enchantment</x:v>
      </x:c>
      <x:c r="F33" s="28" t="str">
        <x:v>No</x:v>
      </x:c>
      <x:c r="G33" s="28" t="str">
        <x:v>PROPOSED V3 — não testada</x:v>
      </x:c>
      <x:c r="H33" s="28" t="str">
        <x:v>New recommendation</x:v>
      </x:c>
    </x:row>
    <x:row r="34">
      <x:c r="A34" s="28" t="n">
        <x:v>1</x:v>
      </x:c>
      <x:c r="B34" s="28" t="str">
        <x:v>Dovin's Veto</x:v>
      </x:c>
      <x:c r="C34" s="28" t="str">
        <x:v>Instant</x:v>
      </x:c>
      <x:c r="D34" s="28" t="n">
        <x:v>2</x:v>
      </x:c>
      <x:c r="E34" s="28" t="str">
        <x:v>3. Interaction — non-enchantment</x:v>
      </x:c>
      <x:c r="F34" s="28" t="str">
        <x:v>No</x:v>
      </x:c>
      <x:c r="G34" s="28" t="str">
        <x:v>PROPOSED V3 — não testada</x:v>
      </x:c>
      <x:c r="H34" s="28" t="str">
        <x:v>New recommendation</x:v>
      </x:c>
    </x:row>
    <x:row r="35">
      <x:c r="A35" s="28" t="n">
        <x:v>1</x:v>
      </x:c>
      <x:c r="B35" s="28" t="str">
        <x:v>Fracture</x:v>
      </x:c>
      <x:c r="C35" s="28" t="str">
        <x:v>Instant</x:v>
      </x:c>
      <x:c r="D35" s="28" t="n">
        <x:v>2</x:v>
      </x:c>
      <x:c r="E35" s="28" t="str">
        <x:v>3. Interaction — non-enchantment</x:v>
      </x:c>
      <x:c r="F35" s="28" t="str">
        <x:v>No</x:v>
      </x:c>
      <x:c r="G35" s="28" t="str">
        <x:v>CURRENT — mantida</x:v>
      </x:c>
      <x:c r="H35" s="28" t="str">
        <x:v>STX 188</x:v>
      </x:c>
    </x:row>
    <x:row r="36">
      <x:c r="A36" s="28" t="n">
        <x:v>1</x:v>
      </x:c>
      <x:c r="B36" s="28" t="str">
        <x:v>Greater Auramancy</x:v>
      </x:c>
      <x:c r="C36" s="28" t="str">
        <x:v>Enchantment</x:v>
      </x:c>
      <x:c r="D36" s="28" t="n">
        <x:v>2</x:v>
      </x:c>
      <x:c r="E36" s="28" t="str">
        <x:v>6. Protection + recursion</x:v>
      </x:c>
      <x:c r="F36" s="28" t="str">
        <x:v>Yes</x:v>
      </x:c>
      <x:c r="G36" s="28" t="str">
        <x:v>CURRENT — mantida</x:v>
      </x:c>
      <x:c r="H36" s="28" t="str">
        <x:v>P22 1</x:v>
      </x:c>
    </x:row>
    <x:row r="37">
      <x:c r="A37" s="28" t="n">
        <x:v>1</x:v>
      </x:c>
      <x:c r="B37" s="28" t="str">
        <x:v>Hall of Heliod's Generosity</x:v>
      </x:c>
      <x:c r="C37" s="28" t="str">
        <x:v>Land</x:v>
      </x:c>
      <x:c r="D37" s="28"/>
      <x:c r="E37" s="28" t="str">
        <x:v>Land</x:v>
      </x:c>
      <x:c r="F37" s="28" t="str">
        <x:v>No</x:v>
      </x:c>
      <x:c r="G37" s="28" t="str">
        <x:v>CURRENT — mantida</x:v>
      </x:c>
      <x:c r="H37" s="28" t="str">
        <x:v>MH1 241</x:v>
      </x:c>
    </x:row>
    <x:row r="38">
      <x:c r="A38" s="28" t="n">
        <x:v>1</x:v>
      </x:c>
      <x:c r="B38" s="28" t="str">
        <x:v>Hall of Storm Giants</x:v>
      </x:c>
      <x:c r="C38" s="28" t="str">
        <x:v>Land</x:v>
      </x:c>
      <x:c r="D38" s="28"/>
      <x:c r="E38" s="28" t="str">
        <x:v>Land</x:v>
      </x:c>
      <x:c r="F38" s="28" t="str">
        <x:v>No</x:v>
      </x:c>
      <x:c r="G38" s="28" t="str">
        <x:v>CURRENT — mantida</x:v>
      </x:c>
      <x:c r="H38" s="28" t="str">
        <x:v>AFR 354</x:v>
      </x:c>
    </x:row>
    <x:row r="39">
      <x:c r="A39" s="28" t="n">
        <x:v>1</x:v>
      </x:c>
      <x:c r="B39" s="28" t="str">
        <x:v>Hallowed Fountain</x:v>
      </x:c>
      <x:c r="C39" s="28" t="str">
        <x:v>Land</x:v>
      </x:c>
      <x:c r="D39" s="28"/>
      <x:c r="E39" s="28" t="str">
        <x:v>Land</x:v>
      </x:c>
      <x:c r="F39" s="28" t="str">
        <x:v>No</x:v>
      </x:c>
      <x:c r="G39" s="28" t="str">
        <x:v>CURRENT — mantida</x:v>
      </x:c>
      <x:c r="H39" s="28" t="str">
        <x:v>RNA 251</x:v>
      </x:c>
    </x:row>
    <x:row r="40">
      <x:c r="A40" s="28" t="n">
        <x:v>1</x:v>
      </x:c>
      <x:c r="B40" s="28" t="str">
        <x:v>Hengegate Pathway</x:v>
      </x:c>
      <x:c r="C40" s="28" t="str">
        <x:v>Land</x:v>
      </x:c>
      <x:c r="D40" s="28"/>
      <x:c r="E40" s="28" t="str">
        <x:v>Land</x:v>
      </x:c>
      <x:c r="F40" s="28" t="str">
        <x:v>No</x:v>
      </x:c>
      <x:c r="G40" s="28" t="str">
        <x:v>CURRENT — mantida</x:v>
      </x:c>
      <x:c r="H40" s="28" t="str">
        <x:v>SLU 18</x:v>
      </x:c>
    </x:row>
    <x:row r="41">
      <x:c r="A41" s="28" t="n">
        <x:v>1</x:v>
      </x:c>
      <x:c r="B41" s="28" t="str">
        <x:v>Ghostly Prison</x:v>
      </x:c>
      <x:c r="C41" s="28" t="str">
        <x:v>Enchantment</x:v>
      </x:c>
      <x:c r="D41" s="28" t="n">
        <x:v>3</x:v>
      </x:c>
      <x:c r="E41" s="28" t="str">
        <x:v>5. Tax + pillowfort</x:v>
      </x:c>
      <x:c r="F41" s="28" t="str">
        <x:v>Yes</x:v>
      </x:c>
      <x:c r="G41" s="28" t="str">
        <x:v>PROPOSED V3 — não testada</x:v>
      </x:c>
      <x:c r="H41" s="28" t="str">
        <x:v>New recommendation</x:v>
      </x:c>
    </x:row>
    <x:row r="42">
      <x:c r="A42" s="28" t="n">
        <x:v>1</x:v>
      </x:c>
      <x:c r="B42" s="28" t="str">
        <x:v>Imprisoned in the Moon</x:v>
      </x:c>
      <x:c r="C42" s="28" t="str">
        <x:v>Aura / Enchantment</x:v>
      </x:c>
      <x:c r="D42" s="28" t="n">
        <x:v>3</x:v>
      </x:c>
      <x:c r="E42" s="28" t="str">
        <x:v>4. Enchantment toolbox / removal</x:v>
      </x:c>
      <x:c r="F42" s="28" t="str">
        <x:v>Yes</x:v>
      </x:c>
      <x:c r="G42" s="28" t="str">
        <x:v>CURRENT — mantida</x:v>
      </x:c>
      <x:c r="H42" s="28" t="str">
        <x:v>AFC 85</x:v>
      </x:c>
    </x:row>
    <x:row r="43">
      <x:c r="A43" s="28" t="n">
        <x:v>8</x:v>
      </x:c>
      <x:c r="B43" s="28" t="str">
        <x:v>Island</x:v>
      </x:c>
      <x:c r="C43" s="28" t="str">
        <x:v>Land</x:v>
      </x:c>
      <x:c r="D43" s="28"/>
      <x:c r="E43" s="28" t="str">
        <x:v>Land</x:v>
      </x:c>
      <x:c r="F43" s="28" t="str">
        <x:v>No</x:v>
      </x:c>
      <x:c r="G43" s="28" t="str">
        <x:v>PROPOSED V3 — qty ajustada</x:v>
      </x:c>
      <x:c r="H43" s="28" t="str">
        <x:v>BFZ 259</x:v>
      </x:c>
    </x:row>
    <x:row r="44">
      <x:c r="A44" s="28" t="n">
        <x:v>1</x:v>
      </x:c>
      <x:c r="B44" s="28" t="str">
        <x:v>Judge's Familiar</x:v>
      </x:c>
      <x:c r="C44" s="28" t="str">
        <x:v>Creature</x:v>
      </x:c>
      <x:c r="D44" s="28" t="n">
        <x:v>1</x:v>
      </x:c>
      <x:c r="E44" s="28" t="str">
        <x:v>3. Interaction — non-enchantment</x:v>
      </x:c>
      <x:c r="F44" s="28" t="str">
        <x:v>No</x:v>
      </x:c>
      <x:c r="G44" s="28" t="str">
        <x:v>CURRENT — mantida</x:v>
      </x:c>
      <x:c r="H44" s="28" t="str">
        <x:v>RTR 218</x:v>
      </x:c>
    </x:row>
    <x:row r="45">
      <x:c r="A45" s="28" t="n">
        <x:v>1</x:v>
      </x:c>
      <x:c r="B45" s="28" t="str">
        <x:v>Karmic Justice</x:v>
      </x:c>
      <x:c r="C45" s="28" t="str">
        <x:v>Enchantment</x:v>
      </x:c>
      <x:c r="D45" s="28" t="n">
        <x:v>3</x:v>
      </x:c>
      <x:c r="E45" s="28" t="str">
        <x:v>6. Protection + recursion</x:v>
      </x:c>
      <x:c r="F45" s="28" t="str">
        <x:v>Yes</x:v>
      </x:c>
      <x:c r="G45" s="28" t="str">
        <x:v>CURRENT — mantida</x:v>
      </x:c>
      <x:c r="H45" s="28" t="str">
        <x:v>WOT 7</x:v>
      </x:c>
    </x:row>
    <x:row r="46">
      <x:c r="A46" s="28" t="n">
        <x:v>1</x:v>
      </x:c>
      <x:c r="B46" s="28" t="str">
        <x:v>Lightning Greaves</x:v>
      </x:c>
      <x:c r="C46" s="28" t="str">
        <x:v>Artifact</x:v>
      </x:c>
      <x:c r="D46" s="28" t="n">
        <x:v>2</x:v>
      </x:c>
      <x:c r="E46" s="28" t="str">
        <x:v>6. Protection + recursion</x:v>
      </x:c>
      <x:c r="F46" s="28" t="str">
        <x:v>No</x:v>
      </x:c>
      <x:c r="G46" s="28" t="str">
        <x:v>CURRENT — mantida</x:v>
      </x:c>
      <x:c r="H46" s="28" t="str">
        <x:v>AFC 331</x:v>
      </x:c>
    </x:row>
    <x:row r="47">
      <x:c r="A47" s="28" t="n">
        <x:v>1</x:v>
      </x:c>
      <x:c r="B47" s="28" t="str">
        <x:v>Luminarch Ascension</x:v>
      </x:c>
      <x:c r="C47" s="28" t="str">
        <x:v>Enchantment</x:v>
      </x:c>
      <x:c r="D47" s="28" t="n">
        <x:v>2</x:v>
      </x:c>
      <x:c r="E47" s="28" t="str">
        <x:v>8. Synergy + wincons</x:v>
      </x:c>
      <x:c r="F47" s="28" t="str">
        <x:v>Yes</x:v>
      </x:c>
      <x:c r="G47" s="28" t="str">
        <x:v>CURRENT — mantida</x:v>
      </x:c>
      <x:c r="H47" s="28" t="str">
        <x:v>ZEN 25</x:v>
      </x:c>
    </x:row>
    <x:row r="48">
      <x:c r="A48" s="28" t="n">
        <x:v>1</x:v>
      </x:c>
      <x:c r="B48" s="28" t="str">
        <x:v>Godless Shrine</x:v>
      </x:c>
      <x:c r="C48" s="28" t="str">
        <x:v>Land</x:v>
      </x:c>
      <x:c r="D48" s="28"/>
      <x:c r="E48" s="28" t="str">
        <x:v>Land</x:v>
      </x:c>
      <x:c r="F48" s="28" t="str">
        <x:v>No</x:v>
      </x:c>
      <x:c r="G48" s="28" t="str">
        <x:v>PROPOSED V3 — não testada</x:v>
      </x:c>
      <x:c r="H48" s="28" t="str">
        <x:v>New recommendation</x:v>
      </x:c>
    </x:row>
    <x:row r="49">
      <x:c r="A49" s="28" t="n">
        <x:v>1</x:v>
      </x:c>
      <x:c r="B49" s="28" t="str">
        <x:v>Mind Stone</x:v>
      </x:c>
      <x:c r="C49" s="28" t="str">
        <x:v>Artifact</x:v>
      </x:c>
      <x:c r="D49" s="28" t="n">
        <x:v>2</x:v>
      </x:c>
      <x:c r="E49" s="28" t="str">
        <x:v>1. Ramp + fixing</x:v>
      </x:c>
      <x:c r="F49" s="28" t="str">
        <x:v>No</x:v>
      </x:c>
      <x:c r="G49" s="28" t="str">
        <x:v>CURRENT — mantida</x:v>
      </x:c>
      <x:c r="H49" s="28" t="str">
        <x:v>C14 250</x:v>
      </x:c>
    </x:row>
    <x:row r="50">
      <x:c r="A50" s="28" t="n">
        <x:v>1</x:v>
      </x:c>
      <x:c r="B50" s="28" t="str">
        <x:v>Rhystic Study</x:v>
      </x:c>
      <x:c r="C50" s="28" t="str">
        <x:v>Enchantment</x:v>
      </x:c>
      <x:c r="D50" s="28" t="n">
        <x:v>3</x:v>
      </x:c>
      <x:c r="E50" s="28" t="str">
        <x:v>2. Draw + selection</x:v>
      </x:c>
      <x:c r="F50" s="28" t="str">
        <x:v>Yes</x:v>
      </x:c>
      <x:c r="G50" s="28" t="str">
        <x:v>PROPOSED V3 — não testada</x:v>
      </x:c>
      <x:c r="H50" s="28" t="str">
        <x:v>New recommendation</x:v>
      </x:c>
    </x:row>
    <x:row r="51">
      <x:c r="A51" s="28" t="n">
        <x:v>1</x:v>
      </x:c>
      <x:c r="B51" s="28" t="str">
        <x:v>Minimus Containment</x:v>
      </x:c>
      <x:c r="C51" s="28" t="str">
        <x:v>Aura / Enchantment</x:v>
      </x:c>
      <x:c r="D51" s="28" t="n">
        <x:v>3</x:v>
      </x:c>
      <x:c r="E51" s="28" t="str">
        <x:v>4. Enchantment toolbox / removal</x:v>
      </x:c>
      <x:c r="F51" s="28" t="str">
        <x:v>Yes</x:v>
      </x:c>
      <x:c r="G51" s="28" t="str">
        <x:v>CURRENT — mantida</x:v>
      </x:c>
      <x:c r="H51" s="28" t="str">
        <x:v>CLB 34</x:v>
      </x:c>
    </x:row>
    <x:row r="52">
      <x:c r="A52" s="28" t="n">
        <x:v>1</x:v>
      </x:c>
      <x:c r="B52" s="28" t="str">
        <x:v>Mortify</x:v>
      </x:c>
      <x:c r="C52" s="28" t="str">
        <x:v>Instant</x:v>
      </x:c>
      <x:c r="D52" s="28" t="n">
        <x:v>3</x:v>
      </x:c>
      <x:c r="E52" s="28" t="str">
        <x:v>3. Interaction — non-enchantment</x:v>
      </x:c>
      <x:c r="F52" s="28" t="str">
        <x:v>No</x:v>
      </x:c>
      <x:c r="G52" s="28" t="str">
        <x:v>CURRENT — mantida</x:v>
      </x:c>
      <x:c r="H52" s="28" t="str">
        <x:v>RNA 192</x:v>
      </x:c>
    </x:row>
    <x:row r="53">
      <x:c r="A53" s="28" t="n">
        <x:v>1</x:v>
      </x:c>
      <x:c r="B53" s="28" t="str">
        <x:v>Polluted Delta</x:v>
      </x:c>
      <x:c r="C53" s="28" t="str">
        <x:v>Land</x:v>
      </x:c>
      <x:c r="D53" s="28"/>
      <x:c r="E53" s="28" t="str">
        <x:v>Land</x:v>
      </x:c>
      <x:c r="F53" s="28" t="str">
        <x:v>No</x:v>
      </x:c>
      <x:c r="G53" s="28" t="str">
        <x:v>PROPOSED V3 — não testada</x:v>
      </x:c>
      <x:c r="H53" s="28" t="str">
        <x:v>New recommendation</x:v>
      </x:c>
    </x:row>
    <x:row r="54">
      <x:c r="A54" s="28" t="n">
        <x:v>1</x:v>
      </x:c>
      <x:c r="B54" s="28" t="str">
        <x:v>Mystic Subdual</x:v>
      </x:c>
      <x:c r="C54" s="28" t="str">
        <x:v>Aura / Enchantment</x:v>
      </x:c>
      <x:c r="D54" s="28" t="n">
        <x:v>2</x:v>
      </x:c>
      <x:c r="E54" s="28" t="str">
        <x:v>4. Enchantment toolbox / removal</x:v>
      </x:c>
      <x:c r="F54" s="28" t="str">
        <x:v>Yes</x:v>
      </x:c>
      <x:c r="G54" s="28" t="str">
        <x:v>CURRENT — mantida</x:v>
      </x:c>
      <x:c r="H54" s="28" t="str">
        <x:v>IKO 57</x:v>
      </x:c>
    </x:row>
    <x:row r="55">
      <x:c r="A55" s="28" t="n">
        <x:v>1</x:v>
      </x:c>
      <x:c r="B55" s="28" t="str">
        <x:v>Estrid's Invocation</x:v>
      </x:c>
      <x:c r="C55" s="28" t="str">
        <x:v>Enchantment</x:v>
      </x:c>
      <x:c r="D55" s="28" t="n">
        <x:v>3</x:v>
      </x:c>
      <x:c r="E55" s="28" t="str">
        <x:v>8. Synergy + wincons</x:v>
      </x:c>
      <x:c r="F55" s="28" t="str">
        <x:v>Yes</x:v>
      </x:c>
      <x:c r="G55" s="28" t="str">
        <x:v>PROPOSED V3 — não testada</x:v>
      </x:c>
      <x:c r="H55" s="28" t="str">
        <x:v>New recommendation</x:v>
      </x:c>
    </x:row>
    <x:row r="56">
      <x:c r="A56" s="28" t="n">
        <x:v>1</x:v>
      </x:c>
      <x:c r="B56" s="28" t="str">
        <x:v>Arcane Denial</x:v>
      </x:c>
      <x:c r="C56" s="28" t="str">
        <x:v>Instant</x:v>
      </x:c>
      <x:c r="D56" s="28" t="n">
        <x:v>2</x:v>
      </x:c>
      <x:c r="E56" s="28" t="str">
        <x:v>3. Interaction — non-enchantment</x:v>
      </x:c>
      <x:c r="F56" s="28" t="str">
        <x:v>No</x:v>
      </x:c>
      <x:c r="G56" s="28" t="str">
        <x:v>PROPOSED V3 — não testada</x:v>
      </x:c>
      <x:c r="H56" s="28" t="str">
        <x:v>New recommendation</x:v>
      </x:c>
    </x:row>
    <x:row r="57">
      <x:c r="A57" s="28" t="n">
        <x:v>1</x:v>
      </x:c>
      <x:c r="B57" s="28" t="str">
        <x:v>Ominous Seas</x:v>
      </x:c>
      <x:c r="C57" s="28" t="str">
        <x:v>Enchantment</x:v>
      </x:c>
      <x:c r="D57" s="28" t="n">
        <x:v>2</x:v>
      </x:c>
      <x:c r="E57" s="28" t="str">
        <x:v>8. Synergy + wincons</x:v>
      </x:c>
      <x:c r="F57" s="28" t="str">
        <x:v>Yes</x:v>
      </x:c>
      <x:c r="G57" s="28" t="str">
        <x:v>CURRENT — mantida</x:v>
      </x:c>
      <x:c r="H57" s="28" t="str">
        <x:v>IKO 61</x:v>
      </x:c>
    </x:row>
    <x:row r="58">
      <x:c r="A58" s="28" t="n">
        <x:v>1</x:v>
      </x:c>
      <x:c r="B58" s="28" t="str">
        <x:v>Grasp of Fate</x:v>
      </x:c>
      <x:c r="C58" s="28" t="str">
        <x:v>Enchantment</x:v>
      </x:c>
      <x:c r="D58" s="28" t="n">
        <x:v>3</x:v>
      </x:c>
      <x:c r="E58" s="28" t="str">
        <x:v>4. Enchantment toolbox / removal</x:v>
      </x:c>
      <x:c r="F58" s="28" t="str">
        <x:v>Yes</x:v>
      </x:c>
      <x:c r="G58" s="28" t="str">
        <x:v>PROPOSED V3 — não testada</x:v>
      </x:c>
      <x:c r="H58" s="28" t="str">
        <x:v>New recommendation</x:v>
      </x:c>
    </x:row>
    <x:row r="59">
      <x:c r="A59" s="28" t="n">
        <x:v>1</x:v>
      </x:c>
      <x:c r="B59" s="28" t="str">
        <x:v>Talisman of Dominance</x:v>
      </x:c>
      <x:c r="C59" s="28" t="str">
        <x:v>Artifact</x:v>
      </x:c>
      <x:c r="D59" s="28" t="n">
        <x:v>2</x:v>
      </x:c>
      <x:c r="E59" s="28" t="str">
        <x:v>1. Ramp + fixing</x:v>
      </x:c>
      <x:c r="F59" s="28" t="str">
        <x:v>No</x:v>
      </x:c>
      <x:c r="G59" s="28" t="str">
        <x:v>PROPOSED V3 — não testada</x:v>
      </x:c>
      <x:c r="H59" s="28" t="str">
        <x:v>New recommendation</x:v>
      </x:c>
    </x:row>
    <x:row r="60">
      <x:c r="A60" s="28" t="n">
        <x:v>1</x:v>
      </x:c>
      <x:c r="B60" s="28" t="str">
        <x:v>Swords to Plowshares</x:v>
      </x:c>
      <x:c r="C60" s="28" t="str">
        <x:v>Instant</x:v>
      </x:c>
      <x:c r="D60" s="28" t="n">
        <x:v>1</x:v>
      </x:c>
      <x:c r="E60" s="28" t="str">
        <x:v>3. Interaction — non-enchantment</x:v>
      </x:c>
      <x:c r="F60" s="28" t="str">
        <x:v>No</x:v>
      </x:c>
      <x:c r="G60" s="28" t="str">
        <x:v>PROPOSED V3 — não testada</x:v>
      </x:c>
      <x:c r="H60" s="28" t="str">
        <x:v>New recommendation</x:v>
      </x:c>
    </x:row>
    <x:row r="61">
      <x:c r="A61" s="28" t="n">
        <x:v>1</x:v>
      </x:c>
      <x:c r="B61" s="28" t="str">
        <x:v>Parasitic Impetus</x:v>
      </x:c>
      <x:c r="C61" s="28" t="str">
        <x:v>Aura / Enchantment</x:v>
      </x:c>
      <x:c r="D61" s="28" t="n">
        <x:v>3</x:v>
      </x:c>
      <x:c r="E61" s="28" t="str">
        <x:v>7. Politics + combat manipulation</x:v>
      </x:c>
      <x:c r="F61" s="28" t="str">
        <x:v>Yes</x:v>
      </x:c>
      <x:c r="G61" s="28" t="str">
        <x:v>CURRENT — mantida</x:v>
      </x:c>
      <x:c r="H61" s="28" t="str">
        <x:v>C20 46</x:v>
      </x:c>
    </x:row>
    <x:row r="62">
      <x:c r="A62" s="28" t="n">
        <x:v>1</x:v>
      </x:c>
      <x:c r="B62" s="28" t="str">
        <x:v>Necropotence</x:v>
      </x:c>
      <x:c r="C62" s="28" t="str">
        <x:v>Enchantment</x:v>
      </x:c>
      <x:c r="D62" s="28" t="n">
        <x:v>3</x:v>
      </x:c>
      <x:c r="E62" s="28" t="str">
        <x:v>2. Draw + selection</x:v>
      </x:c>
      <x:c r="F62" s="28" t="str">
        <x:v>Yes</x:v>
      </x:c>
      <x:c r="G62" s="28" t="str">
        <x:v>PROPOSED V3 — não testada</x:v>
      </x:c>
      <x:c r="H62" s="28" t="str">
        <x:v>New recommendation</x:v>
      </x:c>
    </x:row>
    <x:row r="63">
      <x:c r="A63" s="28" t="n">
        <x:v>7</x:v>
      </x:c>
      <x:c r="B63" s="28" t="str">
        <x:v>Plains</x:v>
      </x:c>
      <x:c r="C63" s="28" t="str">
        <x:v>Land</x:v>
      </x:c>
      <x:c r="D63" s="28"/>
      <x:c r="E63" s="28" t="str">
        <x:v>Land</x:v>
      </x:c>
      <x:c r="F63" s="28" t="str">
        <x:v>No</x:v>
      </x:c>
      <x:c r="G63" s="28" t="str">
        <x:v>PROPOSED V3 — qty ajustada</x:v>
      </x:c>
      <x:c r="H63" s="28" t="str">
        <x:v>BFZ 253</x:v>
      </x:c>
    </x:row>
    <x:row r="64">
      <x:c r="A64" s="28" t="n">
        <x:v>1</x:v>
      </x:c>
      <x:c r="B64" s="28" t="str">
        <x:v>Port Town</x:v>
      </x:c>
      <x:c r="C64" s="28" t="str">
        <x:v>Land</x:v>
      </x:c>
      <x:c r="D64" s="28"/>
      <x:c r="E64" s="28" t="str">
        <x:v>Land</x:v>
      </x:c>
      <x:c r="F64" s="28" t="str">
        <x:v>No</x:v>
      </x:c>
      <x:c r="G64" s="28" t="str">
        <x:v>CURRENT — mantida</x:v>
      </x:c>
      <x:c r="H64" s="28" t="str">
        <x:v>VOC 178</x:v>
      </x:c>
    </x:row>
    <x:row r="65">
      <x:c r="A65" s="28" t="n">
        <x:v>1</x:v>
      </x:c>
      <x:c r="B65" s="28" t="str">
        <x:v>Curse of Verbosity</x:v>
      </x:c>
      <x:c r="C65" s="28" t="str">
        <x:v>Enchantment — Aura Curse</x:v>
      </x:c>
      <x:c r="D65" s="28" t="n">
        <x:v>3</x:v>
      </x:c>
      <x:c r="E65" s="28" t="str">
        <x:v>2. Draw + selection</x:v>
      </x:c>
      <x:c r="F65" s="28" t="str">
        <x:v>Yes</x:v>
      </x:c>
      <x:c r="G65" s="28" t="str">
        <x:v>PROPOSED V3 — não testada</x:v>
      </x:c>
      <x:c r="H65" s="28" t="str">
        <x:v>New recommendation</x:v>
      </x:c>
    </x:row>
    <x:row r="66">
      <x:c r="A66" s="28" t="n">
        <x:v>1</x:v>
      </x:c>
      <x:c r="B66" s="28" t="str">
        <x:v>Propaganda</x:v>
      </x:c>
      <x:c r="C66" s="28" t="str">
        <x:v>Enchantment</x:v>
      </x:c>
      <x:c r="D66" s="28" t="n">
        <x:v>3</x:v>
      </x:c>
      <x:c r="E66" s="28" t="str">
        <x:v>5. Tax + pillowfort</x:v>
      </x:c>
      <x:c r="F66" s="28" t="str">
        <x:v>Yes</x:v>
      </x:c>
      <x:c r="G66" s="28" t="str">
        <x:v>CURRENT — mantida</x:v>
      </x:c>
      <x:c r="H66" s="28" t="str">
        <x:v>C20 123</x:v>
      </x:c>
    </x:row>
    <x:row r="67">
      <x:c r="A67" s="28" t="n">
        <x:v>1</x:v>
      </x:c>
      <x:c r="B67" s="28" t="str">
        <x:v>Fellwar Stone</x:v>
      </x:c>
      <x:c r="C67" s="28" t="str">
        <x:v>Artifact</x:v>
      </x:c>
      <x:c r="D67" s="28" t="n">
        <x:v>2</x:v>
      </x:c>
      <x:c r="E67" s="28" t="str">
        <x:v>1. Ramp + fixing</x:v>
      </x:c>
      <x:c r="F67" s="28" t="str">
        <x:v>No</x:v>
      </x:c>
      <x:c r="G67" s="28" t="str">
        <x:v>PROPOSED V3 — não testada</x:v>
      </x:c>
      <x:c r="H67" s="28" t="str">
        <x:v>New recommendation</x:v>
      </x:c>
    </x:row>
    <x:row r="68">
      <x:c r="A68" s="28" t="n">
        <x:v>1</x:v>
      </x:c>
      <x:c r="B68" s="28" t="str">
        <x:v>Psychic Impetus</x:v>
      </x:c>
      <x:c r="C68" s="28" t="str">
        <x:v>Aura / Enchantment</x:v>
      </x:c>
      <x:c r="D68" s="28" t="n">
        <x:v>3</x:v>
      </x:c>
      <x:c r="E68" s="28" t="str">
        <x:v>7. Politics + combat manipulation</x:v>
      </x:c>
      <x:c r="F68" s="28" t="str">
        <x:v>Yes</x:v>
      </x:c>
      <x:c r="G68" s="28" t="str">
        <x:v>CURRENT — mantida</x:v>
      </x:c>
      <x:c r="H68" s="28" t="str">
        <x:v>C20 37</x:v>
      </x:c>
    </x:row>
    <x:row r="69">
      <x:c r="A69" s="28" t="n">
        <x:v>1</x:v>
      </x:c>
      <x:c r="B69" s="28" t="str">
        <x:v>Reconnaissance</x:v>
      </x:c>
      <x:c r="C69" s="28" t="str">
        <x:v>Review type</x:v>
      </x:c>
      <x:c r="D69" s="28" t="n">
        <x:v>1</x:v>
      </x:c>
      <x:c r="E69" s="28" t="str">
        <x:v>6. Protection + recursion</x:v>
      </x:c>
      <x:c r="F69" s="28" t="str">
        <x:v>No</x:v>
      </x:c>
      <x:c r="G69" s="28" t="str">
        <x:v>CURRENT — mantida</x:v>
      </x:c>
      <x:c r="H69" s="28" t="str">
        <x:v>ACR 179</x:v>
      </x:c>
    </x:row>
    <x:row r="70">
      <x:c r="A70" s="28" t="n">
        <x:v>1</x:v>
      </x:c>
      <x:c r="B70" s="28" t="str">
        <x:v>Sakashima the Impostor</x:v>
      </x:c>
      <x:c r="C70" s="28" t="str">
        <x:v>Creature</x:v>
      </x:c>
      <x:c r="D70" s="28" t="n">
        <x:v>4</x:v>
      </x:c>
      <x:c r="E70" s="28" t="str">
        <x:v>8. Synergy + wincons</x:v>
      </x:c>
      <x:c r="F70" s="28" t="str">
        <x:v>No</x:v>
      </x:c>
      <x:c r="G70" s="28" t="str">
        <x:v>CURRENT — mantida</x:v>
      </x:c>
      <x:c r="H70" s="28" t="str">
        <x:v>PLST SOK-53</x:v>
      </x:c>
    </x:row>
    <x:row r="71">
      <x:c r="A71" s="28" t="n">
        <x:v>1</x:v>
      </x:c>
      <x:c r="B71" s="28" t="str">
        <x:v>Sculpted Sunburst</x:v>
      </x:c>
      <x:c r="C71" s="28" t="str">
        <x:v>Sorcery</x:v>
      </x:c>
      <x:c r="D71" s="28" t="n">
        <x:v>5</x:v>
      </x:c>
      <x:c r="E71" s="28" t="str">
        <x:v>3. Interaction — non-enchantment</x:v>
      </x:c>
      <x:c r="F71" s="28" t="str">
        <x:v>No</x:v>
      </x:c>
      <x:c r="G71" s="28" t="str">
        <x:v>CURRENT — mantida</x:v>
      </x:c>
      <x:c r="H71" s="28" t="str">
        <x:v>CLB 42</x:v>
      </x:c>
    </x:row>
    <x:row r="72">
      <x:c r="A72" s="28" t="n">
        <x:v>1</x:v>
      </x:c>
      <x:c r="B72" s="28" t="str">
        <x:v>Secret Rendezvous</x:v>
      </x:c>
      <x:c r="C72" s="28" t="str">
        <x:v>Review type</x:v>
      </x:c>
      <x:c r="D72" s="28" t="n">
        <x:v>3</x:v>
      </x:c>
      <x:c r="E72" s="28" t="str">
        <x:v>2. Draw + selection</x:v>
      </x:c>
      <x:c r="F72" s="28" t="str">
        <x:v>No</x:v>
      </x:c>
      <x:c r="G72" s="28" t="str">
        <x:v>CURRENT — mantida</x:v>
      </x:c>
      <x:c r="H72" s="28" t="str">
        <x:v>STX 26</x:v>
      </x:c>
    </x:row>
    <x:row r="73">
      <x:c r="A73" s="28" t="n">
        <x:v>1</x:v>
      </x:c>
      <x:c r="B73" s="28" t="str">
        <x:v>Shade's Form</x:v>
      </x:c>
      <x:c r="C73" s="28" t="str">
        <x:v>Aura / Enchantment</x:v>
      </x:c>
      <x:c r="D73" s="28" t="n">
        <x:v>3</x:v>
      </x:c>
      <x:c r="E73" s="28" t="str">
        <x:v>6. Protection + recursion</x:v>
      </x:c>
      <x:c r="F73" s="28" t="str">
        <x:v>Yes</x:v>
      </x:c>
      <x:c r="G73" s="28" t="str">
        <x:v>CURRENT — mantida</x:v>
      </x:c>
      <x:c r="H73" s="28" t="str">
        <x:v>TOR 81</x:v>
      </x:c>
    </x:row>
    <x:row r="74">
      <x:c r="A74" s="28" t="n">
        <x:v>1</x:v>
      </x:c>
      <x:c r="B74" s="28" t="str">
        <x:v>Duelist's Heritage</x:v>
      </x:c>
      <x:c r="C74" s="28" t="str">
        <x:v>Enchantment</x:v>
      </x:c>
      <x:c r="D74" s="28" t="n">
        <x:v>3</x:v>
      </x:c>
      <x:c r="E74" s="28" t="str">
        <x:v>7. Politics + combat manipulation</x:v>
      </x:c>
      <x:c r="F74" s="28" t="str">
        <x:v>Yes</x:v>
      </x:c>
      <x:c r="G74" s="28" t="str">
        <x:v>PROPOSED V3 — não testada</x:v>
      </x:c>
      <x:c r="H74" s="28" t="str">
        <x:v>New recommendation</x:v>
      </x:c>
    </x:row>
    <x:row r="75">
      <x:c r="A75" s="28" t="n">
        <x:v>1</x:v>
      </x:c>
      <x:c r="B75" s="28" t="str">
        <x:v>Sol Ring</x:v>
      </x:c>
      <x:c r="C75" s="28" t="str">
        <x:v>Artifact</x:v>
      </x:c>
      <x:c r="D75" s="28" t="n">
        <x:v>1</x:v>
      </x:c>
      <x:c r="E75" s="28" t="str">
        <x:v>1. Ramp + fixing</x:v>
      </x:c>
      <x:c r="F75" s="28" t="str">
        <x:v>No</x:v>
      </x:c>
      <x:c r="G75" s="28" t="str">
        <x:v>CURRENT — mantida</x:v>
      </x:c>
      <x:c r="H75" s="28" t="str">
        <x:v>C20 252</x:v>
      </x:c>
    </x:row>
    <x:row r="76">
      <x:c r="A76" s="28" t="n">
        <x:v>1</x:v>
      </x:c>
      <x:c r="B76" s="28" t="str">
        <x:v>Enlightened Tutor</x:v>
      </x:c>
      <x:c r="C76" s="28" t="str">
        <x:v>Instant</x:v>
      </x:c>
      <x:c r="D76" s="28" t="n">
        <x:v>1</x:v>
      </x:c>
      <x:c r="E76" s="28" t="str">
        <x:v>2. Draw + selection</x:v>
      </x:c>
      <x:c r="F76" s="28" t="str">
        <x:v>No</x:v>
      </x:c>
      <x:c r="G76" s="28" t="str">
        <x:v>PROPOSED V3 — não testada</x:v>
      </x:c>
      <x:c r="H76" s="28" t="str">
        <x:v>New recommendation</x:v>
      </x:c>
    </x:row>
    <x:row r="77">
      <x:c r="A77" s="28" t="n">
        <x:v>1</x:v>
      </x:c>
      <x:c r="B77" s="28" t="str">
        <x:v>Stroke of Midnight</x:v>
      </x:c>
      <x:c r="C77" s="28" t="str">
        <x:v>Instant</x:v>
      </x:c>
      <x:c r="D77" s="28" t="n">
        <x:v>3</x:v>
      </x:c>
      <x:c r="E77" s="28" t="str">
        <x:v>3. Interaction — non-enchantment</x:v>
      </x:c>
      <x:c r="F77" s="28" t="str">
        <x:v>No</x:v>
      </x:c>
      <x:c r="G77" s="28" t="str">
        <x:v>CURRENT — mantida</x:v>
      </x:c>
      <x:c r="H77" s="28" t="str">
        <x:v>WOE 33</x:v>
      </x:c>
    </x:row>
    <x:row r="78">
      <x:c r="A78" s="28" t="n">
        <x:v>1</x:v>
      </x:c>
      <x:c r="B78" s="28" t="str">
        <x:v>Sun Titan</x:v>
      </x:c>
      <x:c r="C78" s="28" t="str">
        <x:v>Creature</x:v>
      </x:c>
      <x:c r="D78" s="28" t="n">
        <x:v>6</x:v>
      </x:c>
      <x:c r="E78" s="28" t="str">
        <x:v>6. Protection + recursion</x:v>
      </x:c>
      <x:c r="F78" s="28" t="str">
        <x:v>No</x:v>
      </x:c>
      <x:c r="G78" s="28" t="str">
        <x:v>CURRENT — mantida</x:v>
      </x:c>
      <x:c r="H78" s="28" t="str">
        <x:v>MKC 87</x:v>
      </x:c>
    </x:row>
    <x:row r="79">
      <x:c r="A79" s="28" t="n">
        <x:v>1</x:v>
      </x:c>
      <x:c r="B79" s="28" t="str">
        <x:v>Supreme Verdict</x:v>
      </x:c>
      <x:c r="C79" s="28" t="str">
        <x:v>Sorcery</x:v>
      </x:c>
      <x:c r="D79" s="28" t="n">
        <x:v>4</x:v>
      </x:c>
      <x:c r="E79" s="28" t="str">
        <x:v>3. Interaction — non-enchantment</x:v>
      </x:c>
      <x:c r="F79" s="28" t="str">
        <x:v>No</x:v>
      </x:c>
      <x:c r="G79" s="28" t="str">
        <x:v>CURRENT — mantida</x:v>
      </x:c>
      <x:c r="H79" s="28" t="str">
        <x:v>PLST IMA-210</x:v>
      </x:c>
    </x:row>
    <x:row r="80">
      <x:c r="A80" s="28" t="n">
        <x:v>8</x:v>
      </x:c>
      <x:c r="B80" s="28" t="str">
        <x:v>Swamp</x:v>
      </x:c>
      <x:c r="C80" s="28" t="str">
        <x:v>Land</x:v>
      </x:c>
      <x:c r="D80" s="28"/>
      <x:c r="E80" s="28" t="str">
        <x:v>Land</x:v>
      </x:c>
      <x:c r="F80" s="28" t="str">
        <x:v>No</x:v>
      </x:c>
      <x:c r="G80" s="28" t="str">
        <x:v>PROPOSED V3 — qty ajustada</x:v>
      </x:c>
      <x:c r="H80" s="28" t="str">
        <x:v>BFZ 264</x:v>
      </x:c>
    </x:row>
    <x:row r="81">
      <x:c r="A81" s="28" t="n">
        <x:v>1</x:v>
      </x:c>
      <x:c r="B81" s="28" t="str">
        <x:v>Talisman of Hierarchy</x:v>
      </x:c>
      <x:c r="C81" s="28" t="str">
        <x:v>Artifact</x:v>
      </x:c>
      <x:c r="D81" s="28" t="n">
        <x:v>2</x:v>
      </x:c>
      <x:c r="E81" s="28" t="str">
        <x:v>1. Ramp + fixing</x:v>
      </x:c>
      <x:c r="F81" s="28" t="str">
        <x:v>No</x:v>
      </x:c>
      <x:c r="G81" s="28" t="str">
        <x:v>CURRENT — mantida</x:v>
      </x:c>
      <x:c r="H81" s="28" t="str">
        <x:v>MH1 233</x:v>
      </x:c>
    </x:row>
    <x:row r="82">
      <x:c r="A82" s="28" t="n">
        <x:v>1</x:v>
      </x:c>
      <x:c r="B82" s="28" t="str">
        <x:v>Teferi, Time Raveler</x:v>
      </x:c>
      <x:c r="C82" s="28" t="str">
        <x:v>Planeswalker</x:v>
      </x:c>
      <x:c r="D82" s="28" t="n">
        <x:v>3</x:v>
      </x:c>
      <x:c r="E82" s="28" t="str">
        <x:v>3. Interaction — non-enchantment</x:v>
      </x:c>
      <x:c r="F82" s="28" t="str">
        <x:v>No</x:v>
      </x:c>
      <x:c r="G82" s="28" t="str">
        <x:v>CURRENT — mantida</x:v>
      </x:c>
      <x:c r="H82" s="28" t="str">
        <x:v>PWAR 221p</x:v>
      </x:c>
    </x:row>
    <x:row r="83">
      <x:c r="A83" s="28" t="n">
        <x:v>1</x:v>
      </x:c>
      <x:c r="B83" s="28" t="str">
        <x:v>Underworld Dreams</x:v>
      </x:c>
      <x:c r="C83" s="28" t="str">
        <x:v>Enchantment</x:v>
      </x:c>
      <x:c r="D83" s="28" t="n">
        <x:v>3</x:v>
      </x:c>
      <x:c r="E83" s="28" t="str">
        <x:v>8. Synergy + wincons</x:v>
      </x:c>
      <x:c r="F83" s="28" t="str">
        <x:v>Yes</x:v>
      </x:c>
      <x:c r="G83" s="28" t="str">
        <x:v>CURRENT — mantida</x:v>
      </x:c>
      <x:c r="H83" s="28" t="str">
        <x:v>THB 121</x:v>
      </x:c>
    </x:row>
    <x:row r="84">
      <x:c r="A84" s="28" t="n">
        <x:v>1</x:v>
      </x:c>
      <x:c r="B84" s="28" t="str">
        <x:v>Wedding Ring</x:v>
      </x:c>
      <x:c r="C84" s="28" t="str">
        <x:v>Artifact</x:v>
      </x:c>
      <x:c r="D84" s="28" t="n">
        <x:v>4</x:v>
      </x:c>
      <x:c r="E84" s="28" t="str">
        <x:v>2. Draw + selection</x:v>
      </x:c>
      <x:c r="F84" s="28" t="str">
        <x:v>No</x:v>
      </x:c>
      <x:c r="G84" s="28" t="str">
        <x:v>CURRENT — mantida</x:v>
      </x:c>
      <x:c r="H84" s="28" t="str">
        <x:v>VOC 32</x:v>
      </x:c>
    </x:row>
  </x:sheetData>
  <x:mergeCells>
    <x:mergeCell ref="A1:H1"/>
    <x:mergeCell ref="A2:H2"/>
  </x:mergeCells>
  <x:conditionalFormatting sqref="G5:G84">
    <x:cfRule type="expression" dxfId="0" priority="1">
      <x:formula>LEFT(G5,8)="PROPOSED"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968060e65241a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9" hidden="0" customWidth="1"/>
    <x:col min="4" max="4" width="16" hidden="0" customWidth="1"/>
    <x:col min="5" max="5" width="42" hidden="0" customWidth="1"/>
    <x:col min="6" max="6" width="42" hidden="0" customWidth="1"/>
    <x:col min="7" max="7" width="42" hidden="0" customWidth="1"/>
    <x:col min="8" max="8" width="24" hidden="0" customWidth="1"/>
    <x:col min="9" max="9" width="42" hidden="0" customWidth="1"/>
    <x:col min="10" max="10" width="34" hidden="0" customWidth="1"/>
  </x:cols>
  <x:sheetData>
    <x:row r="1" ht="30" customHeight="1">
      <x:c r="A1" s="5" t="str">
        <x:v>UPGRADE MATRIX — CURRENT → PROPOSED V3</x:v>
      </x:c>
      <x:c r="B1" s="5"/>
      <x:c r="C1" s="5"/>
      <x:c r="D1" s="5"/>
      <x:c r="E1" s="5"/>
      <x:c r="F1" s="5"/>
      <x:c r="G1" s="5"/>
      <x:c r="H1" s="5"/>
      <x:c r="I1" s="5"/>
      <x:c r="J1" s="5"/>
      <x:c r="K1" s="112"/>
      <x:c r="L1" s="112"/>
      <x:c r="M1" s="112"/>
      <x:c r="N1" s="112"/>
    </x:row>
    <x:row r="2" ht="30" customHeight="1">
      <x:c r="A2" s="13" t="str">
        <x:v>22 linhas de decisão: 18 trocas de não-terrenos, 3 trocas de terrenos e 1 rebalanceamento de básicos. Cada linha segue proposta não testada.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2" t="str">
        <x:v>OUT / ajuste</x:v>
      </x:c>
      <x:c r="B4" s="22" t="str">
        <x:v>IN / ajuste</x:v>
      </x:c>
      <x:c r="C4" s="22" t="str">
        <x:v>Prioridade</x:v>
      </x:c>
      <x:c r="D4" s="22" t="str">
        <x:v>Confiança</x:v>
      </x:c>
      <x:c r="E4" s="22" t="str">
        <x:v>Problema observado</x:v>
      </x:c>
      <x:c r="F4" s="22" t="str">
        <x:v>Benefício esperado</x:v>
      </x:c>
      <x:c r="G4" s="22" t="str">
        <x:v>Custo / risco</x:v>
      </x:c>
      <x:c r="H4" s="22" t="str">
        <x:v>Estado</x:v>
      </x:c>
      <x:c r="I4" s="22" t="str">
        <x:v>Fonte / texto de referência</x:v>
      </x:c>
      <x:c r="J4" s="22" t="str">
        <x:v>Validação em jogo</x:v>
      </x:c>
    </x:row>
    <x:row r="5">
      <x:c r="A5" s="28" t="str">
        <x:v>Azorius Locket</x:v>
      </x:c>
      <x:c r="B5" s="28" t="str">
        <x:v>Talisman of Progress</x:v>
      </x:c>
      <x:c r="C5" s="28" t="str">
        <x:v>P1 — Estrutura</x:v>
      </x:c>
      <x:c r="D5" s="28" t="str">
        <x:v>Alta</x:v>
      </x:c>
      <x:c r="E5" s="28" t="str">
        <x:v>O Locket custa 3 e só repõe uma carta ao ser sacrificado; o Talisman acelera Zur para o turno 3 com frequência maior e corrige W/U.</x:v>
      </x:c>
      <x:c r="F5" s="28" t="str">
        <x:v>Perde-se a compra tardia do Locket; ganha-se tempo e disponibilidade de mana imediatamente.</x:v>
      </x:c>
      <x:c r="G5" s="28" t="str">
        <x:v>Pode causar 1 de dano ao usar mana colorida. Não é vantagem de cartas.</x:v>
      </x:c>
      <x:c r="H5" s="28" t="str">
        <x:v>PROPOSED V3 — não testada</x:v>
      </x:c>
      <x:c r="I5" s="28" t="str">
        <x:v>https://scryfall.com/search?q=%21%22Talisman+of+Progress%22</x:v>
      </x:c>
      <x:c r="J5" s="28" t="str">
        <x:v>Acompanhar em 5–10 partidas; não decidir por uma só.</x:v>
      </x:c>
    </x:row>
    <x:row r="6">
      <x:c r="A6" s="28" t="str">
        <x:v>Orzhov Locket</x:v>
      </x:c>
      <x:c r="B6" s="28" t="str">
        <x:v>Talisman of Dominance</x:v>
      </x:c>
      <x:c r="C6" s="28" t="str">
        <x:v>P1 — Estrutura</x:v>
      </x:c>
      <x:c r="D6" s="28" t="str">
        <x:v>Alta</x:v>
      </x:c>
      <x:c r="E6" s="28" t="str">
        <x:v>Mesmo gargalo: ramp de 3 manas compete com Zur e com a interação que deveria ficar aberta.</x:v>
      </x:c>
      <x:c r="F6" s="28" t="str">
        <x:v>Mais velocidade e fontes U/B; curva mais compatível com jogar controle e manter mana aberta.</x:v>
      </x:c>
      <x:c r="G6" s="28" t="str">
        <x:v>Perde a opção de comprar 2 cartas sacrificando o Locket.</x:v>
      </x:c>
      <x:c r="H6" s="28" t="str">
        <x:v>PROPOSED V3 — não testada</x:v>
      </x:c>
      <x:c r="I6" s="28" t="str">
        <x:v>https://scryfall.com/search?q=%21%22Talisman+of+Dominance%22</x:v>
      </x:c>
      <x:c r="J6" s="28" t="str">
        <x:v>Acompanhar em 5–10 partidas; não decidir por uma só.</x:v>
      </x:c>
    </x:row>
    <x:row r="7">
      <x:c r="A7" s="28" t="str">
        <x:v>Prophetic Prism</x:v>
      </x:c>
      <x:c r="B7" s="28" t="str">
        <x:v>Fellwar Stone</x:v>
      </x:c>
      <x:c r="C7" s="28" t="str">
        <x:v>P1 — Estrutura</x:v>
      </x:c>
      <x:c r="D7" s="28" t="str">
        <x:v>Alta</x:v>
      </x:c>
      <x:c r="E7" s="28" t="str">
        <x:v>Prism filtra, mas não acelera; lista tricolor com comandante de 4 manas precisa de ramp real.</x:v>
      </x:c>
      <x:c r="F7" s="28" t="str">
        <x:v>Transforma um slot de filtragem lenta em fonte de mana de custo 2.</x:v>
      </x:c>
      <x:c r="G7" s="28" t="str">
        <x:v>Produção colorida depende das cores que terrenos dos oponentes podem produzir; verificar mesa incomum.</x:v>
      </x:c>
      <x:c r="H7" s="28" t="str">
        <x:v>PROPOSED V3 — não testada</x:v>
      </x:c>
      <x:c r="I7" s="28" t="str">
        <x:v>https://scryfall.com/search?q=%21%22Fellwar+Stone%22</x:v>
      </x:c>
      <x:c r="J7" s="28" t="str">
        <x:v>Acompanhar em 5–10 partidas; não decidir por uma só.</x:v>
      </x:c>
    </x:row>
    <x:row r="8">
      <x:c r="A8" s="28" t="str">
        <x:v>Hissing Miasma</x:v>
      </x:c>
      <x:c r="B8" s="28" t="str">
        <x:v>Ghostly Prison</x:v>
      </x:c>
      <x:c r="C8" s="28" t="str">
        <x:v>P1 — Tax/Pillowfort</x:v>
      </x:c>
      <x:c r="D8" s="28" t="str">
        <x:v>Alta</x:v>
      </x:c>
      <x:c r="E8" s="28" t="str">
        <x:v>Miasma penaliza vida após o ataque; não impede o ataque e tem baixo efeito dissuasor em mesas com vidas altas.</x:v>
      </x:c>
      <x:c r="F8" s="28" t="str">
        <x:v>Taxa ataques sem pagar {2} por criatura atacante, é encantamento de valor 3 buscável por Zur e protege planeswalkers indiretamente.</x:v>
      </x:c>
      <x:c r="G8" s="28" t="str">
        <x:v>Acumula com Propaganda e Crawlspace; excesso de pillowfort pode desincentivar totalmente ataques contra você.</x:v>
      </x:c>
      <x:c r="H8" s="28" t="str">
        <x:v>PROPOSED V3 — não testada</x:v>
      </x:c>
      <x:c r="I8" s="28" t="str">
        <x:v>https://scryfall.com/search?q=%21%22Ghostly+Prison%22</x:v>
      </x:c>
      <x:c r="J8" s="28" t="str">
        <x:v>Acompanhar em 5–10 partidas; não decidir por uma só.</x:v>
      </x:c>
    </x:row>
    <x:row r="9">
      <x:c r="A9" s="28" t="str">
        <x:v>Oppression</x:v>
      </x:c>
      <x:c r="B9" s="28" t="str">
        <x:v>Grasp of Fate</x:v>
      </x:c>
      <x:c r="C9" s="28" t="str">
        <x:v>P1 — Interação/política</x:v>
      </x:c>
      <x:c r="D9" s="28" t="str">
        <x:v>Alta</x:v>
      </x:c>
      <x:c r="E9" s="28" t="str">
        <x:v>Oppression é simétrica e pune jogar mágicas; atrapalha negociações, compra e reconstrução do próprio deck.</x:v>
      </x:c>
      <x:c r="F9" s="28" t="str">
        <x:v>Grasp of Fate pode exilar uma permanente não-terreno de cada oponente, convertendo Zur em remoção ampla, mas seletiva por jogador.</x:v>
      </x:c>
      <x:c r="G9" s="28" t="str">
        <x:v>A saída de campo de Grasp devolve todas as cartas exiladas; não é remoção permanente. Pode elevar a sua ameaça política.</x:v>
      </x:c>
      <x:c r="H9" s="28" t="str">
        <x:v>PROPOSED V3 — não testada</x:v>
      </x:c>
      <x:c r="I9" s="28" t="str">
        <x:v>https://scryfall.com/search?q=%21%22Grasp+of+Fate%22</x:v>
      </x:c>
      <x:c r="J9" s="28" t="str">
        <x:v>Acompanhar em 5–10 partidas; não decidir por uma só.</x:v>
      </x:c>
    </x:row>
    <x:row r="10">
      <x:c r="A10" s="28" t="str">
        <x:v>Silent Arbiter</x:v>
      </x:c>
      <x:c r="B10" s="28" t="str">
        <x:v>Duelist's Heritage</x:v>
      </x:c>
      <x:c r="C10" s="28" t="str">
        <x:v>P1 — Política</x:v>
      </x:c>
      <x:c r="D10" s="28" t="str">
        <x:v>Alta</x:v>
      </x:c>
      <x:c r="E10" s="28" t="str">
        <x:v>Arbiter limita combates de todos e torna a mesa previsível/paralisada, contradizendo a promessa de dinâmica.</x:v>
      </x:c>
      <x:c r="F10" s="28" t="str">
        <x:v>Duelist's Heritage pode dar golpe duplo a qualquer criatura atacante, inclusive a de um oponente contra outro; transforma o combate em negociação.</x:v>
      </x:c>
      <x:c r="G10" s="28" t="str">
        <x:v>É um encantamento de valor 3 que Zur pode buscar. Pode acelerar a morte de alguém e fazer você parecer cúmplice.</x:v>
      </x:c>
      <x:c r="H10" s="28" t="str">
        <x:v>PROPOSED V3 — não testada</x:v>
      </x:c>
      <x:c r="I10" s="28" t="str">
        <x:v>https://scryfall.com/search?q=%21%22Duelist%27s+Heritage%22</x:v>
      </x:c>
      <x:c r="J10" s="28" t="str">
        <x:v>Acompanhar em 5–10 partidas; não decidir por uma só.</x:v>
      </x:c>
    </x:row>
    <x:row r="11">
      <x:c r="A11" s="28" t="str">
        <x:v>Cleansing Nova</x:v>
      </x:c>
      <x:c r="B11" s="28" t="str">
        <x:v>Curse of Disturbance</x:v>
      </x:c>
      <x:c r="C11" s="28" t="str">
        <x:v>P2 — Política/pressão</x:v>
      </x:c>
      <x:c r="D11" s="28" t="str">
        <x:v>Alta</x:v>
      </x:c>
      <x:c r="E11" s="28" t="str">
        <x:v>A lista começa com 7 resets entre wipes e Out of Time; excesso de reset conflita com construir tabuleiro e política.</x:v>
      </x:c>
      <x:c r="F11" s="28" t="str">
        <x:v>A Curse remunera quem ataca o jogador encantado e gera Zombies; alvo pode ser o líder ou quem acumulou recursos.</x:v>
      </x:c>
      <x:c r="G11" s="28" t="str">
        <x:v>É política com direção explícita: pode unir a mesa contra o encantado e não remove uma ameaça por si só.</x:v>
      </x:c>
      <x:c r="H11" s="28" t="str">
        <x:v>PROPOSED V3 — não testada</x:v>
      </x:c>
      <x:c r="I11" s="28" t="str">
        <x:v>https://scryfall.com/search?q=%21%22Curse+of+Disturbance%22</x:v>
      </x:c>
      <x:c r="J11" s="28" t="str">
        <x:v>Acompanhar em 5–10 partidas; não decidir por uma só.</x:v>
      </x:c>
    </x:row>
    <x:row r="12">
      <x:c r="A12" s="28" t="str">
        <x:v>Doomskar</x:v>
      </x:c>
      <x:c r="B12" s="28" t="str">
        <x:v>Swan Song</x:v>
      </x:c>
      <x:c r="C12" s="28" t="str">
        <x:v>P1 — Interação de pilha</x:v>
      </x:c>
      <x:c r="D12" s="28" t="str">
        <x:v>Alta</x:v>
      </x:c>
      <x:c r="E12" s="28" t="str">
        <x:v>Commander multiplayer valoriza respostas baratas a combos, wipes e motores; a lista quase não interage na pilha.</x:v>
      </x:c>
      <x:c r="F12" s="28" t="str">
        <x:v>Counter de 1 mana para encantamento, instantânea ou feitiço; preserva mana e permite defender o plano no turno alheio.</x:v>
      </x:c>
      <x:c r="G12" s="28" t="str">
        <x:v>Não responde criaturas/artefatos e dá ficha 2/2 voadora ao controlador da mágica anulada. Não é substituto universal de wipe.</x:v>
      </x:c>
      <x:c r="H12" s="28" t="str">
        <x:v>PROPOSED V3 — não testada</x:v>
      </x:c>
      <x:c r="I12" s="28" t="str">
        <x:v>https://scryfall.com/search?q=%21%22Swan+Song%22</x:v>
      </x:c>
      <x:c r="J12" s="28" t="str">
        <x:v>Acompanhar em 5–10 partidas; não decidir por uma só.</x:v>
      </x:c>
    </x:row>
    <x:row r="13">
      <x:c r="A13" s="28" t="str">
        <x:v>Extinction Event</x:v>
      </x:c>
      <x:c r="B13" s="28" t="str">
        <x:v>Dovin's Veto</x:v>
      </x:c>
      <x:c r="C13" s="28" t="str">
        <x:v>P1 — Interação de pilha</x:v>
      </x:c>
      <x:c r="D13" s="28" t="str">
        <x:v>Alta</x:v>
      </x:c>
      <x:c r="E13" s="28" t="str">
        <x:v>Outro reset global é menos flexível contra uma única ameaça decisiva ou combo de não-criaturas.</x:v>
      </x:c>
      <x:c r="F13" s="28" t="str">
        <x:v>Resposta barata e irrefutável a mágica não-criatura; ótima defesa de encantamentos e motores.</x:v>
      </x:c>
      <x:c r="G13" s="28" t="str">
        <x:v>Não responde criaturas e não protege contra habilidades já na pilha. Terceiro reset retirado, mas ainda ficam 3 efeitos de reset amplo/temporário.</x:v>
      </x:c>
      <x:c r="H13" s="28" t="str">
        <x:v>PROPOSED V3 — não testada</x:v>
      </x:c>
      <x:c r="I13" s="28" t="str">
        <x:v>https://scryfall.com/search?q=%21%22Dovin%27s+Veto%22</x:v>
      </x:c>
      <x:c r="J13" s="28" t="str">
        <x:v>Acompanhar em 5–10 partidas; não decidir por uma só.</x:v>
      </x:c>
    </x:row>
    <x:row r="14">
      <x:c r="A14" s="28" t="str">
        <x:v>Ojutai's Command</x:v>
      </x:c>
      <x:c r="B14" s="28" t="str">
        <x:v>Arcane Denial</x:v>
      </x:c>
      <x:c r="C14" s="28" t="str">
        <x:v>P1 — Interação de pilha</x:v>
      </x:c>
      <x:c r="D14" s="28" t="str">
        <x:v>Alta</x:v>
      </x:c>
      <x:c r="E14" s="28" t="str">
        <x:v>Ojutai's Command tem modos úteis, porém custa 4 e restringe os alvos; isso torna caro manter proteção aberta.</x:v>
      </x:c>
      <x:c r="F14" s="28" t="str">
        <x:v>Counter de 2 manas para qualquer mágica, substituindo a amplitude modal por eficiência e flexibilidade.</x:v>
      </x:c>
      <x:c r="G14" s="28" t="str">
        <x:v>O controlador da mágica anulada compra até 2 cartas e você compra 1 no próximo upkeep; o oponente pode usar isso politicamente.</x:v>
      </x:c>
      <x:c r="H14" s="28" t="str">
        <x:v>PROPOSED V3 — não testada</x:v>
      </x:c>
      <x:c r="I14" s="28" t="str">
        <x:v>https://scryfall.com/search?q=%21%22Arcane+Denial%22</x:v>
      </x:c>
      <x:c r="J14" s="28" t="str">
        <x:v>Acompanhar em 5–10 partidas; não decidir por uma só.</x:v>
      </x:c>
    </x:row>
    <x:row r="15">
      <x:c r="A15" s="28" t="str">
        <x:v>Dark Tutelage</x:v>
      </x:c>
      <x:c r="B15" s="28" t="str">
        <x:v>Mystic Remora</x:v>
      </x:c>
      <x:c r="C15" s="28" t="str">
        <x:v>P1 — Vantagem de cartas</x:v>
      </x:c>
      <x:c r="D15" s="28" t="str">
        <x:v>Alta</x:v>
      </x:c>
      <x:c r="E15" s="28" t="str">
        <x:v>Dark Tutelage é lenta e cobra vida repetidamente por cartas no upkeep; compra uma carta por vez.</x:v>
      </x:c>
      <x:c r="F15" s="28" t="str">
        <x:v>Remora pode cobrar cartas de vários oponentes por custo de {1}; custa 1 e é alvo de Zur. Forte no início.</x:v>
      </x:c>
      <x:c r="G15" s="28" t="str">
        <x:v>A manutenção cumulativa exige decidir se pagar; o valor cai em mesa que joga principalmente criaturas. Não é uma fonte permanente gratuita.</x:v>
      </x:c>
      <x:c r="H15" s="28" t="str">
        <x:v>PROPOSED V3 — não testada</x:v>
      </x:c>
      <x:c r="I15" s="28" t="str">
        <x:v>https://scryfall.com/search?q=%21%22Mystic+Remora%22</x:v>
      </x:c>
      <x:c r="J15" s="28" t="str">
        <x:v>Acompanhar em 5–10 partidas; não decidir por uma só.</x:v>
      </x:c>
    </x:row>
    <x:row r="16">
      <x:c r="A16" s="28" t="str">
        <x:v>Mind's Eye</x:v>
      </x:c>
      <x:c r="B16" s="28" t="str">
        <x:v>Rhystic Study</x:v>
      </x:c>
      <x:c r="C16" s="28" t="str">
        <x:v>P1 — Vantagem de cartas</x:v>
      </x:c>
      <x:c r="D16" s="28" t="str">
        <x:v>Alta</x:v>
      </x:c>
      <x:c r="E16" s="28" t="str">
        <x:v>Mind's Eye exige 5 de mana e mana adicional para cada compra alheia, dificultando manter interação aberta.</x:v>
      </x:c>
      <x:c r="F16" s="28" t="str">
        <x:v>Study custa 3, pode ser buscada por Zur, e pressiona os adversários a pagar ou permitir compras.</x:v>
      </x:c>
      <x:c r="G16" s="28" t="str">
        <x:v>Cria percepção de ameaça e pode atrasar a mesa se você insistir em cada gatilho; negociar pagamentos seletivamente é parte da identidade.</x:v>
      </x:c>
      <x:c r="H16" s="28" t="str">
        <x:v>PROPOSED V3 — não testada</x:v>
      </x:c>
      <x:c r="I16" s="28" t="str">
        <x:v>https://scryfall.com/search?q=%21%22Rhystic+Study%22</x:v>
      </x:c>
      <x:c r="J16" s="28" t="str">
        <x:v>Acompanhar em 5–10 partidas; não decidir por uma só.</x:v>
      </x:c>
    </x:row>
    <x:row r="17">
      <x:c r="A17" s="28" t="str">
        <x:v>Nighthowler</x:v>
      </x:c>
      <x:c r="B17" s="28" t="str">
        <x:v>Estrid's Invocation</x:v>
      </x:c>
      <x:c r="C17" s="28" t="str">
        <x:v>P2 — Toolbox</x:v>
      </x:c>
      <x:c r="D17" s="28" t="str">
        <x:v>Alta</x:v>
      </x:c>
      <x:c r="E17" s="28" t="str">
        <x:v>Nighthowler escala com cemitérios, mas não há plano de self-mill nem pacote de Auras/Voltron suficiente para justificar a dependência.</x:v>
      </x:c>
      <x:c r="F17" s="28" t="str">
        <x:v>Invocation copia no ETB um encantamento que você controla e pode se exilar/retornar no upkeep para escolher outra cópia; amplia os alvos funcionais de Zur.</x:v>
      </x:c>
      <x:c r="G17" s="28" t="str">
        <x:v>Não copia criaturas que não sejam encantamentos; precisa de alvos bons no campo e cópias futuras exigem upkeep.</x:v>
      </x:c>
      <x:c r="H17" s="28" t="str">
        <x:v>PROPOSED V3 — não testada</x:v>
      </x:c>
      <x:c r="I17" s="28" t="str">
        <x:v>https://scryfall.com/search?q=%21%22Estrid%27s+Invocation%22</x:v>
      </x:c>
      <x:c r="J17" s="28" t="str">
        <x:v>Acompanhar em 5–10 partidas; não decidir por uma só.</x:v>
      </x:c>
    </x:row>
    <x:row r="18">
      <x:c r="A18" s="28" t="str">
        <x:v>Akroma's Blessing</x:v>
      </x:c>
      <x:c r="B18" s="28" t="str">
        <x:v>Vanishing</x:v>
      </x:c>
      <x:c r="C18" s="28" t="str">
        <x:v>P1 — Proteção do comandante</x:v>
      </x:c>
      <x:c r="D18" s="28" t="str">
        <x:v>Alta</x:v>
      </x:c>
      <x:c r="E18" s="28" t="str">
        <x:v>Blessing custa 4 e dá proteção a criaturas de uma cor ou compra se ciclada; é proteção pontual e exige mana aberta alta.</x:v>
      </x:c>
      <x:c r="F18" s="28" t="str">
        <x:v>Vanishing custa 1 e é encantamento buscável por Zur; permite fasear Zur para fora em resposta a remoção ou wipe, preservando seus anexos.</x:v>
      </x:c>
      <x:c r="G18" s="28" t="str">
        <x:v>Aura é vulnerável a remoção de encantamento; se Vanishing for destruída em resposta à ativação, a habilidade já na pilha ainda pode resolver conforme o estado e timing. Testar regras exatas se necessário.</x:v>
      </x:c>
      <x:c r="H18" s="28" t="str">
        <x:v>PROPOSED V3 — não testada</x:v>
      </x:c>
      <x:c r="I18" s="28" t="str">
        <x:v>https://scryfall.com/search?q=%21%22Vanishing%22</x:v>
      </x:c>
      <x:c r="J18" s="28" t="str">
        <x:v>Acompanhar em 5–10 partidas; não decidir por uma só.</x:v>
      </x:c>
    </x:row>
    <x:row r="19">
      <x:c r="A19" s="28" t="str">
        <x:v>Promise of Power</x:v>
      </x:c>
      <x:c r="B19" s="28" t="str">
        <x:v>Curse of Verbosity</x:v>
      </x:c>
      <x:c r="C19" s="28" t="str">
        <x:v>P2 — Política/compra</x:v>
      </x:c>
      <x:c r="D19" s="28" t="str">
        <x:v>Alta</x:v>
      </x:c>
      <x:c r="E19" s="28" t="str">
        <x:v>Promise é uma compra grande mas de 5 manas, ou criatura 5/5 por custo alternativo; a lista tem excesso de payoffs caros e ganha motores mais eficientes.</x:v>
      </x:c>
      <x:c r="F19" s="28" t="str">
        <x:v>Curse incentiva atacar o jogador encantado e compra para você e o atacante; custa 3 e Zur pode buscá-la.</x:v>
      </x:c>
      <x:c r="G19" s="28" t="str">
        <x:v>Você dá cartas aos adversários que atacarem o encantado; escolha alvo e momento com intenção política. Reduz a capacidade de explosão imediata de Promise.</x:v>
      </x:c>
      <x:c r="H19" s="28" t="str">
        <x:v>PROPOSED V3 — não testada</x:v>
      </x:c>
      <x:c r="I19" s="28" t="str">
        <x:v>https://scryfall.com/search?q=%21%22Curse+of+Verbosity%22</x:v>
      </x:c>
      <x:c r="J19" s="28" t="str">
        <x:v>Acompanhar em 5–10 partidas; não decidir por uma só.</x:v>
      </x:c>
    </x:row>
    <x:row r="20">
      <x:c r="A20" s="28" t="str">
        <x:v>Phyrexian Arena</x:v>
      </x:c>
      <x:c r="B20" s="28" t="str">
        <x:v>Necropotence</x:v>
      </x:c>
      <x:c r="C20" s="28" t="str">
        <x:v>P1 — Vantagem de cartas</x:v>
      </x:c>
      <x:c r="D20" s="28" t="str">
        <x:v>Alta, com risco</x:v>
      </x:c>
      <x:c r="E20" s="28" t="str">
        <x:v>Arena compra lentamente uma carta por turno; o potencial de Zur com encantamentos baratos permite acessar Necropotence sem pagar {B}{B}{B} da mão.</x:v>
      </x:c>
      <x:c r="F20" s="28" t="str">
        <x:v>Necropotence converte vida em grande seleção/volume de cartas; teto de consistência muito maior e é alvo de Zur.</x:v>
      </x:c>
      <x:c r="G20" s="28" t="str">
        <x:v>Aumenta drasticamente a ameaça percebida; exila descartes e pula sua etapa de compra. Vida baixa, remoção e efeitos de draw step precisam ser considerados. Opção poderosa, não politicamente neutra.</x:v>
      </x:c>
      <x:c r="H20" s="28" t="str">
        <x:v>PROPOSED V3 — não testada</x:v>
      </x:c>
      <x:c r="I20" s="28" t="str">
        <x:v>https://scryfall.com/search?q=%21%22Necropotence%22</x:v>
      </x:c>
      <x:c r="J20" s="28" t="str">
        <x:v>Acompanhar em 5–10 partidas; não decidir por uma só.</x:v>
      </x:c>
    </x:row>
    <x:row r="21">
      <x:c r="A21" s="28" t="str">
        <x:v>Sphinx's Revelation</x:v>
      </x:c>
      <x:c r="B21" s="28" t="str">
        <x:v>Enlightened Tutor</x:v>
      </x:c>
      <x:c r="C21" s="28" t="str">
        <x:v>P1 — Consistência</x:v>
      </x:c>
      <x:c r="D21" s="28" t="str">
        <x:v>Alta</x:v>
      </x:c>
      <x:c r="E21" s="28" t="str">
        <x:v>Revelation é um efeito caro e escalável; os motores novos de compra tornam a seleção de uma peça crítica mais valiosa neste plano.</x:v>
      </x:c>
      <x:c r="F21" s="28" t="str">
        <x:v>Tutor de 1 mana encontra qualquer artefato ou encantamento no topo: proteção, tax, draw, ou wincon, elevando consistência e resposta situacional.</x:v>
      </x:c>
      <x:c r="G21" s="28" t="str">
        <x:v>Coloca a carta no topo, não na mão; não é vantagem líquida de cartas por si só e pode ser anulada.</x:v>
      </x:c>
      <x:c r="H21" s="28" t="str">
        <x:v>PROPOSED V3 — não testada</x:v>
      </x:c>
      <x:c r="I21" s="28" t="str">
        <x:v>https://scryfall.com/search?q=%21%22Enlightened+Tutor%22</x:v>
      </x:c>
      <x:c r="J21" s="28" t="str">
        <x:v>Acompanhar em 5–10 partidas; não decidir por uma só.</x:v>
      </x:c>
    </x:row>
    <x:row r="22">
      <x:c r="A22" s="28" t="str">
        <x:v>Out of Time</x:v>
      </x:c>
      <x:c r="B22" s="28" t="str">
        <x:v>Swords to Plowshares</x:v>
      </x:c>
      <x:c r="C22" s="28" t="str">
        <x:v>P1 — Interação precisa</x:v>
      </x:c>
      <x:c r="D22" s="28" t="str">
        <x:v>Alta</x:v>
      </x:c>
      <x:c r="E22" s="28" t="str">
        <x:v>Out of Time pode remover temporariamente todo o tabuleiro de criaturas e criar longos períodos de combate suspenso; é outro reset e trava a dinâmica.</x:v>
      </x:c>
      <x:c r="F22" s="28" t="str">
        <x:v>Swords responde por 1 mana a uma criatura, inclusive comandante/opressor isolado, com baixíssimo custo de oportunidade.</x:v>
      </x:c>
      <x:c r="G22" s="28" t="str">
        <x:v>Dá vida ao controlador igual ao poder da criatura; não responde encantamentos, planeswalkers ou mágicas na pilha.</x:v>
      </x:c>
      <x:c r="H22" s="28" t="str">
        <x:v>PROPOSED V3 — não testada</x:v>
      </x:c>
      <x:c r="I22" s="28" t="str">
        <x:v>https://scryfall.com/search?q=%21%22Swords+to+Plowshares%22</x:v>
      </x:c>
      <x:c r="J22" s="28" t="str">
        <x:v>Acompanhar em 5–10 partidas; não decidir por uma só.</x:v>
      </x:c>
    </x:row>
    <x:row r="23">
      <x:c r="A23" s="28" t="str">
        <x:v>Azorius Chancery</x:v>
      </x:c>
      <x:c r="B23" s="28" t="str">
        <x:v>Drowned Catacomb</x:v>
      </x:c>
      <x:c r="C23" s="28" t="str">
        <x:v>P1 — Tempo da mana</x:v>
      </x:c>
      <x:c r="D23" s="28" t="str">
        <x:v>Média-alta</x:v>
      </x:c>
      <x:c r="E23" s="28" t="str">
        <x:v>Chancery entra virada e devolve terreno para mão, criando perda de tempo e vulnerabilidade a land destruction.</x:v>
      </x:c>
      <x:c r="F23" s="28" t="str">
        <x:v>Drowned Catacomb tende a entrar desvirada porque a lista tem Islands/Swamps, melhora U/B.</x:v>
      </x:c>
      <x:c r="G23" s="28" t="str">
        <x:v>Não produz branco e depende de controlar Island ou Swamp; revisar sequência e fontes coloridas.</x:v>
      </x:c>
      <x:c r="H23" s="28" t="str">
        <x:v>PROPOSED V3 — não testada</x:v>
      </x:c>
      <x:c r="I23" s="28" t="str">
        <x:v>https://scryfall.com/search?q=%21%22Drowned+Catacomb%22</x:v>
      </x:c>
      <x:c r="J23" s="28" t="str">
        <x:v>Acompanhar em 5–10 partidas; não decidir por uma só.</x:v>
      </x:c>
    </x:row>
    <x:row r="24">
      <x:c r="A24" s="28" t="str">
        <x:v>Meticulous Archive</x:v>
      </x:c>
      <x:c r="B24" s="28" t="str">
        <x:v>Godless Shrine</x:v>
      </x:c>
      <x:c r="C24" s="28" t="str">
        <x:v>P1 — Cor preta</x:v>
      </x:c>
      <x:c r="D24" s="28" t="str">
        <x:v>Média-alta</x:v>
      </x:c>
      <x:c r="E24" s="28" t="str">
        <x:v>Archive dá surveil mas é terreno que entra virado; a lista tem requisitos pretos pesados.</x:v>
      </x:c>
      <x:c r="F24" s="28" t="str">
        <x:v>Shrine reforça branco/preto e pode entrar desvirada pagando 2 vidas; é Plains/Swamp para fetches.</x:v>
      </x:c>
      <x:c r="G24" s="28" t="str">
        <x:v>Custa vida para entrar desvirada e perde surveil/U. Compensa porque a lista pede BBB em Necropotence e Underworld Dreams.</x:v>
      </x:c>
      <x:c r="H24" s="28" t="str">
        <x:v>PROPOSED V3 — não testada</x:v>
      </x:c>
      <x:c r="I24" s="28" t="str">
        <x:v>https://scryfall.com/search?q=%21%22Godless+Shrine%22</x:v>
      </x:c>
      <x:c r="J24" s="28" t="str">
        <x:v>Acompanhar em 5–10 partidas; não decidir por uma só.</x:v>
      </x:c>
    </x:row>
    <x:row r="25">
      <x:c r="A25" s="28" t="str">
        <x:v>Myriad Landscape</x:v>
      </x:c>
      <x:c r="B25" s="28" t="str">
        <x:v>Polluted Delta</x:v>
      </x:c>
      <x:c r="C25" s="28" t="str">
        <x:v>P1 — Tempo/fixing</x:v>
      </x:c>
      <x:c r="D25" s="28" t="str">
        <x:v>Média-alta</x:v>
      </x:c>
      <x:c r="E25" s="28" t="str">
        <x:v>Landscape entra virado, exige mana e ativa tardiamente para buscar básicos; com mais rocks de 2 manas, a rampa lenta fica menos importante.</x:v>
      </x:c>
      <x:c r="F25" s="28" t="str">
        <x:v>Delta melhora fixação inicial, procura Ilha/Pântano ou dual com tipos compatíveis (Hallowed Fountain/Godless Shrine) e embaralha o topo após tutor.</x:v>
      </x:c>
      <x:c r="G25" s="28" t="str">
        <x:v>Não gera mana sozinho até ser sacrificada; pode buscar somente terrenos com tipo Island ou Swamp. Não busca todos os duals.</x:v>
      </x:c>
      <x:c r="H25" s="28" t="str">
        <x:v>PROPOSED V3 — não testada</x:v>
      </x:c>
      <x:c r="I25" s="28" t="str">
        <x:v>https://scryfall.com/search?q=%21%22Polluted+Delta%22</x:v>
      </x:c>
      <x:c r="J25" s="28" t="str">
        <x:v>Acompanhar em 5–10 partidas; não decidir por uma só.</x:v>
      </x:c>
    </x:row>
    <x:row r="26">
      <x:c r="A26" s="28" t="str">
        <x:v>Ajuste de básicos: Island 10→8; Plains 8→7; Swamp 5→8</x:v>
      </x:c>
      <x:c r="B26" s="28" t="str">
        <x:v>Reequilibrar U/W/B</x:v>
      </x:c>
      <x:c r="C26" s="28" t="str">
        <x:v>P1 — Fontes coloridas</x:v>
      </x:c>
      <x:c r="D26" s="28" t="str">
        <x:v>Média-alta</x:v>
      </x:c>
      <x:c r="E26" s="28" t="str">
        <x:v>Lista atual apoia poucos símbolos pretos apesar de Underworld Dreams e de potencial Necropotence; 5 Swamps é frágil.</x:v>
      </x:c>
      <x:c r="F26" s="28" t="str">
        <x:v>Mais básicos pretos para conjurar custos pretos e usar Polluted Delta; duas Ilhas e uma Plains são convertidas em Swamps.</x:v>
      </x:c>
      <x:c r="G26" s="28" t="str">
        <x:v>A configuração final precisa ser validada com testes de mãos; contagem de fontes é aproximada por terrenos que podem produzir cada cor, não uma garantia probabilística.</x:v>
      </x:c>
      <x:c r="H26" s="28" t="str">
        <x:v>PROPOSED V3 — não testada</x:v>
      </x:c>
      <x:c r="I26" s="28" t="str">
        <x:v>https://scryfall.com/search?q=lands%3Aesper</x:v>
      </x:c>
      <x:c r="J26" s="28" t="str">
        <x:v>Acompanhar em 5–10 partidas; não decidir por uma só.</x:v>
      </x:c>
    </x:row>
  </x:sheetData>
  <x:mergeCells>
    <x:mergeCell ref="A1:J1"/>
    <x:mergeCell ref="A2:J2"/>
  </x:mergeCells>
  <x:conditionalFormatting sqref="C5:C26">
    <x:cfRule type="expression" dxfId="1" priority="1">
      <x:formula>LEFT(C5,2)="P1"</x:formula>
    </x:cfRule>
    <x:cfRule type="expression" dxfId="2" priority="2">
      <x:formula>LEFT(C5,2)="P2"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9d8ae216b34be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13" hidden="0" customWidth="1"/>
    <x:col min="4" max="4" width="13" hidden="0" customWidth="1"/>
    <x:col min="5" max="5" width="27" hidden="0" customWidth="1"/>
    <x:col min="6" max="6" width="8" hidden="0" customWidth="1"/>
    <x:col min="7" max="7" width="31" hidden="0" customWidth="1"/>
    <x:col min="8" max="8" width="31" hidden="0" customWidth="1"/>
    <x:col min="9" max="9" width="19" hidden="0" customWidth="1"/>
    <x:col min="10" max="10" width="19" hidden="0" customWidth="1"/>
    <x:col min="11" max="11" width="48" hidden="0" customWidth="1"/>
  </x:cols>
  <x:sheetData>
    <x:row r="1" ht="30" customHeight="1">
      <x:c r="A1" s="5" t="str">
        <x:v>CARD MATRIX — comparação rastreável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12"/>
      <x:c r="M1" s="112"/>
      <x:c r="N1" s="112"/>
    </x:row>
    <x:row r="2" ht="30" customHeight="1">
      <x:c r="A2" s="13" t="str">
        <x:v>União das cartas CURRENT/PROPOSED. Delta positivo significa quantidade adicionada; negativo significa removida. Funções primárias refletem a organização 8×8 escolhida.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0" customHeight="1">
      <x:c r="A4" s="22" t="str">
        <x:v>Carta</x:v>
      </x:c>
      <x:c r="B4" s="22" t="str">
        <x:v>Qtd CURRENT</x:v>
      </x:c>
      <x:c r="C4" s="22" t="str">
        <x:v>Qtd PROPOSED</x:v>
      </x:c>
      <x:c r="D4" s="22" t="str">
        <x:v>Delta</x:v>
      </x:c>
      <x:c r="E4" s="22" t="str">
        <x:v>Tipo (referência)</x:v>
      </x:c>
      <x:c r="F4" s="22" t="str">
        <x:v>MV</x:v>
      </x:c>
      <x:c r="G4" s="22" t="str">
        <x:v>Grupo CURRENT</x:v>
      </x:c>
      <x:c r="H4" s="22" t="str">
        <x:v>Grupo PROPOSED</x:v>
      </x:c>
      <x:c r="I4" s="22" t="str">
        <x:v>Alvo de Zur CURRENT?</x:v>
      </x:c>
      <x:c r="J4" s="22" t="str">
        <x:v>Alvo de Zur PROPOSED?</x:v>
      </x:c>
      <x:c r="K4" s="22" t="str">
        <x:v>Nota de encaixe / risco</x:v>
      </x:c>
    </x:row>
    <x:row r="5">
      <x:c r="A5" s="28" t="str">
        <x:v>Zur the Enchanter</x:v>
      </x:c>
      <x:c r="B5" s="28" t="n">
        <x:v>1</x:v>
      </x:c>
      <x:c r="C5" s="28" t="n">
        <x:v>1</x:v>
      </x:c>
      <x:c r="D5" s="28" t="n">
        <x:f>C5-B5</x:f>
        <x:v>0</x:v>
      </x:c>
      <x:c r="E5" s="28" t="str">
        <x:v>Legendary Creature — Wizard</x:v>
      </x:c>
      <x:c r="F5" s="28" t="n">
        <x:v>4</x:v>
      </x:c>
      <x:c r="G5" s="28" t="str">
        <x:v>Commander</x:v>
      </x:c>
      <x:c r="H5" s="28" t="str">
        <x:v>Commander</x:v>
      </x:c>
      <x:c r="I5" s="28" t="str">
        <x:v>No</x:v>
      </x:c>
      <x:c r="J5" s="28" t="str">
        <x:v>No</x:v>
      </x:c>
      <x:c r="K5" s="28" t="str">
        <x:v>Tutor repetido de encantamentos MV≤3; eixo de toolbox e política.</x:v>
      </x:c>
    </x:row>
    <x:row r="6">
      <x:c r="A6" s="28" t="str">
        <x:v>Act of Authority</x:v>
      </x:c>
      <x:c r="B6" s="28" t="n">
        <x:v>1</x:v>
      </x:c>
      <x:c r="C6" s="28" t="n">
        <x:v>1</x:v>
      </x:c>
      <x:c r="D6" s="28" t="n">
        <x:f>C6-B6</x:f>
        <x:v>0</x:v>
      </x:c>
      <x:c r="E6" s="28" t="str">
        <x:v>Enchantment</x:v>
      </x:c>
      <x:c r="F6" s="28" t="n">
        <x:v>3</x:v>
      </x:c>
      <x:c r="G6" s="28" t="str">
        <x:v>4. Enchantment toolbox / removal</x:v>
      </x:c>
      <x:c r="H6" s="28" t="str">
        <x:v>4. Enchantment toolbox / removal</x:v>
      </x:c>
      <x:c r="I6" s="28" t="str">
        <x:v>Yes</x:v>
      </x:c>
      <x:c r="J6" s="28" t="str">
        <x:v>Yes</x:v>
      </x:c>
      <x:c r="K6" s="28" t="str">
        <x:v>Resposta a artefatos/encantamentos; entrada e upkeep podem oferecer escolhas políticas.</x:v>
      </x:c>
    </x:row>
    <x:row r="7">
      <x:c r="A7" s="28" t="str">
        <x:v>Akroma's Blessing</x:v>
      </x:c>
      <x:c r="B7" s="28" t="n">
        <x:v>1</x:v>
      </x:c>
      <x:c r="C7" s="28" t="n">
        <x:v>0</x:v>
      </x:c>
      <x:c r="D7" s="28" t="n">
        <x:f>C7-B7</x:f>
        <x:v>-1</x:v>
      </x:c>
      <x:c r="E7" s="28" t="str">
        <x:v>Instant</x:v>
      </x:c>
      <x:c r="F7" s="28" t="n">
        <x:v>4</x:v>
      </x:c>
      <x:c r="G7" s="28" t="str">
        <x:v>6. Protection + recursion</x:v>
      </x:c>
      <x:c r="H7" s="28" t="str">
        <x:v>—</x:v>
      </x:c>
      <x:c r="I7" s="28" t="str">
        <x:v>No</x:v>
      </x:c>
      <x:c r="J7" s="28" t="str">
        <x:v>—</x:v>
      </x:c>
      <x:c r="K7" s="28" t="str">
        <x:v>Carta da lista original; avaliar pelo papel nesta estratégia, não apenas por força isolada.</x:v>
      </x:c>
    </x:row>
    <x:row r="8">
      <x:c r="A8" s="28" t="str">
        <x:v>All That Glitters</x:v>
      </x:c>
      <x:c r="B8" s="28" t="n">
        <x:v>1</x:v>
      </x:c>
      <x:c r="C8" s="28" t="n">
        <x:v>1</x:v>
      </x:c>
      <x:c r="D8" s="28" t="n">
        <x:f>C8-B8</x:f>
        <x:v>0</x:v>
      </x:c>
      <x:c r="E8" s="28" t="str">
        <x:v>Enchantment</x:v>
      </x:c>
      <x:c r="F8" s="28" t="n">
        <x:v>2</x:v>
      </x:c>
      <x:c r="G8" s="28" t="str">
        <x:v>8. Synergy + wincons</x:v>
      </x:c>
      <x:c r="H8" s="28" t="str">
        <x:v>8. Synergy + wincons</x:v>
      </x:c>
      <x:c r="I8" s="28" t="str">
        <x:v>Yes</x:v>
      </x:c>
      <x:c r="J8" s="28" t="str">
        <x:v>Yes</x:v>
      </x:c>
      <x:c r="K8" s="28" t="str">
        <x:v>Condição de dano de comandante/voltron; potencial de fechar sem combo.</x:v>
      </x:c>
    </x:row>
    <x:row r="9">
      <x:c r="A9" s="28" t="str">
        <x:v>Alseid of Life's Bounty</x:v>
      </x:c>
      <x:c r="B9" s="28" t="n">
        <x:v>1</x:v>
      </x:c>
      <x:c r="C9" s="28" t="n">
        <x:v>1</x:v>
      </x:c>
      <x:c r="D9" s="28" t="n">
        <x:f>C9-B9</x:f>
        <x:v>0</x:v>
      </x:c>
      <x:c r="E9" s="28" t="str">
        <x:v>Enchantment Creature</x:v>
      </x:c>
      <x:c r="F9" s="28" t="n">
        <x:v>1</x:v>
      </x:c>
      <x:c r="G9" s="28" t="str">
        <x:v>6. Protection + recursion</x:v>
      </x:c>
      <x:c r="H9" s="28" t="str">
        <x:v>6. Protection + recursion</x:v>
      </x:c>
      <x:c r="I9" s="28" t="str">
        <x:v>Yes</x:v>
      </x:c>
      <x:c r="J9" s="28" t="str">
        <x:v>Yes</x:v>
      </x:c>
      <x:c r="K9" s="28" t="str">
        <x:v>Enchantment creature MV1 e alvo de Zur; sacrifica para proteção por cor.</x:v>
      </x:c>
    </x:row>
    <x:row r="10">
      <x:c r="A10" s="28" t="str">
        <x:v>Arcane Sanctum</x:v>
      </x:c>
      <x:c r="B10" s="28" t="n">
        <x:v>1</x:v>
      </x:c>
      <x:c r="C10" s="28" t="n">
        <x:v>1</x:v>
      </x:c>
      <x:c r="D10" s="28" t="n">
        <x:f>C10-B10</x:f>
        <x:v>0</x:v>
      </x:c>
      <x:c r="E10" s="28" t="str">
        <x:v>Land</x:v>
      </x:c>
      <x:c r="F10" s="28"/>
      <x:c r="G10" s="28" t="str">
        <x:v>Land</x:v>
      </x:c>
      <x:c r="H10" s="28" t="str">
        <x:v>Land</x:v>
      </x:c>
      <x:c r="I10" s="28" t="str">
        <x:v>No</x:v>
      </x:c>
      <x:c r="J10" s="28" t="str">
        <x:v>No</x:v>
      </x:c>
      <x:c r="K10" s="28" t="str">
        <x:v>Terreno/fonte de mana; verificar cor disponível e condição de entrada.</x:v>
      </x:c>
    </x:row>
    <x:row r="11">
      <x:c r="A11" s="28" t="str">
        <x:v>Arcane Signet</x:v>
      </x:c>
      <x:c r="B11" s="28" t="n">
        <x:v>1</x:v>
      </x:c>
      <x:c r="C11" s="28" t="n">
        <x:v>1</x:v>
      </x:c>
      <x:c r="D11" s="28" t="n">
        <x:f>C11-B11</x:f>
        <x:v>0</x:v>
      </x:c>
      <x:c r="E11" s="28" t="str">
        <x:v>Artifact</x:v>
      </x:c>
      <x:c r="F11" s="28" t="n">
        <x:v>2</x:v>
      </x:c>
      <x:c r="G11" s="28" t="str">
        <x:v>1. Ramp + fixing</x:v>
      </x:c>
      <x:c r="H11" s="28" t="str">
        <x:v>1. Ramp + fixing</x:v>
      </x:c>
      <x:c r="I11" s="28" t="str">
        <x:v>No</x:v>
      </x:c>
      <x:c r="J11" s="28" t="str">
        <x:v>No</x:v>
      </x:c>
      <x:c r="K11" s="28" t="str">
        <x:v>Carta da lista original; avaliar pelo papel nesta estratégia, não apenas por força isolada.</x:v>
      </x:c>
    </x:row>
    <x:row r="12">
      <x:c r="A12" s="28" t="str">
        <x:v>Arguel's Blood Fast</x:v>
      </x:c>
      <x:c r="B12" s="28" t="n">
        <x:v>1</x:v>
      </x:c>
      <x:c r="C12" s="28" t="n">
        <x:v>1</x:v>
      </x:c>
      <x:c r="D12" s="28" t="n">
        <x:f>C12-B12</x:f>
        <x:v>0</x:v>
      </x:c>
      <x:c r="E12" s="28" t="str">
        <x:v>Enchantment</x:v>
      </x:c>
      <x:c r="F12" s="28" t="n">
        <x:v>2</x:v>
      </x:c>
      <x:c r="G12" s="28" t="str">
        <x:v>2. Draw + selection</x:v>
      </x:c>
      <x:c r="H12" s="28" t="str">
        <x:v>2. Draw + selection</x:v>
      </x:c>
      <x:c r="I12" s="28" t="str">
        <x:v>Yes</x:v>
      </x:c>
      <x:c r="J12" s="28" t="str">
        <x:v>Yes</x:v>
      </x:c>
      <x:c r="K12" s="28" t="str">
        <x:v>Carta da lista original; avaliar pelo papel nesta estratégia, não apenas por força isolada.</x:v>
      </x:c>
    </x:row>
    <x:row r="13">
      <x:c r="A13" s="28" t="str">
        <x:v>Azorius Chancery</x:v>
      </x:c>
      <x:c r="B13" s="28" t="n">
        <x:v>1</x:v>
      </x:c>
      <x:c r="C13" s="28" t="n">
        <x:v>0</x:v>
      </x:c>
      <x:c r="D13" s="28" t="n">
        <x:f>C13-B13</x:f>
        <x:v>-1</x:v>
      </x:c>
      <x:c r="E13" s="28" t="str">
        <x:v>Land</x:v>
      </x:c>
      <x:c r="F13" s="28"/>
      <x:c r="G13" s="28" t="str">
        <x:v>Land</x:v>
      </x:c>
      <x:c r="H13" s="28" t="str">
        <x:v>—</x:v>
      </x:c>
      <x:c r="I13" s="28" t="str">
        <x:v>No</x:v>
      </x:c>
      <x:c r="J13" s="28" t="str">
        <x:v>—</x:v>
      </x:c>
      <x:c r="K13" s="28" t="str">
        <x:v>Terreno/fonte de mana; verificar cor disponível e condição de entrada.</x:v>
      </x:c>
    </x:row>
    <x:row r="14">
      <x:c r="A14" s="28" t="str">
        <x:v>Azorius Locket</x:v>
      </x:c>
      <x:c r="B14" s="28" t="n">
        <x:v>1</x:v>
      </x:c>
      <x:c r="C14" s="28" t="n">
        <x:v>0</x:v>
      </x:c>
      <x:c r="D14" s="28" t="n">
        <x:f>C14-B14</x:f>
        <x:v>-1</x:v>
      </x:c>
      <x:c r="E14" s="28" t="str">
        <x:v>Artifact</x:v>
      </x:c>
      <x:c r="F14" s="28" t="n">
        <x:v>3</x:v>
      </x:c>
      <x:c r="G14" s="28" t="str">
        <x:v>1. Ramp + fixing</x:v>
      </x:c>
      <x:c r="H14" s="28" t="str">
        <x:v>—</x:v>
      </x:c>
      <x:c r="I14" s="28" t="str">
        <x:v>No</x:v>
      </x:c>
      <x:c r="J14" s="28" t="str">
        <x:v>—</x:v>
      </x:c>
      <x:c r="K14" s="28" t="str">
        <x:v>Carta da lista original; avaliar pelo papel nesta estratégia, não apenas por força isolada.</x:v>
      </x:c>
    </x:row>
    <x:row r="15">
      <x:c r="A15" s="28" t="str">
        <x:v>Baleful Strix</x:v>
      </x:c>
      <x:c r="B15" s="28" t="n">
        <x:v>1</x:v>
      </x:c>
      <x:c r="C15" s="28" t="n">
        <x:v>1</x:v>
      </x:c>
      <x:c r="D15" s="28" t="n">
        <x:f>C15-B15</x:f>
        <x:v>0</x:v>
      </x:c>
      <x:c r="E15" s="28" t="str">
        <x:v>Creature</x:v>
      </x:c>
      <x:c r="F15" s="28" t="n">
        <x:v>2</x:v>
      </x:c>
      <x:c r="G15" s="28" t="str">
        <x:v>2. Draw + selection</x:v>
      </x:c>
      <x:c r="H15" s="28" t="str">
        <x:v>2. Draw + selection</x:v>
      </x:c>
      <x:c r="I15" s="28" t="str">
        <x:v>No</x:v>
      </x:c>
      <x:c r="J15" s="28" t="str">
        <x:v>No</x:v>
      </x:c>
      <x:c r="K15" s="28" t="str">
        <x:v>Carta da lista original; avaliar pelo papel nesta estratégia, não apenas por força isolada.</x:v>
      </x:c>
    </x:row>
    <x:row r="16">
      <x:c r="A16" s="28" t="str">
        <x:v>Blind Obedience</x:v>
      </x:c>
      <x:c r="B16" s="28" t="n">
        <x:v>1</x:v>
      </x:c>
      <x:c r="C16" s="28" t="n">
        <x:v>1</x:v>
      </x:c>
      <x:c r="D16" s="28" t="n">
        <x:f>C16-B16</x:f>
        <x:v>0</x:v>
      </x:c>
      <x:c r="E16" s="28" t="str">
        <x:v>Enchantment</x:v>
      </x:c>
      <x:c r="F16" s="28" t="n">
        <x:v>2</x:v>
      </x:c>
      <x:c r="G16" s="28" t="str">
        <x:v>5. Tax + pillowfort</x:v>
      </x:c>
      <x:c r="H16" s="28" t="str">
        <x:v>5. Tax + pillowfort</x:v>
      </x:c>
      <x:c r="I16" s="28" t="str">
        <x:v>Yes</x:v>
      </x:c>
      <x:c r="J16" s="28" t="str">
        <x:v>Yes</x:v>
      </x:c>
      <x:c r="K16" s="28" t="str">
        <x:v>Taxa artefatos de oponentes e drena via extort; alvo de Zur.</x:v>
      </x:c>
    </x:row>
    <x:row r="17">
      <x:c r="A17" s="28" t="str">
        <x:v>Bloodthirsty Blade</x:v>
      </x:c>
      <x:c r="B17" s="28" t="n">
        <x:v>1</x:v>
      </x:c>
      <x:c r="C17" s="28" t="n">
        <x:v>1</x:v>
      </x:c>
      <x:c r="D17" s="28" t="n">
        <x:f>C17-B17</x:f>
        <x:v>0</x:v>
      </x:c>
      <x:c r="E17" s="28" t="str">
        <x:v>Artifact — Equipment</x:v>
      </x:c>
      <x:c r="F17" s="28" t="n">
        <x:v>2</x:v>
      </x:c>
      <x:c r="G17" s="28" t="str">
        <x:v>7. Politics + combat manipulation</x:v>
      </x:c>
      <x:c r="H17" s="28" t="str">
        <x:v>7. Politics + combat manipulation</x:v>
      </x:c>
      <x:c r="I17" s="28" t="str">
        <x:v>No</x:v>
      </x:c>
      <x:c r="J17" s="28" t="str">
        <x:v>No</x:v>
      </x:c>
      <x:c r="K17" s="28" t="str">
        <x:v>Goad explícito e manipulação de combate; pode remover ameaça de você.</x:v>
      </x:c>
    </x:row>
    <x:row r="18">
      <x:c r="A18" s="28" t="str">
        <x:v>Brainstorm</x:v>
      </x:c>
      <x:c r="B18" s="28" t="n">
        <x:v>1</x:v>
      </x:c>
      <x:c r="C18" s="28" t="n">
        <x:v>1</x:v>
      </x:c>
      <x:c r="D18" s="28" t="n">
        <x:f>C18-B18</x:f>
        <x:v>0</x:v>
      </x:c>
      <x:c r="E18" s="28" t="str">
        <x:v>Instant</x:v>
      </x:c>
      <x:c r="F18" s="28" t="n">
        <x:v>1</x:v>
      </x:c>
      <x:c r="G18" s="28" t="str">
        <x:v>2. Draw + selection</x:v>
      </x:c>
      <x:c r="H18" s="28" t="str">
        <x:v>2. Draw + selection</x:v>
      </x:c>
      <x:c r="I18" s="28" t="str">
        <x:v>No</x:v>
      </x:c>
      <x:c r="J18" s="28" t="str">
        <x:v>No</x:v>
      </x:c>
      <x:c r="K18" s="28" t="str">
        <x:v>Carta da lista original; avaliar pelo papel nesta estratégia, não apenas por força isolada.</x:v>
      </x:c>
    </x:row>
    <x:row r="19">
      <x:c r="A19" s="28" t="str">
        <x:v>By Invitation Only</x:v>
      </x:c>
      <x:c r="B19" s="28" t="n">
        <x:v>1</x:v>
      </x:c>
      <x:c r="C19" s="28" t="n">
        <x:v>1</x:v>
      </x:c>
      <x:c r="D19" s="28" t="n">
        <x:f>C19-B19</x:f>
        <x:v>0</x:v>
      </x:c>
      <x:c r="E19" s="28" t="str">
        <x:v>Sorcery</x:v>
      </x:c>
      <x:c r="F19" s="28" t="n">
        <x:v>5</x:v>
      </x:c>
      <x:c r="G19" s="28" t="str">
        <x:v>3. Interaction — non-enchantment</x:v>
      </x:c>
      <x:c r="H19" s="28" t="str">
        <x:v>3. Interaction — non-enchantment</x:v>
      </x:c>
      <x:c r="I19" s="28" t="str">
        <x:v>No</x:v>
      </x:c>
      <x:c r="J19" s="28" t="str">
        <x:v>No</x:v>
      </x:c>
      <x:c r="K19" s="28" t="str">
        <x:v>Carta da lista original; avaliar pelo papel nesta estratégia, não apenas por força isolada.</x:v>
      </x:c>
    </x:row>
    <x:row r="20">
      <x:c r="A20" s="28" t="str">
        <x:v>Chromatic Lantern</x:v>
      </x:c>
      <x:c r="B20" s="28" t="n">
        <x:v>1</x:v>
      </x:c>
      <x:c r="C20" s="28" t="n">
        <x:v>1</x:v>
      </x:c>
      <x:c r="D20" s="28" t="n">
        <x:f>C20-B20</x:f>
        <x:v>0</x:v>
      </x:c>
      <x:c r="E20" s="28" t="str">
        <x:v>Artifact</x:v>
      </x:c>
      <x:c r="F20" s="28" t="n">
        <x:v>3</x:v>
      </x:c>
      <x:c r="G20" s="28" t="str">
        <x:v>1. Ramp + fixing</x:v>
      </x:c>
      <x:c r="H20" s="28" t="str">
        <x:v>1. Ramp + fixing</x:v>
      </x:c>
      <x:c r="I20" s="28" t="str">
        <x:v>No</x:v>
      </x:c>
      <x:c r="J20" s="28" t="str">
        <x:v>No</x:v>
      </x:c>
      <x:c r="K20" s="28" t="str">
        <x:v>Carta da lista original; avaliar pelo papel nesta estratégia, não apenas por força isolada.</x:v>
      </x:c>
    </x:row>
    <x:row r="21">
      <x:c r="A21" s="28" t="str">
        <x:v>Cleansing Nova</x:v>
      </x:c>
      <x:c r="B21" s="28" t="n">
        <x:v>1</x:v>
      </x:c>
      <x:c r="C21" s="28" t="n">
        <x:v>0</x:v>
      </x:c>
      <x:c r="D21" s="28" t="n">
        <x:f>C21-B21</x:f>
        <x:v>-1</x:v>
      </x:c>
      <x:c r="E21" s="28" t="str">
        <x:v>Sorcery</x:v>
      </x:c>
      <x:c r="F21" s="28" t="n">
        <x:v>5</x:v>
      </x:c>
      <x:c r="G21" s="28" t="str">
        <x:v>3. Interaction — non-enchantment</x:v>
      </x:c>
      <x:c r="H21" s="28" t="str">
        <x:v>—</x:v>
      </x:c>
      <x:c r="I21" s="28" t="str">
        <x:v>No</x:v>
      </x:c>
      <x:c r="J21" s="28" t="str">
        <x:v>—</x:v>
      </x:c>
      <x:c r="K21" s="28" t="str">
        <x:v>Carta da lista original; avaliar pelo papel nesta estratégia, não apenas por força isolada.</x:v>
      </x:c>
    </x:row>
    <x:row r="22">
      <x:c r="A22" s="28" t="str">
        <x:v>Combat Research</x:v>
      </x:c>
      <x:c r="B22" s="28" t="n">
        <x:v>1</x:v>
      </x:c>
      <x:c r="C22" s="28" t="n">
        <x:v>1</x:v>
      </x:c>
      <x:c r="D22" s="28" t="n">
        <x:f>C22-B22</x:f>
        <x:v>0</x:v>
      </x:c>
      <x:c r="E22" s="28" t="str">
        <x:v>Aura / Enchantment</x:v>
      </x:c>
      <x:c r="F22" s="28" t="n">
        <x:v>1</x:v>
      </x:c>
      <x:c r="G22" s="28" t="str">
        <x:v>2. Draw + selection</x:v>
      </x:c>
      <x:c r="H22" s="28" t="str">
        <x:v>2. Draw + selection</x:v>
      </x:c>
      <x:c r="I22" s="28" t="str">
        <x:v>Yes</x:v>
      </x:c>
      <x:c r="J22" s="28" t="str">
        <x:v>Yes</x:v>
      </x:c>
      <x:c r="K22" s="28" t="str">
        <x:v>Carta da lista original; avaliar pelo papel nesta estratégia, não apenas por força isolada.</x:v>
      </x:c>
    </x:row>
    <x:row r="23">
      <x:c r="A23" s="28" t="str">
        <x:v>Command Tower</x:v>
      </x:c>
      <x:c r="B23" s="28" t="n">
        <x:v>1</x:v>
      </x:c>
      <x:c r="C23" s="28" t="n">
        <x:v>1</x:v>
      </x:c>
      <x:c r="D23" s="28" t="n">
        <x:f>C23-B23</x:f>
        <x:v>0</x:v>
      </x:c>
      <x:c r="E23" s="28" t="str">
        <x:v>Land</x:v>
      </x:c>
      <x:c r="F23" s="28"/>
      <x:c r="G23" s="28" t="str">
        <x:v>Land</x:v>
      </x:c>
      <x:c r="H23" s="28" t="str">
        <x:v>Land</x:v>
      </x:c>
      <x:c r="I23" s="28" t="str">
        <x:v>No</x:v>
      </x:c>
      <x:c r="J23" s="28" t="str">
        <x:v>No</x:v>
      </x:c>
      <x:c r="K23" s="28" t="str">
        <x:v>Terreno/fonte de mana; verificar cor disponível e condição de entrada.</x:v>
      </x:c>
    </x:row>
    <x:row r="24">
      <x:c r="A24" s="28" t="str">
        <x:v>Commander's Sphere</x:v>
      </x:c>
      <x:c r="B24" s="28" t="n">
        <x:v>1</x:v>
      </x:c>
      <x:c r="C24" s="28" t="n">
        <x:v>1</x:v>
      </x:c>
      <x:c r="D24" s="28" t="n">
        <x:f>C24-B24</x:f>
        <x:v>0</x:v>
      </x:c>
      <x:c r="E24" s="28" t="str">
        <x:v>Artifact</x:v>
      </x:c>
      <x:c r="F24" s="28" t="n">
        <x:v>3</x:v>
      </x:c>
      <x:c r="G24" s="28" t="str">
        <x:v>1. Ramp + fixing</x:v>
      </x:c>
      <x:c r="H24" s="28" t="str">
        <x:v>1. Ramp + fixing</x:v>
      </x:c>
      <x:c r="I24" s="28" t="str">
        <x:v>No</x:v>
      </x:c>
      <x:c r="J24" s="28" t="str">
        <x:v>No</x:v>
      </x:c>
      <x:c r="K24" s="28" t="str">
        <x:v>Carta da lista original; avaliar pelo papel nesta estratégia, não apenas por força isolada.</x:v>
      </x:c>
    </x:row>
    <x:row r="25">
      <x:c r="A25" s="28" t="str">
        <x:v>Consecrated Sphinx</x:v>
      </x:c>
      <x:c r="B25" s="28" t="n">
        <x:v>1</x:v>
      </x:c>
      <x:c r="C25" s="28" t="n">
        <x:v>1</x:v>
      </x:c>
      <x:c r="D25" s="28" t="n">
        <x:f>C25-B25</x:f>
        <x:v>0</x:v>
      </x:c>
      <x:c r="E25" s="28" t="str">
        <x:v>Creature</x:v>
      </x:c>
      <x:c r="F25" s="28" t="n">
        <x:v>6</x:v>
      </x:c>
      <x:c r="G25" s="28" t="str">
        <x:v>2. Draw + selection</x:v>
      </x:c>
      <x:c r="H25" s="28" t="str">
        <x:v>2. Draw + selection</x:v>
      </x:c>
      <x:c r="I25" s="28" t="str">
        <x:v>No</x:v>
      </x:c>
      <x:c r="J25" s="28" t="str">
        <x:v>No</x:v>
      </x:c>
      <x:c r="K25" s="28" t="str">
        <x:v>Carta da lista original; avaliar pelo papel nesta estratégia, não apenas por força isolada.</x:v>
      </x:c>
    </x:row>
    <x:row r="26">
      <x:c r="A26" s="28" t="str">
        <x:v>Copy Enchantment</x:v>
      </x:c>
      <x:c r="B26" s="28" t="n">
        <x:v>1</x:v>
      </x:c>
      <x:c r="C26" s="28" t="n">
        <x:v>1</x:v>
      </x:c>
      <x:c r="D26" s="28" t="n">
        <x:f>C26-B26</x:f>
        <x:v>0</x:v>
      </x:c>
      <x:c r="E26" s="28" t="str">
        <x:v>Enchantment</x:v>
      </x:c>
      <x:c r="F26" s="28" t="n">
        <x:v>3</x:v>
      </x:c>
      <x:c r="G26" s="28" t="str">
        <x:v>8. Synergy + wincons</x:v>
      </x:c>
      <x:c r="H26" s="28" t="str">
        <x:v>8. Synergy + wincons</x:v>
      </x:c>
      <x:c r="I26" s="28" t="str">
        <x:v>Yes</x:v>
      </x:c>
      <x:c r="J26" s="28" t="str">
        <x:v>Yes</x:v>
      </x:c>
      <x:c r="K26" s="28" t="str">
        <x:v>Carta da lista original; avaliar pelo papel nesta estratégia, não apenas por força isolada.</x:v>
      </x:c>
    </x:row>
    <x:row r="27">
      <x:c r="A27" s="28" t="str">
        <x:v>Crawlspace</x:v>
      </x:c>
      <x:c r="B27" s="28" t="n">
        <x:v>1</x:v>
      </x:c>
      <x:c r="C27" s="28" t="n">
        <x:v>1</x:v>
      </x:c>
      <x:c r="D27" s="28" t="n">
        <x:f>C27-B27</x:f>
        <x:v>0</x:v>
      </x:c>
      <x:c r="E27" s="28" t="str">
        <x:v>Artifact</x:v>
      </x:c>
      <x:c r="F27" s="28" t="n">
        <x:v>3</x:v>
      </x:c>
      <x:c r="G27" s="28" t="str">
        <x:v>5. Tax + pillowfort</x:v>
      </x:c>
      <x:c r="H27" s="28" t="str">
        <x:v>5. Tax + pillowfort</x:v>
      </x:c>
      <x:c r="I27" s="28" t="str">
        <x:v>No</x:v>
      </x:c>
      <x:c r="J27" s="28" t="str">
        <x:v>No</x:v>
      </x:c>
      <x:c r="K27" s="28" t="str">
        <x:v>Carta da lista original; avaliar pelo papel nesta estratégia, não apenas por força isolada.</x:v>
      </x:c>
    </x:row>
    <x:row r="28">
      <x:c r="A28" s="28" t="str">
        <x:v>Crystal Chimes</x:v>
      </x:c>
      <x:c r="B28" s="28" t="n">
        <x:v>1</x:v>
      </x:c>
      <x:c r="C28" s="28" t="n">
        <x:v>1</x:v>
      </x:c>
      <x:c r="D28" s="28" t="n">
        <x:f>C28-B28</x:f>
        <x:v>0</x:v>
      </x:c>
      <x:c r="E28" s="28" t="str">
        <x:v>Artifact</x:v>
      </x:c>
      <x:c r="F28" s="28" t="n">
        <x:v>3</x:v>
      </x:c>
      <x:c r="G28" s="28" t="str">
        <x:v>6. Protection + recursion</x:v>
      </x:c>
      <x:c r="H28" s="28" t="str">
        <x:v>6. Protection + recursion</x:v>
      </x:c>
      <x:c r="I28" s="28" t="str">
        <x:v>No</x:v>
      </x:c>
      <x:c r="J28" s="28" t="str">
        <x:v>No</x:v>
      </x:c>
      <x:c r="K28" s="28" t="str">
        <x:v>Carta da lista original; avaliar pelo papel nesta estratégia, não apenas por força isolada.</x:v>
      </x:c>
    </x:row>
    <x:row r="29">
      <x:c r="A29" s="28" t="str">
        <x:v>Dark Tutelage</x:v>
      </x:c>
      <x:c r="B29" s="28" t="n">
        <x:v>1</x:v>
      </x:c>
      <x:c r="C29" s="28" t="n">
        <x:v>0</x:v>
      </x:c>
      <x:c r="D29" s="28" t="n">
        <x:f>C29-B29</x:f>
        <x:v>-1</x:v>
      </x:c>
      <x:c r="E29" s="28" t="str">
        <x:v>Enchantment</x:v>
      </x:c>
      <x:c r="F29" s="28" t="n">
        <x:v>3</x:v>
      </x:c>
      <x:c r="G29" s="28" t="str">
        <x:v>2. Draw + selection</x:v>
      </x:c>
      <x:c r="H29" s="28" t="str">
        <x:v>—</x:v>
      </x:c>
      <x:c r="I29" s="28" t="str">
        <x:v>Yes</x:v>
      </x:c>
      <x:c r="J29" s="28" t="str">
        <x:v>—</x:v>
      </x:c>
      <x:c r="K29" s="28" t="str">
        <x:v>Draw incremental, mas com perda de vida.</x:v>
      </x:c>
    </x:row>
    <x:row r="30">
      <x:c r="A30" s="28" t="str">
        <x:v>Darksteel Mutation</x:v>
      </x:c>
      <x:c r="B30" s="28" t="n">
        <x:v>1</x:v>
      </x:c>
      <x:c r="C30" s="28" t="n">
        <x:v>1</x:v>
      </x:c>
      <x:c r="D30" s="28" t="n">
        <x:f>C30-B30</x:f>
        <x:v>0</x:v>
      </x:c>
      <x:c r="E30" s="28" t="str">
        <x:v>Aura / Enchantment</x:v>
      </x:c>
      <x:c r="F30" s="28" t="n">
        <x:v>2</x:v>
      </x:c>
      <x:c r="G30" s="28" t="str">
        <x:v>4. Enchantment toolbox / removal</x:v>
      </x:c>
      <x:c r="H30" s="28" t="str">
        <x:v>4. Enchantment toolbox / removal</x:v>
      </x:c>
      <x:c r="I30" s="28" t="str">
        <x:v>Yes</x:v>
      </x:c>
      <x:c r="J30" s="28" t="str">
        <x:v>Yes</x:v>
      </x:c>
      <x:c r="K30" s="28" t="str">
        <x:v>Carta da lista original; avaliar pelo papel nesta estratégia, não apenas por força isolada.</x:v>
      </x:c>
    </x:row>
    <x:row r="31">
      <x:c r="A31" s="28" t="str">
        <x:v>Decanter of Endless Water</x:v>
      </x:c>
      <x:c r="B31" s="28" t="n">
        <x:v>1</x:v>
      </x:c>
      <x:c r="C31" s="28" t="n">
        <x:v>1</x:v>
      </x:c>
      <x:c r="D31" s="28" t="n">
        <x:f>C31-B31</x:f>
        <x:v>0</x:v>
      </x:c>
      <x:c r="E31" s="28" t="str">
        <x:v>Artifact</x:v>
      </x:c>
      <x:c r="F31" s="28" t="n">
        <x:v>3</x:v>
      </x:c>
      <x:c r="G31" s="28" t="str">
        <x:v>1. Ramp + fixing</x:v>
      </x:c>
      <x:c r="H31" s="28" t="str">
        <x:v>1. Ramp + fixing</x:v>
      </x:c>
      <x:c r="I31" s="28" t="str">
        <x:v>No</x:v>
      </x:c>
      <x:c r="J31" s="28" t="str">
        <x:v>No</x:v>
      </x:c>
      <x:c r="K31" s="28" t="str">
        <x:v>Carta da lista original; avaliar pelo papel nesta estratégia, não apenas por força isolada.</x:v>
      </x:c>
    </x:row>
    <x:row r="32">
      <x:c r="A32" s="28" t="str">
        <x:v>Dictate of Kruphix</x:v>
      </x:c>
      <x:c r="B32" s="28" t="n">
        <x:v>1</x:v>
      </x:c>
      <x:c r="C32" s="28" t="n">
        <x:v>1</x:v>
      </x:c>
      <x:c r="D32" s="28" t="n">
        <x:f>C32-B32</x:f>
        <x:v>0</x:v>
      </x:c>
      <x:c r="E32" s="28" t="str">
        <x:v>Enchantment</x:v>
      </x:c>
      <x:c r="F32" s="28" t="n">
        <x:v>3</x:v>
      </x:c>
      <x:c r="G32" s="28" t="str">
        <x:v>2. Draw + selection</x:v>
      </x:c>
      <x:c r="H32" s="28" t="str">
        <x:v>2. Draw + selection</x:v>
      </x:c>
      <x:c r="I32" s="28" t="str">
        <x:v>Yes</x:v>
      </x:c>
      <x:c r="J32" s="28" t="str">
        <x:v>Yes</x:v>
      </x:c>
      <x:c r="K32" s="28" t="str">
        <x:v>Compra simétrica; pode oferecer value/aliança, mas favorece adversários também.</x:v>
      </x:c>
    </x:row>
    <x:row r="33">
      <x:c r="A33" s="28" t="str">
        <x:v>Doomskar</x:v>
      </x:c>
      <x:c r="B33" s="28" t="n">
        <x:v>1</x:v>
      </x:c>
      <x:c r="C33" s="28" t="n">
        <x:v>0</x:v>
      </x:c>
      <x:c r="D33" s="28" t="n">
        <x:f>C33-B33</x:f>
        <x:v>-1</x:v>
      </x:c>
      <x:c r="E33" s="28" t="str">
        <x:v>Sorcery</x:v>
      </x:c>
      <x:c r="F33" s="28" t="n">
        <x:v>5</x:v>
      </x:c>
      <x:c r="G33" s="28" t="str">
        <x:v>3. Interaction — non-enchantment</x:v>
      </x:c>
      <x:c r="H33" s="28" t="str">
        <x:v>—</x:v>
      </x:c>
      <x:c r="I33" s="28" t="str">
        <x:v>No</x:v>
      </x:c>
      <x:c r="J33" s="28" t="str">
        <x:v>—</x:v>
      </x:c>
      <x:c r="K33" s="28" t="str">
        <x:v>Carta da lista original; avaliar pelo papel nesta estratégia, não apenas por força isolada.</x:v>
      </x:c>
    </x:row>
    <x:row r="34">
      <x:c r="A34" s="28" t="str">
        <x:v>Extinction Event</x:v>
      </x:c>
      <x:c r="B34" s="28" t="n">
        <x:v>1</x:v>
      </x:c>
      <x:c r="C34" s="28" t="n">
        <x:v>0</x:v>
      </x:c>
      <x:c r="D34" s="28" t="n">
        <x:f>C34-B34</x:f>
        <x:v>-1</x:v>
      </x:c>
      <x:c r="E34" s="28" t="str">
        <x:v>Sorcery</x:v>
      </x:c>
      <x:c r="F34" s="28" t="n">
        <x:v>4</x:v>
      </x:c>
      <x:c r="G34" s="28" t="str">
        <x:v>3. Interaction — non-enchantment</x:v>
      </x:c>
      <x:c r="H34" s="28" t="str">
        <x:v>—</x:v>
      </x:c>
      <x:c r="I34" s="28" t="str">
        <x:v>No</x:v>
      </x:c>
      <x:c r="J34" s="28" t="str">
        <x:v>—</x:v>
      </x:c>
      <x:c r="K34" s="28" t="str">
        <x:v>Carta da lista original; avaliar pelo papel nesta estratégia, não apenas por força isolada.</x:v>
      </x:c>
    </x:row>
    <x:row r="35">
      <x:c r="A35" s="28" t="str">
        <x:v>Fracture</x:v>
      </x:c>
      <x:c r="B35" s="28" t="n">
        <x:v>1</x:v>
      </x:c>
      <x:c r="C35" s="28" t="n">
        <x:v>1</x:v>
      </x:c>
      <x:c r="D35" s="28" t="n">
        <x:f>C35-B35</x:f>
        <x:v>0</x:v>
      </x:c>
      <x:c r="E35" s="28" t="str">
        <x:v>Instant</x:v>
      </x:c>
      <x:c r="F35" s="28" t="n">
        <x:v>2</x:v>
      </x:c>
      <x:c r="G35" s="28" t="str">
        <x:v>3. Interaction — non-enchantment</x:v>
      </x:c>
      <x:c r="H35" s="28" t="str">
        <x:v>3. Interaction — non-enchantment</x:v>
      </x:c>
      <x:c r="I35" s="28" t="str">
        <x:v>No</x:v>
      </x:c>
      <x:c r="J35" s="28" t="str">
        <x:v>No</x:v>
      </x:c>
      <x:c r="K35" s="28" t="str">
        <x:v>Carta da lista original; avaliar pelo papel nesta estratégia, não apenas por força isolada.</x:v>
      </x:c>
    </x:row>
    <x:row r="36">
      <x:c r="A36" s="28" t="str">
        <x:v>Greater Auramancy</x:v>
      </x:c>
      <x:c r="B36" s="28" t="n">
        <x:v>1</x:v>
      </x:c>
      <x:c r="C36" s="28" t="n">
        <x:v>1</x:v>
      </x:c>
      <x:c r="D36" s="28" t="n">
        <x:f>C36-B36</x:f>
        <x:v>0</x:v>
      </x:c>
      <x:c r="E36" s="28" t="str">
        <x:v>Enchantment</x:v>
      </x:c>
      <x:c r="F36" s="28" t="n">
        <x:v>2</x:v>
      </x:c>
      <x:c r="G36" s="28" t="str">
        <x:v>6. Protection + recursion</x:v>
      </x:c>
      <x:c r="H36" s="28" t="str">
        <x:v>6. Protection + recursion</x:v>
      </x:c>
      <x:c r="I36" s="28" t="str">
        <x:v>Yes</x:v>
      </x:c>
      <x:c r="J36" s="28" t="str">
        <x:v>Yes</x:v>
      </x:c>
      <x:c r="K36" s="28" t="str">
        <x:v>Carta da lista original; avaliar pelo papel nesta estratégia, não apenas por força isolada.</x:v>
      </x:c>
    </x:row>
    <x:row r="37">
      <x:c r="A37" s="28" t="str">
        <x:v>Hall of Heliod's Generosity</x:v>
      </x:c>
      <x:c r="B37" s="28" t="n">
        <x:v>1</x:v>
      </x:c>
      <x:c r="C37" s="28" t="n">
        <x:v>1</x:v>
      </x:c>
      <x:c r="D37" s="28" t="n">
        <x:f>C37-B37</x:f>
        <x:v>0</x:v>
      </x:c>
      <x:c r="E37" s="28" t="str">
        <x:v>Land</x:v>
      </x:c>
      <x:c r="F37" s="28"/>
      <x:c r="G37" s="28" t="str">
        <x:v>Land</x:v>
      </x:c>
      <x:c r="H37" s="28" t="str">
        <x:v>Land</x:v>
      </x:c>
      <x:c r="I37" s="28" t="str">
        <x:v>No</x:v>
      </x:c>
      <x:c r="J37" s="28" t="str">
        <x:v>No</x:v>
      </x:c>
      <x:c r="K37" s="28" t="str">
        <x:v>Terreno/fonte de mana; verificar cor disponível e condição de entrada.</x:v>
      </x:c>
    </x:row>
    <x:row r="38">
      <x:c r="A38" s="28" t="str">
        <x:v>Hall of Storm Giants</x:v>
      </x:c>
      <x:c r="B38" s="28" t="n">
        <x:v>1</x:v>
      </x:c>
      <x:c r="C38" s="28" t="n">
        <x:v>1</x:v>
      </x:c>
      <x:c r="D38" s="28" t="n">
        <x:f>C38-B38</x:f>
        <x:v>0</x:v>
      </x:c>
      <x:c r="E38" s="28" t="str">
        <x:v>Land</x:v>
      </x:c>
      <x:c r="F38" s="28"/>
      <x:c r="G38" s="28" t="str">
        <x:v>Land</x:v>
      </x:c>
      <x:c r="H38" s="28" t="str">
        <x:v>Land</x:v>
      </x:c>
      <x:c r="I38" s="28" t="str">
        <x:v>No</x:v>
      </x:c>
      <x:c r="J38" s="28" t="str">
        <x:v>No</x:v>
      </x:c>
      <x:c r="K38" s="28" t="str">
        <x:v>Terreno/fonte de mana; verificar cor disponível e condição de entrada.</x:v>
      </x:c>
    </x:row>
    <x:row r="39">
      <x:c r="A39" s="28" t="str">
        <x:v>Hallowed Fountain</x:v>
      </x:c>
      <x:c r="B39" s="28" t="n">
        <x:v>1</x:v>
      </x:c>
      <x:c r="C39" s="28" t="n">
        <x:v>1</x:v>
      </x:c>
      <x:c r="D39" s="28" t="n">
        <x:f>C39-B39</x:f>
        <x:v>0</x:v>
      </x:c>
      <x:c r="E39" s="28" t="str">
        <x:v>Land</x:v>
      </x:c>
      <x:c r="F39" s="28"/>
      <x:c r="G39" s="28" t="str">
        <x:v>Land</x:v>
      </x:c>
      <x:c r="H39" s="28" t="str">
        <x:v>Land</x:v>
      </x:c>
      <x:c r="I39" s="28" t="str">
        <x:v>No</x:v>
      </x:c>
      <x:c r="J39" s="28" t="str">
        <x:v>No</x:v>
      </x:c>
      <x:c r="K39" s="28" t="str">
        <x:v>Terreno/fonte de mana; verificar cor disponível e condição de entrada.</x:v>
      </x:c>
    </x:row>
    <x:row r="40">
      <x:c r="A40" s="28" t="str">
        <x:v>Hengegate Pathway</x:v>
      </x:c>
      <x:c r="B40" s="28" t="n">
        <x:v>1</x:v>
      </x:c>
      <x:c r="C40" s="28" t="n">
        <x:v>1</x:v>
      </x:c>
      <x:c r="D40" s="28" t="n">
        <x:f>C40-B40</x:f>
        <x:v>0</x:v>
      </x:c>
      <x:c r="E40" s="28" t="str">
        <x:v>Land</x:v>
      </x:c>
      <x:c r="F40" s="28"/>
      <x:c r="G40" s="28" t="str">
        <x:v>Land</x:v>
      </x:c>
      <x:c r="H40" s="28" t="str">
        <x:v>Land</x:v>
      </x:c>
      <x:c r="I40" s="28" t="str">
        <x:v>No</x:v>
      </x:c>
      <x:c r="J40" s="28" t="str">
        <x:v>No</x:v>
      </x:c>
      <x:c r="K40" s="28" t="str">
        <x:v>Terreno/fonte de mana; verificar cor disponível e condição de entrada.</x:v>
      </x:c>
    </x:row>
    <x:row r="41">
      <x:c r="A41" s="28" t="str">
        <x:v>Hissing Miasma</x:v>
      </x:c>
      <x:c r="B41" s="28" t="n">
        <x:v>1</x:v>
      </x:c>
      <x:c r="C41" s="28" t="n">
        <x:v>0</x:v>
      </x:c>
      <x:c r="D41" s="28" t="n">
        <x:f>C41-B41</x:f>
        <x:v>-1</x:v>
      </x:c>
      <x:c r="E41" s="28" t="str">
        <x:v>Enchantment</x:v>
      </x:c>
      <x:c r="F41" s="28" t="n">
        <x:v>3</x:v>
      </x:c>
      <x:c r="G41" s="28" t="str">
        <x:v>5. Tax + pillowfort</x:v>
      </x:c>
      <x:c r="H41" s="28" t="str">
        <x:v>—</x:v>
      </x:c>
      <x:c r="I41" s="28" t="str">
        <x:v>Yes</x:v>
      </x:c>
      <x:c r="J41" s="28" t="str">
        <x:v>—</x:v>
      </x:c>
      <x:c r="K41" s="28" t="str">
        <x:v>Carta da lista original; avaliar pelo papel nesta estratégia, não apenas por força isolada.</x:v>
      </x:c>
    </x:row>
    <x:row r="42">
      <x:c r="A42" s="28" t="str">
        <x:v>Imprisoned in the Moon</x:v>
      </x:c>
      <x:c r="B42" s="28" t="n">
        <x:v>1</x:v>
      </x:c>
      <x:c r="C42" s="28" t="n">
        <x:v>1</x:v>
      </x:c>
      <x:c r="D42" s="28" t="n">
        <x:f>C42-B42</x:f>
        <x:v>0</x:v>
      </x:c>
      <x:c r="E42" s="28" t="str">
        <x:v>Aura / Enchantment</x:v>
      </x:c>
      <x:c r="F42" s="28" t="n">
        <x:v>3</x:v>
      </x:c>
      <x:c r="G42" s="28" t="str">
        <x:v>4. Enchantment toolbox / removal</x:v>
      </x:c>
      <x:c r="H42" s="28" t="str">
        <x:v>4. Enchantment toolbox / removal</x:v>
      </x:c>
      <x:c r="I42" s="28" t="str">
        <x:v>Yes</x:v>
      </x:c>
      <x:c r="J42" s="28" t="str">
        <x:v>Yes</x:v>
      </x:c>
      <x:c r="K42" s="28" t="str">
        <x:v>Carta da lista original; avaliar pelo papel nesta estratégia, não apenas por força isolada.</x:v>
      </x:c>
    </x:row>
    <x:row r="43">
      <x:c r="A43" s="28" t="str">
        <x:v>Island</x:v>
      </x:c>
      <x:c r="B43" s="28" t="n">
        <x:v>10</x:v>
      </x:c>
      <x:c r="C43" s="28" t="n">
        <x:v>8</x:v>
      </x:c>
      <x:c r="D43" s="28" t="n">
        <x:f>C43-B43</x:f>
        <x:v>-2</x:v>
      </x:c>
      <x:c r="E43" s="28" t="str">
        <x:v>Land</x:v>
      </x:c>
      <x:c r="F43" s="28"/>
      <x:c r="G43" s="28" t="str">
        <x:v>Land</x:v>
      </x:c>
      <x:c r="H43" s="28" t="str">
        <x:v>Land</x:v>
      </x:c>
      <x:c r="I43" s="28" t="str">
        <x:v>No</x:v>
      </x:c>
      <x:c r="J43" s="28" t="str">
        <x:v>No</x:v>
      </x:c>
      <x:c r="K43" s="28" t="str">
        <x:v>Terreno/fonte de mana; verificar cor disponível e condição de entrada.</x:v>
      </x:c>
    </x:row>
    <x:row r="44">
      <x:c r="A44" s="28" t="str">
        <x:v>Judge's Familiar</x:v>
      </x:c>
      <x:c r="B44" s="28" t="n">
        <x:v>1</x:v>
      </x:c>
      <x:c r="C44" s="28" t="n">
        <x:v>1</x:v>
      </x:c>
      <x:c r="D44" s="28" t="n">
        <x:f>C44-B44</x:f>
        <x:v>0</x:v>
      </x:c>
      <x:c r="E44" s="28" t="str">
        <x:v>Creature</x:v>
      </x:c>
      <x:c r="F44" s="28" t="n">
        <x:v>1</x:v>
      </x:c>
      <x:c r="G44" s="28" t="str">
        <x:v>3. Interaction — non-enchantment</x:v>
      </x:c>
      <x:c r="H44" s="28" t="str">
        <x:v>3. Interaction — non-enchantment</x:v>
      </x:c>
      <x:c r="I44" s="28" t="str">
        <x:v>No</x:v>
      </x:c>
      <x:c r="J44" s="28" t="str">
        <x:v>No</x:v>
      </x:c>
      <x:c r="K44" s="28" t="str">
        <x:v>Carta da lista original; avaliar pelo papel nesta estratégia, não apenas por força isolada.</x:v>
      </x:c>
    </x:row>
    <x:row r="45">
      <x:c r="A45" s="28" t="str">
        <x:v>Karmic Justice</x:v>
      </x:c>
      <x:c r="B45" s="28" t="n">
        <x:v>1</x:v>
      </x:c>
      <x:c r="C45" s="28" t="n">
        <x:v>1</x:v>
      </x:c>
      <x:c r="D45" s="28" t="n">
        <x:f>C45-B45</x:f>
        <x:v>0</x:v>
      </x:c>
      <x:c r="E45" s="28" t="str">
        <x:v>Enchantment</x:v>
      </x:c>
      <x:c r="F45" s="28" t="n">
        <x:v>3</x:v>
      </x:c>
      <x:c r="G45" s="28" t="str">
        <x:v>6. Protection + recursion</x:v>
      </x:c>
      <x:c r="H45" s="28" t="str">
        <x:v>6. Protection + recursion</x:v>
      </x:c>
      <x:c r="I45" s="28" t="str">
        <x:v>Yes</x:v>
      </x:c>
      <x:c r="J45" s="28" t="str">
        <x:v>Yes</x:v>
      </x:c>
      <x:c r="K45" s="28" t="str">
        <x:v>Carta da lista original; avaliar pelo papel nesta estratégia, não apenas por força isolada.</x:v>
      </x:c>
    </x:row>
    <x:row r="46">
      <x:c r="A46" s="28" t="str">
        <x:v>Lightning Greaves</x:v>
      </x:c>
      <x:c r="B46" s="28" t="n">
        <x:v>1</x:v>
      </x:c>
      <x:c r="C46" s="28" t="n">
        <x:v>1</x:v>
      </x:c>
      <x:c r="D46" s="28" t="n">
        <x:f>C46-B46</x:f>
        <x:v>0</x:v>
      </x:c>
      <x:c r="E46" s="28" t="str">
        <x:v>Artifact</x:v>
      </x:c>
      <x:c r="F46" s="28" t="n">
        <x:v>2</x:v>
      </x:c>
      <x:c r="G46" s="28" t="str">
        <x:v>6. Protection + recursion</x:v>
      </x:c>
      <x:c r="H46" s="28" t="str">
        <x:v>6. Protection + recursion</x:v>
      </x:c>
      <x:c r="I46" s="28" t="str">
        <x:v>No</x:v>
      </x:c>
      <x:c r="J46" s="28" t="str">
        <x:v>No</x:v>
      </x:c>
      <x:c r="K46" s="28" t="str">
        <x:v>Carta da lista original; avaliar pelo papel nesta estratégia, não apenas por força isolada.</x:v>
      </x:c>
    </x:row>
    <x:row r="47">
      <x:c r="A47" s="28" t="str">
        <x:v>Luminarch Ascension</x:v>
      </x:c>
      <x:c r="B47" s="28" t="n">
        <x:v>1</x:v>
      </x:c>
      <x:c r="C47" s="28" t="n">
        <x:v>1</x:v>
      </x:c>
      <x:c r="D47" s="28" t="n">
        <x:f>C47-B47</x:f>
        <x:v>0</x:v>
      </x:c>
      <x:c r="E47" s="28" t="str">
        <x:v>Enchantment</x:v>
      </x:c>
      <x:c r="F47" s="28" t="n">
        <x:v>2</x:v>
      </x:c>
      <x:c r="G47" s="28" t="str">
        <x:v>8. Synergy + wincons</x:v>
      </x:c>
      <x:c r="H47" s="28" t="str">
        <x:v>8. Synergy + wincons</x:v>
      </x:c>
      <x:c r="I47" s="28" t="str">
        <x:v>Yes</x:v>
      </x:c>
      <x:c r="J47" s="28" t="str">
        <x:v>Yes</x:v>
      </x:c>
      <x:c r="K47" s="28" t="str">
        <x:v>Carta da lista original; avaliar pelo papel nesta estratégia, não apenas por força isolada.</x:v>
      </x:c>
    </x:row>
    <x:row r="48">
      <x:c r="A48" s="28" t="str">
        <x:v>Meticulous Archive</x:v>
      </x:c>
      <x:c r="B48" s="28" t="n">
        <x:v>1</x:v>
      </x:c>
      <x:c r="C48" s="28" t="n">
        <x:v>0</x:v>
      </x:c>
      <x:c r="D48" s="28" t="n">
        <x:f>C48-B48</x:f>
        <x:v>-1</x:v>
      </x:c>
      <x:c r="E48" s="28" t="str">
        <x:v>Land</x:v>
      </x:c>
      <x:c r="F48" s="28"/>
      <x:c r="G48" s="28" t="str">
        <x:v>Land</x:v>
      </x:c>
      <x:c r="H48" s="28" t="str">
        <x:v>—</x:v>
      </x:c>
      <x:c r="I48" s="28" t="str">
        <x:v>No</x:v>
      </x:c>
      <x:c r="J48" s="28" t="str">
        <x:v>—</x:v>
      </x:c>
      <x:c r="K48" s="28" t="str">
        <x:v>Terreno/fonte de mana; verificar cor disponível e condição de entrada.</x:v>
      </x:c>
    </x:row>
    <x:row r="49">
      <x:c r="A49" s="28" t="str">
        <x:v>Mind Stone</x:v>
      </x:c>
      <x:c r="B49" s="28" t="n">
        <x:v>1</x:v>
      </x:c>
      <x:c r="C49" s="28" t="n">
        <x:v>1</x:v>
      </x:c>
      <x:c r="D49" s="28" t="n">
        <x:f>C49-B49</x:f>
        <x:v>0</x:v>
      </x:c>
      <x:c r="E49" s="28" t="str">
        <x:v>Artifact</x:v>
      </x:c>
      <x:c r="F49" s="28" t="n">
        <x:v>2</x:v>
      </x:c>
      <x:c r="G49" s="28" t="str">
        <x:v>1. Ramp + fixing</x:v>
      </x:c>
      <x:c r="H49" s="28" t="str">
        <x:v>1. Ramp + fixing</x:v>
      </x:c>
      <x:c r="I49" s="28" t="str">
        <x:v>No</x:v>
      </x:c>
      <x:c r="J49" s="28" t="str">
        <x:v>No</x:v>
      </x:c>
      <x:c r="K49" s="28" t="str">
        <x:v>Carta da lista original; avaliar pelo papel nesta estratégia, não apenas por força isolada.</x:v>
      </x:c>
    </x:row>
    <x:row r="50">
      <x:c r="A50" s="28" t="str">
        <x:v>Mind's Eye</x:v>
      </x:c>
      <x:c r="B50" s="28" t="n">
        <x:v>1</x:v>
      </x:c>
      <x:c r="C50" s="28" t="n">
        <x:v>0</x:v>
      </x:c>
      <x:c r="D50" s="28" t="n">
        <x:f>C50-B50</x:f>
        <x:v>-1</x:v>
      </x:c>
      <x:c r="E50" s="28" t="str">
        <x:v>Artifact</x:v>
      </x:c>
      <x:c r="F50" s="28" t="n">
        <x:v>5</x:v>
      </x:c>
      <x:c r="G50" s="28" t="str">
        <x:v>2. Draw + selection</x:v>
      </x:c>
      <x:c r="H50" s="28" t="str">
        <x:v>—</x:v>
      </x:c>
      <x:c r="I50" s="28" t="str">
        <x:v>No</x:v>
      </x:c>
      <x:c r="J50" s="28" t="str">
        <x:v>—</x:v>
      </x:c>
      <x:c r="K50" s="28" t="str">
        <x:v>Carta da lista original; avaliar pelo papel nesta estratégia, não apenas por força isolada.</x:v>
      </x:c>
    </x:row>
    <x:row r="51">
      <x:c r="A51" s="28" t="str">
        <x:v>Minimus Containment</x:v>
      </x:c>
      <x:c r="B51" s="28" t="n">
        <x:v>1</x:v>
      </x:c>
      <x:c r="C51" s="28" t="n">
        <x:v>1</x:v>
      </x:c>
      <x:c r="D51" s="28" t="n">
        <x:f>C51-B51</x:f>
        <x:v>0</x:v>
      </x:c>
      <x:c r="E51" s="28" t="str">
        <x:v>Aura / Enchantment</x:v>
      </x:c>
      <x:c r="F51" s="28" t="n">
        <x:v>3</x:v>
      </x:c>
      <x:c r="G51" s="28" t="str">
        <x:v>4. Enchantment toolbox / removal</x:v>
      </x:c>
      <x:c r="H51" s="28" t="str">
        <x:v>4. Enchantment toolbox / removal</x:v>
      </x:c>
      <x:c r="I51" s="28" t="str">
        <x:v>Yes</x:v>
      </x:c>
      <x:c r="J51" s="28" t="str">
        <x:v>Yes</x:v>
      </x:c>
      <x:c r="K51" s="28" t="str">
        <x:v>Carta da lista original; avaliar pelo papel nesta estratégia, não apenas por força isolada.</x:v>
      </x:c>
    </x:row>
    <x:row r="52">
      <x:c r="A52" s="28" t="str">
        <x:v>Mortify</x:v>
      </x:c>
      <x:c r="B52" s="28" t="n">
        <x:v>1</x:v>
      </x:c>
      <x:c r="C52" s="28" t="n">
        <x:v>1</x:v>
      </x:c>
      <x:c r="D52" s="28" t="n">
        <x:f>C52-B52</x:f>
        <x:v>0</x:v>
      </x:c>
      <x:c r="E52" s="28" t="str">
        <x:v>Instant</x:v>
      </x:c>
      <x:c r="F52" s="28" t="n">
        <x:v>3</x:v>
      </x:c>
      <x:c r="G52" s="28" t="str">
        <x:v>3. Interaction — non-enchantment</x:v>
      </x:c>
      <x:c r="H52" s="28" t="str">
        <x:v>3. Interaction — non-enchantment</x:v>
      </x:c>
      <x:c r="I52" s="28" t="str">
        <x:v>No</x:v>
      </x:c>
      <x:c r="J52" s="28" t="str">
        <x:v>No</x:v>
      </x:c>
      <x:c r="K52" s="28" t="str">
        <x:v>Carta da lista original; avaliar pelo papel nesta estratégia, não apenas por força isolada.</x:v>
      </x:c>
    </x:row>
    <x:row r="53">
      <x:c r="A53" s="28" t="str">
        <x:v>Myriad Landscape</x:v>
      </x:c>
      <x:c r="B53" s="28" t="n">
        <x:v>1</x:v>
      </x:c>
      <x:c r="C53" s="28" t="n">
        <x:v>0</x:v>
      </x:c>
      <x:c r="D53" s="28" t="n">
        <x:f>C53-B53</x:f>
        <x:v>-1</x:v>
      </x:c>
      <x:c r="E53" s="28" t="str">
        <x:v>Land</x:v>
      </x:c>
      <x:c r="F53" s="28"/>
      <x:c r="G53" s="28" t="str">
        <x:v>Land</x:v>
      </x:c>
      <x:c r="H53" s="28" t="str">
        <x:v>—</x:v>
      </x:c>
      <x:c r="I53" s="28" t="str">
        <x:v>No</x:v>
      </x:c>
      <x:c r="J53" s="28" t="str">
        <x:v>—</x:v>
      </x:c>
      <x:c r="K53" s="28" t="str">
        <x:v>Terreno/fonte de mana; verificar cor disponível e condição de entrada.</x:v>
      </x:c>
    </x:row>
    <x:row r="54">
      <x:c r="A54" s="28" t="str">
        <x:v>Mystic Subdual</x:v>
      </x:c>
      <x:c r="B54" s="28" t="n">
        <x:v>1</x:v>
      </x:c>
      <x:c r="C54" s="28" t="n">
        <x:v>1</x:v>
      </x:c>
      <x:c r="D54" s="28" t="n">
        <x:f>C54-B54</x:f>
        <x:v>0</x:v>
      </x:c>
      <x:c r="E54" s="28" t="str">
        <x:v>Aura / Enchantment</x:v>
      </x:c>
      <x:c r="F54" s="28" t="n">
        <x:v>2</x:v>
      </x:c>
      <x:c r="G54" s="28" t="str">
        <x:v>4. Enchantment toolbox / removal</x:v>
      </x:c>
      <x:c r="H54" s="28" t="str">
        <x:v>4. Enchantment toolbox / removal</x:v>
      </x:c>
      <x:c r="I54" s="28" t="str">
        <x:v>Yes</x:v>
      </x:c>
      <x:c r="J54" s="28" t="str">
        <x:v>Yes</x:v>
      </x:c>
      <x:c r="K54" s="28" t="str">
        <x:v>Carta da lista original; avaliar pelo papel nesta estratégia, não apenas por força isolada.</x:v>
      </x:c>
    </x:row>
    <x:row r="55">
      <x:c r="A55" s="28" t="str">
        <x:v>Nighthowler</x:v>
      </x:c>
      <x:c r="B55" s="28" t="n">
        <x:v>1</x:v>
      </x:c>
      <x:c r="C55" s="28" t="n">
        <x:v>0</x:v>
      </x:c>
      <x:c r="D55" s="28" t="n">
        <x:f>C55-B55</x:f>
        <x:v>-1</x:v>
      </x:c>
      <x:c r="E55" s="28" t="str">
        <x:v>Enchantment Creature</x:v>
      </x:c>
      <x:c r="F55" s="28" t="n">
        <x:v>3</x:v>
      </x:c>
      <x:c r="G55" s="28" t="str">
        <x:v>8. Synergy + wincons</x:v>
      </x:c>
      <x:c r="H55" s="28" t="str">
        <x:v>—</x:v>
      </x:c>
      <x:c r="I55" s="28" t="str">
        <x:v>Yes</x:v>
      </x:c>
      <x:c r="J55" s="28" t="str">
        <x:v>—</x:v>
      </x:c>
      <x:c r="K55" s="28" t="str">
        <x:v>Carta da lista original; avaliar pelo papel nesta estratégia, não apenas por força isolada.</x:v>
      </x:c>
    </x:row>
    <x:row r="56">
      <x:c r="A56" s="28" t="str">
        <x:v>Ojutai's Command</x:v>
      </x:c>
      <x:c r="B56" s="28" t="n">
        <x:v>1</x:v>
      </x:c>
      <x:c r="C56" s="28" t="n">
        <x:v>0</x:v>
      </x:c>
      <x:c r="D56" s="28" t="n">
        <x:f>C56-B56</x:f>
        <x:v>-1</x:v>
      </x:c>
      <x:c r="E56" s="28" t="str">
        <x:v>Instant</x:v>
      </x:c>
      <x:c r="F56" s="28" t="n">
        <x:v>4</x:v>
      </x:c>
      <x:c r="G56" s="28" t="str">
        <x:v>3. Interaction — non-enchantment</x:v>
      </x:c>
      <x:c r="H56" s="28" t="str">
        <x:v>—</x:v>
      </x:c>
      <x:c r="I56" s="28" t="str">
        <x:v>No</x:v>
      </x:c>
      <x:c r="J56" s="28" t="str">
        <x:v>—</x:v>
      </x:c>
      <x:c r="K56" s="28" t="str">
        <x:v>Carta da lista original; avaliar pelo papel nesta estratégia, não apenas por força isolada.</x:v>
      </x:c>
    </x:row>
    <x:row r="57">
      <x:c r="A57" s="28" t="str">
        <x:v>Ominous Seas</x:v>
      </x:c>
      <x:c r="B57" s="28" t="n">
        <x:v>1</x:v>
      </x:c>
      <x:c r="C57" s="28" t="n">
        <x:v>1</x:v>
      </x:c>
      <x:c r="D57" s="28" t="n">
        <x:f>C57-B57</x:f>
        <x:v>0</x:v>
      </x:c>
      <x:c r="E57" s="28" t="str">
        <x:v>Enchantment</x:v>
      </x:c>
      <x:c r="F57" s="28" t="n">
        <x:v>2</x:v>
      </x:c>
      <x:c r="G57" s="28" t="str">
        <x:v>8. Synergy + wincons</x:v>
      </x:c>
      <x:c r="H57" s="28" t="str">
        <x:v>8. Synergy + wincons</x:v>
      </x:c>
      <x:c r="I57" s="28" t="str">
        <x:v>Yes</x:v>
      </x:c>
      <x:c r="J57" s="28" t="str">
        <x:v>Yes</x:v>
      </x:c>
      <x:c r="K57" s="28" t="str">
        <x:v>Carta da lista original; avaliar pelo papel nesta estratégia, não apenas por força isolada.</x:v>
      </x:c>
    </x:row>
    <x:row r="58">
      <x:c r="A58" s="28" t="str">
        <x:v>Oppression</x:v>
      </x:c>
      <x:c r="B58" s="28" t="n">
        <x:v>1</x:v>
      </x:c>
      <x:c r="C58" s="28" t="n">
        <x:v>0</x:v>
      </x:c>
      <x:c r="D58" s="28" t="n">
        <x:f>C58-B58</x:f>
        <x:v>-1</x:v>
      </x:c>
      <x:c r="E58" s="28" t="str">
        <x:v>Enchantment</x:v>
      </x:c>
      <x:c r="F58" s="28" t="n">
        <x:v>3</x:v>
      </x:c>
      <x:c r="G58" s="28" t="str">
        <x:v>5. Tax + pillowfort</x:v>
      </x:c>
      <x:c r="H58" s="28" t="str">
        <x:v>—</x:v>
      </x:c>
      <x:c r="I58" s="28" t="str">
        <x:v>Yes</x:v>
      </x:c>
      <x:c r="J58" s="28" t="str">
        <x:v>—</x:v>
      </x:c>
      <x:c r="K58" s="28" t="str">
        <x:v>Carta da lista original; avaliar pelo papel nesta estratégia, não apenas por força isolada.</x:v>
      </x:c>
    </x:row>
    <x:row r="59">
      <x:c r="A59" s="28" t="str">
        <x:v>Orzhov Locket</x:v>
      </x:c>
      <x:c r="B59" s="28" t="n">
        <x:v>1</x:v>
      </x:c>
      <x:c r="C59" s="28" t="n">
        <x:v>0</x:v>
      </x:c>
      <x:c r="D59" s="28" t="n">
        <x:f>C59-B59</x:f>
        <x:v>-1</x:v>
      </x:c>
      <x:c r="E59" s="28" t="str">
        <x:v>Artifact</x:v>
      </x:c>
      <x:c r="F59" s="28" t="n">
        <x:v>3</x:v>
      </x:c>
      <x:c r="G59" s="28" t="str">
        <x:v>1. Ramp + fixing</x:v>
      </x:c>
      <x:c r="H59" s="28" t="str">
        <x:v>—</x:v>
      </x:c>
      <x:c r="I59" s="28" t="str">
        <x:v>No</x:v>
      </x:c>
      <x:c r="J59" s="28" t="str">
        <x:v>—</x:v>
      </x:c>
      <x:c r="K59" s="28" t="str">
        <x:v>Carta da lista original; avaliar pelo papel nesta estratégia, não apenas por força isolada.</x:v>
      </x:c>
    </x:row>
    <x:row r="60">
      <x:c r="A60" s="28" t="str">
        <x:v>Out of Time</x:v>
      </x:c>
      <x:c r="B60" s="28" t="n">
        <x:v>1</x:v>
      </x:c>
      <x:c r="C60" s="28" t="n">
        <x:v>0</x:v>
      </x:c>
      <x:c r="D60" s="28" t="n">
        <x:f>C60-B60</x:f>
        <x:v>-1</x:v>
      </x:c>
      <x:c r="E60" s="28" t="str">
        <x:v>Enchantment</x:v>
      </x:c>
      <x:c r="F60" s="28" t="n">
        <x:v>3</x:v>
      </x:c>
      <x:c r="G60" s="28" t="str">
        <x:v>4. Enchantment toolbox / removal</x:v>
      </x:c>
      <x:c r="H60" s="28" t="str">
        <x:v>—</x:v>
      </x:c>
      <x:c r="I60" s="28" t="str">
        <x:v>Yes</x:v>
      </x:c>
      <x:c r="J60" s="28" t="str">
        <x:v>—</x:v>
      </x:c>
      <x:c r="K60" s="28" t="str">
        <x:v>Carta da lista original; avaliar pelo papel nesta estratégia, não apenas por força isolada.</x:v>
      </x:c>
    </x:row>
    <x:row r="61">
      <x:c r="A61" s="28" t="str">
        <x:v>Parasitic Impetus</x:v>
      </x:c>
      <x:c r="B61" s="28" t="n">
        <x:v>1</x:v>
      </x:c>
      <x:c r="C61" s="28" t="n">
        <x:v>1</x:v>
      </x:c>
      <x:c r="D61" s="28" t="n">
        <x:f>C61-B61</x:f>
        <x:v>0</x:v>
      </x:c>
      <x:c r="E61" s="28" t="str">
        <x:v>Aura / Enchantment</x:v>
      </x:c>
      <x:c r="F61" s="28" t="n">
        <x:v>3</x:v>
      </x:c>
      <x:c r="G61" s="28" t="str">
        <x:v>7. Politics + combat manipulation</x:v>
      </x:c>
      <x:c r="H61" s="28" t="str">
        <x:v>7. Politics + combat manipulation</x:v>
      </x:c>
      <x:c r="I61" s="28" t="str">
        <x:v>Yes</x:v>
      </x:c>
      <x:c r="J61" s="28" t="str">
        <x:v>Yes</x:v>
      </x:c>
      <x:c r="K61" s="28" t="str">
        <x:v>Aura que incentiva ataques e drena você; não é goad.</x:v>
      </x:c>
    </x:row>
    <x:row r="62">
      <x:c r="A62" s="28" t="str">
        <x:v>Phyrexian Arena</x:v>
      </x:c>
      <x:c r="B62" s="28" t="n">
        <x:v>1</x:v>
      </x:c>
      <x:c r="C62" s="28" t="n">
        <x:v>0</x:v>
      </x:c>
      <x:c r="D62" s="28" t="n">
        <x:f>C62-B62</x:f>
        <x:v>-1</x:v>
      </x:c>
      <x:c r="E62" s="28" t="str">
        <x:v>Enchantment</x:v>
      </x:c>
      <x:c r="F62" s="28" t="n">
        <x:v>3</x:v>
      </x:c>
      <x:c r="G62" s="28" t="str">
        <x:v>2. Draw + selection</x:v>
      </x:c>
      <x:c r="H62" s="28" t="str">
        <x:v>—</x:v>
      </x:c>
      <x:c r="I62" s="28" t="str">
        <x:v>Yes</x:v>
      </x:c>
      <x:c r="J62" s="28" t="str">
        <x:v>—</x:v>
      </x:c>
      <x:c r="K62" s="28" t="str">
        <x:v>Compra incremental lenta.</x:v>
      </x:c>
    </x:row>
    <x:row r="63">
      <x:c r="A63" s="28" t="str">
        <x:v>Plains</x:v>
      </x:c>
      <x:c r="B63" s="28" t="n">
        <x:v>8</x:v>
      </x:c>
      <x:c r="C63" s="28" t="n">
        <x:v>7</x:v>
      </x:c>
      <x:c r="D63" s="28" t="n">
        <x:f>C63-B63</x:f>
        <x:v>-1</x:v>
      </x:c>
      <x:c r="E63" s="28" t="str">
        <x:v>Land</x:v>
      </x:c>
      <x:c r="F63" s="28"/>
      <x:c r="G63" s="28" t="str">
        <x:v>Land</x:v>
      </x:c>
      <x:c r="H63" s="28" t="str">
        <x:v>Land</x:v>
      </x:c>
      <x:c r="I63" s="28" t="str">
        <x:v>No</x:v>
      </x:c>
      <x:c r="J63" s="28" t="str">
        <x:v>No</x:v>
      </x:c>
      <x:c r="K63" s="28" t="str">
        <x:v>Terreno/fonte de mana; verificar cor disponível e condição de entrada.</x:v>
      </x:c>
    </x:row>
    <x:row r="64">
      <x:c r="A64" s="28" t="str">
        <x:v>Port Town</x:v>
      </x:c>
      <x:c r="B64" s="28" t="n">
        <x:v>1</x:v>
      </x:c>
      <x:c r="C64" s="28" t="n">
        <x:v>1</x:v>
      </x:c>
      <x:c r="D64" s="28" t="n">
        <x:f>C64-B64</x:f>
        <x:v>0</x:v>
      </x:c>
      <x:c r="E64" s="28" t="str">
        <x:v>Land</x:v>
      </x:c>
      <x:c r="F64" s="28"/>
      <x:c r="G64" s="28" t="str">
        <x:v>Land</x:v>
      </x:c>
      <x:c r="H64" s="28" t="str">
        <x:v>Land</x:v>
      </x:c>
      <x:c r="I64" s="28" t="str">
        <x:v>No</x:v>
      </x:c>
      <x:c r="J64" s="28" t="str">
        <x:v>No</x:v>
      </x:c>
      <x:c r="K64" s="28" t="str">
        <x:v>Terreno/fonte de mana; verificar cor disponível e condição de entrada.</x:v>
      </x:c>
    </x:row>
    <x:row r="65">
      <x:c r="A65" s="28" t="str">
        <x:v>Promise of Power</x:v>
      </x:c>
      <x:c r="B65" s="28" t="n">
        <x:v>1</x:v>
      </x:c>
      <x:c r="C65" s="28" t="n">
        <x:v>0</x:v>
      </x:c>
      <x:c r="D65" s="28" t="n">
        <x:f>C65-B65</x:f>
        <x:v>-1</x:v>
      </x:c>
      <x:c r="E65" s="28" t="str">
        <x:v>Review type</x:v>
      </x:c>
      <x:c r="F65" s="28" t="n">
        <x:v>5</x:v>
      </x:c>
      <x:c r="G65" s="28" t="str">
        <x:v>2. Draw + selection</x:v>
      </x:c>
      <x:c r="H65" s="28" t="str">
        <x:v>—</x:v>
      </x:c>
      <x:c r="I65" s="28" t="str">
        <x:v>No</x:v>
      </x:c>
      <x:c r="J65" s="28" t="str">
        <x:v>—</x:v>
      </x:c>
      <x:c r="K65" s="28" t="str">
        <x:v>Carta da lista original; avaliar pelo papel nesta estratégia, não apenas por força isolada.</x:v>
      </x:c>
    </x:row>
    <x:row r="66">
      <x:c r="A66" s="28" t="str">
        <x:v>Propaganda</x:v>
      </x:c>
      <x:c r="B66" s="28" t="n">
        <x:v>1</x:v>
      </x:c>
      <x:c r="C66" s="28" t="n">
        <x:v>1</x:v>
      </x:c>
      <x:c r="D66" s="28" t="n">
        <x:f>C66-B66</x:f>
        <x:v>0</x:v>
      </x:c>
      <x:c r="E66" s="28" t="str">
        <x:v>Enchantment</x:v>
      </x:c>
      <x:c r="F66" s="28" t="n">
        <x:v>3</x:v>
      </x:c>
      <x:c r="G66" s="28" t="str">
        <x:v>5. Tax + pillowfort</x:v>
      </x:c>
      <x:c r="H66" s="28" t="str">
        <x:v>5. Tax + pillowfort</x:v>
      </x:c>
      <x:c r="I66" s="28" t="str">
        <x:v>Yes</x:v>
      </x:c>
      <x:c r="J66" s="28" t="str">
        <x:v>Yes</x:v>
      </x:c>
      <x:c r="K66" s="28" t="str">
        <x:v>Taxa atacantes como mecanismo de negociação; alvo de Zur.</x:v>
      </x:c>
    </x:row>
    <x:row r="67">
      <x:c r="A67" s="28" t="str">
        <x:v>Prophetic Prism</x:v>
      </x:c>
      <x:c r="B67" s="28" t="n">
        <x:v>1</x:v>
      </x:c>
      <x:c r="C67" s="28" t="n">
        <x:v>0</x:v>
      </x:c>
      <x:c r="D67" s="28" t="n">
        <x:f>C67-B67</x:f>
        <x:v>-1</x:v>
      </x:c>
      <x:c r="E67" s="28" t="str">
        <x:v>Artifact</x:v>
      </x:c>
      <x:c r="F67" s="28" t="n">
        <x:v>2</x:v>
      </x:c>
      <x:c r="G67" s="28" t="str">
        <x:v>1. Ramp + fixing</x:v>
      </x:c>
      <x:c r="H67" s="28" t="str">
        <x:v>—</x:v>
      </x:c>
      <x:c r="I67" s="28" t="str">
        <x:v>No</x:v>
      </x:c>
      <x:c r="J67" s="28" t="str">
        <x:v>—</x:v>
      </x:c>
      <x:c r="K67" s="28" t="str">
        <x:v>Carta da lista original; avaliar pelo papel nesta estratégia, não apenas por força isolada.</x:v>
      </x:c>
    </x:row>
    <x:row r="68">
      <x:c r="A68" s="28" t="str">
        <x:v>Psychic Impetus</x:v>
      </x:c>
      <x:c r="B68" s="28" t="n">
        <x:v>1</x:v>
      </x:c>
      <x:c r="C68" s="28" t="n">
        <x:v>1</x:v>
      </x:c>
      <x:c r="D68" s="28" t="n">
        <x:f>C68-B68</x:f>
        <x:v>0</x:v>
      </x:c>
      <x:c r="E68" s="28" t="str">
        <x:v>Aura / Enchantment</x:v>
      </x:c>
      <x:c r="F68" s="28" t="n">
        <x:v>3</x:v>
      </x:c>
      <x:c r="G68" s="28" t="str">
        <x:v>7. Politics + combat manipulation</x:v>
      </x:c>
      <x:c r="H68" s="28" t="str">
        <x:v>7. Politics + combat manipulation</x:v>
      </x:c>
      <x:c r="I68" s="28" t="str">
        <x:v>Yes</x:v>
      </x:c>
      <x:c r="J68" s="28" t="str">
        <x:v>Yes</x:v>
      </x:c>
      <x:c r="K68" s="28" t="str">
        <x:v>Incentiva ataque e compra para você; não é goad.</x:v>
      </x:c>
    </x:row>
    <x:row r="69">
      <x:c r="A69" s="28" t="str">
        <x:v>Reconnaissance</x:v>
      </x:c>
      <x:c r="B69" s="28" t="n">
        <x:v>1</x:v>
      </x:c>
      <x:c r="C69" s="28" t="n">
        <x:v>1</x:v>
      </x:c>
      <x:c r="D69" s="28" t="n">
        <x:f>C69-B69</x:f>
        <x:v>0</x:v>
      </x:c>
      <x:c r="E69" s="28" t="str">
        <x:v>Review type</x:v>
      </x:c>
      <x:c r="F69" s="28" t="n">
        <x:v>1</x:v>
      </x:c>
      <x:c r="G69" s="28" t="str">
        <x:v>6. Protection + recursion</x:v>
      </x:c>
      <x:c r="H69" s="28" t="str">
        <x:v>6. Protection + recursion</x:v>
      </x:c>
      <x:c r="I69" s="28" t="str">
        <x:v>No</x:v>
      </x:c>
      <x:c r="J69" s="28" t="str">
        <x:v>No</x:v>
      </x:c>
      <x:c r="K69" s="28" t="str">
        <x:v>Protege atacantes e pode permitir remover Zur do combate depois de declarar ataque.</x:v>
      </x:c>
    </x:row>
    <x:row r="70">
      <x:c r="A70" s="28" t="str">
        <x:v>Sakashima the Impostor</x:v>
      </x:c>
      <x:c r="B70" s="28" t="n">
        <x:v>1</x:v>
      </x:c>
      <x:c r="C70" s="28" t="n">
        <x:v>1</x:v>
      </x:c>
      <x:c r="D70" s="28" t="n">
        <x:f>C70-B70</x:f>
        <x:v>0</x:v>
      </x:c>
      <x:c r="E70" s="28" t="str">
        <x:v>Creature</x:v>
      </x:c>
      <x:c r="F70" s="28" t="n">
        <x:v>4</x:v>
      </x:c>
      <x:c r="G70" s="28" t="str">
        <x:v>8. Synergy + wincons</x:v>
      </x:c>
      <x:c r="H70" s="28" t="str">
        <x:v>8. Synergy + wincons</x:v>
      </x:c>
      <x:c r="I70" s="28" t="str">
        <x:v>No</x:v>
      </x:c>
      <x:c r="J70" s="28" t="str">
        <x:v>No</x:v>
      </x:c>
      <x:c r="K70" s="28" t="str">
        <x:v>Carta da lista original; avaliar pelo papel nesta estratégia, não apenas por força isolada.</x:v>
      </x:c>
    </x:row>
    <x:row r="71">
      <x:c r="A71" s="28" t="str">
        <x:v>Sculpted Sunburst</x:v>
      </x:c>
      <x:c r="B71" s="28" t="n">
        <x:v>1</x:v>
      </x:c>
      <x:c r="C71" s="28" t="n">
        <x:v>1</x:v>
      </x:c>
      <x:c r="D71" s="28" t="n">
        <x:f>C71-B71</x:f>
        <x:v>0</x:v>
      </x:c>
      <x:c r="E71" s="28" t="str">
        <x:v>Sorcery</x:v>
      </x:c>
      <x:c r="F71" s="28" t="n">
        <x:v>5</x:v>
      </x:c>
      <x:c r="G71" s="28" t="str">
        <x:v>3. Interaction — non-enchantment</x:v>
      </x:c>
      <x:c r="H71" s="28" t="str">
        <x:v>3. Interaction — non-enchantment</x:v>
      </x:c>
      <x:c r="I71" s="28" t="str">
        <x:v>No</x:v>
      </x:c>
      <x:c r="J71" s="28" t="str">
        <x:v>No</x:v>
      </x:c>
      <x:c r="K71" s="28" t="str">
        <x:v>Carta da lista original; avaliar pelo papel nesta estratégia, não apenas por força isolada.</x:v>
      </x:c>
    </x:row>
    <x:row r="72">
      <x:c r="A72" s="28" t="str">
        <x:v>Secret Rendezvous</x:v>
      </x:c>
      <x:c r="B72" s="28" t="n">
        <x:v>1</x:v>
      </x:c>
      <x:c r="C72" s="28" t="n">
        <x:v>1</x:v>
      </x:c>
      <x:c r="D72" s="28" t="n">
        <x:f>C72-B72</x:f>
        <x:v>0</x:v>
      </x:c>
      <x:c r="E72" s="28" t="str">
        <x:v>Review type</x:v>
      </x:c>
      <x:c r="F72" s="28" t="n">
        <x:v>3</x:v>
      </x:c>
      <x:c r="G72" s="28" t="str">
        <x:v>2. Draw + selection</x:v>
      </x:c>
      <x:c r="H72" s="28" t="str">
        <x:v>2. Draw + selection</x:v>
      </x:c>
      <x:c r="I72" s="28" t="str">
        <x:v>No</x:v>
      </x:c>
      <x:c r="J72" s="28" t="str">
        <x:v>No</x:v>
      </x:c>
      <x:c r="K72" s="28" t="str">
        <x:v>Dá três cartas a você e outro jogador; negociar com jogador em desvantagem.</x:v>
      </x:c>
    </x:row>
    <x:row r="73">
      <x:c r="A73" s="28" t="str">
        <x:v>Shade's Form</x:v>
      </x:c>
      <x:c r="B73" s="28" t="n">
        <x:v>1</x:v>
      </x:c>
      <x:c r="C73" s="28" t="n">
        <x:v>1</x:v>
      </x:c>
      <x:c r="D73" s="28" t="n">
        <x:f>C73-B73</x:f>
        <x:v>0</x:v>
      </x:c>
      <x:c r="E73" s="28" t="str">
        <x:v>Aura / Enchantment</x:v>
      </x:c>
      <x:c r="F73" s="28" t="n">
        <x:v>3</x:v>
      </x:c>
      <x:c r="G73" s="28" t="str">
        <x:v>6. Protection + recursion</x:v>
      </x:c>
      <x:c r="H73" s="28" t="str">
        <x:v>6. Protection + recursion</x:v>
      </x:c>
      <x:c r="I73" s="28" t="str">
        <x:v>Yes</x:v>
      </x:c>
      <x:c r="J73" s="28" t="str">
        <x:v>Yes</x:v>
      </x:c>
      <x:c r="K73" s="28" t="str">
        <x:v>Carta da lista original; avaliar pelo papel nesta estratégia, não apenas por força isolada.</x:v>
      </x:c>
    </x:row>
    <x:row r="74">
      <x:c r="A74" s="28" t="str">
        <x:v>Silent Arbiter</x:v>
      </x:c>
      <x:c r="B74" s="28" t="n">
        <x:v>1</x:v>
      </x:c>
      <x:c r="C74" s="28" t="n">
        <x:v>0</x:v>
      </x:c>
      <x:c r="D74" s="28" t="n">
        <x:f>C74-B74</x:f>
        <x:v>-1</x:v>
      </x:c>
      <x:c r="E74" s="28" t="str">
        <x:v>Creature</x:v>
      </x:c>
      <x:c r="F74" s="28" t="n">
        <x:v>4</x:v>
      </x:c>
      <x:c r="G74" s="28" t="str">
        <x:v>5. Tax + pillowfort</x:v>
      </x:c>
      <x:c r="H74" s="28" t="str">
        <x:v>—</x:v>
      </x:c>
      <x:c r="I74" s="28" t="str">
        <x:v>No</x:v>
      </x:c>
      <x:c r="J74" s="28" t="str">
        <x:v>—</x:v>
      </x:c>
      <x:c r="K74" s="28" t="str">
        <x:v>Carta da lista original; avaliar pelo papel nesta estratégia, não apenas por força isolada.</x:v>
      </x:c>
    </x:row>
    <x:row r="75">
      <x:c r="A75" s="28" t="str">
        <x:v>Sol Ring</x:v>
      </x:c>
      <x:c r="B75" s="28" t="n">
        <x:v>1</x:v>
      </x:c>
      <x:c r="C75" s="28" t="n">
        <x:v>1</x:v>
      </x:c>
      <x:c r="D75" s="28" t="n">
        <x:f>C75-B75</x:f>
        <x:v>0</x:v>
      </x:c>
      <x:c r="E75" s="28" t="str">
        <x:v>Artifact</x:v>
      </x:c>
      <x:c r="F75" s="28" t="n">
        <x:v>1</x:v>
      </x:c>
      <x:c r="G75" s="28" t="str">
        <x:v>1. Ramp + fixing</x:v>
      </x:c>
      <x:c r="H75" s="28" t="str">
        <x:v>1. Ramp + fixing</x:v>
      </x:c>
      <x:c r="I75" s="28" t="str">
        <x:v>No</x:v>
      </x:c>
      <x:c r="J75" s="28" t="str">
        <x:v>No</x:v>
      </x:c>
      <x:c r="K75" s="28" t="str">
        <x:v>Carta da lista original; avaliar pelo papel nesta estratégia, não apenas por força isolada.</x:v>
      </x:c>
    </x:row>
    <x:row r="76">
      <x:c r="A76" s="28" t="str">
        <x:v>Sphinx's Revelation</x:v>
      </x:c>
      <x:c r="B76" s="28" t="n">
        <x:v>1</x:v>
      </x:c>
      <x:c r="C76" s="28" t="n">
        <x:v>0</x:v>
      </x:c>
      <x:c r="D76" s="28" t="n">
        <x:f>C76-B76</x:f>
        <x:v>-1</x:v>
      </x:c>
      <x:c r="E76" s="28" t="str">
        <x:v>Instant</x:v>
      </x:c>
      <x:c r="F76" s="28" t="n">
        <x:v>3</x:v>
      </x:c>
      <x:c r="G76" s="28" t="str">
        <x:v>2. Draw + selection</x:v>
      </x:c>
      <x:c r="H76" s="28" t="str">
        <x:v>—</x:v>
      </x:c>
      <x:c r="I76" s="28" t="str">
        <x:v>No</x:v>
      </x:c>
      <x:c r="J76" s="28" t="str">
        <x:v>—</x:v>
      </x:c>
      <x:c r="K76" s="28" t="str">
        <x:v>Carta da lista original; avaliar pelo papel nesta estratégia, não apenas por força isolada.</x:v>
      </x:c>
    </x:row>
    <x:row r="77">
      <x:c r="A77" s="28" t="str">
        <x:v>Stroke of Midnight</x:v>
      </x:c>
      <x:c r="B77" s="28" t="n">
        <x:v>1</x:v>
      </x:c>
      <x:c r="C77" s="28" t="n">
        <x:v>1</x:v>
      </x:c>
      <x:c r="D77" s="28" t="n">
        <x:f>C77-B77</x:f>
        <x:v>0</x:v>
      </x:c>
      <x:c r="E77" s="28" t="str">
        <x:v>Instant</x:v>
      </x:c>
      <x:c r="F77" s="28" t="n">
        <x:v>3</x:v>
      </x:c>
      <x:c r="G77" s="28" t="str">
        <x:v>3. Interaction — non-enchantment</x:v>
      </x:c>
      <x:c r="H77" s="28" t="str">
        <x:v>3. Interaction — non-enchantment</x:v>
      </x:c>
      <x:c r="I77" s="28" t="str">
        <x:v>No</x:v>
      </x:c>
      <x:c r="J77" s="28" t="str">
        <x:v>No</x:v>
      </x:c>
      <x:c r="K77" s="28" t="str">
        <x:v>Carta da lista original; avaliar pelo papel nesta estratégia, não apenas por força isolada.</x:v>
      </x:c>
    </x:row>
    <x:row r="78">
      <x:c r="A78" s="28" t="str">
        <x:v>Sun Titan</x:v>
      </x:c>
      <x:c r="B78" s="28" t="n">
        <x:v>1</x:v>
      </x:c>
      <x:c r="C78" s="28" t="n">
        <x:v>1</x:v>
      </x:c>
      <x:c r="D78" s="28" t="n">
        <x:f>C78-B78</x:f>
        <x:v>0</x:v>
      </x:c>
      <x:c r="E78" s="28" t="str">
        <x:v>Creature</x:v>
      </x:c>
      <x:c r="F78" s="28" t="n">
        <x:v>6</x:v>
      </x:c>
      <x:c r="G78" s="28" t="str">
        <x:v>6. Protection + recursion</x:v>
      </x:c>
      <x:c r="H78" s="28" t="str">
        <x:v>6. Protection + recursion</x:v>
      </x:c>
      <x:c r="I78" s="28" t="str">
        <x:v>No</x:v>
      </x:c>
      <x:c r="J78" s="28" t="str">
        <x:v>No</x:v>
      </x:c>
      <x:c r="K78" s="28" t="str">
        <x:v>Carta da lista original; avaliar pelo papel nesta estratégia, não apenas por força isolada.</x:v>
      </x:c>
    </x:row>
    <x:row r="79">
      <x:c r="A79" s="28" t="str">
        <x:v>Supreme Verdict</x:v>
      </x:c>
      <x:c r="B79" s="28" t="n">
        <x:v>1</x:v>
      </x:c>
      <x:c r="C79" s="28" t="n">
        <x:v>1</x:v>
      </x:c>
      <x:c r="D79" s="28" t="n">
        <x:f>C79-B79</x:f>
        <x:v>0</x:v>
      </x:c>
      <x:c r="E79" s="28" t="str">
        <x:v>Sorcery</x:v>
      </x:c>
      <x:c r="F79" s="28" t="n">
        <x:v>4</x:v>
      </x:c>
      <x:c r="G79" s="28" t="str">
        <x:v>3. Interaction — non-enchantment</x:v>
      </x:c>
      <x:c r="H79" s="28" t="str">
        <x:v>3. Interaction — non-enchantment</x:v>
      </x:c>
      <x:c r="I79" s="28" t="str">
        <x:v>No</x:v>
      </x:c>
      <x:c r="J79" s="28" t="str">
        <x:v>No</x:v>
      </x:c>
      <x:c r="K79" s="28" t="str">
        <x:v>Carta da lista original; avaliar pelo papel nesta estratégia, não apenas por força isolada.</x:v>
      </x:c>
    </x:row>
    <x:row r="80">
      <x:c r="A80" s="28" t="str">
        <x:v>Swamp</x:v>
      </x:c>
      <x:c r="B80" s="28" t="n">
        <x:v>5</x:v>
      </x:c>
      <x:c r="C80" s="28" t="n">
        <x:v>8</x:v>
      </x:c>
      <x:c r="D80" s="28" t="n">
        <x:f>C80-B80</x:f>
        <x:v>3</x:v>
      </x:c>
      <x:c r="E80" s="28" t="str">
        <x:v>Land</x:v>
      </x:c>
      <x:c r="F80" s="28"/>
      <x:c r="G80" s="28" t="str">
        <x:v>Land</x:v>
      </x:c>
      <x:c r="H80" s="28" t="str">
        <x:v>Land</x:v>
      </x:c>
      <x:c r="I80" s="28" t="str">
        <x:v>No</x:v>
      </x:c>
      <x:c r="J80" s="28" t="str">
        <x:v>No</x:v>
      </x:c>
      <x:c r="K80" s="28" t="str">
        <x:v>Terreno/fonte de mana; verificar cor disponível e condição de entrada.</x:v>
      </x:c>
    </x:row>
    <x:row r="81">
      <x:c r="A81" s="28" t="str">
        <x:v>Talisman of Hierarchy</x:v>
      </x:c>
      <x:c r="B81" s="28" t="n">
        <x:v>1</x:v>
      </x:c>
      <x:c r="C81" s="28" t="n">
        <x:v>1</x:v>
      </x:c>
      <x:c r="D81" s="28" t="n">
        <x:f>C81-B81</x:f>
        <x:v>0</x:v>
      </x:c>
      <x:c r="E81" s="28" t="str">
        <x:v>Artifact</x:v>
      </x:c>
      <x:c r="F81" s="28" t="n">
        <x:v>2</x:v>
      </x:c>
      <x:c r="G81" s="28" t="str">
        <x:v>1. Ramp + fixing</x:v>
      </x:c>
      <x:c r="H81" s="28" t="str">
        <x:v>1. Ramp + fixing</x:v>
      </x:c>
      <x:c r="I81" s="28" t="str">
        <x:v>No</x:v>
      </x:c>
      <x:c r="J81" s="28" t="str">
        <x:v>No</x:v>
      </x:c>
      <x:c r="K81" s="28" t="str">
        <x:v>Carta da lista original; avaliar pelo papel nesta estratégia, não apenas por força isolada.</x:v>
      </x:c>
    </x:row>
    <x:row r="82">
      <x:c r="A82" s="28" t="str">
        <x:v>Teferi, Time Raveler</x:v>
      </x:c>
      <x:c r="B82" s="28" t="n">
        <x:v>1</x:v>
      </x:c>
      <x:c r="C82" s="28" t="n">
        <x:v>1</x:v>
      </x:c>
      <x:c r="D82" s="28" t="n">
        <x:f>C82-B82</x:f>
        <x:v>0</x:v>
      </x:c>
      <x:c r="E82" s="28" t="str">
        <x:v>Planeswalker</x:v>
      </x:c>
      <x:c r="F82" s="28" t="n">
        <x:v>3</x:v>
      </x:c>
      <x:c r="G82" s="28" t="str">
        <x:v>3. Interaction — non-enchantment</x:v>
      </x:c>
      <x:c r="H82" s="28" t="str">
        <x:v>3. Interaction — non-enchantment</x:v>
      </x:c>
      <x:c r="I82" s="28" t="str">
        <x:v>No</x:v>
      </x:c>
      <x:c r="J82" s="28" t="str">
        <x:v>No</x:v>
      </x:c>
      <x:c r="K82" s="28" t="str">
        <x:v>Carta da lista original; avaliar pelo papel nesta estratégia, não apenas por força isolada.</x:v>
      </x:c>
    </x:row>
    <x:row r="83">
      <x:c r="A83" s="28" t="str">
        <x:v>Underworld Dreams</x:v>
      </x:c>
      <x:c r="B83" s="28" t="n">
        <x:v>1</x:v>
      </x:c>
      <x:c r="C83" s="28" t="n">
        <x:v>1</x:v>
      </x:c>
      <x:c r="D83" s="28" t="n">
        <x:f>C83-B83</x:f>
        <x:v>0</x:v>
      </x:c>
      <x:c r="E83" s="28" t="str">
        <x:v>Enchantment</x:v>
      </x:c>
      <x:c r="F83" s="28" t="n">
        <x:v>3</x:v>
      </x:c>
      <x:c r="G83" s="28" t="str">
        <x:v>8. Synergy + wincons</x:v>
      </x:c>
      <x:c r="H83" s="28" t="str">
        <x:v>8. Synergy + wincons</x:v>
      </x:c>
      <x:c r="I83" s="28" t="str">
        <x:v>Yes</x:v>
      </x:c>
      <x:c r="J83" s="28" t="str">
        <x:v>Yes</x:v>
      </x:c>
      <x:c r="K83" s="28" t="str">
        <x:v>Carta da lista original; avaliar pelo papel nesta estratégia, não apenas por força isolada.</x:v>
      </x:c>
    </x:row>
    <x:row r="84">
      <x:c r="A84" s="28" t="str">
        <x:v>Wedding Ring</x:v>
      </x:c>
      <x:c r="B84" s="28" t="n">
        <x:v>1</x:v>
      </x:c>
      <x:c r="C84" s="28" t="n">
        <x:v>1</x:v>
      </x:c>
      <x:c r="D84" s="28" t="n">
        <x:f>C84-B84</x:f>
        <x:v>0</x:v>
      </x:c>
      <x:c r="E84" s="28" t="str">
        <x:v>Artifact</x:v>
      </x:c>
      <x:c r="F84" s="28" t="n">
        <x:v>4</x:v>
      </x:c>
      <x:c r="G84" s="28" t="str">
        <x:v>2. Draw + selection</x:v>
      </x:c>
      <x:c r="H84" s="28" t="str">
        <x:v>2. Draw + selection</x:v>
      </x:c>
      <x:c r="I84" s="28" t="str">
        <x:v>No</x:v>
      </x:c>
      <x:c r="J84" s="28" t="str">
        <x:v>No</x:v>
      </x:c>
      <x:c r="K84" s="28" t="str">
        <x:v>Draw político simétrico; pode comprar boa vontade, mas dá recursos ao beneficiário.</x:v>
      </x:c>
    </x:row>
    <x:row r="85">
      <x:c r="A85" s="28" t="str">
        <x:v>Vanishing</x:v>
      </x:c>
      <x:c r="B85" s="28" t="n">
        <x:v>0</x:v>
      </x:c>
      <x:c r="C85" s="28" t="n">
        <x:v>1</x:v>
      </x:c>
      <x:c r="D85" s="28" t="n">
        <x:f>C85-B85</x:f>
        <x:v>1</x:v>
      </x:c>
      <x:c r="E85" s="28" t="str">
        <x:v>Enchantment — Aura</x:v>
      </x:c>
      <x:c r="F85" s="28" t="n">
        <x:v>1</x:v>
      </x:c>
      <x:c r="G85" s="28" t="str">
        <x:v>—</x:v>
      </x:c>
      <x:c r="H85" s="28" t="str">
        <x:v>6. Protection + recursion</x:v>
      </x:c>
      <x:c r="I85" s="28" t="str">
        <x:v>—</x:v>
      </x:c>
      <x:c r="J85" s="28" t="str">
        <x:v>Yes</x:v>
      </x:c>
      <x:c r="K85" s="28" t="str">
        <x:v>Aura MV1 para Zur que permite fasear Zur fora como proteção repetível.</x:v>
      </x:c>
    </x:row>
    <x:row r="86">
      <x:c r="A86" s="28" t="str">
        <x:v>Drowned Catacomb</x:v>
      </x:c>
      <x:c r="B86" s="28" t="n">
        <x:v>0</x:v>
      </x:c>
      <x:c r="C86" s="28" t="n">
        <x:v>1</x:v>
      </x:c>
      <x:c r="D86" s="28" t="n">
        <x:f>C86-B86</x:f>
        <x:v>1</x:v>
      </x:c>
      <x:c r="E86" s="28" t="str">
        <x:v>Land</x:v>
      </x:c>
      <x:c r="F86" s="28"/>
      <x:c r="G86" s="28" t="str">
        <x:v>—</x:v>
      </x:c>
      <x:c r="H86" s="28" t="str">
        <x:v>Land</x:v>
      </x:c>
      <x:c r="I86" s="28" t="str">
        <x:v>—</x:v>
      </x:c>
      <x:c r="J86" s="28" t="str">
        <x:v>No</x:v>
      </x:c>
      <x:c r="K86" s="28" t="str">
        <x:v>Terreno U/B condicional; não entra virado se controlar Island ou Swamp.</x:v>
      </x:c>
    </x:row>
    <x:row r="87">
      <x:c r="A87" s="28" t="str">
        <x:v>Talisman of Progress</x:v>
      </x:c>
      <x:c r="B87" s="28" t="n">
        <x:v>0</x:v>
      </x:c>
      <x:c r="C87" s="28" t="n">
        <x:v>1</x:v>
      </x:c>
      <x:c r="D87" s="28" t="n">
        <x:f>C87-B87</x:f>
        <x:v>1</x:v>
      </x:c>
      <x:c r="E87" s="28" t="str">
        <x:v>Artifact</x:v>
      </x:c>
      <x:c r="F87" s="28" t="n">
        <x:v>2</x:v>
      </x:c>
      <x:c r="G87" s="28" t="str">
        <x:v>—</x:v>
      </x:c>
      <x:c r="H87" s="28" t="str">
        <x:v>1. Ramp + fixing</x:v>
      </x:c>
      <x:c r="I87" s="28" t="str">
        <x:v>—</x:v>
      </x:c>
      <x:c r="J87" s="28" t="str">
        <x:v>No</x:v>
      </x:c>
      <x:c r="K87" s="28" t="str">
        <x:v>Ramp de duas manas; acelera Zur.</x:v>
      </x:c>
    </x:row>
    <x:row r="88">
      <x:c r="A88" s="28" t="str">
        <x:v>Curse of Disturbance</x:v>
      </x:c>
      <x:c r="B88" s="28" t="n">
        <x:v>0</x:v>
      </x:c>
      <x:c r="C88" s="28" t="n">
        <x:v>1</x:v>
      </x:c>
      <x:c r="D88" s="28" t="n">
        <x:f>C88-B88</x:f>
        <x:v>1</x:v>
      </x:c>
      <x:c r="E88" s="28" t="str">
        <x:v>Enchantment — Aura Curse</x:v>
      </x:c>
      <x:c r="F88" s="28" t="n">
        <x:v>3</x:v>
      </x:c>
      <x:c r="G88" s="28" t="str">
        <x:v>—</x:v>
      </x:c>
      <x:c r="H88" s="28" t="str">
        <x:v>7. Politics + combat manipulation</x:v>
      </x:c>
      <x:c r="I88" s="28" t="str">
        <x:v>—</x:v>
      </x:c>
      <x:c r="J88" s="28" t="str">
        <x:v>Yes</x:v>
      </x:c>
      <x:c r="K88" s="28" t="str">
        <x:v>Recompensa ataques contra o encantado e gera Zombies; visível incentivo político.</x:v>
      </x:c>
    </x:row>
    <x:row r="89">
      <x:c r="A89" s="28" t="str">
        <x:v>Mystic Remora</x:v>
      </x:c>
      <x:c r="B89" s="28" t="n">
        <x:v>0</x:v>
      </x:c>
      <x:c r="C89" s="28" t="n">
        <x:v>1</x:v>
      </x:c>
      <x:c r="D89" s="28" t="n">
        <x:f>C89-B89</x:f>
        <x:v>1</x:v>
      </x:c>
      <x:c r="E89" s="28" t="str">
        <x:v>Enchantment</x:v>
      </x:c>
      <x:c r="F89" s="28" t="n">
        <x:v>1</x:v>
      </x:c>
      <x:c r="G89" s="28" t="str">
        <x:v>—</x:v>
      </x:c>
      <x:c r="H89" s="28" t="str">
        <x:v>2. Draw + selection</x:v>
      </x:c>
      <x:c r="I89" s="28" t="str">
        <x:v>—</x:v>
      </x:c>
      <x:c r="J89" s="28" t="str">
        <x:v>Yes</x:v>
      </x:c>
      <x:c r="K89" s="28" t="str">
        <x:v>Motor de compra de baixo custo com manutenção cumulativa.</x:v>
      </x:c>
    </x:row>
    <x:row r="90">
      <x:c r="A90" s="28" t="str">
        <x:v>Swan Song</x:v>
      </x:c>
      <x:c r="B90" s="28" t="n">
        <x:v>0</x:v>
      </x:c>
      <x:c r="C90" s="28" t="n">
        <x:v>1</x:v>
      </x:c>
      <x:c r="D90" s="28" t="n">
        <x:f>C90-B90</x:f>
        <x:v>1</x:v>
      </x:c>
      <x:c r="E90" s="28" t="str">
        <x:v>Instant</x:v>
      </x:c>
      <x:c r="F90" s="28" t="n">
        <x:v>1</x:v>
      </x:c>
      <x:c r="G90" s="28" t="str">
        <x:v>—</x:v>
      </x:c>
      <x:c r="H90" s="28" t="str">
        <x:v>3. Interaction — non-enchantment</x:v>
      </x:c>
      <x:c r="I90" s="28" t="str">
        <x:v>—</x:v>
      </x:c>
      <x:c r="J90" s="28" t="str">
        <x:v>No</x:v>
      </x:c>
      <x:c r="K90" s="28" t="str">
        <x:v>Counter de 1 para enchantment/instant/sorcery; dá 2/2 flyer ao oponente.</x:v>
      </x:c>
    </x:row>
    <x:row r="91">
      <x:c r="A91" s="28" t="str">
        <x:v>Dovin's Veto</x:v>
      </x:c>
      <x:c r="B91" s="28" t="n">
        <x:v>0</x:v>
      </x:c>
      <x:c r="C91" s="28" t="n">
        <x:v>1</x:v>
      </x:c>
      <x:c r="D91" s="28" t="n">
        <x:f>C91-B91</x:f>
        <x:v>1</x:v>
      </x:c>
      <x:c r="E91" s="28" t="str">
        <x:v>Instant</x:v>
      </x:c>
      <x:c r="F91" s="28" t="n">
        <x:v>2</x:v>
      </x:c>
      <x:c r="G91" s="28" t="str">
        <x:v>—</x:v>
      </x:c>
      <x:c r="H91" s="28" t="str">
        <x:v>3. Interaction — non-enchantment</x:v>
      </x:c>
      <x:c r="I91" s="28" t="str">
        <x:v>—</x:v>
      </x:c>
      <x:c r="J91" s="28" t="str">
        <x:v>No</x:v>
      </x:c>
      <x:c r="K91" s="28" t="str">
        <x:v>Não pode ser anulado; responde a não-criatura.</x:v>
      </x:c>
    </x:row>
    <x:row r="92">
      <x:c r="A92" s="28" t="str">
        <x:v>Ghostly Prison</x:v>
      </x:c>
      <x:c r="B92" s="28" t="n">
        <x:v>0</x:v>
      </x:c>
      <x:c r="C92" s="28" t="n">
        <x:v>1</x:v>
      </x:c>
      <x:c r="D92" s="28" t="n">
        <x:f>C92-B92</x:f>
        <x:v>1</x:v>
      </x:c>
      <x:c r="E92" s="28" t="str">
        <x:v>Enchantment</x:v>
      </x:c>
      <x:c r="F92" s="28" t="n">
        <x:v>3</x:v>
      </x:c>
      <x:c r="G92" s="28" t="str">
        <x:v>—</x:v>
      </x:c>
      <x:c r="H92" s="28" t="str">
        <x:v>5. Tax + pillowfort</x:v>
      </x:c>
      <x:c r="I92" s="28" t="str">
        <x:v>—</x:v>
      </x:c>
      <x:c r="J92" s="28" t="str">
        <x:v>Yes</x:v>
      </x:c>
      <x:c r="K92" s="28" t="str">
        <x:v>Taxa ataque e é alvo de Zur; cuidado com excesso combinado a Propaganda/Crawlspace.</x:v>
      </x:c>
    </x:row>
    <x:row r="93">
      <x:c r="A93" s="28" t="str">
        <x:v>Godless Shrine</x:v>
      </x:c>
      <x:c r="B93" s="28" t="n">
        <x:v>0</x:v>
      </x:c>
      <x:c r="C93" s="28" t="n">
        <x:v>1</x:v>
      </x:c>
      <x:c r="D93" s="28" t="n">
        <x:f>C93-B93</x:f>
        <x:v>1</x:v>
      </x:c>
      <x:c r="E93" s="28" t="str">
        <x:v>Land</x:v>
      </x:c>
      <x:c r="F93" s="28"/>
      <x:c r="G93" s="28" t="str">
        <x:v>—</x:v>
      </x:c>
      <x:c r="H93" s="28" t="str">
        <x:v>Land</x:v>
      </x:c>
      <x:c r="I93" s="28" t="str">
        <x:v>—</x:v>
      </x:c>
      <x:c r="J93" s="28" t="str">
        <x:v>No</x:v>
      </x:c>
      <x:c r="K93" s="28" t="str">
        <x:v>Dual Plains/Swamp com opção de pagar 2 de vida para entrar desvirado.</x:v>
      </x:c>
    </x:row>
    <x:row r="94">
      <x:c r="A94" s="28" t="str">
        <x:v>Rhystic Study</x:v>
      </x:c>
      <x:c r="B94" s="28" t="n">
        <x:v>0</x:v>
      </x:c>
      <x:c r="C94" s="28" t="n">
        <x:v>1</x:v>
      </x:c>
      <x:c r="D94" s="28" t="n">
        <x:f>C94-B94</x:f>
        <x:v>1</x:v>
      </x:c>
      <x:c r="E94" s="28" t="str">
        <x:v>Enchantment</x:v>
      </x:c>
      <x:c r="F94" s="28" t="n">
        <x:v>3</x:v>
      </x:c>
      <x:c r="G94" s="28" t="str">
        <x:v>—</x:v>
      </x:c>
      <x:c r="H94" s="28" t="str">
        <x:v>2. Draw + selection</x:v>
      </x:c>
      <x:c r="I94" s="28" t="str">
        <x:v>—</x:v>
      </x:c>
      <x:c r="J94" s="28" t="str">
        <x:v>Yes</x:v>
      </x:c>
      <x:c r="K94" s="28" t="str">
        <x:v>Motor de cartas e tax indireto; ameaça percebida elevada.</x:v>
      </x:c>
    </x:row>
    <x:row r="95">
      <x:c r="A95" s="28" t="str">
        <x:v>Polluted Delta</x:v>
      </x:c>
      <x:c r="B95" s="28" t="n">
        <x:v>0</x:v>
      </x:c>
      <x:c r="C95" s="28" t="n">
        <x:v>1</x:v>
      </x:c>
      <x:c r="D95" s="28" t="n">
        <x:f>C95-B95</x:f>
        <x:v>1</x:v>
      </x:c>
      <x:c r="E95" s="28" t="str">
        <x:v>Land</x:v>
      </x:c>
      <x:c r="F95" s="28"/>
      <x:c r="G95" s="28" t="str">
        <x:v>—</x:v>
      </x:c>
      <x:c r="H95" s="28" t="str">
        <x:v>Land</x:v>
      </x:c>
      <x:c r="I95" s="28" t="str">
        <x:v>—</x:v>
      </x:c>
      <x:c r="J95" s="28" t="str">
        <x:v>No</x:v>
      </x:c>
      <x:c r="K95" s="28" t="str">
        <x:v>Fetch que procura Island/Swamp; melhora fixação preta/azul.</x:v>
      </x:c>
    </x:row>
    <x:row r="96">
      <x:c r="A96" s="28" t="str">
        <x:v>Estrid's Invocation</x:v>
      </x:c>
      <x:c r="B96" s="28" t="n">
        <x:v>0</x:v>
      </x:c>
      <x:c r="C96" s="28" t="n">
        <x:v>1</x:v>
      </x:c>
      <x:c r="D96" s="28" t="n">
        <x:f>C96-B96</x:f>
        <x:v>1</x:v>
      </x:c>
      <x:c r="E96" s="28" t="str">
        <x:v>Enchantment</x:v>
      </x:c>
      <x:c r="F96" s="28" t="n">
        <x:v>3</x:v>
      </x:c>
      <x:c r="G96" s="28" t="str">
        <x:v>—</x:v>
      </x:c>
      <x:c r="H96" s="28" t="str">
        <x:v>8. Synergy + wincons</x:v>
      </x:c>
      <x:c r="I96" s="28" t="str">
        <x:v>—</x:v>
      </x:c>
      <x:c r="J96" s="28" t="str">
        <x:v>Yes</x:v>
      </x:c>
      <x:c r="K96" s="28" t="str">
        <x:v>Copia encantamento sob controle e permite reconfigurar no upkeep.</x:v>
      </x:c>
    </x:row>
    <x:row r="97">
      <x:c r="A97" s="28" t="str">
        <x:v>Arcane Denial</x:v>
      </x:c>
      <x:c r="B97" s="28" t="n">
        <x:v>0</x:v>
      </x:c>
      <x:c r="C97" s="28" t="n">
        <x:v>1</x:v>
      </x:c>
      <x:c r="D97" s="28" t="n">
        <x:f>C97-B97</x:f>
        <x:v>1</x:v>
      </x:c>
      <x:c r="E97" s="28" t="str">
        <x:v>Instant</x:v>
      </x:c>
      <x:c r="F97" s="28" t="n">
        <x:v>2</x:v>
      </x:c>
      <x:c r="G97" s="28" t="str">
        <x:v>—</x:v>
      </x:c>
      <x:c r="H97" s="28" t="str">
        <x:v>3. Interaction — non-enchantment</x:v>
      </x:c>
      <x:c r="I97" s="28" t="str">
        <x:v>—</x:v>
      </x:c>
      <x:c r="J97" s="28" t="str">
        <x:v>No</x:v>
      </x:c>
      <x:c r="K97" s="28" t="str">
        <x:v>Counter amplo e político, compensação de cartas ao adversário.</x:v>
      </x:c>
    </x:row>
    <x:row r="98">
      <x:c r="A98" s="28" t="str">
        <x:v>Grasp of Fate</x:v>
      </x:c>
      <x:c r="B98" s="28" t="n">
        <x:v>0</x:v>
      </x:c>
      <x:c r="C98" s="28" t="n">
        <x:v>1</x:v>
      </x:c>
      <x:c r="D98" s="28" t="n">
        <x:f>C98-B98</x:f>
        <x:v>1</x:v>
      </x:c>
      <x:c r="E98" s="28" t="str">
        <x:v>Enchantment</x:v>
      </x:c>
      <x:c r="F98" s="28" t="n">
        <x:v>3</x:v>
      </x:c>
      <x:c r="G98" s="28" t="str">
        <x:v>—</x:v>
      </x:c>
      <x:c r="H98" s="28" t="str">
        <x:v>4. Enchantment toolbox / removal</x:v>
      </x:c>
      <x:c r="I98" s="28" t="str">
        <x:v>—</x:v>
      </x:c>
      <x:c r="J98" s="28" t="str">
        <x:v>Yes</x:v>
      </x:c>
      <x:c r="K98" s="28" t="str">
        <x:v>Exila uma permanente não-terreno de cada oponente; retorno quando sai do campo.</x:v>
      </x:c>
    </x:row>
    <x:row r="99">
      <x:c r="A99" s="28" t="str">
        <x:v>Talisman of Dominance</x:v>
      </x:c>
      <x:c r="B99" s="28" t="n">
        <x:v>0</x:v>
      </x:c>
      <x:c r="C99" s="28" t="n">
        <x:v>1</x:v>
      </x:c>
      <x:c r="D99" s="28" t="n">
        <x:f>C99-B99</x:f>
        <x:v>1</x:v>
      </x:c>
      <x:c r="E99" s="28" t="str">
        <x:v>Artifact</x:v>
      </x:c>
      <x:c r="F99" s="28" t="n">
        <x:v>2</x:v>
      </x:c>
      <x:c r="G99" s="28" t="str">
        <x:v>—</x:v>
      </x:c>
      <x:c r="H99" s="28" t="str">
        <x:v>1. Ramp + fixing</x:v>
      </x:c>
      <x:c r="I99" s="28" t="str">
        <x:v>—</x:v>
      </x:c>
      <x:c r="J99" s="28" t="str">
        <x:v>No</x:v>
      </x:c>
      <x:c r="K99" s="28" t="str">
        <x:v>Ramp de duas manas; melhora U/B.</x:v>
      </x:c>
    </x:row>
    <x:row r="100">
      <x:c r="A100" s="28" t="str">
        <x:v>Swords to Plowshares</x:v>
      </x:c>
      <x:c r="B100" s="28" t="n">
        <x:v>0</x:v>
      </x:c>
      <x:c r="C100" s="28" t="n">
        <x:v>1</x:v>
      </x:c>
      <x:c r="D100" s="28" t="n">
        <x:f>C100-B100</x:f>
        <x:v>1</x:v>
      </x:c>
      <x:c r="E100" s="28" t="str">
        <x:v>Instant</x:v>
      </x:c>
      <x:c r="F100" s="28" t="n">
        <x:v>1</x:v>
      </x:c>
      <x:c r="G100" s="28" t="str">
        <x:v>—</x:v>
      </x:c>
      <x:c r="H100" s="28" t="str">
        <x:v>3. Interaction — non-enchantment</x:v>
      </x:c>
      <x:c r="I100" s="28" t="str">
        <x:v>—</x:v>
      </x:c>
      <x:c r="J100" s="28" t="str">
        <x:v>No</x:v>
      </x:c>
      <x:c r="K100" s="28" t="str">
        <x:v>Remoção precisa de 1 mana a criatura; oferece vida.</x:v>
      </x:c>
    </x:row>
    <x:row r="101">
      <x:c r="A101" s="28" t="str">
        <x:v>Necropotence</x:v>
      </x:c>
      <x:c r="B101" s="28" t="n">
        <x:v>0</x:v>
      </x:c>
      <x:c r="C101" s="28" t="n">
        <x:v>1</x:v>
      </x:c>
      <x:c r="D101" s="28" t="n">
        <x:f>C101-B101</x:f>
        <x:v>1</x:v>
      </x:c>
      <x:c r="E101" s="28" t="str">
        <x:v>Enchantment</x:v>
      </x:c>
      <x:c r="F101" s="28" t="n">
        <x:v>3</x:v>
      </x:c>
      <x:c r="G101" s="28" t="str">
        <x:v>—</x:v>
      </x:c>
      <x:c r="H101" s="28" t="str">
        <x:v>2. Draw + selection</x:v>
      </x:c>
      <x:c r="I101" s="28" t="str">
        <x:v>—</x:v>
      </x:c>
      <x:c r="J101" s="28" t="str">
        <x:v>Yes</x:v>
      </x:c>
      <x:c r="K101" s="28" t="str">
        <x:v>Motor massivo de seleção/volume; pulando draw step e exilando descartes.</x:v>
      </x:c>
    </x:row>
    <x:row r="102">
      <x:c r="A102" s="28" t="str">
        <x:v>Curse of Verbosity</x:v>
      </x:c>
      <x:c r="B102" s="28" t="n">
        <x:v>0</x:v>
      </x:c>
      <x:c r="C102" s="28" t="n">
        <x:v>1</x:v>
      </x:c>
      <x:c r="D102" s="28" t="n">
        <x:f>C102-B102</x:f>
        <x:v>1</x:v>
      </x:c>
      <x:c r="E102" s="28" t="str">
        <x:v>Enchantment — Aura Curse</x:v>
      </x:c>
      <x:c r="F102" s="28" t="n">
        <x:v>3</x:v>
      </x:c>
      <x:c r="G102" s="28" t="str">
        <x:v>—</x:v>
      </x:c>
      <x:c r="H102" s="28" t="str">
        <x:v>2. Draw + selection</x:v>
      </x:c>
      <x:c r="I102" s="28" t="str">
        <x:v>—</x:v>
      </x:c>
      <x:c r="J102" s="28" t="str">
        <x:v>Yes</x:v>
      </x:c>
      <x:c r="K102" s="28" t="str">
        <x:v>Compra você e atacantes quando o jogador encantado é atacado; pode ajudar a mesa a atacar líder.</x:v>
      </x:c>
    </x:row>
    <x:row r="103">
      <x:c r="A103" s="28" t="str">
        <x:v>Fellwar Stone</x:v>
      </x:c>
      <x:c r="B103" s="28" t="n">
        <x:v>0</x:v>
      </x:c>
      <x:c r="C103" s="28" t="n">
        <x:v>1</x:v>
      </x:c>
      <x:c r="D103" s="28" t="n">
        <x:f>C103-B103</x:f>
        <x:v>1</x:v>
      </x:c>
      <x:c r="E103" s="28" t="str">
        <x:v>Artifact</x:v>
      </x:c>
      <x:c r="F103" s="28" t="n">
        <x:v>2</x:v>
      </x:c>
      <x:c r="G103" s="28" t="str">
        <x:v>—</x:v>
      </x:c>
      <x:c r="H103" s="28" t="str">
        <x:v>1. Ramp + fixing</x:v>
      </x:c>
      <x:c r="I103" s="28" t="str">
        <x:v>—</x:v>
      </x:c>
      <x:c r="J103" s="28" t="str">
        <x:v>No</x:v>
      </x:c>
      <x:c r="K103" s="28" t="str">
        <x:v>Ramp de duas manas; fixação condicional conforme lands de oponentes.</x:v>
      </x:c>
    </x:row>
    <x:row r="104">
      <x:c r="A104" s="28" t="str">
        <x:v>Duelist's Heritage</x:v>
      </x:c>
      <x:c r="B104" s="28" t="n">
        <x:v>0</x:v>
      </x:c>
      <x:c r="C104" s="28" t="n">
        <x:v>1</x:v>
      </x:c>
      <x:c r="D104" s="28" t="n">
        <x:f>C104-B104</x:f>
        <x:v>1</x:v>
      </x:c>
      <x:c r="E104" s="28" t="str">
        <x:v>Enchantment</x:v>
      </x:c>
      <x:c r="F104" s="28" t="n">
        <x:v>3</x:v>
      </x:c>
      <x:c r="G104" s="28" t="str">
        <x:v>—</x:v>
      </x:c>
      <x:c r="H104" s="28" t="str">
        <x:v>7. Politics + combat manipulation</x:v>
      </x:c>
      <x:c r="I104" s="28" t="str">
        <x:v>—</x:v>
      </x:c>
      <x:c r="J104" s="28" t="str">
        <x:v>Yes</x:v>
      </x:c>
      <x:c r="K104" s="28" t="str">
        <x:v>Pode dar double strike a qualquer atacante, inclusive a criatura de um oponente.</x:v>
      </x:c>
    </x:row>
    <x:row r="105">
      <x:c r="A105" s="28" t="str">
        <x:v>Enlightened Tutor</x:v>
      </x:c>
      <x:c r="B105" s="28" t="n">
        <x:v>0</x:v>
      </x:c>
      <x:c r="C105" s="28" t="n">
        <x:v>1</x:v>
      </x:c>
      <x:c r="D105" s="28" t="n">
        <x:f>C105-B105</x:f>
        <x:v>1</x:v>
      </x:c>
      <x:c r="E105" s="28" t="str">
        <x:v>Instant</x:v>
      </x:c>
      <x:c r="F105" s="28" t="n">
        <x:v>1</x:v>
      </x:c>
      <x:c r="G105" s="28" t="str">
        <x:v>—</x:v>
      </x:c>
      <x:c r="H105" s="28" t="str">
        <x:v>2. Draw + selection</x:v>
      </x:c>
      <x:c r="I105" s="28" t="str">
        <x:v>—</x:v>
      </x:c>
      <x:c r="J105" s="28" t="str">
        <x:v>No</x:v>
      </x:c>
      <x:c r="K105" s="28" t="str">
        <x:v>Tutor de 1 mana para artefato/encantamento no topo; consistência.</x:v>
      </x:c>
    </x:row>
  </x:sheetData>
  <x:mergeCells>
    <x:mergeCell ref="A1:K1"/>
    <x:mergeCell ref="A2:K2"/>
  </x:mergeCells>
  <x:conditionalFormatting sqref="D5:D105">
    <x:cfRule type="cellIs" dxfId="3" priority="1" operator="greaterThan">
      <x:formula>0</x:formula>
    </x:cfRule>
    <x:cfRule type="cellIs" dxfId="4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328a0ee44f4b4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48" hidden="0" customWidth="1"/>
    <x:col min="6" max="6" width="40" hidden="0" customWidth="1"/>
  </x:cols>
  <x:sheetData>
    <x:row r="1" ht="30" customHeight="1">
      <x:c r="A1" s="5" t="str">
        <x:v>TEORIA 8×8 — grupos funcionais</x:v>
      </x:c>
      <x:c r="B1" s="5"/>
      <x:c r="C1" s="5"/>
      <x:c r="D1" s="5"/>
      <x:c r="E1" s="5"/>
      <x:c r="F1" s="5"/>
      <x:c r="G1" s="112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Classificação primária, sem dupla contagem. Uma carta pode ter papéis secundários, mas cada cópia ocupa apenas um grupo primário. Commander e lands são excluídos dos 66 slots.</x:v>
      </x:c>
      <x:c r="B2" s="13"/>
      <x:c r="C2" s="13"/>
      <x:c r="D2" s="13"/>
      <x:c r="E2" s="13"/>
      <x:c r="F2" s="13"/>
    </x:row>
    <x:row r="4" ht="30" customHeight="1">
      <x:c r="A4" s="22" t="str">
        <x:v>Grupo</x:v>
      </x:c>
      <x:c r="B4" s="22" t="str">
        <x:v>Qtd CURRENT</x:v>
      </x:c>
      <x:c r="C4" s="22" t="str">
        <x:v>Qtd V3</x:v>
      </x:c>
      <x:c r="D4" s="22" t="str">
        <x:v>Delta</x:v>
      </x:c>
      <x:c r="E4" s="22" t="str">
        <x:v>Diagnóstico da mudança</x:v>
      </x:c>
      <x:c r="F4" s="22" t="str">
        <x:v>Critério de análise</x:v>
      </x:c>
    </x:row>
    <x:row r="5">
      <x:c r="A5" s="28" t="str">
        <x:v>1. Ramp + fixing</x:v>
      </x:c>
      <x:c r="B5" s="28" t="n">
        <x:f>SUMIF('CURRENT List'!$E$5:$E$84,A5,'CURRENT List'!$A$5:$A$84)</x:f>
        <x:v>10</x:v>
      </x:c>
      <x:c r="C5" s="28" t="n">
        <x:f>SUMIF('PROPOSED V3'!$E$5:$E$84,A5,'PROPOSED V3'!$A$5:$A$84)</x:f>
        <x:v>10</x:v>
      </x:c>
      <x:c r="D5" s="28" t="n">
        <x:f>C5-B5</x:f>
        <x:v>0</x:v>
      </x:c>
      <x:c r="E5" s="28" t="str">
        <x:v>A quantidade nominal não basta: priorizar ramp que chega antes de Zur e mantém mana aberta.</x:v>
      </x:c>
      <x:c r="F5" s="28" t="str">
        <x:v>Fontes de mana, custo de 2 manas, fixação Esper.</x:v>
      </x:c>
    </x:row>
    <x:row r="6">
      <x:c r="A6" s="28" t="str">
        <x:v>2. Draw + selection</x:v>
      </x:c>
      <x:c r="B6" s="28" t="n">
        <x:f>SUMIF('CURRENT List'!$E$5:$E$84,A6,'CURRENT List'!$A$5:$A$84)</x:f>
        <x:v>13</x:v>
      </x:c>
      <x:c r="C6" s="28" t="n">
        <x:f>SUMIF('PROPOSED V3'!$E$5:$E$84,A6,'PROPOSED V3'!$A$5:$A$84)</x:f>
        <x:v>13</x:v>
      </x:c>
      <x:c r="D6" s="28" t="n">
        <x:f>C6-B6</x:f>
        <x:v>0</x:v>
      </x:c>
      <x:c r="E6" s="28" t="str">
        <x:v>V3 eleva motores eficientes; verificar percepção de ameaça e decisões de Necropotence.</x:v>
      </x:c>
      <x:c r="F6" s="28" t="str">
        <x:v>Compra, seleção, custo em vida, simetria política.</x:v>
      </x:c>
    </x:row>
    <x:row r="7">
      <x:c r="A7" s="28" t="str">
        <x:v>3. Interaction — non-enchantment</x:v>
      </x:c>
      <x:c r="B7" s="28" t="n">
        <x:f>SUMIF('CURRENT List'!$E$5:$E$84,A7,'CURRENT List'!$A$5:$A$84)</x:f>
        <x:v>12</x:v>
      </x:c>
      <x:c r="C7" s="28" t="n">
        <x:f>SUMIF('PROPOSED V3'!$E$5:$E$84,A7,'PROPOSED V3'!$A$5:$A$84)</x:f>
        <x:v>12</x:v>
      </x:c>
      <x:c r="D7" s="28" t="n">
        <x:f>C7-B7</x:f>
        <x:v>0</x:v>
      </x:c>
      <x:c r="E7" s="28" t="str">
        <x:v>Menos resets (7 → 3); mais counters baratos e remoção cirúrgica.</x:v>
      </x:c>
      <x:c r="F7" s="28" t="str">
        <x:v>Counters, removals pontuais, wipes e respostas de pilha.</x:v>
      </x:c>
    </x:row>
    <x:row r="8">
      <x:c r="A8" s="28" t="str">
        <x:v>4. Enchantment toolbox / removal</x:v>
      </x:c>
      <x:c r="B8" s="28" t="n">
        <x:f>SUMIF('CURRENT List'!$E$5:$E$84,A8,'CURRENT List'!$A$5:$A$84)</x:f>
        <x:v>6</x:v>
      </x:c>
      <x:c r="C8" s="28" t="n">
        <x:f>SUMIF('PROPOSED V3'!$E$5:$E$84,A8,'PROPOSED V3'!$A$5:$A$84)</x:f>
        <x:v>6</x:v>
      </x:c>
      <x:c r="D8" s="28" t="n">
        <x:f>C8-B8</x:f>
        <x:v>0</x:v>
      </x:c>
      <x:c r="E8" s="28" t="str">
        <x:v>Grasp of Fate e Estrid’s Invocation reforçam o toolbox interativo.</x:v>
      </x:c>
      <x:c r="F8" s="28" t="str">
        <x:v>Alvos Zur MV≤3, resposta a permanentes, flexibilidade.</x:v>
      </x:c>
    </x:row>
    <x:row r="9">
      <x:c r="A9" s="28" t="str">
        <x:v>5. Tax + pillowfort</x:v>
      </x:c>
      <x:c r="B9" s="28" t="n">
        <x:f>SUMIF('CURRENT List'!$E$5:$E$84,A9,'CURRENT List'!$A$5:$A$84)</x:f>
        <x:v>6</x:v>
      </x:c>
      <x:c r="C9" s="28" t="n">
        <x:f>SUMIF('PROPOSED V3'!$E$5:$E$84,A9,'PROPOSED V3'!$A$5:$A$84)</x:f>
        <x:v>4</x:v>
      </x:c>
      <x:c r="D9" s="28" t="n">
        <x:f>C9-B9</x:f>
        <x:v>-2</x:v>
      </x:c>
      <x:c r="E9" s="28" t="str">
        <x:v>Menos tax que trava combate; Ghostly Prison ocupa o lugar de Miasma.</x:v>
      </x:c>
      <x:c r="F9" s="28" t="str">
        <x:v>Impostos que criam escolhas vs efeitos que congelam a mesa.</x:v>
      </x:c>
    </x:row>
    <x:row r="10">
      <x:c r="A10" s="28" t="str">
        <x:v>6. Protection + recursion</x:v>
      </x:c>
      <x:c r="B10" s="28" t="n">
        <x:f>SUMIF('CURRENT List'!$E$5:$E$84,A10,'CURRENT List'!$A$5:$A$84)</x:f>
        <x:v>9</x:v>
      </x:c>
      <x:c r="C10" s="28" t="n">
        <x:f>SUMIF('PROPOSED V3'!$E$5:$E$84,A10,'PROPOSED V3'!$A$5:$A$84)</x:f>
        <x:v>9</x:v>
      </x:c>
      <x:c r="D10" s="28" t="n">
        <x:f>C10-B10</x:f>
        <x:v>0</x:v>
      </x:c>
      <x:c r="E10" s="28" t="str">
        <x:v>Vanishing protege Zur sem depender de manter 4 mana abertos.</x:v>
      </x:c>
      <x:c r="F10" s="28" t="str">
        <x:v>Proteção do comandante, recuperação e resiliência.</x:v>
      </x:c>
    </x:row>
    <x:row r="11">
      <x:c r="A11" s="28" t="str">
        <x:v>7. Politics + combat manipulation</x:v>
      </x:c>
      <x:c r="B11" s="28" t="n">
        <x:f>SUMIF('CURRENT List'!$E$5:$E$84,A11,'CURRENT List'!$A$5:$A$84)</x:f>
        <x:v>3</x:v>
      </x:c>
      <x:c r="C11" s="28" t="n">
        <x:f>SUMIF('PROPOSED V3'!$E$5:$E$84,A11,'PROPOSED V3'!$A$5:$A$84)</x:f>
        <x:v>5</x:v>
      </x:c>
      <x:c r="D11" s="28" t="n">
        <x:f>C11-B11</x:f>
        <x:v>2</x:v>
      </x:c>
      <x:c r="E11" s="28" t="str">
        <x:v>Duelist’s Heritage e Curse of Disturbance transformam o combate em recurso negociável.</x:v>
      </x:c>
      <x:c r="F11" s="28" t="str">
        <x:v>Incentivos explícitos; não chamar Impetus de goad.</x:v>
      </x:c>
    </x:row>
    <x:row r="12">
      <x:c r="A12" s="28" t="str">
        <x:v>8. Synergy + wincons</x:v>
      </x:c>
      <x:c r="B12" s="28" t="n">
        <x:f>SUMIF('CURRENT List'!$E$5:$E$84,A12,'CURRENT List'!$A$5:$A$84)</x:f>
        <x:v>7</x:v>
      </x:c>
      <x:c r="C12" s="28" t="n">
        <x:f>SUMIF('PROPOSED V3'!$E$5:$E$84,A12,'PROPOSED V3'!$A$5:$A$84)</x:f>
        <x:v>7</x:v>
      </x:c>
      <x:c r="D12" s="28" t="n">
        <x:f>C12-B12</x:f>
        <x:v>0</x:v>
      </x:c>
      <x:c r="E12" s="28" t="str">
        <x:v>Preserva ameaça via All That Glitters, Luminarch Ascension, Sphinx e outras linhas não-combo.</x:v>
      </x:c>
      <x:c r="F12" s="28" t="str">
        <x:v>Fechamento real, identidade, redundância e riscos.</x:v>
      </x:c>
    </x:row>
    <x:row r="13">
      <x:c r="A13" s="28"/>
      <x:c r="B13" s="28"/>
      <x:c r="C13" s="28"/>
      <x:c r="D13" s="28"/>
      <x:c r="E13" s="28"/>
      <x:c r="F13" s="28"/>
    </x:row>
    <x:row r="14" ht="30" customHeight="1">
      <x:c r="A14" s="33" t="str">
        <x:v>CHECK TOTALS</x:v>
      </x:c>
      <x:c r="B14" s="33" t="n">
        <x:f>SUM(B5:B12)</x:f>
        <x:v>66</x:v>
      </x:c>
      <x:c r="C14" s="33" t="n">
        <x:f>SUM(C5:C12)</x:f>
        <x:v>66</x:v>
      </x:c>
      <x:c r="D14" s="33"/>
      <x:c r="E14" s="33" t="str">
        <x:v>Should equal 66 nonland cards in each list, excluding Commander.</x:v>
      </x:c>
      <x:c r="F14" s="33" t="str">
        <x:v>100 total − 33 lands − 1 commander = 66.</x:v>
      </x:c>
    </x:row>
  </x:sheetData>
  <x:mergeCells>
    <x:mergeCell ref="A1:F1"/>
    <x:mergeCell ref="A2:F2"/>
  </x:mergeCells>
  <x:conditionalFormatting sqref="D5:D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025040fcbe471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90" hidden="0" customWidth="1"/>
    <x:col min="6" max="6" width="22" hidden="0" customWidth="1"/>
  </x:cols>
  <x:sheetData>
    <x:row r="1" ht="30" customHeight="1">
      <x:c r="A1" s="5" t="str">
        <x:v>STRUCTURAL AUDIT — contagem, curva e mana</x:v>
      </x:c>
      <x:c r="B1" s="5"/>
      <x:c r="C1" s="5"/>
      <x:c r="D1" s="5"/>
      <x:c r="E1" s="5"/>
      <x:c r="F1" s="5"/>
      <x:c r="G1" s="112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Contagens recalculadas a partir das listas. Tipo/MV são referências estruturais e devem ser conferidos no Oracle antes de regras específicas.</x:v>
      </x:c>
      <x:c r="B2" s="13"/>
      <x:c r="C2" s="13"/>
      <x:c r="D2" s="13"/>
      <x:c r="E2" s="13"/>
      <x:c r="F2" s="13"/>
    </x:row>
    <x:row r="4" ht="30" customHeight="1">
      <x:c r="A4" s="22" t="str">
        <x:v>Métrica</x:v>
      </x:c>
      <x:c r="B4" s="22" t="str">
        <x:v>CURRENT</x:v>
      </x:c>
      <x:c r="C4" s="22" t="str">
        <x:v>PROPOSED V3</x:v>
      </x:c>
      <x:c r="D4" s="22" t="str">
        <x:v>Delta</x:v>
      </x:c>
      <x:c r="E4" s="22" t="str">
        <x:v>Leitura</x:v>
      </x:c>
      <x:c r="F4" s="22" t="str">
        <x:v>Status</x:v>
      </x:c>
    </x:row>
    <x:row r="5">
      <x:c r="A5" s="28" t="str">
        <x:v>Total de cartas</x:v>
      </x:c>
      <x:c r="B5" s="28" t="n">
        <x:f>SUM('CURRENT List'!$A$5:$A$84)</x:f>
        <x:v>100</x:v>
      </x:c>
      <x:c r="C5" s="28" t="n">
        <x:f>SUM('PROPOSED V3'!$A$5:$A$84)</x:f>
        <x:v>100</x:v>
      </x:c>
      <x:c r="D5" s="28" t="n">
        <x:f>C5-B5</x:f>
        <x:v>0</x:v>
      </x:c>
      <x:c r="E5" s="28" t="str">
        <x:v>Deve ser 100 com Commander</x:v>
      </x:c>
      <x:c r="F5" s="28" t="str">
        <x:v>Reconciliado</x:v>
      </x:c>
    </x:row>
    <x:row r="6">
      <x:c r="A6" s="28" t="str">
        <x:v>Comandante</x:v>
      </x:c>
      <x:c r="B6" s="28" t="n">
        <x:f>SUMIF('CURRENT List'!$E$5:$E$84,"Commander",'CURRENT List'!$A$5:$A$84)</x:f>
        <x:v>1</x:v>
      </x:c>
      <x:c r="C6" s="28" t="n">
        <x:f>SUMIF('PROPOSED V3'!$E$5:$E$84,"Commander",'PROPOSED V3'!$A$5:$A$84)</x:f>
        <x:v>1</x:v>
      </x:c>
      <x:c r="D6" s="28" t="n">
        <x:f>C6-B6</x:f>
        <x:v>0</x:v>
      </x:c>
      <x:c r="E6" s="28" t="str">
        <x:v>1 comandante</x:v>
      </x:c>
      <x:c r="F6" s="28" t="str">
        <x:v>Reconciliado</x:v>
      </x:c>
    </x:row>
    <x:row r="7">
      <x:c r="A7" s="28" t="str">
        <x:v>Terrenos físicos</x:v>
      </x:c>
      <x:c r="B7" s="28" t="n">
        <x:f>SUMIF('CURRENT List'!$E$5:$E$84,"Land",'CURRENT List'!$A$5:$A$84)</x:f>
        <x:v>33</x:v>
      </x:c>
      <x:c r="C7" s="28" t="n">
        <x:f>SUMIF('PROPOSED V3'!$E$5:$E$84,"Land",'PROPOSED V3'!$A$5:$A$84)</x:f>
        <x:v>33</x:v>
      </x:c>
      <x:c r="D7" s="28" t="n">
        <x:f>C7-B7</x:f>
        <x:v>0</x:v>
      </x:c>
      <x:c r="E7" s="28" t="str">
        <x:v>33 mantidos; fontes funcionais podem exceder terrenos</x:v>
      </x:c>
      <x:c r="F7" s="28" t="str">
        <x:v>Reconciliado</x:v>
      </x:c>
    </x:row>
    <x:row r="8">
      <x:c r="A8" s="28" t="str">
        <x:v>Slots não-terreno sem Commander</x:v>
      </x:c>
      <x:c r="B8" s="28" t="n">
        <x:f>B5-B6-B7</x:f>
        <x:v>66</x:v>
      </x:c>
      <x:c r="C8" s="28" t="n">
        <x:f>C5-C6-C7</x:f>
        <x:v>66</x:v>
      </x:c>
      <x:c r="D8" s="28" t="n">
        <x:f>C8-B8</x:f>
        <x:v>0</x:v>
      </x:c>
      <x:c r="E8" s="28" t="str">
        <x:v>Oito grupos 8×8 somam 66</x:v>
      </x:c>
      <x:c r="F8" s="28" t="str">
        <x:v>Formula-based</x:v>
      </x:c>
    </x:row>
    <x:row r="9">
      <x:c r="A9" s="28" t="str">
        <x:v>Encantamentos buscáveis por Zur</x:v>
      </x:c>
      <x:c r="B9" s="28" t="n">
        <x:f>SUMIF('CURRENT List'!$F$5:$F$84,"Yes",'CURRENT List'!$A$5:$A$84)</x:f>
        <x:v>27</x:v>
      </x:c>
      <x:c r="C9" s="28" t="n">
        <x:f>SUMIF('PROPOSED V3'!$F$5:$F$84,"Yes",'PROPOSED V3'!$A$5:$A$84)</x:f>
        <x:v>31</x:v>
      </x:c>
      <x:c r="D9" s="28" t="n">
        <x:f>C9-B9</x:f>
        <x:v>4</x:v>
      </x:c>
      <x:c r="E9" s="28" t="str">
        <x:v>Conte Alseid como enchantment creature; somente encantamentos MV≤3.</x:v>
      </x:c>
      <x:c r="F9" s="28" t="str">
        <x:v>27 → 31</x:v>
      </x:c>
    </x:row>
    <x:row r="10">
      <x:c r="A10" s="28" t="str">
        <x:v>Wipes/lock temporário de criaturas</x:v>
      </x:c>
      <x:c r="B10" s="28" t="n">
        <x:v>7</x:v>
      </x:c>
      <x:c r="C10" s="28" t="n">
        <x:v>3</x:v>
      </x:c>
      <x:c r="D10" s="28" t="n">
        <x:f>C10-B10</x:f>
        <x:v>-4</x:v>
      </x:c>
      <x:c r="E10" s="28" t="str">
        <x:v>CURRENT: By Invitation Only, Cleansing Nova, Doomskar, Extinction Event, Out of Time, Sculpted Sunburst, Supreme Verdict. V3 retém By Invitation Only, Sculpted Sunburst e Supreme Verdict.</x:v>
      </x:c>
      <x:c r="F10" s="28" t="str">
        <x:v>Manual audit</x:v>
      </x:c>
    </x:row>
    <x:row r="11">
      <x:c r="A11" s="28" t="str">
        <x:v>Trocas OUT → IN</x:v>
      </x:c>
      <x:c r="B11" s="28" t="n">
        <x:v>0</x:v>
      </x:c>
      <x:c r="C11" s="28" t="n">
        <x:v>21</x:v>
      </x:c>
      <x:c r="D11" s="28" t="n">
        <x:f>C11-B11</x:f>
        <x:v>21</x:v>
      </x:c>
      <x:c r="E11" s="28" t="str">
        <x:v>18 não-terrenos + 3 terras; rebalanceamento de básicos registrado separadamente.</x:v>
      </x:c>
      <x:c r="F11" s="28" t="str">
        <x:v>Proposed only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71daff3aa804f0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23" hidden="0" customWidth="1"/>
    <x:col min="4" max="4" width="27" hidden="0" customWidth="1"/>
    <x:col min="5" max="5" width="60" hidden="0" customWidth="1"/>
    <x:col min="6" max="6" width="58" hidden="0" customWidth="1"/>
  </x:cols>
  <x:sheetData>
    <x:row r="1" ht="30" customHeight="1">
      <x:c r="A1" s="5" t="str">
        <x:v>TIER LIST — encaixe na estratégia</x:v>
      </x:c>
      <x:c r="B1" s="5"/>
      <x:c r="C1" s="5"/>
      <x:c r="D1" s="5"/>
      <x:c r="E1" s="5"/>
      <x:c r="F1" s="5"/>
      <x:c r="G1" s="112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Tier de construção (não é poder isolado). As categorias refletem PROPOSED V3; CURRENT-only cards aparecem como comparação de cortes.</x:v>
      </x:c>
      <x:c r="B2" s="13"/>
      <x:c r="C2" s="13"/>
      <x:c r="D2" s="13"/>
      <x:c r="E2" s="13"/>
      <x:c r="F2" s="13"/>
    </x:row>
    <x:row r="4" ht="30" customHeight="1">
      <x:c r="A4" s="22" t="str">
        <x:v>Tier</x:v>
      </x:c>
      <x:c r="B4" s="22" t="str">
        <x:v>Carta / grupo</x:v>
      </x:c>
      <x:c r="C4" s="22" t="str">
        <x:v>Estado</x:v>
      </x:c>
      <x:c r="D4" s="22" t="str">
        <x:v>Papel nesta lista</x:v>
      </x:c>
      <x:c r="E4" s="22" t="str">
        <x:v>Justificativa</x:v>
      </x:c>
      <x:c r="F4" s="22" t="str">
        <x:v>Risco / argumento contra</x:v>
      </x:c>
    </x:row>
    <x:row r="5">
      <x:c r="A5" s="28" t="str">
        <x:v>S</x:v>
      </x:c>
      <x:c r="B5" s="28" t="str">
        <x:v>Zur the Enchanter</x:v>
      </x:c>
      <x:c r="C5" s="28" t="str">
        <x:v>Commander</x:v>
      </x:c>
      <x:c r="D5" s="28" t="str">
        <x:v>Tutor repetido de encantamentos</x:v>
      </x:c>
      <x:c r="E5" s="28" t="str">
        <x:v>A habilidade converte ataques em acesso a encantamentos de MV≤3; eixo de seleção do deck.</x:v>
      </x:c>
      <x:c r="F5" s="28" t="str">
        <x:v>Depende de conectar e atrai remoção; commander tax é real.</x:v>
      </x:c>
    </x:row>
    <x:row r="6">
      <x:c r="A6" s="28" t="str">
        <x:v>S</x:v>
      </x:c>
      <x:c r="B6" s="28" t="str">
        <x:v>Rhystic Study</x:v>
      </x:c>
      <x:c r="C6" s="28" t="str">
        <x:v>PROPOSED V3</x:v>
      </x:c>
      <x:c r="D6" s="28" t="str">
        <x:v>Draw / tax indireto</x:v>
      </x:c>
      <x:c r="E6" s="28" t="str">
        <x:v>Baixo custo de oportunidade; gera valor repetido e tensiona recursos dos oponentes.</x:v>
      </x:c>
      <x:c r="F6" s="28" t="str">
        <x:v>Aumenta threat perception e pode travar ritmo se exigir pagamentos em cada gatilho.</x:v>
      </x:c>
    </x:row>
    <x:row r="7">
      <x:c r="A7" s="28" t="str">
        <x:v>S</x:v>
      </x:c>
      <x:c r="B7" s="28" t="str">
        <x:v>Mystic Remora</x:v>
      </x:c>
      <x:c r="C7" s="28" t="str">
        <x:v>PROPOSED V3</x:v>
      </x:c>
      <x:c r="D7" s="28" t="str">
        <x:v>Draw inicial</x:v>
      </x:c>
      <x:c r="E7" s="28" t="str">
        <x:v>Um mana, potencialmente várias cartas antes de pagar manutenção cumulativa.</x:v>
      </x:c>
      <x:c r="F7" s="28" t="str">
        <x:v>Perde rendimento em mesa majoritariamente de criaturas; melhor lançada cedo.</x:v>
      </x:c>
    </x:row>
    <x:row r="8">
      <x:c r="A8" s="28" t="str">
        <x:v>S</x:v>
      </x:c>
      <x:c r="B8" s="28" t="str">
        <x:v>Necropotence</x:v>
      </x:c>
      <x:c r="C8" s="28" t="str">
        <x:v>PROPOSED V3</x:v>
      </x:c>
      <x:c r="D8" s="28" t="str">
        <x:v>Explosão de seleção/cartas</x:v>
      </x:c>
      <x:c r="E8" s="28" t="str">
        <x:v>Enorme teto de consistência e é buscável por Zur a MV3.</x:v>
      </x:c>
      <x:c r="F8" s="28" t="str">
        <x:v>Aumenta ameaça, consome vida, pula draw step e exila descartes; pode contradizer política discreta.</x:v>
      </x:c>
    </x:row>
    <x:row r="9">
      <x:c r="A9" s="28" t="str">
        <x:v>A</x:v>
      </x:c>
      <x:c r="B9" s="28" t="str">
        <x:v>Grasp of Fate</x:v>
      </x:c>
      <x:c r="C9" s="28" t="str">
        <x:v>PROPOSED V3</x:v>
      </x:c>
      <x:c r="D9" s="28" t="str">
        <x:v>Resposta multi-oponente</x:v>
      </x:c>
      <x:c r="E9" s="28" t="str">
        <x:v>Enchantment de MV3 tutorável por Zur, responde a uma permanente por oponente.</x:v>
      </x:c>
      <x:c r="F9" s="28" t="str">
        <x:v>Cartas voltam quando sai; pode gerar coalizão contra você.</x:v>
      </x:c>
    </x:row>
    <x:row r="10">
      <x:c r="A10" s="28" t="str">
        <x:v>A</x:v>
      </x:c>
      <x:c r="B10" s="28" t="str">
        <x:v>Duelist's Heritage</x:v>
      </x:c>
      <x:c r="C10" s="28" t="str">
        <x:v>PROPOSED V3</x:v>
      </x:c>
      <x:c r="D10" s="28" t="str">
        <x:v>Política/fechamento</x:v>
      </x:c>
      <x:c r="E10" s="28" t="str">
        <x:v>Converte combate alheio em negociação e ajuda suas próprias criaturas a fechar.</x:v>
      </x:c>
      <x:c r="F10" s="28" t="str">
        <x:v>Pode acelerar um adversário ou parecer que você escolheu quem deve morrer.</x:v>
      </x:c>
    </x:row>
    <x:row r="11">
      <x:c r="A11" s="28" t="str">
        <x:v>A</x:v>
      </x:c>
      <x:c r="B11" s="28" t="str">
        <x:v>Estrid's Invocation</x:v>
      </x:c>
      <x:c r="C11" s="28" t="str">
        <x:v>PROPOSED V3</x:v>
      </x:c>
      <x:c r="D11" s="28" t="str">
        <x:v>Toolbox flexível</x:v>
      </x:c>
      <x:c r="E11" s="28" t="str">
        <x:v>Copia encantamento e pode reconfigurar a cópia no upkeep.</x:v>
      </x:c>
      <x:c r="F11" s="28" t="str">
        <x:v>Precisa de bons encantamentos em campo; não copia criatura que não seja encantamento.</x:v>
      </x:c>
    </x:row>
    <x:row r="12">
      <x:c r="A12" s="28" t="str">
        <x:v>A</x:v>
      </x:c>
      <x:c r="B12" s="28" t="str">
        <x:v>Vanishing</x:v>
      </x:c>
      <x:c r="C12" s="28" t="str">
        <x:v>PROPOSED V3</x:v>
      </x:c>
      <x:c r="D12" s="28" t="str">
        <x:v>Proteção de Zur</x:v>
      </x:c>
      <x:c r="E12" s="28" t="str">
        <x:v>Aura MV1 que permite fasear Zur repetidamente e é fácil de tutorizar.</x:v>
      </x:c>
      <x:c r="F12" s="28" t="str">
        <x:v>Aura vulnerável a remoção de encantamento; exige U aberto.</x:v>
      </x:c>
    </x:row>
    <x:row r="13">
      <x:c r="A13" s="28" t="str">
        <x:v>A</x:v>
      </x:c>
      <x:c r="B13" s="28" t="str">
        <x:v>Enlightened Tutor</x:v>
      </x:c>
      <x:c r="C13" s="28" t="str">
        <x:v>PROPOSED V3</x:v>
      </x:c>
      <x:c r="D13" s="28" t="str">
        <x:v>Consistência</x:v>
      </x:c>
      <x:c r="E13" s="28" t="str">
        <x:v>Acha engine, interação, tax ou wincon por 1 mana.</x:v>
      </x:c>
      <x:c r="F13" s="28" t="str">
        <x:v>Põe no topo, não na mão; não gera vantagem líquida por si só.</x:v>
      </x:c>
    </x:row>
    <x:row r="14">
      <x:c r="A14" s="28" t="str">
        <x:v>A</x:v>
      </x:c>
      <x:c r="B14" s="28" t="str">
        <x:v>Swan Song / Dovin's Veto / Arcane Denial</x:v>
      </x:c>
      <x:c r="C14" s="28" t="str">
        <x:v>PROPOSED V3</x:v>
      </x:c>
      <x:c r="D14" s="28" t="str">
        <x:v>Interação de pilha</x:v>
      </x:c>
      <x:c r="E14" s="28" t="str">
        <x:v>A lista ganha respostas a combos, wipes e motores.</x:v>
      </x:c>
      <x:c r="F14" s="28" t="str">
        <x:v>Counters não respondem a habilidades já resolvidas; Swan Song dá ficha, Denial compensa cartas.</x:v>
      </x:c>
    </x:row>
    <x:row r="15">
      <x:c r="A15" s="28" t="str">
        <x:v>A</x:v>
      </x:c>
      <x:c r="B15" s="28" t="str">
        <x:v>Duelist's Heritage + All That Glitters</x:v>
      </x:c>
      <x:c r="C15" s="28" t="str">
        <x:v>Pacote estratégico</x:v>
      </x:c>
      <x:c r="D15" s="28" t="str">
        <x:v>Fechamento não-combo</x:v>
      </x:c>
      <x:c r="E15" s="28" t="str">
        <x:v>Double strike e crescimento de poder ajudam a converter vantagem em dano de comandante.</x:v>
      </x:c>
      <x:c r="F15" s="28" t="str">
        <x:v>Pode acelerar demais uma eliminação e afastar a identidade política se usado cedo.</x:v>
      </x:c>
    </x:row>
    <x:row r="16">
      <x:c r="A16" s="28" t="str">
        <x:v>B</x:v>
      </x:c>
      <x:c r="B16" s="28" t="str">
        <x:v>Ghostly Prison + Propaganda + Crawlspace</x:v>
      </x:c>
      <x:c r="C16" s="28" t="str">
        <x:v>Pacote mantido</x:v>
      </x:c>
      <x:c r="D16" s="28" t="str">
        <x:v>Pillowfort</x:v>
      </x:c>
      <x:c r="E16" s="28" t="str">
        <x:v>Faz ataques custarem recursos e compra tempo para negociar.</x:v>
      </x:c>
      <x:c r="F16" s="28" t="str">
        <x:v>Empilhar três pode criar excesso de tax e tornar a mesa estática.</x:v>
      </x:c>
    </x:row>
    <x:row r="17">
      <x:c r="A17" s="28" t="str">
        <x:v>B</x:v>
      </x:c>
      <x:c r="B17" s="28" t="str">
        <x:v>Curse of Disturbance / Curse of Verbosity</x:v>
      </x:c>
      <x:c r="C17" s="28" t="str">
        <x:v>PROPOSED V3</x:v>
      </x:c>
      <x:c r="D17" s="28" t="str">
        <x:v>Incentivos políticos</x:v>
      </x:c>
      <x:c r="E17" s="28" t="str">
        <x:v>Redirecionam ataques e recompensam jogadores por pressionar um alvo escolhido.</x:v>
      </x:c>
      <x:c r="F17" s="28" t="str">
        <x:v>Dão recursos a oponentes e dependem de escolher alvo adequado.</x:v>
      </x:c>
    </x:row>
    <x:row r="18">
      <x:c r="A18" s="28" t="str">
        <x:v>B</x:v>
      </x:c>
      <x:c r="B18" s="28" t="str">
        <x:v>Consecrated Sphinx / Luminarch Ascension</x:v>
      </x:c>
      <x:c r="C18" s="28" t="str">
        <x:v>CURRENT mantida</x:v>
      </x:c>
      <x:c r="D18" s="28" t="str">
        <x:v>Engines/fechamento</x:v>
      </x:c>
      <x:c r="E18" s="28" t="str">
        <x:v>Oferecem vantagem e presença para encerrar sem combo obrigatório.</x:v>
      </x:c>
      <x:c r="F18" s="28" t="str">
        <x:v>Sphinx custa seis; Ascension depende de não perder vida no início.</x:v>
      </x:c>
    </x:row>
    <x:row r="19">
      <x:c r="A19" s="28" t="str">
        <x:v>C</x:v>
      </x:c>
      <x:c r="B19" s="28" t="str">
        <x:v>Oppression</x:v>
      </x:c>
      <x:c r="C19" s="28" t="str">
        <x:v>CORTADA na V3</x:v>
      </x:c>
      <x:c r="D19" s="28" t="str">
        <x:v>Tax simétrico</x:v>
      </x:c>
      <x:c r="E19" s="28" t="str">
        <x:v>Forte em discard/stax dedicado, mas prejudica política, draw e reconstrução própria.</x:v>
      </x:c>
      <x:c r="F19" s="28" t="str">
        <x:v>Pode voltar em meta específico de decks que dependem de muitas mágicas.</x:v>
      </x:c>
    </x:row>
    <x:row r="20">
      <x:c r="A20" s="28" t="str">
        <x:v>C</x:v>
      </x:c>
      <x:c r="B20" s="28" t="str">
        <x:v>Silent Arbiter</x:v>
      </x:c>
      <x:c r="C20" s="28" t="str">
        <x:v>CORTADA na V3</x:v>
      </x:c>
      <x:c r="D20" s="28" t="str">
        <x:v>Restrição de combate</x:v>
      </x:c>
      <x:c r="E20" s="28" t="str">
        <x:v>Limita os combates globalmente, reduzindo a dinâmica desejada.</x:v>
      </x:c>
      <x:c r="F20" s="28" t="str">
        <x:v>Pode ser útil num meta go-wide; não é fraca em todo ambiente.</x:v>
      </x:c>
    </x:row>
    <x:row r="21">
      <x:c r="A21" s="28" t="str">
        <x:v>C</x:v>
      </x:c>
      <x:c r="B21" s="28" t="str">
        <x:v>Out of Time</x:v>
      </x:c>
      <x:c r="C21" s="28" t="str">
        <x:v>CORTADA na V3</x:v>
      </x:c>
      <x:c r="D21" s="28" t="str">
        <x:v>Reset temporário</x:v>
      </x:c>
      <x:c r="E21" s="28" t="str">
        <x:v>Impacto amplo, mas pode criar combates suspensos prolongados; V3 busca remoção precisa.</x:v>
      </x:c>
      <x:c r="F21" s="28" t="str">
        <x:v>Em meta dominado por criaturas pode ser ótima; testar se 3 wipes bastam.</x:v>
      </x:c>
    </x:row>
    <x:row r="22">
      <x:c r="A22" s="28" t="str">
        <x:v>C</x:v>
      </x:c>
      <x:c r="B22" s="28" t="str">
        <x:v>Sphinx's Revelation</x:v>
      </x:c>
      <x:c r="C22" s="28" t="str">
        <x:v>CORTADA na V3</x:v>
      </x:c>
      <x:c r="D22" s="28" t="str">
        <x:v>Draw/life escalável</x:v>
      </x:c>
      <x:c r="E22" s="28" t="str">
        <x:v>Boa no late game; V3 dá preferência a motores mais eficientes e tutor de consistência.</x:v>
      </x:c>
      <x:c r="F22" s="28" t="str">
        <x:v>Se Necropotence não combinar com a política desejada, reabrir esta decisão.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786a4179b6c414b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25" hidden="0" customWidth="1"/>
    <x:col min="4" max="4" width="24" hidden="0" customWidth="1"/>
    <x:col min="5" max="5" width="54" hidden="0" customWidth="1"/>
    <x:col min="6" max="6" width="52" hidden="0" customWidth="1"/>
    <x:col min="7" max="7" width="48" hidden="0" customWidth="1"/>
  </x:cols>
  <x:sheetData>
    <x:row r="1" ht="30" customHeight="1">
      <x:c r="A1" s="5" t="str">
        <x:v>WATCHLIST — alternativas para próximas iterações</x:v>
      </x:c>
      <x:c r="B1" s="5"/>
      <x:c r="C1" s="5"/>
      <x:c r="D1" s="5"/>
      <x:c r="E1" s="5"/>
      <x:c r="F1" s="5"/>
      <x:c r="G1" s="5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Não incorporadas na V3. Usar para ajuste de meta; não assumir aquisição nem inclusão.</x:v>
      </x:c>
      <x:c r="B2" s="13"/>
      <x:c r="C2" s="13"/>
      <x:c r="D2" s="13"/>
      <x:c r="E2" s="13"/>
      <x:c r="F2" s="13"/>
      <x:c r="G2" s="13"/>
    </x:row>
    <x:row r="4" ht="30" customHeight="1">
      <x:c r="A4" s="22" t="str">
        <x:v>Carta</x:v>
      </x:c>
      <x:c r="B4" s="22" t="str">
        <x:v>Função</x:v>
      </x:c>
      <x:c r="C4" s="22" t="str">
        <x:v>Prioridade potencial</x:v>
      </x:c>
      <x:c r="D4" s="22" t="str">
        <x:v>Pode ser buscada por Zur?</x:v>
      </x:c>
      <x:c r="E4" s="22" t="str">
        <x:v>Por que investigar</x:v>
      </x:c>
      <x:c r="F4" s="22" t="str">
        <x:v>Principal custo/risco</x:v>
      </x:c>
      <x:c r="G4" s="22" t="str">
        <x:v>Fonte</x:v>
      </x:c>
    </x:row>
    <x:row r="5">
      <x:c r="A5" s="28" t="str">
        <x:v>Aura of Silence</x:v>
      </x:c>
      <x:c r="B5" s="28" t="str">
        <x:v>Interação + tax</x:v>
      </x:c>
      <x:c r="C5" s="28" t="str">
        <x:v>Alta / meta-dependente</x:v>
      </x:c>
      <x:c r="D5" s="28" t="str">
        <x:v>Sim — MV3</x:v>
      </x:c>
      <x:c r="E5" s="28" t="str">
        <x:v>Resposta a artefatos/encantamentos e tax passivo; dupla função.</x:v>
      </x:c>
      <x:c r="F5" s="28" t="str">
        <x:v>Sobreposição com Act of Authority, Fracture e Grasp of Fate; pode aumentar sal.</x:v>
      </x:c>
      <x:c r="G5" s="28" t="str">
        <x:v>https://scryfall.com/search?q=%21%22Aura+of+Silence%22</x:v>
      </x:c>
    </x:row>
    <x:row r="6">
      <x:c r="A6" s="28" t="str">
        <x:v>Smothering Tithe</x:v>
      </x:c>
      <x:c r="B6" s="28" t="str">
        <x:v>Ramp + tax</x:v>
      </x:c>
      <x:c r="C6" s="28" t="str">
        <x:v>Alta potência, maior ameaça</x:v>
      </x:c>
      <x:c r="D6" s="28" t="str">
        <x:v>Não — MV4</x:v>
      </x:c>
      <x:c r="E6" s="28" t="str">
        <x:v>Gera tesouros a partir das compras oponentes e ajuda a manter interação aberta.</x:v>
      </x:c>
      <x:c r="F6" s="28" t="str">
        <x:v>É chamativa, custa 4 e pode converter o deck no alvo comum da mesa.</x:v>
      </x:c>
      <x:c r="G6" s="28" t="str">
        <x:v>https://scryfall.com/search?q=%21%22Smothering+Tithe%22</x:v>
      </x:c>
    </x:row>
    <x:row r="7">
      <x:c r="A7" s="28" t="str">
        <x:v>Mirrormade</x:v>
      </x:c>
      <x:c r="B7" s="28" t="str">
        <x:v>Toolbox/cópia</x:v>
      </x:c>
      <x:c r="C7" s="28" t="str">
        <x:v>Alta se precisar redundância</x:v>
      </x:c>
      <x:c r="D7" s="28" t="str">
        <x:v>Sim — MV3</x:v>
      </x:c>
      <x:c r="E7" s="28" t="str">
        <x:v>Copia artefato/encantamento, podendo duplicar engine, pillowfort ou resposta.</x:v>
      </x:c>
      <x:c r="F7" s="28" t="str">
        <x:v>Sobrepõe Copy Enchantment e Estrid's Invocation; comparar targets disponíveis.</x:v>
      </x:c>
      <x:c r="G7" s="28" t="str">
        <x:v>https://scryfall.com/search?q=%21%22Mirrormade%22</x:v>
      </x:c>
    </x:row>
    <x:row r="8">
      <x:c r="A8" s="28" t="str">
        <x:v>Diplomatic Immunity</x:v>
      </x:c>
      <x:c r="B8" s="28" t="str">
        <x:v>Proteção de Zur</x:v>
      </x:c>
      <x:c r="C8" s="28" t="str">
        <x:v>Alta / alternativa a Vanishing</x:v>
      </x:c>
      <x:c r="D8" s="28" t="str">
        <x:v>Sim — MV2</x:v>
      </x:c>
      <x:c r="E8" s="28" t="str">
        <x:v>Dá shroud à criatura encantada; Zur anexa a Aura sem fazer alvo.</x:v>
      </x:c>
      <x:c r="F8" s="28" t="str">
        <x:v>Você também não pode mirar Zur enquanto estiver protegida; conflito com Combat Research/All That Glitters.</x:v>
      </x:c>
      <x:c r="G8" s="28" t="str">
        <x:v>https://scryfall.com/search?q=%21%22Diplomatic+Immunity%22</x:v>
      </x:c>
    </x:row>
    <x:row r="9">
      <x:c r="A9" s="28" t="str">
        <x:v>Curator's Ward</x:v>
      </x:c>
      <x:c r="B9" s="28" t="str">
        <x:v>Proteção + compra</x:v>
      </x:c>
      <x:c r="C9" s="28" t="str">
        <x:v>Média-alta</x:v>
      </x:c>
      <x:c r="D9" s="28" t="str">
        <x:v>Sim — MV3</x:v>
      </x:c>
      <x:c r="E9" s="28" t="str">
        <x:v>Aura que protege permanente histórica e pode gerar cartas quando sair.</x:v>
      </x:c>
      <x:c r="F9" s="28" t="str">
        <x:v>Mais lenta; comparar com Vanishing/Greater Auramancy.</x:v>
      </x:c>
      <x:c r="G9" s="28" t="str">
        <x:v>https://scryfall.com/search?q=%21%22Curator%27s+Ward%22</x:v>
      </x:c>
    </x:row>
    <x:row r="10">
      <x:c r="A10" s="28" t="str">
        <x:v>Vow of Duty / Vow of Flight</x:v>
      </x:c>
      <x:c r="B10" s="28" t="str">
        <x:v>Política + proteger-se de ataques</x:v>
      </x:c>
      <x:c r="C10" s="28" t="str">
        <x:v>Média-alta</x:v>
      </x:c>
      <x:c r="D10" s="28" t="str">
        <x:v>Sim — ambos MV≤3</x:v>
      </x:c>
      <x:c r="E10" s="28" t="str">
        <x:v>Transforma ameaça oponente em ameaça de terceiro e impede que ataque você.</x:v>
      </x:c>
      <x:c r="F10" s="28" t="str">
        <x:v>Buff permanente pode fortalecer demais uma criatura se o jogo mudar.</x:v>
      </x:c>
      <x:c r="G10" s="28" t="str">
        <x:v>https://scryfall.com/search?q=%21%22Vow+of+Duty%22</x:v>
      </x:c>
    </x:row>
    <x:row r="11">
      <x:c r="A11" s="28" t="str">
        <x:v>Court of Grace</x:v>
      </x:c>
      <x:c r="B11" s="28" t="str">
        <x:v>Fechamento + Monarquia</x:v>
      </x:c>
      <x:c r="C11" s="28" t="str">
        <x:v>Média-alta se faltar wincon</x:v>
      </x:c>
      <x:c r="D11" s="28" t="str">
        <x:v>Não — MV4</x:v>
      </x:c>
      <x:c r="E11" s="28" t="str">
        <x:v>Gera presença recorrente e cria disputa pela Monarquia, coerente com política.</x:v>
      </x:c>
      <x:c r="F11" s="28" t="str">
        <x:v>Não é tutorável por Zur e compete por slot de fechamento.</x:v>
      </x:c>
      <x:c r="G11" s="28" t="str">
        <x:v>https://scryfall.com/search?q=%21%22Court+of+Grace%22</x:v>
      </x:c>
    </x:row>
    <x:row r="12">
      <x:c r="A12" s="28" t="str">
        <x:v>Sphere of Safety</x:v>
      </x:c>
      <x:c r="B12" s="28" t="str">
        <x:v>Pillowfort escalável</x:v>
      </x:c>
      <x:c r="C12" s="28" t="str">
        <x:v>Meta-dependente</x:v>
      </x:c>
      <x:c r="D12" s="28" t="str">
        <x:v>Não — MV5</x:v>
      </x:c>
      <x:c r="E12" s="28" t="str">
        <x:v>Taxa ataques conforme número de encantamentos; cresce com o toolbox.</x:v>
      </x:c>
      <x:c r="F12" s="28" t="str">
        <x:v>Custo 5, não tutorável e pode congelar a mesa em conjunto com Prison/Propaganda.</x:v>
      </x:c>
      <x:c r="G12" s="28" t="str">
        <x:v>https://scryfall.com/search?q=%21%22Sphere+of+Safety%22</x:v>
      </x:c>
    </x:row>
    <x:row r="13">
      <x:c r="A13" s="28" t="str">
        <x:v>Counterspell</x:v>
      </x:c>
      <x:c r="B13" s="28" t="str">
        <x:v>Interação de pilha</x:v>
      </x:c>
      <x:c r="C13" s="28" t="str">
        <x:v>Média-alta</x:v>
      </x:c>
      <x:c r="D13" s="28" t="str">
        <x:v>Não — instantânea</x:v>
      </x:c>
      <x:c r="E13" s="28" t="str">
        <x:v>Counter sem compensar cartas ao oponente, se Arcane Denial der recursos demais.</x:v>
      </x:c>
      <x:c r="F13" s="28" t="str">
        <x:v>{U}{U} e menor benefício político; comparar com Negate/Dovin's Veto/Swan Song.</x:v>
      </x:c>
      <x:c r="G13" s="28" t="str">
        <x:v>https://scryfall.com/search?q=%21%22Counterspell%22</x:v>
      </x:c>
    </x:row>
    <x:row r="14">
      <x:c r="A14" s="28" t="str">
        <x:v>Steel of the Godhead / Ethereal Armor</x:v>
      </x:c>
      <x:c r="B14" s="28" t="str">
        <x:v>Voltron/fechamento</x:v>
      </x:c>
      <x:c r="C14" s="28" t="str">
        <x:v>Condicional</x:v>
      </x:c>
      <x:c r="D14" s="28" t="str">
        <x:v>Sim — ambos encantamentos MV≤3</x:v>
      </x:c>
      <x:c r="E14" s="28" t="str">
        <x:v>Aumentam pressão de dano do comandante e permitem clock real.</x:v>
      </x:c>
      <x:c r="F14" s="28" t="str">
        <x:v>Deslocam plano para Voltron; All That Glitters já cobre parte do papel.</x:v>
      </x:c>
      <x:c r="G14" s="28" t="str">
        <x:v>https://scryfall.com/search?q=%21%22Ethereal+Armor%22</x:v>
      </x:c>
    </x:row>
    <x:row r="15">
      <x:c r="A15" s="28" t="str">
        <x:v>Demonic Tutor / Vampiric Tutor</x:v>
      </x:c>
      <x:c r="B15" s="28" t="str">
        <x:v>Consistência universal</x:v>
      </x:c>
      <x:c r="C15" s="28" t="str">
        <x:v>Muito alta, mais competitiva</x:v>
      </x:c>
      <x:c r="D15" s="28" t="str">
        <x:v>Não — feitiços/instantânea, não encantamento</x:v>
      </x:c>
      <x:c r="E15" s="28" t="str">
        <x:v>Permitem encontrar qualquer peça, melhorando resposta e fechamento.</x:v>
      </x:c>
      <x:c r="F15" s="28" t="str">
        <x:v>Elevam potência percebida e podem puxar o deck para jogo mais competitivo/tutorizado.</x:v>
      </x:c>
      <x:c r="G15" s="28" t="str">
        <x:v>https://scryfall.com/search?q=%21%22Demonic+Tutor%22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b50f9b791ae409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66" hidden="0" customWidth="1"/>
    <x:col min="3" max="3" width="30" hidden="0" customWidth="1"/>
    <x:col min="4" max="4" width="80" hidden="0" customWidth="1"/>
  </x:cols>
  <x:sheetData>
    <x:row r="1" ht="30" customHeight="1">
      <x:c r="A1" s="5" t="str">
        <x:v>SOURCES &amp; RULES — research trail</x:v>
      </x:c>
      <x:c r="B1" s="5"/>
      <x:c r="C1" s="5"/>
      <x:c r="D1" s="5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Links support claims identified in each row. Popularity/benchmarks are evidence of use, not proof of optimality for this deck.</x:v>
      </x:c>
      <x:c r="B2" s="13"/>
      <x:c r="C2" s="13"/>
      <x:c r="D2" s="13"/>
    </x:row>
    <x:row r="4" ht="30" customHeight="1">
      <x:c r="A4" s="22" t="str">
        <x:v>Fonte</x:v>
      </x:c>
      <x:c r="B4" s="22" t="str">
        <x:v>URL</x:v>
      </x:c>
      <x:c r="C4" s="22" t="str">
        <x:v>Uso nesta revisão</x:v>
      </x:c>
      <x:c r="D4" s="22" t="str">
        <x:v>Limitação / interpretação</x:v>
      </x:c>
    </x:row>
    <x:row r="5">
      <x:c r="A5" s="28" t="str">
        <x:v>Zur EDH.Wiki — Enchantress/toolbox</x:v>
      </x:c>
      <x:c r="B5" s="28" t="str">
        <x:v>https://edh.wiki/commanders/zur-the-enchanter/enchantress/</x:v>
      </x:c>
      <x:c r="C5" s="28" t="str">
        <x:v>Benchmark e explicação estratégica</x:v>
      </x:c>
      <x:c r="D5" s="28" t="str">
        <x:v>A página descreve Zur como toolbox de encantamentos baratos e lista alvos centrais. Benchmark de estratégia; regras finais precisam de texto Oracle.</x:v>
      </x:c>
    </x:row>
    <x:row r="6">
      <x:c r="A6" s="28" t="str">
        <x:v>Scryfall — Zur the Enchanter</x:v>
      </x:c>
      <x:c r="B6" s="28" t="str">
        <x:v>https://scryfall.com/card/dmr/206/zur-the-enchanter</x:v>
      </x:c>
      <x:c r="C6" s="28" t="str">
        <x:v>Oracle e identidade</x:v>
      </x:c>
      <x:c r="D6" s="28" t="str">
        <x:v>A habilidade dispara quando Zur ataca um oponente e busca encantamento de valor de mana 3 ou menos.</x:v>
      </x:c>
    </x:row>
    <x:row r="7">
      <x:c r="A7" s="28" t="str">
        <x:v>Moxfield — Zur, Infinite Oracle [cEDH]</x:v>
      </x:c>
      <x:c r="B7" s="28" t="str">
        <x:v>https://moxfield.com/decks/4GtLMsg7y0eCg6VCI2uHHA</x:v>
      </x:c>
      <x:c r="C7" s="28" t="str">
        <x:v>Benchmark de potência/consistência</x:v>
      </x:c>
      <x:c r="D7" s="28" t="str">
        <x:v>A página depende de renderização JS e a lista completa não foi extraída de forma confiável nesta revisão; usar como contexto, não como base para dados carta a carta.</x:v>
      </x:c>
    </x:row>
    <x:row r="8">
      <x:c r="A8" s="28" t="str">
        <x:v>Archidekt — Zur the Enchanter</x:v>
      </x:c>
      <x:c r="B8" s="28" t="str">
        <x:v>https://archidekt.com/decks/2743173/zur_the_enchanter</x:v>
      </x:c>
      <x:c r="C8" s="28" t="str">
        <x:v>Contraste de stax/control</x:v>
      </x:c>
      <x:c r="D8" s="28" t="str">
        <x:v>Lista pública antiga, de cerca de 4 anos na leitura; tem peças de lock/tax, útil como exemplo de caminho mais opressivo, não como modelo direto.</x:v>
      </x:c>
    </x:row>
    <x:row r="9">
      <x:c r="A9" s="28" t="str">
        <x:v>EDH-Combos — Zur the Enchanter</x:v>
      </x:c>
      <x:c r="B9" s="28" t="str">
        <x:v>https://edh-combos.com/commander/zur-the-enchanter/</x:v>
      </x:c>
      <x:c r="C9" s="28" t="str">
        <x:v>Auditoria adversarial de combos</x:v>
      </x:c>
      <x:c r="D9" s="28" t="str">
        <x:v>Lista combos de lock/turnos extra com Stasis/Second Chance e peças de retorno de artefato; excluídos intencionalmente por conflito com experiência dinâmica.</x:v>
      </x:c>
    </x:row>
    <x:row r="10">
      <x:c r="A10" s="28" t="str">
        <x:v>EDHREC — Zur the Enchanter</x:v>
      </x:c>
      <x:c r="B10" s="28" t="str">
        <x:v>https://edhrec.com/commanders/zur-the-enchanter</x:v>
      </x:c>
      <x:c r="C10" s="28" t="str">
        <x:v>Benchmark agregado</x:v>
      </x:c>
      <x:c r="D10" s="28" t="str">
        <x:v>Uso de cartas e pacotes frequentes como propaganda, ghostly prison, engines de compra e interação. Popularidade não prova inclusão ótima.</x:v>
      </x:c>
    </x:row>
    <x:row r="11">
      <x:c r="A11" s="28" t="str">
        <x:v>Scryfall — Duelist's Heritage</x:v>
      </x:c>
      <x:c r="B11" s="28" t="str">
        <x:v>https://scryfall.com/search?q=%21%22Duelist%27s+Heritage%22</x:v>
      </x:c>
      <x:c r="C11" s="28" t="str">
        <x:v>Regra/interação</x:v>
      </x:c>
      <x:c r="D11" s="28" t="str">
        <x:v>A habilidade pode dar double strike a qualquer criatura atacante, não apenas sua; excelente vetor de política.</x:v>
      </x:c>
    </x:row>
    <x:row r="12">
      <x:c r="A12" s="28" t="str">
        <x:v>Scryfall — Curse of Disturbance</x:v>
      </x:c>
      <x:c r="B12" s="28" t="str">
        <x:v>https://scryfall.com/search?q=%21%22Curse+of+Disturbance%22</x:v>
      </x:c>
      <x:c r="C12" s="28" t="str">
        <x:v>Regra/interação</x:v>
      </x:c>
      <x:c r="D12" s="28" t="str">
        <x:v>Gera Zombie quando o jogador encantado é atacado; cada oponente que o ataca também ganha o incentivo da habilidade.</x:v>
      </x:c>
    </x:row>
    <x:row r="13">
      <x:c r="A13" s="28" t="str">
        <x:v>Scryfall — Curse of Verbosity</x:v>
      </x:c>
      <x:c r="B13" s="28" t="str">
        <x:v>https://scryfall.com/search?q=%21%22Curse+of+Verbosity%22</x:v>
      </x:c>
      <x:c r="C13" s="28" t="str">
        <x:v>Regra/interação</x:v>
      </x:c>
      <x:c r="D13" s="28" t="str">
        <x:v>Compra para você e para atacante(s) ao atacar o jogador encantado; incentivo político com trade-off de dar cartas.</x:v>
      </x:c>
    </x:row>
    <x:row r="14">
      <x:c r="A14" s="28" t="str">
        <x:v>Scryfall — Necropotence</x:v>
      </x:c>
      <x:c r="B14" s="28" t="str">
        <x:v>https://scryfall.com/search?q=%21%22Necropotence%22</x:v>
      </x:c>
      <x:c r="C14" s="28" t="str">
        <x:v>Regra/interação</x:v>
      </x:c>
      <x:c r="D14" s="28" t="str">
        <x:v>Motor poderoso de seleção/volume, mas exila cartas descartadas e faz pular a etapa de compra do controlador.</x:v>
      </x:c>
    </x:row>
    <x:row r="15">
      <x:c r="A15" s="28" t="str">
        <x:v>Scryfall — Estrid's Invocation</x:v>
      </x:c>
      <x:c r="B15" s="28" t="str">
        <x:v>https://scryfall.com/search?q=%21%22Estrid%27s+Invocation%22</x:v>
      </x:c>
      <x:c r="C15" s="28" t="str">
        <x:v>Regra/interação</x:v>
      </x:c>
      <x:c r="D15" s="28" t="str">
        <x:v>Cópia flexível de encantamento, pode reconfigurar a cópia no upkeep.</x:v>
      </x:c>
    </x:row>
    <x:row r="16">
      <x:c r="A16" s="28" t="str">
        <x:v>Scryfall — Vanishing</x:v>
      </x:c>
      <x:c r="B16" s="28" t="str">
        <x:v>https://scryfall.com/search?q=%21%22Vanishing%22</x:v>
      </x:c>
      <x:c r="C16" s="28" t="str">
        <x:v>Regra/interação</x:v>
      </x:c>
      <x:c r="D16" s="28" t="str">
        <x:v>Aura de MV1 que permite fasear a criatura encantada; buscável por Zur.</x:v>
      </x:c>
    </x:row>
    <x:row r="17">
      <x:c r="A17" s="28" t="str">
        <x:v>Scryfall — Counterspell benchmark</x:v>
      </x:c>
      <x:c r="B17" s="28" t="str">
        <x:v>https://scryfall.com/search?q=type%3Ainstant+id%3Aesper+o%3A%22counter+target+spell%22</x:v>
      </x:c>
      <x:c r="C17" s="28" t="str">
        <x:v>Alternativas</x:v>
      </x:c>
      <x:c r="D17" s="28" t="str">
        <x:v>Pesquisa de counters na identidade Esper; V3 seleciona três respostas com funções distintas.</x:v>
      </x:c>
    </x:row>
    <x:row r="18" ht="30" customHeight="1">
      <x:c r="A18" s="22" t="str">
        <x:v>Fonte</x:v>
      </x:c>
      <x:c r="B18" s="22" t="str">
        <x:v>URL</x:v>
      </x:c>
      <x:c r="C18" s="22" t="str">
        <x:v>Uso nesta revisão</x:v>
      </x:c>
      <x:c r="D18" s="22" t="str">
        <x:v>Limitação / interpretação</x:v>
      </x:c>
    </x:row>
    <x:row r="19">
      <x:c r="A19" s="28" t="str">
        <x:v>EDHREC — Zur Control</x:v>
      </x:c>
      <x:c r="B19" s="28" t="str">
        <x:v>https://edhrec.com/commanders/zur-the-enchanter/control</x:v>
      </x:c>
      <x:c r="C19" s="28" t="str">
        <x:v>Benchmark de controle</x:v>
      </x:c>
      <x:c r="D19" s="28" t="str">
        <x:v>Snapshot consultado em outubro de 2026; uso agregado em listas categorizadas como Control, não prescrição individual.</x:v>
      </x:c>
    </x:row>
    <x:row r="20" ht="23" customHeight="1">
      <x:c r="A20" s="114" t="str">
        <x:v>EDHREC — Zur Optimized Control</x:v>
      </x:c>
      <x:c r="B20" s="114" t="str">
        <x:v>https://edhrec.com/commanders/zur-the-enchanter/optimized/control</x:v>
      </x:c>
      <x:c r="C20" s="114" t="str">
        <x:v>Benchmark de teto de potência</x:v>
      </x:c>
      <x:c r="D20" s="114" t="str">
        <x:v>Mistura controle com combos/stax e não coincide integralmente com o objetivo político sem combo obrigatório.</x:v>
      </x:c>
    </x:row>
    <x:row r="21" ht="30" customHeight="1">
      <x:c r="A21" s="22" t="str">
        <x:v>EDHREC — Zur cEDH Control</x:v>
      </x:c>
      <x:c r="B21" s="22" t="str">
        <x:v>https://edhrec.com/commanders/zur-the-enchanter/cedh/control</x:v>
      </x:c>
      <x:c r="C21" s="22" t="str">
        <x:v>Limite superior / contraste</x:v>
      </x:c>
      <x:c r="D21" s="22" t="str">
        <x:v>Ajuda a identificar engines e eficiência competitiva; não é a meta de construção deste deck.</x:v>
      </x:c>
    </x:row>
    <x:row r="22" ht="23" customHeight="1">
      <x:c r="A22" s="114" t="str">
        <x:v>REGRAS / NOTAS CRÍTICAS</x:v>
      </x:c>
      <x:c r="B22" s="114"/>
      <x:c r="C22" s="114"/>
      <x:c r="D22" s="114"/>
    </x:row>
    <x:row r="23" ht="30" customHeight="1">
      <x:c r="A23" s="22" t="str">
        <x:v>Interação</x:v>
      </x:c>
      <x:c r="B23" s="22" t="str">
        <x:v>Texto Oracle de Zur</x:v>
      </x:c>
      <x:c r="C23" s="22" t="str">
        <x:v>Zur ataca um oponente → habilidade desencadeada busca encantamento com valor de mana até 3 e coloca no campo. Não é qualquer permanente; não é tutor na conjuração de Zur.</x:v>
      </x:c>
      <x:c r="D23" s="22" t="str">
        <x:v>Scryfall URL above</x:v>
      </x:c>
    </x:row>
    <x:row r="24">
      <x:c r="A24" s="28" t="str">
        <x:v>Aura</x:v>
      </x:c>
      <x:c r="B24" s="28" t="str">
        <x:v>Aura colocada por Zur</x:v>
      </x:c>
      <x:c r="C24" s="28" t="str">
        <x:v>A habilidade não faz alvo. A Aura entra anexada a uma permanente legal; isso pode contornar hexproof/shroud como restrição de alvo, mas não contorna restrições do tipo 'enchant creature you control' quando o objeto não é elegível.</x:v>
      </x:c>
      <x:c r="D24" s="28" t="str">
        <x:v>Scryfall / Comprehensive Rules</x:v>
      </x:c>
    </x:row>
    <x:row r="25">
      <x:c r="A25" s="28" t="str">
        <x:v>Política vs goad</x:v>
      </x:c>
      <x:c r="B25" s="28" t="str">
        <x:v>Impetus não é goad</x:v>
      </x:c>
      <x:c r="C25" s="28" t="str">
        <x:v>Parasitic Impetus e Psychic Impetus recompensam/drenam/compram quando a criatura encantada ataca; não impõem a obrigação formal de atacar como Bloodthirsty Blade.</x:v>
      </x:c>
      <x:c r="D25" s="28" t="str">
        <x:v>Oracle text / Scryfall</x:v>
      </x:c>
    </x:row>
    <x:row r="26">
      <x:c r="A26" s="28" t="str">
        <x:v>Duelist's Heritage</x:v>
      </x:c>
      <x:c r="B26" s="28" t="str">
        <x:v>Ataque de qualquer jogador</x:v>
      </x:c>
      <x:c r="C26" s="28" t="str">
        <x:v>O gatilho permite escolher uma criatura atacante e dar double strike; pode beneficiar combatentes de oponentes e apoiar acordo político.</x:v>
      </x:c>
      <x:c r="D26" s="28" t="str">
        <x:v>Scryfall</x:v>
      </x:c>
    </x:row>
    <x:row r="27">
      <x:c r="A27" s="28" t="str">
        <x:v>Necropotence</x:v>
      </x:c>
      <x:c r="B27" s="28" t="str">
        <x:v>Draw step</x:v>
      </x:c>
      <x:c r="C27" s="28" t="str">
        <x:v>Necropotence faz pular sua etapa de compra e exila cartas descartadas; isso afeta interações com Dictate of Kruphix e custos em vida. Não é 'compra grátis'.</x:v>
      </x:c>
      <x:c r="D27" s="28" t="str">
        <x:v>Scryfall</x:v>
      </x:c>
    </x:row>
    <x:row r="28">
      <x:c r="A28" s="28" t="str">
        <x:v>Grasp of Fate</x:v>
      </x:c>
      <x:c r="B28" s="28" t="str">
        <x:v>Remoção temporária</x:v>
      </x:c>
      <x:c r="C28" s="28" t="str">
        <x:v>Exila uma permanente não-terreno por oponente; quando Grasp sai do campo, as cartas voltam. Isso é importante se oponente destruir o encantamento.</x:v>
      </x:c>
      <x:c r="D28" s="28" t="str">
        <x:v>Scryfall</x:v>
      </x:c>
    </x:row>
    <x:row r="29">
      <x:c r="A29" s="28" t="str">
        <x:v>Wipes</x:v>
      </x:c>
      <x:c r="B29" s="28" t="str">
        <x:v>Current e V3</x:v>
      </x:c>
      <x:c r="C29" s="28" t="str">
        <x:v>CURRENT foi contada com 7 resets/locks temporários de criaturas (By Invitation Only, Cleansing Nova, Doomskar, Extinction Event, Out of Time, Sculpted Sunburst, Supreme Verdict). V3 mantém By Invitation Only, Sculpted Sunburst e Supreme Verdict.</x:v>
      </x:c>
      <x:c r="D29" s="28" t="str">
        <x:v>Contagem da lista</x:v>
      </x:c>
    </x:row>
    <x:row r="30">
      <x:c r="A30" s="28" t="str">
        <x:v>V3 status</x:v>
      </x:c>
      <x:c r="B30" s="28" t="str">
        <x:v>Não testada</x:v>
      </x:c>
      <x:c r="C30" s="28" t="str">
        <x:v>Nenhuma troca está confirmada como adquirida/incluída/testada. Nota projetada não é taxa de vitória; requer registro de partidas.</x:v>
      </x:c>
      <x:c r="D30" s="28" t="str">
        <x:v>Protocolo do projeto</x:v>
      </x:c>
    </x:row>
  </x:sheetData>
  <x:mergeCells>
    <x:mergeCell ref="A1:D1"/>
    <x:mergeCell ref="A2:D2"/>
    <x:mergeCell ref="A22:D22"/>
  </x:mergeCells>
  <x:pageMargins left="0.7" right="0.7" top="0.75" bottom="0.75" header="0.3" footer="0.3"/>
  <x:tableParts count="2">
    <x:tablePart xmlns:r="http://schemas.openxmlformats.org/officeDocument/2006/relationships" r:id="Rdafea4d9dd4745e8"/>
    <x:tablePart xmlns:r="http://schemas.openxmlformats.org/officeDocument/2006/relationships" r:id="Rc0a962c13ba74d0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6" hidden="0" customWidth="1"/>
    <x:col min="8" max="8" width="17" hidden="0" customWidth="1"/>
    <x:col min="9" max="9" width="26" hidden="0" customWidth="1"/>
    <x:col min="10" max="10" width="26" hidden="0" customWidth="1"/>
    <x:col min="11" max="11" width="26" hidden="0" customWidth="1"/>
    <x:col min="12" max="12" width="20" hidden="0" customWidth="1"/>
    <x:col min="13" max="13" width="45" hidden="0" customWidth="1"/>
  </x:cols>
  <x:sheetData>
    <x:row r="1" ht="30" customHeight="1">
      <x:c r="A1" s="5" t="str">
        <x:v>PLAYTEST LOG — transformar hipótese em evidência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112"/>
    </x:row>
    <x:row r="2" ht="30" customHeight="1">
      <x:c r="A2" s="13" t="str">
        <x:v>Registre resultados por versão. Não concluir que uma carta é melhor com base em uma única partida.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22" t="str">
        <x:v>Data</x:v>
      </x:c>
      <x:c r="B4" s="22" t="str">
        <x:v>Versão</x:v>
      </x:c>
      <x:c r="C4" s="22" t="str">
        <x:v>Jogadores</x:v>
      </x:c>
      <x:c r="D4" s="22" t="str">
        <x:v>Posição</x:v>
      </x:c>
      <x:c r="E4" s="22" t="str">
        <x:v>Resultado</x:v>
      </x:c>
      <x:c r="F4" s="22" t="str">
        <x:v>Duração (min)</x:v>
      </x:c>
      <x:c r="G4" s="22" t="str">
        <x:v>Mão inicial</x:v>
      </x:c>
      <x:c r="H4" s="22" t="str">
        <x:v>Turno do plano</x:v>
      </x:c>
      <x:c r="I4" s="22" t="str">
        <x:v>Cartas-chave</x:v>
      </x:c>
      <x:c r="J4" s="22" t="str">
        <x:v>Cartas mortas</x:v>
      </x:c>
      <x:c r="K4" s="22" t="str">
        <x:v>Interação faltante</x:v>
      </x:c>
      <x:c r="L4" s="22" t="str">
        <x:v>Recuperou após wipe?</x:v>
      </x:c>
      <x:c r="M4" s="22" t="str">
        <x:v>Notas / decisão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</x:row>
  </x:sheetData>
  <x:mergeCells>
    <x:mergeCell ref="A1:M1"/>
    <x:mergeCell ref="A2:M2"/>
  </x:mergeCells>
  <x:dataValidations count="3">
    <x:dataValidation type="list" sqref="B5:B24">
      <x:formula1>"CURRENT,PROPOSED V3,Other"</x:formula1>
    </x:dataValidation>
    <x:dataValidation type="list" sqref="E5:E24">
      <x:formula1>"Vitória,Derrota,Empate,Não concluída"</x:formula1>
    </x:dataValidation>
    <x:dataValidation type="list" sqref="L5:L24">
      <x:formula1>"Sim,Parcial,Não,N/A"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f98706080d4730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58" hidden="0" customWidth="1"/>
    <x:col min="4" max="4" width="23" hidden="0" customWidth="1"/>
    <x:col min="5" max="5" width="18" hidden="0" customWidth="1"/>
    <x:col min="6" max="6" width="55" hidden="0" customWidth="1"/>
  </x:cols>
  <x:sheetData>
    <x:row r="1" ht="30" customHeight="1">
      <x:c r="A1" s="5" t="str">
        <x:v>CONTROL PANEL — decisões e status</x:v>
      </x:c>
      <x:c r="B1" s="5"/>
      <x:c r="C1" s="5"/>
      <x:c r="D1" s="5"/>
      <x:c r="E1" s="5"/>
      <x:c r="F1" s="5"/>
      <x:c r="G1" s="112"/>
      <x:c r="H1" s="112"/>
      <x:c r="I1" s="112"/>
      <x:c r="J1" s="112"/>
      <x:c r="K1" s="112"/>
      <x:c r="L1" s="112"/>
      <x:c r="M1" s="112"/>
      <x:c r="N1" s="112"/>
    </x:row>
    <x:row r="2" ht="30" customHeight="1">
      <x:c r="A2" s="13" t="str">
        <x:v>Fonte de verdade para preferências e estado das mudanças. Atualizar só por decisão explícita ou resultado de playtest.</x:v>
      </x:c>
      <x:c r="B2" s="13"/>
      <x:c r="C2" s="13"/>
      <x:c r="D2" s="13"/>
      <x:c r="E2" s="13"/>
      <x:c r="F2" s="13"/>
    </x:row>
    <x:row r="4" ht="30" customHeight="1">
      <x:c r="A4" s="22" t="str">
        <x:v>Item</x:v>
      </x:c>
      <x:c r="B4" s="22" t="str">
        <x:v>Estado atual</x:v>
      </x:c>
      <x:c r="C4" s="22" t="str">
        <x:v>Regra de continuidade</x:v>
      </x:c>
      <x:c r="D4" s="22" t="str">
        <x:v>Responsável pela próxima ação</x:v>
      </x:c>
      <x:c r="E4" s="22" t="str">
        <x:v>Status</x:v>
      </x:c>
      <x:c r="F4" s="22" t="str">
        <x:v>Nota</x:v>
      </x:c>
    </x:row>
    <x:row r="5">
      <x:c r="A5" s="28" t="str">
        <x:v>Deck</x:v>
      </x:c>
      <x:c r="B5" s="28" t="str">
        <x:v>Zur the Enchanter — Esper</x:v>
      </x:c>
      <x:c r="C5" s="28" t="str">
        <x:v>Política + tax + controle cirúrgico, sem exigir vitória e sem virar hard stax/cEDH.</x:v>
      </x:c>
      <x:c r="D5" s="28" t="str">
        <x:v>Usuário + análise</x:v>
      </x:c>
      <x:c r="E5" s="28" t="str">
        <x:v>Ativo</x:v>
      </x:c>
      <x:c r="F5" s="28" t="str">
        <x:v>O deck deve tornar a mesa mais dinâmica e divertida.</x:v>
      </x:c>
    </x:row>
    <x:row r="6">
      <x:c r="A6" s="28" t="str">
        <x:v>CURRENT</x:v>
      </x:c>
      <x:c r="B6" s="28" t="str">
        <x:v>Lista recebida nesta conversa</x:v>
      </x:c>
      <x:c r="C6" s="28" t="str">
        <x:v>Congelada; não sobrescrever.</x:v>
      </x:c>
      <x:c r="D6" s="28" t="str">
        <x:v>N/A</x:v>
      </x:c>
      <x:c r="E6" s="28" t="str">
        <x:v>Preservada</x:v>
      </x:c>
      <x:c r="F6" s="28" t="str">
        <x:v>100 cartas; 33 terrenos; 27 encantamentos buscáveis por Zur (MV≤3).</x:v>
      </x:c>
    </x:row>
    <x:row r="7">
      <x:c r="A7" s="28" t="str">
        <x:v>PROPOSED V3</x:v>
      </x:c>
      <x:c r="B7" s="28" t="str">
        <x:v>21 trocas no ledger (18 não-terrenos + 3 terrenos), mais rebalanceamento de básicos</x:v>
      </x:c>
      <x:c r="C7" s="28" t="str">
        <x:v>Proposta ainda não testada. Não marcar como comprada/incluída.</x:v>
      </x:c>
      <x:c r="D7" s="28" t="str">
        <x:v>Usuário decide / playtest</x:v>
      </x:c>
      <x:c r="E7" s="28" t="str">
        <x:v>Proposta</x:v>
      </x:c>
      <x:c r="F7" s="28" t="str">
        <x:v>V3 tem 100 cartas, 33 terrenos e 31 encantamentos buscáveis por Zur.</x:v>
      </x:c>
    </x:row>
    <x:row r="8">
      <x:c r="A8" s="28" t="str">
        <x:v>TESTED</x:v>
      </x:c>
      <x:c r="B8" s="28" t="str">
        <x:v>Sem partidas registradas</x:v>
      </x:c>
      <x:c r="C8" s="28" t="str">
        <x:v>Só passa a TESTED quando houver partidas reais e notas.</x:v>
      </x:c>
      <x:c r="D8" s="28" t="str">
        <x:v>Usuário</x:v>
      </x:c>
      <x:c r="E8" s="28" t="str">
        <x:v>Pendente</x:v>
      </x:c>
      <x:c r="F8" s="28" t="str">
        <x:v>Usar Playtest Log.</x:v>
      </x:c>
    </x:row>
    <x:row r="9">
      <x:c r="A9" s="28" t="str">
        <x:v>Pets / restrições</x:v>
      </x:c>
      <x:c r="B9" s="28" t="str">
        <x:v>Nenhuma carta PET explicitamente informada para Zur</x:v>
      </x:c>
      <x:c r="C9" s="28" t="str">
        <x:v>Não inferir pets por foil/etched/preço.</x:v>
      </x:c>
      <x:c r="D9" s="28" t="str">
        <x:v>Usuário</x:v>
      </x:c>
      <x:c r="E9" s="28" t="str">
        <x:v>Pendente</x:v>
      </x:c>
      <x:c r="F9" s="28" t="str">
        <x:v>Marcadores *F* e *E* são metadados de impressão.</x:v>
      </x:c>
    </x:row>
    <x:row r="10">
      <x:c r="A10" s="28" t="str">
        <x:v>Combos</x:v>
      </x:c>
      <x:c r="B10" s="28" t="str">
        <x:v>Não são plano principal</x:v>
      </x:c>
      <x:c r="C10" s="28" t="str">
        <x:v>Não incluir linhas de lock infinito/turnos extra sem autorização explícita.</x:v>
      </x:c>
      <x:c r="D10" s="28" t="str">
        <x:v>Análise</x:v>
      </x:c>
      <x:c r="E10" s="28" t="str">
        <x:v>Regra ativa</x:v>
      </x:c>
      <x:c r="F10" s="28" t="str">
        <x:v>EDH-Combos foi usado para mapear linhas a excluir por identidade.</x:v>
      </x:c>
    </x:row>
    <x:row r="11">
      <x:c r="A11" s="28" t="str">
        <x:v>Orçamento</x:v>
      </x:c>
      <x:c r="B11" s="28" t="str">
        <x:v>Sem limite para avaliar candidatas</x:v>
      </x:c>
      <x:c r="C11" s="28" t="str">
        <x:v>Não limitar análise por preço; usuário decide compra/troca depois.</x:v>
      </x:c>
      <x:c r="D11" s="28" t="str">
        <x:v>Análise</x:v>
      </x:c>
      <x:c r="E11" s="28" t="str">
        <x:v>Regra ativa</x:v>
      </x:c>
      <x:c r="F11" s="28" t="str"/>
    </x:row>
    <x:row r="12">
      <x:c r="A12" s="28" t="str">
        <x:v>Pontuação</x:v>
      </x:c>
      <x:c r="B12" s="28" t="str">
        <x:v>CURRENT 6,4/10; V3 8,5/10 (estimativas de construção)</x:v>
      </x:c>
      <x:c r="C12" s="28" t="str">
        <x:v>Escala comparada com Commander casual de alto poder e identidade política; não é taxa de vitória nem resultado comprovado.</x:v>
      </x:c>
      <x:c r="D12" s="28" t="str">
        <x:v>Análise</x:v>
      </x:c>
      <x:c r="E12" s="28" t="str">
        <x:v>Provisório</x:v>
      </x:c>
      <x:c r="F12" s="28" t="str">
        <x:v>V3 ainda pode não se adequar se Necropotence/engines mudarem demais a percepção de ameaça.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03b0187d7e4a61"/>
  </x:tableParts>
</x:worksheet>
</file>