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ad866b43c843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 Dashboard" sheetId="1" r:id="Rb705163bb7114257"/>
    <x:sheet xmlns:r="http://schemas.openxmlformats.org/officeDocument/2006/relationships" name="02 Executive Audit" sheetId="2" r:id="Rc3f829450bb044a2"/>
    <x:sheet xmlns:r="http://schemas.openxmlformats.org/officeDocument/2006/relationships" name="03 Current Card Audit" sheetId="3" r:id="Rfe007faf13794e87"/>
    <x:sheet xmlns:r="http://schemas.openxmlformats.org/officeDocument/2006/relationships" name="04 V2 Card Audit" sheetId="4" r:id="Raac45a237fd54eee"/>
    <x:sheet xmlns:r="http://schemas.openxmlformats.org/officeDocument/2006/relationships" name="05 Tier List" sheetId="5" r:id="Re71c062b9f454d79"/>
    <x:sheet xmlns:r="http://schemas.openxmlformats.org/officeDocument/2006/relationships" name="06 8 Groups" sheetId="6" r:id="Rf088ef46104b4257"/>
    <x:sheet xmlns:r="http://schemas.openxmlformats.org/officeDocument/2006/relationships" name="07 V2 Changes" sheetId="7" r:id="Rca9c145bccda43f0"/>
    <x:sheet xmlns:r="http://schemas.openxmlformats.org/officeDocument/2006/relationships" name="08 V2 99 List" sheetId="8" r:id="R35b33133b2224c91"/>
    <x:sheet xmlns:r="http://schemas.openxmlformats.org/officeDocument/2006/relationships" name="09 10-10 Roadmap" sheetId="9" r:id="R4c69fa160bed4ad5"/>
    <x:sheet xmlns:r="http://schemas.openxmlformats.org/officeDocument/2006/relationships" name="10 Human Bench" sheetId="10" r:id="Rb122fe2d27a9413a"/>
    <x:sheet xmlns:r="http://schemas.openxmlformats.org/officeDocument/2006/relationships" name="11 Sources" sheetId="11" r:id="Ra2c03bd6c1514df4"/>
    <x:sheet xmlns:r="http://schemas.openxmlformats.org/officeDocument/2006/relationships" name="12 Rules &amp; Synergies" sheetId="12" r:id="R6244f2337d054ad9"/>
    <x:sheet xmlns:r="http://schemas.openxmlformats.org/officeDocument/2006/relationships" name="13 Handover" sheetId="13" r:id="R27f5f7a9172143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0.0%"/>
    <x:numFmt numFmtId="202" formatCode="0%"/>
    <x:numFmt numFmtId="203" formatCode="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22222"/>
      </x:patternFill>
    </x:fill>
    <x:fill>
      <x:patternFill patternType="solid">
        <x:fgColor rgb="FFB59A5A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0" fontId="3" fillId="4" borderId="0" xfId="0" applyNumberFormat="1" applyFont="1" applyFill="1" applyBorder="1"/>
    <x:xf numFmtId="200" fontId="3" fillId="4" borderId="1" xfId="0" applyNumberFormat="1" applyFont="1" applyFill="1" applyBorder="1"/>
  </x:cellXfs>
  <x:cellStyles count="1">
    <x:cellStyle name="Normal" xfId="0"/>
  </x:cellStyles>
  <x:dxfs count="5">
    <x:dxf>
      <x:font>
        <x:b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D9EAD3"/>
        </x:patternFill>
      </x:fill>
    </x:dxf>
    <x:dxf>
      <x:fill>
        <x:patternFill patternType="solid">
          <x:bgColor rgb="FFFAF8F2"/>
        </x:patternFill>
      </x:fill>
    </x:dxf>
    <x:dxf>
      <x:fill>
        <x:patternFill patternType="solid">
          <x:bgColor rgb="FFFAF8F2"/>
        </x:patternFill>
      </x:fill>
    </x:dxf>
    <x:dxf>
      <x:fill>
        <x:patternFill patternType="solid">
          <x:bgColor rgb="FFFAF8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87d46552cb4151" /><Relationship Type="http://schemas.openxmlformats.org/officeDocument/2006/relationships/theme" Target="/xl/theme/theme1.xml" Id="R4d41875352bb46f0" /><Relationship Type="http://schemas.openxmlformats.org/officeDocument/2006/relationships/sharedStrings" Target="/xl/sharedStrings.xml" Id="R4ebf806be778426e" /><Relationship Type="http://schemas.openxmlformats.org/officeDocument/2006/relationships/worksheet" Target="/xl/worksheets/sheet1.xml" Id="Rb705163bb7114257" /><Relationship Type="http://schemas.openxmlformats.org/officeDocument/2006/relationships/worksheet" Target="/xl/worksheets/sheet2.xml" Id="Rc3f829450bb044a2" /><Relationship Type="http://schemas.openxmlformats.org/officeDocument/2006/relationships/worksheet" Target="/xl/worksheets/sheet3.xml" Id="Rfe007faf13794e87" /><Relationship Type="http://schemas.openxmlformats.org/officeDocument/2006/relationships/worksheet" Target="/xl/worksheets/sheet4.xml" Id="Raac45a237fd54eee" /><Relationship Type="http://schemas.openxmlformats.org/officeDocument/2006/relationships/worksheet" Target="/xl/worksheets/sheet5.xml" Id="Re71c062b9f454d79" /><Relationship Type="http://schemas.openxmlformats.org/officeDocument/2006/relationships/worksheet" Target="/xl/worksheets/sheet6.xml" Id="Rf088ef46104b4257" /><Relationship Type="http://schemas.openxmlformats.org/officeDocument/2006/relationships/worksheet" Target="/xl/worksheets/sheet7.xml" Id="Rca9c145bccda43f0" /><Relationship Type="http://schemas.openxmlformats.org/officeDocument/2006/relationships/worksheet" Target="/xl/worksheets/sheet8.xml" Id="R35b33133b2224c91" /><Relationship Type="http://schemas.openxmlformats.org/officeDocument/2006/relationships/worksheet" Target="/xl/worksheets/sheet9.xml" Id="R4c69fa160bed4ad5" /><Relationship Type="http://schemas.openxmlformats.org/officeDocument/2006/relationships/worksheet" Target="/xl/worksheets/sheet10.xml" Id="Rb122fe2d27a9413a" /><Relationship Type="http://schemas.openxmlformats.org/officeDocument/2006/relationships/worksheet" Target="/xl/worksheets/sheet11.xml" Id="Ra2c03bd6c1514df4" /><Relationship Type="http://schemas.openxmlformats.org/officeDocument/2006/relationships/worksheet" Target="/xl/worksheets/sheet12.xml" Id="R6244f2337d054ad9" /><Relationship Type="http://schemas.openxmlformats.org/officeDocument/2006/relationships/worksheet" Target="/xl/worksheets/sheet13.xml" Id="R27f5f7a91721434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c55211fc9ff4c5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Current vs V2 — 8 User Groups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Current</c:v>
          </c:tx>
          <c:cat>
            <c:strRef>
              <c:f>'01 Dashboard'!$A$17:$A$24</c:f>
              <c:strCache>
                <c:ptCount val="0"/>
              </c:strCache>
            </c:strRef>
          </c:cat>
          <c:val>
            <c:numRef>
              <c:f>'01 Dashboard'!$B$17:$B$24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V2</c:v>
          </c:tx>
          <c:cat>
            <c:strRef>
              <c:f>'01 Dashboard'!$A$17:$A$24</c:f>
              <c:strCache>
                <c:ptCount val="0"/>
              </c:strCache>
            </c:strRef>
          </c:cat>
          <c:val>
            <c:numRef>
              <c:f>'01 Dashboard'!$C$17:$C$24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c55211fc9ff4c5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a0b47506c8f4629" /></Relationships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31" hidden="0" customWidth="1"/>
    <x:col min="2" max="2" width="14" hidden="0" customWidth="1"/>
    <x:col min="3" max="3" width="14" hidden="0" customWidth="1"/>
    <x:col min="4" max="4" width="14" hidden="0" customWidth="1"/>
    <x:col min="5" max="5" width="52" hidden="0" customWidth="1"/>
    <x:col min="6" max="6" width="3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28" customHeight="1">
      <x:c r="A1" s="5" t="str">
        <x:v>GREYMOND — HUMANS MONO-WHITE | PROJECT 10/10</x:v>
      </x:c>
    </x:row>
    <x:row r="3">
      <x:c r="A3" s="14" t="str">
        <x:v>KPI</x:v>
      </x:c>
      <x:c r="B3" s="14" t="str">
        <x:v>Current</x:v>
      </x:c>
      <x:c r="C3" s="14" t="str">
        <x:v>V2</x:v>
      </x:c>
      <x:c r="D3" s="14" t="str">
        <x:v>10/10 target</x:v>
      </x:c>
      <x:c r="E3" s="14" t="str">
        <x:v>Interpretation</x:v>
      </x:c>
    </x:row>
    <x:row r="4">
      <x:c r="A4" s="22" t="str">
        <x:v>Overall deck score</x:v>
      </x:c>
      <x:c r="B4" s="25" t="n">
        <x:f>'02 Executive Audit'!J16</x:f>
        <x:v>8.413</x:v>
      </x:c>
      <x:c r="C4" s="25" t="n">
        <x:f>'02 Executive Audit'!K16</x:f>
        <x:v>9.360999999999999</x:v>
      </x:c>
      <x:c r="D4" s="25" t="n">
        <x:v>10</x:v>
      </x:c>
      <x:c r="E4" s="22" t="str">
        <x:v>V2 materially improves tribal fit without losing the strong mono-white shell.</x:v>
      </x:c>
    </x:row>
    <x:row r="5">
      <x:c r="A5" s="22" t="str">
        <x:v>Human creature cards</x:v>
      </x:c>
      <x:c r="B5" s="22" t="n">
        <x:v>25</x:v>
      </x:c>
      <x:c r="C5" s="22" t="n">
        <x:v>33</x:v>
      </x:c>
      <x:c r="D5" s="22" t="str">
        <x:v>33–36</x:v>
      </x:c>
      <x:c r="E5" s="22" t="str">
        <x:v>Premium Human density rises while core non-Human engines remain.</x:v>
      </x:c>
    </x:row>
    <x:row r="6">
      <x:c r="A6" s="22" t="str">
        <x:v>Low-cost Humans (MV ≤2)</x:v>
      </x:c>
      <x:c r="B6" s="22" t="n">
        <x:v>7</x:v>
      </x:c>
      <x:c r="C6" s="22" t="n">
        <x:v>14</x:v>
      </x:c>
      <x:c r="D6" s="22" t="str">
        <x:v>12–15</x:v>
      </x:c>
      <x:c r="E6" s="22" t="str">
        <x:v>The early game becomes much more reliable.</x:v>
      </x:c>
    </x:row>
    <x:row r="7">
      <x:c r="A7" s="22" t="str">
        <x:v>Physical lands</x:v>
      </x:c>
      <x:c r="B7" s="22" t="n">
        <x:v>31</x:v>
      </x:c>
      <x:c r="C7" s="22" t="n">
        <x:v>31</x:v>
      </x:c>
      <x:c r="D7" s="22" t="str">
        <x:v>30–33</x:v>
      </x:c>
      <x:c r="E7" s="22" t="str">
        <x:v>No mana-base increase required.</x:v>
      </x:c>
    </x:row>
    <x:row r="8">
      <x:c r="A8" s="22" t="str">
        <x:v>MDFC / land-capable extras</x:v>
      </x:c>
      <x:c r="B8" s="22" t="n">
        <x:v>4</x:v>
      </x:c>
      <x:c r="C8" s="22" t="n">
        <x:v>4</x:v>
      </x:c>
      <x:c r="D8" s="22" t="str">
        <x:v>3–5</x:v>
      </x:c>
      <x:c r="E8" s="22" t="str">
        <x:v>Kabira, Ondu, Razorgrass and Witch Enchanter preserve flexibility.</x:v>
      </x:c>
    </x:row>
    <x:row r="10">
      <x:c r="A10" s="14" t="str">
        <x:v>TRIBAL CONSISTENCY</x:v>
      </x:c>
      <x:c r="B10" s="14" t="str">
        <x:v>Current</x:v>
      </x:c>
      <x:c r="C10" s="14" t="str">
        <x:v>V2</x:v>
      </x:c>
      <x:c r="D10" s="14" t="str">
        <x:v>Δ</x:v>
      </x:c>
      <x:c r="E10" s="14" t="str">
        <x:v>What it means</x:v>
      </x:c>
    </x:row>
    <x:row r="11">
      <x:c r="A11" s="22" t="str">
        <x:v>Human cards in 99</x:v>
      </x:c>
      <x:c r="B11" s="22" t="n">
        <x:v>25</x:v>
      </x:c>
      <x:c r="C11" s="22" t="n">
        <x:v>33</x:v>
      </x:c>
      <x:c r="D11" s="22" t="n">
        <x:v>8</x:v>
      </x:c>
      <x:c r="E11" s="22" t="str">
        <x:v>+8 Human cards, mainly premium early/midgame bodies.</x:v>
      </x:c>
    </x:row>
    <x:row r="12">
      <x:c r="A12" s="22" t="str">
        <x:v>Human share of creature spells</x:v>
      </x:c>
      <x:c r="B12" s="27" t="n">
        <x:v>0.8620689655172413</x:v>
      </x:c>
      <x:c r="C12" s="27" t="n">
        <x:v>0.9428571428571428</x:v>
      </x:c>
      <x:c r="D12" s="27" t="n">
        <x:v>0.08078817733990151</x:v>
      </x:c>
      <x:c r="E12" s="22" t="str">
        <x:v>Creature slots are already mostly Human; V2 improves quality and density.</x:v>
      </x:c>
    </x:row>
    <x:row r="13">
      <x:c r="A13" s="22" t="str">
        <x:v>P(≥3 Humans in first 10)</x:v>
      </x:c>
      <x:c r="B13" s="27" t="n">
        <x:v>0.4863078518401748</x:v>
      </x:c>
      <x:c r="C13" s="27" t="n">
        <x:v>0.7369926760364048</x:v>
      </x:c>
      <x:c r="D13" s="27" t="n">
        <x:v>0.2506848241962298</x:v>
      </x:c>
      <x:c r="E13" s="22" t="str">
        <x:v>Opening-hand proxy for reaching Greymond's 4-Human threshold quickly.</x:v>
      </x:c>
    </x:row>
    <x:row r="14">
      <x:c r="A14" s="22" t="str">
        <x:v>Average fit score of Human cards</x:v>
      </x:c>
      <x:c r="B14" s="38" t="n">
        <x:v>8.652000000000001</x:v>
      </x:c>
      <x:c r="C14" s="38" t="n">
        <x:v>9.093939393939394</x:v>
      </x:c>
      <x:c r="D14" s="38" t="n">
        <x:v>0.44193939393939274</x:v>
      </x:c>
      <x:c r="E14" s="22" t="str">
        <x:v>V2 replaces four mediocre/narrow Humans with 12 premium Humans, net +8 Human cards.</x:v>
      </x:c>
    </x:row>
    <x:row r="16">
      <x:c r="A16" s="14" t="str">
        <x:v>8 USER GROUPS</x:v>
      </x:c>
      <x:c r="B16" s="14" t="str">
        <x:v>Current</x:v>
      </x:c>
      <x:c r="C16" s="14" t="str">
        <x:v>V2</x:v>
      </x:c>
      <x:c r="D16" s="14" t="str">
        <x:v>Δ</x:v>
      </x:c>
      <x:c r="E16" s="14" t="str">
        <x:v>Comment</x:v>
      </x:c>
    </x:row>
    <x:row r="17">
      <x:c r="A17" s="22" t="str">
        <x:v>1. Ramp</x:v>
      </x:c>
      <x:c r="B17" s="25" t="n">
        <x:v>8.7</x:v>
      </x:c>
      <x:c r="C17" s="25" t="n">
        <x:v>9</x:v>
      </x:c>
      <x:c r="D17" s="25" t="n">
        <x:v>0.3</x:v>
      </x:c>
      <x:c r="E17" s="22" t="str">
        <x:v>Already strong; Knight of the White Orchid improves early tempo.</x:v>
      </x:c>
    </x:row>
    <x:row r="18">
      <x:c r="A18" s="22" t="str">
        <x:v>2. Draw</x:v>
      </x:c>
      <x:c r="B18" s="25" t="n">
        <x:v>8.8</x:v>
      </x:c>
      <x:c r="C18" s="25" t="n">
        <x:v>9.3</x:v>
      </x:c>
      <x:c r="D18" s="25" t="n">
        <x:v>0.5</x:v>
      </x:c>
      <x:c r="E18" s="22" t="str">
        <x:v>Mentor of the Meek adds Human-linked card advantage.</x:v>
      </x:c>
    </x:row>
    <x:row r="19">
      <x:c r="A19" s="22" t="str">
        <x:v>3. Removal</x:v>
      </x:c>
      <x:c r="B19" s="25" t="n">
        <x:v>8.6</x:v>
      </x:c>
      <x:c r="C19" s="25" t="n">
        <x:v>9.1</x:v>
      </x:c>
      <x:c r="D19" s="25" t="n">
        <x:v>0.5</x:v>
      </x:c>
      <x:c r="E19" s="22" t="str">
        <x:v>Swords upgrades spot removal quality; fewer redundant sweepers.</x:v>
      </x:c>
    </x:row>
    <x:row r="20">
      <x:c r="A20" s="22" t="str">
        <x:v>4. Protection</x:v>
      </x:c>
      <x:c r="B20" s="25" t="n">
        <x:v>9.1</x:v>
      </x:c>
      <x:c r="C20" s="25" t="n">
        <x:v>9.6</x:v>
      </x:c>
      <x:c r="D20" s="25" t="n">
        <x:v>0.5</x:v>
      </x:c>
      <x:c r="E20" s="22" t="str">
        <x:v>Boromir + Grand Abolisher add proactive Human protection.</x:v>
      </x:c>
    </x:row>
    <x:row r="21">
      <x:c r="A21" s="22" t="str">
        <x:v>5. Tax</x:v>
      </x:c>
      <x:c r="B21" s="25" t="n">
        <x:v>8.3</x:v>
      </x:c>
      <x:c r="C21" s="25" t="n">
        <x:v>9.3</x:v>
      </x:c>
      <x:c r="D21" s="25" t="n">
        <x:v>1</x:v>
      </x:c>
      <x:c r="E21" s="22" t="str">
        <x:v>Human hatebears replace passive pillow-fort pieces.</x:v>
      </x:c>
    </x:row>
    <x:row r="22">
      <x:c r="A22" s="22" t="str">
        <x:v>6. Buff</x:v>
      </x:c>
      <x:c r="B22" s="25" t="n">
        <x:v>9.2</x:v>
      </x:c>
      <x:c r="C22" s="25" t="n">
        <x:v>9.7</x:v>
      </x:c>
      <x:c r="D22" s="25" t="n">
        <x:v>0.5</x:v>
      </x:c>
      <x:c r="E22" s="22" t="str">
        <x:v>Champion + Lieutenant + Coppercoat create a real Human lord package.</x:v>
      </x:c>
    </x:row>
    <x:row r="23">
      <x:c r="A23" s="22" t="str">
        <x:v>7. Token</x:v>
      </x:c>
      <x:c r="B23" s="25" t="n">
        <x:v>8.5</x:v>
      </x:c>
      <x:c r="C23" s="25" t="n">
        <x:v>9.6</x:v>
      </x:c>
      <x:c r="D23" s="25" t="n">
        <x:v>1.1</x:v>
      </x:c>
      <x:c r="E23" s="22" t="str">
        <x:v>Adeline is the largest single token-engine upgrade.</x:v>
      </x:c>
    </x:row>
    <x:row r="24">
      <x:c r="A24" t="str">
        <x:v>8. 2 em 1 | Combate</x:v>
      </x:c>
      <x:c r="B24" t="n">
        <x:v>8.8</x:v>
      </x:c>
      <x:c r="C24" t="n">
        <x:v>9.4</x:v>
      </x:c>
      <x:c r="D24" t="n">
        <x:v>0.6</x:v>
      </x:c>
      <x:c r="E24" t="str">
        <x:v>Odric and high-value flexible cards make combat a convergence point.</x:v>
      </x:c>
    </x:row>
    <x:row r="25">
      <x:c r="A25" s="11" t="str">
        <x:v>EXECUTIVE VERDICT</x:v>
      </x:c>
      <x:c r="B25" t="str"/>
      <x:c r="C25" t="str"/>
      <x:c r="D25" t="str"/>
      <x:c r="E25" t="str"/>
    </x:row>
    <x:row r="26">
      <x:c r="A26" s="22" t="str">
        <x:v>Current 8.4/10</x:v>
      </x:c>
      <x:c r="B26" s="22" t="str">
        <x:v>Strong mono-white shell with 25 Humans, strong protection, draw and board control. The weakness is premium Human density/curve, not raw white-card power.</x:v>
      </x:c>
      <x:c r="C26" s="22" t="str"/>
      <x:c r="D26" s="22" t="str"/>
      <x:c r="E26" s="22" t="str"/>
    </x:row>
    <x:row r="27">
      <x:c r="A27" s="22" t="str">
        <x:v>V2 9.4/10</x:v>
      </x:c>
      <x:c r="B27" s="22" t="str">
        <x:v>A Human-first aggro/token build: 33 Humans, 14 low-cost Humans, stronger Human taxes, better spot removal and better attack conversion.</x:v>
      </x:c>
      <x:c r="C27" s="22" t="str"/>
      <x:c r="D27" s="22" t="str"/>
      <x:c r="E27" s="22" t="str"/>
    </x:row>
    <x:row r="28">
      <x:c r="A28" s="22" t="str">
        <x:v>10/10 standard</x:v>
      </x:c>
      <x:c r="B28" s="22" t="str">
        <x:v>Reserve 10.0 for a version that has playtested evidence across control, combo, creature, graveyard and ramp-heavy pods.</x:v>
      </x:c>
      <x:c r="C28" s="22" t="str"/>
      <x:c r="D28" s="22" t="str"/>
      <x:c r="E28" s="22" t="str"/>
    </x:row>
    <x:row r="29">
      <x:c r="A29" s="22" t="str">
        <x:v>Important correction</x:v>
      </x:c>
      <x:c r="B29" s="22" t="str">
        <x:v>The first pass understated the tribal density. The correct current count is 25 Human cards, not an estimate in the low-20s.</x:v>
      </x:c>
      <x:c r="C29" s="22" t="str"/>
      <x:c r="D29" s="22" t="str"/>
      <x:c r="E29" s="22" t="str"/>
    </x:row>
  </x:sheetData>
  <x:mergeCells>
    <x:mergeCell ref="A1:N1"/>
    <x:mergeCell ref="A25:E25"/>
    <x:mergeCell ref="A26:E26"/>
    <x:mergeCell ref="A27:E27"/>
    <x:mergeCell ref="A28:E28"/>
    <x:mergeCell ref="A29:E29"/>
  </x:mergeCells>
  <x:pageMargins left="0.7" right="0.7" top="0.75" bottom="0.75" header="0.3" footer="0.3"/>
  <x:drawing xmlns:r="http://schemas.openxmlformats.org/officeDocument/2006/relationships" r:id="R6a0b47506c8f4629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20" hidden="0" customWidth="1"/>
    <x:col min="5" max="5" width="26" hidden="0" customWidth="1"/>
    <x:col min="6" max="6" width="22" hidden="0" customWidth="1"/>
    <x:col min="7" max="7" width="28" hidden="0" customWidth="1"/>
    <x:col min="8" max="8" width="42" hidden="0" customWidth="1"/>
    <x:col min="9" max="9" width="16" hidden="0" customWidth="1"/>
    <x:col min="10" max="10" width="40" hidden="0" customWidth="1"/>
    <x:col min="11" max="11" width="16" hidden="0" customWidth="1"/>
  </x:cols>
  <x:sheetData>
    <x:row r="1" ht="28" customHeight="1">
      <x:c r="A1" s="5" t="str">
        <x:v>EXECUTIVE AUDIT — WHY THE DECK MOVES FROM 8.4 TO 9.4</x:v>
      </x:c>
    </x:row>
    <x:row r="3">
      <x:c r="A3" s="14" t="str">
        <x:v>Dimension</x:v>
      </x:c>
      <x:c r="B3" s="14" t="str">
        <x:v>Current</x:v>
      </x:c>
      <x:c r="C3" s="14" t="str">
        <x:v>V2</x:v>
      </x:c>
      <x:c r="D3" s="14" t="str">
        <x:v>Gap</x:v>
      </x:c>
      <x:c r="E3" s="14" t="str">
        <x:v>Importance</x:v>
      </x:c>
      <x:c r="F3" s="14" t="str">
        <x:v>Diagnosis</x:v>
      </x:c>
      <x:c r="G3" s="14" t="str">
        <x:v>Decision</x:v>
      </x:c>
      <x:c r="H3" s="14" t="str">
        <x:v>10/10 test</x:v>
      </x:c>
      <x:c r="I3" s="14" t="str">
        <x:v>Weight</x:v>
      </x:c>
      <x:c r="J3" s="14" t="str">
        <x:v>Weighted Current</x:v>
      </x:c>
      <x:c r="K3" s="14" t="str">
        <x:v>Weighted V2</x:v>
      </x:c>
    </x:row>
    <x:row r="4">
      <x:c r="A4" s="22" t="str">
        <x:v>Tribal identity</x:v>
      </x:c>
      <x:c r="B4" s="25" t="n">
        <x:v>7.6</x:v>
      </x:c>
      <x:c r="C4" s="25" t="n">
        <x:v>9.4</x:v>
      </x:c>
      <x:c r="D4" s="25" t="n">
        <x:v>1.8</x:v>
      </x:c>
      <x:c r="E4" s="22" t="str">
        <x:v>CRITICAL</x:v>
      </x:c>
      <x:c r="F4" s="22" t="str">
        <x:v>The list is already Human-heavy among creatures, but it lacks several of the best Humans for early pressure and role compression.</x:v>
      </x:c>
      <x:c r="G4" s="22" t="str">
        <x:v>Upgrade</x:v>
      </x:c>
      <x:c r="H4" s="22" t="str">
        <x:v>Most creature slots should be premium Humans or irreplaceable tribal engines.</x:v>
      </x:c>
      <x:c r="I4" s="37" t="n">
        <x:v>0.18</x:v>
      </x:c>
      <x:c r="J4" s="38" t="n">
        <x:f>B4*I4</x:f>
        <x:v>1.3679999999999999</x:v>
      </x:c>
      <x:c r="K4" s="38" t="n">
        <x:f>C4*I4</x:f>
        <x:v>1.692</x:v>
      </x:c>
    </x:row>
    <x:row r="5">
      <x:c r="A5" s="22" t="str">
        <x:v>Early game</x:v>
      </x:c>
      <x:c r="B5" s="25" t="n">
        <x:v>7.8</x:v>
      </x:c>
      <x:c r="C5" s="25" t="n">
        <x:v>9.3</x:v>
      </x:c>
      <x:c r="D5" s="25" t="n">
        <x:v>1.5</x:v>
      </x:c>
      <x:c r="E5" s="22" t="str">
        <x:v>CRITICAL</x:v>
      </x:c>
      <x:c r="F5" s="22" t="str">
        <x:v>Only 7 low-cost Humans; V2 reaches 14.</x:v>
      </x:c>
      <x:c r="G5" s="22" t="str">
        <x:v>Upgrade</x:v>
      </x:c>
      <x:c r="H5" s="22" t="str">
        <x:v>Keep a 7 that can deploy bodies and/or draw/ramp by turn 2.</x:v>
      </x:c>
      <x:c r="I5" s="37" t="n">
        <x:v>0.12</x:v>
      </x:c>
      <x:c r="J5" s="38" t="n">
        <x:f>B5*I5</x:f>
        <x:v>0.9359999999999999</x:v>
      </x:c>
      <x:c r="K5" s="38" t="n">
        <x:f>C5*I5</x:f>
        <x:v>1.116</x:v>
      </x:c>
    </x:row>
    <x:row r="6">
      <x:c r="A6" s="22" t="str">
        <x:v>Ramp / tempo</x:v>
      </x:c>
      <x:c r="B6" s="25" t="n">
        <x:v>8.7</x:v>
      </x:c>
      <x:c r="C6" s="25" t="n">
        <x:v>9</x:v>
      </x:c>
      <x:c r="D6" s="25" t="n">
        <x:v>0.3</x:v>
      </x:c>
      <x:c r="E6" s="22" t="str">
        <x:v>HIGH</x:v>
      </x:c>
      <x:c r="F6" s="22" t="str">
        <x:v>Sol Ring, Pearl, Land Tax, Tithe and Oketra are strong; Temple/Nyx Lotus are slower.</x:v>
      </x:c>
      <x:c r="G6" s="22" t="str">
        <x:v>Refine</x:v>
      </x:c>
      <x:c r="H6" s="22" t="str">
        <x:v>No dead early land slots; enough turn-2 acceleration.</x:v>
      </x:c>
      <x:c r="I6" s="37" t="n">
        <x:v>0.1</x:v>
      </x:c>
      <x:c r="J6" s="38" t="n">
        <x:f>B6*I6</x:f>
        <x:v>0.87</x:v>
      </x:c>
      <x:c r="K6" s="38" t="n">
        <x:f>C6*I6</x:f>
        <x:v>0.9</x:v>
      </x:c>
    </x:row>
    <x:row r="7">
      <x:c r="A7" s="22" t="str">
        <x:v>Draw</x:v>
      </x:c>
      <x:c r="B7" s="25" t="n">
        <x:v>8.8</x:v>
      </x:c>
      <x:c r="C7" s="25" t="n">
        <x:v>9.3</x:v>
      </x:c>
      <x:c r="D7" s="25" t="n">
        <x:v>0.5</x:v>
      </x:c>
      <x:c r="E7" s="22" t="str">
        <x:v>HIGH</x:v>
      </x:c>
      <x:c r="F7" s="22" t="str">
        <x:v>Esper, Skullclamp, Horns, Trouble, Enduring Innocence are strong; Mentor deepens creature draw.</x:v>
      </x:c>
      <x:c r="G7" s="22" t="str">
        <x:v>Keep + add</x:v>
      </x:c>
      <x:c r="H7" s="22" t="str">
        <x:v>Recover after a wipe without relying on one engine.</x:v>
      </x:c>
      <x:c r="I7" s="37" t="n">
        <x:v>0.1</x:v>
      </x:c>
      <x:c r="J7" s="38" t="n">
        <x:f>B7*I7</x:f>
        <x:v>0.8800000000000001</x:v>
      </x:c>
      <x:c r="K7" s="38" t="n">
        <x:f>C7*I7</x:f>
        <x:v>0.9300000000000002</x:v>
      </x:c>
    </x:row>
    <x:row r="8">
      <x:c r="A8" s="22" t="str">
        <x:v>Removal</x:v>
      </x:c>
      <x:c r="B8" s="25" t="n">
        <x:v>8.6</x:v>
      </x:c>
      <x:c r="C8" s="25" t="n">
        <x:v>9.1</x:v>
      </x:c>
      <x:c r="D8" s="25" t="n">
        <x:v>0.5</x:v>
      </x:c>
      <x:c r="E8" s="22" t="str">
        <x:v>HIGH</x:v>
      </x:c>
      <x:c r="F8" s="22" t="str">
        <x:v>Good suite, but broad wipes can fight the swarm.</x:v>
      </x:c>
      <x:c r="G8" s="22" t="str">
        <x:v>Refine</x:v>
      </x:c>
      <x:c r="H8" s="22" t="str">
        <x:v>Prefer cheap/flexible removal and 2–3 premium resets.</x:v>
      </x:c>
      <x:c r="I8" s="37" t="n">
        <x:v>0.08</x:v>
      </x:c>
      <x:c r="J8" s="38" t="n">
        <x:f>B8*I8</x:f>
        <x:v>0.688</x:v>
      </x:c>
      <x:c r="K8" s="38" t="n">
        <x:f>C8*I8</x:f>
        <x:v>0.728</x:v>
      </x:c>
    </x:row>
    <x:row r="9">
      <x:c r="A9" s="22" t="str">
        <x:v>Protection</x:v>
      </x:c>
      <x:c r="B9" s="25" t="n">
        <x:v>9.1</x:v>
      </x:c>
      <x:c r="C9" s="25" t="n">
        <x:v>9.6</x:v>
      </x:c>
      <x:c r="D9" s="25" t="n">
        <x:v>0.5</x:v>
      </x:c>
      <x:c r="E9" s="22" t="str">
        <x:v>HIGH</x:v>
      </x:c>
      <x:c r="F9" s="22" t="str">
        <x:v>This is a strength already; V2 adds proactive Human protection.</x:v>
      </x:c>
      <x:c r="G9" s="22" t="str">
        <x:v>Keep</x:v>
      </x:c>
      <x:c r="H9" s="22" t="str">
        <x:v>Protect the board and, especially, the alpha-strike turn.</x:v>
      </x:c>
      <x:c r="I9" s="37" t="n">
        <x:v>0.1</x:v>
      </x:c>
      <x:c r="J9" s="38" t="n">
        <x:f>B9*I9</x:f>
        <x:v>0.91</x:v>
      </x:c>
      <x:c r="K9" s="38" t="n">
        <x:f>C9*I9</x:f>
        <x:v>0.96</x:v>
      </x:c>
    </x:row>
    <x:row r="10">
      <x:c r="A10" s="22" t="str">
        <x:v>Tax</x:v>
      </x:c>
      <x:c r="B10" s="25" t="n">
        <x:v>8.3</x:v>
      </x:c>
      <x:c r="C10" s="25" t="n">
        <x:v>9.3</x:v>
      </x:c>
      <x:c r="D10" s="25" t="n">
        <x:v>1</x:v>
      </x:c>
      <x:c r="E10" s="22" t="str">
        <x:v>HIGH</x:v>
      </x:c>
      <x:c r="F10" s="22" t="str">
        <x:v>Current package leans defensive; V2 uses Humans that attack while taxing.</x:v>
      </x:c>
      <x:c r="G10" s="22" t="str">
        <x:v>Upgrade</x:v>
      </x:c>
      <x:c r="H10" s="22" t="str">
        <x:v>Tax should disrupt combo/control without becoming pillow-fort.</x:v>
      </x:c>
      <x:c r="I10" s="37" t="n">
        <x:v>0.07</x:v>
      </x:c>
      <x:c r="J10" s="38" t="n">
        <x:f>B10*I10</x:f>
        <x:v>0.5810000000000001</x:v>
      </x:c>
      <x:c r="K10" s="38" t="n">
        <x:f>C10*I10</x:f>
        <x:v>0.6510000000000001</x:v>
      </x:c>
    </x:row>
    <x:row r="11">
      <x:c r="A11" s="22" t="str">
        <x:v>Buff</x:v>
      </x:c>
      <x:c r="B11" s="25" t="n">
        <x:v>9.2</x:v>
      </x:c>
      <x:c r="C11" s="25" t="n">
        <x:v>9.7</x:v>
      </x:c>
      <x:c r="D11" s="25" t="n">
        <x:v>0.5</x:v>
      </x:c>
      <x:c r="E11" s="22" t="str">
        <x:v>CRITICAL</x:v>
      </x:c>
      <x:c r="F11" s="22" t="str">
        <x:v>Greymond + Mimic + Mikaeus + Entity are strong; premium Human lords make the stack denser.</x:v>
      </x:c>
      <x:c r="G11" s="22" t="str">
        <x:v>Upgrade</x:v>
      </x:c>
      <x:c r="H11" s="22" t="str">
        <x:v>At least 4–6 redundant team-scaling effects.</x:v>
      </x:c>
      <x:c r="I11" s="37" t="n">
        <x:v>0.08</x:v>
      </x:c>
      <x:c r="J11" s="38" t="n">
        <x:f>B11*I11</x:f>
        <x:v>0.736</x:v>
      </x:c>
      <x:c r="K11" s="38" t="n">
        <x:f>C11*I11</x:f>
        <x:v>0.7759999999999999</x:v>
      </x:c>
    </x:row>
    <x:row r="12">
      <x:c r="A12" s="22" t="str">
        <x:v>Token pressure</x:v>
      </x:c>
      <x:c r="B12" s="25" t="n">
        <x:v>8.5</x:v>
      </x:c>
      <x:c r="C12" s="25" t="n">
        <x:v>9.6</x:v>
      </x:c>
      <x:c r="D12" s="25" t="n">
        <x:v>1.1</x:v>
      </x:c>
      <x:c r="E12" s="22" t="str">
        <x:v>CRITICAL</x:v>
      </x:c>
      <x:c r="F12" s="22" t="str">
        <x:v>Good token base, but Adeline greatly increases attack-triggered Humans.</x:v>
      </x:c>
      <x:c r="G12" s="22" t="str">
        <x:v>Upgrade</x:v>
      </x:c>
      <x:c r="H12" s="22" t="str">
        <x:v>At least 6 reliable token engines; Human tokens preferred.</x:v>
      </x:c>
      <x:c r="I12" s="37" t="n">
        <x:v>0.08</x:v>
      </x:c>
      <x:c r="J12" s="38" t="n">
        <x:f>B12*I12</x:f>
        <x:v>0.68</x:v>
      </x:c>
      <x:c r="K12" s="38" t="n">
        <x:f>C12*I12</x:f>
        <x:v>0.768</x:v>
      </x:c>
    </x:row>
    <x:row r="13">
      <x:c r="A13" s="22" t="str">
        <x:v>Closing</x:v>
      </x:c>
      <x:c r="B13" s="25" t="n">
        <x:v>8.4</x:v>
      </x:c>
      <x:c r="C13" s="25" t="n">
        <x:v>9.4</x:v>
      </x:c>
      <x:c r="D13" s="25" t="n">
        <x:v>1</x:v>
      </x:c>
      <x:c r="E13" s="22" t="str">
        <x:v>HIGH</x:v>
      </x:c>
      <x:c r="F13" s="22" t="str">
        <x:v>Mirror Entity is excellent; V2 adds Odric and more bodies for decisive combat.</x:v>
      </x:c>
      <x:c r="G13" s="22" t="str">
        <x:v>Upgrade</x:v>
      </x:c>
      <x:c r="H13" s="22" t="str">
        <x:v>Board must convert to lethal in 1–2 attack cycles.</x:v>
      </x:c>
      <x:c r="I13" s="37" t="n">
        <x:v>0.06</x:v>
      </x:c>
      <x:c r="J13" s="38" t="n">
        <x:f>B13*I13</x:f>
        <x:v>0.504</x:v>
      </x:c>
      <x:c r="K13" s="38" t="n">
        <x:f>C13*I13</x:f>
        <x:v>0.564</x:v>
      </x:c>
    </x:row>
    <x:row r="14">
      <x:c r="A14" s="22" t="str">
        <x:v>Resilience</x:v>
      </x:c>
      <x:c r="B14" s="25" t="n">
        <x:v>8.8</x:v>
      </x:c>
      <x:c r="C14" s="25" t="n">
        <x:v>9.5</x:v>
      </x:c>
      <x:c r="D14" s="25" t="n">
        <x:v>0.7</x:v>
      </x:c>
      <x:c r="E14" s="22" t="str">
        <x:v>HIGH</x:v>
      </x:c>
      <x:c r="F14" s="22" t="str">
        <x:v>Protection is excellent; V2 also gains proactive turn locks.</x:v>
      </x:c>
      <x:c r="G14" s="22" t="str">
        <x:v>Keep + add</x:v>
      </x:c>
      <x:c r="H14" s="22" t="str">
        <x:v>Survive wipes and stop interaction on the key turn.</x:v>
      </x:c>
      <x:c r="I14" s="37" t="n">
        <x:v>0.02</x:v>
      </x:c>
      <x:c r="J14" s="38" t="n">
        <x:f>B14*I14</x:f>
        <x:v>0.17600000000000002</x:v>
      </x:c>
      <x:c r="K14" s="38" t="n">
        <x:f>C14*I14</x:f>
        <x:v>0.19</x:v>
      </x:c>
    </x:row>
    <x:row r="15">
      <x:c r="A15" s="22" t="str">
        <x:v>Mana base</x:v>
      </x:c>
      <x:c r="B15" s="25" t="n">
        <x:v>8.4</x:v>
      </x:c>
      <x:c r="C15" s="25" t="n">
        <x:v>8.6</x:v>
      </x:c>
      <x:c r="D15" s="25" t="n">
        <x:v>0.2</x:v>
      </x:c>
      <x:c r="E15" s="22" t="str">
        <x:v>MED</x:v>
      </x:c>
      <x:c r="F15" s="22" t="str">
        <x:v>35 land-capable cards including 4 MDFCs is healthy; utility lands deserve playtesting.</x:v>
      </x:c>
      <x:c r="G15" s="22" t="str">
        <x:v>Validate</x:v>
      </x:c>
      <x:c r="H15" s="22" t="str">
        <x:v>No more than 1–2 utility lands should cost critical tempo.</x:v>
      </x:c>
      <x:c r="I15" s="37" t="n">
        <x:v>0.01</x:v>
      </x:c>
      <x:c r="J15" s="38" t="n">
        <x:f>B15*I15</x:f>
        <x:v>0.084</x:v>
      </x:c>
      <x:c r="K15" s="38" t="n">
        <x:f>C15*I15</x:f>
        <x:v>0.086</x:v>
      </x:c>
    </x:row>
    <x:row r="16">
      <x:c r="I16" s="44" t="str">
        <x:v>WEIGHTED SCORE</x:v>
      </x:c>
      <x:c r="J16" s="47" t="n">
        <x:f>SUM(J4:J15)</x:f>
        <x:v>8.413</x:v>
      </x:c>
      <x:c r="K16" s="47" t="n">
        <x:f>SUM(K4:K15)</x:f>
        <x:v>9.360999999999999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1" hidden="0" customWidth="1"/>
    <x:col min="2" max="2" width="8" hidden="0" customWidth="1"/>
    <x:col min="3" max="3" width="10" hidden="0" customWidth="1"/>
    <x:col min="4" max="4" width="23" hidden="0" customWidth="1"/>
    <x:col min="5" max="5" width="18" hidden="0" customWidth="1"/>
    <x:col min="6" max="6" width="10" hidden="0" customWidth="1"/>
    <x:col min="7" max="7" width="15" hidden="0" customWidth="1"/>
    <x:col min="8" max="8" width="48" hidden="0" customWidth="1"/>
    <x:col min="9" max="9" width="10" hidden="0" customWidth="1"/>
    <x:col min="10" max="10" width="40" hidden="0" customWidth="1"/>
  </x:cols>
  <x:sheetData>
    <x:row r="1" ht="28" customHeight="1">
      <x:c r="A1" s="5" t="str">
        <x:v>CURRENT 99 — CARD-BY-CARD AUDIT</x:v>
      </x:c>
    </x:row>
    <x:row r="3">
      <x:c r="A3" s="14" t="str">
        <x:v>Card</x:v>
      </x:c>
      <x:c r="B3" s="14" t="str">
        <x:v>Qty</x:v>
      </x:c>
      <x:c r="C3" s="14" t="str">
        <x:v>Human?</x:v>
      </x:c>
      <x:c r="D3" s="14" t="str">
        <x:v>Primary group</x:v>
      </x:c>
      <x:c r="E3" s="14" t="str">
        <x:v>Secondary</x:v>
      </x:c>
      <x:c r="F3" s="14" t="str">
        <x:v>Fit /10</x:v>
      </x:c>
      <x:c r="G3" s="14" t="str">
        <x:v>Verdict</x:v>
      </x:c>
      <x:c r="H3" s="14" t="str">
        <x:v>Role / thesis</x:v>
      </x:c>
      <x:c r="I3" s="14" t="str">
        <x:v>Cut?</x:v>
      </x:c>
      <x:c r="J3" s="14" t="str">
        <x:v>Source</x:v>
      </x:c>
    </x:row>
    <x:row r="4">
      <x:c r="A4" s="29" t="str">
        <x:v>Austere Command</x:v>
      </x:c>
      <x:c r="B4" s="22" t="n">
        <x:v>1</x:v>
      </x:c>
      <x:c r="C4" s="22" t="str">
        <x:v>NO</x:v>
      </x:c>
      <x:c r="D4" s="22" t="str">
        <x:v>Removal</x:v>
      </x:c>
      <x:c r="E4" s="22" t="str">
        <x:v>Support</x:v>
      </x:c>
      <x:c r="F4" s="25" t="n">
        <x:v>8.5</x:v>
      </x:c>
      <x:c r="G4" s="22" t="str">
        <x:v>PLAYABLE</x:v>
      </x:c>
      <x:c r="H4" s="22" t="str">
        <x:v>Deck-fit tested against the eight user groups and the Human/token plan.</x:v>
      </x:c>
      <x:c r="I4" s="22" t="str">
        <x:v>NO</x:v>
      </x:c>
      <x:c r="J4" s="22" t="str">
        <x:v>https://edhrec.com/commanders/greymond-avacyns-stalwart/humans</x:v>
      </x:c>
    </x:row>
    <x:row r="5">
      <x:c r="A5" s="29" t="str">
        <x:v>Baird, Steward of Argive</x:v>
      </x:c>
      <x:c r="B5" s="22" t="n">
        <x:v>1</x:v>
      </x:c>
      <x:c r="C5" s="22" t="str">
        <x:v>YES</x:v>
      </x:c>
      <x:c r="D5" s="22" t="str">
        <x:v>Tax</x:v>
      </x:c>
      <x:c r="E5" s="22" t="str">
        <x:v>Support</x:v>
      </x:c>
      <x:c r="F5" s="25" t="n">
        <x:v>7.8</x:v>
      </x:c>
      <x:c r="G5" s="22" t="str">
        <x:v>CUT — V2</x:v>
      </x:c>
      <x:c r="H5" s="22" t="str">
        <x:v>Good Human tax body; cut only because premium Human disruption is better.</x:v>
      </x:c>
      <x:c r="I5" s="22" t="str">
        <x:v>YES</x:v>
      </x:c>
      <x:c r="J5" s="22" t="str">
        <x:v>https://edhrec.com/commanders/greymond-avacyns-stalwart/humans</x:v>
      </x:c>
    </x:row>
    <x:row r="6">
      <x:c r="A6" s="29" t="str">
        <x:v>Bounty Agent</x:v>
      </x:c>
      <x:c r="B6" s="22" t="n">
        <x:v>1</x:v>
      </x:c>
      <x:c r="C6" s="22" t="str">
        <x:v>YES</x:v>
      </x:c>
      <x:c r="D6" s="22" t="str">
        <x:v>Removal</x:v>
      </x:c>
      <x:c r="E6" s="22" t="str">
        <x:v>Support</x:v>
      </x:c>
      <x:c r="F6" s="25" t="n">
        <x:v>7.6</x:v>
      </x:c>
      <x:c r="G6" s="22" t="str">
        <x:v>REVIEW</x:v>
      </x:c>
      <x:c r="H6" s="22" t="str">
        <x:v>Deck-fit tested against the eight user groups and the Human/token plan.</x:v>
      </x:c>
      <x:c r="I6" s="22" t="str">
        <x:v>NO</x:v>
      </x:c>
      <x:c r="J6" s="22" t="str">
        <x:v>https://edhrec.com/commanders/greymond-avacyns-stalwart/humans</x:v>
      </x:c>
    </x:row>
    <x:row r="7">
      <x:c r="A7" s="29" t="str">
        <x:v>Caduceus, Staff of Hermes</x:v>
      </x:c>
      <x:c r="B7" s="22" t="n">
        <x:v>1</x:v>
      </x:c>
      <x:c r="C7" s="22" t="str">
        <x:v>NO</x:v>
      </x:c>
      <x:c r="D7" s="22" t="str">
        <x:v>Protection</x:v>
      </x:c>
      <x:c r="E7" s="22" t="str">
        <x:v>Support</x:v>
      </x:c>
      <x:c r="F7" s="25" t="n">
        <x:v>8</x:v>
      </x:c>
      <x:c r="G7" s="22" t="str">
        <x:v>CUT — V2</x:v>
      </x:c>
      <x:c r="H7" s="22" t="str">
        <x:v>High ceiling protection/buff, but slow/conditional equipment slot.</x:v>
      </x:c>
      <x:c r="I7" s="22" t="str">
        <x:v>YES</x:v>
      </x:c>
      <x:c r="J7" s="22" t="str">
        <x:v>https://edhrec.com/commanders/greymond-avacyns-stalwart/humans</x:v>
      </x:c>
    </x:row>
    <x:row r="8">
      <x:c r="A8" s="29" t="str">
        <x:v>Call the Coppercoats</x:v>
      </x:c>
      <x:c r="B8" s="22" t="n">
        <x:v>1</x:v>
      </x:c>
      <x:c r="C8" s="22" t="str">
        <x:v>NO</x:v>
      </x:c>
      <x:c r="D8" s="22" t="str">
        <x:v>Token</x:v>
      </x:c>
      <x:c r="E8" s="22" t="str">
        <x:v>Core</x:v>
      </x:c>
      <x:c r="F8" s="25" t="n">
        <x:v>9</x:v>
      </x:c>
      <x:c r="G8" s="22" t="str">
        <x:v>CORE</x:v>
      </x:c>
      <x:c r="H8" s="22" t="str">
        <x:v>Deck-fit tested against the eight user groups and the Human/token plan.</x:v>
      </x:c>
      <x:c r="I8" s="22" t="str">
        <x:v>NO</x:v>
      </x:c>
      <x:c r="J8" s="22" t="str">
        <x:v>https://edhrec.com/commanders/greymond-avacyns-stalwart/humans</x:v>
      </x:c>
    </x:row>
    <x:row r="9">
      <x:c r="A9" s="29" t="str">
        <x:v>Castle Ardenvale</x:v>
      </x:c>
      <x:c r="B9" s="22" t="n">
        <x:v>1</x:v>
      </x:c>
      <x:c r="C9" s="22" t="str">
        <x:v>NO</x:v>
      </x:c>
      <x:c r="D9" s="22" t="str">
        <x:v>Token</x:v>
      </x:c>
      <x:c r="E9" s="22" t="str">
        <x:v>Support</x:v>
      </x:c>
      <x:c r="F9" s="25" t="n">
        <x:v>7.7</x:v>
      </x:c>
      <x:c r="G9" s="22" t="str">
        <x:v>REVIEW</x:v>
      </x:c>
      <x:c r="H9" s="22" t="str">
        <x:v>Deck-fit tested against the eight user groups and the Human/token plan.</x:v>
      </x:c>
      <x:c r="I9" s="22" t="str">
        <x:v>NO</x:v>
      </x:c>
      <x:c r="J9" s="22" t="str">
        <x:v>https://edhrec.com/commanders/greymond-avacyns-stalwart/humans</x:v>
      </x:c>
    </x:row>
    <x:row r="10">
      <x:c r="A10" s="29" t="str">
        <x:v>Cathar Commando</x:v>
      </x:c>
      <x:c r="B10" s="22" t="n">
        <x:v>1</x:v>
      </x:c>
      <x:c r="C10" s="22" t="str">
        <x:v>YES</x:v>
      </x:c>
      <x:c r="D10" s="22" t="str">
        <x:v>Removal</x:v>
      </x:c>
      <x:c r="E10" s="22" t="str">
        <x:v>Support</x:v>
      </x:c>
      <x:c r="F10" s="25" t="n">
        <x:v>8.7</x:v>
      </x:c>
      <x:c r="G10" s="22" t="str">
        <x:v>PLAYABLE</x:v>
      </x:c>
      <x:c r="H10" s="22" t="str">
        <x:v>Deck-fit tested against the eight user groups and the Human/token plan.</x:v>
      </x:c>
      <x:c r="I10" s="22" t="str">
        <x:v>NO</x:v>
      </x:c>
      <x:c r="J10" s="22" t="str">
        <x:v>https://edhrec.com/commanders/greymond-avacyns-stalwart/humans</x:v>
      </x:c>
    </x:row>
    <x:row r="11">
      <x:c r="A11" s="29" t="str">
        <x:v>Cemetery Protector</x:v>
      </x:c>
      <x:c r="B11" s="22" t="n">
        <x:v>1</x:v>
      </x:c>
      <x:c r="C11" s="22" t="str">
        <x:v>YES</x:v>
      </x:c>
      <x:c r="D11" s="22" t="str">
        <x:v>Token</x:v>
      </x:c>
      <x:c r="E11" s="22" t="str">
        <x:v>Core</x:v>
      </x:c>
      <x:c r="F11" s="25" t="n">
        <x:v>9</x:v>
      </x:c>
      <x:c r="G11" s="22" t="str">
        <x:v>CORE</x:v>
      </x:c>
      <x:c r="H11" s="22" t="str">
        <x:v>Human plus graveyard hate plus repeatable Human tokens.</x:v>
      </x:c>
      <x:c r="I11" s="22" t="str">
        <x:v>NO</x:v>
      </x:c>
      <x:c r="J11" s="22" t="str">
        <x:v>https://edhrec.com/commanders/greymond-avacyns-stalwart/humans</x:v>
      </x:c>
    </x:row>
    <x:row r="12">
      <x:c r="A12" s="29" t="str">
        <x:v>Commander's Plate</x:v>
      </x:c>
      <x:c r="B12" s="22" t="n">
        <x:v>1</x:v>
      </x:c>
      <x:c r="C12" s="22" t="str">
        <x:v>NO</x:v>
      </x:c>
      <x:c r="D12" s="22" t="str">
        <x:v>Protection</x:v>
      </x:c>
      <x:c r="E12" s="22" t="str">
        <x:v>Support</x:v>
      </x:c>
      <x:c r="F12" s="25" t="n">
        <x:v>8.4</x:v>
      </x:c>
      <x:c r="G12" s="22" t="str">
        <x:v>PLAYABLE</x:v>
      </x:c>
      <x:c r="H12" s="22" t="str">
        <x:v>Deck-fit tested against the eight user groups and the Human/token plan.</x:v>
      </x:c>
      <x:c r="I12" s="22" t="str">
        <x:v>NO</x:v>
      </x:c>
      <x:c r="J12" s="22" t="str">
        <x:v>https://edhrec.com/commanders/greymond-avacyns-stalwart/humans</x:v>
      </x:c>
    </x:row>
    <x:row r="13">
      <x:c r="A13" s="29" t="str">
        <x:v>Court of Ardenvale</x:v>
      </x:c>
      <x:c r="B13" s="22" t="n">
        <x:v>1</x:v>
      </x:c>
      <x:c r="C13" s="22" t="str">
        <x:v>NO</x:v>
      </x:c>
      <x:c r="D13" s="22" t="str">
        <x:v>Draw</x:v>
      </x:c>
      <x:c r="E13" s="22" t="str">
        <x:v>Support</x:v>
      </x:c>
      <x:c r="F13" s="25" t="n">
        <x:v>8.2</x:v>
      </x:c>
      <x:c r="G13" s="22" t="str">
        <x:v>CUT — V2</x:v>
      </x:c>
      <x:c r="H13" s="22" t="str">
        <x:v>Four-mana monarch/recursion is slow for this pressure plan.</x:v>
      </x:c>
      <x:c r="I13" s="22" t="str">
        <x:v>YES</x:v>
      </x:c>
      <x:c r="J13" s="22" t="str">
        <x:v>https://edhrec.com/commanders/greymond-avacyns-stalwart/humans</x:v>
      </x:c>
    </x:row>
    <x:row r="14">
      <x:c r="A14" s="29" t="str">
        <x:v>Crackdown</x:v>
      </x:c>
      <x:c r="B14" s="22" t="n">
        <x:v>1</x:v>
      </x:c>
      <x:c r="C14" s="22" t="str">
        <x:v>NO</x:v>
      </x:c>
      <x:c r="D14" s="22" t="str">
        <x:v>Tax</x:v>
      </x:c>
      <x:c r="E14" s="22" t="str">
        <x:v>Support</x:v>
      </x:c>
      <x:c r="F14" s="25" t="n">
        <x:v>8</x:v>
      </x:c>
      <x:c r="G14" s="22" t="str">
        <x:v>PLAYABLE</x:v>
      </x:c>
      <x:c r="H14" s="22" t="str">
        <x:v>Deck-fit tested against the eight user groups and the Human/token plan.</x:v>
      </x:c>
      <x:c r="I14" s="22" t="str">
        <x:v>NO</x:v>
      </x:c>
      <x:c r="J14" s="22" t="str">
        <x:v>https://edhrec.com/commanders/greymond-avacyns-stalwart/humans</x:v>
      </x:c>
    </x:row>
    <x:row r="15">
      <x:c r="A15" s="29" t="str">
        <x:v>Duelist's Heritage</x:v>
      </x:c>
      <x:c r="B15" s="22" t="n">
        <x:v>1</x:v>
      </x:c>
      <x:c r="C15" s="22" t="str">
        <x:v>NO</x:v>
      </x:c>
      <x:c r="D15" s="22" t="str">
        <x:v>Buff</x:v>
      </x:c>
      <x:c r="E15" s="22" t="str">
        <x:v>Support</x:v>
      </x:c>
      <x:c r="F15" s="25" t="n">
        <x:v>8</x:v>
      </x:c>
      <x:c r="G15" s="22" t="str">
        <x:v>CUT — V2</x:v>
      </x:c>
      <x:c r="H15" s="22" t="str">
        <x:v>Very strong combat card, but non-Human and narrower than the Human alternatives.</x:v>
      </x:c>
      <x:c r="I15" s="22" t="str">
        <x:v>YES</x:v>
      </x:c>
      <x:c r="J15" s="22" t="str">
        <x:v>https://edhrec.com/commanders/greymond-avacyns-stalwart/humans</x:v>
      </x:c>
    </x:row>
    <x:row r="16">
      <x:c r="A16" s="29" t="str">
        <x:v>Dusk // Dawn</x:v>
      </x:c>
      <x:c r="B16" s="22" t="n">
        <x:v>1</x:v>
      </x:c>
      <x:c r="C16" s="22" t="str">
        <x:v>NO</x:v>
      </x:c>
      <x:c r="D16" s="22" t="str">
        <x:v>Removal</x:v>
      </x:c>
      <x:c r="E16" s="22" t="str">
        <x:v>Support</x:v>
      </x:c>
      <x:c r="F16" s="25" t="n">
        <x:v>8.7</x:v>
      </x:c>
      <x:c r="G16" s="22" t="str">
        <x:v>PLAYABLE</x:v>
      </x:c>
      <x:c r="H16" s="22" t="str">
        <x:v>Flexible reset plus recursion; good recovery tool.</x:v>
      </x:c>
      <x:c r="I16" s="22" t="str">
        <x:v>NO</x:v>
      </x:c>
      <x:c r="J16" s="22" t="str">
        <x:v>https://edhrec.com/commanders/greymond-avacyns-stalwart/humans</x:v>
      </x:c>
    </x:row>
    <x:row r="17">
      <x:c r="A17" s="29" t="str">
        <x:v>Enduring Innocence</x:v>
      </x:c>
      <x:c r="B17" s="22" t="n">
        <x:v>1</x:v>
      </x:c>
      <x:c r="C17" s="22" t="str">
        <x:v>NO</x:v>
      </x:c>
      <x:c r="D17" s="22" t="str">
        <x:v>Draw</x:v>
      </x:c>
      <x:c r="E17" s="22" t="str">
        <x:v>Support</x:v>
      </x:c>
      <x:c r="F17" s="25" t="n">
        <x:v>8.8</x:v>
      </x:c>
      <x:c r="G17" s="22" t="str">
        <x:v>PLAYABLE</x:v>
      </x:c>
      <x:c r="H17" s="22" t="str">
        <x:v>Non-Human, but repeated draw and post-death enchantment mode make it resilient.</x:v>
      </x:c>
      <x:c r="I17" s="22" t="str">
        <x:v>NO</x:v>
      </x:c>
      <x:c r="J17" s="22" t="str">
        <x:v>https://edhrec.com/commanders/greymond-avacyns-stalwart/humans</x:v>
      </x:c>
    </x:row>
    <x:row r="18">
      <x:c r="A18" s="29" t="str">
        <x:v>Esper Sentinel</x:v>
      </x:c>
      <x:c r="B18" s="22" t="n">
        <x:v>1</x:v>
      </x:c>
      <x:c r="C18" s="22" t="str">
        <x:v>YES</x:v>
      </x:c>
      <x:c r="D18" s="22" t="str">
        <x:v>Draw</x:v>
      </x:c>
      <x:c r="E18" s="22" t="str">
        <x:v>Core</x:v>
      </x:c>
      <x:c r="F18" s="25" t="n">
        <x:v>9.8</x:v>
      </x:c>
      <x:c r="G18" s="22" t="str">
        <x:v>LOCK</x:v>
      </x:c>
      <x:c r="H18" s="22" t="str">
        <x:v>1-mana Human that turns opposing noncreature casts into card advantage.</x:v>
      </x:c>
      <x:c r="I18" s="22" t="str">
        <x:v>NO</x:v>
      </x:c>
      <x:c r="J18" s="22" t="str">
        <x:v>https://edhrec.com/commanders/greymond-avacyns-stalwart/humans</x:v>
      </x:c>
    </x:row>
    <x:row r="19">
      <x:c r="A19" s="29" t="str">
        <x:v>Final Showdown</x:v>
      </x:c>
      <x:c r="B19" s="22" t="n">
        <x:v>1</x:v>
      </x:c>
      <x:c r="C19" s="22" t="str">
        <x:v>NO</x:v>
      </x:c>
      <x:c r="D19" s="22" t="str">
        <x:v>Removal</x:v>
      </x:c>
      <x:c r="E19" s="22" t="str">
        <x:v>Support</x:v>
      </x:c>
      <x:c r="F19" s="25" t="n">
        <x:v>8.3</x:v>
      </x:c>
      <x:c r="G19" s="22" t="str">
        <x:v>PLAYABLE</x:v>
      </x:c>
      <x:c r="H19" s="22" t="str">
        <x:v>Deck-fit tested against the eight user groups and the Human/token plan.</x:v>
      </x:c>
      <x:c r="I19" s="22" t="str">
        <x:v>NO</x:v>
      </x:c>
      <x:c r="J19" s="22" t="str">
        <x:v>https://edhrec.com/commanders/greymond-avacyns-stalwart/humans</x:v>
      </x:c>
    </x:row>
    <x:row r="20">
      <x:c r="A20" s="29" t="str">
        <x:v>Flawless Maneuver</x:v>
      </x:c>
      <x:c r="B20" s="22" t="n">
        <x:v>1</x:v>
      </x:c>
      <x:c r="C20" s="22" t="str">
        <x:v>NO</x:v>
      </x:c>
      <x:c r="D20" s="22" t="str">
        <x:v>Protection</x:v>
      </x:c>
      <x:c r="E20" s="22" t="str">
        <x:v>Core</x:v>
      </x:c>
      <x:c r="F20" s="25" t="n">
        <x:v>9.2</x:v>
      </x:c>
      <x:c r="G20" s="22" t="str">
        <x:v>CORE</x:v>
      </x:c>
      <x:c r="H20" s="22" t="str">
        <x:v>Free board protection when Greymond is on the battlefield.</x:v>
      </x:c>
      <x:c r="I20" s="22" t="str">
        <x:v>NO</x:v>
      </x:c>
      <x:c r="J20" s="22" t="str">
        <x:v>https://edhrec.com/commanders/greymond-avacyns-stalwart/humans</x:v>
      </x:c>
    </x:row>
    <x:row r="21">
      <x:c r="A21" s="29" t="str">
        <x:v>Get Lost</x:v>
      </x:c>
      <x:c r="B21" s="22" t="n">
        <x:v>1</x:v>
      </x:c>
      <x:c r="C21" s="22" t="str">
        <x:v>NO</x:v>
      </x:c>
      <x:c r="D21" s="22" t="str">
        <x:v>Removal</x:v>
      </x:c>
      <x:c r="E21" s="22" t="str">
        <x:v>Support</x:v>
      </x:c>
      <x:c r="F21" s="25" t="n">
        <x:v>8.7</x:v>
      </x:c>
      <x:c r="G21" s="22" t="str">
        <x:v>PLAYABLE</x:v>
      </x:c>
      <x:c r="H21" s="22" t="str">
        <x:v>Deck-fit tested against the eight user groups and the Human/token plan.</x:v>
      </x:c>
      <x:c r="I21" s="22" t="str">
        <x:v>NO</x:v>
      </x:c>
      <x:c r="J21" s="22" t="str">
        <x:v>https://edhrec.com/commanders/greymond-avacyns-stalwart/humans</x:v>
      </x:c>
    </x:row>
    <x:row r="22">
      <x:c r="A22" s="29" t="str">
        <x:v>Ghostly Prison</x:v>
      </x:c>
      <x:c r="B22" s="22" t="n">
        <x:v>1</x:v>
      </x:c>
      <x:c r="C22" s="22" t="str">
        <x:v>NO</x:v>
      </x:c>
      <x:c r="D22" s="22" t="str">
        <x:v>Tax</x:v>
      </x:c>
      <x:c r="E22" s="22" t="str">
        <x:v>Support</x:v>
      </x:c>
      <x:c r="F22" s="25" t="n">
        <x:v>7.8</x:v>
      </x:c>
      <x:c r="G22" s="22" t="str">
        <x:v>CUT — V2</x:v>
      </x:c>
      <x:c r="H22" s="22" t="str">
        <x:v>Defensive tax; V2 replaces it with proactive Human taxes.</x:v>
      </x:c>
      <x:c r="I22" s="22" t="str">
        <x:v>YES</x:v>
      </x:c>
      <x:c r="J22" s="22" t="str">
        <x:v>https://edhrec.com/commanders/greymond-avacyns-stalwart/humans</x:v>
      </x:c>
    </x:row>
    <x:row r="23">
      <x:c r="A23" s="29" t="str">
        <x:v>Giant Killer</x:v>
      </x:c>
      <x:c r="B23" s="22" t="n">
        <x:v>1</x:v>
      </x:c>
      <x:c r="C23" s="22" t="str">
        <x:v>YES</x:v>
      </x:c>
      <x:c r="D23" s="22" t="str">
        <x:v>Removal</x:v>
      </x:c>
      <x:c r="E23" s="22" t="str">
        <x:v>Support</x:v>
      </x:c>
      <x:c r="F23" s="25" t="n">
        <x:v>8.6</x:v>
      </x:c>
      <x:c r="G23" s="22" t="str">
        <x:v>PLAYABLE</x:v>
      </x:c>
      <x:c r="H23" s="22" t="str">
        <x:v>Deck-fit tested against the eight user groups and the Human/token plan.</x:v>
      </x:c>
      <x:c r="I23" s="22" t="str">
        <x:v>NO</x:v>
      </x:c>
      <x:c r="J23" s="22" t="str">
        <x:v>https://edhrec.com/commanders/greymond-avacyns-stalwart/humans</x:v>
      </x:c>
    </x:row>
    <x:row r="24">
      <x:c r="A24" s="29" t="str">
        <x:v>Hopeful Initiate</x:v>
      </x:c>
      <x:c r="B24" s="22" t="n">
        <x:v>1</x:v>
      </x:c>
      <x:c r="C24" s="22" t="str">
        <x:v>YES</x:v>
      </x:c>
      <x:c r="D24" s="22" t="str">
        <x:v>Removal</x:v>
      </x:c>
      <x:c r="E24" s="22" t="str">
        <x:v>Support</x:v>
      </x:c>
      <x:c r="F24" s="25" t="n">
        <x:v>8.4</x:v>
      </x:c>
      <x:c r="G24" s="22" t="str">
        <x:v>PLAYABLE</x:v>
      </x:c>
      <x:c r="H24" s="22" t="str">
        <x:v>Deck-fit tested against the eight user groups and the Human/token plan.</x:v>
      </x:c>
      <x:c r="I24" s="22" t="str">
        <x:v>NO</x:v>
      </x:c>
      <x:c r="J24" s="22" t="str">
        <x:v>https://edhrec.com/commanders/greymond-avacyns-stalwart/humans</x:v>
      </x:c>
    </x:row>
    <x:row r="25">
      <x:c r="A25" s="29" t="str">
        <x:v>Horn of Gondor</x:v>
      </x:c>
      <x:c r="B25" s="22" t="n">
        <x:v>1</x:v>
      </x:c>
      <x:c r="C25" s="22" t="str">
        <x:v>NO</x:v>
      </x:c>
      <x:c r="D25" s="22" t="str">
        <x:v>Token</x:v>
      </x:c>
      <x:c r="E25" s="22" t="str">
        <x:v>Core</x:v>
      </x:c>
      <x:c r="F25" s="25" t="n">
        <x:v>9.4</x:v>
      </x:c>
      <x:c r="G25" s="22" t="str">
        <x:v>CORE</x:v>
      </x:c>
      <x:c r="H25" s="22" t="str">
        <x:v>Token engine scales directly from Human count.</x:v>
      </x:c>
      <x:c r="I25" s="22" t="str">
        <x:v>NO</x:v>
      </x:c>
      <x:c r="J25" s="22" t="str">
        <x:v>https://edhrec.com/commanders/greymond-avacyns-stalwart/humans</x:v>
      </x:c>
    </x:row>
    <x:row r="26">
      <x:c r="A26" s="29" t="str">
        <x:v>Horn of the Mark</x:v>
      </x:c>
      <x:c r="B26" s="22" t="n">
        <x:v>1</x:v>
      </x:c>
      <x:c r="C26" s="22" t="str">
        <x:v>NO</x:v>
      </x:c>
      <x:c r="D26" s="22" t="str">
        <x:v>Draw</x:v>
      </x:c>
      <x:c r="E26" s="22" t="str">
        <x:v>Support</x:v>
      </x:c>
      <x:c r="F26" s="25" t="n">
        <x:v>8.9</x:v>
      </x:c>
      <x:c r="G26" s="22" t="str">
        <x:v>PLAYABLE</x:v>
      </x:c>
      <x:c r="H26" s="22" t="str">
        <x:v>Deck-fit tested against the eight user groups and the Human/token plan.</x:v>
      </x:c>
      <x:c r="I26" s="22" t="str">
        <x:v>NO</x:v>
      </x:c>
      <x:c r="J26" s="22" t="str">
        <x:v>https://edhrec.com/commanders/greymond-avacyns-stalwart/humans</x:v>
      </x:c>
    </x:row>
    <x:row r="27">
      <x:c r="A27" s="29" t="str">
        <x:v>Hour of Revelation</x:v>
      </x:c>
      <x:c r="B27" s="22" t="n">
        <x:v>1</x:v>
      </x:c>
      <x:c r="C27" s="22" t="str">
        <x:v>NO</x:v>
      </x:c>
      <x:c r="D27" s="22" t="str">
        <x:v>Removal</x:v>
      </x:c>
      <x:c r="E27" s="22" t="str">
        <x:v>Support</x:v>
      </x:c>
      <x:c r="F27" s="25" t="n">
        <x:v>7.6</x:v>
      </x:c>
      <x:c r="G27" s="22" t="str">
        <x:v>CUT — V2</x:v>
      </x:c>
      <x:c r="H27" s="22" t="str">
        <x:v>Powerful but redundant late sweeper; one less reset improves go-wide consistency.</x:v>
      </x:c>
      <x:c r="I27" s="22" t="str">
        <x:v>YES</x:v>
      </x:c>
      <x:c r="J27" s="22" t="str">
        <x:v>https://edhrec.com/commanders/greymond-avacyns-stalwart/humans</x:v>
      </x:c>
    </x:row>
    <x:row r="28">
      <x:c r="A28" s="29" t="str">
        <x:v>Increasing Devotion</x:v>
      </x:c>
      <x:c r="B28" s="22" t="n">
        <x:v>1</x:v>
      </x:c>
      <x:c r="C28" s="22" t="str">
        <x:v>NO</x:v>
      </x:c>
      <x:c r="D28" s="22" t="str">
        <x:v>Token</x:v>
      </x:c>
      <x:c r="E28" s="22" t="str">
        <x:v>Support</x:v>
      </x:c>
      <x:c r="F28" s="25" t="n">
        <x:v>8.9</x:v>
      </x:c>
      <x:c r="G28" s="22" t="str">
        <x:v>PLAYABLE</x:v>
      </x:c>
      <x:c r="H28" s="22" t="str">
        <x:v>Deck-fit tested against the eight user groups and the Human/token plan.</x:v>
      </x:c>
      <x:c r="I28" s="22" t="str">
        <x:v>NO</x:v>
      </x:c>
      <x:c r="J28" s="22" t="str">
        <x:v>https://edhrec.com/commanders/greymond-avacyns-stalwart/humans</x:v>
      </x:c>
    </x:row>
    <x:row r="29">
      <x:c r="A29" s="29" t="str">
        <x:v>Kabira Takedown</x:v>
      </x:c>
      <x:c r="B29" s="22" t="n">
        <x:v>1</x:v>
      </x:c>
      <x:c r="C29" s="22" t="str">
        <x:v>NO</x:v>
      </x:c>
      <x:c r="D29" s="22" t="str">
        <x:v>Removal</x:v>
      </x:c>
      <x:c r="E29" s="22" t="str">
        <x:v>Support</x:v>
      </x:c>
      <x:c r="F29" s="25" t="n">
        <x:v>8</x:v>
      </x:c>
      <x:c r="G29" s="22" t="str">
        <x:v>PLAYABLE</x:v>
      </x:c>
      <x:c r="H29" s="22" t="str">
        <x:v>Deck-fit tested against the eight user groups and the Human/token plan.</x:v>
      </x:c>
      <x:c r="I29" s="22" t="str">
        <x:v>NO</x:v>
      </x:c>
      <x:c r="J29" s="22" t="str">
        <x:v>https://edhrec.com/commanders/greymond-avacyns-stalwart/humans</x:v>
      </x:c>
    </x:row>
    <x:row r="30">
      <x:c r="A30" s="29" t="str">
        <x:v>Land Tax</x:v>
      </x:c>
      <x:c r="B30" s="22" t="n">
        <x:v>1</x:v>
      </x:c>
      <x:c r="C30" s="22" t="str">
        <x:v>NO</x:v>
      </x:c>
      <x:c r="D30" s="22" t="str">
        <x:v>Ramp</x:v>
      </x:c>
      <x:c r="E30" s="22" t="str">
        <x:v>Core</x:v>
      </x:c>
      <x:c r="F30" s="25" t="n">
        <x:v>9</x:v>
      </x:c>
      <x:c r="G30" s="22" t="str">
        <x:v>CORE</x:v>
      </x:c>
      <x:c r="H30" s="22" t="str">
        <x:v>Deck-fit tested against the eight user groups and the Human/token plan.</x:v>
      </x:c>
      <x:c r="I30" s="22" t="str">
        <x:v>NO</x:v>
      </x:c>
      <x:c r="J30" s="22" t="str">
        <x:v>https://edhrec.com/commanders/greymond-avacyns-stalwart/humans</x:v>
      </x:c>
    </x:row>
    <x:row r="31">
      <x:c r="A31" s="29" t="str">
        <x:v>Loran of the Third Path</x:v>
      </x:c>
      <x:c r="B31" s="22" t="n">
        <x:v>1</x:v>
      </x:c>
      <x:c r="C31" s="22" t="str">
        <x:v>YES</x:v>
      </x:c>
      <x:c r="D31" s="22" t="str">
        <x:v>Removal</x:v>
      </x:c>
      <x:c r="E31" s="22" t="str">
        <x:v>Support</x:v>
      </x:c>
      <x:c r="F31" s="25" t="n">
        <x:v>8.9</x:v>
      </x:c>
      <x:c r="G31" s="22" t="str">
        <x:v>PLAYABLE</x:v>
      </x:c>
      <x:c r="H31" s="22" t="str">
        <x:v>Deck-fit tested against the eight user groups and the Human/token plan.</x:v>
      </x:c>
      <x:c r="I31" s="22" t="str">
        <x:v>NO</x:v>
      </x:c>
      <x:c r="J31" s="22" t="str">
        <x:v>https://edhrec.com/commanders/greymond-avacyns-stalwart/humans</x:v>
      </x:c>
    </x:row>
    <x:row r="32">
      <x:c r="A32" s="29" t="str">
        <x:v>Lossarnach Captain</x:v>
      </x:c>
      <x:c r="B32" s="22" t="n">
        <x:v>1</x:v>
      </x:c>
      <x:c r="C32" s="22" t="str">
        <x:v>YES</x:v>
      </x:c>
      <x:c r="D32" s="22" t="str">
        <x:v>Token</x:v>
      </x:c>
      <x:c r="E32" s="22" t="str">
        <x:v>Core</x:v>
      </x:c>
      <x:c r="F32" s="25" t="n">
        <x:v>9.1</x:v>
      </x:c>
      <x:c r="G32" s="22" t="str">
        <x:v>CORE</x:v>
      </x:c>
      <x:c r="H32" s="22" t="str">
        <x:v>Human token engine plus repeated tap tempo from Human ETBs.</x:v>
      </x:c>
      <x:c r="I32" s="22" t="str">
        <x:v>NO</x:v>
      </x:c>
      <x:c r="J32" s="22" t="str">
        <x:v>https://edhrec.com/commanders/greymond-avacyns-stalwart/humans</x:v>
      </x:c>
    </x:row>
    <x:row r="33">
      <x:c r="A33" s="29" t="str">
        <x:v>Magus of the Disk</x:v>
      </x:c>
      <x:c r="B33" s="22" t="n">
        <x:v>1</x:v>
      </x:c>
      <x:c r="C33" s="22" t="str">
        <x:v>YES</x:v>
      </x:c>
      <x:c r="D33" s="22" t="str">
        <x:v>Removal</x:v>
      </x:c>
      <x:c r="E33" s="22" t="str">
        <x:v>Support</x:v>
      </x:c>
      <x:c r="F33" s="25" t="n">
        <x:v>7.8</x:v>
      </x:c>
      <x:c r="G33" s="22" t="str">
        <x:v>CUT — V2</x:v>
      </x:c>
      <x:c r="H33" s="22" t="str">
        <x:v>Human wipe on a body, but slow and symmetrical.</x:v>
      </x:c>
      <x:c r="I33" s="22" t="str">
        <x:v>YES</x:v>
      </x:c>
      <x:c r="J33" s="22" t="str">
        <x:v>https://edhrec.com/commanders/greymond-avacyns-stalwart/humans</x:v>
      </x:c>
    </x:row>
    <x:row r="34">
      <x:c r="A34" s="29" t="str">
        <x:v>Masako the Humorless</x:v>
      </x:c>
      <x:c r="B34" s="22" t="n">
        <x:v>1</x:v>
      </x:c>
      <x:c r="C34" s="22" t="str">
        <x:v>YES</x:v>
      </x:c>
      <x:c r="D34" s="22" t="str">
        <x:v>Combat</x:v>
      </x:c>
      <x:c r="E34" s="22" t="str">
        <x:v>Support</x:v>
      </x:c>
      <x:c r="F34" s="25" t="n">
        <x:v>8</x:v>
      </x:c>
      <x:c r="G34" s="22" t="str">
        <x:v>CUT — V2</x:v>
      </x:c>
      <x:c r="H34" s="22" t="str">
        <x:v>Useful combat surprise, but too narrow for a precious Human slot.</x:v>
      </x:c>
      <x:c r="I34" s="22" t="str">
        <x:v>YES</x:v>
      </x:c>
      <x:c r="J34" s="22" t="str">
        <x:v>https://edhrec.com/commanders/greymond-avacyns-stalwart/humans</x:v>
      </x:c>
    </x:row>
    <x:row r="35">
      <x:c r="A35" s="29" t="str">
        <x:v>Metallic Mimic</x:v>
      </x:c>
      <x:c r="B35" s="22" t="n">
        <x:v>1</x:v>
      </x:c>
      <x:c r="C35" s="22" t="str">
        <x:v>NO</x:v>
      </x:c>
      <x:c r="D35" s="22" t="str">
        <x:v>Buff</x:v>
      </x:c>
      <x:c r="E35" s="22" t="str">
        <x:v>Core</x:v>
      </x:c>
      <x:c r="F35" s="25" t="n">
        <x:v>9.4</x:v>
      </x:c>
      <x:c r="G35" s="22" t="str">
        <x:v>CORE</x:v>
      </x:c>
      <x:c r="H35" s="22" t="str">
        <x:v>Exception to tribal purity that is worth it; name Human for +1/+1 counters.</x:v>
      </x:c>
      <x:c r="I35" s="22" t="str">
        <x:v>NO</x:v>
      </x:c>
      <x:c r="J35" s="22" t="str">
        <x:v>https://edhrec.com/commanders/greymond-avacyns-stalwart/humans</x:v>
      </x:c>
    </x:row>
    <x:row r="36">
      <x:c r="A36" s="29" t="str">
        <x:v>Michiko Konda, Truth Seeker</x:v>
      </x:c>
      <x:c r="B36" s="22" t="n">
        <x:v>1</x:v>
      </x:c>
      <x:c r="C36" s="22" t="str">
        <x:v>YES</x:v>
      </x:c>
      <x:c r="D36" s="22" t="str">
        <x:v>Tax</x:v>
      </x:c>
      <x:c r="E36" s="22" t="str">
        <x:v>Support</x:v>
      </x:c>
      <x:c r="F36" s="25" t="n">
        <x:v>7.8</x:v>
      </x:c>
      <x:c r="G36" s="22" t="str">
        <x:v>CUT — V2</x:v>
      </x:c>
      <x:c r="H36" s="22" t="str">
        <x:v>Reactive deterrent; lower ceiling than proactive Human hatebears.</x:v>
      </x:c>
      <x:c r="I36" s="22" t="str">
        <x:v>YES</x:v>
      </x:c>
      <x:c r="J36" s="22" t="str">
        <x:v>https://edhrec.com/commanders/greymond-avacyns-stalwart/humans</x:v>
      </x:c>
    </x:row>
    <x:row r="37">
      <x:c r="A37" s="29" t="str">
        <x:v>Mikaeus, the Lunarch</x:v>
      </x:c>
      <x:c r="B37" s="22" t="n">
        <x:v>1</x:v>
      </x:c>
      <x:c r="C37" s="22" t="str">
        <x:v>YES</x:v>
      </x:c>
      <x:c r="D37" s="22" t="str">
        <x:v>Buff</x:v>
      </x:c>
      <x:c r="E37" s="22" t="str">
        <x:v>Support</x:v>
      </x:c>
      <x:c r="F37" s="25" t="n">
        <x:v>8.8</x:v>
      </x:c>
      <x:c r="G37" s="22" t="str">
        <x:v>PLAYABLE</x:v>
      </x:c>
      <x:c r="H37" s="22" t="str">
        <x:v>Deck-fit tested against the eight user groups and the Human/token plan.</x:v>
      </x:c>
      <x:c r="I37" s="22" t="str">
        <x:v>NO</x:v>
      </x:c>
      <x:c r="J37" s="22" t="str">
        <x:v>https://edhrec.com/commanders/greymond-avacyns-stalwart/humans</x:v>
      </x:c>
    </x:row>
    <x:row r="38">
      <x:c r="A38" s="29" t="str">
        <x:v>Mirror Entity</x:v>
      </x:c>
      <x:c r="B38" s="22" t="n">
        <x:v>1</x:v>
      </x:c>
      <x:c r="C38" s="22" t="str">
        <x:v>YES</x:v>
      </x:c>
      <x:c r="D38" s="22" t="str">
        <x:v>Buff</x:v>
      </x:c>
      <x:c r="E38" s="22" t="str">
        <x:v>Core</x:v>
      </x:c>
      <x:c r="F38" s="25" t="n">
        <x:v>9.5</x:v>
      </x:c>
      <x:c r="G38" s="22" t="str">
        <x:v>LOCK</x:v>
      </x:c>
      <x:c r="H38" s="22" t="str">
        <x:v>Changeling = Human; converts a wide board into a lethal X/X army.</x:v>
      </x:c>
      <x:c r="I38" s="22" t="str">
        <x:v>NO</x:v>
      </x:c>
      <x:c r="J38" s="22" t="str">
        <x:v>https://edhrec.com/commanders/greymond-avacyns-stalwart/humans</x:v>
      </x:c>
    </x:row>
    <x:row r="39">
      <x:c r="A39" s="29" t="str">
        <x:v>Mistveil Plains</x:v>
      </x:c>
      <x:c r="B39" s="22" t="n">
        <x:v>1</x:v>
      </x:c>
      <x:c r="C39" s="22" t="str">
        <x:v>NO</x:v>
      </x:c>
      <x:c r="D39" s="22" t="str">
        <x:v>Land</x:v>
      </x:c>
      <x:c r="E39" s="22" t="str">
        <x:v>Support</x:v>
      </x:c>
      <x:c r="F39" s="25" t="n">
        <x:v>7.2</x:v>
      </x:c>
      <x:c r="G39" s="22" t="str">
        <x:v>REVIEW</x:v>
      </x:c>
      <x:c r="H39" s="22" t="str">
        <x:v>Deck-fit tested against the eight user groups and the Human/token plan.</x:v>
      </x:c>
      <x:c r="I39" s="22" t="str">
        <x:v>NO</x:v>
      </x:c>
      <x:c r="J39" s="22" t="str">
        <x:v>https://edhrec.com/commanders/greymond-avacyns-stalwart/humans</x:v>
      </x:c>
    </x:row>
    <x:row r="40">
      <x:c r="A40" s="29" t="str">
        <x:v>Monumental Henge</x:v>
      </x:c>
      <x:c r="B40" s="22" t="n">
        <x:v>1</x:v>
      </x:c>
      <x:c r="C40" s="22" t="str">
        <x:v>NO</x:v>
      </x:c>
      <x:c r="D40" s="22" t="str">
        <x:v>Land</x:v>
      </x:c>
      <x:c r="E40" s="22" t="str">
        <x:v>Support</x:v>
      </x:c>
      <x:c r="F40" s="25" t="n">
        <x:v>7</x:v>
      </x:c>
      <x:c r="G40" s="22" t="str">
        <x:v>REVIEW</x:v>
      </x:c>
      <x:c r="H40" s="22" t="str">
        <x:v>Deck-fit tested against the eight user groups and the Human/token plan.</x:v>
      </x:c>
      <x:c r="I40" s="22" t="str">
        <x:v>NO</x:v>
      </x:c>
      <x:c r="J40" s="22" t="str">
        <x:v>https://edhrec.com/commanders/greymond-avacyns-stalwart/humans</x:v>
      </x:c>
    </x:row>
    <x:row r="41">
      <x:c r="A41" s="29" t="str">
        <x:v>Mother of Runes</x:v>
      </x:c>
      <x:c r="B41" s="22" t="n">
        <x:v>1</x:v>
      </x:c>
      <x:c r="C41" s="22" t="str">
        <x:v>YES</x:v>
      </x:c>
      <x:c r="D41" s="22" t="str">
        <x:v>Protection</x:v>
      </x:c>
      <x:c r="E41" s="22" t="str">
        <x:v>Core</x:v>
      </x:c>
      <x:c r="F41" s="25" t="n">
        <x:v>9.8</x:v>
      </x:c>
      <x:c r="G41" s="22" t="str">
        <x:v>LOCK</x:v>
      </x:c>
      <x:c r="H41" s="22" t="str">
        <x:v>Repeatable Human protection and combat evasion.</x:v>
      </x:c>
      <x:c r="I41" s="22" t="str">
        <x:v>NO</x:v>
      </x:c>
      <x:c r="J41" s="22" t="str">
        <x:v>https://edhrec.com/commanders/greymond-avacyns-stalwart/humans</x:v>
      </x:c>
    </x:row>
    <x:row r="42">
      <x:c r="A42" s="29" t="str">
        <x:v>Nykthos, Shrine to Nyx</x:v>
      </x:c>
      <x:c r="B42" s="22" t="n">
        <x:v>1</x:v>
      </x:c>
      <x:c r="C42" s="22" t="str">
        <x:v>NO</x:v>
      </x:c>
      <x:c r="D42" s="22" t="str">
        <x:v>Ramp</x:v>
      </x:c>
      <x:c r="E42" s="22" t="str">
        <x:v>Support</x:v>
      </x:c>
      <x:c r="F42" s="25" t="n">
        <x:v>8.8</x:v>
      </x:c>
      <x:c r="G42" s="22" t="str">
        <x:v>PLAYABLE</x:v>
      </x:c>
      <x:c r="H42" s="22" t="str">
        <x:v>Deck-fit tested against the eight user groups and the Human/token plan.</x:v>
      </x:c>
      <x:c r="I42" s="22" t="str">
        <x:v>NO</x:v>
      </x:c>
      <x:c r="J42" s="22" t="str">
        <x:v>https://edhrec.com/commanders/greymond-avacyns-stalwart/humans</x:v>
      </x:c>
    </x:row>
    <x:row r="43">
      <x:c r="A43" s="29" t="str">
        <x:v>Nyx Lotus</x:v>
      </x:c>
      <x:c r="B43" s="22" t="n">
        <x:v>1</x:v>
      </x:c>
      <x:c r="C43" s="22" t="str">
        <x:v>NO</x:v>
      </x:c>
      <x:c r="D43" s="22" t="str">
        <x:v>Ramp</x:v>
      </x:c>
      <x:c r="E43" s="22" t="str">
        <x:v>Support</x:v>
      </x:c>
      <x:c r="F43" s="25" t="n">
        <x:v>8.2</x:v>
      </x:c>
      <x:c r="G43" s="22" t="str">
        <x:v>CUT — V2</x:v>
      </x:c>
      <x:c r="H43" s="22" t="str">
        <x:v>High ceiling but five-mana setup is too slow for aggressive early turns.</x:v>
      </x:c>
      <x:c r="I43" s="22" t="str">
        <x:v>YES</x:v>
      </x:c>
      <x:c r="J43" s="22" t="str">
        <x:v>https://edhrec.com/commanders/greymond-avacyns-stalwart/humans</x:v>
      </x:c>
    </x:row>
    <x:row r="44">
      <x:c r="A44" s="29" t="str">
        <x:v>Oketra's Monument</x:v>
      </x:c>
      <x:c r="B44" s="22" t="n">
        <x:v>1</x:v>
      </x:c>
      <x:c r="C44" s="22" t="str">
        <x:v>NO</x:v>
      </x:c>
      <x:c r="D44" s="22" t="str">
        <x:v>Ramp</x:v>
      </x:c>
      <x:c r="E44" s="22" t="str">
        <x:v>Core</x:v>
      </x:c>
      <x:c r="F44" s="25" t="n">
        <x:v>9.1</x:v>
      </x:c>
      <x:c r="G44" s="22" t="str">
        <x:v>CORE</x:v>
      </x:c>
      <x:c r="H44" s="22" t="str">
        <x:v>Deck-fit tested against the eight user groups and the Human/token plan.</x:v>
      </x:c>
      <x:c r="I44" s="22" t="str">
        <x:v>NO</x:v>
      </x:c>
      <x:c r="J44" s="22" t="str">
        <x:v>https://edhrec.com/commanders/greymond-avacyns-stalwart/humans</x:v>
      </x:c>
    </x:row>
    <x:row r="45">
      <x:c r="A45" s="29" t="str">
        <x:v>Ondu Inversion</x:v>
      </x:c>
      <x:c r="B45" s="22" t="n">
        <x:v>1</x:v>
      </x:c>
      <x:c r="C45" s="22" t="str">
        <x:v>NO</x:v>
      </x:c>
      <x:c r="D45" s="22" t="str">
        <x:v>Removal</x:v>
      </x:c>
      <x:c r="E45" s="22" t="str">
        <x:v>Support</x:v>
      </x:c>
      <x:c r="F45" s="25" t="n">
        <x:v>7.7</x:v>
      </x:c>
      <x:c r="G45" s="22" t="str">
        <x:v>REVIEW</x:v>
      </x:c>
      <x:c r="H45" s="22" t="str">
        <x:v>Deck-fit tested against the eight user groups and the Human/token plan.</x:v>
      </x:c>
      <x:c r="I45" s="22" t="str">
        <x:v>NO</x:v>
      </x:c>
      <x:c r="J45" s="22" t="str">
        <x:v>https://edhrec.com/commanders/greymond-avacyns-stalwart/humans</x:v>
      </x:c>
    </x:row>
    <x:row r="46">
      <x:c r="A46" s="29" t="str">
        <x:v>Paladin Class</x:v>
      </x:c>
      <x:c r="B46" s="22" t="n">
        <x:v>1</x:v>
      </x:c>
      <x:c r="C46" s="22" t="str">
        <x:v>NO</x:v>
      </x:c>
      <x:c r="D46" s="22" t="str">
        <x:v>Tax</x:v>
      </x:c>
      <x:c r="E46" s="22" t="str">
        <x:v>Support</x:v>
      </x:c>
      <x:c r="F46" s="25" t="n">
        <x:v>8.5</x:v>
      </x:c>
      <x:c r="G46" s="22" t="str">
        <x:v>PLAYABLE</x:v>
      </x:c>
      <x:c r="H46" s="22" t="str">
        <x:v>Deck-fit tested against the eight user groups and the Human/token plan.</x:v>
      </x:c>
      <x:c r="I46" s="22" t="str">
        <x:v>NO</x:v>
      </x:c>
      <x:c r="J46" s="22" t="str">
        <x:v>https://edhrec.com/commanders/greymond-avacyns-stalwart/humans</x:v>
      </x:c>
    </x:row>
    <x:row r="47">
      <x:c r="A47" s="29" t="str">
        <x:v>Path of Ancestry</x:v>
      </x:c>
      <x:c r="B47" s="22" t="n">
        <x:v>1</x:v>
      </x:c>
      <x:c r="C47" s="22" t="str">
        <x:v>NO</x:v>
      </x:c>
      <x:c r="D47" s="22" t="str">
        <x:v>Land</x:v>
      </x:c>
      <x:c r="E47" s="22" t="str">
        <x:v>Support</x:v>
      </x:c>
      <x:c r="F47" s="25" t="n">
        <x:v>8.6</x:v>
      </x:c>
      <x:c r="G47" s="22" t="str">
        <x:v>PLAYABLE</x:v>
      </x:c>
      <x:c r="H47" s="22" t="str">
        <x:v>Deck-fit tested against the eight user groups and the Human/token plan.</x:v>
      </x:c>
      <x:c r="I47" s="22" t="str">
        <x:v>NO</x:v>
      </x:c>
      <x:c r="J47" s="22" t="str">
        <x:v>https://edhrec.com/commanders/greymond-avacyns-stalwart/humans</x:v>
      </x:c>
    </x:row>
    <x:row r="48">
      <x:c r="A48" s="29" t="str">
        <x:v>Pearl Medallion</x:v>
      </x:c>
      <x:c r="B48" s="22" t="n">
        <x:v>1</x:v>
      </x:c>
      <x:c r="C48" s="22" t="str">
        <x:v>NO</x:v>
      </x:c>
      <x:c r="D48" s="22" t="str">
        <x:v>Ramp</x:v>
      </x:c>
      <x:c r="E48" s="22" t="str">
        <x:v>Core</x:v>
      </x:c>
      <x:c r="F48" s="25" t="n">
        <x:v>9</x:v>
      </x:c>
      <x:c r="G48" s="22" t="str">
        <x:v>CORE</x:v>
      </x:c>
      <x:c r="H48" s="22" t="str">
        <x:v>Deck-fit tested against the eight user groups and the Human/token plan.</x:v>
      </x:c>
      <x:c r="I48" s="22" t="str">
        <x:v>NO</x:v>
      </x:c>
      <x:c r="J48" s="22" t="str">
        <x:v>https://edhrec.com/commanders/greymond-avacyns-stalwart/humans</x:v>
      </x:c>
    </x:row>
    <x:row r="49">
      <x:c r="A49" s="29" t="str">
        <x:v>Plains</x:v>
      </x:c>
      <x:c r="B49" s="22" t="n">
        <x:v>23</x:v>
      </x:c>
      <x:c r="C49" s="22" t="str">
        <x:v>NO</x:v>
      </x:c>
      <x:c r="D49" s="22" t="str">
        <x:v>Land</x:v>
      </x:c>
      <x:c r="E49" s="22" t="str">
        <x:v>Support</x:v>
      </x:c>
      <x:c r="F49" s="25" t="n">
        <x:v>8</x:v>
      </x:c>
      <x:c r="G49" s="22" t="str">
        <x:v>PLAYABLE</x:v>
      </x:c>
      <x:c r="H49" s="22" t="str">
        <x:v>Deck-fit tested against the eight user groups and the Human/token plan.</x:v>
      </x:c>
      <x:c r="I49" s="22" t="str">
        <x:v>NO</x:v>
      </x:c>
      <x:c r="J49" s="22" t="str">
        <x:v>User decklist</x:v>
      </x:c>
    </x:row>
    <x:row r="50">
      <x:c r="A50" s="29" t="str">
        <x:v>Razorgrass Ambush</x:v>
      </x:c>
      <x:c r="B50" s="22" t="n">
        <x:v>1</x:v>
      </x:c>
      <x:c r="C50" s="22" t="str">
        <x:v>NO</x:v>
      </x:c>
      <x:c r="D50" s="22" t="str">
        <x:v>Removal</x:v>
      </x:c>
      <x:c r="E50" s="22" t="str">
        <x:v>Support</x:v>
      </x:c>
      <x:c r="F50" s="25" t="n">
        <x:v>7.8</x:v>
      </x:c>
      <x:c r="G50" s="22" t="str">
        <x:v>REVIEW</x:v>
      </x:c>
      <x:c r="H50" s="22" t="str">
        <x:v>Deck-fit tested against the eight user groups and the Human/token plan.</x:v>
      </x:c>
      <x:c r="I50" s="22" t="str">
        <x:v>NO</x:v>
      </x:c>
      <x:c r="J50" s="22" t="str">
        <x:v>https://edhrec.com/commanders/greymond-avacyns-stalwart/humans</x:v>
      </x:c>
    </x:row>
    <x:row r="51">
      <x:c r="A51" s="29" t="str">
        <x:v>Recruiter of the Guard</x:v>
      </x:c>
      <x:c r="B51" s="22" t="n">
        <x:v>1</x:v>
      </x:c>
      <x:c r="C51" s="22" t="str">
        <x:v>YES</x:v>
      </x:c>
      <x:c r="D51" s="22" t="str">
        <x:v>Tutor</x:v>
      </x:c>
      <x:c r="E51" s="22" t="str">
        <x:v>Core</x:v>
      </x:c>
      <x:c r="F51" s="25" t="n">
        <x:v>9.3</x:v>
      </x:c>
      <x:c r="G51" s="22" t="str">
        <x:v>CORE</x:v>
      </x:c>
      <x:c r="H51" s="22" t="str">
        <x:v>Human tutor increases consistency and finds much of the toolbox.</x:v>
      </x:c>
      <x:c r="I51" s="22" t="str">
        <x:v>NO</x:v>
      </x:c>
      <x:c r="J51" s="22" t="str">
        <x:v>https://edhrec.com/commanders/greymond-avacyns-stalwart/humans</x:v>
      </x:c>
    </x:row>
    <x:row r="52">
      <x:c r="A52" s="29" t="str">
        <x:v>Selfless Spirit</x:v>
      </x:c>
      <x:c r="B52" s="22" t="n">
        <x:v>1</x:v>
      </x:c>
      <x:c r="C52" s="22" t="str">
        <x:v>NO</x:v>
      </x:c>
      <x:c r="D52" s="22" t="str">
        <x:v>Protection</x:v>
      </x:c>
      <x:c r="E52" s="22" t="str">
        <x:v>Support</x:v>
      </x:c>
      <x:c r="F52" s="25" t="n">
        <x:v>8.8</x:v>
      </x:c>
      <x:c r="G52" s="22" t="str">
        <x:v>PLAYABLE</x:v>
      </x:c>
      <x:c r="H52" s="22" t="str">
        <x:v>Not Human; still valuable as a one-shot board-protection body.</x:v>
      </x:c>
      <x:c r="I52" s="22" t="str">
        <x:v>NO</x:v>
      </x:c>
      <x:c r="J52" s="22" t="str">
        <x:v>https://edhrec.com/commanders/greymond-avacyns-stalwart/humans</x:v>
      </x:c>
    </x:row>
    <x:row r="53">
      <x:c r="A53" s="29" t="str">
        <x:v>Skullclamp</x:v>
      </x:c>
      <x:c r="B53" s="22" t="n">
        <x:v>1</x:v>
      </x:c>
      <x:c r="C53" s="22" t="str">
        <x:v>NO</x:v>
      </x:c>
      <x:c r="D53" s="22" t="str">
        <x:v>Draw</x:v>
      </x:c>
      <x:c r="E53" s="22" t="str">
        <x:v>Core</x:v>
      </x:c>
      <x:c r="F53" s="25" t="n">
        <x:v>9.6</x:v>
      </x:c>
      <x:c r="G53" s="22" t="str">
        <x:v>LOCK</x:v>
      </x:c>
      <x:c r="H53" s="22" t="str">
        <x:v>Outstanding token draw engine; turns disposable bodies into cards.</x:v>
      </x:c>
      <x:c r="I53" s="22" t="str">
        <x:v>NO</x:v>
      </x:c>
      <x:c r="J53" s="22" t="str">
        <x:v>https://edhrec.com/commanders/greymond-avacyns-stalwart/humans</x:v>
      </x:c>
    </x:row>
    <x:row r="54">
      <x:c r="A54" s="29" t="str">
        <x:v>Smothering Tithe</x:v>
      </x:c>
      <x:c r="B54" s="22" t="n">
        <x:v>1</x:v>
      </x:c>
      <x:c r="C54" s="22" t="str">
        <x:v>NO</x:v>
      </x:c>
      <x:c r="D54" s="22" t="str">
        <x:v>Ramp</x:v>
      </x:c>
      <x:c r="E54" s="22" t="str">
        <x:v>Core</x:v>
      </x:c>
      <x:c r="F54" s="25" t="n">
        <x:v>9.5</x:v>
      </x:c>
      <x:c r="G54" s="22" t="str">
        <x:v>LOCK</x:v>
      </x:c>
      <x:c r="H54" s="22" t="str">
        <x:v>Deck-fit tested against the eight user groups and the Human/token plan.</x:v>
      </x:c>
      <x:c r="I54" s="22" t="str">
        <x:v>NO</x:v>
      </x:c>
      <x:c r="J54" s="22" t="str">
        <x:v>https://edhrec.com/commanders/greymond-avacyns-stalwart/humans</x:v>
      </x:c>
    </x:row>
    <x:row r="55">
      <x:c r="A55" s="29" t="str">
        <x:v>Sol Ring</x:v>
      </x:c>
      <x:c r="B55" s="22" t="n">
        <x:v>1</x:v>
      </x:c>
      <x:c r="C55" s="22" t="str">
        <x:v>NO</x:v>
      </x:c>
      <x:c r="D55" s="22" t="str">
        <x:v>Ramp</x:v>
      </x:c>
      <x:c r="E55" s="22" t="str">
        <x:v>Core</x:v>
      </x:c>
      <x:c r="F55" s="25" t="n">
        <x:v>10</x:v>
      </x:c>
      <x:c r="G55" s="22" t="str">
        <x:v>LOCK</x:v>
      </x:c>
      <x:c r="H55" s="22" t="str">
        <x:v>Best-in-slot acceleration; automatic keep.</x:v>
      </x:c>
      <x:c r="I55" s="22" t="str">
        <x:v>NO</x:v>
      </x:c>
      <x:c r="J55" s="22" t="str">
        <x:v>https://edhrec.com/commanders/greymond-avacyns-stalwart/humans</x:v>
      </x:c>
    </x:row>
    <x:row r="56">
      <x:c r="A56" s="29" t="str">
        <x:v>Spectacular Spider-Man</x:v>
      </x:c>
      <x:c r="B56" s="22" t="n">
        <x:v>1</x:v>
      </x:c>
      <x:c r="C56" s="22" t="str">
        <x:v>YES</x:v>
      </x:c>
      <x:c r="D56" s="22" t="str">
        <x:v>Protection</x:v>
      </x:c>
      <x:c r="E56" s="22" t="str">
        <x:v>Support</x:v>
      </x:c>
      <x:c r="F56" s="25" t="n">
        <x:v>8.6</x:v>
      </x:c>
      <x:c r="G56" s="22" t="str">
        <x:v>PLAYABLE</x:v>
      </x:c>
      <x:c r="H56" s="22" t="str">
        <x:v>Human Hero; sacrifice mode provides broad team protection.</x:v>
      </x:c>
      <x:c r="I56" s="22" t="str">
        <x:v>NO</x:v>
      </x:c>
      <x:c r="J56" s="22" t="str">
        <x:v>https://edhrec.com/commanders/greymond-avacyns-stalwart/humans</x:v>
      </x:c>
    </x:row>
    <x:row r="57">
      <x:c r="A57" s="29" t="str">
        <x:v>Storm Herd</x:v>
      </x:c>
      <x:c r="B57" s="22" t="n">
        <x:v>1</x:v>
      </x:c>
      <x:c r="C57" s="22" t="str">
        <x:v>NO</x:v>
      </x:c>
      <x:c r="D57" s="22" t="str">
        <x:v>Token</x:v>
      </x:c>
      <x:c r="E57" s="22" t="str">
        <x:v>Support</x:v>
      </x:c>
      <x:c r="F57" s="25" t="n">
        <x:v>7.4</x:v>
      </x:c>
      <x:c r="G57" s="22" t="str">
        <x:v>CUT — V2</x:v>
      </x:c>
      <x:c r="H57" s="22" t="str">
        <x:v>8-mana Pegasus swarm; powerful standalone but too late and not Human.</x:v>
      </x:c>
      <x:c r="I57" s="22" t="str">
        <x:v>YES</x:v>
      </x:c>
      <x:c r="J57" s="22" t="str">
        <x:v>https://edhrec.com/commanders/greymond-avacyns-stalwart/humans</x:v>
      </x:c>
    </x:row>
    <x:row r="58">
      <x:c r="A58" s="29" t="str">
        <x:v>Stroke of Midnight</x:v>
      </x:c>
      <x:c r="B58" s="22" t="n">
        <x:v>1</x:v>
      </x:c>
      <x:c r="C58" s="22" t="str">
        <x:v>NO</x:v>
      </x:c>
      <x:c r="D58" s="22" t="str">
        <x:v>Removal</x:v>
      </x:c>
      <x:c r="E58" s="22" t="str">
        <x:v>Support</x:v>
      </x:c>
      <x:c r="F58" s="25" t="n">
        <x:v>8.8</x:v>
      </x:c>
      <x:c r="G58" s="22" t="str">
        <x:v>PLAYABLE</x:v>
      </x:c>
      <x:c r="H58" s="22" t="str">
        <x:v>Deck-fit tested against the eight user groups and the Human/token plan.</x:v>
      </x:c>
      <x:c r="I58" s="22" t="str">
        <x:v>NO</x:v>
      </x:c>
      <x:c r="J58" s="22" t="str">
        <x:v>https://edhrec.com/commanders/greymond-avacyns-stalwart/humans</x:v>
      </x:c>
    </x:row>
    <x:row r="59">
      <x:c r="A59" s="29" t="str">
        <x:v>Sunset Revelry</x:v>
      </x:c>
      <x:c r="B59" s="22" t="n">
        <x:v>1</x:v>
      </x:c>
      <x:c r="C59" s="22" t="str">
        <x:v>NO</x:v>
      </x:c>
      <x:c r="D59" s="22" t="str">
        <x:v>Token</x:v>
      </x:c>
      <x:c r="E59" s="22" t="str">
        <x:v>Support</x:v>
      </x:c>
      <x:c r="F59" s="25" t="n">
        <x:v>7.7</x:v>
      </x:c>
      <x:c r="G59" s="22" t="str">
        <x:v>REVIEW</x:v>
      </x:c>
      <x:c r="H59" s="22" t="str">
        <x:v>Deck-fit tested against the eight user groups and the Human/token plan.</x:v>
      </x:c>
      <x:c r="I59" s="22" t="str">
        <x:v>NO</x:v>
      </x:c>
      <x:c r="J59" s="22" t="str">
        <x:v>https://edhrec.com/commanders/greymond-avacyns-stalwart/humans</x:v>
      </x:c>
    </x:row>
    <x:row r="60">
      <x:c r="A60" s="29" t="str">
        <x:v>Teferi's Protection</x:v>
      </x:c>
      <x:c r="B60" s="22" t="n">
        <x:v>1</x:v>
      </x:c>
      <x:c r="C60" s="22" t="str">
        <x:v>NO</x:v>
      </x:c>
      <x:c r="D60" s="22" t="str">
        <x:v>Protection</x:v>
      </x:c>
      <x:c r="E60" s="22" t="str">
        <x:v>Core</x:v>
      </x:c>
      <x:c r="F60" s="25" t="n">
        <x:v>10</x:v>
      </x:c>
      <x:c r="G60" s="22" t="str">
        <x:v>LOCK</x:v>
      </x:c>
      <x:c r="H60" s="22" t="str">
        <x:v>Best-in-class board protection.</x:v>
      </x:c>
      <x:c r="I60" s="22" t="str">
        <x:v>NO</x:v>
      </x:c>
      <x:c r="J60" s="22" t="str">
        <x:v>https://edhrec.com/commanders/greymond-avacyns-stalwart/humans</x:v>
      </x:c>
    </x:row>
    <x:row r="61">
      <x:c r="A61" s="29" t="str">
        <x:v>Temple of the False God</x:v>
      </x:c>
      <x:c r="B61" s="22" t="n">
        <x:v>1</x:v>
      </x:c>
      <x:c r="C61" s="22" t="str">
        <x:v>NO</x:v>
      </x:c>
      <x:c r="D61" s="22" t="str">
        <x:v>Land</x:v>
      </x:c>
      <x:c r="E61" s="22" t="str">
        <x:v>Support</x:v>
      </x:c>
      <x:c r="F61" s="25" t="n">
        <x:v>6.2</x:v>
      </x:c>
      <x:c r="G61" s="22" t="str">
        <x:v>CUT — V2</x:v>
      </x:c>
      <x:c r="H61" s="22" t="str">
        <x:v>Conditional mana and no tribal payoff; poor early draw.</x:v>
      </x:c>
      <x:c r="I61" s="22" t="str">
        <x:v>YES</x:v>
      </x:c>
      <x:c r="J61" s="22" t="str">
        <x:v>https://edhrec.com/commanders/greymond-avacyns-stalwart/humans</x:v>
      </x:c>
    </x:row>
    <x:row r="62">
      <x:c r="A62" s="29" t="str">
        <x:v>Thalia, Heretic Cathar</x:v>
      </x:c>
      <x:c r="B62" s="22" t="n">
        <x:v>1</x:v>
      </x:c>
      <x:c r="C62" s="22" t="str">
        <x:v>YES</x:v>
      </x:c>
      <x:c r="D62" s="22" t="str">
        <x:v>Tax</x:v>
      </x:c>
      <x:c r="E62" s="22" t="str">
        <x:v>Core</x:v>
      </x:c>
      <x:c r="F62" s="25" t="n">
        <x:v>9.2</x:v>
      </x:c>
      <x:c r="G62" s="22" t="str">
        <x:v>CORE</x:v>
      </x:c>
      <x:c r="H62" s="22" t="str">
        <x:v>Deck-fit tested against the eight user groups and the Human/token plan.</x:v>
      </x:c>
      <x:c r="I62" s="22" t="str">
        <x:v>NO</x:v>
      </x:c>
      <x:c r="J62" s="22" t="str">
        <x:v>https://edhrec.com/commanders/greymond-avacyns-stalwart/humans</x:v>
      </x:c>
    </x:row>
    <x:row r="63">
      <x:c r="A63" s="29" t="str">
        <x:v>The Wandering Rescuer</x:v>
      </x:c>
      <x:c r="B63" s="22" t="n">
        <x:v>1</x:v>
      </x:c>
      <x:c r="C63" s="22" t="str">
        <x:v>YES</x:v>
      </x:c>
      <x:c r="D63" s="22" t="str">
        <x:v>Protection</x:v>
      </x:c>
      <x:c r="E63" s="22" t="str">
        <x:v>Core</x:v>
      </x:c>
      <x:c r="F63" s="25" t="n">
        <x:v>9.2</x:v>
      </x:c>
      <x:c r="G63" s="22" t="str">
        <x:v>CORE</x:v>
      </x:c>
      <x:c r="H63" s="22" t="str">
        <x:v>Human flash/convoke body that protects tapped attackers.</x:v>
      </x:c>
      <x:c r="I63" s="22" t="str">
        <x:v>NO</x:v>
      </x:c>
      <x:c r="J63" s="22" t="str">
        <x:v>https://edhrec.com/commanders/greymond-avacyns-stalwart/humans</x:v>
      </x:c>
    </x:row>
    <x:row r="64">
      <x:c r="A64" s="29" t="str">
        <x:v>Thraben Doomsayer</x:v>
      </x:c>
      <x:c r="B64" s="22" t="n">
        <x:v>1</x:v>
      </x:c>
      <x:c r="C64" s="22" t="str">
        <x:v>YES</x:v>
      </x:c>
      <x:c r="D64" s="22" t="str">
        <x:v>Token</x:v>
      </x:c>
      <x:c r="E64" s="22" t="str">
        <x:v>Support</x:v>
      </x:c>
      <x:c r="F64" s="25" t="n">
        <x:v>8.4</x:v>
      </x:c>
      <x:c r="G64" s="22" t="str">
        <x:v>PLAYABLE</x:v>
      </x:c>
      <x:c r="H64" s="22" t="str">
        <x:v>Deck-fit tested against the eight user groups and the Human/token plan.</x:v>
      </x:c>
      <x:c r="I64" s="22" t="str">
        <x:v>NO</x:v>
      </x:c>
      <x:c r="J64" s="22" t="str">
        <x:v>https://edhrec.com/commanders/greymond-avacyns-stalwart/humans</x:v>
      </x:c>
    </x:row>
    <x:row r="65">
      <x:c r="A65" s="29" t="str">
        <x:v>Toby, Beastie Befriender</x:v>
      </x:c>
      <x:c r="B65" s="22" t="n">
        <x:v>1</x:v>
      </x:c>
      <x:c r="C65" s="22" t="str">
        <x:v>YES</x:v>
      </x:c>
      <x:c r="D65" s="22" t="str">
        <x:v>Token</x:v>
      </x:c>
      <x:c r="E65" s="22" t="str">
        <x:v>Support</x:v>
      </x:c>
      <x:c r="F65" s="25" t="n">
        <x:v>7.9</x:v>
      </x:c>
      <x:c r="G65" s="22" t="str">
        <x:v>REVIEW</x:v>
      </x:c>
      <x:c r="H65" s="22" t="str">
        <x:v>Deck-fit tested against the eight user groups and the Human/token plan.</x:v>
      </x:c>
      <x:c r="I65" s="22" t="str">
        <x:v>NO</x:v>
      </x:c>
      <x:c r="J65" s="22" t="str">
        <x:v>https://edhrec.com/commanders/greymond-avacyns-stalwart/humans</x:v>
      </x:c>
    </x:row>
    <x:row r="66">
      <x:c r="A66" s="29" t="str">
        <x:v>Trouble in Pairs</x:v>
      </x:c>
      <x:c r="B66" s="22" t="n">
        <x:v>1</x:v>
      </x:c>
      <x:c r="C66" s="22" t="str">
        <x:v>NO</x:v>
      </x:c>
      <x:c r="D66" s="22" t="str">
        <x:v>Draw</x:v>
      </x:c>
      <x:c r="E66" s="22" t="str">
        <x:v>Core</x:v>
      </x:c>
      <x:c r="F66" s="25" t="n">
        <x:v>9</x:v>
      </x:c>
      <x:c r="G66" s="22" t="str">
        <x:v>CORE</x:v>
      </x:c>
      <x:c r="H66" s="22" t="str">
        <x:v>Non-Human but premium sustained draw and anti-extra-turn pressure.</x:v>
      </x:c>
      <x:c r="I66" s="22" t="str">
        <x:v>NO</x:v>
      </x:c>
      <x:c r="J66" s="22" t="str">
        <x:v>https://edhrec.com/commanders/greymond-avacyns-stalwart/humans</x:v>
      </x:c>
    </x:row>
    <x:row r="67">
      <x:c r="A67" s="29" t="str">
        <x:v>True Conviction</x:v>
      </x:c>
      <x:c r="B67" s="22" t="n">
        <x:v>1</x:v>
      </x:c>
      <x:c r="C67" s="22" t="str">
        <x:v>NO</x:v>
      </x:c>
      <x:c r="D67" s="22" t="str">
        <x:v>Buff</x:v>
      </x:c>
      <x:c r="E67" s="22" t="str">
        <x:v>Support</x:v>
      </x:c>
      <x:c r="F67" s="25" t="n">
        <x:v>8.3</x:v>
      </x:c>
      <x:c r="G67" s="22" t="str">
        <x:v>PLAYABLE</x:v>
      </x:c>
      <x:c r="H67" s="22" t="str">
        <x:v>Deck-fit tested against the eight user groups and the Human/token plan.</x:v>
      </x:c>
      <x:c r="I67" s="22" t="str">
        <x:v>NO</x:v>
      </x:c>
      <x:c r="J67" s="22" t="str">
        <x:v>https://edhrec.com/commanders/greymond-avacyns-stalwart/humans</x:v>
      </x:c>
    </x:row>
    <x:row r="68">
      <x:c r="A68" s="29" t="str">
        <x:v>Tyrite Sanctum</x:v>
      </x:c>
      <x:c r="B68" s="22" t="n">
        <x:v>1</x:v>
      </x:c>
      <x:c r="C68" s="22" t="str">
        <x:v>NO</x:v>
      </x:c>
      <x:c r="D68" s="22" t="str">
        <x:v>Land</x:v>
      </x:c>
      <x:c r="E68" s="22" t="str">
        <x:v>Support</x:v>
      </x:c>
      <x:c r="F68" s="25" t="n">
        <x:v>7.1</x:v>
      </x:c>
      <x:c r="G68" s="22" t="str">
        <x:v>REVIEW</x:v>
      </x:c>
      <x:c r="H68" s="22" t="str">
        <x:v>Deck-fit tested against the eight user groups and the Human/token plan.</x:v>
      </x:c>
      <x:c r="I68" s="22" t="str">
        <x:v>NO</x:v>
      </x:c>
      <x:c r="J68" s="22" t="str">
        <x:v>https://edhrec.com/commanders/greymond-avacyns-stalwart/humans</x:v>
      </x:c>
    </x:row>
    <x:row r="69">
      <x:c r="A69" s="29" t="str">
        <x:v>Vanquish the Horde</x:v>
      </x:c>
      <x:c r="B69" s="22" t="n">
        <x:v>1</x:v>
      </x:c>
      <x:c r="C69" s="22" t="str">
        <x:v>NO</x:v>
      </x:c>
      <x:c r="D69" s="22" t="str">
        <x:v>Removal</x:v>
      </x:c>
      <x:c r="E69" s="22" t="str">
        <x:v>Support</x:v>
      </x:c>
      <x:c r="F69" s="25" t="n">
        <x:v>8.4</x:v>
      </x:c>
      <x:c r="G69" s="22" t="str">
        <x:v>PLAYABLE</x:v>
      </x:c>
      <x:c r="H69" s="22" t="str">
        <x:v>Deck-fit tested against the eight user groups and the Human/token plan.</x:v>
      </x:c>
      <x:c r="I69" s="22" t="str">
        <x:v>NO</x:v>
      </x:c>
      <x:c r="J69" s="22" t="str">
        <x:v>https://edhrec.com/commanders/greymond-avacyns-stalwart/humans</x:v>
      </x:c>
    </x:row>
    <x:row r="70">
      <x:c r="A70" s="29" t="str">
        <x:v>Vanquisher's Banner</x:v>
      </x:c>
      <x:c r="B70" s="22" t="n">
        <x:v>1</x:v>
      </x:c>
      <x:c r="C70" s="22" t="str">
        <x:v>NO</x:v>
      </x:c>
      <x:c r="D70" s="22" t="str">
        <x:v>Draw</x:v>
      </x:c>
      <x:c r="E70" s="22" t="str">
        <x:v>Core</x:v>
      </x:c>
      <x:c r="F70" s="25" t="n">
        <x:v>9.4</x:v>
      </x:c>
      <x:c r="G70" s="22" t="str">
        <x:v>CORE</x:v>
      </x:c>
      <x:c r="H70" s="22" t="str">
        <x:v>Deck-fit tested against the eight user groups and the Human/token plan.</x:v>
      </x:c>
      <x:c r="I70" s="22" t="str">
        <x:v>NO</x:v>
      </x:c>
      <x:c r="J70" s="22" t="str">
        <x:v>https://edhrec.com/commanders/greymond-avacyns-stalwart/humans</x:v>
      </x:c>
    </x:row>
    <x:row r="71">
      <x:c r="A71" s="29" t="str">
        <x:v>Verge Rangers</x:v>
      </x:c>
      <x:c r="B71" s="22" t="n">
        <x:v>1</x:v>
      </x:c>
      <x:c r="C71" s="22" t="str">
        <x:v>YES</x:v>
      </x:c>
      <x:c r="D71" s="22" t="str">
        <x:v>Ramp</x:v>
      </x:c>
      <x:c r="E71" s="22" t="str">
        <x:v>Support</x:v>
      </x:c>
      <x:c r="F71" s="25" t="n">
        <x:v>8.1</x:v>
      </x:c>
      <x:c r="G71" s="22" t="str">
        <x:v>PLAYABLE</x:v>
      </x:c>
      <x:c r="H71" s="22" t="str">
        <x:v>Deck-fit tested against the eight user groups and the Human/token plan.</x:v>
      </x:c>
      <x:c r="I71" s="22" t="str">
        <x:v>NO</x:v>
      </x:c>
      <x:c r="J71" s="22" t="str">
        <x:v>https://edhrec.com/commanders/greymond-avacyns-stalwart/humans</x:v>
      </x:c>
    </x:row>
    <x:row r="72">
      <x:c r="A72" s="29" t="str">
        <x:v>Virtue of Loyalty</x:v>
      </x:c>
      <x:c r="B72" s="22" t="n">
        <x:v>1</x:v>
      </x:c>
      <x:c r="C72" s="22" t="str">
        <x:v>NO</x:v>
      </x:c>
      <x:c r="D72" s="22" t="str">
        <x:v>Buff</x:v>
      </x:c>
      <x:c r="E72" s="22" t="str">
        <x:v>Core</x:v>
      </x:c>
      <x:c r="F72" s="25" t="n">
        <x:v>9.1</x:v>
      </x:c>
      <x:c r="G72" s="22" t="str">
        <x:v>CORE</x:v>
      </x:c>
      <x:c r="H72" s="22" t="str">
        <x:v>Deck-fit tested against the eight user groups and the Human/token plan.</x:v>
      </x:c>
      <x:c r="I72" s="22" t="str">
        <x:v>NO</x:v>
      </x:c>
      <x:c r="J72" s="22" t="str">
        <x:v>https://edhrec.com/commanders/greymond-avacyns-stalwart/humans</x:v>
      </x:c>
    </x:row>
    <x:row r="73">
      <x:c r="A73" s="29" t="str">
        <x:v>Visions of Glory</x:v>
      </x:c>
      <x:c r="B73" s="22" t="n">
        <x:v>1</x:v>
      </x:c>
      <x:c r="C73" s="22" t="str">
        <x:v>NO</x:v>
      </x:c>
      <x:c r="D73" s="22" t="str">
        <x:v>Token</x:v>
      </x:c>
      <x:c r="E73" s="22" t="str">
        <x:v>Support</x:v>
      </x:c>
      <x:c r="F73" s="25" t="n">
        <x:v>8.8</x:v>
      </x:c>
      <x:c r="G73" s="22" t="str">
        <x:v>PLAYABLE</x:v>
      </x:c>
      <x:c r="H73" s="22" t="str">
        <x:v>Deck-fit tested against the eight user groups and the Human/token plan.</x:v>
      </x:c>
      <x:c r="I73" s="22" t="str">
        <x:v>NO</x:v>
      </x:c>
      <x:c r="J73" s="22" t="str">
        <x:v>https://edhrec.com/commanders/greymond-avacyns-stalwart/humans</x:v>
      </x:c>
    </x:row>
    <x:row r="74">
      <x:c r="A74" s="29" t="str">
        <x:v>Voice of Victory</x:v>
      </x:c>
      <x:c r="B74" s="22" t="n">
        <x:v>1</x:v>
      </x:c>
      <x:c r="C74" s="22" t="str">
        <x:v>YES</x:v>
      </x:c>
      <x:c r="D74" s="22" t="str">
        <x:v>Tax</x:v>
      </x:c>
      <x:c r="E74" s="22" t="str">
        <x:v>Core</x:v>
      </x:c>
      <x:c r="F74" s="25" t="n">
        <x:v>9.1</x:v>
      </x:c>
      <x:c r="G74" s="22" t="str">
        <x:v>CORE</x:v>
      </x:c>
      <x:c r="H74" s="22" t="str">
        <x:v>Human plus attack tokens plus a turn-long spell lockout.</x:v>
      </x:c>
      <x:c r="I74" s="22" t="str">
        <x:v>NO</x:v>
      </x:c>
      <x:c r="J74" s="22" t="str">
        <x:v>https://edhrec.com/commanders/greymond-avacyns-stalwart/humans</x:v>
      </x:c>
    </x:row>
    <x:row r="75">
      <x:c r="A75" s="29" t="str">
        <x:v>War Room</x:v>
      </x:c>
      <x:c r="B75" s="22" t="n">
        <x:v>1</x:v>
      </x:c>
      <x:c r="C75" s="22" t="str">
        <x:v>NO</x:v>
      </x:c>
      <x:c r="D75" s="22" t="str">
        <x:v>Draw</x:v>
      </x:c>
      <x:c r="E75" s="22" t="str">
        <x:v>Support</x:v>
      </x:c>
      <x:c r="F75" s="25" t="n">
        <x:v>8</x:v>
      </x:c>
      <x:c r="G75" s="22" t="str">
        <x:v>PLAYABLE</x:v>
      </x:c>
      <x:c r="H75" s="22" t="str">
        <x:v>Deck-fit tested against the eight user groups and the Human/token plan.</x:v>
      </x:c>
      <x:c r="I75" s="22" t="str">
        <x:v>NO</x:v>
      </x:c>
      <x:c r="J75" s="22" t="str">
        <x:v>https://edhrec.com/commanders/greymond-avacyns-stalwart/humans</x:v>
      </x:c>
    </x:row>
    <x:row r="76">
      <x:c r="A76" s="29" t="str">
        <x:v>Weathered Wayfarer</x:v>
      </x:c>
      <x:c r="B76" s="22" t="n">
        <x:v>1</x:v>
      </x:c>
      <x:c r="C76" s="22" t="str">
        <x:v>YES</x:v>
      </x:c>
      <x:c r="D76" s="22" t="str">
        <x:v>Ramp</x:v>
      </x:c>
      <x:c r="E76" s="22" t="str">
        <x:v>Support</x:v>
      </x:c>
      <x:c r="F76" s="25" t="n">
        <x:v>8.8</x:v>
      </x:c>
      <x:c r="G76" s="22" t="str">
        <x:v>PLAYABLE</x:v>
      </x:c>
      <x:c r="H76" s="22" t="str">
        <x:v>Deck-fit tested against the eight user groups and the Human/token plan.</x:v>
      </x:c>
      <x:c r="I76" s="22" t="str">
        <x:v>NO</x:v>
      </x:c>
      <x:c r="J76" s="22" t="str">
        <x:v>https://edhrec.com/commanders/greymond-avacyns-stalwart/humans</x:v>
      </x:c>
    </x:row>
    <x:row r="77">
      <x:c r="A77" s="29" t="str">
        <x:v>Wedding Announcement</x:v>
      </x:c>
      <x:c r="B77" s="22" t="n">
        <x:v>1</x:v>
      </x:c>
      <x:c r="C77" s="22" t="str">
        <x:v>NO</x:v>
      </x:c>
      <x:c r="D77" s="22" t="str">
        <x:v>Draw</x:v>
      </x:c>
      <x:c r="E77" s="22" t="str">
        <x:v>Core</x:v>
      </x:c>
      <x:c r="F77" s="25" t="n">
        <x:v>9</x:v>
      </x:c>
      <x:c r="G77" s="22" t="str">
        <x:v>CORE</x:v>
      </x:c>
      <x:c r="H77" s="22" t="str">
        <x:v>Deck-fit tested against the eight user groups and the Human/token plan.</x:v>
      </x:c>
      <x:c r="I77" s="22" t="str">
        <x:v>NO</x:v>
      </x:c>
      <x:c r="J77" s="22" t="str">
        <x:v>https://edhrec.com/commanders/greymond-avacyns-stalwart/humans</x:v>
      </x:c>
    </x:row>
    <x:row r="78">
      <x:c r="A78" s="29" t="str">
        <x:v>Windborn Muse</x:v>
      </x:c>
      <x:c r="B78" s="22" t="n">
        <x:v>1</x:v>
      </x:c>
      <x:c r="C78" s="22" t="str">
        <x:v>NO</x:v>
      </x:c>
      <x:c r="D78" s="22" t="str">
        <x:v>Tax</x:v>
      </x:c>
      <x:c r="E78" s="22" t="str">
        <x:v>Support</x:v>
      </x:c>
      <x:c r="F78" s="25" t="n">
        <x:v>7.5</x:v>
      </x:c>
      <x:c r="G78" s="22" t="str">
        <x:v>CUT — V2</x:v>
      </x:c>
      <x:c r="H78" s="22" t="str">
        <x:v>Strong pillow-fort effect, but non-Human and redundant with Prison/Baird.</x:v>
      </x:c>
      <x:c r="I78" s="22" t="str">
        <x:v>YES</x:v>
      </x:c>
      <x:c r="J78" s="22" t="str">
        <x:v>https://edhrec.com/commanders/greymond-avacyns-stalwart/humans</x:v>
      </x:c>
    </x:row>
    <x:row r="79">
      <x:c r="A79" s="29" t="str">
        <x:v>Witch Enchanter</x:v>
      </x:c>
      <x:c r="B79" s="22" t="n">
        <x:v>1</x:v>
      </x:c>
      <x:c r="C79" s="22" t="str">
        <x:v>YES</x:v>
      </x:c>
      <x:c r="D79" s="22" t="str">
        <x:v>Removal</x:v>
      </x:c>
      <x:c r="E79" s="22" t="str">
        <x:v>Support</x:v>
      </x:c>
      <x:c r="F79" s="25" t="n">
        <x:v>8.1</x:v>
      </x:c>
      <x:c r="G79" s="22" t="str">
        <x:v>PLAYABLE</x:v>
      </x:c>
      <x:c r="H79" s="22" t="str">
        <x:v>Deck-fit tested against the eight user groups and the Human/token plan.</x:v>
      </x:c>
      <x:c r="I79" s="22" t="str">
        <x:v>NO</x:v>
      </x:c>
      <x:c r="J79" s="22" t="str">
        <x:v>https://edhrec.com/commanders/greymond-avacyns-stalwart/humans</x:v>
      </x:c>
    </x:row>
    <x:row r="80">
      <x:c r="A80" s="29" t="str">
        <x:v>Your Temple Is Under Attack</x:v>
      </x:c>
      <x:c r="B80" s="22" t="n">
        <x:v>1</x:v>
      </x:c>
      <x:c r="C80" s="22" t="str">
        <x:v>NO</x:v>
      </x:c>
      <x:c r="D80" s="22" t="str">
        <x:v>Protection</x:v>
      </x:c>
      <x:c r="E80" s="22" t="str">
        <x:v>Support</x:v>
      </x:c>
      <x:c r="F80" s="25" t="n">
        <x:v>8.7</x:v>
      </x:c>
      <x:c r="G80" s="22" t="str">
        <x:v>PLAYABLE</x:v>
      </x:c>
      <x:c r="H80" s="22" t="str">
        <x:v>True 2-in-1: indestructible or political draw.</x:v>
      </x:c>
      <x:c r="I80" s="22" t="str">
        <x:v>NO</x:v>
      </x:c>
      <x:c r="J80" s="22" t="str">
        <x:v>https://edhrec.com/commanders/greymond-avacyns-stalwart/humans</x:v>
      </x:c>
    </x:row>
  </x:sheetData>
  <x:mergeCells>
    <x:mergeCell ref="A1:J1"/>
  </x:mergeCells>
  <x:conditionalFormatting sqref="F4:F80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A4:J80">
    <x:cfRule type="expression" dxfId="2" priority="2">
      <x:formula>MOD(ROW(),2)=0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1" hidden="0" customWidth="1"/>
    <x:col min="2" max="2" width="8" hidden="0" customWidth="1"/>
    <x:col min="3" max="3" width="10" hidden="0" customWidth="1"/>
    <x:col min="4" max="4" width="23" hidden="0" customWidth="1"/>
    <x:col min="5" max="5" width="18" hidden="0" customWidth="1"/>
    <x:col min="6" max="6" width="10" hidden="0" customWidth="1"/>
    <x:col min="7" max="7" width="15" hidden="0" customWidth="1"/>
    <x:col min="8" max="8" width="48" hidden="0" customWidth="1"/>
    <x:col min="9" max="9" width="10" hidden="0" customWidth="1"/>
    <x:col min="10" max="10" width="40" hidden="0" customWidth="1"/>
  </x:cols>
  <x:sheetData>
    <x:row r="1" ht="28" customHeight="1">
      <x:c r="A1" s="5" t="str">
        <x:v>V2 — PROJECTED 99 — CARD-BY-CARD AUDIT</x:v>
      </x:c>
    </x:row>
    <x:row r="3">
      <x:c r="A3" s="14" t="str">
        <x:v>Card</x:v>
      </x:c>
      <x:c r="B3" s="14" t="str">
        <x:v>Qty</x:v>
      </x:c>
      <x:c r="C3" s="14" t="str">
        <x:v>Human?</x:v>
      </x:c>
      <x:c r="D3" s="14" t="str">
        <x:v>Primary group</x:v>
      </x:c>
      <x:c r="E3" s="14" t="str">
        <x:v>Secondary</x:v>
      </x:c>
      <x:c r="F3" s="14" t="str">
        <x:v>Fit /10</x:v>
      </x:c>
      <x:c r="G3" s="14" t="str">
        <x:v>Verdict</x:v>
      </x:c>
      <x:c r="H3" s="14" t="str">
        <x:v>Role / thesis</x:v>
      </x:c>
      <x:c r="I3" s="14" t="str">
        <x:v>Cut?</x:v>
      </x:c>
      <x:c r="J3" s="14" t="str">
        <x:v>Source</x:v>
      </x:c>
    </x:row>
    <x:row r="4">
      <x:c r="A4" s="22" t="str">
        <x:v>Austere Command</x:v>
      </x:c>
      <x:c r="B4" s="22" t="n">
        <x:v>1</x:v>
      </x:c>
      <x:c r="C4" s="22" t="str">
        <x:v>NO</x:v>
      </x:c>
      <x:c r="D4" s="22" t="str">
        <x:v>Removal</x:v>
      </x:c>
      <x:c r="E4" s="22" t="str">
        <x:v>KEEP</x:v>
      </x:c>
      <x:c r="F4" s="25" t="n">
        <x:v>8.5</x:v>
      </x:c>
      <x:c r="G4" s="22" t="str">
        <x:v>PLAYABLE</x:v>
      </x:c>
      <x:c r="H4" s="22" t="str">
        <x:v>Retained as part of the current core.</x:v>
      </x:c>
      <x:c r="I4" s="22" t="str">
        <x:v>KEEP</x:v>
      </x:c>
      <x:c r="J4" s="22" t="str">
        <x:v>User decklist</x:v>
      </x:c>
    </x:row>
    <x:row r="5">
      <x:c r="A5" s="22" t="str">
        <x:v>Bounty Agent</x:v>
      </x:c>
      <x:c r="B5" s="22" t="n">
        <x:v>1</x:v>
      </x:c>
      <x:c r="C5" s="22" t="str">
        <x:v>YES</x:v>
      </x:c>
      <x:c r="D5" s="22" t="str">
        <x:v>Removal</x:v>
      </x:c>
      <x:c r="E5" s="22" t="str">
        <x:v>KEEP</x:v>
      </x:c>
      <x:c r="F5" s="25" t="n">
        <x:v>7.6</x:v>
      </x:c>
      <x:c r="G5" s="22" t="str">
        <x:v>REVIEW</x:v>
      </x:c>
      <x:c r="H5" s="22" t="str">
        <x:v>Retained as part of the current core.</x:v>
      </x:c>
      <x:c r="I5" s="22" t="str">
        <x:v>KEEP</x:v>
      </x:c>
      <x:c r="J5" s="22" t="str">
        <x:v>User decklist</x:v>
      </x:c>
    </x:row>
    <x:row r="6">
      <x:c r="A6" s="22" t="str">
        <x:v>Call the Coppercoats</x:v>
      </x:c>
      <x:c r="B6" s="22" t="n">
        <x:v>1</x:v>
      </x:c>
      <x:c r="C6" s="22" t="str">
        <x:v>NO</x:v>
      </x:c>
      <x:c r="D6" s="22" t="str">
        <x:v>Token</x:v>
      </x:c>
      <x:c r="E6" s="22" t="str">
        <x:v>KEEP</x:v>
      </x:c>
      <x:c r="F6" s="25" t="n">
        <x:v>9</x:v>
      </x:c>
      <x:c r="G6" s="22" t="str">
        <x:v>CORE</x:v>
      </x:c>
      <x:c r="H6" s="22" t="str">
        <x:v>Retained as part of the current core.</x:v>
      </x:c>
      <x:c r="I6" s="22" t="str">
        <x:v>KEEP</x:v>
      </x:c>
      <x:c r="J6" s="22" t="str">
        <x:v>User decklist</x:v>
      </x:c>
    </x:row>
    <x:row r="7">
      <x:c r="A7" s="22" t="str">
        <x:v>Castle Ardenvale</x:v>
      </x:c>
      <x:c r="B7" s="22" t="n">
        <x:v>1</x:v>
      </x:c>
      <x:c r="C7" s="22" t="str">
        <x:v>NO</x:v>
      </x:c>
      <x:c r="D7" s="22" t="str">
        <x:v>Token</x:v>
      </x:c>
      <x:c r="E7" s="22" t="str">
        <x:v>KEEP</x:v>
      </x:c>
      <x:c r="F7" s="25" t="n">
        <x:v>7.7</x:v>
      </x:c>
      <x:c r="G7" s="22" t="str">
        <x:v>REVIEW</x:v>
      </x:c>
      <x:c r="H7" s="22" t="str">
        <x:v>Retained as part of the current core.</x:v>
      </x:c>
      <x:c r="I7" s="22" t="str">
        <x:v>KEEP</x:v>
      </x:c>
      <x:c r="J7" s="22" t="str">
        <x:v>User decklist</x:v>
      </x:c>
    </x:row>
    <x:row r="8">
      <x:c r="A8" s="22" t="str">
        <x:v>Cathar Commando</x:v>
      </x:c>
      <x:c r="B8" s="22" t="n">
        <x:v>1</x:v>
      </x:c>
      <x:c r="C8" s="22" t="str">
        <x:v>YES</x:v>
      </x:c>
      <x:c r="D8" s="22" t="str">
        <x:v>Removal</x:v>
      </x:c>
      <x:c r="E8" s="22" t="str">
        <x:v>KEEP</x:v>
      </x:c>
      <x:c r="F8" s="25" t="n">
        <x:v>8.7</x:v>
      </x:c>
      <x:c r="G8" s="22" t="str">
        <x:v>PLAYABLE</x:v>
      </x:c>
      <x:c r="H8" s="22" t="str">
        <x:v>Retained as part of the current core.</x:v>
      </x:c>
      <x:c r="I8" s="22" t="str">
        <x:v>KEEP</x:v>
      </x:c>
      <x:c r="J8" s="22" t="str">
        <x:v>User decklist</x:v>
      </x:c>
    </x:row>
    <x:row r="9">
      <x:c r="A9" s="22" t="str">
        <x:v>Cemetery Protector</x:v>
      </x:c>
      <x:c r="B9" s="22" t="n">
        <x:v>1</x:v>
      </x:c>
      <x:c r="C9" s="22" t="str">
        <x:v>YES</x:v>
      </x:c>
      <x:c r="D9" s="22" t="str">
        <x:v>Token</x:v>
      </x:c>
      <x:c r="E9" s="22" t="str">
        <x:v>KEEP</x:v>
      </x:c>
      <x:c r="F9" s="25" t="n">
        <x:v>9</x:v>
      </x:c>
      <x:c r="G9" s="22" t="str">
        <x:v>CORE</x:v>
      </x:c>
      <x:c r="H9" s="22" t="str">
        <x:v>Human plus graveyard hate plus repeatable Human tokens.</x:v>
      </x:c>
      <x:c r="I9" s="22" t="str">
        <x:v>KEEP</x:v>
      </x:c>
      <x:c r="J9" s="22" t="str">
        <x:v>User decklist</x:v>
      </x:c>
    </x:row>
    <x:row r="10">
      <x:c r="A10" s="22" t="str">
        <x:v>Commander's Plate</x:v>
      </x:c>
      <x:c r="B10" s="22" t="n">
        <x:v>1</x:v>
      </x:c>
      <x:c r="C10" s="22" t="str">
        <x:v>NO</x:v>
      </x:c>
      <x:c r="D10" s="22" t="str">
        <x:v>Protection</x:v>
      </x:c>
      <x:c r="E10" s="22" t="str">
        <x:v>KEEP</x:v>
      </x:c>
      <x:c r="F10" s="25" t="n">
        <x:v>8.4</x:v>
      </x:c>
      <x:c r="G10" s="22" t="str">
        <x:v>PLAYABLE</x:v>
      </x:c>
      <x:c r="H10" s="22" t="str">
        <x:v>Retained as part of the current core.</x:v>
      </x:c>
      <x:c r="I10" s="22" t="str">
        <x:v>KEEP</x:v>
      </x:c>
      <x:c r="J10" s="22" t="str">
        <x:v>User decklist</x:v>
      </x:c>
    </x:row>
    <x:row r="11">
      <x:c r="A11" s="22" t="str">
        <x:v>Crackdown</x:v>
      </x:c>
      <x:c r="B11" s="22" t="n">
        <x:v>1</x:v>
      </x:c>
      <x:c r="C11" s="22" t="str">
        <x:v>NO</x:v>
      </x:c>
      <x:c r="D11" s="22" t="str">
        <x:v>Tax</x:v>
      </x:c>
      <x:c r="E11" s="22" t="str">
        <x:v>KEEP</x:v>
      </x:c>
      <x:c r="F11" s="25" t="n">
        <x:v>8</x:v>
      </x:c>
      <x:c r="G11" s="22" t="str">
        <x:v>PLAYABLE</x:v>
      </x:c>
      <x:c r="H11" s="22" t="str">
        <x:v>Retained as part of the current core.</x:v>
      </x:c>
      <x:c r="I11" s="22" t="str">
        <x:v>KEEP</x:v>
      </x:c>
      <x:c r="J11" s="22" t="str">
        <x:v>User decklist</x:v>
      </x:c>
    </x:row>
    <x:row r="12">
      <x:c r="A12" s="22" t="str">
        <x:v>Dusk // Dawn</x:v>
      </x:c>
      <x:c r="B12" s="22" t="n">
        <x:v>1</x:v>
      </x:c>
      <x:c r="C12" s="22" t="str">
        <x:v>NO</x:v>
      </x:c>
      <x:c r="D12" s="22" t="str">
        <x:v>Removal</x:v>
      </x:c>
      <x:c r="E12" s="22" t="str">
        <x:v>KEEP</x:v>
      </x:c>
      <x:c r="F12" s="25" t="n">
        <x:v>8.7</x:v>
      </x:c>
      <x:c r="G12" s="22" t="str">
        <x:v>PLAYABLE</x:v>
      </x:c>
      <x:c r="H12" s="22" t="str">
        <x:v>Flexible reset plus recursion; good recovery tool.</x:v>
      </x:c>
      <x:c r="I12" s="22" t="str">
        <x:v>KEEP</x:v>
      </x:c>
      <x:c r="J12" s="22" t="str">
        <x:v>User decklist</x:v>
      </x:c>
    </x:row>
    <x:row r="13">
      <x:c r="A13" s="22" t="str">
        <x:v>Enduring Innocence</x:v>
      </x:c>
      <x:c r="B13" s="22" t="n">
        <x:v>1</x:v>
      </x:c>
      <x:c r="C13" s="22" t="str">
        <x:v>NO</x:v>
      </x:c>
      <x:c r="D13" s="22" t="str">
        <x:v>Draw</x:v>
      </x:c>
      <x:c r="E13" s="22" t="str">
        <x:v>KEEP</x:v>
      </x:c>
      <x:c r="F13" s="25" t="n">
        <x:v>8.8</x:v>
      </x:c>
      <x:c r="G13" s="22" t="str">
        <x:v>PLAYABLE</x:v>
      </x:c>
      <x:c r="H13" s="22" t="str">
        <x:v>Non-Human, but repeated draw and post-death enchantment mode make it resilient.</x:v>
      </x:c>
      <x:c r="I13" s="22" t="str">
        <x:v>KEEP</x:v>
      </x:c>
      <x:c r="J13" s="22" t="str">
        <x:v>User decklist</x:v>
      </x:c>
    </x:row>
    <x:row r="14">
      <x:c r="A14" s="22" t="str">
        <x:v>Esper Sentinel</x:v>
      </x:c>
      <x:c r="B14" s="22" t="n">
        <x:v>1</x:v>
      </x:c>
      <x:c r="C14" s="22" t="str">
        <x:v>YES</x:v>
      </x:c>
      <x:c r="D14" s="22" t="str">
        <x:v>Draw</x:v>
      </x:c>
      <x:c r="E14" s="22" t="str">
        <x:v>KEEP</x:v>
      </x:c>
      <x:c r="F14" s="25" t="n">
        <x:v>9.8</x:v>
      </x:c>
      <x:c r="G14" s="22" t="str">
        <x:v>LOCK</x:v>
      </x:c>
      <x:c r="H14" s="22" t="str">
        <x:v>1-mana Human that turns opposing noncreature casts into card advantage.</x:v>
      </x:c>
      <x:c r="I14" s="22" t="str">
        <x:v>KEEP</x:v>
      </x:c>
      <x:c r="J14" s="22" t="str">
        <x:v>User decklist</x:v>
      </x:c>
    </x:row>
    <x:row r="15">
      <x:c r="A15" s="22" t="str">
        <x:v>Final Showdown</x:v>
      </x:c>
      <x:c r="B15" s="22" t="n">
        <x:v>1</x:v>
      </x:c>
      <x:c r="C15" s="22" t="str">
        <x:v>NO</x:v>
      </x:c>
      <x:c r="D15" s="22" t="str">
        <x:v>Removal</x:v>
      </x:c>
      <x:c r="E15" s="22" t="str">
        <x:v>KEEP</x:v>
      </x:c>
      <x:c r="F15" s="25" t="n">
        <x:v>8.3</x:v>
      </x:c>
      <x:c r="G15" s="22" t="str">
        <x:v>PLAYABLE</x:v>
      </x:c>
      <x:c r="H15" s="22" t="str">
        <x:v>Retained as part of the current core.</x:v>
      </x:c>
      <x:c r="I15" s="22" t="str">
        <x:v>KEEP</x:v>
      </x:c>
      <x:c r="J15" s="22" t="str">
        <x:v>User decklist</x:v>
      </x:c>
    </x:row>
    <x:row r="16">
      <x:c r="A16" s="22" t="str">
        <x:v>Flawless Maneuver</x:v>
      </x:c>
      <x:c r="B16" s="22" t="n">
        <x:v>1</x:v>
      </x:c>
      <x:c r="C16" s="22" t="str">
        <x:v>NO</x:v>
      </x:c>
      <x:c r="D16" s="22" t="str">
        <x:v>Protection</x:v>
      </x:c>
      <x:c r="E16" s="22" t="str">
        <x:v>KEEP</x:v>
      </x:c>
      <x:c r="F16" s="25" t="n">
        <x:v>9.2</x:v>
      </x:c>
      <x:c r="G16" s="22" t="str">
        <x:v>CORE</x:v>
      </x:c>
      <x:c r="H16" s="22" t="str">
        <x:v>Free board protection when Greymond is on the battlefield.</x:v>
      </x:c>
      <x:c r="I16" s="22" t="str">
        <x:v>KEEP</x:v>
      </x:c>
      <x:c r="J16" s="22" t="str">
        <x:v>User decklist</x:v>
      </x:c>
    </x:row>
    <x:row r="17">
      <x:c r="A17" s="22" t="str">
        <x:v>Get Lost</x:v>
      </x:c>
      <x:c r="B17" s="22" t="n">
        <x:v>1</x:v>
      </x:c>
      <x:c r="C17" s="22" t="str">
        <x:v>NO</x:v>
      </x:c>
      <x:c r="D17" s="22" t="str">
        <x:v>Removal</x:v>
      </x:c>
      <x:c r="E17" s="22" t="str">
        <x:v>KEEP</x:v>
      </x:c>
      <x:c r="F17" s="25" t="n">
        <x:v>8.7</x:v>
      </x:c>
      <x:c r="G17" s="22" t="str">
        <x:v>PLAYABLE</x:v>
      </x:c>
      <x:c r="H17" s="22" t="str">
        <x:v>Retained as part of the current core.</x:v>
      </x:c>
      <x:c r="I17" s="22" t="str">
        <x:v>KEEP</x:v>
      </x:c>
      <x:c r="J17" s="22" t="str">
        <x:v>User decklist</x:v>
      </x:c>
    </x:row>
    <x:row r="18">
      <x:c r="A18" s="22" t="str">
        <x:v>Giant Killer</x:v>
      </x:c>
      <x:c r="B18" s="22" t="n">
        <x:v>1</x:v>
      </x:c>
      <x:c r="C18" s="22" t="str">
        <x:v>YES</x:v>
      </x:c>
      <x:c r="D18" s="22" t="str">
        <x:v>Removal</x:v>
      </x:c>
      <x:c r="E18" s="22" t="str">
        <x:v>KEEP</x:v>
      </x:c>
      <x:c r="F18" s="25" t="n">
        <x:v>8.6</x:v>
      </x:c>
      <x:c r="G18" s="22" t="str">
        <x:v>PLAYABLE</x:v>
      </x:c>
      <x:c r="H18" s="22" t="str">
        <x:v>Retained as part of the current core.</x:v>
      </x:c>
      <x:c r="I18" s="22" t="str">
        <x:v>KEEP</x:v>
      </x:c>
      <x:c r="J18" s="22" t="str">
        <x:v>User decklist</x:v>
      </x:c>
    </x:row>
    <x:row r="19">
      <x:c r="A19" s="22" t="str">
        <x:v>Hopeful Initiate</x:v>
      </x:c>
      <x:c r="B19" s="22" t="n">
        <x:v>1</x:v>
      </x:c>
      <x:c r="C19" s="22" t="str">
        <x:v>YES</x:v>
      </x:c>
      <x:c r="D19" s="22" t="str">
        <x:v>Removal</x:v>
      </x:c>
      <x:c r="E19" s="22" t="str">
        <x:v>KEEP</x:v>
      </x:c>
      <x:c r="F19" s="25" t="n">
        <x:v>8.4</x:v>
      </x:c>
      <x:c r="G19" s="22" t="str">
        <x:v>PLAYABLE</x:v>
      </x:c>
      <x:c r="H19" s="22" t="str">
        <x:v>Retained as part of the current core.</x:v>
      </x:c>
      <x:c r="I19" s="22" t="str">
        <x:v>KEEP</x:v>
      </x:c>
      <x:c r="J19" s="22" t="str">
        <x:v>User decklist</x:v>
      </x:c>
    </x:row>
    <x:row r="20">
      <x:c r="A20" s="22" t="str">
        <x:v>Horn of Gondor</x:v>
      </x:c>
      <x:c r="B20" s="22" t="n">
        <x:v>1</x:v>
      </x:c>
      <x:c r="C20" s="22" t="str">
        <x:v>NO</x:v>
      </x:c>
      <x:c r="D20" s="22" t="str">
        <x:v>Token</x:v>
      </x:c>
      <x:c r="E20" s="22" t="str">
        <x:v>KEEP</x:v>
      </x:c>
      <x:c r="F20" s="25" t="n">
        <x:v>9.4</x:v>
      </x:c>
      <x:c r="G20" s="22" t="str">
        <x:v>CORE</x:v>
      </x:c>
      <x:c r="H20" s="22" t="str">
        <x:v>Token engine scales directly from Human count.</x:v>
      </x:c>
      <x:c r="I20" s="22" t="str">
        <x:v>KEEP</x:v>
      </x:c>
      <x:c r="J20" s="22" t="str">
        <x:v>User decklist</x:v>
      </x:c>
    </x:row>
    <x:row r="21">
      <x:c r="A21" s="22" t="str">
        <x:v>Horn of the Mark</x:v>
      </x:c>
      <x:c r="B21" s="22" t="n">
        <x:v>1</x:v>
      </x:c>
      <x:c r="C21" s="22" t="str">
        <x:v>NO</x:v>
      </x:c>
      <x:c r="D21" s="22" t="str">
        <x:v>Draw</x:v>
      </x:c>
      <x:c r="E21" s="22" t="str">
        <x:v>KEEP</x:v>
      </x:c>
      <x:c r="F21" s="25" t="n">
        <x:v>8.9</x:v>
      </x:c>
      <x:c r="G21" s="22" t="str">
        <x:v>PLAYABLE</x:v>
      </x:c>
      <x:c r="H21" s="22" t="str">
        <x:v>Retained as part of the current core.</x:v>
      </x:c>
      <x:c r="I21" s="22" t="str">
        <x:v>KEEP</x:v>
      </x:c>
      <x:c r="J21" s="22" t="str">
        <x:v>User decklist</x:v>
      </x:c>
    </x:row>
    <x:row r="22">
      <x:c r="A22" s="22" t="str">
        <x:v>Increasing Devotion</x:v>
      </x:c>
      <x:c r="B22" s="22" t="n">
        <x:v>1</x:v>
      </x:c>
      <x:c r="C22" s="22" t="str">
        <x:v>NO</x:v>
      </x:c>
      <x:c r="D22" s="22" t="str">
        <x:v>Token</x:v>
      </x:c>
      <x:c r="E22" s="22" t="str">
        <x:v>KEEP</x:v>
      </x:c>
      <x:c r="F22" s="25" t="n">
        <x:v>8.9</x:v>
      </x:c>
      <x:c r="G22" s="22" t="str">
        <x:v>PLAYABLE</x:v>
      </x:c>
      <x:c r="H22" s="22" t="str">
        <x:v>Retained as part of the current core.</x:v>
      </x:c>
      <x:c r="I22" s="22" t="str">
        <x:v>KEEP</x:v>
      </x:c>
      <x:c r="J22" s="22" t="str">
        <x:v>User decklist</x:v>
      </x:c>
    </x:row>
    <x:row r="23">
      <x:c r="A23" s="22" t="str">
        <x:v>Kabira Takedown</x:v>
      </x:c>
      <x:c r="B23" s="22" t="n">
        <x:v>1</x:v>
      </x:c>
      <x:c r="C23" s="22" t="str">
        <x:v>NO</x:v>
      </x:c>
      <x:c r="D23" s="22" t="str">
        <x:v>Removal</x:v>
      </x:c>
      <x:c r="E23" s="22" t="str">
        <x:v>KEEP</x:v>
      </x:c>
      <x:c r="F23" s="25" t="n">
        <x:v>8</x:v>
      </x:c>
      <x:c r="G23" s="22" t="str">
        <x:v>PLAYABLE</x:v>
      </x:c>
      <x:c r="H23" s="22" t="str">
        <x:v>Retained as part of the current core.</x:v>
      </x:c>
      <x:c r="I23" s="22" t="str">
        <x:v>KEEP</x:v>
      </x:c>
      <x:c r="J23" s="22" t="str">
        <x:v>User decklist</x:v>
      </x:c>
    </x:row>
    <x:row r="24">
      <x:c r="A24" s="22" t="str">
        <x:v>Land Tax</x:v>
      </x:c>
      <x:c r="B24" s="22" t="n">
        <x:v>1</x:v>
      </x:c>
      <x:c r="C24" s="22" t="str">
        <x:v>NO</x:v>
      </x:c>
      <x:c r="D24" s="22" t="str">
        <x:v>Ramp</x:v>
      </x:c>
      <x:c r="E24" s="22" t="str">
        <x:v>KEEP</x:v>
      </x:c>
      <x:c r="F24" s="25" t="n">
        <x:v>9</x:v>
      </x:c>
      <x:c r="G24" s="22" t="str">
        <x:v>CORE</x:v>
      </x:c>
      <x:c r="H24" s="22" t="str">
        <x:v>Retained as part of the current core.</x:v>
      </x:c>
      <x:c r="I24" s="22" t="str">
        <x:v>KEEP</x:v>
      </x:c>
      <x:c r="J24" s="22" t="str">
        <x:v>User decklist</x:v>
      </x:c>
    </x:row>
    <x:row r="25">
      <x:c r="A25" s="22" t="str">
        <x:v>Loran of the Third Path</x:v>
      </x:c>
      <x:c r="B25" s="22" t="n">
        <x:v>1</x:v>
      </x:c>
      <x:c r="C25" s="22" t="str">
        <x:v>YES</x:v>
      </x:c>
      <x:c r="D25" s="22" t="str">
        <x:v>Removal</x:v>
      </x:c>
      <x:c r="E25" s="22" t="str">
        <x:v>KEEP</x:v>
      </x:c>
      <x:c r="F25" s="25" t="n">
        <x:v>8.9</x:v>
      </x:c>
      <x:c r="G25" s="22" t="str">
        <x:v>PLAYABLE</x:v>
      </x:c>
      <x:c r="H25" s="22" t="str">
        <x:v>Retained as part of the current core.</x:v>
      </x:c>
      <x:c r="I25" s="22" t="str">
        <x:v>KEEP</x:v>
      </x:c>
      <x:c r="J25" s="22" t="str">
        <x:v>User decklist</x:v>
      </x:c>
    </x:row>
    <x:row r="26">
      <x:c r="A26" s="22" t="str">
        <x:v>Lossarnach Captain</x:v>
      </x:c>
      <x:c r="B26" s="22" t="n">
        <x:v>1</x:v>
      </x:c>
      <x:c r="C26" s="22" t="str">
        <x:v>YES</x:v>
      </x:c>
      <x:c r="D26" s="22" t="str">
        <x:v>Token</x:v>
      </x:c>
      <x:c r="E26" s="22" t="str">
        <x:v>KEEP</x:v>
      </x:c>
      <x:c r="F26" s="25" t="n">
        <x:v>9.1</x:v>
      </x:c>
      <x:c r="G26" s="22" t="str">
        <x:v>CORE</x:v>
      </x:c>
      <x:c r="H26" s="22" t="str">
        <x:v>Human token engine plus repeated tap tempo from Human ETBs.</x:v>
      </x:c>
      <x:c r="I26" s="22" t="str">
        <x:v>KEEP</x:v>
      </x:c>
      <x:c r="J26" s="22" t="str">
        <x:v>User decklist</x:v>
      </x:c>
    </x:row>
    <x:row r="27">
      <x:c r="A27" s="22" t="str">
        <x:v>Metallic Mimic</x:v>
      </x:c>
      <x:c r="B27" s="22" t="n">
        <x:v>1</x:v>
      </x:c>
      <x:c r="C27" s="22" t="str">
        <x:v>NO</x:v>
      </x:c>
      <x:c r="D27" s="22" t="str">
        <x:v>Buff</x:v>
      </x:c>
      <x:c r="E27" s="22" t="str">
        <x:v>KEEP</x:v>
      </x:c>
      <x:c r="F27" s="25" t="n">
        <x:v>9.4</x:v>
      </x:c>
      <x:c r="G27" s="22" t="str">
        <x:v>CORE</x:v>
      </x:c>
      <x:c r="H27" s="22" t="str">
        <x:v>Exception to tribal purity that is worth it; name Human for +1/+1 counters.</x:v>
      </x:c>
      <x:c r="I27" s="22" t="str">
        <x:v>KEEP</x:v>
      </x:c>
      <x:c r="J27" s="22" t="str">
        <x:v>User decklist</x:v>
      </x:c>
    </x:row>
    <x:row r="28">
      <x:c r="A28" s="22" t="str">
        <x:v>Mikaeus, the Lunarch</x:v>
      </x:c>
      <x:c r="B28" s="22" t="n">
        <x:v>1</x:v>
      </x:c>
      <x:c r="C28" s="22" t="str">
        <x:v>YES</x:v>
      </x:c>
      <x:c r="D28" s="22" t="str">
        <x:v>Buff</x:v>
      </x:c>
      <x:c r="E28" s="22" t="str">
        <x:v>KEEP</x:v>
      </x:c>
      <x:c r="F28" s="25" t="n">
        <x:v>8.8</x:v>
      </x:c>
      <x:c r="G28" s="22" t="str">
        <x:v>PLAYABLE</x:v>
      </x:c>
      <x:c r="H28" s="22" t="str">
        <x:v>Retained as part of the current core.</x:v>
      </x:c>
      <x:c r="I28" s="22" t="str">
        <x:v>KEEP</x:v>
      </x:c>
      <x:c r="J28" s="22" t="str">
        <x:v>User decklist</x:v>
      </x:c>
    </x:row>
    <x:row r="29">
      <x:c r="A29" s="22" t="str">
        <x:v>Mirror Entity</x:v>
      </x:c>
      <x:c r="B29" s="22" t="n">
        <x:v>1</x:v>
      </x:c>
      <x:c r="C29" s="22" t="str">
        <x:v>YES</x:v>
      </x:c>
      <x:c r="D29" s="22" t="str">
        <x:v>Buff</x:v>
      </x:c>
      <x:c r="E29" s="22" t="str">
        <x:v>KEEP</x:v>
      </x:c>
      <x:c r="F29" s="25" t="n">
        <x:v>9.5</x:v>
      </x:c>
      <x:c r="G29" s="22" t="str">
        <x:v>LOCK</x:v>
      </x:c>
      <x:c r="H29" s="22" t="str">
        <x:v>Changeling = Human; converts a wide board into a lethal X/X army.</x:v>
      </x:c>
      <x:c r="I29" s="22" t="str">
        <x:v>KEEP</x:v>
      </x:c>
      <x:c r="J29" s="22" t="str">
        <x:v>User decklist</x:v>
      </x:c>
    </x:row>
    <x:row r="30">
      <x:c r="A30" s="22" t="str">
        <x:v>Mistveil Plains</x:v>
      </x:c>
      <x:c r="B30" s="22" t="n">
        <x:v>1</x:v>
      </x:c>
      <x:c r="C30" s="22" t="str">
        <x:v>NO</x:v>
      </x:c>
      <x:c r="D30" s="22" t="str">
        <x:v>Land</x:v>
      </x:c>
      <x:c r="E30" s="22" t="str">
        <x:v>KEEP</x:v>
      </x:c>
      <x:c r="F30" s="25" t="n">
        <x:v>7.2</x:v>
      </x:c>
      <x:c r="G30" s="22" t="str">
        <x:v>REVIEW</x:v>
      </x:c>
      <x:c r="H30" s="22" t="str">
        <x:v>Retained as part of the current core.</x:v>
      </x:c>
      <x:c r="I30" s="22" t="str">
        <x:v>KEEP</x:v>
      </x:c>
      <x:c r="J30" s="22" t="str">
        <x:v>User decklist</x:v>
      </x:c>
    </x:row>
    <x:row r="31">
      <x:c r="A31" s="22" t="str">
        <x:v>Monumental Henge</x:v>
      </x:c>
      <x:c r="B31" s="22" t="n">
        <x:v>1</x:v>
      </x:c>
      <x:c r="C31" s="22" t="str">
        <x:v>NO</x:v>
      </x:c>
      <x:c r="D31" s="22" t="str">
        <x:v>Land</x:v>
      </x:c>
      <x:c r="E31" s="22" t="str">
        <x:v>KEEP</x:v>
      </x:c>
      <x:c r="F31" s="25" t="n">
        <x:v>7</x:v>
      </x:c>
      <x:c r="G31" s="22" t="str">
        <x:v>REVIEW</x:v>
      </x:c>
      <x:c r="H31" s="22" t="str">
        <x:v>Retained as part of the current core.</x:v>
      </x:c>
      <x:c r="I31" s="22" t="str">
        <x:v>KEEP</x:v>
      </x:c>
      <x:c r="J31" s="22" t="str">
        <x:v>User decklist</x:v>
      </x:c>
    </x:row>
    <x:row r="32">
      <x:c r="A32" s="22" t="str">
        <x:v>Mother of Runes</x:v>
      </x:c>
      <x:c r="B32" s="22" t="n">
        <x:v>1</x:v>
      </x:c>
      <x:c r="C32" s="22" t="str">
        <x:v>YES</x:v>
      </x:c>
      <x:c r="D32" s="22" t="str">
        <x:v>Protection</x:v>
      </x:c>
      <x:c r="E32" s="22" t="str">
        <x:v>KEEP</x:v>
      </x:c>
      <x:c r="F32" s="25" t="n">
        <x:v>9.8</x:v>
      </x:c>
      <x:c r="G32" s="22" t="str">
        <x:v>LOCK</x:v>
      </x:c>
      <x:c r="H32" s="22" t="str">
        <x:v>Repeatable Human protection and combat evasion.</x:v>
      </x:c>
      <x:c r="I32" s="22" t="str">
        <x:v>KEEP</x:v>
      </x:c>
      <x:c r="J32" s="22" t="str">
        <x:v>User decklist</x:v>
      </x:c>
    </x:row>
    <x:row r="33">
      <x:c r="A33" s="22" t="str">
        <x:v>Nykthos, Shrine to Nyx</x:v>
      </x:c>
      <x:c r="B33" s="22" t="n">
        <x:v>1</x:v>
      </x:c>
      <x:c r="C33" s="22" t="str">
        <x:v>NO</x:v>
      </x:c>
      <x:c r="D33" s="22" t="str">
        <x:v>Ramp</x:v>
      </x:c>
      <x:c r="E33" s="22" t="str">
        <x:v>KEEP</x:v>
      </x:c>
      <x:c r="F33" s="25" t="n">
        <x:v>8.8</x:v>
      </x:c>
      <x:c r="G33" s="22" t="str">
        <x:v>PLAYABLE</x:v>
      </x:c>
      <x:c r="H33" s="22" t="str">
        <x:v>Retained as part of the current core.</x:v>
      </x:c>
      <x:c r="I33" s="22" t="str">
        <x:v>KEEP</x:v>
      </x:c>
      <x:c r="J33" s="22" t="str">
        <x:v>User decklist</x:v>
      </x:c>
    </x:row>
    <x:row r="34">
      <x:c r="A34" s="22" t="str">
        <x:v>Oketra's Monument</x:v>
      </x:c>
      <x:c r="B34" s="22" t="n">
        <x:v>1</x:v>
      </x:c>
      <x:c r="C34" s="22" t="str">
        <x:v>NO</x:v>
      </x:c>
      <x:c r="D34" s="22" t="str">
        <x:v>Ramp</x:v>
      </x:c>
      <x:c r="E34" s="22" t="str">
        <x:v>KEEP</x:v>
      </x:c>
      <x:c r="F34" s="25" t="n">
        <x:v>9.1</x:v>
      </x:c>
      <x:c r="G34" s="22" t="str">
        <x:v>CORE</x:v>
      </x:c>
      <x:c r="H34" s="22" t="str">
        <x:v>Retained as part of the current core.</x:v>
      </x:c>
      <x:c r="I34" s="22" t="str">
        <x:v>KEEP</x:v>
      </x:c>
      <x:c r="J34" s="22" t="str">
        <x:v>User decklist</x:v>
      </x:c>
    </x:row>
    <x:row r="35">
      <x:c r="A35" s="22" t="str">
        <x:v>Ondu Inversion</x:v>
      </x:c>
      <x:c r="B35" s="22" t="n">
        <x:v>1</x:v>
      </x:c>
      <x:c r="C35" s="22" t="str">
        <x:v>NO</x:v>
      </x:c>
      <x:c r="D35" s="22" t="str">
        <x:v>Removal</x:v>
      </x:c>
      <x:c r="E35" s="22" t="str">
        <x:v>KEEP</x:v>
      </x:c>
      <x:c r="F35" s="25" t="n">
        <x:v>7.7</x:v>
      </x:c>
      <x:c r="G35" s="22" t="str">
        <x:v>REVIEW</x:v>
      </x:c>
      <x:c r="H35" s="22" t="str">
        <x:v>Retained as part of the current core.</x:v>
      </x:c>
      <x:c r="I35" s="22" t="str">
        <x:v>KEEP</x:v>
      </x:c>
      <x:c r="J35" s="22" t="str">
        <x:v>User decklist</x:v>
      </x:c>
    </x:row>
    <x:row r="36">
      <x:c r="A36" s="22" t="str">
        <x:v>Paladin Class</x:v>
      </x:c>
      <x:c r="B36" s="22" t="n">
        <x:v>1</x:v>
      </x:c>
      <x:c r="C36" s="22" t="str">
        <x:v>NO</x:v>
      </x:c>
      <x:c r="D36" s="22" t="str">
        <x:v>Tax</x:v>
      </x:c>
      <x:c r="E36" s="22" t="str">
        <x:v>KEEP</x:v>
      </x:c>
      <x:c r="F36" s="25" t="n">
        <x:v>8.5</x:v>
      </x:c>
      <x:c r="G36" s="22" t="str">
        <x:v>PLAYABLE</x:v>
      </x:c>
      <x:c r="H36" s="22" t="str">
        <x:v>Retained as part of the current core.</x:v>
      </x:c>
      <x:c r="I36" s="22" t="str">
        <x:v>KEEP</x:v>
      </x:c>
      <x:c r="J36" s="22" t="str">
        <x:v>User decklist</x:v>
      </x:c>
    </x:row>
    <x:row r="37">
      <x:c r="A37" s="22" t="str">
        <x:v>Path of Ancestry</x:v>
      </x:c>
      <x:c r="B37" s="22" t="n">
        <x:v>1</x:v>
      </x:c>
      <x:c r="C37" s="22" t="str">
        <x:v>NO</x:v>
      </x:c>
      <x:c r="D37" s="22" t="str">
        <x:v>Land</x:v>
      </x:c>
      <x:c r="E37" s="22" t="str">
        <x:v>KEEP</x:v>
      </x:c>
      <x:c r="F37" s="25" t="n">
        <x:v>8.6</x:v>
      </x:c>
      <x:c r="G37" s="22" t="str">
        <x:v>PLAYABLE</x:v>
      </x:c>
      <x:c r="H37" s="22" t="str">
        <x:v>Retained as part of the current core.</x:v>
      </x:c>
      <x:c r="I37" s="22" t="str">
        <x:v>KEEP</x:v>
      </x:c>
      <x:c r="J37" s="22" t="str">
        <x:v>User decklist</x:v>
      </x:c>
    </x:row>
    <x:row r="38">
      <x:c r="A38" s="22" t="str">
        <x:v>Pearl Medallion</x:v>
      </x:c>
      <x:c r="B38" s="22" t="n">
        <x:v>1</x:v>
      </x:c>
      <x:c r="C38" s="22" t="str">
        <x:v>NO</x:v>
      </x:c>
      <x:c r="D38" s="22" t="str">
        <x:v>Ramp</x:v>
      </x:c>
      <x:c r="E38" s="22" t="str">
        <x:v>KEEP</x:v>
      </x:c>
      <x:c r="F38" s="25" t="n">
        <x:v>9</x:v>
      </x:c>
      <x:c r="G38" s="22" t="str">
        <x:v>CORE</x:v>
      </x:c>
      <x:c r="H38" s="22" t="str">
        <x:v>Retained as part of the current core.</x:v>
      </x:c>
      <x:c r="I38" s="22" t="str">
        <x:v>KEEP</x:v>
      </x:c>
      <x:c r="J38" s="22" t="str">
        <x:v>User decklist</x:v>
      </x:c>
    </x:row>
    <x:row r="39">
      <x:c r="A39" s="22" t="str">
        <x:v>Plains</x:v>
      </x:c>
      <x:c r="B39" s="22" t="n">
        <x:v>23</x:v>
      </x:c>
      <x:c r="C39" s="22" t="str">
        <x:v>NO</x:v>
      </x:c>
      <x:c r="D39" s="22" t="str">
        <x:v>Land</x:v>
      </x:c>
      <x:c r="E39" s="22" t="str">
        <x:v>KEEP</x:v>
      </x:c>
      <x:c r="F39" s="25" t="n">
        <x:v>8</x:v>
      </x:c>
      <x:c r="G39" s="22" t="str">
        <x:v>PLAYABLE</x:v>
      </x:c>
      <x:c r="H39" s="22" t="str">
        <x:v>Retained as part of the current core.</x:v>
      </x:c>
      <x:c r="I39" s="22" t="str">
        <x:v>KEEP</x:v>
      </x:c>
      <x:c r="J39" s="22" t="str">
        <x:v>User decklist</x:v>
      </x:c>
    </x:row>
    <x:row r="40">
      <x:c r="A40" s="22" t="str">
        <x:v>Razorgrass Ambush</x:v>
      </x:c>
      <x:c r="B40" s="22" t="n">
        <x:v>1</x:v>
      </x:c>
      <x:c r="C40" s="22" t="str">
        <x:v>NO</x:v>
      </x:c>
      <x:c r="D40" s="22" t="str">
        <x:v>Removal</x:v>
      </x:c>
      <x:c r="E40" s="22" t="str">
        <x:v>KEEP</x:v>
      </x:c>
      <x:c r="F40" s="25" t="n">
        <x:v>7.8</x:v>
      </x:c>
      <x:c r="G40" s="22" t="str">
        <x:v>REVIEW</x:v>
      </x:c>
      <x:c r="H40" s="22" t="str">
        <x:v>Retained as part of the current core.</x:v>
      </x:c>
      <x:c r="I40" s="22" t="str">
        <x:v>KEEP</x:v>
      </x:c>
      <x:c r="J40" s="22" t="str">
        <x:v>User decklist</x:v>
      </x:c>
    </x:row>
    <x:row r="41">
      <x:c r="A41" s="22" t="str">
        <x:v>Recruiter of the Guard</x:v>
      </x:c>
      <x:c r="B41" s="22" t="n">
        <x:v>1</x:v>
      </x:c>
      <x:c r="C41" s="22" t="str">
        <x:v>YES</x:v>
      </x:c>
      <x:c r="D41" s="22" t="str">
        <x:v>Tutor</x:v>
      </x:c>
      <x:c r="E41" s="22" t="str">
        <x:v>KEEP</x:v>
      </x:c>
      <x:c r="F41" s="25" t="n">
        <x:v>9.3</x:v>
      </x:c>
      <x:c r="G41" s="22" t="str">
        <x:v>CORE</x:v>
      </x:c>
      <x:c r="H41" s="22" t="str">
        <x:v>Human tutor increases consistency and finds much of the toolbox.</x:v>
      </x:c>
      <x:c r="I41" s="22" t="str">
        <x:v>KEEP</x:v>
      </x:c>
      <x:c r="J41" s="22" t="str">
        <x:v>User decklist</x:v>
      </x:c>
    </x:row>
    <x:row r="42">
      <x:c r="A42" s="22" t="str">
        <x:v>Selfless Spirit</x:v>
      </x:c>
      <x:c r="B42" s="22" t="n">
        <x:v>1</x:v>
      </x:c>
      <x:c r="C42" s="22" t="str">
        <x:v>NO</x:v>
      </x:c>
      <x:c r="D42" s="22" t="str">
        <x:v>Protection</x:v>
      </x:c>
      <x:c r="E42" s="22" t="str">
        <x:v>KEEP</x:v>
      </x:c>
      <x:c r="F42" s="25" t="n">
        <x:v>8.8</x:v>
      </x:c>
      <x:c r="G42" s="22" t="str">
        <x:v>PLAYABLE</x:v>
      </x:c>
      <x:c r="H42" s="22" t="str">
        <x:v>Not Human; still valuable as a one-shot board-protection body.</x:v>
      </x:c>
      <x:c r="I42" s="22" t="str">
        <x:v>KEEP</x:v>
      </x:c>
      <x:c r="J42" s="22" t="str">
        <x:v>User decklist</x:v>
      </x:c>
    </x:row>
    <x:row r="43">
      <x:c r="A43" s="22" t="str">
        <x:v>Skullclamp</x:v>
      </x:c>
      <x:c r="B43" s="22" t="n">
        <x:v>1</x:v>
      </x:c>
      <x:c r="C43" s="22" t="str">
        <x:v>NO</x:v>
      </x:c>
      <x:c r="D43" s="22" t="str">
        <x:v>Draw</x:v>
      </x:c>
      <x:c r="E43" s="22" t="str">
        <x:v>KEEP</x:v>
      </x:c>
      <x:c r="F43" s="25" t="n">
        <x:v>9.6</x:v>
      </x:c>
      <x:c r="G43" s="22" t="str">
        <x:v>LOCK</x:v>
      </x:c>
      <x:c r="H43" s="22" t="str">
        <x:v>Outstanding token draw engine; turns disposable bodies into cards.</x:v>
      </x:c>
      <x:c r="I43" s="22" t="str">
        <x:v>KEEP</x:v>
      </x:c>
      <x:c r="J43" s="22" t="str">
        <x:v>User decklist</x:v>
      </x:c>
    </x:row>
    <x:row r="44">
      <x:c r="A44" s="22" t="str">
        <x:v>Smothering Tithe</x:v>
      </x:c>
      <x:c r="B44" s="22" t="n">
        <x:v>1</x:v>
      </x:c>
      <x:c r="C44" s="22" t="str">
        <x:v>NO</x:v>
      </x:c>
      <x:c r="D44" s="22" t="str">
        <x:v>Ramp</x:v>
      </x:c>
      <x:c r="E44" s="22" t="str">
        <x:v>KEEP</x:v>
      </x:c>
      <x:c r="F44" s="25" t="n">
        <x:v>9.5</x:v>
      </x:c>
      <x:c r="G44" s="22" t="str">
        <x:v>LOCK</x:v>
      </x:c>
      <x:c r="H44" s="22" t="str">
        <x:v>Retained as part of the current core.</x:v>
      </x:c>
      <x:c r="I44" s="22" t="str">
        <x:v>KEEP</x:v>
      </x:c>
      <x:c r="J44" s="22" t="str">
        <x:v>User decklist</x:v>
      </x:c>
    </x:row>
    <x:row r="45">
      <x:c r="A45" s="22" t="str">
        <x:v>Sol Ring</x:v>
      </x:c>
      <x:c r="B45" s="22" t="n">
        <x:v>1</x:v>
      </x:c>
      <x:c r="C45" s="22" t="str">
        <x:v>NO</x:v>
      </x:c>
      <x:c r="D45" s="22" t="str">
        <x:v>Ramp</x:v>
      </x:c>
      <x:c r="E45" s="22" t="str">
        <x:v>KEEP</x:v>
      </x:c>
      <x:c r="F45" s="25" t="n">
        <x:v>10</x:v>
      </x:c>
      <x:c r="G45" s="22" t="str">
        <x:v>LOCK</x:v>
      </x:c>
      <x:c r="H45" s="22" t="str">
        <x:v>Best-in-slot acceleration; automatic keep.</x:v>
      </x:c>
      <x:c r="I45" s="22" t="str">
        <x:v>KEEP</x:v>
      </x:c>
      <x:c r="J45" s="22" t="str">
        <x:v>User decklist</x:v>
      </x:c>
    </x:row>
    <x:row r="46">
      <x:c r="A46" s="22" t="str">
        <x:v>Spectacular Spider-Man</x:v>
      </x:c>
      <x:c r="B46" s="22" t="n">
        <x:v>1</x:v>
      </x:c>
      <x:c r="C46" s="22" t="str">
        <x:v>YES</x:v>
      </x:c>
      <x:c r="D46" s="22" t="str">
        <x:v>Protection</x:v>
      </x:c>
      <x:c r="E46" s="22" t="str">
        <x:v>KEEP</x:v>
      </x:c>
      <x:c r="F46" s="25" t="n">
        <x:v>8.6</x:v>
      </x:c>
      <x:c r="G46" s="22" t="str">
        <x:v>PLAYABLE</x:v>
      </x:c>
      <x:c r="H46" s="22" t="str">
        <x:v>Human Hero; sacrifice mode provides broad team protection.</x:v>
      </x:c>
      <x:c r="I46" s="22" t="str">
        <x:v>KEEP</x:v>
      </x:c>
      <x:c r="J46" s="22" t="str">
        <x:v>User decklist</x:v>
      </x:c>
    </x:row>
    <x:row r="47">
      <x:c r="A47" s="22" t="str">
        <x:v>Stroke of Midnight</x:v>
      </x:c>
      <x:c r="B47" s="22" t="n">
        <x:v>1</x:v>
      </x:c>
      <x:c r="C47" s="22" t="str">
        <x:v>NO</x:v>
      </x:c>
      <x:c r="D47" s="22" t="str">
        <x:v>Removal</x:v>
      </x:c>
      <x:c r="E47" s="22" t="str">
        <x:v>KEEP</x:v>
      </x:c>
      <x:c r="F47" s="25" t="n">
        <x:v>8.8</x:v>
      </x:c>
      <x:c r="G47" s="22" t="str">
        <x:v>PLAYABLE</x:v>
      </x:c>
      <x:c r="H47" s="22" t="str">
        <x:v>Retained as part of the current core.</x:v>
      </x:c>
      <x:c r="I47" s="22" t="str">
        <x:v>KEEP</x:v>
      </x:c>
      <x:c r="J47" s="22" t="str">
        <x:v>User decklist</x:v>
      </x:c>
    </x:row>
    <x:row r="48">
      <x:c r="A48" s="22" t="str">
        <x:v>Sunset Revelry</x:v>
      </x:c>
      <x:c r="B48" s="22" t="n">
        <x:v>1</x:v>
      </x:c>
      <x:c r="C48" s="22" t="str">
        <x:v>NO</x:v>
      </x:c>
      <x:c r="D48" s="22" t="str">
        <x:v>Token</x:v>
      </x:c>
      <x:c r="E48" s="22" t="str">
        <x:v>KEEP</x:v>
      </x:c>
      <x:c r="F48" s="25" t="n">
        <x:v>7.7</x:v>
      </x:c>
      <x:c r="G48" s="22" t="str">
        <x:v>REVIEW</x:v>
      </x:c>
      <x:c r="H48" s="22" t="str">
        <x:v>Retained as part of the current core.</x:v>
      </x:c>
      <x:c r="I48" s="22" t="str">
        <x:v>KEEP</x:v>
      </x:c>
      <x:c r="J48" s="22" t="str">
        <x:v>User decklist</x:v>
      </x:c>
    </x:row>
    <x:row r="49">
      <x:c r="A49" s="22" t="str">
        <x:v>Teferi's Protection</x:v>
      </x:c>
      <x:c r="B49" s="22" t="n">
        <x:v>1</x:v>
      </x:c>
      <x:c r="C49" s="22" t="str">
        <x:v>NO</x:v>
      </x:c>
      <x:c r="D49" s="22" t="str">
        <x:v>Protection</x:v>
      </x:c>
      <x:c r="E49" s="22" t="str">
        <x:v>KEEP</x:v>
      </x:c>
      <x:c r="F49" s="25" t="n">
        <x:v>10</x:v>
      </x:c>
      <x:c r="G49" s="22" t="str">
        <x:v>LOCK</x:v>
      </x:c>
      <x:c r="H49" s="22" t="str">
        <x:v>Best-in-class board protection.</x:v>
      </x:c>
      <x:c r="I49" s="22" t="str">
        <x:v>KEEP</x:v>
      </x:c>
      <x:c r="J49" s="22" t="str">
        <x:v>User decklist</x:v>
      </x:c>
    </x:row>
    <x:row r="50">
      <x:c r="A50" s="22" t="str">
        <x:v>Thalia, Heretic Cathar</x:v>
      </x:c>
      <x:c r="B50" s="22" t="n">
        <x:v>1</x:v>
      </x:c>
      <x:c r="C50" s="22" t="str">
        <x:v>YES</x:v>
      </x:c>
      <x:c r="D50" s="22" t="str">
        <x:v>Tax</x:v>
      </x:c>
      <x:c r="E50" s="22" t="str">
        <x:v>KEEP</x:v>
      </x:c>
      <x:c r="F50" s="25" t="n">
        <x:v>9.2</x:v>
      </x:c>
      <x:c r="G50" s="22" t="str">
        <x:v>CORE</x:v>
      </x:c>
      <x:c r="H50" s="22" t="str">
        <x:v>Retained as part of the current core.</x:v>
      </x:c>
      <x:c r="I50" s="22" t="str">
        <x:v>KEEP</x:v>
      </x:c>
      <x:c r="J50" s="22" t="str">
        <x:v>User decklist</x:v>
      </x:c>
    </x:row>
    <x:row r="51">
      <x:c r="A51" s="22" t="str">
        <x:v>The Wandering Rescuer</x:v>
      </x:c>
      <x:c r="B51" s="22" t="n">
        <x:v>1</x:v>
      </x:c>
      <x:c r="C51" s="22" t="str">
        <x:v>YES</x:v>
      </x:c>
      <x:c r="D51" s="22" t="str">
        <x:v>Protection</x:v>
      </x:c>
      <x:c r="E51" s="22" t="str">
        <x:v>KEEP</x:v>
      </x:c>
      <x:c r="F51" s="25" t="n">
        <x:v>9.2</x:v>
      </x:c>
      <x:c r="G51" s="22" t="str">
        <x:v>CORE</x:v>
      </x:c>
      <x:c r="H51" s="22" t="str">
        <x:v>Human flash/convoke body that protects tapped attackers.</x:v>
      </x:c>
      <x:c r="I51" s="22" t="str">
        <x:v>KEEP</x:v>
      </x:c>
      <x:c r="J51" s="22" t="str">
        <x:v>User decklist</x:v>
      </x:c>
    </x:row>
    <x:row r="52">
      <x:c r="A52" s="22" t="str">
        <x:v>Thraben Doomsayer</x:v>
      </x:c>
      <x:c r="B52" s="22" t="n">
        <x:v>1</x:v>
      </x:c>
      <x:c r="C52" s="22" t="str">
        <x:v>YES</x:v>
      </x:c>
      <x:c r="D52" s="22" t="str">
        <x:v>Token</x:v>
      </x:c>
      <x:c r="E52" s="22" t="str">
        <x:v>KEEP</x:v>
      </x:c>
      <x:c r="F52" s="25" t="n">
        <x:v>8.4</x:v>
      </x:c>
      <x:c r="G52" s="22" t="str">
        <x:v>PLAYABLE</x:v>
      </x:c>
      <x:c r="H52" s="22" t="str">
        <x:v>Retained as part of the current core.</x:v>
      </x:c>
      <x:c r="I52" s="22" t="str">
        <x:v>KEEP</x:v>
      </x:c>
      <x:c r="J52" s="22" t="str">
        <x:v>User decklist</x:v>
      </x:c>
    </x:row>
    <x:row r="53">
      <x:c r="A53" s="22" t="str">
        <x:v>Toby, Beastie Befriender</x:v>
      </x:c>
      <x:c r="B53" s="22" t="n">
        <x:v>1</x:v>
      </x:c>
      <x:c r="C53" s="22" t="str">
        <x:v>YES</x:v>
      </x:c>
      <x:c r="D53" s="22" t="str">
        <x:v>Token</x:v>
      </x:c>
      <x:c r="E53" s="22" t="str">
        <x:v>KEEP</x:v>
      </x:c>
      <x:c r="F53" s="25" t="n">
        <x:v>7.9</x:v>
      </x:c>
      <x:c r="G53" s="22" t="str">
        <x:v>REVIEW</x:v>
      </x:c>
      <x:c r="H53" s="22" t="str">
        <x:v>Retained as part of the current core.</x:v>
      </x:c>
      <x:c r="I53" s="22" t="str">
        <x:v>KEEP</x:v>
      </x:c>
      <x:c r="J53" s="22" t="str">
        <x:v>User decklist</x:v>
      </x:c>
    </x:row>
    <x:row r="54">
      <x:c r="A54" s="22" t="str">
        <x:v>Trouble in Pairs</x:v>
      </x:c>
      <x:c r="B54" s="22" t="n">
        <x:v>1</x:v>
      </x:c>
      <x:c r="C54" s="22" t="str">
        <x:v>NO</x:v>
      </x:c>
      <x:c r="D54" s="22" t="str">
        <x:v>Draw</x:v>
      </x:c>
      <x:c r="E54" s="22" t="str">
        <x:v>KEEP</x:v>
      </x:c>
      <x:c r="F54" s="25" t="n">
        <x:v>9</x:v>
      </x:c>
      <x:c r="G54" s="22" t="str">
        <x:v>CORE</x:v>
      </x:c>
      <x:c r="H54" s="22" t="str">
        <x:v>Non-Human but premium sustained draw and anti-extra-turn pressure.</x:v>
      </x:c>
      <x:c r="I54" s="22" t="str">
        <x:v>KEEP</x:v>
      </x:c>
      <x:c r="J54" s="22" t="str">
        <x:v>User decklist</x:v>
      </x:c>
    </x:row>
    <x:row r="55">
      <x:c r="A55" s="22" t="str">
        <x:v>True Conviction</x:v>
      </x:c>
      <x:c r="B55" s="22" t="n">
        <x:v>1</x:v>
      </x:c>
      <x:c r="C55" s="22" t="str">
        <x:v>NO</x:v>
      </x:c>
      <x:c r="D55" s="22" t="str">
        <x:v>Buff</x:v>
      </x:c>
      <x:c r="E55" s="22" t="str">
        <x:v>KEEP</x:v>
      </x:c>
      <x:c r="F55" s="25" t="n">
        <x:v>8.3</x:v>
      </x:c>
      <x:c r="G55" s="22" t="str">
        <x:v>PLAYABLE</x:v>
      </x:c>
      <x:c r="H55" s="22" t="str">
        <x:v>Retained as part of the current core.</x:v>
      </x:c>
      <x:c r="I55" s="22" t="str">
        <x:v>KEEP</x:v>
      </x:c>
      <x:c r="J55" s="22" t="str">
        <x:v>User decklist</x:v>
      </x:c>
    </x:row>
    <x:row r="56">
      <x:c r="A56" s="22" t="str">
        <x:v>Tyrite Sanctum</x:v>
      </x:c>
      <x:c r="B56" s="22" t="n">
        <x:v>1</x:v>
      </x:c>
      <x:c r="C56" s="22" t="str">
        <x:v>NO</x:v>
      </x:c>
      <x:c r="D56" s="22" t="str">
        <x:v>Land</x:v>
      </x:c>
      <x:c r="E56" s="22" t="str">
        <x:v>KEEP</x:v>
      </x:c>
      <x:c r="F56" s="25" t="n">
        <x:v>7.1</x:v>
      </x:c>
      <x:c r="G56" s="22" t="str">
        <x:v>REVIEW</x:v>
      </x:c>
      <x:c r="H56" s="22" t="str">
        <x:v>Retained as part of the current core.</x:v>
      </x:c>
      <x:c r="I56" s="22" t="str">
        <x:v>KEEP</x:v>
      </x:c>
      <x:c r="J56" s="22" t="str">
        <x:v>User decklist</x:v>
      </x:c>
    </x:row>
    <x:row r="57">
      <x:c r="A57" s="22" t="str">
        <x:v>Vanquish the Horde</x:v>
      </x:c>
      <x:c r="B57" s="22" t="n">
        <x:v>1</x:v>
      </x:c>
      <x:c r="C57" s="22" t="str">
        <x:v>NO</x:v>
      </x:c>
      <x:c r="D57" s="22" t="str">
        <x:v>Removal</x:v>
      </x:c>
      <x:c r="E57" s="22" t="str">
        <x:v>KEEP</x:v>
      </x:c>
      <x:c r="F57" s="25" t="n">
        <x:v>8.4</x:v>
      </x:c>
      <x:c r="G57" s="22" t="str">
        <x:v>PLAYABLE</x:v>
      </x:c>
      <x:c r="H57" s="22" t="str">
        <x:v>Retained as part of the current core.</x:v>
      </x:c>
      <x:c r="I57" s="22" t="str">
        <x:v>KEEP</x:v>
      </x:c>
      <x:c r="J57" s="22" t="str">
        <x:v>User decklist</x:v>
      </x:c>
    </x:row>
    <x:row r="58">
      <x:c r="A58" s="22" t="str">
        <x:v>Vanquisher's Banner</x:v>
      </x:c>
      <x:c r="B58" s="22" t="n">
        <x:v>1</x:v>
      </x:c>
      <x:c r="C58" s="22" t="str">
        <x:v>NO</x:v>
      </x:c>
      <x:c r="D58" s="22" t="str">
        <x:v>Draw</x:v>
      </x:c>
      <x:c r="E58" s="22" t="str">
        <x:v>KEEP</x:v>
      </x:c>
      <x:c r="F58" s="25" t="n">
        <x:v>9.4</x:v>
      </x:c>
      <x:c r="G58" s="22" t="str">
        <x:v>CORE</x:v>
      </x:c>
      <x:c r="H58" s="22" t="str">
        <x:v>Retained as part of the current core.</x:v>
      </x:c>
      <x:c r="I58" s="22" t="str">
        <x:v>KEEP</x:v>
      </x:c>
      <x:c r="J58" s="22" t="str">
        <x:v>User decklist</x:v>
      </x:c>
    </x:row>
    <x:row r="59">
      <x:c r="A59" s="22" t="str">
        <x:v>Verge Rangers</x:v>
      </x:c>
      <x:c r="B59" s="22" t="n">
        <x:v>1</x:v>
      </x:c>
      <x:c r="C59" s="22" t="str">
        <x:v>YES</x:v>
      </x:c>
      <x:c r="D59" s="22" t="str">
        <x:v>Ramp</x:v>
      </x:c>
      <x:c r="E59" s="22" t="str">
        <x:v>KEEP</x:v>
      </x:c>
      <x:c r="F59" s="25" t="n">
        <x:v>8.1</x:v>
      </x:c>
      <x:c r="G59" s="22" t="str">
        <x:v>PLAYABLE</x:v>
      </x:c>
      <x:c r="H59" s="22" t="str">
        <x:v>Retained as part of the current core.</x:v>
      </x:c>
      <x:c r="I59" s="22" t="str">
        <x:v>KEEP</x:v>
      </x:c>
      <x:c r="J59" s="22" t="str">
        <x:v>User decklist</x:v>
      </x:c>
    </x:row>
    <x:row r="60">
      <x:c r="A60" s="22" t="str">
        <x:v>Virtue of Loyalty</x:v>
      </x:c>
      <x:c r="B60" s="22" t="n">
        <x:v>1</x:v>
      </x:c>
      <x:c r="C60" s="22" t="str">
        <x:v>NO</x:v>
      </x:c>
      <x:c r="D60" s="22" t="str">
        <x:v>Buff</x:v>
      </x:c>
      <x:c r="E60" s="22" t="str">
        <x:v>KEEP</x:v>
      </x:c>
      <x:c r="F60" s="25" t="n">
        <x:v>9.1</x:v>
      </x:c>
      <x:c r="G60" s="22" t="str">
        <x:v>CORE</x:v>
      </x:c>
      <x:c r="H60" s="22" t="str">
        <x:v>Retained as part of the current core.</x:v>
      </x:c>
      <x:c r="I60" s="22" t="str">
        <x:v>KEEP</x:v>
      </x:c>
      <x:c r="J60" s="22" t="str">
        <x:v>User decklist</x:v>
      </x:c>
    </x:row>
    <x:row r="61">
      <x:c r="A61" s="22" t="str">
        <x:v>Visions of Glory</x:v>
      </x:c>
      <x:c r="B61" s="22" t="n">
        <x:v>1</x:v>
      </x:c>
      <x:c r="C61" s="22" t="str">
        <x:v>NO</x:v>
      </x:c>
      <x:c r="D61" s="22" t="str">
        <x:v>Token</x:v>
      </x:c>
      <x:c r="E61" s="22" t="str">
        <x:v>KEEP</x:v>
      </x:c>
      <x:c r="F61" s="25" t="n">
        <x:v>8.8</x:v>
      </x:c>
      <x:c r="G61" s="22" t="str">
        <x:v>PLAYABLE</x:v>
      </x:c>
      <x:c r="H61" s="22" t="str">
        <x:v>Retained as part of the current core.</x:v>
      </x:c>
      <x:c r="I61" s="22" t="str">
        <x:v>KEEP</x:v>
      </x:c>
      <x:c r="J61" s="22" t="str">
        <x:v>User decklist</x:v>
      </x:c>
    </x:row>
    <x:row r="62">
      <x:c r="A62" s="22" t="str">
        <x:v>Voice of Victory</x:v>
      </x:c>
      <x:c r="B62" s="22" t="n">
        <x:v>1</x:v>
      </x:c>
      <x:c r="C62" s="22" t="str">
        <x:v>YES</x:v>
      </x:c>
      <x:c r="D62" s="22" t="str">
        <x:v>Tax</x:v>
      </x:c>
      <x:c r="E62" s="22" t="str">
        <x:v>KEEP</x:v>
      </x:c>
      <x:c r="F62" s="25" t="n">
        <x:v>9.1</x:v>
      </x:c>
      <x:c r="G62" s="22" t="str">
        <x:v>CORE</x:v>
      </x:c>
      <x:c r="H62" s="22" t="str">
        <x:v>Human plus attack tokens plus a turn-long spell lockout.</x:v>
      </x:c>
      <x:c r="I62" s="22" t="str">
        <x:v>KEEP</x:v>
      </x:c>
      <x:c r="J62" s="22" t="str">
        <x:v>User decklist</x:v>
      </x:c>
    </x:row>
    <x:row r="63">
      <x:c r="A63" s="22" t="str">
        <x:v>War Room</x:v>
      </x:c>
      <x:c r="B63" s="22" t="n">
        <x:v>1</x:v>
      </x:c>
      <x:c r="C63" s="22" t="str">
        <x:v>NO</x:v>
      </x:c>
      <x:c r="D63" s="22" t="str">
        <x:v>Draw</x:v>
      </x:c>
      <x:c r="E63" s="22" t="str">
        <x:v>KEEP</x:v>
      </x:c>
      <x:c r="F63" s="25" t="n">
        <x:v>8</x:v>
      </x:c>
      <x:c r="G63" s="22" t="str">
        <x:v>PLAYABLE</x:v>
      </x:c>
      <x:c r="H63" s="22" t="str">
        <x:v>Retained as part of the current core.</x:v>
      </x:c>
      <x:c r="I63" s="22" t="str">
        <x:v>KEEP</x:v>
      </x:c>
      <x:c r="J63" s="22" t="str">
        <x:v>User decklist</x:v>
      </x:c>
    </x:row>
    <x:row r="64">
      <x:c r="A64" s="22" t="str">
        <x:v>Weathered Wayfarer</x:v>
      </x:c>
      <x:c r="B64" s="22" t="n">
        <x:v>1</x:v>
      </x:c>
      <x:c r="C64" s="22" t="str">
        <x:v>YES</x:v>
      </x:c>
      <x:c r="D64" s="22" t="str">
        <x:v>Ramp</x:v>
      </x:c>
      <x:c r="E64" s="22" t="str">
        <x:v>KEEP</x:v>
      </x:c>
      <x:c r="F64" s="25" t="n">
        <x:v>8.8</x:v>
      </x:c>
      <x:c r="G64" s="22" t="str">
        <x:v>PLAYABLE</x:v>
      </x:c>
      <x:c r="H64" s="22" t="str">
        <x:v>Retained as part of the current core.</x:v>
      </x:c>
      <x:c r="I64" s="22" t="str">
        <x:v>KEEP</x:v>
      </x:c>
      <x:c r="J64" s="22" t="str">
        <x:v>User decklist</x:v>
      </x:c>
    </x:row>
    <x:row r="65">
      <x:c r="A65" s="22" t="str">
        <x:v>Wedding Announcement</x:v>
      </x:c>
      <x:c r="B65" s="22" t="n">
        <x:v>1</x:v>
      </x:c>
      <x:c r="C65" s="22" t="str">
        <x:v>NO</x:v>
      </x:c>
      <x:c r="D65" s="22" t="str">
        <x:v>Draw</x:v>
      </x:c>
      <x:c r="E65" s="22" t="str">
        <x:v>KEEP</x:v>
      </x:c>
      <x:c r="F65" s="25" t="n">
        <x:v>9</x:v>
      </x:c>
      <x:c r="G65" s="22" t="str">
        <x:v>CORE</x:v>
      </x:c>
      <x:c r="H65" s="22" t="str">
        <x:v>Retained as part of the current core.</x:v>
      </x:c>
      <x:c r="I65" s="22" t="str">
        <x:v>KEEP</x:v>
      </x:c>
      <x:c r="J65" s="22" t="str">
        <x:v>User decklist</x:v>
      </x:c>
    </x:row>
    <x:row r="66">
      <x:c r="A66" s="22" t="str">
        <x:v>Witch Enchanter</x:v>
      </x:c>
      <x:c r="B66" s="22" t="n">
        <x:v>1</x:v>
      </x:c>
      <x:c r="C66" s="22" t="str">
        <x:v>YES</x:v>
      </x:c>
      <x:c r="D66" s="22" t="str">
        <x:v>Removal</x:v>
      </x:c>
      <x:c r="E66" s="22" t="str">
        <x:v>KEEP</x:v>
      </x:c>
      <x:c r="F66" s="25" t="n">
        <x:v>8.1</x:v>
      </x:c>
      <x:c r="G66" s="22" t="str">
        <x:v>PLAYABLE</x:v>
      </x:c>
      <x:c r="H66" s="22" t="str">
        <x:v>Retained as part of the current core.</x:v>
      </x:c>
      <x:c r="I66" s="22" t="str">
        <x:v>KEEP</x:v>
      </x:c>
      <x:c r="J66" s="22" t="str">
        <x:v>User decklist</x:v>
      </x:c>
    </x:row>
    <x:row r="67">
      <x:c r="A67" s="22" t="str">
        <x:v>Your Temple Is Under Attack</x:v>
      </x:c>
      <x:c r="B67" s="22" t="n">
        <x:v>1</x:v>
      </x:c>
      <x:c r="C67" s="22" t="str">
        <x:v>NO</x:v>
      </x:c>
      <x:c r="D67" s="22" t="str">
        <x:v>Protection</x:v>
      </x:c>
      <x:c r="E67" s="22" t="str">
        <x:v>KEEP</x:v>
      </x:c>
      <x:c r="F67" s="25" t="n">
        <x:v>8.7</x:v>
      </x:c>
      <x:c r="G67" s="22" t="str">
        <x:v>PLAYABLE</x:v>
      </x:c>
      <x:c r="H67" s="22" t="str">
        <x:v>True 2-in-1: indestructible or political draw.</x:v>
      </x:c>
      <x:c r="I67" s="22" t="str">
        <x:v>KEEP</x:v>
      </x:c>
      <x:c r="J67" s="22" t="str">
        <x:v>User decklist</x:v>
      </x:c>
    </x:row>
    <x:row r="68">
      <x:c r="A68" s="22" t="str">
        <x:v>Adeline, Resplendent Cathar</x:v>
      </x:c>
      <x:c r="B68" s="22" t="n">
        <x:v>1</x:v>
      </x:c>
      <x:c r="C68" s="22" t="str">
        <x:v>YES</x:v>
      </x:c>
      <x:c r="D68" s="22" t="str">
        <x:v>Token</x:v>
      </x:c>
      <x:c r="E68" s="22" t="str">
        <x:v>IN — V2</x:v>
      </x:c>
      <x:c r="F68" s="25" t="n">
        <x:v>10</x:v>
      </x:c>
      <x:c r="G68" s="22" t="str">
        <x:v>LOCK</x:v>
      </x:c>
      <x:c r="H68" s="22" t="str">
        <x:v>Best-in-class Human token pressure: every attack creates a Human for each opponent you attack.</x:v>
      </x:c>
      <x:c r="I68" s="22" t="str">
        <x:v>IN</x:v>
      </x:c>
      <x:c r="J68" s="22" t="str">
        <x:v>https://edhrec.com/commanders/greymond-avacyns-stalwart/humans</x:v>
      </x:c>
    </x:row>
    <x:row r="69">
      <x:c r="A69" s="22" t="str">
        <x:v>Thalia's Lieutenant</x:v>
      </x:c>
      <x:c r="B69" s="22" t="n">
        <x:v>1</x:v>
      </x:c>
      <x:c r="C69" s="22" t="str">
        <x:v>YES</x:v>
      </x:c>
      <x:c r="D69" s="22" t="str">
        <x:v>Buff</x:v>
      </x:c>
      <x:c r="E69" s="22" t="str">
        <x:v>IN — V2</x:v>
      </x:c>
      <x:c r="F69" s="25" t="n">
        <x:v>9.9</x:v>
      </x:c>
      <x:c r="G69" s="22" t="str">
        <x:v>LOCK</x:v>
      </x:c>
      <x:c r="H69" s="22" t="str">
        <x:v>Premium two-mana Human scaling engine: ETB counters on the team; later Humans grow the Lieutenant.</x:v>
      </x:c>
      <x:c r="I69" s="22" t="str">
        <x:v>IN</x:v>
      </x:c>
      <x:c r="J69" s="22" t="str">
        <x:v>https://edhrec.com/commanders/greymond-avacyns-stalwart/humans</x:v>
      </x:c>
    </x:row>
    <x:row r="70">
      <x:c r="A70" s="22" t="str">
        <x:v>Champion of the Parish</x:v>
      </x:c>
      <x:c r="B70" s="22" t="n">
        <x:v>1</x:v>
      </x:c>
      <x:c r="C70" s="22" t="str">
        <x:v>YES</x:v>
      </x:c>
      <x:c r="D70" s="22" t="str">
        <x:v>Early Pressure</x:v>
      </x:c>
      <x:c r="E70" s="22" t="str">
        <x:v>IN — V2</x:v>
      </x:c>
      <x:c r="F70" s="25" t="n">
        <x:v>9.7</x:v>
      </x:c>
      <x:c r="G70" s="22" t="str">
        <x:v>LOCK</x:v>
      </x:c>
      <x:c r="H70" s="22" t="str">
        <x:v>Best-in-class one-drop for this commander: every subsequent Human permanently grows it.</x:v>
      </x:c>
      <x:c r="I70" s="22" t="str">
        <x:v>IN</x:v>
      </x:c>
      <x:c r="J70" s="22" t="str">
        <x:v>https://edhrec.com/commanders/greymond-avacyns-stalwart/humans</x:v>
      </x:c>
    </x:row>
    <x:row r="71">
      <x:c r="A71" s="22" t="str">
        <x:v>Coppercoat Vanguard</x:v>
      </x:c>
      <x:c r="B71" s="22" t="n">
        <x:v>1</x:v>
      </x:c>
      <x:c r="C71" s="22" t="str">
        <x:v>YES</x:v>
      </x:c>
      <x:c r="D71" s="22" t="str">
        <x:v>Buff</x:v>
      </x:c>
      <x:c r="E71" s="22" t="str">
        <x:v>IN — V2</x:v>
      </x:c>
      <x:c r="F71" s="25" t="n">
        <x:v>9.5</x:v>
      </x:c>
      <x:c r="G71" s="22" t="str">
        <x:v>LOCK</x:v>
      </x:c>
      <x:c r="H71" s="22" t="str">
        <x:v>Human lord with protection against noncombat damage; excellent for wide Human boards.</x:v>
      </x:c>
      <x:c r="I71" s="22" t="str">
        <x:v>IN</x:v>
      </x:c>
      <x:c r="J71" s="22" t="str">
        <x:v>https://edhrec.com/commanders/greymond-avacyns-stalwart/humans</x:v>
      </x:c>
    </x:row>
    <x:row r="72">
      <x:c r="A72" s="22" t="str">
        <x:v>Boromir, Warden of the Tower</x:v>
      </x:c>
      <x:c r="B72" s="22" t="n">
        <x:v>1</x:v>
      </x:c>
      <x:c r="C72" s="22" t="str">
        <x:v>YES</x:v>
      </x:c>
      <x:c r="D72" s="22" t="str">
        <x:v>Tax</x:v>
      </x:c>
      <x:c r="E72" s="22" t="str">
        <x:v>IN — V2</x:v>
      </x:c>
      <x:c r="F72" s="25" t="n">
        <x:v>9.5</x:v>
      </x:c>
      <x:c r="G72" s="22" t="str">
        <x:v>LOCK</x:v>
      </x:c>
      <x:c r="H72" s="22" t="str">
        <x:v>Human + vigilance + free-spell check + team indestructible sacrifice.</x:v>
      </x:c>
      <x:c r="I72" s="22" t="str">
        <x:v>IN</x:v>
      </x:c>
      <x:c r="J72" s="22" t="str">
        <x:v>https://edhrec.com/commanders/greymond-avacyns-stalwart/humans</x:v>
      </x:c>
    </x:row>
    <x:row r="73">
      <x:c r="A73" s="22" t="str">
        <x:v>Grand Abolisher</x:v>
      </x:c>
      <x:c r="B73" s="22" t="n">
        <x:v>1</x:v>
      </x:c>
      <x:c r="C73" s="22" t="str">
        <x:v>YES</x:v>
      </x:c>
      <x:c r="D73" s="22" t="str">
        <x:v>Tax</x:v>
      </x:c>
      <x:c r="E73" s="22" t="str">
        <x:v>IN — V2</x:v>
      </x:c>
      <x:c r="F73" s="25" t="n">
        <x:v>9.8</x:v>
      </x:c>
      <x:c r="G73" s="22" t="str">
        <x:v>LOCK</x:v>
      </x:c>
      <x:c r="H73" s="22" t="str">
        <x:v>Human hatebear that protects the decisive turn by shutting off opposing spells/activated abilities.</x:v>
      </x:c>
      <x:c r="I73" s="22" t="str">
        <x:v>IN</x:v>
      </x:c>
      <x:c r="J73" s="22" t="str">
        <x:v>https://edhrec.com/commanders/greymond-avacyns-stalwart/humans</x:v>
      </x:c>
    </x:row>
    <x:row r="74">
      <x:c r="A74" s="22" t="str">
        <x:v>Drannith Magistrate</x:v>
      </x:c>
      <x:c r="B74" s="22" t="n">
        <x:v>1</x:v>
      </x:c>
      <x:c r="C74" s="22" t="str">
        <x:v>YES</x:v>
      </x:c>
      <x:c r="D74" s="22" t="str">
        <x:v>Tax</x:v>
      </x:c>
      <x:c r="E74" s="22" t="str">
        <x:v>IN — V2</x:v>
      </x:c>
      <x:c r="F74" s="25" t="n">
        <x:v>9.6</x:v>
      </x:c>
      <x:c r="G74" s="22" t="str">
        <x:v>LOCK</x:v>
      </x:c>
      <x:c r="H74" s="22" t="str">
        <x:v>Human hatebear that blocks casting from non-hand zones; strong against commanders, graveyards and cascade-like effects.</x:v>
      </x:c>
      <x:c r="I74" s="22" t="str">
        <x:v>IN</x:v>
      </x:c>
      <x:c r="J74" s="22" t="str">
        <x:v>https://edhrec.com/commanders/greymond-avacyns-stalwart/humans</x:v>
      </x:c>
    </x:row>
    <x:row r="75">
      <x:c r="A75" s="22" t="str">
        <x:v>Knight of the White Orchid</x:v>
      </x:c>
      <x:c r="B75" s="22" t="n">
        <x:v>1</x:v>
      </x:c>
      <x:c r="C75" s="22" t="str">
        <x:v>YES</x:v>
      </x:c>
      <x:c r="D75" s="22" t="str">
        <x:v>Ramp</x:v>
      </x:c>
      <x:c r="E75" s="22" t="str">
        <x:v>IN — V2</x:v>
      </x:c>
      <x:c r="F75" s="25" t="n">
        <x:v>9.4</x:v>
      </x:c>
      <x:c r="G75" s="22" t="str">
        <x:v>CORE</x:v>
      </x:c>
      <x:c r="H75" s="22" t="str">
        <x:v>Early Human first striker that can fetch a Plains when behind; improves tempo without leaving tribal plan.</x:v>
      </x:c>
      <x:c r="I75" s="22" t="str">
        <x:v>IN</x:v>
      </x:c>
      <x:c r="J75" s="22" t="str">
        <x:v>https://edhrec.com/commanders/greymond-avacyns-stalwart/humans</x:v>
      </x:c>
    </x:row>
    <x:row r="76">
      <x:c r="A76" s="22" t="str">
        <x:v>Mentor of the Meek</x:v>
      </x:c>
      <x:c r="B76" s="22" t="n">
        <x:v>1</x:v>
      </x:c>
      <x:c r="C76" s="22" t="str">
        <x:v>YES</x:v>
      </x:c>
      <x:c r="D76" s="22" t="str">
        <x:v>Draw</x:v>
      </x:c>
      <x:c r="E76" s="22" t="str">
        <x:v>IN — V2</x:v>
      </x:c>
      <x:c r="F76" s="25" t="n">
        <x:v>9.4</x:v>
      </x:c>
      <x:c r="G76" s="22" t="str">
        <x:v>CORE</x:v>
      </x:c>
      <x:c r="H76" s="22" t="str">
        <x:v>Human draw engine; small Humans/tokens become cards.</x:v>
      </x:c>
      <x:c r="I76" s="22" t="str">
        <x:v>IN</x:v>
      </x:c>
      <x:c r="J76" s="22" t="str">
        <x:v>https://edhrec.com/commanders/greymond-avacyns-stalwart/humans</x:v>
      </x:c>
    </x:row>
    <x:row r="77">
      <x:c r="A77" s="22" t="str">
        <x:v>Myrel, Shield of Argive</x:v>
      </x:c>
      <x:c r="B77" s="22" t="n">
        <x:v>1</x:v>
      </x:c>
      <x:c r="C77" s="22" t="str">
        <x:v>YES</x:v>
      </x:c>
      <x:c r="D77" s="22" t="str">
        <x:v>Token</x:v>
      </x:c>
      <x:c r="E77" s="22" t="str">
        <x:v>IN — V2</x:v>
      </x:c>
      <x:c r="F77" s="25" t="n">
        <x:v>9.5</x:v>
      </x:c>
      <x:c r="G77" s="22" t="str">
        <x:v>LOCK</x:v>
      </x:c>
      <x:c r="H77" s="22" t="str">
        <x:v>Human token engine and turn-lock; Soldiers are not Humans, but the engine is elite.</x:v>
      </x:c>
      <x:c r="I77" s="22" t="str">
        <x:v>IN</x:v>
      </x:c>
      <x:c r="J77" s="22" t="str">
        <x:v>https://edhrec.com/commanders/greymond-avacyns-stalwart/humans</x:v>
      </x:c>
    </x:row>
    <x:row r="78">
      <x:c r="A78" s="22" t="str">
        <x:v>Odric, Master Tactician</x:v>
      </x:c>
      <x:c r="B78" s="22" t="n">
        <x:v>1</x:v>
      </x:c>
      <x:c r="C78" s="22" t="str">
        <x:v>YES</x:v>
      </x:c>
      <x:c r="D78" s="22" t="str">
        <x:v>Combat</x:v>
      </x:c>
      <x:c r="E78" s="22" t="str">
        <x:v>IN — V2</x:v>
      </x:c>
      <x:c r="F78" s="25" t="n">
        <x:v>9.3</x:v>
      </x:c>
      <x:c r="G78" s="22" t="str">
        <x:v>CORE</x:v>
      </x:c>
      <x:c r="H78" s="22" t="str">
        <x:v>Human combat closer; a wide attack can let you dictate legal blocks.</x:v>
      </x:c>
      <x:c r="I78" s="22" t="str">
        <x:v>IN</x:v>
      </x:c>
      <x:c r="J78" s="22" t="str">
        <x:v>https://edhrec.com/commanders/greymond-avacyns-stalwart/humans</x:v>
      </x:c>
    </x:row>
    <x:row r="79">
      <x:c r="A79" s="22" t="str">
        <x:v>Thalia, Guardian of Thraben</x:v>
      </x:c>
      <x:c r="B79" s="22" t="n">
        <x:v>1</x:v>
      </x:c>
      <x:c r="C79" s="22" t="str">
        <x:v>YES</x:v>
      </x:c>
      <x:c r="D79" s="22" t="str">
        <x:v>Tax</x:v>
      </x:c>
      <x:c r="E79" s="22" t="str">
        <x:v>IN — V2</x:v>
      </x:c>
      <x:c r="F79" s="25" t="n">
        <x:v>9.6</x:v>
      </x:c>
      <x:c r="G79" s="22" t="str">
        <x:v>LOCK</x:v>
      </x:c>
      <x:c r="H79" s="22" t="str">
        <x:v>Efficient two-mana Human tax piece; attacks while taxing noncreature spells.</x:v>
      </x:c>
      <x:c r="I79" s="22" t="str">
        <x:v>IN</x:v>
      </x:c>
      <x:c r="J79" s="22" t="str">
        <x:v>https://edhrec.com/commanders/greymond-avacyns-stalwart/humans</x:v>
      </x:c>
    </x:row>
    <x:row r="80">
      <x:c r="A80" s="22" t="str">
        <x:v>Swords to Plowshares</x:v>
      </x:c>
      <x:c r="B80" s="22" t="n">
        <x:v>1</x:v>
      </x:c>
      <x:c r="C80" s="22" t="str">
        <x:v>NO</x:v>
      </x:c>
      <x:c r="D80" s="22" t="str">
        <x:v>Removal</x:v>
      </x:c>
      <x:c r="E80" s="22" t="str">
        <x:v>IN — V2</x:v>
      </x:c>
      <x:c r="F80" s="25" t="n">
        <x:v>9.8</x:v>
      </x:c>
      <x:c r="G80" s="22" t="str">
        <x:v>LOCK</x:v>
      </x:c>
      <x:c r="H80" s="22" t="str">
        <x:v>One of the highest-quality one-mana creature removals; a necessary non-Human exception.</x:v>
      </x:c>
      <x:c r="I80" s="22" t="str">
        <x:v>IN</x:v>
      </x:c>
      <x:c r="J80" s="22" t="str">
        <x:v>https://edhrec.com/commanders/greymond-avacyns-stalwart/humans</x:v>
      </x:c>
    </x:row>
  </x:sheetData>
  <x:mergeCells>
    <x:mergeCell ref="A1:J1"/>
  </x:mergeCells>
  <x:conditionalFormatting sqref="F4:F80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A4:J80">
    <x:cfRule type="expression" dxfId="3" priority="2">
      <x:formula>MOD(ROW(),2)=0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20" hidden="0" customWidth="1"/>
    <x:col min="5" max="5" width="26" hidden="0" customWidth="1"/>
    <x:col min="6" max="6" width="22" hidden="0" customWidth="1"/>
    <x:col min="7" max="7" width="28" hidden="0" customWidth="1"/>
    <x:col min="8" max="8" width="42" hidden="0" customWidth="1"/>
    <x:col min="9" max="9" width="16" hidden="0" customWidth="1"/>
    <x:col min="10" max="10" width="40" hidden="0" customWidth="1"/>
    <x:col min="11" max="11" width="16" hidden="0" customWidth="1"/>
  </x:cols>
  <x:sheetData>
    <x:row r="1" ht="28" customHeight="1">
      <x:c r="A1" s="5" t="str">
        <x:v>TIER LIST — DECK-SPECIFIC, NOT GENERIC POWER</x:v>
      </x:c>
    </x:row>
    <x:row r="3">
      <x:c r="A3" s="14" t="str">
        <x:v>Tier</x:v>
      </x:c>
      <x:c r="B3" s="14" t="str">
        <x:v>Meaning</x:v>
      </x:c>
      <x:c r="C3" s="14" t="str">
        <x:v>Examples</x:v>
      </x:c>
      <x:c r="D3" s="14" t="str">
        <x:v>Why</x:v>
      </x:c>
      <x:c r="E3" s="14" t="str">
        <x:v>Action</x:v>
      </x:c>
      <x:c r="F3" s="14" t="str">
        <x:v>V2 effect</x:v>
      </x:c>
      <x:c r="G3" s="14" t="str">
        <x:v>10/10 standard</x:v>
      </x:c>
    </x:row>
    <x:row r="4">
      <x:c r="A4" s="22" t="str">
        <x:v>S — LOCK</x:v>
      </x:c>
      <x:c r="B4" s="22" t="str">
        <x:v>Irreplaceable for this exact Human/token plan</x:v>
      </x:c>
      <x:c r="C4" s="22" t="str">
        <x:v>Sol Ring; Esper Sentinel; Mother; Horn of Gondor; Skullclamp; Teferi's Protection; Mirror Entity; Recruiter</x:v>
      </x:c>
      <x:c r="D4" s="22" t="str">
        <x:v>Speed, draw, protection, tribal scaling or closing power</x:v>
      </x:c>
      <x:c r="E4" s="22" t="str">
        <x:v>Do not cut casually</x:v>
      </x:c>
      <x:c r="F4" s="22" t="str">
        <x:v>Preserved</x:v>
      </x:c>
      <x:c r="G4" s="22" t="str">
        <x:v>Must remain elite across archetypes.</x:v>
      </x:c>
    </x:row>
    <x:row r="5">
      <x:c r="A5" s="22" t="str">
        <x:v>A — CORE</x:v>
      </x:c>
      <x:c r="B5" s="22" t="str">
        <x:v>Excellent fit, often 2+ jobs</x:v>
      </x:c>
      <x:c r="C5" s="22" t="str">
        <x:v>Lossarnach; Cemetery Protector; Loran; Thalia HC; Voice of Victory; Wandering Rescuer; Virtue; Wedding; Oketra</x:v>
      </x:c>
      <x:c r="D5" s="22" t="str">
        <x:v>High role compression without sacrificing tribal identity</x:v>
      </x:c>
      <x:c r="E5" s="22" t="str">
        <x:v>Keep / tune</x:v>
      </x:c>
      <x:c r="F5" s="22" t="str">
        <x:v>Preserved</x:v>
      </x:c>
      <x:c r="G5" s="22" t="str">
        <x:v>Every card should contribute to pressure or resilience.</x:v>
      </x:c>
    </x:row>
    <x:row r="6">
      <x:c r="A6" s="22" t="str">
        <x:v>B — PLAYABLE</x:v>
      </x:c>
      <x:c r="B6" s="22" t="str">
        <x:v>Good, but narrower/slower/non-Human</x:v>
      </x:c>
      <x:c r="C6" s="22" t="str">
        <x:v>Bounty Agent; Crackdown; Court; Caduceus; Toby; True Conviction</x:v>
      </x:c>
      <x:c r="D6" s="22" t="str">
        <x:v>Playable but high opportunity cost</x:v>
      </x:c>
      <x:c r="E6" s="22" t="str">
        <x:v>Compare against premium Humans</x:v>
      </x:c>
      <x:c r="F6" s="22" t="str">
        <x:v>Several removed</x:v>
      </x:c>
      <x:c r="G6" s="22" t="str">
        <x:v>Only remain if meta specifically rewards them.</x:v>
      </x:c>
    </x:row>
    <x:row r="7">
      <x:c r="A7" s="22" t="str">
        <x:v>C — REVIEW / CUT</x:v>
      </x:c>
      <x:c r="B7" s="22" t="str">
        <x:v>Functional but misaligned with 10/10 objective</x:v>
      </x:c>
      <x:c r="C7" s="22" t="str">
        <x:v>Storm Herd; Temple; Nyx Lotus; Magus; Windborn; Ghostly Prison; Hour</x:v>
      </x:c>
      <x:c r="D7" s="22" t="str">
        <x:v>Tempo, redundancy, defensive posture or non-Human payoff</x:v>
      </x:c>
      <x:c r="E7" s="22" t="str">
        <x:v>First cuts</x:v>
      </x:c>
      <x:c r="F7" s="22" t="str">
        <x:v>Mostly removed</x:v>
      </x:c>
      <x:c r="G7" s="22" t="str">
        <x:v>Use the slot for a Human that performs the same role better.</x:v>
      </x:c>
    </x:row>
    <x:row r="8">
      <x:c r="A8" s="22" t="str">
        <x:v>S — V2 ADD</x:v>
      </x:c>
      <x:c r="B8" s="22" t="str">
        <x:v>Premium Human that fixes structural weakness</x:v>
      </x:c>
      <x:c r="C8" s="22" t="str">
        <x:v>Adeline; Thalia's Lieutenant; Champion; Coppercoat; Grand Abolisher; Drannith; Boromir</x:v>
      </x:c>
      <x:c r="D8" s="22" t="str">
        <x:v>Directly adds pressure, scaling, tax or protection</x:v>
      </x:c>
      <x:c r="E8" s="22" t="str">
        <x:v>Prioritize</x:v>
      </x:c>
      <x:c r="F8" s="22" t="str">
        <x:v>Added</x:v>
      </x:c>
      <x:c r="G8" s="22" t="str">
        <x:v>The best upgrades improve more than one axis.</x:v>
      </x:c>
    </x:row>
  </x:sheetData>
  <x:mergeCells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20" hidden="0" customWidth="1"/>
    <x:col min="5" max="5" width="26" hidden="0" customWidth="1"/>
    <x:col min="6" max="6" width="22" hidden="0" customWidth="1"/>
    <x:col min="7" max="7" width="28" hidden="0" customWidth="1"/>
    <x:col min="8" max="8" width="42" hidden="0" customWidth="1"/>
    <x:col min="9" max="9" width="16" hidden="0" customWidth="1"/>
    <x:col min="10" max="10" width="40" hidden="0" customWidth="1"/>
    <x:col min="11" max="11" width="16" hidden="0" customWidth="1"/>
  </x:cols>
  <x:sheetData>
    <x:row r="1" ht="28" customHeight="1">
      <x:c r="A1" s="5" t="str">
        <x:v>THE 8 USER GROUPS — FUNCTIONAL ANALYSIS</x:v>
      </x:c>
    </x:row>
    <x:row r="3">
      <x:c r="A3" s="14" t="str">
        <x:v>Group</x:v>
      </x:c>
      <x:c r="B3" s="14" t="str">
        <x:v>Current</x:v>
      </x:c>
      <x:c r="C3" s="14" t="str">
        <x:v>V2</x:v>
      </x:c>
      <x:c r="D3" s="14" t="str">
        <x:v>Why V2 improves</x:v>
      </x:c>
      <x:c r="E3" s="14" t="str">
        <x:v>Current core</x:v>
      </x:c>
      <x:c r="F3" s="14" t="str">
        <x:v>V2 focus</x:v>
      </x:c>
      <x:c r="G3" s="14" t="str">
        <x:v>10/10 criterion</x:v>
      </x:c>
      <x:c r="H3" s="14" t="str">
        <x:v>Watchouts</x:v>
      </x:c>
    </x:row>
    <x:row r="4">
      <x:c r="A4" s="22" t="str">
        <x:v>1. Ramp</x:v>
      </x:c>
      <x:c r="B4" s="25" t="n">
        <x:v>8.7</x:v>
      </x:c>
      <x:c r="C4" s="25" t="n">
        <x:v>9</x:v>
      </x:c>
      <x:c r="D4" s="22" t="str">
        <x:v>Knight adds efficient Human ramp; the shell already has Sol Ring/Pearl/Land Tax/Tithe.</x:v>
      </x:c>
      <x:c r="E4" s="22" t="str">
        <x:v>Sol Ring; Land Tax; Pearl; Tithe; Nykthos; Oketra</x:v>
      </x:c>
      <x:c r="F4" s="22" t="str">
        <x:v>Knight of White Orchid</x:v>
      </x:c>
      <x:c r="G4" s="22" t="str">
        <x:v>Enough acceleration to deploy Greymond + board ahead of curve.</x:v>
      </x:c>
      <x:c r="H4" s="22" t="str">
        <x:v>Avoid slow ramp that does not matter before turn 5.</x:v>
      </x:c>
    </x:row>
    <x:row r="5">
      <x:c r="A5" s="22" t="str">
        <x:v>2. Draw</x:v>
      </x:c>
      <x:c r="B5" s="25" t="n">
        <x:v>8.8</x:v>
      </x:c>
      <x:c r="C5" s="25" t="n">
        <x:v>9.3</x:v>
      </x:c>
      <x:c r="D5" s="22" t="str">
        <x:v>Mentor converts the new cheap Human/token density into cards.</x:v>
      </x:c>
      <x:c r="E5" s="22" t="str">
        <x:v>Esper; Skullclamp; Horn of Mark; Trouble; Banner; War Room</x:v>
      </x:c>
      <x:c r="F5" s="22" t="str">
        <x:v>Mentor + existing creature-linked draw</x:v>
      </x:c>
      <x:c r="G5" s="22" t="str">
        <x:v>Still drawing after a wipe and through stalled boards.</x:v>
      </x:c>
      <x:c r="H5" s="22" t="str">
        <x:v>Do not over-rely on one enchantment/Equipment.</x:v>
      </x:c>
    </x:row>
    <x:row r="6">
      <x:c r="A6" s="22" t="str">
        <x:v>3. Removal</x:v>
      </x:c>
      <x:c r="B6" s="25" t="n">
        <x:v>8.6</x:v>
      </x:c>
      <x:c r="C6" s="25" t="n">
        <x:v>9.1</x:v>
      </x:c>
      <x:c r="D6" s="22" t="str">
        <x:v>Swords gives premium one-mana interaction; Human removal remains useful.</x:v>
      </x:c>
      <x:c r="E6" s="22" t="str">
        <x:v>Loran; Commando; Giant Killer; Initiate; Get Lost; Stroke</x:v>
      </x:c>
      <x:c r="F6" s="22" t="str">
        <x:v>Swords + existing Human utility</x:v>
      </x:c>
      <x:c r="G6" s="22" t="str">
        <x:v>Interact early while keeping enough bodies to attack.</x:v>
      </x:c>
      <x:c r="H6" s="22" t="str">
        <x:v>Too many sweepers erase your own board.</x:v>
      </x:c>
    </x:row>
    <x:row r="7">
      <x:c r="A7" s="22" t="str">
        <x:v>4. Protection</x:v>
      </x:c>
      <x:c r="B7" s="25" t="n">
        <x:v>9.1</x:v>
      </x:c>
      <x:c r="C7" s="25" t="n">
        <x:v>9.6</x:v>
      </x:c>
      <x:c r="D7" s="22" t="str">
        <x:v>Boromir and Grand Abolisher protect the turn you intend to win.</x:v>
      </x:c>
      <x:c r="E7" s="22" t="str">
        <x:v>Mother; Flawless; Teferi; Wandering Rescuer; Selfless</x:v>
      </x:c>
      <x:c r="F7" s="22" t="str">
        <x:v>Boromir + Abolisher</x:v>
      </x:c>
      <x:c r="G7" s="22" t="str">
        <x:v>Protect both board and decisive turn.</x:v>
      </x:c>
      <x:c r="H7" s="22" t="str">
        <x:v>Avoid redundant effects that do nothing proactively.</x:v>
      </x:c>
    </x:row>
    <x:row r="8">
      <x:c r="A8" s="22" t="str">
        <x:v>5. Tax</x:v>
      </x:c>
      <x:c r="B8" s="25" t="n">
        <x:v>8.3</x:v>
      </x:c>
      <x:c r="C8" s="25" t="n">
        <x:v>9.3</x:v>
      </x:c>
      <x:c r="D8" s="22" t="str">
        <x:v>Replaces pillow-fort with attacking Human hatebears.</x:v>
      </x:c>
      <x:c r="E8" s="22" t="str">
        <x:v>Baird; Prison; Crackdown; Windborn; Thalia HC; Paladin</x:v>
      </x:c>
      <x:c r="F8" s="22" t="str">
        <x:v>Thalia Guardian; Drannith; Boromir; Abolisher</x:v>
      </x:c>
      <x:c r="G8" s="22" t="str">
        <x:v>Disrupt opponents without becoming passive.</x:v>
      </x:c>
      <x:c r="H8" s="22" t="str">
        <x:v>Meta-dependent; too many taxes can slow your own curve.</x:v>
      </x:c>
    </x:row>
    <x:row r="9">
      <x:c r="A9" s="22" t="str">
        <x:v>6. Buff</x:v>
      </x:c>
      <x:c r="B9" s="25" t="n">
        <x:v>9.2</x:v>
      </x:c>
      <x:c r="C9" s="25" t="n">
        <x:v>9.7</x:v>
      </x:c>
      <x:c r="D9" s="22" t="str">
        <x:v>Three premium early Human scaling pieces make the lord package redundant.</x:v>
      </x:c>
      <x:c r="E9" s="22" t="str">
        <x:v>Greymond; Mimic; Mikaeus; Entity; Banner; Virtue</x:v>
      </x:c>
      <x:c r="F9" s="22" t="str">
        <x:v>Champion; Lieutenant; Coppercoat</x:v>
      </x:c>
      <x:c r="G9" s="22" t="str">
        <x:v>Multiple independent ways to scale the team.</x:v>
      </x:c>
      <x:c r="H9" s="22" t="str">
        <x:v>Buffs without bodies are less useful when behind.</x:v>
      </x:c>
    </x:row>
    <x:row r="10">
      <x:c r="A10" s="22" t="str">
        <x:v>7. Token</x:v>
      </x:c>
      <x:c r="B10" s="25" t="n">
        <x:v>8.5</x:v>
      </x:c>
      <x:c r="C10" s="25" t="n">
        <x:v>9.6</x:v>
      </x:c>
      <x:c r="D10" s="22" t="str">
        <x:v>Adeline is a massive missing engine; Myrel adds a second attack-based army maker.</x:v>
      </x:c>
      <x:c r="E10" s="22" t="str">
        <x:v>Horn; Devotion; Lossarnach; Doomsayer; Visions; Wedding</x:v>
      </x:c>
      <x:c r="F10" s="22" t="str">
        <x:v>Adeline + Myrel</x:v>
      </x:c>
      <x:c r="G10" s="22" t="str">
        <x:v>Token engines should create pressure every turn cycle.</x:v>
      </x:c>
      <x:c r="H10" s="22" t="str">
        <x:v>Prefer Human tokens; Myrel's Soldiers are a calculated exception.</x:v>
      </x:c>
    </x:row>
    <x:row r="11">
      <x:c r="A11" s="22" t="str">
        <x:v>8. 2 em 1 | Combate</x:v>
      </x:c>
      <x:c r="B11" s="25" t="n">
        <x:v>8.8</x:v>
      </x:c>
      <x:c r="C11" s="25" t="n">
        <x:v>9.4</x:v>
      </x:c>
      <x:c r="D11" s="22" t="str">
        <x:v>Odric, Mother, Rescuer, Dusk and Your Temple converge multiple jobs around combat.</x:v>
      </x:c>
      <x:c r="E11" s="22" t="str">
        <x:v>Mother; Dusk; Final Showdown; Your Temple; Rescuer</x:v>
      </x:c>
      <x:c r="F11" s="22" t="str">
        <x:v>Odric + premium Human bodies</x:v>
      </x:c>
      <x:c r="G11" s="22" t="str">
        <x:v>Each combat trick must protect, remove, draw or close.</x:v>
      </x:c>
      <x:c r="H11" s="22" t="str">
        <x:v>No cute combat spells that lack a second meaningful job.</x:v>
      </x:c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20" hidden="0" customWidth="1"/>
    <x:col min="5" max="5" width="26" hidden="0" customWidth="1"/>
    <x:col min="6" max="6" width="22" hidden="0" customWidth="1"/>
    <x:col min="7" max="7" width="28" hidden="0" customWidth="1"/>
    <x:col min="8" max="8" width="42" hidden="0" customWidth="1"/>
    <x:col min="9" max="9" width="16" hidden="0" customWidth="1"/>
    <x:col min="10" max="10" width="40" hidden="0" customWidth="1"/>
    <x:col min="11" max="11" width="16" hidden="0" customWidth="1"/>
  </x:cols>
  <x:sheetData>
    <x:row r="1" ht="28" customHeight="1">
      <x:c r="A1" s="5" t="str">
        <x:v>V2 — 13 OUT / 13 IN | WHY EACH SLOT MOVES</x:v>
      </x:c>
    </x:row>
    <x:row r="3">
      <x:c r="A3" s="14" t="str">
        <x:v>Status</x:v>
      </x:c>
      <x:c r="B3" s="14" t="str">
        <x:v>Card</x:v>
      </x:c>
      <x:c r="C3" s="14" t="str">
        <x:v>Current fit</x:v>
      </x:c>
      <x:c r="D3" s="14" t="str">
        <x:v>Human?</x:v>
      </x:c>
      <x:c r="E3" s="14" t="str">
        <x:v>Why</x:v>
      </x:c>
      <x:c r="F3" s="14" t="str">
        <x:v>Replacement principle</x:v>
      </x:c>
      <x:c r="G3" s="14" t="str">
        <x:v>Priority</x:v>
      </x:c>
      <x:c r="H3" s="14" t="str">
        <x:v>Expected impact</x:v>
      </x:c>
    </x:row>
    <x:row r="4">
      <x:c r="A4" s="22" t="str">
        <x:v>OUT</x:v>
      </x:c>
      <x:c r="B4" s="22" t="str">
        <x:v>Storm Herd</x:v>
      </x:c>
      <x:c r="C4" s="25" t="n">
        <x:v>7.4</x:v>
      </x:c>
      <x:c r="D4" s="22" t="str">
        <x:v>NO</x:v>
      </x:c>
      <x:c r="E4" s="22" t="str">
        <x:v>8-mana Pegasus swarm; powerful standalone but too late and not Human.</x:v>
      </x:c>
      <x:c r="F4" s="22" t="str">
        <x:v>Replace generic/slow slot with a premium Human or premium efficiency piece.</x:v>
      </x:c>
      <x:c r="G4" s="22" t="str">
        <x:v>HIGH</x:v>
      </x:c>
      <x:c r="H4" s="22" t="str">
        <x:v>Free slot for higher synergy.</x:v>
      </x:c>
    </x:row>
    <x:row r="5">
      <x:c r="A5" s="22" t="str">
        <x:v>OUT</x:v>
      </x:c>
      <x:c r="B5" s="22" t="str">
        <x:v>Temple of the False God</x:v>
      </x:c>
      <x:c r="C5" s="25" t="n">
        <x:v>6.2</x:v>
      </x:c>
      <x:c r="D5" s="22" t="str">
        <x:v>NO</x:v>
      </x:c>
      <x:c r="E5" s="22" t="str">
        <x:v>Conditional mana and no tribal payoff; poor early draw.</x:v>
      </x:c>
      <x:c r="F5" s="22" t="str">
        <x:v>Replace generic/slow slot with a premium Human or premium efficiency piece.</x:v>
      </x:c>
      <x:c r="G5" s="22" t="str">
        <x:v>HIGH</x:v>
      </x:c>
      <x:c r="H5" s="22" t="str">
        <x:v>Free slot for higher synergy.</x:v>
      </x:c>
    </x:row>
    <x:row r="6">
      <x:c r="A6" s="22" t="str">
        <x:v>OUT</x:v>
      </x:c>
      <x:c r="B6" s="22" t="str">
        <x:v>Nyx Lotus</x:v>
      </x:c>
      <x:c r="C6" s="25" t="n">
        <x:v>8.2</x:v>
      </x:c>
      <x:c r="D6" s="22" t="str">
        <x:v>NO</x:v>
      </x:c>
      <x:c r="E6" s="22" t="str">
        <x:v>High ceiling but five-mana setup is too slow for aggressive early turns.</x:v>
      </x:c>
      <x:c r="F6" s="22" t="str">
        <x:v>Replace generic/slow slot with a premium Human or premium efficiency piece.</x:v>
      </x:c>
      <x:c r="G6" s="22" t="str">
        <x:v>HIGH</x:v>
      </x:c>
      <x:c r="H6" s="22" t="str">
        <x:v>Free slot for higher synergy.</x:v>
      </x:c>
    </x:row>
    <x:row r="7">
      <x:c r="A7" s="22" t="str">
        <x:v>OUT</x:v>
      </x:c>
      <x:c r="B7" s="22" t="str">
        <x:v>Magus of the Disk</x:v>
      </x:c>
      <x:c r="C7" s="25" t="n">
        <x:v>7.8</x:v>
      </x:c>
      <x:c r="D7" s="22" t="str">
        <x:v>YES</x:v>
      </x:c>
      <x:c r="E7" s="22" t="str">
        <x:v>Human wipe on a body, but slow and symmetrical.</x:v>
      </x:c>
      <x:c r="F7" s="22" t="str">
        <x:v>Replace generic/slow slot with a premium Human or premium efficiency piece.</x:v>
      </x:c>
      <x:c r="G7" s="22" t="str">
        <x:v>HIGH</x:v>
      </x:c>
      <x:c r="H7" s="22" t="str">
        <x:v>Free slot for higher synergy.</x:v>
      </x:c>
    </x:row>
    <x:row r="8">
      <x:c r="A8" s="22" t="str">
        <x:v>OUT</x:v>
      </x:c>
      <x:c r="B8" s="22" t="str">
        <x:v>Caduceus, Staff of Hermes</x:v>
      </x:c>
      <x:c r="C8" s="25" t="n">
        <x:v>8</x:v>
      </x:c>
      <x:c r="D8" s="22" t="str">
        <x:v>NO</x:v>
      </x:c>
      <x:c r="E8" s="22" t="str">
        <x:v>High ceiling protection/buff, but slow/conditional equipment slot.</x:v>
      </x:c>
      <x:c r="F8" s="22" t="str">
        <x:v>Replace generic/slow slot with a premium Human or premium efficiency piece.</x:v>
      </x:c>
      <x:c r="G8" s="22" t="str">
        <x:v>HIGH</x:v>
      </x:c>
      <x:c r="H8" s="22" t="str">
        <x:v>Free slot for higher synergy.</x:v>
      </x:c>
    </x:row>
    <x:row r="9">
      <x:c r="A9" s="22" t="str">
        <x:v>OUT</x:v>
      </x:c>
      <x:c r="B9" s="22" t="str">
        <x:v>Ghostly Prison</x:v>
      </x:c>
      <x:c r="C9" s="25" t="n">
        <x:v>7.8</x:v>
      </x:c>
      <x:c r="D9" s="22" t="str">
        <x:v>NO</x:v>
      </x:c>
      <x:c r="E9" s="22" t="str">
        <x:v>Defensive tax; V2 replaces it with proactive Human taxes.</x:v>
      </x:c>
      <x:c r="F9" s="22" t="str">
        <x:v>Replace generic/slow slot with a premium Human or premium efficiency piece.</x:v>
      </x:c>
      <x:c r="G9" s="22" t="str">
        <x:v>HIGH</x:v>
      </x:c>
      <x:c r="H9" s="22" t="str">
        <x:v>Free slot for higher synergy.</x:v>
      </x:c>
    </x:row>
    <x:row r="10">
      <x:c r="A10" s="22" t="str">
        <x:v>OUT</x:v>
      </x:c>
      <x:c r="B10" s="22" t="str">
        <x:v>Windborn Muse</x:v>
      </x:c>
      <x:c r="C10" s="25" t="n">
        <x:v>7.5</x:v>
      </x:c>
      <x:c r="D10" s="22" t="str">
        <x:v>NO</x:v>
      </x:c>
      <x:c r="E10" s="22" t="str">
        <x:v>Strong pillow-fort effect, but non-Human and redundant with Prison/Baird.</x:v>
      </x:c>
      <x:c r="F10" s="22" t="str">
        <x:v>Replace generic/slow slot with a premium Human or premium efficiency piece.</x:v>
      </x:c>
      <x:c r="G10" s="22" t="str">
        <x:v>HIGH</x:v>
      </x:c>
      <x:c r="H10" s="22" t="str">
        <x:v>Free slot for higher synergy.</x:v>
      </x:c>
    </x:row>
    <x:row r="11">
      <x:c r="A11" s="22" t="str">
        <x:v>OUT</x:v>
      </x:c>
      <x:c r="B11" s="22" t="str">
        <x:v>Court of Ardenvale</x:v>
      </x:c>
      <x:c r="C11" s="25" t="n">
        <x:v>8.2</x:v>
      </x:c>
      <x:c r="D11" s="22" t="str">
        <x:v>NO</x:v>
      </x:c>
      <x:c r="E11" s="22" t="str">
        <x:v>Four-mana monarch/recursion is slow for this pressure plan.</x:v>
      </x:c>
      <x:c r="F11" s="22" t="str">
        <x:v>Replace generic/slow slot with a premium Human or premium efficiency piece.</x:v>
      </x:c>
      <x:c r="G11" s="22" t="str">
        <x:v>HIGH</x:v>
      </x:c>
      <x:c r="H11" s="22" t="str">
        <x:v>Free slot for higher synergy.</x:v>
      </x:c>
    </x:row>
    <x:row r="12">
      <x:c r="A12" s="22" t="str">
        <x:v>OUT</x:v>
      </x:c>
      <x:c r="B12" s="22" t="str">
        <x:v>Hour of Revelation</x:v>
      </x:c>
      <x:c r="C12" s="25" t="n">
        <x:v>7.6</x:v>
      </x:c>
      <x:c r="D12" s="22" t="str">
        <x:v>NO</x:v>
      </x:c>
      <x:c r="E12" s="22" t="str">
        <x:v>Powerful but redundant late sweeper; one less reset improves go-wide consistency.</x:v>
      </x:c>
      <x:c r="F12" s="22" t="str">
        <x:v>Replace generic/slow slot with a premium Human or premium efficiency piece.</x:v>
      </x:c>
      <x:c r="G12" s="22" t="str">
        <x:v>HIGH</x:v>
      </x:c>
      <x:c r="H12" s="22" t="str">
        <x:v>Free slot for higher synergy.</x:v>
      </x:c>
    </x:row>
    <x:row r="13">
      <x:c r="A13" s="22" t="str">
        <x:v>OUT</x:v>
      </x:c>
      <x:c r="B13" s="22" t="str">
        <x:v>Duelist's Heritage</x:v>
      </x:c>
      <x:c r="C13" s="25" t="n">
        <x:v>8</x:v>
      </x:c>
      <x:c r="D13" s="22" t="str">
        <x:v>NO</x:v>
      </x:c>
      <x:c r="E13" s="22" t="str">
        <x:v>Very strong combat card, but non-Human and narrower than the Human alternatives.</x:v>
      </x:c>
      <x:c r="F13" s="22" t="str">
        <x:v>Replace generic/slow slot with a premium Human or premium efficiency piece.</x:v>
      </x:c>
      <x:c r="G13" s="22" t="str">
        <x:v>HIGH</x:v>
      </x:c>
      <x:c r="H13" s="22" t="str">
        <x:v>Free slot for higher synergy.</x:v>
      </x:c>
    </x:row>
    <x:row r="14">
      <x:c r="A14" s="22" t="str">
        <x:v>OUT</x:v>
      </x:c>
      <x:c r="B14" s="22" t="str">
        <x:v>Baird, Steward of Argive</x:v>
      </x:c>
      <x:c r="C14" s="25" t="n">
        <x:v>7.8</x:v>
      </x:c>
      <x:c r="D14" s="22" t="str">
        <x:v>YES</x:v>
      </x:c>
      <x:c r="E14" s="22" t="str">
        <x:v>Good Human tax body; cut only because premium Human disruption is better.</x:v>
      </x:c>
      <x:c r="F14" s="22" t="str">
        <x:v>Replace generic/slow slot with a premium Human or premium efficiency piece.</x:v>
      </x:c>
      <x:c r="G14" s="22" t="str">
        <x:v>HIGH</x:v>
      </x:c>
      <x:c r="H14" s="22" t="str">
        <x:v>Free slot for higher synergy.</x:v>
      </x:c>
    </x:row>
    <x:row r="15">
      <x:c r="A15" s="22" t="str">
        <x:v>OUT</x:v>
      </x:c>
      <x:c r="B15" s="22" t="str">
        <x:v>Masako the Humorless</x:v>
      </x:c>
      <x:c r="C15" s="25" t="n">
        <x:v>8</x:v>
      </x:c>
      <x:c r="D15" s="22" t="str">
        <x:v>YES</x:v>
      </x:c>
      <x:c r="E15" s="22" t="str">
        <x:v>Useful combat surprise, but too narrow for a precious Human slot.</x:v>
      </x:c>
      <x:c r="F15" s="22" t="str">
        <x:v>Replace generic/slow slot with a premium Human or premium efficiency piece.</x:v>
      </x:c>
      <x:c r="G15" s="22" t="str">
        <x:v>HIGH</x:v>
      </x:c>
      <x:c r="H15" s="22" t="str">
        <x:v>Free slot for higher synergy.</x:v>
      </x:c>
    </x:row>
    <x:row r="16">
      <x:c r="A16" s="22" t="str">
        <x:v>OUT</x:v>
      </x:c>
      <x:c r="B16" s="22" t="str">
        <x:v>Michiko Konda, Truth Seeker</x:v>
      </x:c>
      <x:c r="C16" s="25" t="n">
        <x:v>7.8</x:v>
      </x:c>
      <x:c r="D16" s="22" t="str">
        <x:v>YES</x:v>
      </x:c>
      <x:c r="E16" s="22" t="str">
        <x:v>Reactive deterrent; lower ceiling than proactive Human hatebears.</x:v>
      </x:c>
      <x:c r="F16" s="22" t="str">
        <x:v>Replace generic/slow slot with a premium Human or premium efficiency piece.</x:v>
      </x:c>
      <x:c r="G16" s="22" t="str">
        <x:v>HIGH</x:v>
      </x:c>
      <x:c r="H16" s="22" t="str">
        <x:v>Free slot for higher synergy.</x:v>
      </x:c>
    </x:row>
    <x:row r="17">
      <x:c r="A17" s="22" t="str">
        <x:v>IN</x:v>
      </x:c>
      <x:c r="B17" s="22" t="str">
        <x:v>Adeline, Resplendent Cathar</x:v>
      </x:c>
      <x:c r="C17" s="25" t="n">
        <x:v>10</x:v>
      </x:c>
      <x:c r="D17" s="22" t="str">
        <x:v>YES</x:v>
      </x:c>
      <x:c r="E17" s="22" t="str">
        <x:v>Best-in-class Human token pressure: every attack creates a Human for each opponent you attack.</x:v>
      </x:c>
      <x:c r="F17" s="22" t="str">
        <x:v>Increase Human density while adding pressure, draw, tax, protection or closing.</x:v>
      </x:c>
      <x:c r="G17" s="22" t="str">
        <x:v>S</x:v>
      </x:c>
      <x:c r="H17" s="22" t="str">
        <x:v>Direct structural gain.</x:v>
      </x:c>
    </x:row>
    <x:row r="18">
      <x:c r="A18" s="22" t="str">
        <x:v>IN</x:v>
      </x:c>
      <x:c r="B18" s="22" t="str">
        <x:v>Thalia's Lieutenant</x:v>
      </x:c>
      <x:c r="C18" s="25" t="n">
        <x:v>9.9</x:v>
      </x:c>
      <x:c r="D18" s="22" t="str">
        <x:v>YES</x:v>
      </x:c>
      <x:c r="E18" s="22" t="str">
        <x:v>Premium two-mana Human scaling engine: ETB counters on the team; later Humans grow the Lieutenant.</x:v>
      </x:c>
      <x:c r="F18" s="22" t="str">
        <x:v>Increase Human density while adding pressure, draw, tax, protection or closing.</x:v>
      </x:c>
      <x:c r="G18" s="22" t="str">
        <x:v>S</x:v>
      </x:c>
      <x:c r="H18" s="22" t="str">
        <x:v>Direct structural gain.</x:v>
      </x:c>
    </x:row>
    <x:row r="19">
      <x:c r="A19" s="22" t="str">
        <x:v>IN</x:v>
      </x:c>
      <x:c r="B19" s="22" t="str">
        <x:v>Champion of the Parish</x:v>
      </x:c>
      <x:c r="C19" s="25" t="n">
        <x:v>9.7</x:v>
      </x:c>
      <x:c r="D19" s="22" t="str">
        <x:v>YES</x:v>
      </x:c>
      <x:c r="E19" s="22" t="str">
        <x:v>Best-in-class one-drop for this commander: every subsequent Human permanently grows it.</x:v>
      </x:c>
      <x:c r="F19" s="22" t="str">
        <x:v>Increase Human density while adding pressure, draw, tax, protection or closing.</x:v>
      </x:c>
      <x:c r="G19" s="22" t="str">
        <x:v>S</x:v>
      </x:c>
      <x:c r="H19" s="22" t="str">
        <x:v>Direct structural gain.</x:v>
      </x:c>
    </x:row>
    <x:row r="20">
      <x:c r="A20" s="22" t="str">
        <x:v>IN</x:v>
      </x:c>
      <x:c r="B20" s="22" t="str">
        <x:v>Coppercoat Vanguard</x:v>
      </x:c>
      <x:c r="C20" s="25" t="n">
        <x:v>9.5</x:v>
      </x:c>
      <x:c r="D20" s="22" t="str">
        <x:v>YES</x:v>
      </x:c>
      <x:c r="E20" s="22" t="str">
        <x:v>Human lord with protection against noncombat damage; excellent for wide Human boards.</x:v>
      </x:c>
      <x:c r="F20" s="22" t="str">
        <x:v>Increase Human density while adding pressure, draw, tax, protection or closing.</x:v>
      </x:c>
      <x:c r="G20" s="22" t="str">
        <x:v>S</x:v>
      </x:c>
      <x:c r="H20" s="22" t="str">
        <x:v>Direct structural gain.</x:v>
      </x:c>
    </x:row>
    <x:row r="21">
      <x:c r="A21" s="22" t="str">
        <x:v>IN</x:v>
      </x:c>
      <x:c r="B21" s="22" t="str">
        <x:v>Boromir, Warden of the Tower</x:v>
      </x:c>
      <x:c r="C21" s="25" t="n">
        <x:v>9.5</x:v>
      </x:c>
      <x:c r="D21" s="22" t="str">
        <x:v>YES</x:v>
      </x:c>
      <x:c r="E21" s="22" t="str">
        <x:v>Human + vigilance + free-spell check + team indestructible sacrifice.</x:v>
      </x:c>
      <x:c r="F21" s="22" t="str">
        <x:v>Increase Human density while adding pressure, draw, tax, protection or closing.</x:v>
      </x:c>
      <x:c r="G21" s="22" t="str">
        <x:v>S</x:v>
      </x:c>
      <x:c r="H21" s="22" t="str">
        <x:v>Direct structural gain.</x:v>
      </x:c>
    </x:row>
    <x:row r="22">
      <x:c r="A22" s="22" t="str">
        <x:v>IN</x:v>
      </x:c>
      <x:c r="B22" s="22" t="str">
        <x:v>Grand Abolisher</x:v>
      </x:c>
      <x:c r="C22" s="25" t="n">
        <x:v>9.8</x:v>
      </x:c>
      <x:c r="D22" s="22" t="str">
        <x:v>YES</x:v>
      </x:c>
      <x:c r="E22" s="22" t="str">
        <x:v>Human hatebear that protects the decisive turn by shutting off opposing spells/activated abilities.</x:v>
      </x:c>
      <x:c r="F22" s="22" t="str">
        <x:v>Increase Human density while adding pressure, draw, tax, protection or closing.</x:v>
      </x:c>
      <x:c r="G22" s="22" t="str">
        <x:v>S</x:v>
      </x:c>
      <x:c r="H22" s="22" t="str">
        <x:v>Direct structural gain.</x:v>
      </x:c>
    </x:row>
    <x:row r="23">
      <x:c r="A23" s="22" t="str">
        <x:v>IN</x:v>
      </x:c>
      <x:c r="B23" s="22" t="str">
        <x:v>Drannith Magistrate</x:v>
      </x:c>
      <x:c r="C23" s="25" t="n">
        <x:v>9.6</x:v>
      </x:c>
      <x:c r="D23" s="22" t="str">
        <x:v>YES</x:v>
      </x:c>
      <x:c r="E23" s="22" t="str">
        <x:v>Human hatebear that blocks casting from non-hand zones; strong against commanders, graveyards and cascade-like effects.</x:v>
      </x:c>
      <x:c r="F23" s="22" t="str">
        <x:v>Increase Human density while adding pressure, draw, tax, protection or closing.</x:v>
      </x:c>
      <x:c r="G23" s="22" t="str">
        <x:v>S</x:v>
      </x:c>
      <x:c r="H23" s="22" t="str">
        <x:v>Direct structural gain.</x:v>
      </x:c>
    </x:row>
    <x:row r="24">
      <x:c r="A24" s="22" t="str">
        <x:v>IN</x:v>
      </x:c>
      <x:c r="B24" s="22" t="str">
        <x:v>Knight of the White Orchid</x:v>
      </x:c>
      <x:c r="C24" s="25" t="n">
        <x:v>9.4</x:v>
      </x:c>
      <x:c r="D24" s="22" t="str">
        <x:v>YES</x:v>
      </x:c>
      <x:c r="E24" s="22" t="str">
        <x:v>Early Human first striker that can fetch a Plains when behind; improves tempo without leaving tribal plan.</x:v>
      </x:c>
      <x:c r="F24" s="22" t="str">
        <x:v>Increase Human density while adding pressure, draw, tax, protection or closing.</x:v>
      </x:c>
      <x:c r="G24" s="22" t="str">
        <x:v>A</x:v>
      </x:c>
      <x:c r="H24" s="22" t="str">
        <x:v>Direct structural gain.</x:v>
      </x:c>
    </x:row>
    <x:row r="25">
      <x:c r="A25" s="22" t="str">
        <x:v>IN</x:v>
      </x:c>
      <x:c r="B25" s="22" t="str">
        <x:v>Mentor of the Meek</x:v>
      </x:c>
      <x:c r="C25" s="25" t="n">
        <x:v>9.4</x:v>
      </x:c>
      <x:c r="D25" s="22" t="str">
        <x:v>YES</x:v>
      </x:c>
      <x:c r="E25" s="22" t="str">
        <x:v>Human draw engine; small Humans/tokens become cards.</x:v>
      </x:c>
      <x:c r="F25" s="22" t="str">
        <x:v>Increase Human density while adding pressure, draw, tax, protection or closing.</x:v>
      </x:c>
      <x:c r="G25" s="22" t="str">
        <x:v>A</x:v>
      </x:c>
      <x:c r="H25" s="22" t="str">
        <x:v>Direct structural gain.</x:v>
      </x:c>
    </x:row>
    <x:row r="26">
      <x:c r="A26" s="22" t="str">
        <x:v>IN</x:v>
      </x:c>
      <x:c r="B26" s="22" t="str">
        <x:v>Myrel, Shield of Argive</x:v>
      </x:c>
      <x:c r="C26" s="25" t="n">
        <x:v>9.5</x:v>
      </x:c>
      <x:c r="D26" s="22" t="str">
        <x:v>YES</x:v>
      </x:c>
      <x:c r="E26" s="22" t="str">
        <x:v>Human token engine and turn-lock; Soldiers are not Humans, but the engine is elite.</x:v>
      </x:c>
      <x:c r="F26" s="22" t="str">
        <x:v>Increase Human density while adding pressure, draw, tax, protection or closing.</x:v>
      </x:c>
      <x:c r="G26" s="22" t="str">
        <x:v>S</x:v>
      </x:c>
      <x:c r="H26" s="22" t="str">
        <x:v>Direct structural gain.</x:v>
      </x:c>
    </x:row>
    <x:row r="27">
      <x:c r="A27" s="22" t="str">
        <x:v>IN</x:v>
      </x:c>
      <x:c r="B27" s="22" t="str">
        <x:v>Odric, Master Tactician</x:v>
      </x:c>
      <x:c r="C27" s="25" t="n">
        <x:v>9.3</x:v>
      </x:c>
      <x:c r="D27" s="22" t="str">
        <x:v>YES</x:v>
      </x:c>
      <x:c r="E27" s="22" t="str">
        <x:v>Human combat closer; a wide attack can let you dictate legal blocks.</x:v>
      </x:c>
      <x:c r="F27" s="22" t="str">
        <x:v>Increase Human density while adding pressure, draw, tax, protection or closing.</x:v>
      </x:c>
      <x:c r="G27" s="22" t="str">
        <x:v>A</x:v>
      </x:c>
      <x:c r="H27" s="22" t="str">
        <x:v>Direct structural gain.</x:v>
      </x:c>
    </x:row>
    <x:row r="28">
      <x:c r="A28" s="22" t="str">
        <x:v>IN</x:v>
      </x:c>
      <x:c r="B28" s="22" t="str">
        <x:v>Thalia, Guardian of Thraben</x:v>
      </x:c>
      <x:c r="C28" s="25" t="n">
        <x:v>9.6</x:v>
      </x:c>
      <x:c r="D28" s="22" t="str">
        <x:v>YES</x:v>
      </x:c>
      <x:c r="E28" s="22" t="str">
        <x:v>Efficient two-mana Human tax piece; attacks while taxing noncreature spells.</x:v>
      </x:c>
      <x:c r="F28" s="22" t="str">
        <x:v>Increase Human density while adding pressure, draw, tax, protection or closing.</x:v>
      </x:c>
      <x:c r="G28" s="22" t="str">
        <x:v>S</x:v>
      </x:c>
      <x:c r="H28" s="22" t="str">
        <x:v>Direct structural gain.</x:v>
      </x:c>
    </x:row>
    <x:row r="29">
      <x:c r="A29" s="22" t="str">
        <x:v>IN</x:v>
      </x:c>
      <x:c r="B29" s="22" t="str">
        <x:v>Swords to Plowshares</x:v>
      </x:c>
      <x:c r="C29" s="25" t="n">
        <x:v>9.8</x:v>
      </x:c>
      <x:c r="D29" s="22" t="str">
        <x:v>NO</x:v>
      </x:c>
      <x:c r="E29" s="22" t="str">
        <x:v>One of the highest-quality one-mana creature removals; a necessary non-Human exception.</x:v>
      </x:c>
      <x:c r="F29" s="22" t="str">
        <x:v>Increase Human density while adding pressure, draw, tax, protection or closing.</x:v>
      </x:c>
      <x:c r="G29" s="22" t="str">
        <x:v>S</x:v>
      </x:c>
      <x:c r="H29" s="22" t="str">
        <x:v>Direct structural gain.</x:v>
      </x:c>
    </x:row>
  </x:sheetData>
  <x:mergeCells>
    <x:mergeCell ref="A1:H1"/>
  </x:mergeCells>
  <x:conditionalFormatting sqref="A4:A29">
    <x:cfRule type="expression" dxfId="0" priority="1">
      <x:formula>A4="OUT"</x:formula>
    </x:cfRule>
    <x:cfRule type="expression" dxfId="1" priority="2">
      <x:formula>A4="IN"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20" hidden="0" customWidth="1"/>
    <x:col min="5" max="5" width="26" hidden="0" customWidth="1"/>
    <x:col min="6" max="6" width="22" hidden="0" customWidth="1"/>
    <x:col min="7" max="7" width="28" hidden="0" customWidth="1"/>
    <x:col min="8" max="8" width="42" hidden="0" customWidth="1"/>
    <x:col min="9" max="9" width="16" hidden="0" customWidth="1"/>
    <x:col min="10" max="10" width="40" hidden="0" customWidth="1"/>
    <x:col min="11" max="11" width="16" hidden="0" customWidth="1"/>
  </x:cols>
  <x:sheetData>
    <x:row r="1" ht="28" customHeight="1">
      <x:c r="A1" s="5" t="str">
        <x:v>V2 PROJECTED 99 — EXACT LIST</x:v>
      </x:c>
    </x:row>
    <x:row r="3">
      <x:c r="A3" s="14" t="str">
        <x:v>#</x:v>
      </x:c>
      <x:c r="B3" s="14" t="str">
        <x:v>Card</x:v>
      </x:c>
      <x:c r="C3" s="14" t="str">
        <x:v>Qty</x:v>
      </x:c>
      <x:c r="D3" s="14" t="str">
        <x:v>Human?</x:v>
      </x:c>
      <x:c r="E3" s="14" t="str">
        <x:v>Primary group</x:v>
      </x:c>
      <x:c r="F3" s="14" t="str">
        <x:v>Status</x:v>
      </x:c>
      <x:c r="G3" s="14" t="str">
        <x:v>Fit /10</x:v>
      </x:c>
      <x:c r="H3" s="14" t="str">
        <x:v>Note</x:v>
      </x:c>
    </x:row>
    <x:row r="4">
      <x:c r="A4" s="22" t="n">
        <x:v>1</x:v>
      </x:c>
      <x:c r="B4" s="22" t="str">
        <x:v>Austere Command</x:v>
      </x:c>
      <x:c r="C4" s="22" t="n">
        <x:v>1</x:v>
      </x:c>
      <x:c r="D4" s="22" t="str">
        <x:v>NO</x:v>
      </x:c>
      <x:c r="E4" s="22" t="str">
        <x:v>Removal</x:v>
      </x:c>
      <x:c r="F4" s="22" t="str">
        <x:v>KEEP</x:v>
      </x:c>
      <x:c r="G4" s="25" t="n">
        <x:v>8.5</x:v>
      </x:c>
      <x:c r="H4" s="22" t="str">
        <x:v>Retained from current deck.</x:v>
      </x:c>
    </x:row>
    <x:row r="5">
      <x:c r="A5" s="22" t="n">
        <x:v>2</x:v>
      </x:c>
      <x:c r="B5" s="22" t="str">
        <x:v>Bounty Agent</x:v>
      </x:c>
      <x:c r="C5" s="22" t="n">
        <x:v>1</x:v>
      </x:c>
      <x:c r="D5" s="22" t="str">
        <x:v>YES</x:v>
      </x:c>
      <x:c r="E5" s="22" t="str">
        <x:v>Removal</x:v>
      </x:c>
      <x:c r="F5" s="22" t="str">
        <x:v>KEEP</x:v>
      </x:c>
      <x:c r="G5" s="25" t="n">
        <x:v>7.6</x:v>
      </x:c>
      <x:c r="H5" s="22" t="str">
        <x:v>Retained from current deck.</x:v>
      </x:c>
    </x:row>
    <x:row r="6">
      <x:c r="A6" s="22" t="n">
        <x:v>3</x:v>
      </x:c>
      <x:c r="B6" s="22" t="str">
        <x:v>Call the Coppercoats</x:v>
      </x:c>
      <x:c r="C6" s="22" t="n">
        <x:v>1</x:v>
      </x:c>
      <x:c r="D6" s="22" t="str">
        <x:v>NO</x:v>
      </x:c>
      <x:c r="E6" s="22" t="str">
        <x:v>Token</x:v>
      </x:c>
      <x:c r="F6" s="22" t="str">
        <x:v>KEEP</x:v>
      </x:c>
      <x:c r="G6" s="25" t="n">
        <x:v>9</x:v>
      </x:c>
      <x:c r="H6" s="22" t="str">
        <x:v>Retained from current deck.</x:v>
      </x:c>
    </x:row>
    <x:row r="7">
      <x:c r="A7" s="22" t="n">
        <x:v>4</x:v>
      </x:c>
      <x:c r="B7" s="22" t="str">
        <x:v>Castle Ardenvale</x:v>
      </x:c>
      <x:c r="C7" s="22" t="n">
        <x:v>1</x:v>
      </x:c>
      <x:c r="D7" s="22" t="str">
        <x:v>NO</x:v>
      </x:c>
      <x:c r="E7" s="22" t="str">
        <x:v>Token</x:v>
      </x:c>
      <x:c r="F7" s="22" t="str">
        <x:v>KEEP</x:v>
      </x:c>
      <x:c r="G7" s="25" t="n">
        <x:v>7.7</x:v>
      </x:c>
      <x:c r="H7" s="22" t="str">
        <x:v>Retained from current deck.</x:v>
      </x:c>
    </x:row>
    <x:row r="8">
      <x:c r="A8" s="22" t="n">
        <x:v>5</x:v>
      </x:c>
      <x:c r="B8" s="22" t="str">
        <x:v>Cathar Commando</x:v>
      </x:c>
      <x:c r="C8" s="22" t="n">
        <x:v>1</x:v>
      </x:c>
      <x:c r="D8" s="22" t="str">
        <x:v>YES</x:v>
      </x:c>
      <x:c r="E8" s="22" t="str">
        <x:v>Removal</x:v>
      </x:c>
      <x:c r="F8" s="22" t="str">
        <x:v>KEEP</x:v>
      </x:c>
      <x:c r="G8" s="25" t="n">
        <x:v>8.7</x:v>
      </x:c>
      <x:c r="H8" s="22" t="str">
        <x:v>Retained from current deck.</x:v>
      </x:c>
    </x:row>
    <x:row r="9">
      <x:c r="A9" s="22" t="n">
        <x:v>6</x:v>
      </x:c>
      <x:c r="B9" s="22" t="str">
        <x:v>Cemetery Protector</x:v>
      </x:c>
      <x:c r="C9" s="22" t="n">
        <x:v>1</x:v>
      </x:c>
      <x:c r="D9" s="22" t="str">
        <x:v>YES</x:v>
      </x:c>
      <x:c r="E9" s="22" t="str">
        <x:v>Token</x:v>
      </x:c>
      <x:c r="F9" s="22" t="str">
        <x:v>KEEP</x:v>
      </x:c>
      <x:c r="G9" s="25" t="n">
        <x:v>9</x:v>
      </x:c>
      <x:c r="H9" s="22" t="str">
        <x:v>Human plus graveyard hate plus repeatable Human tokens.</x:v>
      </x:c>
    </x:row>
    <x:row r="10">
      <x:c r="A10" s="22" t="n">
        <x:v>7</x:v>
      </x:c>
      <x:c r="B10" s="22" t="str">
        <x:v>Commander's Plate</x:v>
      </x:c>
      <x:c r="C10" s="22" t="n">
        <x:v>1</x:v>
      </x:c>
      <x:c r="D10" s="22" t="str">
        <x:v>NO</x:v>
      </x:c>
      <x:c r="E10" s="22" t="str">
        <x:v>Protection</x:v>
      </x:c>
      <x:c r="F10" s="22" t="str">
        <x:v>KEEP</x:v>
      </x:c>
      <x:c r="G10" s="25" t="n">
        <x:v>8.4</x:v>
      </x:c>
      <x:c r="H10" s="22" t="str">
        <x:v>Retained from current deck.</x:v>
      </x:c>
    </x:row>
    <x:row r="11">
      <x:c r="A11" s="22" t="n">
        <x:v>8</x:v>
      </x:c>
      <x:c r="B11" s="22" t="str">
        <x:v>Crackdown</x:v>
      </x:c>
      <x:c r="C11" s="22" t="n">
        <x:v>1</x:v>
      </x:c>
      <x:c r="D11" s="22" t="str">
        <x:v>NO</x:v>
      </x:c>
      <x:c r="E11" s="22" t="str">
        <x:v>Tax</x:v>
      </x:c>
      <x:c r="F11" s="22" t="str">
        <x:v>KEEP</x:v>
      </x:c>
      <x:c r="G11" s="25" t="n">
        <x:v>8</x:v>
      </x:c>
      <x:c r="H11" s="22" t="str">
        <x:v>Retained from current deck.</x:v>
      </x:c>
    </x:row>
    <x:row r="12">
      <x:c r="A12" s="22" t="n">
        <x:v>9</x:v>
      </x:c>
      <x:c r="B12" s="22" t="str">
        <x:v>Dusk // Dawn</x:v>
      </x:c>
      <x:c r="C12" s="22" t="n">
        <x:v>1</x:v>
      </x:c>
      <x:c r="D12" s="22" t="str">
        <x:v>NO</x:v>
      </x:c>
      <x:c r="E12" s="22" t="str">
        <x:v>Removal</x:v>
      </x:c>
      <x:c r="F12" s="22" t="str">
        <x:v>KEEP</x:v>
      </x:c>
      <x:c r="G12" s="25" t="n">
        <x:v>8.7</x:v>
      </x:c>
      <x:c r="H12" s="22" t="str">
        <x:v>Flexible reset plus recursion; good recovery tool.</x:v>
      </x:c>
    </x:row>
    <x:row r="13">
      <x:c r="A13" s="22" t="n">
        <x:v>10</x:v>
      </x:c>
      <x:c r="B13" s="22" t="str">
        <x:v>Enduring Innocence</x:v>
      </x:c>
      <x:c r="C13" s="22" t="n">
        <x:v>1</x:v>
      </x:c>
      <x:c r="D13" s="22" t="str">
        <x:v>NO</x:v>
      </x:c>
      <x:c r="E13" s="22" t="str">
        <x:v>Draw</x:v>
      </x:c>
      <x:c r="F13" s="22" t="str">
        <x:v>KEEP</x:v>
      </x:c>
      <x:c r="G13" s="25" t="n">
        <x:v>8.8</x:v>
      </x:c>
      <x:c r="H13" s="22" t="str">
        <x:v>Non-Human, but repeated draw and post-death enchantment mode make it resilient.</x:v>
      </x:c>
    </x:row>
    <x:row r="14">
      <x:c r="A14" s="22" t="n">
        <x:v>11</x:v>
      </x:c>
      <x:c r="B14" s="22" t="str">
        <x:v>Esper Sentinel</x:v>
      </x:c>
      <x:c r="C14" s="22" t="n">
        <x:v>1</x:v>
      </x:c>
      <x:c r="D14" s="22" t="str">
        <x:v>YES</x:v>
      </x:c>
      <x:c r="E14" s="22" t="str">
        <x:v>Draw</x:v>
      </x:c>
      <x:c r="F14" s="22" t="str">
        <x:v>KEEP</x:v>
      </x:c>
      <x:c r="G14" s="25" t="n">
        <x:v>9.8</x:v>
      </x:c>
      <x:c r="H14" s="22" t="str">
        <x:v>1-mana Human that turns opposing noncreature casts into card advantage.</x:v>
      </x:c>
    </x:row>
    <x:row r="15">
      <x:c r="A15" s="22" t="n">
        <x:v>12</x:v>
      </x:c>
      <x:c r="B15" s="22" t="str">
        <x:v>Final Showdown</x:v>
      </x:c>
      <x:c r="C15" s="22" t="n">
        <x:v>1</x:v>
      </x:c>
      <x:c r="D15" s="22" t="str">
        <x:v>NO</x:v>
      </x:c>
      <x:c r="E15" s="22" t="str">
        <x:v>Removal</x:v>
      </x:c>
      <x:c r="F15" s="22" t="str">
        <x:v>KEEP</x:v>
      </x:c>
      <x:c r="G15" s="25" t="n">
        <x:v>8.3</x:v>
      </x:c>
      <x:c r="H15" s="22" t="str">
        <x:v>Retained from current deck.</x:v>
      </x:c>
    </x:row>
    <x:row r="16">
      <x:c r="A16" s="22" t="n">
        <x:v>13</x:v>
      </x:c>
      <x:c r="B16" s="22" t="str">
        <x:v>Flawless Maneuver</x:v>
      </x:c>
      <x:c r="C16" s="22" t="n">
        <x:v>1</x:v>
      </x:c>
      <x:c r="D16" s="22" t="str">
        <x:v>NO</x:v>
      </x:c>
      <x:c r="E16" s="22" t="str">
        <x:v>Protection</x:v>
      </x:c>
      <x:c r="F16" s="22" t="str">
        <x:v>KEEP</x:v>
      </x:c>
      <x:c r="G16" s="25" t="n">
        <x:v>9.2</x:v>
      </x:c>
      <x:c r="H16" s="22" t="str">
        <x:v>Free board protection when Greymond is on the battlefield.</x:v>
      </x:c>
    </x:row>
    <x:row r="17">
      <x:c r="A17" s="22" t="n">
        <x:v>14</x:v>
      </x:c>
      <x:c r="B17" s="22" t="str">
        <x:v>Get Lost</x:v>
      </x:c>
      <x:c r="C17" s="22" t="n">
        <x:v>1</x:v>
      </x:c>
      <x:c r="D17" s="22" t="str">
        <x:v>NO</x:v>
      </x:c>
      <x:c r="E17" s="22" t="str">
        <x:v>Removal</x:v>
      </x:c>
      <x:c r="F17" s="22" t="str">
        <x:v>KEEP</x:v>
      </x:c>
      <x:c r="G17" s="25" t="n">
        <x:v>8.7</x:v>
      </x:c>
      <x:c r="H17" s="22" t="str">
        <x:v>Retained from current deck.</x:v>
      </x:c>
    </x:row>
    <x:row r="18">
      <x:c r="A18" s="22" t="n">
        <x:v>15</x:v>
      </x:c>
      <x:c r="B18" s="22" t="str">
        <x:v>Giant Killer</x:v>
      </x:c>
      <x:c r="C18" s="22" t="n">
        <x:v>1</x:v>
      </x:c>
      <x:c r="D18" s="22" t="str">
        <x:v>YES</x:v>
      </x:c>
      <x:c r="E18" s="22" t="str">
        <x:v>Removal</x:v>
      </x:c>
      <x:c r="F18" s="22" t="str">
        <x:v>KEEP</x:v>
      </x:c>
      <x:c r="G18" s="25" t="n">
        <x:v>8.6</x:v>
      </x:c>
      <x:c r="H18" s="22" t="str">
        <x:v>Retained from current deck.</x:v>
      </x:c>
    </x:row>
    <x:row r="19">
      <x:c r="A19" s="22" t="n">
        <x:v>16</x:v>
      </x:c>
      <x:c r="B19" s="22" t="str">
        <x:v>Hopeful Initiate</x:v>
      </x:c>
      <x:c r="C19" s="22" t="n">
        <x:v>1</x:v>
      </x:c>
      <x:c r="D19" s="22" t="str">
        <x:v>YES</x:v>
      </x:c>
      <x:c r="E19" s="22" t="str">
        <x:v>Removal</x:v>
      </x:c>
      <x:c r="F19" s="22" t="str">
        <x:v>KEEP</x:v>
      </x:c>
      <x:c r="G19" s="25" t="n">
        <x:v>8.4</x:v>
      </x:c>
      <x:c r="H19" s="22" t="str">
        <x:v>Retained from current deck.</x:v>
      </x:c>
    </x:row>
    <x:row r="20">
      <x:c r="A20" s="22" t="n">
        <x:v>17</x:v>
      </x:c>
      <x:c r="B20" s="22" t="str">
        <x:v>Horn of Gondor</x:v>
      </x:c>
      <x:c r="C20" s="22" t="n">
        <x:v>1</x:v>
      </x:c>
      <x:c r="D20" s="22" t="str">
        <x:v>NO</x:v>
      </x:c>
      <x:c r="E20" s="22" t="str">
        <x:v>Token</x:v>
      </x:c>
      <x:c r="F20" s="22" t="str">
        <x:v>KEEP</x:v>
      </x:c>
      <x:c r="G20" s="25" t="n">
        <x:v>9.4</x:v>
      </x:c>
      <x:c r="H20" s="22" t="str">
        <x:v>Token engine scales directly from Human count.</x:v>
      </x:c>
    </x:row>
    <x:row r="21">
      <x:c r="A21" s="22" t="n">
        <x:v>18</x:v>
      </x:c>
      <x:c r="B21" s="22" t="str">
        <x:v>Horn of the Mark</x:v>
      </x:c>
      <x:c r="C21" s="22" t="n">
        <x:v>1</x:v>
      </x:c>
      <x:c r="D21" s="22" t="str">
        <x:v>NO</x:v>
      </x:c>
      <x:c r="E21" s="22" t="str">
        <x:v>Draw</x:v>
      </x:c>
      <x:c r="F21" s="22" t="str">
        <x:v>KEEP</x:v>
      </x:c>
      <x:c r="G21" s="25" t="n">
        <x:v>8.9</x:v>
      </x:c>
      <x:c r="H21" s="22" t="str">
        <x:v>Retained from current deck.</x:v>
      </x:c>
    </x:row>
    <x:row r="22">
      <x:c r="A22" s="22" t="n">
        <x:v>19</x:v>
      </x:c>
      <x:c r="B22" s="22" t="str">
        <x:v>Increasing Devotion</x:v>
      </x:c>
      <x:c r="C22" s="22" t="n">
        <x:v>1</x:v>
      </x:c>
      <x:c r="D22" s="22" t="str">
        <x:v>NO</x:v>
      </x:c>
      <x:c r="E22" s="22" t="str">
        <x:v>Token</x:v>
      </x:c>
      <x:c r="F22" s="22" t="str">
        <x:v>KEEP</x:v>
      </x:c>
      <x:c r="G22" s="25" t="n">
        <x:v>8.9</x:v>
      </x:c>
      <x:c r="H22" s="22" t="str">
        <x:v>Retained from current deck.</x:v>
      </x:c>
    </x:row>
    <x:row r="23">
      <x:c r="A23" s="22" t="n">
        <x:v>20</x:v>
      </x:c>
      <x:c r="B23" s="22" t="str">
        <x:v>Kabira Takedown</x:v>
      </x:c>
      <x:c r="C23" s="22" t="n">
        <x:v>1</x:v>
      </x:c>
      <x:c r="D23" s="22" t="str">
        <x:v>NO</x:v>
      </x:c>
      <x:c r="E23" s="22" t="str">
        <x:v>Removal</x:v>
      </x:c>
      <x:c r="F23" s="22" t="str">
        <x:v>KEEP</x:v>
      </x:c>
      <x:c r="G23" s="25" t="n">
        <x:v>8</x:v>
      </x:c>
      <x:c r="H23" s="22" t="str">
        <x:v>Retained from current deck.</x:v>
      </x:c>
    </x:row>
    <x:row r="24">
      <x:c r="A24" s="22" t="n">
        <x:v>21</x:v>
      </x:c>
      <x:c r="B24" s="22" t="str">
        <x:v>Land Tax</x:v>
      </x:c>
      <x:c r="C24" s="22" t="n">
        <x:v>1</x:v>
      </x:c>
      <x:c r="D24" s="22" t="str">
        <x:v>NO</x:v>
      </x:c>
      <x:c r="E24" s="22" t="str">
        <x:v>Ramp</x:v>
      </x:c>
      <x:c r="F24" s="22" t="str">
        <x:v>KEEP</x:v>
      </x:c>
      <x:c r="G24" s="25" t="n">
        <x:v>9</x:v>
      </x:c>
      <x:c r="H24" s="22" t="str">
        <x:v>Retained from current deck.</x:v>
      </x:c>
    </x:row>
    <x:row r="25">
      <x:c r="A25" s="22" t="n">
        <x:v>22</x:v>
      </x:c>
      <x:c r="B25" s="22" t="str">
        <x:v>Loran of the Third Path</x:v>
      </x:c>
      <x:c r="C25" s="22" t="n">
        <x:v>1</x:v>
      </x:c>
      <x:c r="D25" s="22" t="str">
        <x:v>YES</x:v>
      </x:c>
      <x:c r="E25" s="22" t="str">
        <x:v>Removal</x:v>
      </x:c>
      <x:c r="F25" s="22" t="str">
        <x:v>KEEP</x:v>
      </x:c>
      <x:c r="G25" s="25" t="n">
        <x:v>8.9</x:v>
      </x:c>
      <x:c r="H25" s="22" t="str">
        <x:v>Retained from current deck.</x:v>
      </x:c>
    </x:row>
    <x:row r="26">
      <x:c r="A26" s="22" t="n">
        <x:v>23</x:v>
      </x:c>
      <x:c r="B26" s="22" t="str">
        <x:v>Lossarnach Captain</x:v>
      </x:c>
      <x:c r="C26" s="22" t="n">
        <x:v>1</x:v>
      </x:c>
      <x:c r="D26" s="22" t="str">
        <x:v>YES</x:v>
      </x:c>
      <x:c r="E26" s="22" t="str">
        <x:v>Token</x:v>
      </x:c>
      <x:c r="F26" s="22" t="str">
        <x:v>KEEP</x:v>
      </x:c>
      <x:c r="G26" s="25" t="n">
        <x:v>9.1</x:v>
      </x:c>
      <x:c r="H26" s="22" t="str">
        <x:v>Human token engine plus repeated tap tempo from Human ETBs.</x:v>
      </x:c>
    </x:row>
    <x:row r="27">
      <x:c r="A27" s="22" t="n">
        <x:v>24</x:v>
      </x:c>
      <x:c r="B27" s="22" t="str">
        <x:v>Metallic Mimic</x:v>
      </x:c>
      <x:c r="C27" s="22" t="n">
        <x:v>1</x:v>
      </x:c>
      <x:c r="D27" s="22" t="str">
        <x:v>NO</x:v>
      </x:c>
      <x:c r="E27" s="22" t="str">
        <x:v>Buff</x:v>
      </x:c>
      <x:c r="F27" s="22" t="str">
        <x:v>KEEP</x:v>
      </x:c>
      <x:c r="G27" s="25" t="n">
        <x:v>9.4</x:v>
      </x:c>
      <x:c r="H27" s="22" t="str">
        <x:v>Exception to tribal purity that is worth it; name Human for +1/+1 counters.</x:v>
      </x:c>
    </x:row>
    <x:row r="28">
      <x:c r="A28" s="22" t="n">
        <x:v>25</x:v>
      </x:c>
      <x:c r="B28" s="22" t="str">
        <x:v>Mikaeus, the Lunarch</x:v>
      </x:c>
      <x:c r="C28" s="22" t="n">
        <x:v>1</x:v>
      </x:c>
      <x:c r="D28" s="22" t="str">
        <x:v>YES</x:v>
      </x:c>
      <x:c r="E28" s="22" t="str">
        <x:v>Buff</x:v>
      </x:c>
      <x:c r="F28" s="22" t="str">
        <x:v>KEEP</x:v>
      </x:c>
      <x:c r="G28" s="25" t="n">
        <x:v>8.8</x:v>
      </x:c>
      <x:c r="H28" s="22" t="str">
        <x:v>Retained from current deck.</x:v>
      </x:c>
    </x:row>
    <x:row r="29">
      <x:c r="A29" s="22" t="n">
        <x:v>26</x:v>
      </x:c>
      <x:c r="B29" s="22" t="str">
        <x:v>Mirror Entity</x:v>
      </x:c>
      <x:c r="C29" s="22" t="n">
        <x:v>1</x:v>
      </x:c>
      <x:c r="D29" s="22" t="str">
        <x:v>YES</x:v>
      </x:c>
      <x:c r="E29" s="22" t="str">
        <x:v>Buff</x:v>
      </x:c>
      <x:c r="F29" s="22" t="str">
        <x:v>KEEP</x:v>
      </x:c>
      <x:c r="G29" s="25" t="n">
        <x:v>9.5</x:v>
      </x:c>
      <x:c r="H29" s="22" t="str">
        <x:v>Changeling = Human; converts a wide board into a lethal X/X army.</x:v>
      </x:c>
    </x:row>
    <x:row r="30">
      <x:c r="A30" s="22" t="n">
        <x:v>27</x:v>
      </x:c>
      <x:c r="B30" s="22" t="str">
        <x:v>Mistveil Plains</x:v>
      </x:c>
      <x:c r="C30" s="22" t="n">
        <x:v>1</x:v>
      </x:c>
      <x:c r="D30" s="22" t="str">
        <x:v>NO</x:v>
      </x:c>
      <x:c r="E30" s="22" t="str">
        <x:v>Land</x:v>
      </x:c>
      <x:c r="F30" s="22" t="str">
        <x:v>KEEP</x:v>
      </x:c>
      <x:c r="G30" s="25" t="n">
        <x:v>7.2</x:v>
      </x:c>
      <x:c r="H30" s="22" t="str">
        <x:v>Retained from current deck.</x:v>
      </x:c>
    </x:row>
    <x:row r="31">
      <x:c r="A31" s="22" t="n">
        <x:v>28</x:v>
      </x:c>
      <x:c r="B31" s="22" t="str">
        <x:v>Monumental Henge</x:v>
      </x:c>
      <x:c r="C31" s="22" t="n">
        <x:v>1</x:v>
      </x:c>
      <x:c r="D31" s="22" t="str">
        <x:v>NO</x:v>
      </x:c>
      <x:c r="E31" s="22" t="str">
        <x:v>Land</x:v>
      </x:c>
      <x:c r="F31" s="22" t="str">
        <x:v>KEEP</x:v>
      </x:c>
      <x:c r="G31" s="25" t="n">
        <x:v>7</x:v>
      </x:c>
      <x:c r="H31" s="22" t="str">
        <x:v>Retained from current deck.</x:v>
      </x:c>
    </x:row>
    <x:row r="32">
      <x:c r="A32" s="22" t="n">
        <x:v>29</x:v>
      </x:c>
      <x:c r="B32" s="22" t="str">
        <x:v>Mother of Runes</x:v>
      </x:c>
      <x:c r="C32" s="22" t="n">
        <x:v>1</x:v>
      </x:c>
      <x:c r="D32" s="22" t="str">
        <x:v>YES</x:v>
      </x:c>
      <x:c r="E32" s="22" t="str">
        <x:v>Protection</x:v>
      </x:c>
      <x:c r="F32" s="22" t="str">
        <x:v>KEEP</x:v>
      </x:c>
      <x:c r="G32" s="25" t="n">
        <x:v>9.8</x:v>
      </x:c>
      <x:c r="H32" s="22" t="str">
        <x:v>Repeatable Human protection and combat evasion.</x:v>
      </x:c>
    </x:row>
    <x:row r="33">
      <x:c r="A33" s="22" t="n">
        <x:v>30</x:v>
      </x:c>
      <x:c r="B33" s="22" t="str">
        <x:v>Nykthos, Shrine to Nyx</x:v>
      </x:c>
      <x:c r="C33" s="22" t="n">
        <x:v>1</x:v>
      </x:c>
      <x:c r="D33" s="22" t="str">
        <x:v>NO</x:v>
      </x:c>
      <x:c r="E33" s="22" t="str">
        <x:v>Ramp</x:v>
      </x:c>
      <x:c r="F33" s="22" t="str">
        <x:v>KEEP</x:v>
      </x:c>
      <x:c r="G33" s="25" t="n">
        <x:v>8.8</x:v>
      </x:c>
      <x:c r="H33" s="22" t="str">
        <x:v>Retained from current deck.</x:v>
      </x:c>
    </x:row>
    <x:row r="34">
      <x:c r="A34" s="22" t="n">
        <x:v>31</x:v>
      </x:c>
      <x:c r="B34" s="22" t="str">
        <x:v>Oketra's Monument</x:v>
      </x:c>
      <x:c r="C34" s="22" t="n">
        <x:v>1</x:v>
      </x:c>
      <x:c r="D34" s="22" t="str">
        <x:v>NO</x:v>
      </x:c>
      <x:c r="E34" s="22" t="str">
        <x:v>Ramp</x:v>
      </x:c>
      <x:c r="F34" s="22" t="str">
        <x:v>KEEP</x:v>
      </x:c>
      <x:c r="G34" s="25" t="n">
        <x:v>9.1</x:v>
      </x:c>
      <x:c r="H34" s="22" t="str">
        <x:v>Retained from current deck.</x:v>
      </x:c>
    </x:row>
    <x:row r="35">
      <x:c r="A35" s="22" t="n">
        <x:v>32</x:v>
      </x:c>
      <x:c r="B35" s="22" t="str">
        <x:v>Ondu Inversion</x:v>
      </x:c>
      <x:c r="C35" s="22" t="n">
        <x:v>1</x:v>
      </x:c>
      <x:c r="D35" s="22" t="str">
        <x:v>NO</x:v>
      </x:c>
      <x:c r="E35" s="22" t="str">
        <x:v>Removal</x:v>
      </x:c>
      <x:c r="F35" s="22" t="str">
        <x:v>KEEP</x:v>
      </x:c>
      <x:c r="G35" s="25" t="n">
        <x:v>7.7</x:v>
      </x:c>
      <x:c r="H35" s="22" t="str">
        <x:v>Retained from current deck.</x:v>
      </x:c>
    </x:row>
    <x:row r="36">
      <x:c r="A36" s="22" t="n">
        <x:v>33</x:v>
      </x:c>
      <x:c r="B36" s="22" t="str">
        <x:v>Paladin Class</x:v>
      </x:c>
      <x:c r="C36" s="22" t="n">
        <x:v>1</x:v>
      </x:c>
      <x:c r="D36" s="22" t="str">
        <x:v>NO</x:v>
      </x:c>
      <x:c r="E36" s="22" t="str">
        <x:v>Tax</x:v>
      </x:c>
      <x:c r="F36" s="22" t="str">
        <x:v>KEEP</x:v>
      </x:c>
      <x:c r="G36" s="25" t="n">
        <x:v>8.5</x:v>
      </x:c>
      <x:c r="H36" s="22" t="str">
        <x:v>Retained from current deck.</x:v>
      </x:c>
    </x:row>
    <x:row r="37">
      <x:c r="A37" s="22" t="n">
        <x:v>34</x:v>
      </x:c>
      <x:c r="B37" s="22" t="str">
        <x:v>Path of Ancestry</x:v>
      </x:c>
      <x:c r="C37" s="22" t="n">
        <x:v>1</x:v>
      </x:c>
      <x:c r="D37" s="22" t="str">
        <x:v>NO</x:v>
      </x:c>
      <x:c r="E37" s="22" t="str">
        <x:v>Land</x:v>
      </x:c>
      <x:c r="F37" s="22" t="str">
        <x:v>KEEP</x:v>
      </x:c>
      <x:c r="G37" s="25" t="n">
        <x:v>8.6</x:v>
      </x:c>
      <x:c r="H37" s="22" t="str">
        <x:v>Retained from current deck.</x:v>
      </x:c>
    </x:row>
    <x:row r="38">
      <x:c r="A38" s="22" t="n">
        <x:v>35</x:v>
      </x:c>
      <x:c r="B38" s="22" t="str">
        <x:v>Pearl Medallion</x:v>
      </x:c>
      <x:c r="C38" s="22" t="n">
        <x:v>1</x:v>
      </x:c>
      <x:c r="D38" s="22" t="str">
        <x:v>NO</x:v>
      </x:c>
      <x:c r="E38" s="22" t="str">
        <x:v>Ramp</x:v>
      </x:c>
      <x:c r="F38" s="22" t="str">
        <x:v>KEEP</x:v>
      </x:c>
      <x:c r="G38" s="25" t="n">
        <x:v>9</x:v>
      </x:c>
      <x:c r="H38" s="22" t="str">
        <x:v>Retained from current deck.</x:v>
      </x:c>
    </x:row>
    <x:row r="39">
      <x:c r="A39" s="22" t="n">
        <x:v>36</x:v>
      </x:c>
      <x:c r="B39" s="22" t="str">
        <x:v>Plains</x:v>
      </x:c>
      <x:c r="C39" s="22" t="n">
        <x:v>23</x:v>
      </x:c>
      <x:c r="D39" s="22" t="str">
        <x:v>NO</x:v>
      </x:c>
      <x:c r="E39" s="22" t="str">
        <x:v>Land</x:v>
      </x:c>
      <x:c r="F39" s="22" t="str">
        <x:v>KEEP</x:v>
      </x:c>
      <x:c r="G39" s="25" t="n">
        <x:v>8</x:v>
      </x:c>
      <x:c r="H39" s="22" t="str">
        <x:v>Retained from current deck.</x:v>
      </x:c>
    </x:row>
    <x:row r="40">
      <x:c r="A40" s="22" t="n">
        <x:v>37</x:v>
      </x:c>
      <x:c r="B40" s="22" t="str">
        <x:v>Razorgrass Ambush</x:v>
      </x:c>
      <x:c r="C40" s="22" t="n">
        <x:v>1</x:v>
      </x:c>
      <x:c r="D40" s="22" t="str">
        <x:v>NO</x:v>
      </x:c>
      <x:c r="E40" s="22" t="str">
        <x:v>Removal</x:v>
      </x:c>
      <x:c r="F40" s="22" t="str">
        <x:v>KEEP</x:v>
      </x:c>
      <x:c r="G40" s="25" t="n">
        <x:v>7.8</x:v>
      </x:c>
      <x:c r="H40" s="22" t="str">
        <x:v>Retained from current deck.</x:v>
      </x:c>
    </x:row>
    <x:row r="41">
      <x:c r="A41" s="22" t="n">
        <x:v>38</x:v>
      </x:c>
      <x:c r="B41" s="22" t="str">
        <x:v>Recruiter of the Guard</x:v>
      </x:c>
      <x:c r="C41" s="22" t="n">
        <x:v>1</x:v>
      </x:c>
      <x:c r="D41" s="22" t="str">
        <x:v>YES</x:v>
      </x:c>
      <x:c r="E41" s="22" t="str">
        <x:v>Tutor</x:v>
      </x:c>
      <x:c r="F41" s="22" t="str">
        <x:v>KEEP</x:v>
      </x:c>
      <x:c r="G41" s="25" t="n">
        <x:v>9.3</x:v>
      </x:c>
      <x:c r="H41" s="22" t="str">
        <x:v>Human tutor increases consistency and finds much of the toolbox.</x:v>
      </x:c>
    </x:row>
    <x:row r="42">
      <x:c r="A42" s="22" t="n">
        <x:v>39</x:v>
      </x:c>
      <x:c r="B42" s="22" t="str">
        <x:v>Selfless Spirit</x:v>
      </x:c>
      <x:c r="C42" s="22" t="n">
        <x:v>1</x:v>
      </x:c>
      <x:c r="D42" s="22" t="str">
        <x:v>NO</x:v>
      </x:c>
      <x:c r="E42" s="22" t="str">
        <x:v>Protection</x:v>
      </x:c>
      <x:c r="F42" s="22" t="str">
        <x:v>KEEP</x:v>
      </x:c>
      <x:c r="G42" s="25" t="n">
        <x:v>8.8</x:v>
      </x:c>
      <x:c r="H42" s="22" t="str">
        <x:v>Not Human; still valuable as a one-shot board-protection body.</x:v>
      </x:c>
    </x:row>
    <x:row r="43">
      <x:c r="A43" s="22" t="n">
        <x:v>40</x:v>
      </x:c>
      <x:c r="B43" s="22" t="str">
        <x:v>Skullclamp</x:v>
      </x:c>
      <x:c r="C43" s="22" t="n">
        <x:v>1</x:v>
      </x:c>
      <x:c r="D43" s="22" t="str">
        <x:v>NO</x:v>
      </x:c>
      <x:c r="E43" s="22" t="str">
        <x:v>Draw</x:v>
      </x:c>
      <x:c r="F43" s="22" t="str">
        <x:v>KEEP</x:v>
      </x:c>
      <x:c r="G43" s="25" t="n">
        <x:v>9.6</x:v>
      </x:c>
      <x:c r="H43" s="22" t="str">
        <x:v>Outstanding token draw engine; turns disposable bodies into cards.</x:v>
      </x:c>
    </x:row>
    <x:row r="44">
      <x:c r="A44" s="22" t="n">
        <x:v>41</x:v>
      </x:c>
      <x:c r="B44" s="22" t="str">
        <x:v>Smothering Tithe</x:v>
      </x:c>
      <x:c r="C44" s="22" t="n">
        <x:v>1</x:v>
      </x:c>
      <x:c r="D44" s="22" t="str">
        <x:v>NO</x:v>
      </x:c>
      <x:c r="E44" s="22" t="str">
        <x:v>Ramp</x:v>
      </x:c>
      <x:c r="F44" s="22" t="str">
        <x:v>KEEP</x:v>
      </x:c>
      <x:c r="G44" s="25" t="n">
        <x:v>9.5</x:v>
      </x:c>
      <x:c r="H44" s="22" t="str">
        <x:v>Retained from current deck.</x:v>
      </x:c>
    </x:row>
    <x:row r="45">
      <x:c r="A45" s="22" t="n">
        <x:v>42</x:v>
      </x:c>
      <x:c r="B45" s="22" t="str">
        <x:v>Sol Ring</x:v>
      </x:c>
      <x:c r="C45" s="22" t="n">
        <x:v>1</x:v>
      </x:c>
      <x:c r="D45" s="22" t="str">
        <x:v>NO</x:v>
      </x:c>
      <x:c r="E45" s="22" t="str">
        <x:v>Ramp</x:v>
      </x:c>
      <x:c r="F45" s="22" t="str">
        <x:v>KEEP</x:v>
      </x:c>
      <x:c r="G45" s="25" t="n">
        <x:v>10</x:v>
      </x:c>
      <x:c r="H45" s="22" t="str">
        <x:v>Best-in-slot acceleration; automatic keep.</x:v>
      </x:c>
    </x:row>
    <x:row r="46">
      <x:c r="A46" s="22" t="n">
        <x:v>43</x:v>
      </x:c>
      <x:c r="B46" s="22" t="str">
        <x:v>Spectacular Spider-Man</x:v>
      </x:c>
      <x:c r="C46" s="22" t="n">
        <x:v>1</x:v>
      </x:c>
      <x:c r="D46" s="22" t="str">
        <x:v>YES</x:v>
      </x:c>
      <x:c r="E46" s="22" t="str">
        <x:v>Protection</x:v>
      </x:c>
      <x:c r="F46" s="22" t="str">
        <x:v>KEEP</x:v>
      </x:c>
      <x:c r="G46" s="25" t="n">
        <x:v>8.6</x:v>
      </x:c>
      <x:c r="H46" s="22" t="str">
        <x:v>Human Hero; sacrifice mode provides broad team protection.</x:v>
      </x:c>
    </x:row>
    <x:row r="47">
      <x:c r="A47" s="22" t="n">
        <x:v>44</x:v>
      </x:c>
      <x:c r="B47" s="22" t="str">
        <x:v>Stroke of Midnight</x:v>
      </x:c>
      <x:c r="C47" s="22" t="n">
        <x:v>1</x:v>
      </x:c>
      <x:c r="D47" s="22" t="str">
        <x:v>NO</x:v>
      </x:c>
      <x:c r="E47" s="22" t="str">
        <x:v>Removal</x:v>
      </x:c>
      <x:c r="F47" s="22" t="str">
        <x:v>KEEP</x:v>
      </x:c>
      <x:c r="G47" s="25" t="n">
        <x:v>8.8</x:v>
      </x:c>
      <x:c r="H47" s="22" t="str">
        <x:v>Retained from current deck.</x:v>
      </x:c>
    </x:row>
    <x:row r="48">
      <x:c r="A48" s="22" t="n">
        <x:v>45</x:v>
      </x:c>
      <x:c r="B48" s="22" t="str">
        <x:v>Sunset Revelry</x:v>
      </x:c>
      <x:c r="C48" s="22" t="n">
        <x:v>1</x:v>
      </x:c>
      <x:c r="D48" s="22" t="str">
        <x:v>NO</x:v>
      </x:c>
      <x:c r="E48" s="22" t="str">
        <x:v>Token</x:v>
      </x:c>
      <x:c r="F48" s="22" t="str">
        <x:v>KEEP</x:v>
      </x:c>
      <x:c r="G48" s="25" t="n">
        <x:v>7.7</x:v>
      </x:c>
      <x:c r="H48" s="22" t="str">
        <x:v>Retained from current deck.</x:v>
      </x:c>
    </x:row>
    <x:row r="49">
      <x:c r="A49" s="22" t="n">
        <x:v>46</x:v>
      </x:c>
      <x:c r="B49" s="22" t="str">
        <x:v>Teferi's Protection</x:v>
      </x:c>
      <x:c r="C49" s="22" t="n">
        <x:v>1</x:v>
      </x:c>
      <x:c r="D49" s="22" t="str">
        <x:v>NO</x:v>
      </x:c>
      <x:c r="E49" s="22" t="str">
        <x:v>Protection</x:v>
      </x:c>
      <x:c r="F49" s="22" t="str">
        <x:v>KEEP</x:v>
      </x:c>
      <x:c r="G49" s="25" t="n">
        <x:v>10</x:v>
      </x:c>
      <x:c r="H49" s="22" t="str">
        <x:v>Best-in-class board protection.</x:v>
      </x:c>
    </x:row>
    <x:row r="50">
      <x:c r="A50" s="22" t="n">
        <x:v>47</x:v>
      </x:c>
      <x:c r="B50" s="22" t="str">
        <x:v>Thalia, Heretic Cathar</x:v>
      </x:c>
      <x:c r="C50" s="22" t="n">
        <x:v>1</x:v>
      </x:c>
      <x:c r="D50" s="22" t="str">
        <x:v>YES</x:v>
      </x:c>
      <x:c r="E50" s="22" t="str">
        <x:v>Tax</x:v>
      </x:c>
      <x:c r="F50" s="22" t="str">
        <x:v>KEEP</x:v>
      </x:c>
      <x:c r="G50" s="25" t="n">
        <x:v>9.2</x:v>
      </x:c>
      <x:c r="H50" s="22" t="str">
        <x:v>Retained from current deck.</x:v>
      </x:c>
    </x:row>
    <x:row r="51">
      <x:c r="A51" s="22" t="n">
        <x:v>48</x:v>
      </x:c>
      <x:c r="B51" s="22" t="str">
        <x:v>The Wandering Rescuer</x:v>
      </x:c>
      <x:c r="C51" s="22" t="n">
        <x:v>1</x:v>
      </x:c>
      <x:c r="D51" s="22" t="str">
        <x:v>YES</x:v>
      </x:c>
      <x:c r="E51" s="22" t="str">
        <x:v>Protection</x:v>
      </x:c>
      <x:c r="F51" s="22" t="str">
        <x:v>KEEP</x:v>
      </x:c>
      <x:c r="G51" s="25" t="n">
        <x:v>9.2</x:v>
      </x:c>
      <x:c r="H51" s="22" t="str">
        <x:v>Human flash/convoke body that protects tapped attackers.</x:v>
      </x:c>
    </x:row>
    <x:row r="52">
      <x:c r="A52" s="22" t="n">
        <x:v>49</x:v>
      </x:c>
      <x:c r="B52" s="22" t="str">
        <x:v>Thraben Doomsayer</x:v>
      </x:c>
      <x:c r="C52" s="22" t="n">
        <x:v>1</x:v>
      </x:c>
      <x:c r="D52" s="22" t="str">
        <x:v>YES</x:v>
      </x:c>
      <x:c r="E52" s="22" t="str">
        <x:v>Token</x:v>
      </x:c>
      <x:c r="F52" s="22" t="str">
        <x:v>KEEP</x:v>
      </x:c>
      <x:c r="G52" s="25" t="n">
        <x:v>8.4</x:v>
      </x:c>
      <x:c r="H52" s="22" t="str">
        <x:v>Retained from current deck.</x:v>
      </x:c>
    </x:row>
    <x:row r="53">
      <x:c r="A53" s="22" t="n">
        <x:v>50</x:v>
      </x:c>
      <x:c r="B53" s="22" t="str">
        <x:v>Toby, Beastie Befriender</x:v>
      </x:c>
      <x:c r="C53" s="22" t="n">
        <x:v>1</x:v>
      </x:c>
      <x:c r="D53" s="22" t="str">
        <x:v>YES</x:v>
      </x:c>
      <x:c r="E53" s="22" t="str">
        <x:v>Token</x:v>
      </x:c>
      <x:c r="F53" s="22" t="str">
        <x:v>KEEP</x:v>
      </x:c>
      <x:c r="G53" s="25" t="n">
        <x:v>7.9</x:v>
      </x:c>
      <x:c r="H53" s="22" t="str">
        <x:v>Retained from current deck.</x:v>
      </x:c>
    </x:row>
    <x:row r="54">
      <x:c r="A54" s="22" t="n">
        <x:v>51</x:v>
      </x:c>
      <x:c r="B54" s="22" t="str">
        <x:v>Trouble in Pairs</x:v>
      </x:c>
      <x:c r="C54" s="22" t="n">
        <x:v>1</x:v>
      </x:c>
      <x:c r="D54" s="22" t="str">
        <x:v>NO</x:v>
      </x:c>
      <x:c r="E54" s="22" t="str">
        <x:v>Draw</x:v>
      </x:c>
      <x:c r="F54" s="22" t="str">
        <x:v>KEEP</x:v>
      </x:c>
      <x:c r="G54" s="25" t="n">
        <x:v>9</x:v>
      </x:c>
      <x:c r="H54" s="22" t="str">
        <x:v>Non-Human but premium sustained draw and anti-extra-turn pressure.</x:v>
      </x:c>
    </x:row>
    <x:row r="55">
      <x:c r="A55" s="22" t="n">
        <x:v>52</x:v>
      </x:c>
      <x:c r="B55" s="22" t="str">
        <x:v>True Conviction</x:v>
      </x:c>
      <x:c r="C55" s="22" t="n">
        <x:v>1</x:v>
      </x:c>
      <x:c r="D55" s="22" t="str">
        <x:v>NO</x:v>
      </x:c>
      <x:c r="E55" s="22" t="str">
        <x:v>Buff</x:v>
      </x:c>
      <x:c r="F55" s="22" t="str">
        <x:v>KEEP</x:v>
      </x:c>
      <x:c r="G55" s="25" t="n">
        <x:v>8.3</x:v>
      </x:c>
      <x:c r="H55" s="22" t="str">
        <x:v>Retained from current deck.</x:v>
      </x:c>
    </x:row>
    <x:row r="56">
      <x:c r="A56" s="22" t="n">
        <x:v>53</x:v>
      </x:c>
      <x:c r="B56" s="22" t="str">
        <x:v>Tyrite Sanctum</x:v>
      </x:c>
      <x:c r="C56" s="22" t="n">
        <x:v>1</x:v>
      </x:c>
      <x:c r="D56" s="22" t="str">
        <x:v>NO</x:v>
      </x:c>
      <x:c r="E56" s="22" t="str">
        <x:v>Land</x:v>
      </x:c>
      <x:c r="F56" s="22" t="str">
        <x:v>KEEP</x:v>
      </x:c>
      <x:c r="G56" s="25" t="n">
        <x:v>7.1</x:v>
      </x:c>
      <x:c r="H56" s="22" t="str">
        <x:v>Retained from current deck.</x:v>
      </x:c>
    </x:row>
    <x:row r="57">
      <x:c r="A57" s="22" t="n">
        <x:v>54</x:v>
      </x:c>
      <x:c r="B57" s="22" t="str">
        <x:v>Vanquish the Horde</x:v>
      </x:c>
      <x:c r="C57" s="22" t="n">
        <x:v>1</x:v>
      </x:c>
      <x:c r="D57" s="22" t="str">
        <x:v>NO</x:v>
      </x:c>
      <x:c r="E57" s="22" t="str">
        <x:v>Removal</x:v>
      </x:c>
      <x:c r="F57" s="22" t="str">
        <x:v>KEEP</x:v>
      </x:c>
      <x:c r="G57" s="25" t="n">
        <x:v>8.4</x:v>
      </x:c>
      <x:c r="H57" s="22" t="str">
        <x:v>Retained from current deck.</x:v>
      </x:c>
    </x:row>
    <x:row r="58">
      <x:c r="A58" s="22" t="n">
        <x:v>55</x:v>
      </x:c>
      <x:c r="B58" s="22" t="str">
        <x:v>Vanquisher's Banner</x:v>
      </x:c>
      <x:c r="C58" s="22" t="n">
        <x:v>1</x:v>
      </x:c>
      <x:c r="D58" s="22" t="str">
        <x:v>NO</x:v>
      </x:c>
      <x:c r="E58" s="22" t="str">
        <x:v>Draw</x:v>
      </x:c>
      <x:c r="F58" s="22" t="str">
        <x:v>KEEP</x:v>
      </x:c>
      <x:c r="G58" s="25" t="n">
        <x:v>9.4</x:v>
      </x:c>
      <x:c r="H58" s="22" t="str">
        <x:v>Retained from current deck.</x:v>
      </x:c>
    </x:row>
    <x:row r="59">
      <x:c r="A59" s="22" t="n">
        <x:v>56</x:v>
      </x:c>
      <x:c r="B59" s="22" t="str">
        <x:v>Verge Rangers</x:v>
      </x:c>
      <x:c r="C59" s="22" t="n">
        <x:v>1</x:v>
      </x:c>
      <x:c r="D59" s="22" t="str">
        <x:v>YES</x:v>
      </x:c>
      <x:c r="E59" s="22" t="str">
        <x:v>Ramp</x:v>
      </x:c>
      <x:c r="F59" s="22" t="str">
        <x:v>KEEP</x:v>
      </x:c>
      <x:c r="G59" s="25" t="n">
        <x:v>8.1</x:v>
      </x:c>
      <x:c r="H59" s="22" t="str">
        <x:v>Retained from current deck.</x:v>
      </x:c>
    </x:row>
    <x:row r="60">
      <x:c r="A60" s="22" t="n">
        <x:v>57</x:v>
      </x:c>
      <x:c r="B60" s="22" t="str">
        <x:v>Virtue of Loyalty</x:v>
      </x:c>
      <x:c r="C60" s="22" t="n">
        <x:v>1</x:v>
      </x:c>
      <x:c r="D60" s="22" t="str">
        <x:v>NO</x:v>
      </x:c>
      <x:c r="E60" s="22" t="str">
        <x:v>Buff</x:v>
      </x:c>
      <x:c r="F60" s="22" t="str">
        <x:v>KEEP</x:v>
      </x:c>
      <x:c r="G60" s="25" t="n">
        <x:v>9.1</x:v>
      </x:c>
      <x:c r="H60" s="22" t="str">
        <x:v>Retained from current deck.</x:v>
      </x:c>
    </x:row>
    <x:row r="61">
      <x:c r="A61" s="22" t="n">
        <x:v>58</x:v>
      </x:c>
      <x:c r="B61" s="22" t="str">
        <x:v>Visions of Glory</x:v>
      </x:c>
      <x:c r="C61" s="22" t="n">
        <x:v>1</x:v>
      </x:c>
      <x:c r="D61" s="22" t="str">
        <x:v>NO</x:v>
      </x:c>
      <x:c r="E61" s="22" t="str">
        <x:v>Token</x:v>
      </x:c>
      <x:c r="F61" s="22" t="str">
        <x:v>KEEP</x:v>
      </x:c>
      <x:c r="G61" s="25" t="n">
        <x:v>8.8</x:v>
      </x:c>
      <x:c r="H61" s="22" t="str">
        <x:v>Retained from current deck.</x:v>
      </x:c>
    </x:row>
    <x:row r="62">
      <x:c r="A62" s="22" t="n">
        <x:v>59</x:v>
      </x:c>
      <x:c r="B62" s="22" t="str">
        <x:v>Voice of Victory</x:v>
      </x:c>
      <x:c r="C62" s="22" t="n">
        <x:v>1</x:v>
      </x:c>
      <x:c r="D62" s="22" t="str">
        <x:v>YES</x:v>
      </x:c>
      <x:c r="E62" s="22" t="str">
        <x:v>Tax</x:v>
      </x:c>
      <x:c r="F62" s="22" t="str">
        <x:v>KEEP</x:v>
      </x:c>
      <x:c r="G62" s="25" t="n">
        <x:v>9.1</x:v>
      </x:c>
      <x:c r="H62" s="22" t="str">
        <x:v>Human plus attack tokens plus a turn-long spell lockout.</x:v>
      </x:c>
    </x:row>
    <x:row r="63">
      <x:c r="A63" s="22" t="n">
        <x:v>60</x:v>
      </x:c>
      <x:c r="B63" s="22" t="str">
        <x:v>War Room</x:v>
      </x:c>
      <x:c r="C63" s="22" t="n">
        <x:v>1</x:v>
      </x:c>
      <x:c r="D63" s="22" t="str">
        <x:v>NO</x:v>
      </x:c>
      <x:c r="E63" s="22" t="str">
        <x:v>Draw</x:v>
      </x:c>
      <x:c r="F63" s="22" t="str">
        <x:v>KEEP</x:v>
      </x:c>
      <x:c r="G63" s="25" t="n">
        <x:v>8</x:v>
      </x:c>
      <x:c r="H63" s="22" t="str">
        <x:v>Retained from current deck.</x:v>
      </x:c>
    </x:row>
    <x:row r="64">
      <x:c r="A64" s="22" t="n">
        <x:v>61</x:v>
      </x:c>
      <x:c r="B64" s="22" t="str">
        <x:v>Weathered Wayfarer</x:v>
      </x:c>
      <x:c r="C64" s="22" t="n">
        <x:v>1</x:v>
      </x:c>
      <x:c r="D64" s="22" t="str">
        <x:v>YES</x:v>
      </x:c>
      <x:c r="E64" s="22" t="str">
        <x:v>Ramp</x:v>
      </x:c>
      <x:c r="F64" s="22" t="str">
        <x:v>KEEP</x:v>
      </x:c>
      <x:c r="G64" s="25" t="n">
        <x:v>8.8</x:v>
      </x:c>
      <x:c r="H64" s="22" t="str">
        <x:v>Retained from current deck.</x:v>
      </x:c>
    </x:row>
    <x:row r="65">
      <x:c r="A65" s="22" t="n">
        <x:v>62</x:v>
      </x:c>
      <x:c r="B65" s="22" t="str">
        <x:v>Wedding Announcement</x:v>
      </x:c>
      <x:c r="C65" s="22" t="n">
        <x:v>1</x:v>
      </x:c>
      <x:c r="D65" s="22" t="str">
        <x:v>NO</x:v>
      </x:c>
      <x:c r="E65" s="22" t="str">
        <x:v>Draw</x:v>
      </x:c>
      <x:c r="F65" s="22" t="str">
        <x:v>KEEP</x:v>
      </x:c>
      <x:c r="G65" s="25" t="n">
        <x:v>9</x:v>
      </x:c>
      <x:c r="H65" s="22" t="str">
        <x:v>Retained from current deck.</x:v>
      </x:c>
    </x:row>
    <x:row r="66">
      <x:c r="A66" s="22" t="n">
        <x:v>63</x:v>
      </x:c>
      <x:c r="B66" s="22" t="str">
        <x:v>Witch Enchanter</x:v>
      </x:c>
      <x:c r="C66" s="22" t="n">
        <x:v>1</x:v>
      </x:c>
      <x:c r="D66" s="22" t="str">
        <x:v>YES</x:v>
      </x:c>
      <x:c r="E66" s="22" t="str">
        <x:v>Removal</x:v>
      </x:c>
      <x:c r="F66" s="22" t="str">
        <x:v>KEEP</x:v>
      </x:c>
      <x:c r="G66" s="25" t="n">
        <x:v>8.1</x:v>
      </x:c>
      <x:c r="H66" s="22" t="str">
        <x:v>Retained from current deck.</x:v>
      </x:c>
    </x:row>
    <x:row r="67">
      <x:c r="A67" s="22" t="n">
        <x:v>64</x:v>
      </x:c>
      <x:c r="B67" s="22" t="str">
        <x:v>Your Temple Is Under Attack</x:v>
      </x:c>
      <x:c r="C67" s="22" t="n">
        <x:v>1</x:v>
      </x:c>
      <x:c r="D67" s="22" t="str">
        <x:v>NO</x:v>
      </x:c>
      <x:c r="E67" s="22" t="str">
        <x:v>Protection</x:v>
      </x:c>
      <x:c r="F67" s="22" t="str">
        <x:v>KEEP</x:v>
      </x:c>
      <x:c r="G67" s="25" t="n">
        <x:v>8.7</x:v>
      </x:c>
      <x:c r="H67" s="22" t="str">
        <x:v>True 2-in-1: indestructible or political draw.</x:v>
      </x:c>
    </x:row>
    <x:row r="68">
      <x:c r="A68" s="22" t="n">
        <x:v>65</x:v>
      </x:c>
      <x:c r="B68" s="22" t="str">
        <x:v>Adeline, Resplendent Cathar</x:v>
      </x:c>
      <x:c r="C68" s="22" t="n">
        <x:v>1</x:v>
      </x:c>
      <x:c r="D68" s="22" t="str">
        <x:v>YES</x:v>
      </x:c>
      <x:c r="E68" s="22" t="str">
        <x:v>Token</x:v>
      </x:c>
      <x:c r="F68" s="22" t="str">
        <x:v>IN</x:v>
      </x:c>
      <x:c r="G68" s="25" t="n">
        <x:v>10</x:v>
      </x:c>
      <x:c r="H68" s="22" t="str">
        <x:v>Best-in-class Human token pressure: every attack creates a Human for each opponent you attack.</x:v>
      </x:c>
    </x:row>
    <x:row r="69">
      <x:c r="A69" s="22" t="n">
        <x:v>66</x:v>
      </x:c>
      <x:c r="B69" s="22" t="str">
        <x:v>Thalia's Lieutenant</x:v>
      </x:c>
      <x:c r="C69" s="22" t="n">
        <x:v>1</x:v>
      </x:c>
      <x:c r="D69" s="22" t="str">
        <x:v>YES</x:v>
      </x:c>
      <x:c r="E69" s="22" t="str">
        <x:v>Buff</x:v>
      </x:c>
      <x:c r="F69" s="22" t="str">
        <x:v>IN</x:v>
      </x:c>
      <x:c r="G69" s="25" t="n">
        <x:v>9.9</x:v>
      </x:c>
      <x:c r="H69" s="22" t="str">
        <x:v>Premium two-mana Human scaling engine: ETB counters on the team; later Humans grow the Lieutenant.</x:v>
      </x:c>
    </x:row>
    <x:row r="70">
      <x:c r="A70" s="22" t="n">
        <x:v>67</x:v>
      </x:c>
      <x:c r="B70" s="22" t="str">
        <x:v>Champion of the Parish</x:v>
      </x:c>
      <x:c r="C70" s="22" t="n">
        <x:v>1</x:v>
      </x:c>
      <x:c r="D70" s="22" t="str">
        <x:v>YES</x:v>
      </x:c>
      <x:c r="E70" s="22" t="str">
        <x:v>Early Pressure</x:v>
      </x:c>
      <x:c r="F70" s="22" t="str">
        <x:v>IN</x:v>
      </x:c>
      <x:c r="G70" s="25" t="n">
        <x:v>9.7</x:v>
      </x:c>
      <x:c r="H70" s="22" t="str">
        <x:v>Best-in-class one-drop for this commander: every subsequent Human permanently grows it.</x:v>
      </x:c>
    </x:row>
    <x:row r="71">
      <x:c r="A71" s="22" t="n">
        <x:v>68</x:v>
      </x:c>
      <x:c r="B71" s="22" t="str">
        <x:v>Coppercoat Vanguard</x:v>
      </x:c>
      <x:c r="C71" s="22" t="n">
        <x:v>1</x:v>
      </x:c>
      <x:c r="D71" s="22" t="str">
        <x:v>YES</x:v>
      </x:c>
      <x:c r="E71" s="22" t="str">
        <x:v>Buff</x:v>
      </x:c>
      <x:c r="F71" s="22" t="str">
        <x:v>IN</x:v>
      </x:c>
      <x:c r="G71" s="25" t="n">
        <x:v>9.5</x:v>
      </x:c>
      <x:c r="H71" s="22" t="str">
        <x:v>Human lord with protection against noncombat damage; excellent for wide Human boards.</x:v>
      </x:c>
    </x:row>
    <x:row r="72">
      <x:c r="A72" s="22" t="n">
        <x:v>69</x:v>
      </x:c>
      <x:c r="B72" s="22" t="str">
        <x:v>Boromir, Warden of the Tower</x:v>
      </x:c>
      <x:c r="C72" s="22" t="n">
        <x:v>1</x:v>
      </x:c>
      <x:c r="D72" s="22" t="str">
        <x:v>YES</x:v>
      </x:c>
      <x:c r="E72" s="22" t="str">
        <x:v>Tax</x:v>
      </x:c>
      <x:c r="F72" s="22" t="str">
        <x:v>IN</x:v>
      </x:c>
      <x:c r="G72" s="25" t="n">
        <x:v>9.5</x:v>
      </x:c>
      <x:c r="H72" s="22" t="str">
        <x:v>Human + vigilance + free-spell check + team indestructible sacrifice.</x:v>
      </x:c>
    </x:row>
    <x:row r="73">
      <x:c r="A73" s="22" t="n">
        <x:v>70</x:v>
      </x:c>
      <x:c r="B73" s="22" t="str">
        <x:v>Grand Abolisher</x:v>
      </x:c>
      <x:c r="C73" s="22" t="n">
        <x:v>1</x:v>
      </x:c>
      <x:c r="D73" s="22" t="str">
        <x:v>YES</x:v>
      </x:c>
      <x:c r="E73" s="22" t="str">
        <x:v>Tax</x:v>
      </x:c>
      <x:c r="F73" s="22" t="str">
        <x:v>IN</x:v>
      </x:c>
      <x:c r="G73" s="25" t="n">
        <x:v>9.8</x:v>
      </x:c>
      <x:c r="H73" s="22" t="str">
        <x:v>Human hatebear that protects the decisive turn by shutting off opposing spells/activated abilities.</x:v>
      </x:c>
    </x:row>
    <x:row r="74">
      <x:c r="A74" s="22" t="n">
        <x:v>71</x:v>
      </x:c>
      <x:c r="B74" s="22" t="str">
        <x:v>Drannith Magistrate</x:v>
      </x:c>
      <x:c r="C74" s="22" t="n">
        <x:v>1</x:v>
      </x:c>
      <x:c r="D74" s="22" t="str">
        <x:v>YES</x:v>
      </x:c>
      <x:c r="E74" s="22" t="str">
        <x:v>Tax</x:v>
      </x:c>
      <x:c r="F74" s="22" t="str">
        <x:v>IN</x:v>
      </x:c>
      <x:c r="G74" s="25" t="n">
        <x:v>9.6</x:v>
      </x:c>
      <x:c r="H74" s="22" t="str">
        <x:v>Human hatebear that blocks casting from non-hand zones; strong against commanders, graveyards and cascade-like effects.</x:v>
      </x:c>
    </x:row>
    <x:row r="75">
      <x:c r="A75" s="22" t="n">
        <x:v>72</x:v>
      </x:c>
      <x:c r="B75" s="22" t="str">
        <x:v>Knight of the White Orchid</x:v>
      </x:c>
      <x:c r="C75" s="22" t="n">
        <x:v>1</x:v>
      </x:c>
      <x:c r="D75" s="22" t="str">
        <x:v>YES</x:v>
      </x:c>
      <x:c r="E75" s="22" t="str">
        <x:v>Ramp</x:v>
      </x:c>
      <x:c r="F75" s="22" t="str">
        <x:v>IN</x:v>
      </x:c>
      <x:c r="G75" s="25" t="n">
        <x:v>9.4</x:v>
      </x:c>
      <x:c r="H75" s="22" t="str">
        <x:v>Early Human first striker that can fetch a Plains when behind; improves tempo without leaving tribal plan.</x:v>
      </x:c>
    </x:row>
    <x:row r="76">
      <x:c r="A76" s="22" t="n">
        <x:v>73</x:v>
      </x:c>
      <x:c r="B76" s="22" t="str">
        <x:v>Mentor of the Meek</x:v>
      </x:c>
      <x:c r="C76" s="22" t="n">
        <x:v>1</x:v>
      </x:c>
      <x:c r="D76" s="22" t="str">
        <x:v>YES</x:v>
      </x:c>
      <x:c r="E76" s="22" t="str">
        <x:v>Draw</x:v>
      </x:c>
      <x:c r="F76" s="22" t="str">
        <x:v>IN</x:v>
      </x:c>
      <x:c r="G76" s="25" t="n">
        <x:v>9.4</x:v>
      </x:c>
      <x:c r="H76" s="22" t="str">
        <x:v>Human draw engine; small Humans/tokens become cards.</x:v>
      </x:c>
    </x:row>
    <x:row r="77">
      <x:c r="A77" s="22" t="n">
        <x:v>74</x:v>
      </x:c>
      <x:c r="B77" s="22" t="str">
        <x:v>Myrel, Shield of Argive</x:v>
      </x:c>
      <x:c r="C77" s="22" t="n">
        <x:v>1</x:v>
      </x:c>
      <x:c r="D77" s="22" t="str">
        <x:v>YES</x:v>
      </x:c>
      <x:c r="E77" s="22" t="str">
        <x:v>Token</x:v>
      </x:c>
      <x:c r="F77" s="22" t="str">
        <x:v>IN</x:v>
      </x:c>
      <x:c r="G77" s="25" t="n">
        <x:v>9.5</x:v>
      </x:c>
      <x:c r="H77" s="22" t="str">
        <x:v>Human token engine and turn-lock; Soldiers are not Humans, but the engine is elite.</x:v>
      </x:c>
    </x:row>
    <x:row r="78">
      <x:c r="A78" s="22" t="n">
        <x:v>75</x:v>
      </x:c>
      <x:c r="B78" s="22" t="str">
        <x:v>Odric, Master Tactician</x:v>
      </x:c>
      <x:c r="C78" s="22" t="n">
        <x:v>1</x:v>
      </x:c>
      <x:c r="D78" s="22" t="str">
        <x:v>YES</x:v>
      </x:c>
      <x:c r="E78" s="22" t="str">
        <x:v>Combat</x:v>
      </x:c>
      <x:c r="F78" s="22" t="str">
        <x:v>IN</x:v>
      </x:c>
      <x:c r="G78" s="25" t="n">
        <x:v>9.3</x:v>
      </x:c>
      <x:c r="H78" s="22" t="str">
        <x:v>Human combat closer; a wide attack can let you dictate legal blocks.</x:v>
      </x:c>
    </x:row>
    <x:row r="79">
      <x:c r="A79" s="22" t="n">
        <x:v>76</x:v>
      </x:c>
      <x:c r="B79" s="22" t="str">
        <x:v>Thalia, Guardian of Thraben</x:v>
      </x:c>
      <x:c r="C79" s="22" t="n">
        <x:v>1</x:v>
      </x:c>
      <x:c r="D79" s="22" t="str">
        <x:v>YES</x:v>
      </x:c>
      <x:c r="E79" s="22" t="str">
        <x:v>Tax</x:v>
      </x:c>
      <x:c r="F79" s="22" t="str">
        <x:v>IN</x:v>
      </x:c>
      <x:c r="G79" s="25" t="n">
        <x:v>9.6</x:v>
      </x:c>
      <x:c r="H79" s="22" t="str">
        <x:v>Efficient two-mana Human tax piece; attacks while taxing noncreature spells.</x:v>
      </x:c>
    </x:row>
    <x:row r="80">
      <x:c r="A80" s="22" t="n">
        <x:v>77</x:v>
      </x:c>
      <x:c r="B80" s="22" t="str">
        <x:v>Swords to Plowshares</x:v>
      </x:c>
      <x:c r="C80" s="22" t="n">
        <x:v>1</x:v>
      </x:c>
      <x:c r="D80" s="22" t="str">
        <x:v>NO</x:v>
      </x:c>
      <x:c r="E80" s="22" t="str">
        <x:v>Removal</x:v>
      </x:c>
      <x:c r="F80" s="22" t="str">
        <x:v>IN</x:v>
      </x:c>
      <x:c r="G80" s="25" t="n">
        <x:v>9.8</x:v>
      </x:c>
      <x:c r="H80" s="22" t="str">
        <x:v>One of the highest-quality one-mana creature removals; a necessary non-Human exception.</x:v>
      </x:c>
    </x:row>
  </x:sheetData>
  <x:mergeCells>
    <x:mergeCell ref="A1:H1"/>
  </x:mergeCells>
  <x:conditionalFormatting sqref="A4:J80">
    <x:cfRule type="expression" dxfId="4" priority="1">
      <x:formula>MOD(ROW(),2)=0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20" hidden="0" customWidth="1"/>
    <x:col min="5" max="5" width="26" hidden="0" customWidth="1"/>
    <x:col min="6" max="6" width="22" hidden="0" customWidth="1"/>
    <x:col min="7" max="7" width="28" hidden="0" customWidth="1"/>
    <x:col min="8" max="8" width="42" hidden="0" customWidth="1"/>
    <x:col min="9" max="9" width="16" hidden="0" customWidth="1"/>
    <x:col min="10" max="10" width="40" hidden="0" customWidth="1"/>
    <x:col min="11" max="11" width="16" hidden="0" customWidth="1"/>
  </x:cols>
  <x:sheetData>
    <x:row r="1" ht="28" customHeight="1">
      <x:c r="A1" s="5" t="str">
        <x:v>ROADMAP — HOW WE ACTUALLY GET TO 10/10</x:v>
      </x:c>
    </x:row>
    <x:row r="3">
      <x:c r="A3" s="14" t="str">
        <x:v>Milestone</x:v>
      </x:c>
      <x:c r="B3" s="14" t="str">
        <x:v>Metric</x:v>
      </x:c>
      <x:c r="C3" s="14" t="str">
        <x:v>Current</x:v>
      </x:c>
      <x:c r="D3" s="14" t="str">
        <x:v>V2</x:v>
      </x:c>
      <x:c r="E3" s="14" t="str">
        <x:v>10/10 target</x:v>
      </x:c>
      <x:c r="F3" s="14" t="str">
        <x:v>Test method</x:v>
      </x:c>
      <x:c r="G3" s="14" t="str">
        <x:v>Priority bench</x:v>
      </x:c>
      <x:c r="H3" s="14" t="str">
        <x:v>Status</x:v>
      </x:c>
    </x:row>
    <x:row r="4">
      <x:c r="A4" s="22" t="str">
        <x:v>1</x:v>
      </x:c>
      <x:c r="B4" s="22" t="str">
        <x:v>Human creature cards</x:v>
      </x:c>
      <x:c r="C4" s="22" t="n">
        <x:v>25</x:v>
      </x:c>
      <x:c r="D4" s="22" t="n">
        <x:v>33</x:v>
      </x:c>
      <x:c r="E4" s="22" t="str">
        <x:v>33–36</x:v>
      </x:c>
      <x:c r="F4" s="22" t="str">
        <x:v>Count deck; verify creature type</x:v>
      </x:c>
      <x:c r="G4" s="22" t="str">
        <x:v>Ranger-Captain; Mangara</x:v>
      </x:c>
      <x:c r="H4" s="22" t="str">
        <x:v>V2 PASS</x:v>
      </x:c>
    </x:row>
    <x:row r="5">
      <x:c r="A5" s="22" t="str">
        <x:v>2</x:v>
      </x:c>
      <x:c r="B5" s="22" t="str">
        <x:v>Low-cost Humans (≤2)</x:v>
      </x:c>
      <x:c r="C5" s="22" t="n">
        <x:v>7</x:v>
      </x:c>
      <x:c r="D5" s="22" t="n">
        <x:v>14</x:v>
      </x:c>
      <x:c r="E5" s="22" t="str">
        <x:v>12–15</x:v>
      </x:c>
      <x:c r="F5" s="22" t="str">
        <x:v>Log opening hands / first 3 turns</x:v>
      </x:c>
      <x:c r="G5" s="22" t="str">
        <x:v>Champion; Lieutenant; Thalia G</x:v>
      </x:c>
      <x:c r="H5" s="22" t="str">
        <x:v>V2 PASS</x:v>
      </x:c>
    </x:row>
    <x:row r="6">
      <x:c r="A6" s="22" t="str">
        <x:v>3</x:v>
      </x:c>
      <x:c r="B6" s="22" t="str">
        <x:v>4-Human Greymond threshold</x:v>
      </x:c>
      <x:c r="C6" s="22" t="str">
        <x:v>48.6% proxy</x:v>
      </x:c>
      <x:c r="D6" s="22" t="str">
        <x:v>73.7% proxy</x:v>
      </x:c>
      <x:c r="E6" s="22" t="str">
        <x:v>≥70% proxy</x:v>
      </x:c>
      <x:c r="F6" s="22" t="str">
        <x:v>Hypergeometric first-10 proxy; then game logs</x:v>
      </x:c>
      <x:c r="G6" s="22" t="str">
        <x:v>More 1–2 mana Humans</x:v>
      </x:c>
      <x:c r="H6" s="22" t="str">
        <x:v>V2 PASS / verify</x:v>
      </x:c>
    </x:row>
    <x:row r="7">
      <x:c r="A7" s="22" t="str">
        <x:v>4</x:v>
      </x:c>
      <x:c r="B7" s="22" t="str">
        <x:v>Token engines</x:v>
      </x:c>
      <x:c r="C7" s="22" t="str">
        <x:v>Good</x:v>
      </x:c>
      <x:c r="D7" s="22" t="str">
        <x:v>Excellent</x:v>
      </x:c>
      <x:c r="E7" s="22" t="str">
        <x:v>≥6 high-quality</x:v>
      </x:c>
      <x:c r="F7" s="22" t="str">
        <x:v>Count meaningful token production by turn 7</x:v>
      </x:c>
      <x:c r="G7" s="22" t="str">
        <x:v>Adeline; Horn; Devotion; Myrel</x:v>
      </x:c>
      <x:c r="H7" s="22" t="str">
        <x:v>V2 PASS</x:v>
      </x:c>
    </x:row>
    <x:row r="8">
      <x:c r="A8" s="22" t="str">
        <x:v>5</x:v>
      </x:c>
      <x:c r="B8" s="22" t="str">
        <x:v>Protection</x:v>
      </x:c>
      <x:c r="C8" s="22" t="str">
        <x:v>Strong</x:v>
      </x:c>
      <x:c r="D8" s="22" t="str">
        <x:v>Very strong</x:v>
      </x:c>
      <x:c r="E8" s="22" t="str">
        <x:v>6–8 pieces</x:v>
      </x:c>
      <x:c r="F8" s="22" t="str">
        <x:v>Track losses to wipes/removal</x:v>
      </x:c>
      <x:c r="G8" s="22" t="str">
        <x:v>Frontline Medic; Akroma's Will</x:v>
      </x:c>
      <x:c r="H8" s="22" t="str">
        <x:v>Playtest</x:v>
      </x:c>
    </x:row>
    <x:row r="9">
      <x:c r="A9" s="22" t="str">
        <x:v>6</x:v>
      </x:c>
      <x:c r="B9" s="22" t="str">
        <x:v>Tax</x:v>
      </x:c>
      <x:c r="C9" s="22" t="str">
        <x:v>Good</x:v>
      </x:c>
      <x:c r="D9" s="22" t="str">
        <x:v>Excellent</x:v>
      </x:c>
      <x:c r="E9" s="22" t="str">
        <x:v>3–5 proactive pieces</x:v>
      </x:c>
      <x:c r="F9" s="22" t="str">
        <x:v>Track disrupted combos / value turns</x:v>
      </x:c>
      <x:c r="G9" s="22" t="str">
        <x:v>Ranger-Captain; Drannith</x:v>
      </x:c>
      <x:c r="H9" s="22" t="str">
        <x:v>Playtest</x:v>
      </x:c>
    </x:row>
    <x:row r="10">
      <x:c r="A10" s="22" t="str">
        <x:v>7</x:v>
      </x:c>
      <x:c r="B10" s="22" t="str">
        <x:v>Closing</x:v>
      </x:c>
      <x:c r="C10" s="22" t="str">
        <x:v>Good</x:v>
      </x:c>
      <x:c r="D10" s="22" t="str">
        <x:v>Excellent</x:v>
      </x:c>
      <x:c r="E10" s="22" t="str">
        <x:v>Win from board in 1–2 attack cycles</x:v>
      </x:c>
      <x:c r="F10" s="22" t="str">
        <x:v>Record alpha-strike turns</x:v>
      </x:c>
      <x:c r="G10" s="22" t="str">
        <x:v>Odric; Kwende; Sanctuary Lockdown</x:v>
      </x:c>
      <x:c r="H10" s="22" t="str">
        <x:v>Playtest</x:v>
      </x:c>
    </x:row>
    <x:row r="11">
      <x:c r="A11" s="22" t="str">
        <x:v>8</x:v>
      </x:c>
      <x:c r="B11" s="22" t="str">
        <x:v>Card recovery</x:v>
      </x:c>
      <x:c r="C11" s="22" t="str">
        <x:v>Strong</x:v>
      </x:c>
      <x:c r="D11" s="22" t="str">
        <x:v>Very strong</x:v>
      </x:c>
      <x:c r="E11" s="22" t="str">
        <x:v>Recover after wipe without topdecking</x:v>
      </x:c>
      <x:c r="F11" s="22" t="str">
        <x:v>Cards drawn by turn 7 post-wipe</x:v>
      </x:c>
      <x:c r="G11" s="22" t="str">
        <x:v>Mangara; Mentor</x:v>
      </x:c>
      <x:c r="H11" s="22" t="str">
        <x:v>Playtest</x:v>
      </x:c>
    </x:row>
    <x:row r="12">
      <x:c r="A12" s="22" t="str">
        <x:v>9</x:v>
      </x:c>
      <x:c r="B12" s="22" t="str">
        <x:v>Mana</x:v>
      </x:c>
      <x:c r="C12" s="22" t="str">
        <x:v>35 land-capable</x:v>
      </x:c>
      <x:c r="D12" s="22" t="str">
        <x:v>35</x:v>
      </x:c>
      <x:c r="E12" s="22" t="str">
        <x:v>33–36</x:v>
      </x:c>
      <x:c r="F12" s="22" t="str">
        <x:v>Track mulligans/missed land drops</x:v>
      </x:c>
      <x:c r="G12" s="22" t="str">
        <x:v>Utility land tuning</x:v>
      </x:c>
      <x:c r="H12" s="22" t="str">
        <x:v>Validate</x:v>
      </x:c>
    </x:row>
    <x:row r="13">
      <x:c r="A13" s="22" t="str">
        <x:v>10</x:v>
      </x:c>
      <x:c r="B13" s="22" t="str">
        <x:v>Final score</x:v>
      </x:c>
      <x:c r="C13" s="22" t="str">
        <x:v>8.4</x:v>
      </x:c>
      <x:c r="D13" s="22" t="str">
        <x:v>9.4</x:v>
      </x:c>
      <x:c r="E13" s="22" t="str">
        <x:v>10.0</x:v>
      </x:c>
      <x:c r="F13" s="22" t="str">
        <x:v>20–30 games across diverse pods</x:v>
      </x:c>
      <x:c r="G13" s="22" t="str">
        <x:v>3–5 flex slots</x:v>
      </x:c>
      <x:c r="H13" s="22" t="str">
        <x:v>Open</x:v>
      </x:c>
    </x:row>
  </x:sheetData>
  <x:mergeCells>
    <x:mergeCell ref="A1:H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20" hidden="0" customWidth="1"/>
    <x:col min="5" max="5" width="26" hidden="0" customWidth="1"/>
    <x:col min="6" max="6" width="22" hidden="0" customWidth="1"/>
    <x:col min="7" max="7" width="28" hidden="0" customWidth="1"/>
    <x:col min="8" max="8" width="42" hidden="0" customWidth="1"/>
    <x:col min="9" max="9" width="16" hidden="0" customWidth="1"/>
    <x:col min="10" max="10" width="40" hidden="0" customWidth="1"/>
    <x:col min="11" max="11" width="16" hidden="0" customWidth="1"/>
  </x:cols>
  <x:sheetData>
    <x:row r="1" ht="28" customHeight="1">
      <x:c r="A1" s="5" t="str">
        <x:v>THE NEXT PREMIUM HUMANS — WATCHLIST AFTER V2</x:v>
      </x:c>
    </x:row>
    <x:row r="3">
      <x:c r="A3" s="14" t="str">
        <x:v>Card</x:v>
      </x:c>
      <x:c r="B3" s="14" t="str">
        <x:v>Role</x:v>
      </x:c>
      <x:c r="C3" s="14" t="str">
        <x:v>Fit /10</x:v>
      </x:c>
      <x:c r="D3" s="14" t="str">
        <x:v>Why it could enter</x:v>
      </x:c>
      <x:c r="E3" s="14" t="str">
        <x:v>Current status</x:v>
      </x:c>
      <x:c r="F3" s="14" t="str">
        <x:v>Archetype coverage</x:v>
      </x:c>
      <x:c r="G3" s="14" t="str">
        <x:v>Source</x:v>
      </x:c>
      <x:c r="H3" s="14" t="str">
        <x:v>Trigger to test</x:v>
      </x:c>
    </x:row>
    <x:row r="4">
      <x:c r="A4" s="22" t="str">
        <x:v>Frontline Medic</x:v>
      </x:c>
      <x:c r="B4" s="22" t="str">
        <x:v>Combat / Protection</x:v>
      </x:c>
      <x:c r="C4" s="25" t="n">
        <x:v>9.3</x:v>
      </x:c>
      <x:c r="D4" s="22" t="str">
        <x:v>Human + battalion team indestructible + sacrifice spell interaction.</x:v>
      </x:c>
      <x:c r="E4" s="22" t="str">
        <x:v>WATCH</x:v>
      </x:c>
      <x:c r="F4" s="22" t="str">
        <x:v>Wipes / combo</x:v>
      </x:c>
      <x:c r="G4" s="22" t="str">
        <x:v>https://mtg.wtf/card/c20/89/Frontline-Medic</x:v>
      </x:c>
      <x:c r="H4" s="22" t="str">
        <x:v>If V2 still loses too often to board wipes.</x:v>
      </x:c>
    </x:row>
    <x:row r="5">
      <x:c r="A5" s="22" t="str">
        <x:v>Ranger-Captain of Eos</x:v>
      </x:c>
      <x:c r="B5" s="22" t="str">
        <x:v>Tutor / Protection</x:v>
      </x:c>
      <x:c r="C5" s="25" t="n">
        <x:v>9.3</x:v>
      </x:c>
      <x:c r="D5" s="22" t="str">
        <x:v>Human tutor for key 1-drops + turn silence.</x:v>
      </x:c>
      <x:c r="E5" s="22" t="str">
        <x:v>WATCH</x:v>
      </x:c>
      <x:c r="F5" s="22" t="str">
        <x:v>Combo / control</x:v>
      </x:c>
      <x:c r="G5" s="22" t="str">
        <x:v>EDHREC Greymond Humans</x:v>
      </x:c>
      <x:c r="H5" s="22" t="str">
        <x:v>If opening consistency or alpha-turn protection is weak.</x:v>
      </x:c>
    </x:row>
    <x:row r="6">
      <x:c r="A6" s="22" t="str">
        <x:v>Mangara, the Diplomat</x:v>
      </x:c>
      <x:c r="B6" s="22" t="str">
        <x:v>Draw / Human</x:v>
      </x:c>
      <x:c r="C6" s="25" t="n">
        <x:v>9.2</x:v>
      </x:c>
      <x:c r="D6" s="22" t="str">
        <x:v>Human draw engine against wide attacks and extra spells.</x:v>
      </x:c>
      <x:c r="E6" s="22" t="str">
        <x:v>WATCH</x:v>
      </x:c>
      <x:c r="F6" s="22" t="str">
        <x:v>Midrange / creature / control</x:v>
      </x:c>
      <x:c r="G6" s="22" t="str">
        <x:v>EDHREC Greymond Humans</x:v>
      </x:c>
      <x:c r="H6" s="22" t="str">
        <x:v>If draw dries up after turn 6.</x:v>
      </x:c>
    </x:row>
    <x:row r="7">
      <x:c r="A7" s="22" t="str">
        <x:v>Kwende, Pride of Femeref</x:v>
      </x:c>
      <x:c r="B7" s="22" t="str">
        <x:v>Combat / Human</x:v>
      </x:c>
      <x:c r="C7" s="25" t="n">
        <x:v>9.2</x:v>
      </x:c>
      <x:c r="D7" s="22" t="str">
        <x:v>Greymond can give first strike, enabling Kwende's double-strike payoff.</x:v>
      </x:c>
      <x:c r="E7" s="22" t="str">
        <x:v>WATCH</x:v>
      </x:c>
      <x:c r="F7" s="22" t="str">
        <x:v>Creature / combat</x:v>
      </x:c>
      <x:c r="G7" s="22" t="str">
        <x:v>EDHREC Greymond Humans</x:v>
      </x:c>
      <x:c r="H7" s="22" t="str">
        <x:v>If board connects but damage is insufficient.</x:v>
      </x:c>
    </x:row>
    <x:row r="8">
      <x:c r="A8" s="22" t="str">
        <x:v>Sanctuary Lockdown</x:v>
      </x:c>
      <x:c r="B8" s="22" t="str">
        <x:v>Buff / Removal</x:v>
      </x:c>
      <x:c r="C8" s="25" t="n">
        <x:v>9.1</x:v>
      </x:c>
      <x:c r="D8" s="22" t="str">
        <x:v>Humans get +1/+1 and two Humans can tap enemy creatures.</x:v>
      </x:c>
      <x:c r="E8" s="22" t="str">
        <x:v>WATCH</x:v>
      </x:c>
      <x:c r="F8" s="22" t="str">
        <x:v>Creature-heavy tables</x:v>
      </x:c>
      <x:c r="G8" s="22" t="str">
        <x:v>https://www.mtg.wtf/card/iko/28/Sanctuary-Lockdown</x:v>
      </x:c>
      <x:c r="H8" s="22" t="str">
        <x:v>If creature boards stall attacks.</x:v>
      </x:c>
    </x:row>
    <x:row r="9">
      <x:c r="A9" s="22" t="str">
        <x:v>Dawnbringer Cleric</x:v>
      </x:c>
      <x:c r="B9" s="22" t="str">
        <x:v>Removal / Human</x:v>
      </x:c>
      <x:c r="C9" s="25" t="n">
        <x:v>9</x:v>
      </x:c>
      <x:c r="D9" s="22" t="str">
        <x:v>Human ETB with life, enchantment removal or graveyard hate.</x:v>
      </x:c>
      <x:c r="E9" s="22" t="str">
        <x:v>WATCH</x:v>
      </x:c>
      <x:c r="F9" s="22" t="str">
        <x:v>Graveyard / enchantment</x:v>
      </x:c>
      <x:c r="G9" s="22" t="str">
        <x:v>https://www.mtg.wtf/card/clb/15/Dawnbringer-Cleric</x:v>
      </x:c>
      <x:c r="H9" s="22" t="str">
        <x:v>If the meta has more graveyards/enchantments.</x:v>
      </x:c>
    </x:row>
    <x:row r="10">
      <x:c r="A10" s="22" t="str">
        <x:v>Thalia, the Survivor</x:v>
      </x:c>
      <x:c r="B10" s="22" t="str">
        <x:v>Tax / Human</x:v>
      </x:c>
      <x:c r="C10" s="25" t="n">
        <x:v>9</x:v>
      </x:c>
      <x:c r="D10" s="22" t="str">
        <x:v>New 2026 Human tax option worth testing as the format evolves.</x:v>
      </x:c>
      <x:c r="E10" s="22" t="str">
        <x:v>WATCH</x:v>
      </x:c>
      <x:c r="F10" s="22" t="str">
        <x:v>Spell-heavy / fast combo</x:v>
      </x:c>
      <x:c r="G10" s="22" t="str">
        <x:v>https://mtg.wtf/card/fra/205/Thalia-the-Survivor</x:v>
      </x:c>
      <x:c r="H10" s="22" t="str">
        <x:v>Compare against 4-mana slots after playtesting.</x:v>
      </x:c>
    </x:row>
  </x:sheetData>
  <x:mergeCells>
    <x:mergeCell ref="A1:H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20" hidden="0" customWidth="1"/>
    <x:col min="5" max="5" width="26" hidden="0" customWidth="1"/>
    <x:col min="6" max="6" width="22" hidden="0" customWidth="1"/>
    <x:col min="7" max="7" width="28" hidden="0" customWidth="1"/>
    <x:col min="8" max="8" width="42" hidden="0" customWidth="1"/>
    <x:col min="9" max="9" width="16" hidden="0" customWidth="1"/>
    <x:col min="10" max="10" width="40" hidden="0" customWidth="1"/>
    <x:col min="11" max="11" width="16" hidden="0" customWidth="1"/>
  </x:cols>
  <x:sheetData>
    <x:row r="1" ht="28" customHeight="1">
      <x:c r="A1" s="5" t="str">
        <x:v>SOURCES &amp; TRACEABILITY</x:v>
      </x:c>
    </x:row>
    <x:row r="3">
      <x:c r="A3" s="14" t="str">
        <x:v>Source</x:v>
      </x:c>
      <x:c r="B3" s="14" t="str">
        <x:v>URL</x:v>
      </x:c>
      <x:c r="C3" s="14" t="str">
        <x:v>Used for</x:v>
      </x:c>
      <x:c r="D3" s="14" t="str">
        <x:v>Date / note</x:v>
      </x:c>
    </x:row>
    <x:row r="4">
      <x:c r="A4" s="22" t="str">
        <x:v>EDH.Wiki — Greymond Humans</x:v>
      </x:c>
      <x:c r="B4" s="22" t="str">
        <x:v>https://edh.wiki/commanders/greymond-avacyns-stalwart/humans/</x:v>
      </x:c>
      <x:c r="C4" s="22" t="str">
        <x:v>Archetype framing and high-synergy card context</x:v>
      </x:c>
      <x:c r="D4" s="22" t="str">
        <x:v>Checked 2026-10-08</x:v>
      </x:c>
    </x:row>
    <x:row r="5">
      <x:c r="A5" s="22" t="str">
        <x:v>EDHREC — Greymond Humans</x:v>
      </x:c>
      <x:c r="B5" s="22" t="str">
        <x:v>https://edhrec.com/commanders/greymond-avacyns-stalwart/humans</x:v>
      </x:c>
      <x:c r="C5" s="22" t="str">
        <x:v>Current inclusion/synergy and staples</x:v>
      </x:c>
      <x:c r="D5" s="22" t="str">
        <x:v>Checked 2026-10-08; search result shows ~300 decks</x:v>
      </x:c>
    </x:row>
    <x:row r="6">
      <x:c r="A6" s="22" t="str">
        <x:v>EDHREC — Greymond Human Tokens</x:v>
      </x:c>
      <x:c r="B6" s="22" t="str">
        <x:v>https://edhrec.com/commanders/greymond-avacyns-stalwart/human-tokens</x:v>
      </x:c>
      <x:c r="C6" s="22" t="str">
        <x:v>Token subtheme validation</x:v>
      </x:c>
      <x:c r="D6" s="22" t="str">
        <x:v>Checked 2026-10-08</x:v>
      </x:c>
    </x:row>
    <x:row r="7">
      <x:c r="A7" s="22" t="str">
        <x:v>Adeline Oracle</x:v>
      </x:c>
      <x:c r="B7" s="22" t="str">
        <x:v>https://mtg.wtf/card/moc/167/Adeline-Resplendent-Cathar</x:v>
      </x:c>
      <x:c r="C7" s="22" t="str">
        <x:v>Human token engine</x:v>
      </x:c>
      <x:c r="D7" s="22" t="str">
        <x:v>Human + vigilance + attack trigger</x:v>
      </x:c>
    </x:row>
    <x:row r="8">
      <x:c r="A8" s="22" t="str">
        <x:v>Thalia's Lieutenant Oracle</x:v>
      </x:c>
      <x:c r="B8" s="22" t="str">
        <x:v>https://mtg.wtf/card/c20/103/Thalias-Lieutenant</x:v>
      </x:c>
      <x:c r="C8" s="22" t="str">
        <x:v>Human scaling</x:v>
      </x:c>
      <x:c r="D8" s="22" t="str">
        <x:v>+1/+1 counters from Humans</x:v>
      </x:c>
    </x:row>
    <x:row r="9">
      <x:c r="A9" s="22" t="str">
        <x:v>Myrel Oracle</x:v>
      </x:c>
      <x:c r="B9" s="22" t="str">
        <x:v>https://mtg.wtf/card/bro/18/Myrel-Shield-of-Argive</x:v>
      </x:c>
      <x:c r="C9" s="22" t="str">
        <x:v>Token + turn lock</x:v>
      </x:c>
      <x:c r="D9" s="22" t="str">
        <x:v>Soldier tokens are not Humans</x:v>
      </x:c>
    </x:row>
    <x:row r="10">
      <x:c r="A10" s="22" t="str">
        <x:v>Boromir Oracle</x:v>
      </x:c>
      <x:c r="B10" s="22" t="str">
        <x:v>https://mtg.wtf/card/ltr/407/Boromir-Warden-of-the-Tower</x:v>
      </x:c>
      <x:c r="C10" s="22" t="str">
        <x:v>Tax/protection</x:v>
      </x:c>
      <x:c r="D10" s="22" t="str">
        <x:v>Free-spell check + team indestructible</x:v>
      </x:c>
    </x:row>
    <x:row r="11">
      <x:c r="A11" s="22" t="str">
        <x:v>Grand Abolisher Oracle</x:v>
      </x:c>
      <x:c r="B11" s="22" t="str">
        <x:v>https://mtg.wtf/card/cmm/460/Grand-Abolisher</x:v>
      </x:c>
      <x:c r="C11" s="22" t="str">
        <x:v>Protection/tax</x:v>
      </x:c>
      <x:c r="D11" s="22" t="str">
        <x:v>Stops opponents from acting on your turn</x:v>
      </x:c>
    </x:row>
    <x:row r="12">
      <x:c r="A12" s="22" t="str">
        <x:v>Sanctuary Lockdown Oracle</x:v>
      </x:c>
      <x:c r="B12" s="22" t="str">
        <x:v>https://www.mtg.wtf/card/iko/28/Sanctuary-Lockdown</x:v>
      </x:c>
      <x:c r="C12" s="22" t="str">
        <x:v>Future synergy</x:v>
      </x:c>
      <x:c r="D12" s="22" t="str">
        <x:v>Human anthem + tap interaction</x:v>
      </x:c>
    </x:row>
  </x:sheetData>
  <x:mergeCells>
    <x:mergeCell ref="A1:D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20" hidden="0" customWidth="1"/>
    <x:col min="5" max="5" width="26" hidden="0" customWidth="1"/>
    <x:col min="6" max="6" width="22" hidden="0" customWidth="1"/>
    <x:col min="7" max="7" width="28" hidden="0" customWidth="1"/>
    <x:col min="8" max="8" width="42" hidden="0" customWidth="1"/>
    <x:col min="9" max="9" width="16" hidden="0" customWidth="1"/>
    <x:col min="10" max="10" width="40" hidden="0" customWidth="1"/>
    <x:col min="11" max="11" width="16" hidden="0" customWidth="1"/>
  </x:cols>
  <x:sheetData>
    <x:row r="1" ht="28" customHeight="1">
      <x:c r="A1" s="5" t="str">
        <x:v>KEY INTERACTIONS — PILOTING THE DECK</x:v>
      </x:c>
    </x:row>
    <x:row r="3">
      <x:c r="A3" s="14" t="str">
        <x:v>Interaction</x:v>
      </x:c>
      <x:c r="B3" s="14" t="str">
        <x:v>Why it is important</x:v>
      </x:c>
      <x:c r="C3" s="14" t="str">
        <x:v>Practical line</x:v>
      </x:c>
      <x:c r="D3" s="14" t="str">
        <x:v>Risk</x:v>
      </x:c>
      <x:c r="E3" s="14" t="str">
        <x:v>Mitigation</x:v>
      </x:c>
      <x:c r="F3" s="14" t="str">
        <x:v>Tier</x:v>
      </x:c>
      <x:c r="G3" s="14" t="str">
        <x:v>Source</x:v>
      </x:c>
    </x:row>
    <x:row r="4">
      <x:c r="A4" s="22" t="str">
        <x:v>Greymond + Human count</x:v>
      </x:c>
      <x:c r="B4" s="22" t="str">
        <x:v>Greymond's biggest payoff is live at 4+ Humans.</x:v>
      </x:c>
      <x:c r="C4" s="22" t="str">
        <x:v>3 Humans on board → Greymond becomes a global +2/+2 lord while granting 2 chosen keywords.</x:v>
      </x:c>
      <x:c r="D4" s="22" t="str">
        <x:v>Casting too early gives a smaller immediate swing.</x:v>
      </x:c>
      <x:c r="E4" s="22" t="str">
        <x:v>Use cheap Humans/token engines to make the threshold routine.</x:v>
      </x:c>
      <x:c r="F4" s="22" t="str">
        <x:v>S</x:v>
      </x:c>
      <x:c r="G4" s="22" t="str">
        <x:v>EDH.Wiki</x:v>
      </x:c>
    </x:row>
    <x:row r="5">
      <x:c r="A5" s="22" t="str">
        <x:v>Greymond + first strike + Kwende</x:v>
      </x:c>
      <x:c r="B5" s="22" t="str">
        <x:v>Kwende grants double strike to creatures with first strike.</x:v>
      </x:c>
      <x:c r="C5" s="22" t="str">
        <x:v>Greymond chooses first strike → Kwende on board → Humans gain double strike.</x:v>
      </x:c>
      <x:c r="D5" s="22" t="str">
        <x:v>Kwende is a 4-mana narrower payoff.</x:v>
      </x:c>
      <x:c r="E5" s="22" t="str">
        <x:v>Only test if combat damage is the meta bottleneck.</x:v>
      </x:c>
      <x:c r="F5" s="22" t="str">
        <x:v>A</x:v>
      </x:c>
      <x:c r="G5" s="22" t="str">
        <x:v>EDHREC Greymond Humans</x:v>
      </x:c>
    </x:row>
    <x:row r="6">
      <x:c r="A6" s="22" t="str">
        <x:v>Metallic Mimic + Humans</x:v>
      </x:c>
      <x:c r="B6" s="22" t="str">
        <x:v>Name Human to add counters to future Humans.</x:v>
      </x:c>
      <x:c r="C6" s="22" t="str">
        <x:v>Mimic (Human named) → every later Human enters with +1/+1 counter.</x:v>
      </x:c>
      <x:c r="D6" s="22" t="str">
        <x:v>Mimic itself is not Human.</x:v>
      </x:c>
      <x:c r="E6" s="22" t="str">
        <x:v>Treat it as an intentional tribal exception.</x:v>
      </x:c>
      <x:c r="F6" s="22" t="str">
        <x:v>S</x:v>
      </x:c>
      <x:c r="G6" s="22" t="str">
        <x:v>MTG Oracle / EDHREC</x:v>
      </x:c>
    </x:row>
    <x:row r="7">
      <x:c r="A7" s="22" t="str">
        <x:v>Mirror Entity</x:v>
      </x:c>
      <x:c r="B7" s="22" t="str">
        <x:v>Changeling makes Entity a Human and activation scales the whole board.</x:v>
      </x:c>
      <x:c r="C7" s="22" t="str">
        <x:v>Wide board → Entity X=large → lethal swing.</x:v>
      </x:c>
      <x:c r="D7" s="22" t="str">
        <x:v>Can be mana-intensive.</x:v>
      </x:c>
      <x:c r="E7" s="22" t="str">
        <x:v>Protect the swing; do not dump mana if removal is likely.</x:v>
      </x:c>
      <x:c r="F7" s="22" t="str">
        <x:v>S</x:v>
      </x:c>
      <x:c r="G7" s="22" t="str">
        <x:v>MTG Oracle</x:v>
      </x:c>
    </x:row>
    <x:row r="8">
      <x:c r="A8" s="22" t="str">
        <x:v>Adeline + Greymond</x:v>
      </x:c>
      <x:c r="B8" s="22" t="str">
        <x:v>Adeline adds Humans while you attack, directly feeding tribal engines.</x:v>
      </x:c>
      <x:c r="C8" s="22" t="str">
        <x:v>Attack with Adeline → Human token for each opponent attacked.</x:v>
      </x:c>
      <x:c r="D8" s="22" t="str">
        <x:v>Tokens are tapped/attacking and vulnerable after combat.</x:v>
      </x:c>
      <x:c r="E8" s="22" t="str">
        <x:v>Combine with Greymond/Mimic/Lieutenant/Entity.</x:v>
      </x:c>
      <x:c r="F8" s="22" t="str">
        <x:v>S</x:v>
      </x:c>
      <x:c r="G8" s="22" t="str">
        <x:v>https://mtg.wtf/card/moc/167/Adeline-Resplendent-Cathar</x:v>
      </x:c>
    </x:row>
    <x:row r="9">
      <x:c r="A9" s="22" t="str">
        <x:v>Horn of Gondor + Human count</x:v>
      </x:c>
      <x:c r="B9" s="22" t="str">
        <x:v>Horn becomes stronger as the Human count increases.</x:v>
      </x:c>
      <x:c r="C9" s="22" t="str">
        <x:v>More Humans → larger future token batches.</x:v>
      </x:c>
      <x:c r="D9" s="22" t="str">
        <x:v>Needs time to generate value.</x:v>
      </x:c>
      <x:c r="E9" s="22" t="str">
        <x:v>Pair with protection and draw.</x:v>
      </x:c>
      <x:c r="F9" s="22" t="str">
        <x:v>S</x:v>
      </x:c>
      <x:c r="G9" s="22" t="str">
        <x:v>EDHREC Greymond Humans</x:v>
      </x:c>
    </x:row>
    <x:row r="10">
      <x:c r="A10" s="22" t="str">
        <x:v>The Wandering Rescuer + attack</x:v>
      </x:c>
      <x:c r="B10" s="22" t="str">
        <x:v>Protects other tapped creatures with hexproof.</x:v>
      </x:c>
      <x:c r="C10" s="22" t="str">
        <x:v>Attack wide → tapped board is protected.</x:v>
      </x:c>
      <x:c r="D10" s="22" t="str">
        <x:v>Five mana if not convoked.</x:v>
      </x:c>
      <x:c r="E10" s="22" t="str">
        <x:v>Use attackers as convoke fuel when possible.</x:v>
      </x:c>
      <x:c r="F10" s="22" t="str">
        <x:v>A</x:v>
      </x:c>
      <x:c r="G10" s="22" t="str">
        <x:v>https://mtg.wtf/card/dsk/351/The-Wandering-Rescuer</x:v>
      </x:c>
    </x:row>
    <x:row r="11">
      <x:c r="A11" s="22" t="str">
        <x:v>Your Temple Is Under Attack</x:v>
      </x:c>
      <x:c r="B11" s="22" t="str">
        <x:v>True 2-in-1 in a single slot.</x:v>
      </x:c>
      <x:c r="C11" s="22" t="str">
        <x:v>Wipe incoming → indestructible; stalled game → draw two with a target opponent.</x:v>
      </x:c>
      <x:c r="D11" s="22" t="str">
        <x:v>Choosing the wrong mode wastes the flexibility.</x:v>
      </x:c>
      <x:c r="E11" s="22" t="str">
        <x:v>Hold until the mode is clearly valuable.</x:v>
      </x:c>
      <x:c r="F11" s="22" t="str">
        <x:v>A</x:v>
      </x:c>
      <x:c r="G11" s="22" t="str">
        <x:v>https://mtg.wtf/card/clb/52/Your-Temple-Is-Under-Attack</x:v>
      </x:c>
    </x:row>
  </x:sheetData>
  <x:mergeCells>
    <x:mergeCell ref="A1:G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20" hidden="0" customWidth="1"/>
    <x:col min="5" max="5" width="26" hidden="0" customWidth="1"/>
    <x:col min="6" max="6" width="22" hidden="0" customWidth="1"/>
    <x:col min="7" max="7" width="28" hidden="0" customWidth="1"/>
    <x:col min="8" max="8" width="42" hidden="0" customWidth="1"/>
    <x:col min="9" max="9" width="16" hidden="0" customWidth="1"/>
    <x:col min="10" max="10" width="40" hidden="0" customWidth="1"/>
    <x:col min="11" max="11" width="16" hidden="0" customWidth="1"/>
  </x:cols>
  <x:sheetData>
    <x:row r="1" ht="28" customHeight="1">
      <x:c r="A1" s="5" t="str">
        <x:v>HANDOVER MASTER — GREYMOND HUMANS V2</x:v>
      </x:c>
    </x:row>
    <x:row r="3">
      <x:c r="A3" s="14" t="str">
        <x:v>Topic</x:v>
      </x:c>
      <x:c r="B3" s="14" t="str">
        <x:v>Status</x:v>
      </x:c>
      <x:c r="C3" s="14" t="str">
        <x:v>Current</x:v>
      </x:c>
      <x:c r="D3" s="14" t="str">
        <x:v>V2</x:v>
      </x:c>
      <x:c r="E3" s="14" t="str">
        <x:v>Decision</x:v>
      </x:c>
      <x:c r="F3" s="14" t="str">
        <x:v>Evidence</x:v>
      </x:c>
      <x:c r="G3" s="14" t="str">
        <x:v>Risk</x:v>
      </x:c>
      <x:c r="H3" s="14" t="str">
        <x:v>Next step</x:v>
      </x:c>
    </x:row>
    <x:row r="4">
      <x:c r="A4" s="22" t="str">
        <x:v>Commander identity</x:v>
      </x:c>
      <x:c r="B4" s="22" t="str">
        <x:v>LOCK</x:v>
      </x:c>
      <x:c r="C4" s="22" t="str">
        <x:v>Human tribal + Human tokens + pressure</x:v>
      </x:c>
      <x:c r="D4" s="22" t="str">
        <x:v>Same</x:v>
      </x:c>
      <x:c r="E4" s="22" t="str">
        <x:v>Preserve</x:v>
      </x:c>
      <x:c r="F4" s="22" t="str">
        <x:v>User strategy; EDH.Wiki</x:v>
      </x:c>
      <x:c r="G4" s="22" t="str">
        <x:v>Goodstuff drift</x:v>
      </x:c>
      <x:c r="H4" s="22" t="str">
        <x:v>Keep every addition tied to tribal plan.</x:v>
      </x:c>
    </x:row>
    <x:row r="5">
      <x:c r="A5" s="22" t="str">
        <x:v>Human count</x:v>
      </x:c>
      <x:c r="B5" s="22" t="str">
        <x:v>CORRECTED</x:v>
      </x:c>
      <x:c r="C5" s="22" t="str">
        <x:v>25</x:v>
      </x:c>
      <x:c r="D5" s="22" t="str">
        <x:v>33</x:v>
      </x:c>
      <x:c r="E5" s="22" t="str">
        <x:v>Raise quality + density</x:v>
      </x:c>
      <x:c r="F5" s="22" t="str">
        <x:v>Card types + EDHREC</x:v>
      </x:c>
      <x:c r="G5" s="22" t="str">
        <x:v>Some token engines create non-Humans</x:v>
      </x:c>
      <x:c r="H5" s="22" t="str">
        <x:v>Do not maximize count blindly.</x:v>
      </x:c>
    </x:row>
    <x:row r="6">
      <x:c r="A6" s="22" t="str">
        <x:v>Low-cost Humans</x:v>
      </x:c>
      <x:c r="B6" s="22" t="str">
        <x:v>UPGRADE</x:v>
      </x:c>
      <x:c r="C6" s="22" t="str">
        <x:v>7</x:v>
      </x:c>
      <x:c r="D6" s="22" t="str">
        <x:v>14</x:v>
      </x:c>
      <x:c r="E6" s="22" t="str">
        <x:v>Strong V2 gain</x:v>
      </x:c>
      <x:c r="F6" s="22" t="str">
        <x:v>Deck audit</x:v>
      </x:c>
      <x:c r="G6" s="22" t="str">
        <x:v>Need actual mulligan data</x:v>
      </x:c>
      <x:c r="H6" s="22" t="str">
        <x:v>Test opening 7s.</x:v>
      </x:c>
    </x:row>
    <x:row r="7">
      <x:c r="A7" s="22" t="str">
        <x:v>Land structure</x:v>
      </x:c>
      <x:c r="B7" s="22" t="str">
        <x:v>KEEP</x:v>
      </x:c>
      <x:c r="C7" s="22" t="str">
        <x:v>31 physical + 4 MDFCs = 35</x:v>
      </x:c>
      <x:c r="D7" s="22" t="str">
        <x:v>Same</x:v>
      </x:c>
      <x:c r="E7" s="22" t="str">
        <x:v>Preserve</x:v>
      </x:c>
      <x:c r="F7" s="22" t="str">
        <x:v>User decklist</x:v>
      </x:c>
      <x:c r="G7" s="22" t="str">
        <x:v>Utility lands can cost tempo</x:v>
      </x:c>
      <x:c r="H7" s="22" t="str">
        <x:v>Track missed land drops.</x:v>
      </x:c>
    </x:row>
    <x:row r="8">
      <x:c r="A8" s="22" t="str">
        <x:v>Ramp</x:v>
      </x:c>
      <x:c r="B8" s="22" t="str">
        <x:v>STRONG</x:v>
      </x:c>
      <x:c r="C8" s="22" t="str">
        <x:v>8.7</x:v>
      </x:c>
      <x:c r="D8" s="22" t="str">
        <x:v>9.0</x:v>
      </x:c>
      <x:c r="E8" s="22" t="str">
        <x:v>Refine</x:v>
      </x:c>
      <x:c r="F8" s="22" t="str">
        <x:v>User list</x:v>
      </x:c>
      <x:c r="G8" s="22" t="str">
        <x:v>Slow ramp</x:v>
      </x:c>
      <x:c r="H8" s="22" t="str">
        <x:v>Temple/Nyx Lotus removed.</x:v>
      </x:c>
    </x:row>
    <x:row r="9">
      <x:c r="A9" s="22" t="str">
        <x:v>Draw</x:v>
      </x:c>
      <x:c r="B9" s="22" t="str">
        <x:v>STRONG</x:v>
      </x:c>
      <x:c r="C9" s="22" t="str">
        <x:v>8.8</x:v>
      </x:c>
      <x:c r="D9" s="22" t="str">
        <x:v>9.3</x:v>
      </x:c>
      <x:c r="E9" s="22" t="str">
        <x:v>Preserve</x:v>
      </x:c>
      <x:c r="F9" s="22" t="str">
        <x:v>User list + EDHREC</x:v>
      </x:c>
      <x:c r="G9" s="22" t="str">
        <x:v>Wipe recovery</x:v>
      </x:c>
      <x:c r="H9" s="22" t="str">
        <x:v>Mentor should improve creature-driven draw.</x:v>
      </x:c>
    </x:row>
    <x:row r="10">
      <x:c r="A10" s="22" t="str">
        <x:v>Removal</x:v>
      </x:c>
      <x:c r="B10" s="22" t="str">
        <x:v>STRONG</x:v>
      </x:c>
      <x:c r="C10" s="22" t="str">
        <x:v>8.6</x:v>
      </x:c>
      <x:c r="D10" s="22" t="str">
        <x:v>9.1</x:v>
      </x:c>
      <x:c r="E10" s="22" t="str">
        <x:v>Refine</x:v>
      </x:c>
      <x:c r="F10" s="22" t="str">
        <x:v>User list</x:v>
      </x:c>
      <x:c r="G10" s="22" t="str">
        <x:v>Too many sweepers</x:v>
      </x:c>
      <x:c r="H10" s="22" t="str">
        <x:v>Swords improves early interaction.</x:v>
      </x:c>
    </x:row>
    <x:row r="11">
      <x:c r="A11" s="22" t="str">
        <x:v>Protection</x:v>
      </x:c>
      <x:c r="B11" s="22" t="str">
        <x:v>EXCELLENT</x:v>
      </x:c>
      <x:c r="C11" s="22" t="str">
        <x:v>9.1</x:v>
      </x:c>
      <x:c r="D11" s="22" t="str">
        <x:v>9.6</x:v>
      </x:c>
      <x:c r="E11" s="22" t="str">
        <x:v>Preserve</x:v>
      </x:c>
      <x:c r="F11" s="22" t="str">
        <x:v>EDHREC + Oracle</x:v>
      </x:c>
      <x:c r="G11" s="22" t="str">
        <x:v>Redundancy</x:v>
      </x:c>
      <x:c r="H11" s="22" t="str">
        <x:v>Boromir/Abolisher shift from reactive to proactive.</x:v>
      </x:c>
    </x:row>
    <x:row r="12">
      <x:c r="A12" s="22" t="str">
        <x:v>Tax</x:v>
      </x:c>
      <x:c r="B12" s="22" t="str">
        <x:v>IMPROVING</x:v>
      </x:c>
      <x:c r="C12" s="22" t="str">
        <x:v>8.3</x:v>
      </x:c>
      <x:c r="D12" s="22" t="str">
        <x:v>9.3</x:v>
      </x:c>
      <x:c r="E12" s="22" t="str">
        <x:v>Upgrade</x:v>
      </x:c>
      <x:c r="F12" s="22" t="str">
        <x:v>EDHREC + Oracle</x:v>
      </x:c>
      <x:c r="G12" s="22" t="str">
        <x:v>Meta dependent</x:v>
      </x:c>
      <x:c r="H12" s="22" t="str">
        <x:v>Prefer Human hatebears.</x:v>
      </x:c>
    </x:row>
    <x:row r="13">
      <x:c r="A13" s="22" t="str">
        <x:v>Buff</x:v>
      </x:c>
      <x:c r="B13" s="22" t="str">
        <x:v>ELITE</x:v>
      </x:c>
      <x:c r="C13" s="22" t="str">
        <x:v>9.2</x:v>
      </x:c>
      <x:c r="D13" s="22" t="str">
        <x:v>9.7</x:v>
      </x:c>
      <x:c r="E13" s="22" t="str">
        <x:v>Reinforce</x:v>
      </x:c>
      <x:c r="F13" s="22" t="str">
        <x:v>User list + EDHREC</x:v>
      </x:c>
      <x:c r="G13" s="22" t="str">
        <x:v>Needs bodies</x:v>
      </x:c>
      <x:c r="H13" s="22" t="str">
        <x:v>Lieutenant/Champion/Coppercoat complete the package.</x:v>
      </x:c>
    </x:row>
    <x:row r="14">
      <x:c r="A14" s="22" t="str">
        <x:v>Tokens</x:v>
      </x:c>
      <x:c r="B14" s="22" t="str">
        <x:v>STRONG → ELITE</x:v>
      </x:c>
      <x:c r="C14" s="22" t="str">
        <x:v>8.5</x:v>
      </x:c>
      <x:c r="D14" s="22" t="str">
        <x:v>9.6</x:v>
      </x:c>
      <x:c r="E14" s="22" t="str">
        <x:v>Upgrade</x:v>
      </x:c>
      <x:c r="F14" s="22" t="str">
        <x:v>EDHREC + Oracle</x:v>
      </x:c>
      <x:c r="G14" s="22" t="str">
        <x:v>Non-Human token dilution</x:v>
      </x:c>
      <x:c r="H14" s="22" t="str">
        <x:v>Adeline is the centerpiece.</x:v>
      </x:c>
    </x:row>
    <x:row r="15">
      <x:c r="A15" s="22" t="str">
        <x:v>2 em 1 | Combate</x:v>
      </x:c>
      <x:c r="B15" s="22" t="str">
        <x:v>STRONG</x:v>
      </x:c>
      <x:c r="C15" s="22" t="str">
        <x:v>8.8</x:v>
      </x:c>
      <x:c r="D15" s="22" t="str">
        <x:v>9.4</x:v>
      </x:c>
      <x:c r="E15" s="22" t="str">
        <x:v>Preserve</x:v>
      </x:c>
      <x:c r="F15" s="22" t="str">
        <x:v>User definition + card analysis</x:v>
      </x:c>
      <x:c r="G15" s="22" t="str">
        <x:v>Cute effects</x:v>
      </x:c>
      <x:c r="H15" s="22" t="str">
        <x:v>Every slot needs a second meaningful job.</x:v>
      </x:c>
    </x:row>
    <x:row r="16">
      <x:c r="A16" s="22" t="str">
        <x:v>Overall score</x:v>
      </x:c>
      <x:c r="B16" s="22" t="str">
        <x:v>PROJECTED</x:v>
      </x:c>
      <x:c r="C16" s="22" t="str">
        <x:v>8.4</x:v>
      </x:c>
      <x:c r="D16" s="22" t="str">
        <x:v>9.4</x:v>
      </x:c>
      <x:c r="E16" s="22" t="str">
        <x:v>Do not call 10 yet</x:v>
      </x:c>
      <x:c r="F16" s="22" t="str">
        <x:v>Composite audit</x:v>
      </x:c>
      <x:c r="G16" s="22" t="str">
        <x:v>Meta/play skill variance</x:v>
      </x:c>
      <x:c r="H16" s="22" t="str">
        <x:v>20–30 game playtest before final tune.</x:v>
      </x:c>
    </x:row>
  </x:sheetData>
  <x:mergeCells>
    <x:mergeCell ref="A1:H1"/>
  </x:mergeCells>
  <x:pageMargins left="0.7" right="0.7" top="0.75" bottom="0.75" header="0.3" footer="0.3"/>
</x:worksheet>
</file>