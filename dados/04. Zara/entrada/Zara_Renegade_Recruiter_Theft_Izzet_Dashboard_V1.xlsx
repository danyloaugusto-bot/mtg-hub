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583e50240c4a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44d1bfd22544955"/>
    <x:sheet xmlns:r="http://schemas.openxmlformats.org/officeDocument/2006/relationships" name="Current List" sheetId="2" r:id="R96ca9d2b9e664890"/>
    <x:sheet xmlns:r="http://schemas.openxmlformats.org/officeDocument/2006/relationships" name="Proposed List" sheetId="3" r:id="R9291e6b230314cf6"/>
    <x:sheet xmlns:r="http://schemas.openxmlformats.org/officeDocument/2006/relationships" name="Upgrade Matrix" sheetId="4" r:id="R996dbd1457af4aa9"/>
    <x:sheet xmlns:r="http://schemas.openxmlformats.org/officeDocument/2006/relationships" name="Card Matrix" sheetId="5" r:id="Rd0238380d8884d87"/>
    <x:sheet xmlns:r="http://schemas.openxmlformats.org/officeDocument/2006/relationships" name="8x8 Groups" sheetId="6" r:id="R29602d4f0b444e18"/>
    <x:sheet xmlns:r="http://schemas.openxmlformats.org/officeDocument/2006/relationships" name="Structural Audit" sheetId="7" r:id="Raf4c9e11fa3d4daa"/>
    <x:sheet xmlns:r="http://schemas.openxmlformats.org/officeDocument/2006/relationships" name="Tier List" sheetId="8" r:id="Rf67cbe355d5148ce"/>
    <x:sheet xmlns:r="http://schemas.openxmlformats.org/officeDocument/2006/relationships" name="Watchlist" sheetId="9" r:id="Rd6d187309cd346e9"/>
    <x:sheet xmlns:r="http://schemas.openxmlformats.org/officeDocument/2006/relationships" name="Sources" sheetId="10" r:id="Rf2cfb37cd6974ba9"/>
    <x:sheet xmlns:r="http://schemas.openxmlformats.org/officeDocument/2006/relationships" name="Playtest Log" sheetId="11" r:id="Ra0592b552bab48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7324D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i/>
      <x:sz val="9"/>
      <x:color rgb="FF17324D"/>
      <x:name val="Carlito"/>
    </x:font>
    <x:font>
      <x:b/>
      <x:sz val="12"/>
      <x:color rgb="FFFFFFFF"/>
      <x:name val="Carlito"/>
    </x:font>
    <x:font>
      <x:b/>
      <x:sz val="11"/>
      <x:color rgb="FF17324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45B7A"/>
      </x:patternFill>
    </x:fill>
    <x:fill>
      <x:patternFill patternType="solid">
        <x:fgColor rgb="FF197278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horizontal="center" vertical="top" wrapText="1"/>
    </x:xf>
    <x:xf numFmtId="200" fontId="4" fillId="0" borderId="1" xfId="0" applyNumberFormat="1" applyFont="1" applyFill="1" applyBorder="1" applyAlignment="1">
      <x:alignment horizontal="center"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1F4E78"/>
      </x:font>
      <x:fill>
        <x:patternFill patternType="solid">
          <x:bgColor rgb="FFDDEBF7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13a975ec184bd5" /><Relationship Type="http://schemas.openxmlformats.org/officeDocument/2006/relationships/theme" Target="/xl/theme/theme1.xml" Id="R5304f68194f74279" /><Relationship Type="http://schemas.openxmlformats.org/officeDocument/2006/relationships/sharedStrings" Target="/xl/sharedStrings.xml" Id="R509d0d3c536f4bba" /><Relationship Type="http://schemas.openxmlformats.org/officeDocument/2006/relationships/worksheet" Target="/xl/worksheets/sheet1.xml" Id="Ra44d1bfd22544955" /><Relationship Type="http://schemas.openxmlformats.org/officeDocument/2006/relationships/worksheet" Target="/xl/worksheets/sheet2.xml" Id="R96ca9d2b9e664890" /><Relationship Type="http://schemas.openxmlformats.org/officeDocument/2006/relationships/worksheet" Target="/xl/worksheets/sheet3.xml" Id="R9291e6b230314cf6" /><Relationship Type="http://schemas.openxmlformats.org/officeDocument/2006/relationships/worksheet" Target="/xl/worksheets/sheet4.xml" Id="R996dbd1457af4aa9" /><Relationship Type="http://schemas.openxmlformats.org/officeDocument/2006/relationships/worksheet" Target="/xl/worksheets/sheet5.xml" Id="Rd0238380d8884d87" /><Relationship Type="http://schemas.openxmlformats.org/officeDocument/2006/relationships/worksheet" Target="/xl/worksheets/sheet6.xml" Id="R29602d4f0b444e18" /><Relationship Type="http://schemas.openxmlformats.org/officeDocument/2006/relationships/worksheet" Target="/xl/worksheets/sheet7.xml" Id="Raf4c9e11fa3d4daa" /><Relationship Type="http://schemas.openxmlformats.org/officeDocument/2006/relationships/worksheet" Target="/xl/worksheets/sheet8.xml" Id="Rf67cbe355d5148ce" /><Relationship Type="http://schemas.openxmlformats.org/officeDocument/2006/relationships/worksheet" Target="/xl/worksheets/sheet9.xml" Id="Rd6d187309cd346e9" /><Relationship Type="http://schemas.openxmlformats.org/officeDocument/2006/relationships/worksheet" Target="/xl/worksheets/sheet10.xml" Id="Rf2cfb37cd6974ba9" /><Relationship Type="http://schemas.openxmlformats.org/officeDocument/2006/relationships/worksheet" Target="/xl/worksheets/sheet11.xml" Id="Ra0592b552bab483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040f4538e58448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Proposed V2 — functional spread</a:t>
            </a:r>
          </a:p>
        </c:rich>
      </c:tx>
      <c:overlay val="0"/>
    </c:title>
    <c:plotArea>
      <c:barChart>
        <c:barDir val="bar"/>
        <c:grouping val="clustered"/>
        <c:varyColors val="0"/>
        <c:ser>
          <c:idx val="0"/>
          <c:order val="0"/>
          <c:tx>
            <c:v>PROPOSED count</c:v>
          </c:tx>
          <c:cat>
            <c:strRef>
              <c:f>'Dashboard'!$J$5:$J$12</c:f>
              <c:strCache>
                <c:ptCount val="0"/>
              </c:strCache>
            </c:strRef>
          </c:cat>
          <c:val>
            <c:numRef>
              <c:f>'Dashboard'!$K$5:$K$12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3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040f4538e58448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urrentListTable" displayName="CurrentListTable" ref="A4:J86" headerRowCount="1" totalsRowCount="0" totalsRowShown="0">
  <x:tableColumns count="10">
    <x:tableColumn id="1" name="Qty"/>
    <x:tableColumn id="2" name="Card"/>
    <x:tableColumn id="3" name="Set / Print"/>
    <x:tableColumn id="4" name="Card Type"/>
    <x:tableColumn id="5" name="MV (front)"/>
    <x:tableColumn id="6" name="Primary Group"/>
    <x:tableColumn id="7" name="Secondary Role"/>
    <x:tableColumn id="8" name="State"/>
    <x:tableColumn id="9" name="Finish Marker"/>
    <x:tableColumn id="10" name="Notes / Rules / Fi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posedListTable" displayName="ProposedListTable" ref="A4:J86" headerRowCount="1" totalsRowCount="0" totalsRowShown="0">
  <x:tableColumns count="10">
    <x:tableColumn id="1" name="Qty"/>
    <x:tableColumn id="2" name="Card"/>
    <x:tableColumn id="3" name="Set / Print"/>
    <x:tableColumn id="4" name="Card Type"/>
    <x:tableColumn id="5" name="MV (front)"/>
    <x:tableColumn id="6" name="Primary Group"/>
    <x:tableColumn id="7" name="Secondary Role"/>
    <x:tableColumn id="8" name="State"/>
    <x:tableColumn id="9" name="Finish Marker"/>
    <x:tableColumn id="10" name="Notes / Rules / Fi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pgradeMatrixTable" displayName="UpgradeMatrixTable" ref="A4:F17" headerRowCount="1" totalsRowCount="0" totalsRowShown="0">
  <x:tableColumns count="6">
    <x:tableColumn id="1" name="OUT — from CURRENT"/>
    <x:tableColumn id="2" name="IN — PROPOSED"/>
    <x:tableColumn id="3" name="Priority"/>
    <x:tableColumn id="4" name="Why the change"/>
    <x:tableColumn id="5" name="Main risk / caveat"/>
    <x:tableColumn id="6" name="Conf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CardMatrixTable" displayName="CardMatrixTable" ref="A4:I99" headerRowCount="1" totalsRowCount="0" totalsRowShown="0">
  <x:tableColumns count="9">
    <x:tableColumn id="1" name="Card"/>
    <x:tableColumn id="2" name="State"/>
    <x:tableColumn id="3" name="Type"/>
    <x:tableColumn id="4" name="MV"/>
    <x:tableColumn id="5" name="Primary group"/>
    <x:tableColumn id="6" name="Tier"/>
    <x:tableColumn id="7" name="Tier definition"/>
    <x:tableColumn id="8" name="Secondary role"/>
    <x:tableColumn id="9" name="Deck-specific notes / eviden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StructuralAuditTable" displayName="StructuralAuditTable" ref="A4:D15" headerRowCount="1" totalsRowCount="0" totalsRowShown="0">
  <x:tableColumns count="4">
    <x:tableColumn id="1" name="Metric"/>
    <x:tableColumn id="2" name="CURRENT"/>
    <x:tableColumn id="3" name="PROPOSED V2"/>
    <x:tableColumn id="4" name="Interpretation / source of judgeme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ierListTable" displayName="TierListTable" ref="A4:F99" headerRowCount="1" totalsRowCount="0" totalsRowShown="0">
  <x:tableColumns count="6">
    <x:tableColumn id="1" name="Tier"/>
    <x:tableColumn id="2" name="Card"/>
    <x:tableColumn id="3" name="State"/>
    <x:tableColumn id="4" name="Primary group"/>
    <x:tableColumn id="5" name="Definition"/>
    <x:tableColumn id="6" name="Why it fits / why it may no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WatchlistTable" displayName="WatchlistTable" ref="A4:F22" headerRowCount="1" totalsRowCount="0" totalsRowShown="0">
  <x:tableColumns count="6">
    <x:tableColumn id="1" name="Card / package"/>
    <x:tableColumn id="2" name="Priority"/>
    <x:tableColumn id="3" name="Role &amp; reason"/>
    <x:tableColumn id="4" name="Trade-off / condition"/>
    <x:tableColumn id="5" name="Status"/>
    <x:tableColumn id="6" name="Confidenc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ourcesTable" displayName="SourcesTable" ref="A4:D17" headerRowCount="1" totalsRowCount="0" totalsRowShown="0">
  <x:tableColumns count="4">
    <x:tableColumn id="1" name="Source"/>
    <x:tableColumn id="2" name="Use in analysis"/>
    <x:tableColumn id="3" name="URL"/>
    <x:tableColumn id="4" name="Limitations / interpretat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laytestLogTable" displayName="PlaytestLogTable" ref="A4:N19" headerRowCount="1" totalsRowCount="0" totalsRowShown="0">
  <x:tableColumns count="14">
    <x:tableColumn id="1" name="Date"/>
    <x:tableColumn id="2" name="Version"/>
    <x:tableColumn id="3" name="Pod size"/>
    <x:tableColumn id="4" name="Turn order"/>
    <x:tableColumn id="5" name="Opening hand quality"/>
    <x:tableColumn id="6" name="Turn Zara first attacked"/>
    <x:tableColumn id="7" name="Zara triggers / stolen cards"/>
    <x:tableColumn id="8" name="Borrowed cards retained / copied / sacrificed"/>
    <x:tableColumn id="9" name="Cards stuck in hand"/>
    <x:tableColumn id="10" name="Answers needed but unavailable"/>
    <x:tableColumn id="11" name="Reset recovery"/>
    <x:tableColumn id="12" name="Win condition / result"/>
    <x:tableColumn id="13" name="Game duration"/>
    <x:tableColumn id="14" name="Notes / opponent feedba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ce4ebd74e3f43d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a48027117345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d2acfd9bb564ea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0c35cf013a148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90344b7834e48e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dfa85a38ad8347d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8d6a60dbd64546c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5fa5266f97aa428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358c73571ffd435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724697281c04e60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0" hidden="0" customWidth="1"/>
    <x:col min="3" max="3" width="19" hidden="0" customWidth="1"/>
    <x:col min="4" max="4" width="87" hidden="0" customWidth="1"/>
    <x:col min="10" max="10" width="22" hidden="0" customWidth="1"/>
    <x:col min="11" max="11" width="18" hidden="0" customWidth="1"/>
  </x:cols>
  <x:sheetData>
    <x:row r="1" ht="30" customHeight="1">
      <x:c r="A1" s="5" t="str">
        <x:v>ZARA • THEFT IZZET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</x:row>
    <x:row r="2" ht="30" customHeight="1">
      <x:c r="A2" s="14" t="str">
        <x:v>Commander tribute deck • Strategic identity: steal, copy, and weaponize opponents' cards. CURRENT frozen; PROPOSED V2 is an untested hypothesis.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</x:row>
    <x:row r="4" ht="32" customHeight="1">
      <x:c r="A4" s="24" t="str">
        <x:v>Metric</x:v>
      </x:c>
      <x:c r="B4" s="24" t="str">
        <x:v>CURRENT</x:v>
      </x:c>
      <x:c r="C4" s="24" t="str">
        <x:v>PROPOSED V2</x:v>
      </x:c>
      <x:c r="D4" s="24" t="str">
        <x:v>Interpretation</x:v>
      </x:c>
      <x:c r="J4" s="24" t="str">
        <x:v>Group</x:v>
      </x:c>
      <x:c r="K4" s="24" t="str">
        <x:v>PROPOSED count</x:v>
      </x:c>
    </x:row>
    <x:row r="5">
      <x:c r="A5" s="32" t="str">
        <x:v>Cards incl. commander</x:v>
      </x:c>
      <x:c r="B5" s="36" t="n">
        <x:f>SUM('Current List'!A5:A86)</x:f>
        <x:v>100</x:v>
      </x:c>
      <x:c r="C5" s="36" t="n">
        <x:f>SUM('Proposed List'!A5:A86)</x:f>
        <x:v>100</x:v>
      </x:c>
      <x:c r="D5" s="32" t="str">
        <x:v>Both lists reconcile to 100 physical cards.</x:v>
      </x:c>
      <x:c r="J5" s="32" t="str">
        <x:v>Ramp/mana</x:v>
      </x:c>
      <x:c r="K5" s="32" t="n">
        <x:v>5</x:v>
      </x:c>
    </x:row>
    <x:row r="6">
      <x:c r="A6" s="32" t="str">
        <x:v>Physical lands</x:v>
      </x:c>
      <x:c r="B6" s="36" t="n">
        <x:f>SUMIF('Current List'!D5:D86,"Land",'Current List'!A5:A86)</x:f>
        <x:v>31</x:v>
      </x:c>
      <x:c r="C6" s="36" t="n">
        <x:f>SUMIF('Proposed List'!D5:D86,"Land",'Proposed List'!A5:A86)</x:f>
        <x:v>36</x:v>
      </x:c>
      <x:c r="D6" s="32" t="str">
        <x:v>31 lands is lean at five-mana commander; V2 targets 36.</x:v>
      </x:c>
      <x:c r="J6" s="32" t="str">
        <x:v>Draw/select</x:v>
      </x:c>
      <x:c r="K6" s="32" t="n">
        <x:v>6</x:v>
      </x:c>
    </x:row>
    <x:row r="7">
      <x:c r="A7" s="32" t="str">
        <x:v>MDFCs with land back face</x:v>
      </x:c>
      <x:c r="B7" s="36" t="n">
        <x:v>3</x:v>
      </x:c>
      <x:c r="C7" s="36" t="n">
        <x:v>3</x:v>
      </x:c>
      <x:c r="D7" s="32" t="str">
        <x:v>Glasspool Mimic, Silundi Vision, Kazuul's Fury; counted once each.</x:v>
      </x:c>
      <x:c r="J7" s="32" t="str">
        <x:v>Temp theft</x:v>
      </x:c>
      <x:c r="K7" s="32" t="n">
        <x:v>8</x:v>
      </x:c>
    </x:row>
    <x:row r="8">
      <x:c r="A8" s="32" t="str">
        <x:v>Potential functional mana sources</x:v>
      </x:c>
      <x:c r="B8" s="36" t="n">
        <x:f>B6+B7</x:f>
        <x:v>34</x:v>
      </x:c>
      <x:c r="C8" s="36" t="n">
        <x:f>C6+C7</x:f>
        <x:v>39</x:v>
      </x:c>
      <x:c r="D8" s="32" t="str">
        <x:v>Physical lands plus land-capable MDFCs; tapped backs mean these are not all untapped colored sources.</x:v>
      </x:c>
      <x:c r="J8" s="32" t="str">
        <x:v>Perm theft</x:v>
      </x:c>
      <x:c r="K8" s="32" t="n">
        <x:v>10</x:v>
      </x:c>
    </x:row>
    <x:row r="9">
      <x:c r="A9" s="32" t="str">
        <x:v>Mana rocks / ramp artifacts</x:v>
      </x:c>
      <x:c r="B9" s="36" t="n">
        <x:v>6</x:v>
      </x:c>
      <x:c r="C9" s="36" t="n">
        <x:v>6</x:v>
      </x:c>
      <x:c r="D9" s="32" t="str">
        <x:v>Arcane Signet, Fellwar Stone, Izzet Signet, Midnight Clock, Sol Ring, Talisman of Creativity.</x:v>
      </x:c>
      <x:c r="J9" s="32" t="str">
        <x:v>Copy/replicate</x:v>
      </x:c>
      <x:c r="K9" s="32" t="n">
        <x:v>11</x:v>
      </x:c>
    </x:row>
    <x:row r="10">
      <x:c r="A10" s="32" t="str">
        <x:v>Structural score (estimate)</x:v>
      </x:c>
      <x:c r="B10" s="42" t="n">
        <x:v>6.6</x:v>
      </x:c>
      <x:c r="C10" s="42" t="n">
        <x:v>8.2</x:v>
      </x:c>
      <x:c r="D10" s="32" t="str">
        <x:v>Deck-relative construction estimate; not a measured win rate and not playtested.</x:v>
      </x:c>
      <x:c r="J10" s="32" t="str">
        <x:v>Interaction</x:v>
      </x:c>
      <x:c r="K10" s="32" t="n">
        <x:v>12</x:v>
      </x:c>
    </x:row>
    <x:row r="11">
      <x:c r="A11" s="32" t="str">
        <x:v>Proposed changes</x:v>
      </x:c>
      <x:c r="B11" s="36" t="n">
        <x:v>0</x:v>
      </x:c>
      <x:c r="C11" s="36" t="n">
        <x:v>13</x:v>
      </x:c>
      <x:c r="D11" s="32" t="str">
        <x:v>8 nonland adds + 5 land adds replace 13 cut candidates.</x:v>
      </x:c>
      <x:c r="J11" s="32" t="str">
        <x:v>Zara engine</x:v>
      </x:c>
      <x:c r="K11" s="32" t="n">
        <x:v>6</x:v>
      </x:c>
    </x:row>
    <x:row r="12">
      <x:c r="J12" s="32" t="str">
        <x:v>Finish/tax</x:v>
      </x:c>
      <x:c r="K12" s="32" t="n">
        <x:v>5</x:v>
      </x:c>
    </x:row>
    <x:row r="14" ht="32" customHeight="1">
      <x:c r="A14" s="24" t="str">
        <x:v>Evaluation axis</x:v>
      </x:c>
      <x:c r="B14" s="24" t="str">
        <x:v>CURRENT (est.)</x:v>
      </x:c>
      <x:c r="C14" s="24" t="str">
        <x:v>PROPOSED V2 (est.)</x:v>
      </x:c>
      <x:c r="D14" s="24" t="str">
        <x:v>Why the score changes / what to test</x:v>
      </x:c>
    </x:row>
    <x:row r="15">
      <x:c r="A15" s="32" t="str">
        <x:v>Strategic fit</x:v>
      </x:c>
      <x:c r="B15" s="44" t="n">
        <x:v>7.5</x:v>
      </x:c>
      <x:c r="C15" s="44" t="n">
        <x:v>9</x:v>
      </x:c>
      <x:c r="D15" s="32" t="str">
        <x:v>V2 increases density of permanent theft, opponent-card casting, and retention of borrowed creatures.</x:v>
      </x:c>
    </x:row>
    <x:row r="16">
      <x:c r="A16" s="32" t="str">
        <x:v>Mana / consistency</x:v>
      </x:c>
      <x:c r="B16" s="44" t="n">
        <x:v>5.5</x:v>
      </x:c>
      <x:c r="C16" s="44" t="n">
        <x:v>7.5</x:v>
      </x:c>
      <x:c r="D16" s="32" t="str">
        <x:v>Adds five physical lands and premium duals; mean MV rises slightly due to theft payoffs, so test turn-5/6 development.</x:v>
      </x:c>
    </x:row>
    <x:row r="17">
      <x:c r="A17" s="32" t="str">
        <x:v>Card advantage</x:v>
      </x:c>
      <x:c r="B17" s="44" t="n">
        <x:v>6.5</x:v>
      </x:c>
      <x:c r="C17" s="44" t="n">
        <x:v>7.5</x:v>
      </x:c>
      <x:c r="D17" s="32" t="str">
        <x:v>Stolen Strategy and Agent of Treachery can add value; Agent is a seven-mana investment.</x:v>
      </x:c>
    </x:row>
    <x:row r="18">
      <x:c r="A18" s="32" t="str">
        <x:v>Interaction</x:v>
      </x:c>
      <x:c r="B18" s="44" t="n">
        <x:v>7</x:v>
      </x:c>
      <x:c r="C18" s="44" t="n">
        <x:v>7.5</x:v>
      </x:c>
      <x:c r="D18" s="32" t="str">
        <x:v>Chaos Warp adds flexible answer coverage; cuts one counter/one removal slot, so check table texture.</x:v>
      </x:c>
    </x:row>
    <x:row r="19">
      <x:c r="A19" s="32" t="str">
        <x:v>Resilience / Zara uptime</x:v>
      </x:c>
      <x:c r="B19" s="44" t="n">
        <x:v>6</x:v>
      </x:c>
      <x:c r="C19" s="44" t="n">
        <x:v>8.5</x:v>
      </x:c>
      <x:c r="D19" s="32" t="str">
        <x:v>Sundial, Closet, Ghostly Flicker create three distinct lines for keeping borrowed creatures; Clout already grants haste and shroud.</x:v>
      </x:c>
    </x:row>
    <x:row r="20">
      <x:c r="A20" s="32" t="str">
        <x:v>Closing power</x:v>
      </x:c>
      <x:c r="B20" s="44" t="n">
        <x:v>7.5</x:v>
      </x:c>
      <x:c r="C20" s="44" t="n">
        <x:v>8.5</x:v>
      </x:c>
      <x:c r="D20" s="32" t="str">
        <x:v>Port Razer can create a second Zara attack; Mob Rule and the Curiosity/Niv combo remain.</x:v>
      </x:c>
    </x:row>
    <x:row r="21">
      <x:c r="A21" s="32" t="str">
        <x:v>Identity / fun</x:v>
      </x:c>
      <x:c r="B21" s="44" t="n">
        <x:v>8.5</x:v>
      </x:c>
      <x:c r="C21" s="44" t="n">
        <x:v>9</x:v>
      </x:c>
      <x:c r="D21" s="32" t="str">
        <x:v>Preserves theft and copy theme; replaces symmetric Smoke with direct theft and card appropriation.</x:v>
      </x:c>
    </x:row>
    <x:row r="22">
      <x:c r="A22" s="32" t="str">
        <x:v>Risk / uncertainty</x:v>
      </x:c>
      <x:c r="B22" s="32"/>
      <x:c r="C22" s="32"/>
      <x:c r="D22" s="32" t="str">
        <x:v>No recorded playtests; combo acceptance, pod speed and preferred oppression level are not yet known.</x:v>
      </x:c>
    </x:row>
    <x:row r="25" ht="24" customHeight="1">
      <x:c r="A25" s="47" t="str">
        <x:v>STRATEGIC SNAPSHOT — THE GAME PLAN</x:v>
      </x:c>
      <x:c r="B25" s="47"/>
      <x:c r="C25" s="47"/>
      <x:c r="D25" s="47"/>
      <x:c r="E25" s="47"/>
      <x:c r="F25" s="47"/>
      <x:c r="G25" s="47"/>
      <x:c r="H25" s="47"/>
    </x:row>
    <x:row r="26" ht="48" customHeight="1">
      <x:c r="A26" s="52" t="str">
        <x:v>EARLY GAME</x:v>
      </x:c>
      <x:c r="B26" s="57" t="str">
        <x:v>Build mana; land Rhystic Study / Telepathy when sensible. Telepathy is strategic information, not a mandatory turn-one play if that draws too much heat.</x:v>
      </x:c>
    </x:row>
    <x:row r="27" ht="48" customHeight="1">
      <x:c r="A27" s="52" t="str">
        <x:v>MID GAME</x:v>
      </x:c>
      <x:c r="B27" s="57" t="str">
        <x:v>Cast Zara with a plan to attack. Clout of the Dominus is premium: Zara is blue and red, so it grants +2/+2, shroud and haste. Choose the opponent with the most valuable creature in hand.</x:v>
      </x:c>
    </x:row>
    <x:row r="28" ht="48" customHeight="1">
      <x:c r="A28" s="52" t="str">
        <x:v>END STEP / RETENTION</x:v>
      </x:c>
      <x:c r="B28" s="57" t="str">
        <x:v>Sundial: let Zara's delayed return trigger hit the stack, then end your turn. Closet: stack its blink above the return trigger. Ghostly Flicker: blink the borrowed creature before the trigger resolves.</x:v>
      </x:c>
    </x:row>
    <x:row r="29" ht="48" customHeight="1">
      <x:c r="A29" s="52" t="str">
        <x:v>COPY PLAN</x:v>
      </x:c>
      <x:c r="B29" s="57" t="str">
        <x:v>Copy the stolen creature with Clone / Glasspool Mimic / Fated Infatuation / Quasiduplicate / Sakashima's Will. The copy is a separate object and won't be returned by Zara's delayed trigger.</x:v>
      </x:c>
    </x:row>
    <x:row r="30" ht="48" customHeight="1">
      <x:c r="A30" s="52" t="str">
        <x:v>FINISHING</x:v>
      </x:c>
      <x:c r="B30" s="57" t="str">
        <x:v>Mob Rule creates a combat swing; Port Razer may create another combat and a second Zara trigger. Curiosity + either Niv-Mizzet is a two-card near-infinite draw/damage line.</x:v>
      </x:c>
    </x:row>
    <x:row r="31" ht="48" customHeight="1">
      <x:c r="A31" s="52" t="str">
        <x:v>POLITICAL DISCIPLINE</x:v>
      </x:c>
      <x:c r="B31" s="57" t="str">
        <x:v>Don't fire every tax/wipe by default. Use visible hands, selective theft, and flexible responses to pressure the leading threat while preserving negotiations.</x:v>
      </x:c>
    </x:row>
  </x:sheetData>
  <x:mergeCells>
    <x:mergeCell ref="A1:S1"/>
    <x:mergeCell ref="A2:S2"/>
    <x:mergeCell ref="A25:H25"/>
  </x:mergeCells>
  <x:pageMargins left="0.7" right="0.7" top="0.75" bottom="0.75" header="0.3" footer="0.3"/>
  <x:drawing xmlns:r="http://schemas.openxmlformats.org/officeDocument/2006/relationships" r:id="R2ce4ebd74e3f43d5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28" hidden="0" customWidth="1"/>
    <x:col min="3" max="3" width="15" hidden="0" customWidth="1"/>
    <x:col min="4" max="4" width="20" hidden="0" customWidth="1"/>
    <x:col min="5" max="5" width="10" hidden="0" customWidth="1"/>
    <x:col min="6" max="6" width="34" hidden="0" customWidth="1"/>
    <x:col min="7" max="7" width="38" hidden="0" customWidth="1"/>
    <x:col min="8" max="8" width="26" hidden="0" customWidth="1"/>
    <x:col min="9" max="9" width="15" hidden="0" customWidth="1"/>
    <x:col min="10" max="10" width="58" hidden="0" customWidth="1"/>
  </x:cols>
  <x:sheetData>
    <x:row r="1" ht="30" customHeight="1">
      <x:c r="A1" s="5" t="str">
        <x:v>ZARA • CURRENT LIST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0" customHeight="1">
      <x:c r="A2" s="14" t="str">
        <x:v>Frozen reference list exactly as supplied. Finish markers are not treated as PET-card evidence.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 ht="32" customHeight="1">
      <x:c r="A4" s="24" t="str">
        <x:v>Qty</x:v>
      </x:c>
      <x:c r="B4" s="24" t="str">
        <x:v>Card</x:v>
      </x:c>
      <x:c r="C4" s="24" t="str">
        <x:v>Set / Print</x:v>
      </x:c>
      <x:c r="D4" s="24" t="str">
        <x:v>Card Type</x:v>
      </x:c>
      <x:c r="E4" s="24" t="str">
        <x:v>MV (front)</x:v>
      </x:c>
      <x:c r="F4" s="24" t="str">
        <x:v>Primary Group</x:v>
      </x:c>
      <x:c r="G4" s="24" t="str">
        <x:v>Secondary Role</x:v>
      </x:c>
      <x:c r="H4" s="24" t="str">
        <x:v>State</x:v>
      </x:c>
      <x:c r="I4" s="24" t="str">
        <x:v>Finish Marker</x:v>
      </x:c>
      <x:c r="J4" s="24" t="str">
        <x:v>Notes / Rules / Fit</x:v>
      </x:c>
    </x:row>
    <x:row r="5">
      <x:c r="A5" s="36" t="n">
        <x:v>1</x:v>
      </x:c>
      <x:c r="B5" s="32" t="str">
        <x:v>Zara, Renegade Recruiter</x:v>
      </x:c>
      <x:c r="C5" s="32" t="str">
        <x:v>CMR 294</x:v>
      </x:c>
      <x:c r="D5" s="32" t="str">
        <x:v>Creature</x:v>
      </x:c>
      <x:c r="E5" s="36" t="n">
        <x:v>5</x:v>
      </x:c>
      <x:c r="F5" s="32" t="str">
        <x:v>7. Zara engine — haste / protection / retain theft</x:v>
      </x:c>
      <x:c r="G5" s="32" t="str">
        <x:v>Core engine. Attack trigger looks at defending player's hand; steals a creature temporarily. Does not require combat damage.</x:v>
      </x:c>
      <x:c r="H5" s="32" t="str">
        <x:v>Commander</x:v>
      </x:c>
      <x:c r="I5" s="32" t="str"/>
      <x:c r="J5" s="32" t="str">
        <x:v>Core engine. Attack trigger looks at defending player's hand; steals a creature temporarily. Does not require combat damage.</x:v>
      </x:c>
    </x:row>
    <x:row r="6">
      <x:c r="A6" s="36" t="n">
        <x:v>1</x:v>
      </x:c>
      <x:c r="B6" s="32" t="str">
        <x:v>Act of Treason</x:v>
      </x:c>
      <x:c r="C6" s="32" t="str">
        <x:v>RNA 91</x:v>
      </x:c>
      <x:c r="D6" s="32" t="str">
        <x:v>Sorcery</x:v>
      </x:c>
      <x:c r="E6" s="36" t="n">
        <x:v>3</x:v>
      </x:c>
      <x:c r="F6" s="32" t="str">
        <x:v>3. Theft — temporary / combat</x:v>
      </x:c>
      <x:c r="G6" s="32" t="str">
        <x:v>Temporary theft; haste; sacrifice payoff</x:v>
      </x:c>
      <x:c r="H6" s="32" t="str">
        <x:v>CURRENT</x:v>
      </x:c>
      <x:c r="I6" s="32" t="str"/>
      <x:c r="J6" s="32" t="str">
        <x:v>Temporary theft plus untap/haste; can attack or be sacrificed to Fling/Kazuul's Fury.</x:v>
      </x:c>
    </x:row>
    <x:row r="7">
      <x:c r="A7" s="36" t="n">
        <x:v>1</x:v>
      </x:c>
      <x:c r="B7" s="32" t="str">
        <x:v>Alchemist's Gambit</x:v>
      </x:c>
      <x:c r="C7" s="32" t="str">
        <x:v>VOW 140</x:v>
      </x:c>
      <x:c r="D7" s="32" t="str">
        <x:v>Sorcery</x:v>
      </x:c>
      <x:c r="E7" s="36" t="n">
        <x:v>3</x:v>
      </x:c>
      <x:c r="F7" s="32" t="str">
        <x:v>3. Theft — temporary / combat</x:v>
      </x:c>
      <x:c r="G7" s="32" t="str">
        <x:v>Extra turn; risky payoff</x:v>
      </x:c>
      <x:c r="H7" s="32" t="str">
        <x:v>CURRENT</x:v>
      </x:c>
      <x:c r="I7" s="32" t="str"/>
      <x:c r="J7" s="32" t="str">
        <x:v>Risky extra-turn effect with a lose-game clause unless cleaved; weak fit versus durable theft engines.</x:v>
      </x:c>
    </x:row>
    <x:row r="8">
      <x:c r="A8" s="36" t="n">
        <x:v>1</x:v>
      </x:c>
      <x:c r="B8" s="32" t="str">
        <x:v>Arcane Signet</x:v>
      </x:c>
      <x:c r="C8" s="32" t="str">
        <x:v>VOC 159</x:v>
      </x:c>
      <x:c r="D8" s="32" t="str">
        <x:v>Artifact</x:v>
      </x:c>
      <x:c r="E8" s="36" t="n">
        <x:v>2</x:v>
      </x:c>
      <x:c r="F8" s="32" t="str">
        <x:v>1. Ramp + mana base</x:v>
      </x:c>
      <x:c r="G8" s="32" t="str">
        <x:v>Role classified by deck context; evaluate via playtests.</x:v>
      </x:c>
      <x:c r="H8" s="32" t="str">
        <x:v>CURRENT</x:v>
      </x:c>
      <x:c r="I8" s="32" t="str"/>
      <x:c r="J8" s="32" t="str">
        <x:v>Assess fit against theft/control identity; no specific pet status inferred.</x:v>
      </x:c>
    </x:row>
    <x:row r="9">
      <x:c r="A9" s="36" t="n">
        <x:v>1</x:v>
      </x:c>
      <x:c r="B9" s="32" t="str">
        <x:v>Archmage Emeritus</x:v>
      </x:c>
      <x:c r="C9" s="32" t="str">
        <x:v>STX 377</x:v>
      </x:c>
      <x:c r="D9" s="32" t="str">
        <x:v>Creature</x:v>
      </x:c>
      <x:c r="E9" s="36" t="n">
        <x:v>4</x:v>
      </x:c>
      <x:c r="F9" s="32" t="str">
        <x:v>2. Draw + selection</x:v>
      </x:c>
      <x:c r="G9" s="32" t="str">
        <x:v>Draw engine for instants/sorceries and copies, but needs spell density.</x:v>
      </x:c>
      <x:c r="H9" s="32" t="str">
        <x:v>CURRENT</x:v>
      </x:c>
      <x:c r="I9" s="32" t="str">
        <x:v>*F*</x:v>
      </x:c>
      <x:c r="J9" s="32" t="str">
        <x:v>Draw engine for instants/sorceries and copies, but needs spell density.</x:v>
      </x:c>
    </x:row>
    <x:row r="10">
      <x:c r="A10" s="36" t="n">
        <x:v>1</x:v>
      </x:c>
      <x:c r="B10" s="32" t="str">
        <x:v>Blasphemous Act</x:v>
      </x:c>
      <x:c r="C10" s="32" t="str">
        <x:v>VOC 143</x:v>
      </x:c>
      <x:c r="D10" s="32" t="str">
        <x:v>Sorcery</x:v>
      </x:c>
      <x:c r="E10" s="36" t="n">
        <x:v>9</x:v>
      </x:c>
      <x:c r="F10" s="32" t="str">
        <x:v>6. Interaction — counters / removal / resets</x:v>
      </x:c>
      <x:c r="G10" s="32" t="str">
        <x:v>Mass creature removal</x:v>
      </x:c>
      <x:c r="H10" s="32" t="str">
        <x:v>CURRENT</x:v>
      </x:c>
      <x:c r="I10" s="32" t="str"/>
      <x:c r="J10" s="32" t="str">
        <x:v>Efficient mass creature removal in creature-heavy pods; can destroy stolen creatures, so sequence carefully.</x:v>
      </x:c>
    </x:row>
    <x:row r="11">
      <x:c r="A11" s="36" t="n">
        <x:v>1</x:v>
      </x:c>
      <x:c r="B11" s="32" t="str">
        <x:v>Browbeat</x:v>
      </x:c>
      <x:c r="C11" s="32" t="str">
        <x:v>DDK 66</x:v>
      </x:c>
      <x:c r="D11" s="32" t="str">
        <x:v>Sorcery</x:v>
      </x:c>
      <x:c r="E11" s="36" t="n">
        <x:v>3</x:v>
      </x:c>
      <x:c r="F11" s="32" t="str">
        <x:v>2. Draw + selection</x:v>
      </x:c>
      <x:c r="G11" s="32" t="str">
        <x:v>Opponent-choice draw/damage</x:v>
      </x:c>
      <x:c r="H11" s="32" t="str">
        <x:v>CURRENT</x:v>
      </x:c>
      <x:c r="I11" s="32" t="str"/>
      <x:c r="J11" s="32" t="str">
        <x:v>Opponent chooses the outcome; unreliable card draw and low control over result.</x:v>
      </x:c>
    </x:row>
    <x:row r="12">
      <x:c r="A12" s="36" t="n">
        <x:v>1</x:v>
      </x:c>
      <x:c r="B12" s="32" t="str">
        <x:v>Castle Vantress</x:v>
      </x:c>
      <x:c r="C12" s="32" t="str">
        <x:v>ELD 242</x:v>
      </x:c>
      <x:c r="D12" s="32" t="str">
        <x:v>Land</x:v>
      </x:c>
      <x:c r="E12" s="36" t="n">
        <x:v>0</x:v>
      </x:c>
      <x:c r="F12" s="32" t="str">
        <x:v>1. Ramp + mana base</x:v>
      </x:c>
      <x:c r="G12" s="32" t="str">
        <x:v>Role classified by deck context; evaluate via playtests.</x:v>
      </x:c>
      <x:c r="H12" s="32" t="str">
        <x:v>CURRENT</x:v>
      </x:c>
      <x:c r="I12" s="32" t="str"/>
      <x:c r="J12" s="32" t="str">
        <x:v>Assess fit against theft/control identity; no specific pet status inferred.</x:v>
      </x:c>
    </x:row>
    <x:row r="13">
      <x:c r="A13" s="36" t="n">
        <x:v>1</x:v>
      </x:c>
      <x:c r="B13" s="32" t="str">
        <x:v>Clone</x:v>
      </x:c>
      <x:c r="C13" s="32" t="str">
        <x:v>M14 47</x:v>
      </x:c>
      <x:c r="D13" s="32" t="str">
        <x:v>Creature</x:v>
      </x:c>
      <x:c r="E13" s="36" t="n">
        <x:v>4</x:v>
      </x:c>
      <x:c r="F13" s="32" t="str">
        <x:v>5. Copy / clone / spell manipulation</x:v>
      </x:c>
      <x:c r="G13" s="32" t="str">
        <x:v>Can copy a creature stolen by Zara; the copy is a different object and does not return with Zara's delayed trigger.</x:v>
      </x:c>
      <x:c r="H13" s="32" t="str">
        <x:v>CURRENT</x:v>
      </x:c>
      <x:c r="I13" s="32" t="str"/>
      <x:c r="J13" s="32" t="str">
        <x:v>Can copy a creature stolen by Zara; the copy is a different object and does not return with Zara's delayed trigger.</x:v>
      </x:c>
    </x:row>
    <x:row r="14">
      <x:c r="A14" s="36" t="n">
        <x:v>1</x:v>
      </x:c>
      <x:c r="B14" s="32" t="str">
        <x:v>Clout of the Dominus</x:v>
      </x:c>
      <x:c r="C14" s="32" t="str">
        <x:v>EVE 99</x:v>
      </x:c>
      <x:c r="D14" s="32" t="str">
        <x:v>Enchantment</x:v>
      </x:c>
      <x:c r="E14" s="36" t="n">
        <x:v>1</x:v>
      </x:c>
      <x:c r="F14" s="32" t="str">
        <x:v>7. Zara engine — haste / protection / retain theft</x:v>
      </x:c>
      <x:c r="G14" s="32" t="str">
        <x:v>Haste + shroud + +2/+2 on Zara</x:v>
      </x:c>
      <x:c r="H14" s="32" t="str">
        <x:v>CURRENT</x:v>
      </x:c>
      <x:c r="I14" s="32" t="str"/>
      <x:c r="J14" s="32" t="str">
        <x:v>Exceptional commander synergy: Zara is both blue and red, so receives +2/+2, shroud and haste. Sequence any other targeting/equipping before attaching this Aura.</x:v>
      </x:c>
    </x:row>
    <x:row r="15">
      <x:c r="A15" s="36" t="n">
        <x:v>1</x:v>
      </x:c>
      <x:c r="B15" s="32" t="str">
        <x:v>Command Tower</x:v>
      </x:c>
      <x:c r="C15" s="32" t="str">
        <x:v>C13 281</x:v>
      </x:c>
      <x:c r="D15" s="32" t="str">
        <x:v>Land</x:v>
      </x:c>
      <x:c r="E15" s="36" t="n">
        <x:v>0</x:v>
      </x:c>
      <x:c r="F15" s="32" t="str">
        <x:v>1. Ramp + mana base</x:v>
      </x:c>
      <x:c r="G15" s="32" t="str">
        <x:v>Role classified by deck context; evaluate via playtests.</x:v>
      </x:c>
      <x:c r="H15" s="32" t="str">
        <x:v>CURRENT</x:v>
      </x:c>
      <x:c r="I15" s="32" t="str"/>
      <x:c r="J15" s="32" t="str">
        <x:v>Assess fit against theft/control identity; no specific pet status inferred.</x:v>
      </x:c>
    </x:row>
    <x:row r="16">
      <x:c r="A16" s="36" t="n">
        <x:v>1</x:v>
      </x:c>
      <x:c r="B16" s="32" t="str">
        <x:v>Consuming Tide</x:v>
      </x:c>
      <x:c r="C16" s="32" t="str">
        <x:v>VOW 53</x:v>
      </x:c>
      <x:c r="D16" s="32" t="str">
        <x:v>Sorcery</x:v>
      </x:c>
      <x:c r="E16" s="36" t="n">
        <x:v>4</x:v>
      </x:c>
      <x:c r="F16" s="32" t="str">
        <x:v>6. Interaction — counters / removal / resets</x:v>
      </x:c>
      <x:c r="G16" s="32" t="str">
        <x:v>Mass bounce / conditional draw</x:v>
      </x:c>
      <x:c r="H16" s="32" t="str">
        <x:v>CURRENT</x:v>
      </x:c>
      <x:c r="I16" s="32" t="str">
        <x:v>*F*</x:v>
      </x:c>
      <x:c r="J16" s="32" t="str">
        <x:v>High-variance mass bounce/draw. Redundant with Rift/Disk and may reset your own theft pieces.</x:v>
      </x:c>
    </x:row>
    <x:row r="17">
      <x:c r="A17" s="36" t="n">
        <x:v>1</x:v>
      </x:c>
      <x:c r="B17" s="32" t="str">
        <x:v>Counterspell</x:v>
      </x:c>
      <x:c r="C17" s="32" t="str">
        <x:v>CMR 395</x:v>
      </x:c>
      <x:c r="D17" s="32" t="str">
        <x:v>Instant</x:v>
      </x:c>
      <x:c r="E17" s="36" t="n">
        <x:v>2</x:v>
      </x:c>
      <x:c r="F17" s="32" t="str">
        <x:v>6. Interaction — counters / removal / resets</x:v>
      </x:c>
      <x:c r="G17" s="32" t="str">
        <x:v>Role classified by deck context; evaluate via playtests.</x:v>
      </x:c>
      <x:c r="H17" s="32" t="str">
        <x:v>CURRENT</x:v>
      </x:c>
      <x:c r="I17" s="32" t="str"/>
      <x:c r="J17" s="32" t="str">
        <x:v>Assess fit against theft/control identity; no specific pet status inferred.</x:v>
      </x:c>
    </x:row>
    <x:row r="18">
      <x:c r="A18" s="36" t="n">
        <x:v>1</x:v>
      </x:c>
      <x:c r="B18" s="32" t="str">
        <x:v>Curiosity</x:v>
      </x:c>
      <x:c r="C18" s="32" t="str">
        <x:v>8ED 72</x:v>
      </x:c>
      <x:c r="D18" s="32" t="str">
        <x:v>Enchantment</x:v>
      </x:c>
      <x:c r="E18" s="36" t="n">
        <x:v>1</x:v>
      </x:c>
      <x:c r="F18" s="32" t="str">
        <x:v>8. Finishers / tax / utility</x:v>
      </x:c>
      <x:c r="G18" s="32" t="str">
        <x:v>Draw engine; two-card combo</x:v>
      </x:c>
      <x:c r="H18" s="32" t="str">
        <x:v>CURRENT</x:v>
      </x:c>
      <x:c r="I18" s="32" t="str"/>
      <x:c r="J18" s="32" t="str">
        <x:v>Value on evasive creatures; enables compact two-card loops with either Niv-Mizzet. Optional high-power finish.</x:v>
      </x:c>
    </x:row>
    <x:row r="19">
      <x:c r="A19" s="36" t="n">
        <x:v>1</x:v>
      </x:c>
      <x:c r="B19" s="32" t="str">
        <x:v>Cyclonic Rift</x:v>
      </x:c>
      <x:c r="C19" s="32" t="str">
        <x:v>RTR 35</x:v>
      </x:c>
      <x:c r="D19" s="32" t="str">
        <x:v>Instant</x:v>
      </x:c>
      <x:c r="E19" s="36" t="n">
        <x:v>2</x:v>
      </x:c>
      <x:c r="F19" s="32" t="str">
        <x:v>6. Interaction — counters / removal / resets</x:v>
      </x:c>
      <x:c r="G19" s="32" t="str">
        <x:v>Flexible bounce / reset</x:v>
      </x:c>
      <x:c r="H19" s="32" t="str">
        <x:v>CURRENT</x:v>
      </x:c>
      <x:c r="I19" s="32" t="str"/>
      <x:c r="J19" s="32" t="str">
        <x:v>Premium flexible reset, especially overloaded before your turn; often converts a stable game.</x:v>
      </x:c>
    </x:row>
    <x:row r="20">
      <x:c r="A20" s="36" t="n">
        <x:v>1</x:v>
      </x:c>
      <x:c r="B20" s="32" t="str">
        <x:v>Day's Undoing</x:v>
      </x:c>
      <x:c r="C20" s="32" t="str">
        <x:v>ORI 51</x:v>
      </x:c>
      <x:c r="D20" s="32" t="str">
        <x:v>Sorcery</x:v>
      </x:c>
      <x:c r="E20" s="36" t="n">
        <x:v>3</x:v>
      </x:c>
      <x:c r="F20" s="32" t="str">
        <x:v>2. Draw + selection</x:v>
      </x:c>
      <x:c r="G20" s="32" t="str">
        <x:v>Symmetric wheel / hand reset</x:v>
      </x:c>
      <x:c r="H20" s="32" t="str">
        <x:v>CURRENT</x:v>
      </x:c>
      <x:c r="I20" s="32" t="str"/>
      <x:c r="J20" s="32" t="str">
        <x:v>Refills all players and can undo your advantage; meta-dependent rather than a dedicated theft effect.</x:v>
      </x:c>
    </x:row>
    <x:row r="21">
      <x:c r="A21" s="36" t="n">
        <x:v>1</x:v>
      </x:c>
      <x:c r="B21" s="32" t="str">
        <x:v>Desolate Lighthouse</x:v>
      </x:c>
      <x:c r="C21" s="32" t="str">
        <x:v>AVR 227</x:v>
      </x:c>
      <x:c r="D21" s="32" t="str">
        <x:v>Land</x:v>
      </x:c>
      <x:c r="E21" s="36" t="n">
        <x:v>0</x:v>
      </x:c>
      <x:c r="F21" s="32" t="str">
        <x:v>2. Draw + selection</x:v>
      </x:c>
      <x:c r="G21" s="32" t="str">
        <x:v>Role classified by deck context; evaluate via playtests.</x:v>
      </x:c>
      <x:c r="H21" s="32" t="str">
        <x:v>CURRENT</x:v>
      </x:c>
      <x:c r="I21" s="32" t="str"/>
      <x:c r="J21" s="32" t="str">
        <x:v>Assess fit against theft/control identity; no specific pet status inferred.</x:v>
      </x:c>
    </x:row>
    <x:row r="22">
      <x:c r="A22" s="36" t="n">
        <x:v>1</x:v>
      </x:c>
      <x:c r="B22" s="32" t="str">
        <x:v>Dissipation Field</x:v>
      </x:c>
      <x:c r="C22" s="32" t="str">
        <x:v>CLB 718</x:v>
      </x:c>
      <x:c r="D22" s="32" t="str">
        <x:v>Enchantment</x:v>
      </x:c>
      <x:c r="E22" s="36" t="n">
        <x:v>4</x:v>
      </x:c>
      <x:c r="F22" s="32" t="str">
        <x:v>7. Zara engine — haste / protection / retain theft</x:v>
      </x:c>
      <x:c r="G22" s="32" t="str">
        <x:v>Role classified by deck context; evaluate via playtests.</x:v>
      </x:c>
      <x:c r="H22" s="32" t="str">
        <x:v>CURRENT</x:v>
      </x:c>
      <x:c r="I22" s="32" t="str"/>
      <x:c r="J22" s="32" t="str">
        <x:v>Assess fit against theft/control identity; no specific pet status inferred.</x:v>
      </x:c>
    </x:row>
    <x:row r="23">
      <x:c r="A23" s="36" t="n">
        <x:v>1</x:v>
      </x:c>
      <x:c r="B23" s="32" t="str">
        <x:v>Domestication</x:v>
      </x:c>
      <x:c r="C23" s="32" t="str">
        <x:v>M14 53</x:v>
      </x:c>
      <x:c r="D23" s="32" t="str">
        <x:v>Enchantment</x:v>
      </x:c>
      <x:c r="E23" s="36" t="n">
        <x:v>4</x:v>
      </x:c>
      <x:c r="F23" s="32" t="str">
        <x:v>4. Theft — permanent / control</x:v>
      </x:c>
      <x:c r="G23" s="32" t="str">
        <x:v>Permanent control of a creature with power 3 or less; can fail if that creature's power rises above 3.</x:v>
      </x:c>
      <x:c r="H23" s="32" t="str">
        <x:v>CURRENT</x:v>
      </x:c>
      <x:c r="I23" s="32" t="str"/>
      <x:c r="J23" s="32" t="str">
        <x:v>Permanent control of a creature with power 3 or less; can fail if that creature's power rises above 3.</x:v>
      </x:c>
    </x:row>
    <x:row r="24">
      <x:c r="A24" s="36" t="n">
        <x:v>1</x:v>
      </x:c>
      <x:c r="B24" s="32" t="str">
        <x:v>Domineering Will</x:v>
      </x:c>
      <x:c r="C24" s="32" t="str">
        <x:v>CLB 719</x:v>
      </x:c>
      <x:c r="D24" s="32" t="str">
        <x:v>Instant</x:v>
      </x:c>
      <x:c r="E24" s="36" t="n">
        <x:v>3</x:v>
      </x:c>
      <x:c r="F24" s="32" t="str">
        <x:v>3. Theft — temporary / combat</x:v>
      </x:c>
      <x:c r="G24" s="32" t="str">
        <x:v>Temporary control / combat manipulation</x:v>
      </x:c>
      <x:c r="H24" s="32" t="str">
        <x:v>CURRENT</x:v>
      </x:c>
      <x:c r="I24" s="32" t="str"/>
      <x:c r="J24" s="32" t="str">
        <x:v>Can use opponent creatures to create unfavorable blocks; temporary control, not permanent theft.</x:v>
      </x:c>
    </x:row>
    <x:row r="25">
      <x:c r="A25" s="36" t="n">
        <x:v>1</x:v>
      </x:c>
      <x:c r="B25" s="32" t="str">
        <x:v>Dominus of Fealty</x:v>
      </x:c>
      <x:c r="C25" s="32" t="str">
        <x:v>EVE 102</x:v>
      </x:c>
      <x:c r="D25" s="32" t="str">
        <x:v>Creature</x:v>
      </x:c>
      <x:c r="E25" s="36" t="n">
        <x:v>5</x:v>
      </x:c>
      <x:c r="F25" s="32" t="str">
        <x:v>3. Theft — temporary / combat</x:v>
      </x:c>
      <x:c r="G25" s="32" t="str">
        <x:v>Recurring temporary permanent theft</x:v>
      </x:c>
      <x:c r="H25" s="32" t="str">
        <x:v>CURRENT</x:v>
      </x:c>
      <x:c r="I25" s="32" t="str"/>
      <x:c r="J25" s="32" t="str">
        <x:v>Repeatable temporary control of any permanent at upkeep; powerful but requires surviving to upkeep and the permanent returns at EOT.</x:v>
      </x:c>
    </x:row>
    <x:row r="26">
      <x:c r="A26" s="36" t="n">
        <x:v>1</x:v>
      </x:c>
      <x:c r="B26" s="32" t="str">
        <x:v>Encroaching Wastes</x:v>
      </x:c>
      <x:c r="C26" s="32" t="str">
        <x:v>M14 227</x:v>
      </x:c>
      <x:c r="D26" s="32" t="str">
        <x:v>Land</x:v>
      </x:c>
      <x:c r="E26" s="36" t="n">
        <x:v>0</x:v>
      </x:c>
      <x:c r="F26" s="32" t="str">
        <x:v>1. Ramp + mana base</x:v>
      </x:c>
      <x:c r="G26" s="32" t="str">
        <x:v>Colorless land with narrow utility; unreliable for UUU/RRR requirements.</x:v>
      </x:c>
      <x:c r="H26" s="32" t="str">
        <x:v>CURRENT</x:v>
      </x:c>
      <x:c r="I26" s="32" t="str"/>
      <x:c r="J26" s="32" t="str">
        <x:v>Colorless land with narrow utility; unreliable for UUU/RRR requirements.</x:v>
      </x:c>
    </x:row>
    <x:row r="27">
      <x:c r="A27" s="36" t="n">
        <x:v>1</x:v>
      </x:c>
      <x:c r="B27" s="32" t="str">
        <x:v>Essence Capture</x:v>
      </x:c>
      <x:c r="C27" s="32" t="str">
        <x:v>OTP 10</x:v>
      </x:c>
      <x:c r="D27" s="32" t="str">
        <x:v>Instant</x:v>
      </x:c>
      <x:c r="E27" s="36" t="n">
        <x:v>2</x:v>
      </x:c>
      <x:c r="F27" s="32" t="str">
        <x:v>6. Interaction — counters / removal / resets</x:v>
      </x:c>
      <x:c r="G27" s="32" t="str">
        <x:v>Role classified by deck context; evaluate via playtests.</x:v>
      </x:c>
      <x:c r="H27" s="32" t="str">
        <x:v>CURRENT</x:v>
      </x:c>
      <x:c r="I27" s="32" t="str"/>
      <x:c r="J27" s="32" t="str">
        <x:v>Assess fit against theft/control identity; no specific pet status inferred.</x:v>
      </x:c>
    </x:row>
    <x:row r="28">
      <x:c r="A28" s="36" t="n">
        <x:v>1</x:v>
      </x:c>
      <x:c r="B28" s="32" t="str">
        <x:v>Exclude</x:v>
      </x:c>
      <x:c r="C28" s="32" t="str">
        <x:v>CMM 90</x:v>
      </x:c>
      <x:c r="D28" s="32" t="str">
        <x:v>Instant</x:v>
      </x:c>
      <x:c r="E28" s="36" t="n">
        <x:v>3</x:v>
      </x:c>
      <x:c r="F28" s="32" t="str">
        <x:v>6. Interaction — counters / removal / resets</x:v>
      </x:c>
      <x:c r="G28" s="32" t="str">
        <x:v>Role classified by deck context; evaluate via playtests.</x:v>
      </x:c>
      <x:c r="H28" s="32" t="str">
        <x:v>CURRENT</x:v>
      </x:c>
      <x:c r="I28" s="32" t="str"/>
      <x:c r="J28" s="32" t="str">
        <x:v>Assess fit against theft/control identity; no specific pet status inferred.</x:v>
      </x:c>
    </x:row>
    <x:row r="29">
      <x:c r="A29" s="36" t="n">
        <x:v>1</x:v>
      </x:c>
      <x:c r="B29" s="32" t="str">
        <x:v>Fated Infatuation</x:v>
      </x:c>
      <x:c r="C29" s="32" t="str">
        <x:v>BNG 39</x:v>
      </x:c>
      <x:c r="D29" s="32" t="str">
        <x:v>Instant</x:v>
      </x:c>
      <x:c r="E29" s="36" t="n">
        <x:v>3</x:v>
      </x:c>
      <x:c r="F29" s="32" t="str">
        <x:v>5. Copy / clone / spell manipulation</x:v>
      </x:c>
      <x:c r="G29" s="32" t="str">
        <x:v>Instant-speed copy of a creature you control; can copy Zara's borrowed creature before the return trigger resolves.</x:v>
      </x:c>
      <x:c r="H29" s="32" t="str">
        <x:v>CURRENT</x:v>
      </x:c>
      <x:c r="I29" s="32" t="str"/>
      <x:c r="J29" s="32" t="str">
        <x:v>Instant-speed copy of a creature you control; can copy Zara's borrowed creature before the return trigger resolves.</x:v>
      </x:c>
    </x:row>
    <x:row r="30">
      <x:c r="A30" s="36" t="n">
        <x:v>1</x:v>
      </x:c>
      <x:c r="B30" s="32" t="str">
        <x:v>Fellwar Stone</x:v>
      </x:c>
      <x:c r="C30" s="32" t="str">
        <x:v>CMM 382</x:v>
      </x:c>
      <x:c r="D30" s="32" t="str">
        <x:v>Artifact</x:v>
      </x:c>
      <x:c r="E30" s="36" t="n">
        <x:v>2</x:v>
      </x:c>
      <x:c r="F30" s="32" t="str">
        <x:v>1. Ramp + mana base</x:v>
      </x:c>
      <x:c r="G30" s="32" t="str">
        <x:v>Role classified by deck context; evaluate via playtests.</x:v>
      </x:c>
      <x:c r="H30" s="32" t="str">
        <x:v>CURRENT</x:v>
      </x:c>
      <x:c r="I30" s="32" t="str"/>
      <x:c r="J30" s="32" t="str">
        <x:v>Assess fit against theft/control identity; no specific pet status inferred.</x:v>
      </x:c>
    </x:row>
    <x:row r="31">
      <x:c r="A31" s="36" t="n">
        <x:v>1</x:v>
      </x:c>
      <x:c r="B31" s="32" t="str">
        <x:v>Firemind's Research</x:v>
      </x:c>
      <x:c r="C31" s="32" t="str">
        <x:v>GRN 171</x:v>
      </x:c>
      <x:c r="D31" s="32" t="str">
        <x:v>Enchantment</x:v>
      </x:c>
      <x:c r="E31" s="36" t="n">
        <x:v>2</x:v>
      </x:c>
      <x:c r="F31" s="32" t="str">
        <x:v>8. Finishers / tax / utility</x:v>
      </x:c>
      <x:c r="G31" s="32" t="str">
        <x:v>Slow payoff for instants/sorceries; supports a secondary spellslinger theme more than theft.</x:v>
      </x:c>
      <x:c r="H31" s="32" t="str">
        <x:v>CURRENT</x:v>
      </x:c>
      <x:c r="I31" s="32" t="str"/>
      <x:c r="J31" s="32" t="str">
        <x:v>Slow payoff for instants/sorceries; supports a secondary spellslinger theme more than theft.</x:v>
      </x:c>
    </x:row>
    <x:row r="32">
      <x:c r="A32" s="36" t="n">
        <x:v>1</x:v>
      </x:c>
      <x:c r="B32" s="32" t="str">
        <x:v>Flare of Duplication</x:v>
      </x:c>
      <x:c r="C32" s="32" t="str">
        <x:v>MH3 333</x:v>
      </x:c>
      <x:c r="D32" s="32" t="str">
        <x:v>Instant</x:v>
      </x:c>
      <x:c r="E32" s="36" t="n">
        <x:v>3</x:v>
      </x:c>
      <x:c r="F32" s="32" t="str">
        <x:v>5. Copy / clone / spell manipulation</x:v>
      </x:c>
      <x:c r="G32" s="32" t="str">
        <x:v>Copies an instant/sorcery you control; it does not directly copy opposing spells. Sacrifice cost can monetize a stolen creature.</x:v>
      </x:c>
      <x:c r="H32" s="32" t="str">
        <x:v>CURRENT</x:v>
      </x:c>
      <x:c r="I32" s="32" t="str"/>
      <x:c r="J32" s="32" t="str">
        <x:v>Copies an instant/sorcery you control; it does not directly copy opposing spells. Sacrifice cost can monetize a stolen creature.</x:v>
      </x:c>
    </x:row>
    <x:row r="33">
      <x:c r="A33" s="36" t="n">
        <x:v>1</x:v>
      </x:c>
      <x:c r="B33" s="32" t="str">
        <x:v>Fling</x:v>
      </x:c>
      <x:c r="C33" s="32" t="str">
        <x:v>OTP 24</x:v>
      </x:c>
      <x:c r="D33" s="32" t="str">
        <x:v>Instant</x:v>
      </x:c>
      <x:c r="E33" s="36" t="n">
        <x:v>2</x:v>
      </x:c>
      <x:c r="F33" s="32" t="str">
        <x:v>3. Theft — temporary / combat</x:v>
      </x:c>
      <x:c r="G33" s="32" t="str">
        <x:v>Sacrifice temporary theft for damage</x:v>
      </x:c>
      <x:c r="H33" s="32" t="str">
        <x:v>CURRENT</x:v>
      </x:c>
      <x:c r="I33" s="32" t="str"/>
      <x:c r="J33" s="32" t="str">
        <x:v>Converts a temporary stolen creature into direct damage before it returns.</x:v>
      </x:c>
    </x:row>
    <x:row r="34">
      <x:c r="A34" s="36" t="n">
        <x:v>1</x:v>
      </x:c>
      <x:c r="B34" s="32" t="str">
        <x:v>Glasspool Mimic</x:v>
      </x:c>
      <x:c r="C34" s="32" t="str">
        <x:v>ZNR 60</x:v>
      </x:c>
      <x:c r="D34" s="32" t="str">
        <x:v>MDFC — Creature/Land</x:v>
      </x:c>
      <x:c r="E34" s="36" t="n">
        <x:v>3</x:v>
      </x:c>
      <x:c r="F34" s="32" t="str">
        <x:v>5. Copy / clone / spell manipulation</x:v>
      </x:c>
      <x:c r="G34" s="32" t="str">
        <x:v>Clone or tapped land</x:v>
      </x:c>
      <x:c r="H34" s="32" t="str">
        <x:v>CURRENT</x:v>
      </x:c>
      <x:c r="I34" s="32" t="str"/>
      <x:c r="J34" s="32" t="str">
        <x:v>MDFC clone that copies a creature you control; land back face improves functional mana sources.</x:v>
      </x:c>
    </x:row>
    <x:row r="35">
      <x:c r="A35" s="36" t="n">
        <x:v>1</x:v>
      </x:c>
      <x:c r="B35" s="32" t="str">
        <x:v>Goblin Electromancer</x:v>
      </x:c>
      <x:c r="C35" s="32" t="str">
        <x:v>RTR 163</x:v>
      </x:c>
      <x:c r="D35" s="32" t="str">
        <x:v>Creature</x:v>
      </x:c>
      <x:c r="E35" s="36" t="n">
        <x:v>2</x:v>
      </x:c>
      <x:c r="F35" s="32" t="str">
        <x:v>1. Ramp + mana base</x:v>
      </x:c>
      <x:c r="G35" s="32" t="str">
        <x:v>Efficient in spellslinger, but lower synergy with the theft/control core.</x:v>
      </x:c>
      <x:c r="H35" s="32" t="str">
        <x:v>CURRENT</x:v>
      </x:c>
      <x:c r="I35" s="32" t="str"/>
      <x:c r="J35" s="32" t="str">
        <x:v>Efficient in spellslinger, but lower synergy with the theft/control core.</x:v>
      </x:c>
    </x:row>
    <x:row r="36">
      <x:c r="A36" s="36" t="n">
        <x:v>1</x:v>
      </x:c>
      <x:c r="B36" s="32" t="str">
        <x:v>Goblin Flectomancer</x:v>
      </x:c>
      <x:c r="C36" s="32" t="str">
        <x:v>GPT 116</x:v>
      </x:c>
      <x:c r="D36" s="32" t="str">
        <x:v>Creature</x:v>
      </x:c>
      <x:c r="E36" s="36" t="n">
        <x:v>3</x:v>
      </x:c>
      <x:c r="F36" s="32" t="str">
        <x:v>5. Copy / clone / spell manipulation</x:v>
      </x:c>
      <x:c r="G36" s="32" t="str">
        <x:v>Target-changing ability on a body, but needs the right spell and is difficult to reuse.</x:v>
      </x:c>
      <x:c r="H36" s="32" t="str">
        <x:v>CURRENT</x:v>
      </x:c>
      <x:c r="I36" s="32" t="str"/>
      <x:c r="J36" s="32" t="str">
        <x:v>Target-changing ability on a body, but needs the right spell and is difficult to reuse.</x:v>
      </x:c>
    </x:row>
    <x:row r="37">
      <x:c r="A37" s="36" t="n">
        <x:v>1</x:v>
      </x:c>
      <x:c r="B37" s="32" t="str">
        <x:v>Grafted Identity</x:v>
      </x:c>
      <x:c r="C37" s="32" t="str">
        <x:v>MID 57</x:v>
      </x:c>
      <x:c r="D37" s="32" t="str">
        <x:v>Enchantment</x:v>
      </x:c>
      <x:c r="E37" s="36" t="n">
        <x:v>4</x:v>
      </x:c>
      <x:c r="F37" s="32" t="str">
        <x:v>4. Theft — permanent / control</x:v>
      </x:c>
      <x:c r="G37" s="32" t="str">
        <x:v>Permanent theft; sacrifice cost</x:v>
      </x:c>
      <x:c r="H37" s="32" t="str">
        <x:v>CURRENT</x:v>
      </x:c>
      <x:c r="I37" s="32" t="str"/>
      <x:c r="J37" s="32" t="str">
        <x:v>Theft Aura that requires sacrificing a creature as an additional cost; a temporary Zara creature may pay that cost.</x:v>
      </x:c>
    </x:row>
    <x:row r="38">
      <x:c r="A38" s="36" t="n">
        <x:v>1</x:v>
      </x:c>
      <x:c r="B38" s="32" t="str">
        <x:v>Increasing Vengeance</x:v>
      </x:c>
      <x:c r="C38" s="32" t="str">
        <x:v>DKA 95</x:v>
      </x:c>
      <x:c r="D38" s="32" t="str">
        <x:v>Instant</x:v>
      </x:c>
      <x:c r="E38" s="36" t="n">
        <x:v>2</x:v>
      </x:c>
      <x:c r="F38" s="32" t="str">
        <x:v>5. Copy / clone / spell manipulation</x:v>
      </x:c>
      <x:c r="G38" s="32" t="str">
        <x:v>Copies your own instant/sorcery; value tool, not the main theft engine.</x:v>
      </x:c>
      <x:c r="H38" s="32" t="str">
        <x:v>CURRENT</x:v>
      </x:c>
      <x:c r="I38" s="32" t="str"/>
      <x:c r="J38" s="32" t="str">
        <x:v>Copies your own instant/sorcery; value tool, not the main theft engine.</x:v>
      </x:c>
    </x:row>
    <x:row r="39">
      <x:c r="A39" s="36" t="n">
        <x:v>1</x:v>
      </x:c>
      <x:c r="B39" s="32" t="str">
        <x:v>Invoke the Winds</x:v>
      </x:c>
      <x:c r="C39" s="32" t="str">
        <x:v>NEO 58</x:v>
      </x:c>
      <x:c r="D39" s="32" t="str">
        <x:v>Sorcery</x:v>
      </x:c>
      <x:c r="E39" s="36" t="n">
        <x:v>5</x:v>
      </x:c>
      <x:c r="F39" s="32" t="str">
        <x:v>4. Theft — permanent / control</x:v>
      </x:c>
      <x:c r="G39" s="32" t="str">
        <x:v>Permanent theft of an artifact, creature or planeswalker; strong but expensive and color intensive.</x:v>
      </x:c>
      <x:c r="H39" s="32" t="str">
        <x:v>CURRENT</x:v>
      </x:c>
      <x:c r="I39" s="32" t="str"/>
      <x:c r="J39" s="32" t="str">
        <x:v>Permanent theft of an artifact, creature or planeswalker; strong but expensive and color intensive.</x:v>
      </x:c>
    </x:row>
    <x:row r="40">
      <x:c r="A40" s="36" t="n">
        <x:v>12</x:v>
      </x:c>
      <x:c r="B40" s="32" t="str">
        <x:v>Island</x:v>
      </x:c>
      <x:c r="C40" s="32" t="str">
        <x:v>MID 381</x:v>
      </x:c>
      <x:c r="D40" s="32" t="str">
        <x:v>Land</x:v>
      </x:c>
      <x:c r="E40" s="36" t="n">
        <x:v>0</x:v>
      </x:c>
      <x:c r="F40" s="32" t="str">
        <x:v>1. Ramp + mana base</x:v>
      </x:c>
      <x:c r="G40" s="32" t="str">
        <x:v>Role classified by deck context; evaluate via playtests.</x:v>
      </x:c>
      <x:c r="H40" s="32" t="str">
        <x:v>CURRENT</x:v>
      </x:c>
      <x:c r="I40" s="32" t="str">
        <x:v>*F*</x:v>
      </x:c>
      <x:c r="J40" s="32" t="str">
        <x:v>Assess fit against theft/control identity; no specific pet status inferred.</x:v>
      </x:c>
    </x:row>
    <x:row r="41">
      <x:c r="A41" s="36" t="n">
        <x:v>1</x:v>
      </x:c>
      <x:c r="B41" s="32" t="str">
        <x:v>Izzet Boilerworks</x:v>
      </x:c>
      <x:c r="C41" s="32" t="str">
        <x:v>GPT 159</x:v>
      </x:c>
      <x:c r="D41" s="32" t="str">
        <x:v>Land</x:v>
      </x:c>
      <x:c r="E41" s="36" t="n">
        <x:v>0</x:v>
      </x:c>
      <x:c r="F41" s="32" t="str">
        <x:v>1. Ramp + mana base</x:v>
      </x:c>
      <x:c r="G41" s="32" t="str">
        <x:v>Role classified by deck context; evaluate via playtests.</x:v>
      </x:c>
      <x:c r="H41" s="32" t="str">
        <x:v>CURRENT</x:v>
      </x:c>
      <x:c r="I41" s="32" t="str"/>
      <x:c r="J41" s="32" t="str">
        <x:v>Assess fit against theft/control identity; no specific pet status inferred.</x:v>
      </x:c>
    </x:row>
    <x:row r="42">
      <x:c r="A42" s="36" t="n">
        <x:v>1</x:v>
      </x:c>
      <x:c r="B42" s="32" t="str">
        <x:v>Izzet Charm</x:v>
      </x:c>
      <x:c r="C42" s="32" t="str">
        <x:v>MM3 171</x:v>
      </x:c>
      <x:c r="D42" s="32" t="str">
        <x:v>Instant</x:v>
      </x:c>
      <x:c r="E42" s="36" t="n">
        <x:v>2</x:v>
      </x:c>
      <x:c r="F42" s="32" t="str">
        <x:v>6. Interaction — counters / removal / resets</x:v>
      </x:c>
      <x:c r="G42" s="32" t="str">
        <x:v>Role classified by deck context; evaluate via playtests.</x:v>
      </x:c>
      <x:c r="H42" s="32" t="str">
        <x:v>CURRENT</x:v>
      </x:c>
      <x:c r="I42" s="32" t="str"/>
      <x:c r="J42" s="32" t="str">
        <x:v>Assess fit against theft/control identity; no specific pet status inferred.</x:v>
      </x:c>
    </x:row>
    <x:row r="43">
      <x:c r="A43" s="36" t="n">
        <x:v>1</x:v>
      </x:c>
      <x:c r="B43" s="32" t="str">
        <x:v>Izzet Signet</x:v>
      </x:c>
      <x:c r="C43" s="32" t="str">
        <x:v>CLB 863</x:v>
      </x:c>
      <x:c r="D43" s="32" t="str">
        <x:v>Artifact</x:v>
      </x:c>
      <x:c r="E43" s="36" t="n">
        <x:v>2</x:v>
      </x:c>
      <x:c r="F43" s="32" t="str">
        <x:v>1. Ramp + mana base</x:v>
      </x:c>
      <x:c r="G43" s="32" t="str">
        <x:v>Role classified by deck context; evaluate via playtests.</x:v>
      </x:c>
      <x:c r="H43" s="32" t="str">
        <x:v>CURRENT</x:v>
      </x:c>
      <x:c r="I43" s="32" t="str"/>
      <x:c r="J43" s="32" t="str">
        <x:v>Assess fit against theft/control identity; no specific pet status inferred.</x:v>
      </x:c>
    </x:row>
    <x:row r="44">
      <x:c r="A44" s="36" t="n">
        <x:v>1</x:v>
      </x:c>
      <x:c r="B44" s="32" t="str">
        <x:v>Kazuul's Fury</x:v>
      </x:c>
      <x:c r="C44" s="32" t="str">
        <x:v>ZNR 146</x:v>
      </x:c>
      <x:c r="D44" s="32" t="str">
        <x:v>MDFC — Instant/Land</x:v>
      </x:c>
      <x:c r="E44" s="36" t="n">
        <x:v>3</x:v>
      </x:c>
      <x:c r="F44" s="32" t="str">
        <x:v>3. Theft — temporary / combat</x:v>
      </x:c>
      <x:c r="G44" s="32" t="str">
        <x:v>Sacrifice payoff or tapped land</x:v>
      </x:c>
      <x:c r="H44" s="32" t="str">
        <x:v>CURRENT</x:v>
      </x:c>
      <x:c r="I44" s="32" t="str"/>
      <x:c r="J44" s="32" t="str">
        <x:v>MDFC; additional Fling effect with a land back face, counted as one physical card.</x:v>
      </x:c>
    </x:row>
    <x:row r="45">
      <x:c r="A45" s="36" t="n">
        <x:v>1</x:v>
      </x:c>
      <x:c r="B45" s="32" t="str">
        <x:v>Kitnap</x:v>
      </x:c>
      <x:c r="C45" s="32" t="str">
        <x:v>BLB 53</x:v>
      </x:c>
      <x:c r="D45" s="32" t="str">
        <x:v>Enchantment</x:v>
      </x:c>
      <x:c r="E45" s="36" t="n">
        <x:v>3</x:v>
      </x:c>
      <x:c r="F45" s="32" t="str">
        <x:v>4. Theft — permanent / control</x:v>
      </x:c>
      <x:c r="G45" s="32" t="str">
        <x:v>Conditional theft of a creature with tap/untap restrictions; timing matters.</x:v>
      </x:c>
      <x:c r="H45" s="32" t="str">
        <x:v>CURRENT</x:v>
      </x:c>
      <x:c r="I45" s="32" t="str"/>
      <x:c r="J45" s="32" t="str">
        <x:v>Conditional theft of a creature with tap/untap restrictions; timing matters.</x:v>
      </x:c>
    </x:row>
    <x:row r="46">
      <x:c r="A46" s="36" t="n">
        <x:v>1</x:v>
      </x:c>
      <x:c r="B46" s="32" t="str">
        <x:v>Leyline of Resonance</x:v>
      </x:c>
      <x:c r="C46" s="32" t="str">
        <x:v>DSK 143</x:v>
      </x:c>
      <x:c r="D46" s="32" t="str">
        <x:v>Enchantment</x:v>
      </x:c>
      <x:c r="E46" s="36" t="n">
        <x:v>2</x:v>
      </x:c>
      <x:c r="F46" s="32" t="str">
        <x:v>5. Copy / clone / spell manipulation</x:v>
      </x:c>
      <x:c r="G46" s="32" t="str">
        <x:v>Copies instant/sorcery spells that target only a creature you control; relevant to Fated Infatuation/Quasiduplicate, but narrow.</x:v>
      </x:c>
      <x:c r="H46" s="32" t="str">
        <x:v>CURRENT</x:v>
      </x:c>
      <x:c r="I46" s="32" t="str"/>
      <x:c r="J46" s="32" t="str">
        <x:v>Copies instant/sorcery spells that target only a creature you control; relevant to Fated Infatuation/Quasiduplicate, but narrow.</x:v>
      </x:c>
    </x:row>
    <x:row r="47">
      <x:c r="A47" s="36" t="n">
        <x:v>1</x:v>
      </x:c>
      <x:c r="B47" s="32" t="str">
        <x:v>Malevolent Hermit</x:v>
      </x:c>
      <x:c r="C47" s="32" t="str">
        <x:v>MID 61</x:v>
      </x:c>
      <x:c r="D47" s="32" t="str">
        <x:v>Creature</x:v>
      </x:c>
      <x:c r="E47" s="36" t="n">
        <x:v>2</x:v>
      </x:c>
      <x:c r="F47" s="32" t="str">
        <x:v>7. Zara engine — haste / protection / retain theft</x:v>
      </x:c>
      <x:c r="G47" s="32" t="str">
        <x:v>Role classified by deck context; evaluate via playtests.</x:v>
      </x:c>
      <x:c r="H47" s="32" t="str">
        <x:v>CURRENT</x:v>
      </x:c>
      <x:c r="I47" s="32" t="str"/>
      <x:c r="J47" s="32" t="str">
        <x:v>Assess fit against theft/control identity; no specific pet status inferred.</x:v>
      </x:c>
    </x:row>
    <x:row r="48">
      <x:c r="A48" s="36" t="n">
        <x:v>1</x:v>
      </x:c>
      <x:c r="B48" s="32" t="str">
        <x:v>Mana Leak</x:v>
      </x:c>
      <x:c r="C48" s="32" t="str">
        <x:v>9ED 86</x:v>
      </x:c>
      <x:c r="D48" s="32" t="str">
        <x:v>Instant</x:v>
      </x:c>
      <x:c r="E48" s="36" t="n">
        <x:v>2</x:v>
      </x:c>
      <x:c r="F48" s="32" t="str">
        <x:v>6. Interaction — counters / removal / resets</x:v>
      </x:c>
      <x:c r="G48" s="32" t="str">
        <x:v>Role classified by deck context; evaluate via playtests.</x:v>
      </x:c>
      <x:c r="H48" s="32" t="str">
        <x:v>CURRENT</x:v>
      </x:c>
      <x:c r="I48" s="32" t="str"/>
      <x:c r="J48" s="32" t="str">
        <x:v>Assess fit against theft/control identity; no specific pet status inferred.</x:v>
      </x:c>
    </x:row>
    <x:row r="49">
      <x:c r="A49" s="36" t="n">
        <x:v>1</x:v>
      </x:c>
      <x:c r="B49" s="32" t="str">
        <x:v>Mass Manipulation</x:v>
      </x:c>
      <x:c r="C49" s="32" t="str">
        <x:v>RNA 42</x:v>
      </x:c>
      <x:c r="D49" s="32" t="str">
        <x:v>Sorcery</x:v>
      </x:c>
      <x:c r="E49" s="36" t="n">
        <x:v>4</x:v>
      </x:c>
      <x:c r="F49" s="32" t="str">
        <x:v>4. Theft — permanent / control</x:v>
      </x:c>
      <x:c r="G49" s="32" t="str">
        <x:v>Role classified by deck context; evaluate via playtests.</x:v>
      </x:c>
      <x:c r="H49" s="32" t="str">
        <x:v>CURRENT</x:v>
      </x:c>
      <x:c r="I49" s="32" t="str"/>
      <x:c r="J49" s="32" t="str">
        <x:v>Assess fit against theft/control identity; no specific pet status inferred.</x:v>
      </x:c>
    </x:row>
    <x:row r="50">
      <x:c r="A50" s="36" t="n">
        <x:v>1</x:v>
      </x:c>
      <x:c r="B50" s="32" t="str">
        <x:v>Midnight Clock</x:v>
      </x:c>
      <x:c r="C50" s="32" t="str">
        <x:v>WOC 99</x:v>
      </x:c>
      <x:c r="D50" s="32" t="str">
        <x:v>Artifact</x:v>
      </x:c>
      <x:c r="E50" s="36" t="n">
        <x:v>3</x:v>
      </x:c>
      <x:c r="F50" s="32" t="str">
        <x:v>2. Draw + selection</x:v>
      </x:c>
      <x:c r="G50" s="32" t="str">
        <x:v>Early ramp and a late wheel; fits a slower Izzet value plan, though three-mana ramp is not fast.</x:v>
      </x:c>
      <x:c r="H50" s="32" t="str">
        <x:v>CURRENT</x:v>
      </x:c>
      <x:c r="I50" s="32" t="str"/>
      <x:c r="J50" s="32" t="str">
        <x:v>Early ramp and a late wheel; fits a slower Izzet value plan, though three-mana ramp is not fast.</x:v>
      </x:c>
    </x:row>
    <x:row r="51">
      <x:c r="A51" s="36" t="n">
        <x:v>1</x:v>
      </x:c>
      <x:c r="B51" s="32" t="str">
        <x:v>Mind Control</x:v>
      </x:c>
      <x:c r="C51" s="32" t="str">
        <x:v>DCI 30</x:v>
      </x:c>
      <x:c r="D51" s="32" t="str">
        <x:v>Enchantment</x:v>
      </x:c>
      <x:c r="E51" s="36" t="n">
        <x:v>5</x:v>
      </x:c>
      <x:c r="F51" s="32" t="str">
        <x:v>4. Theft — permanent / control</x:v>
      </x:c>
      <x:c r="G51" s="32" t="str">
        <x:v>Straightforward permanent creature theft, but costs five mana and is vulnerable to enchantment removal.</x:v>
      </x:c>
      <x:c r="H51" s="32" t="str">
        <x:v>CURRENT</x:v>
      </x:c>
      <x:c r="I51" s="32" t="str">
        <x:v>*F*</x:v>
      </x:c>
      <x:c r="J51" s="32" t="str">
        <x:v>Straightforward permanent creature theft, but costs five mana and is vulnerable to enchantment removal.</x:v>
      </x:c>
    </x:row>
    <x:row r="52">
      <x:c r="A52" s="36" t="n">
        <x:v>1</x:v>
      </x:c>
      <x:c r="B52" s="32" t="str">
        <x:v>Mirror Sheen</x:v>
      </x:c>
      <x:c r="C52" s="32" t="str">
        <x:v>EVE 105</x:v>
      </x:c>
      <x:c r="D52" s="32" t="str">
        <x:v>Enchantment</x:v>
      </x:c>
      <x:c r="E52" s="36" t="n">
        <x:v>3</x:v>
      </x:c>
      <x:c r="F52" s="32" t="str">
        <x:v>5. Copy / clone / spell manipulation</x:v>
      </x:c>
      <x:c r="G52" s="32" t="str">
        <x:v>Expensive, conditional copy effect for spells that target you or a permanent you control; flavorful but mana-intensive.</x:v>
      </x:c>
      <x:c r="H52" s="32" t="str">
        <x:v>CURRENT</x:v>
      </x:c>
      <x:c r="I52" s="32" t="str"/>
      <x:c r="J52" s="32" t="str">
        <x:v>Expensive, conditional copy effect for spells that target you or a permanent you control; flavorful but mana-intensive.</x:v>
      </x:c>
    </x:row>
    <x:row r="53">
      <x:c r="A53" s="36" t="n">
        <x:v>1</x:v>
      </x:c>
      <x:c r="B53" s="32" t="str">
        <x:v>Mirrormade</x:v>
      </x:c>
      <x:c r="C53" s="32" t="str">
        <x:v>ELD 55</x:v>
      </x:c>
      <x:c r="D53" s="32" t="str">
        <x:v>Enchantment</x:v>
      </x:c>
      <x:c r="E53" s="36" t="n">
        <x:v>3</x:v>
      </x:c>
      <x:c r="F53" s="32" t="str">
        <x:v>5. Copy / clone / spell manipulation</x:v>
      </x:c>
      <x:c r="G53" s="32" t="str">
        <x:v>Role classified by deck context; evaluate via playtests.</x:v>
      </x:c>
      <x:c r="H53" s="32" t="str">
        <x:v>CURRENT</x:v>
      </x:c>
      <x:c r="I53" s="32" t="str"/>
      <x:c r="J53" s="32" t="str">
        <x:v>Assess fit against theft/control identity; no specific pet status inferred.</x:v>
      </x:c>
    </x:row>
    <x:row r="54">
      <x:c r="A54" s="36" t="n">
        <x:v>1</x:v>
      </x:c>
      <x:c r="B54" s="32" t="str">
        <x:v>Mizzium Mortars</x:v>
      </x:c>
      <x:c r="C54" s="32" t="str">
        <x:v>CLB 803</x:v>
      </x:c>
      <x:c r="D54" s="32" t="str">
        <x:v>Sorcery</x:v>
      </x:c>
      <x:c r="E54" s="36" t="n">
        <x:v>2</x:v>
      </x:c>
      <x:c r="F54" s="32" t="str">
        <x:v>6. Interaction — counters / removal / resets</x:v>
      </x:c>
      <x:c r="G54" s="32" t="str">
        <x:v>Role classified by deck context; evaluate via playtests.</x:v>
      </x:c>
      <x:c r="H54" s="32" t="str">
        <x:v>CURRENT</x:v>
      </x:c>
      <x:c r="I54" s="32" t="str"/>
      <x:c r="J54" s="32" t="str">
        <x:v>Assess fit against theft/control identity; no specific pet status inferred.</x:v>
      </x:c>
    </x:row>
    <x:row r="55">
      <x:c r="A55" s="36" t="n">
        <x:v>1</x:v>
      </x:c>
      <x:c r="B55" s="32" t="str">
        <x:v>Mob Rule</x:v>
      </x:c>
      <x:c r="C55" s="32" t="str">
        <x:v>VOC 147</x:v>
      </x:c>
      <x:c r="D55" s="32" t="str">
        <x:v>Sorcery</x:v>
      </x:c>
      <x:c r="E55" s="36" t="n">
        <x:v>6</x:v>
      </x:c>
      <x:c r="F55" s="32" t="str">
        <x:v>3. Theft — temporary / combat</x:v>
      </x:c>
      <x:c r="G55" s="32" t="str">
        <x:v>Mass theft / combat finisher</x:v>
      </x:c>
      <x:c r="H55" s="32" t="str">
        <x:v>CURRENT</x:v>
      </x:c>
      <x:c r="I55" s="32" t="str"/>
      <x:c r="J55" s="32" t="str">
        <x:v>Mass-theft finisher; choose the power threshold according to the board. Explosive with combat or sacrifice outlets.</x:v>
      </x:c>
    </x:row>
    <x:row r="56">
      <x:c r="A56" s="36" t="n">
        <x:v>8</x:v>
      </x:c>
      <x:c r="B56" s="32" t="str">
        <x:v>Mountain</x:v>
      </x:c>
      <x:c r="C56" s="32" t="str">
        <x:v>SHM 297</x:v>
      </x:c>
      <x:c r="D56" s="32" t="str">
        <x:v>Land</x:v>
      </x:c>
      <x:c r="E56" s="36" t="n">
        <x:v>0</x:v>
      </x:c>
      <x:c r="F56" s="32" t="str">
        <x:v>1. Ramp + mana base</x:v>
      </x:c>
      <x:c r="G56" s="32" t="str">
        <x:v>Role classified by deck context; evaluate via playtests.</x:v>
      </x:c>
      <x:c r="H56" s="32" t="str">
        <x:v>CURRENT</x:v>
      </x:c>
      <x:c r="I56" s="32" t="str">
        <x:v>*F*</x:v>
      </x:c>
      <x:c r="J56" s="32" t="str">
        <x:v>Assess fit against theft/control identity; no specific pet status inferred.</x:v>
      </x:c>
    </x:row>
    <x:row r="57">
      <x:c r="A57" s="36" t="n">
        <x:v>1</x:v>
      </x:c>
      <x:c r="B57" s="32" t="str">
        <x:v>Myriad Landscape</x:v>
      </x:c>
      <x:c r="C57" s="32" t="str">
        <x:v>VOC 176</x:v>
      </x:c>
      <x:c r="D57" s="32" t="str">
        <x:v>Land</x:v>
      </x:c>
      <x:c r="E57" s="36" t="n">
        <x:v>0</x:v>
      </x:c>
      <x:c r="F57" s="32" t="str">
        <x:v>1. Ramp + mana base</x:v>
      </x:c>
      <x:c r="G57" s="32" t="str">
        <x:v>Role classified by deck context; evaluate via playtests.</x:v>
      </x:c>
      <x:c r="H57" s="32" t="str">
        <x:v>CURRENT</x:v>
      </x:c>
      <x:c r="I57" s="32" t="str"/>
      <x:c r="J57" s="32" t="str">
        <x:v>Assess fit against theft/control identity; no specific pet status inferred.</x:v>
      </x:c>
    </x:row>
    <x:row r="58">
      <x:c r="A58" s="36" t="n">
        <x:v>1</x:v>
      </x:c>
      <x:c r="B58" s="32" t="str">
        <x:v>Negate</x:v>
      </x:c>
      <x:c r="C58" s="32" t="str">
        <x:v>M14 64</x:v>
      </x:c>
      <x:c r="D58" s="32" t="str">
        <x:v>Instant</x:v>
      </x:c>
      <x:c r="E58" s="36" t="n">
        <x:v>2</x:v>
      </x:c>
      <x:c r="F58" s="32" t="str">
        <x:v>6. Interaction — counters / removal / resets</x:v>
      </x:c>
      <x:c r="G58" s="32" t="str">
        <x:v>Role classified by deck context; evaluate via playtests.</x:v>
      </x:c>
      <x:c r="H58" s="32" t="str">
        <x:v>CURRENT</x:v>
      </x:c>
      <x:c r="I58" s="32" t="str"/>
      <x:c r="J58" s="32" t="str">
        <x:v>Assess fit against theft/control identity; no specific pet status inferred.</x:v>
      </x:c>
    </x:row>
    <x:row r="59">
      <x:c r="A59" s="36" t="n">
        <x:v>1</x:v>
      </x:c>
      <x:c r="B59" s="32" t="str">
        <x:v>Nevinyrral's Disk</x:v>
      </x:c>
      <x:c r="C59" s="32" t="str">
        <x:v>MH2 298</x:v>
      </x:c>
      <x:c r="D59" s="32" t="str">
        <x:v>Artifact</x:v>
      </x:c>
      <x:c r="E59" s="36" t="n">
        <x:v>4</x:v>
      </x:c>
      <x:c r="F59" s="32" t="str">
        <x:v>6. Interaction — counters / removal / resets</x:v>
      </x:c>
      <x:c r="G59" s="32" t="str">
        <x:v>Slow broad reset; useful as emergency catch-up but can wipe your own artifacts and enchantments.</x:v>
      </x:c>
      <x:c r="H59" s="32" t="str">
        <x:v>CURRENT</x:v>
      </x:c>
      <x:c r="I59" s="32" t="str"/>
      <x:c r="J59" s="32" t="str">
        <x:v>Slow broad reset; useful as emergency catch-up but can wipe your own artifacts and enchantments.</x:v>
      </x:c>
    </x:row>
    <x:row r="60">
      <x:c r="A60" s="36" t="n">
        <x:v>1</x:v>
      </x:c>
      <x:c r="B60" s="32" t="str">
        <x:v>Niv-Mizzet, Parun</x:v>
      </x:c>
      <x:c r="C60" s="32" t="str">
        <x:v>GRN 192</x:v>
      </x:c>
      <x:c r="D60" s="32" t="str">
        <x:v>Creature</x:v>
      </x:c>
      <x:c r="E60" s="36" t="n">
        <x:v>6</x:v>
      </x:c>
      <x:c r="F60" s="32" t="str">
        <x:v>8. Finishers / tax / utility</x:v>
      </x:c>
      <x:c r="G60" s="32" t="str">
        <x:v>Card draw / damage / Curiosity combo</x:v>
      </x:c>
      <x:c r="H60" s="32" t="str">
        <x:v>CURRENT</x:v>
      </x:c>
      <x:c r="I60" s="32" t="str"/>
      <x:c r="J60" s="32" t="str">
        <x:v>Draw/damage engine and Curiosity combo piece; demanding UUU/RR mana cost needs support.</x:v>
      </x:c>
    </x:row>
    <x:row r="61">
      <x:c r="A61" s="36" t="n">
        <x:v>1</x:v>
      </x:c>
      <x:c r="B61" s="32" t="str">
        <x:v>Niv-Mizzet, the Firemind</x:v>
      </x:c>
      <x:c r="C61" s="32" t="str">
        <x:v>DDJ 1</x:v>
      </x:c>
      <x:c r="D61" s="32" t="str">
        <x:v>Creature</x:v>
      </x:c>
      <x:c r="E61" s="36" t="n">
        <x:v>6</x:v>
      </x:c>
      <x:c r="F61" s="32" t="str">
        <x:v>8. Finishers / tax / utility</x:v>
      </x:c>
      <x:c r="G61" s="32" t="str">
        <x:v>Damage draw / Curiosity combo</x:v>
      </x:c>
      <x:c r="H61" s="32" t="str">
        <x:v>CURRENT</x:v>
      </x:c>
      <x:c r="I61" s="32" t="str">
        <x:v>*F*</x:v>
      </x:c>
      <x:c r="J61" s="32" t="str">
        <x:v>Curiosity combo piece. Alternate finish, while acknowledging the secondary spellslinger package.</x:v>
      </x:c>
    </x:row>
    <x:row r="62">
      <x:c r="A62" s="36" t="n">
        <x:v>1</x:v>
      </x:c>
      <x:c r="B62" s="32" t="str">
        <x:v>Order of Succession</x:v>
      </x:c>
      <x:c r="C62" s="32" t="str">
        <x:v>C13 52</x:v>
      </x:c>
      <x:c r="D62" s="32" t="str">
        <x:v>Sorcery</x:v>
      </x:c>
      <x:c r="E62" s="36" t="n">
        <x:v>4</x:v>
      </x:c>
      <x:c r="F62" s="32" t="str">
        <x:v>4. Theft — permanent / control</x:v>
      </x:c>
      <x:c r="G62" s="32" t="str">
        <x:v>Political control exchange</x:v>
      </x:c>
      <x:c r="H62" s="32" t="str">
        <x:v>CURRENT</x:v>
      </x:c>
      <x:c r="I62" s="32" t="str"/>
      <x:c r="J62" s="32" t="str">
        <x:v>Politically interesting control exchange; outcome depends on turn order and choices.</x:v>
      </x:c>
    </x:row>
    <x:row r="63">
      <x:c r="A63" s="36" t="n">
        <x:v>1</x:v>
      </x:c>
      <x:c r="B63" s="32" t="str">
        <x:v>Parallel Thoughts</x:v>
      </x:c>
      <x:c r="C63" s="32" t="str">
        <x:v>SCG 44</x:v>
      </x:c>
      <x:c r="D63" s="32" t="str">
        <x:v>Sorcery</x:v>
      </x:c>
      <x:c r="E63" s="36" t="n">
        <x:v>5</x:v>
      </x:c>
      <x:c r="F63" s="32" t="str">
        <x:v>2. Draw + selection</x:v>
      </x:c>
      <x:c r="G63" s="32" t="str">
        <x:v>Slow setup with delayed access to a curated pile; inefficient compared with cheaper selection/draw.</x:v>
      </x:c>
      <x:c r="H63" s="32" t="str">
        <x:v>CURRENT</x:v>
      </x:c>
      <x:c r="I63" s="32" t="str"/>
      <x:c r="J63" s="32" t="str">
        <x:v>Slow setup with delayed access to a curated pile; inefficient compared with cheaper selection/draw.</x:v>
      </x:c>
    </x:row>
    <x:row r="64">
      <x:c r="A64" s="36" t="n">
        <x:v>1</x:v>
      </x:c>
      <x:c r="B64" s="32" t="str">
        <x:v>Propaganda</x:v>
      </x:c>
      <x:c r="C64" s="32" t="str">
        <x:v>ACR 85</x:v>
      </x:c>
      <x:c r="D64" s="32" t="str">
        <x:v>Enchantment</x:v>
      </x:c>
      <x:c r="E64" s="36" t="n">
        <x:v>3</x:v>
      </x:c>
      <x:c r="F64" s="32" t="str">
        <x:v>8. Finishers / tax / utility</x:v>
      </x:c>
      <x:c r="G64" s="32" t="str">
        <x:v>Tax / deterrent</x:v>
      </x:c>
      <x:c r="H64" s="32" t="str">
        <x:v>CURRENT</x:v>
      </x:c>
      <x:c r="I64" s="32" t="str"/>
      <x:c r="J64" s="32" t="str">
        <x:v>Taxes attacks toward you; protects setup but doesn't directly advance theft.</x:v>
      </x:c>
    </x:row>
    <x:row r="65">
      <x:c r="A65" s="36" t="n">
        <x:v>1</x:v>
      </x:c>
      <x:c r="B65" s="32" t="str">
        <x:v>Quasiduplicate</x:v>
      </x:c>
      <x:c r="C65" s="32" t="str">
        <x:v>RVR 55</x:v>
      </x:c>
      <x:c r="D65" s="32" t="str">
        <x:v>Sorcery</x:v>
      </x:c>
      <x:c r="E65" s="36" t="n">
        <x:v>3</x:v>
      </x:c>
      <x:c r="F65" s="32" t="str">
        <x:v>5. Copy / clone / spell manipulation</x:v>
      </x:c>
      <x:c r="G65" s="32" t="str">
        <x:v>Repeatable copy spell with jump-start; can copy borrowed creatures, but is normally sorcery-speed.</x:v>
      </x:c>
      <x:c r="H65" s="32" t="str">
        <x:v>CURRENT</x:v>
      </x:c>
      <x:c r="I65" s="32" t="str">
        <x:v>*F*</x:v>
      </x:c>
      <x:c r="J65" s="32" t="str">
        <x:v>Repeatable copy spell with jump-start; can copy borrowed creatures, but is normally sorcery-speed.</x:v>
      </x:c>
    </x:row>
    <x:row r="66">
      <x:c r="A66" s="36" t="n">
        <x:v>1</x:v>
      </x:c>
      <x:c r="B66" s="32" t="str">
        <x:v>Redirect</x:v>
      </x:c>
      <x:c r="C66" s="32" t="str">
        <x:v>M13 64</x:v>
      </x:c>
      <x:c r="D66" s="32" t="str">
        <x:v>Instant</x:v>
      </x:c>
      <x:c r="E66" s="36" t="n">
        <x:v>2</x:v>
      </x:c>
      <x:c r="F66" s="32" t="str">
        <x:v>5. Copy / clone / spell manipulation</x:v>
      </x:c>
      <x:c r="G66" s="32" t="str">
        <x:v>Changes a spell's targets, subject to legal-target rules. Political trick, not a broad counterspell.</x:v>
      </x:c>
      <x:c r="H66" s="32" t="str">
        <x:v>CURRENT</x:v>
      </x:c>
      <x:c r="I66" s="32" t="str"/>
      <x:c r="J66" s="32" t="str">
        <x:v>Changes a spell's targets, subject to legal-target rules. Political trick, not a broad counterspell.</x:v>
      </x:c>
    </x:row>
    <x:row r="67">
      <x:c r="A67" s="36" t="n">
        <x:v>1</x:v>
      </x:c>
      <x:c r="B67" s="32" t="str">
        <x:v>Reliquary Tower</x:v>
      </x:c>
      <x:c r="C67" s="32" t="str">
        <x:v>CMM 425</x:v>
      </x:c>
      <x:c r="D67" s="32" t="str">
        <x:v>Land</x:v>
      </x:c>
      <x:c r="E67" s="36" t="n">
        <x:v>0</x:v>
      </x:c>
      <x:c r="F67" s="32" t="str">
        <x:v>1. Ramp + mana base</x:v>
      </x:c>
      <x:c r="G67" s="32" t="str">
        <x:v>Role classified by deck context; evaluate via playtests.</x:v>
      </x:c>
      <x:c r="H67" s="32" t="str">
        <x:v>CURRENT</x:v>
      </x:c>
      <x:c r="I67" s="32" t="str"/>
      <x:c r="J67" s="32" t="str">
        <x:v>Assess fit against theft/control identity; no specific pet status inferred.</x:v>
      </x:c>
    </x:row>
    <x:row r="68">
      <x:c r="A68" s="36" t="n">
        <x:v>1</x:v>
      </x:c>
      <x:c r="B68" s="32" t="str">
        <x:v>Rhystic Study</x:v>
      </x:c>
      <x:c r="C68" s="32" t="str">
        <x:v>PCY 45</x:v>
      </x:c>
      <x:c r="D68" s="32" t="str">
        <x:v>Enchantment</x:v>
      </x:c>
      <x:c r="E68" s="36" t="n">
        <x:v>3</x:v>
      </x:c>
      <x:c r="F68" s="32" t="str">
        <x:v>2. Draw + selection</x:v>
      </x:c>
      <x:c r="G68" s="32" t="str">
        <x:v>Important ongoing card advantage; helps keep mana available for reactive plays.</x:v>
      </x:c>
      <x:c r="H68" s="32" t="str">
        <x:v>CURRENT</x:v>
      </x:c>
      <x:c r="I68" s="32" t="str"/>
      <x:c r="J68" s="32" t="str">
        <x:v>Important ongoing card advantage; helps keep mana available for reactive plays.</x:v>
      </x:c>
    </x:row>
    <x:row r="69">
      <x:c r="A69" s="36" t="n">
        <x:v>1</x:v>
      </x:c>
      <x:c r="B69" s="32" t="str">
        <x:v>Run Away Together</x:v>
      </x:c>
      <x:c r="C69" s="32" t="str">
        <x:v>CLB 92</x:v>
      </x:c>
      <x:c r="D69" s="32" t="str">
        <x:v>Instant</x:v>
      </x:c>
      <x:c r="E69" s="36" t="n">
        <x:v>2</x:v>
      </x:c>
      <x:c r="F69" s="32" t="str">
        <x:v>6. Interaction — counters / removal / resets</x:v>
      </x:c>
      <x:c r="G69" s="32" t="str">
        <x:v>Role classified by deck context; evaluate via playtests.</x:v>
      </x:c>
      <x:c r="H69" s="32" t="str">
        <x:v>CURRENT</x:v>
      </x:c>
      <x:c r="I69" s="32" t="str"/>
      <x:c r="J69" s="32" t="str">
        <x:v>Assess fit against theft/control identity; no specific pet status inferred.</x:v>
      </x:c>
    </x:row>
    <x:row r="70">
      <x:c r="A70" s="36" t="n">
        <x:v>1</x:v>
      </x:c>
      <x:c r="B70" s="32" t="str">
        <x:v>Sakashima's Will</x:v>
      </x:c>
      <x:c r="C70" s="32" t="str">
        <x:v>CMR 91</x:v>
      </x:c>
      <x:c r="D70" s="32" t="str">
        <x:v>Sorcery</x:v>
      </x:c>
      <x:c r="E70" s="36" t="n">
        <x:v>4</x:v>
      </x:c>
      <x:c r="F70" s="32" t="str">
        <x:v>5. Copy / clone / spell manipulation</x:v>
      </x:c>
      <x:c r="G70" s="32" t="str">
        <x:v>Role classified by deck context; evaluate via playtests.</x:v>
      </x:c>
      <x:c r="H70" s="32" t="str">
        <x:v>CURRENT</x:v>
      </x:c>
      <x:c r="I70" s="32" t="str"/>
      <x:c r="J70" s="32" t="str">
        <x:v>Assess fit against theft/control identity; no specific pet status inferred.</x:v>
      </x:c>
    </x:row>
    <x:row r="71">
      <x:c r="A71" s="36" t="n">
        <x:v>1</x:v>
      </x:c>
      <x:c r="B71" s="32" t="str">
        <x:v>Sensei's Divining Top</x:v>
      </x:c>
      <x:c r="C71" s="32" t="str">
        <x:v>2X2 398</x:v>
      </x:c>
      <x:c r="D71" s="32" t="str">
        <x:v>Artifact</x:v>
      </x:c>
      <x:c r="E71" s="36" t="n">
        <x:v>1</x:v>
      </x:c>
      <x:c r="F71" s="32" t="str">
        <x:v>2. Draw + selection</x:v>
      </x:c>
      <x:c r="G71" s="32" t="str">
        <x:v>Card selection, but not true card advantage and requires mana to use repeatedly.</x:v>
      </x:c>
      <x:c r="H71" s="32" t="str">
        <x:v>CURRENT</x:v>
      </x:c>
      <x:c r="I71" s="32" t="str">
        <x:v>*F*</x:v>
      </x:c>
      <x:c r="J71" s="32" t="str">
        <x:v>Card selection, but not true card advantage and requires mana to use repeatedly.</x:v>
      </x:c>
    </x:row>
    <x:row r="72">
      <x:c r="A72" s="36" t="n">
        <x:v>1</x:v>
      </x:c>
      <x:c r="B72" s="32" t="str">
        <x:v>Silundi Vision</x:v>
      </x:c>
      <x:c r="C72" s="32" t="str">
        <x:v>ZNR 80</x:v>
      </x:c>
      <x:c r="D72" s="32" t="str">
        <x:v>MDFC — Sorcery/Land</x:v>
      </x:c>
      <x:c r="E72" s="36" t="n">
        <x:v>3</x:v>
      </x:c>
      <x:c r="F72" s="32" t="str">
        <x:v>2. Draw + selection</x:v>
      </x:c>
      <x:c r="G72" s="32" t="str">
        <x:v>Selection spell or tapped land</x:v>
      </x:c>
      <x:c r="H72" s="32" t="str">
        <x:v>CURRENT</x:v>
      </x:c>
      <x:c r="I72" s="32" t="str"/>
      <x:c r="J72" s="32" t="str">
        <x:v>Assess fit against theft/control identity; no specific pet status inferred.</x:v>
      </x:c>
    </x:row>
    <x:row r="73">
      <x:c r="A73" s="36" t="n">
        <x:v>1</x:v>
      </x:c>
      <x:c r="B73" s="32" t="str">
        <x:v>Smoke</x:v>
      </x:c>
      <x:c r="C73" s="32" t="str">
        <x:v>4ED 222</x:v>
      </x:c>
      <x:c r="D73" s="32" t="str">
        <x:v>Enchantment</x:v>
      </x:c>
      <x:c r="E73" s="36" t="n">
        <x:v>2</x:v>
      </x:c>
      <x:c r="F73" s="32" t="str">
        <x:v>8. Finishers / tax / utility</x:v>
      </x:c>
      <x:c r="G73" s="32" t="str">
        <x:v>Symmetrical untap restriction. Risks suppressing your own creatures and game flow; cut candidate.</x:v>
      </x:c>
      <x:c r="H73" s="32" t="str">
        <x:v>CURRENT</x:v>
      </x:c>
      <x:c r="I73" s="32" t="str"/>
      <x:c r="J73" s="32" t="str">
        <x:v>Symmetrical untap restriction. Risks suppressing your own creatures and game flow; cut candidate.</x:v>
      </x:c>
    </x:row>
    <x:row r="74">
      <x:c r="A74" s="36" t="n">
        <x:v>1</x:v>
      </x:c>
      <x:c r="B74" s="32" t="str">
        <x:v>Sol Ring</x:v>
      </x:c>
      <x:c r="C74" s="32" t="str">
        <x:v>CMR 472</x:v>
      </x:c>
      <x:c r="D74" s="32" t="str">
        <x:v>Artifact</x:v>
      </x:c>
      <x:c r="E74" s="36" t="n">
        <x:v>1</x:v>
      </x:c>
      <x:c r="F74" s="32" t="str">
        <x:v>1. Ramp + mana base</x:v>
      </x:c>
      <x:c r="G74" s="32" t="str">
        <x:v>Role classified by deck context; evaluate via playtests.</x:v>
      </x:c>
      <x:c r="H74" s="32" t="str">
        <x:v>CURRENT</x:v>
      </x:c>
      <x:c r="I74" s="32" t="str"/>
      <x:c r="J74" s="32" t="str">
        <x:v>Assess fit against theft/control identity; no specific pet status inferred.</x:v>
      </x:c>
    </x:row>
    <x:row r="75">
      <x:c r="A75" s="36" t="n">
        <x:v>1</x:v>
      </x:c>
      <x:c r="B75" s="32" t="str">
        <x:v>Sphinx of the Second Sun</x:v>
      </x:c>
      <x:c r="C75" s="32" t="str">
        <x:v>CMR 99</x:v>
      </x:c>
      <x:c r="D75" s="32" t="str">
        <x:v>Creature</x:v>
      </x:c>
      <x:c r="E75" s="36" t="n">
        <x:v>8</x:v>
      </x:c>
      <x:c r="F75" s="32" t="str">
        <x:v>8. Finishers / tax / utility</x:v>
      </x:c>
      <x:c r="G75" s="32" t="str">
        <x:v>Role classified by deck context; evaluate via playtests.</x:v>
      </x:c>
      <x:c r="H75" s="32" t="str">
        <x:v>CURRENT</x:v>
      </x:c>
      <x:c r="I75" s="32" t="str"/>
      <x:c r="J75" s="32" t="str">
        <x:v>Assess fit against theft/control identity; no specific pet status inferred.</x:v>
      </x:c>
    </x:row>
    <x:row r="76">
      <x:c r="A76" s="36" t="n">
        <x:v>1</x:v>
      </x:c>
      <x:c r="B76" s="32" t="str">
        <x:v>Steal Enchantment</x:v>
      </x:c>
      <x:c r="C76" s="32" t="str">
        <x:v>TMP 90</x:v>
      </x:c>
      <x:c r="D76" s="32" t="str">
        <x:v>Enchantment</x:v>
      </x:c>
      <x:c r="E76" s="36" t="n">
        <x:v>3</x:v>
      </x:c>
      <x:c r="F76" s="32" t="str">
        <x:v>4. Theft — permanent / control</x:v>
      </x:c>
      <x:c r="G76" s="32" t="str">
        <x:v>Niche, but directly on-theme: takes an opposing enchantment.</x:v>
      </x:c>
      <x:c r="H76" s="32" t="str">
        <x:v>CURRENT</x:v>
      </x:c>
      <x:c r="I76" s="32" t="str"/>
      <x:c r="J76" s="32" t="str">
        <x:v>Niche, but directly on-theme: takes an opposing enchantment.</x:v>
      </x:c>
    </x:row>
    <x:row r="77">
      <x:c r="A77" s="36" t="n">
        <x:v>1</x:v>
      </x:c>
      <x:c r="B77" s="32" t="str">
        <x:v>Supreme Will</x:v>
      </x:c>
      <x:c r="C77" s="32" t="str">
        <x:v>CMR 102</x:v>
      </x:c>
      <x:c r="D77" s="32" t="str">
        <x:v>Instant</x:v>
      </x:c>
      <x:c r="E77" s="36" t="n">
        <x:v>3</x:v>
      </x:c>
      <x:c r="F77" s="32" t="str">
        <x:v>6. Interaction — counters / removal / resets</x:v>
      </x:c>
      <x:c r="G77" s="32" t="str">
        <x:v>Role classified by deck context; evaluate via playtests.</x:v>
      </x:c>
      <x:c r="H77" s="32" t="str">
        <x:v>CURRENT</x:v>
      </x:c>
      <x:c r="I77" s="32" t="str"/>
      <x:c r="J77" s="32" t="str">
        <x:v>Assess fit against theft/control identity; no specific pet status inferred.</x:v>
      </x:c>
    </x:row>
    <x:row r="78">
      <x:c r="A78" s="36" t="n">
        <x:v>1</x:v>
      </x:c>
      <x:c r="B78" s="32" t="str">
        <x:v>Talisman of Creativity</x:v>
      </x:c>
      <x:c r="C78" s="32" t="str">
        <x:v>CLB 876</x:v>
      </x:c>
      <x:c r="D78" s="32" t="str">
        <x:v>Artifact</x:v>
      </x:c>
      <x:c r="E78" s="36" t="n">
        <x:v>2</x:v>
      </x:c>
      <x:c r="F78" s="32" t="str">
        <x:v>1. Ramp + mana base</x:v>
      </x:c>
      <x:c r="G78" s="32" t="str">
        <x:v>Role classified by deck context; evaluate via playtests.</x:v>
      </x:c>
      <x:c r="H78" s="32" t="str">
        <x:v>CURRENT</x:v>
      </x:c>
      <x:c r="I78" s="32" t="str"/>
      <x:c r="J78" s="32" t="str">
        <x:v>Assess fit against theft/control identity; no specific pet status inferred.</x:v>
      </x:c>
    </x:row>
    <x:row r="79">
      <x:c r="A79" s="36" t="n">
        <x:v>1</x:v>
      </x:c>
      <x:c r="B79" s="32" t="str">
        <x:v>Telepathy</x:v>
      </x:c>
      <x:c r="C79" s="32" t="str">
        <x:v>8ED 105</x:v>
      </x:c>
      <x:c r="D79" s="32" t="str">
        <x:v>Enchantment</x:v>
      </x:c>
      <x:c r="E79" s="36" t="n">
        <x:v>1</x:v>
      </x:c>
      <x:c r="F79" s="32" t="str">
        <x:v>7. Zara engine — haste / protection / retain theft</x:v>
      </x:c>
      <x:c r="G79" s="32" t="str">
        <x:v>Information advantage / target selection</x:v>
      </x:c>
      <x:c r="H79" s="32" t="str">
        <x:v>CURRENT</x:v>
      </x:c>
      <x:c r="I79" s="32" t="str"/>
      <x:c r="J79" s="32" t="str">
        <x:v>Reveals all opponents' hands, improving Zara target selection and creating political information.</x:v>
      </x:c>
    </x:row>
    <x:row r="80">
      <x:c r="A80" s="36" t="n">
        <x:v>1</x:v>
      </x:c>
      <x:c r="B80" s="32" t="str">
        <x:v>Temple of Epiphany</x:v>
      </x:c>
      <x:c r="C80" s="32" t="str">
        <x:v>CLB 923</x:v>
      </x:c>
      <x:c r="D80" s="32" t="str">
        <x:v>Land</x:v>
      </x:c>
      <x:c r="E80" s="36" t="n">
        <x:v>0</x:v>
      </x:c>
      <x:c r="F80" s="32" t="str">
        <x:v>1. Ramp + mana base</x:v>
      </x:c>
      <x:c r="G80" s="32" t="str">
        <x:v>Role classified by deck context; evaluate via playtests.</x:v>
      </x:c>
      <x:c r="H80" s="32" t="str">
        <x:v>CURRENT</x:v>
      </x:c>
      <x:c r="I80" s="32" t="str"/>
      <x:c r="J80" s="32" t="str">
        <x:v>Assess fit against theft/control identity; no specific pet status inferred.</x:v>
      </x:c>
    </x:row>
    <x:row r="81">
      <x:c r="A81" s="36" t="n">
        <x:v>1</x:v>
      </x:c>
      <x:c r="B81" s="32" t="str">
        <x:v>Temple of the False God</x:v>
      </x:c>
      <x:c r="C81" s="32" t="str">
        <x:v>VOC 187</x:v>
      </x:c>
      <x:c r="D81" s="32" t="str">
        <x:v>Land</x:v>
      </x:c>
      <x:c r="E81" s="36" t="n">
        <x:v>0</x:v>
      </x:c>
      <x:c r="F81" s="32" t="str">
        <x:v>1. Ramp + mana base</x:v>
      </x:c>
      <x:c r="G81" s="32" t="str">
        <x:v>Conditional mana source that is poor early, especially alongside only 31 physical lands.</x:v>
      </x:c>
      <x:c r="H81" s="32" t="str">
        <x:v>CURRENT</x:v>
      </x:c>
      <x:c r="I81" s="32" t="str"/>
      <x:c r="J81" s="32" t="str">
        <x:v>Conditional mana source that is poor early, especially alongside only 31 physical lands.</x:v>
      </x:c>
    </x:row>
    <x:row r="82">
      <x:c r="A82" s="36" t="n">
        <x:v>1</x:v>
      </x:c>
      <x:c r="B82" s="32" t="str">
        <x:v>Unwilling Recruit</x:v>
      </x:c>
      <x:c r="C82" s="32" t="str">
        <x:v>EVE 64</x:v>
      </x:c>
      <x:c r="D82" s="32" t="str">
        <x:v>Sorcery</x:v>
      </x:c>
      <x:c r="E82" s="36" t="n">
        <x:v>3</x:v>
      </x:c>
      <x:c r="F82" s="32" t="str">
        <x:v>3. Theft — temporary / combat</x:v>
      </x:c>
      <x:c r="G82" s="32" t="str">
        <x:v>Scalable temporary theft</x:v>
      </x:c>
      <x:c r="H82" s="32" t="str">
        <x:v>CURRENT</x:v>
      </x:c>
      <x:c r="I82" s="32" t="str"/>
      <x:c r="J82" s="32" t="str">
        <x:v>Scalable temporary theft with haste; triple-red pip can stress the mana base.</x:v>
      </x:c>
    </x:row>
    <x:row r="83">
      <x:c r="A83" s="36" t="n">
        <x:v>1</x:v>
      </x:c>
      <x:c r="B83" s="32" t="str">
        <x:v>Vadrik, Astral Archmage</x:v>
      </x:c>
      <x:c r="C83" s="32" t="str">
        <x:v>MID 248</x:v>
      </x:c>
      <x:c r="D83" s="32" t="str">
        <x:v>Creature</x:v>
      </x:c>
      <x:c r="E83" s="36" t="n">
        <x:v>3</x:v>
      </x:c>
      <x:c r="F83" s="32" t="str">
        <x:v>8. Finishers / tax / utility</x:v>
      </x:c>
      <x:c r="G83" s="32" t="str">
        <x:v>Spell cost reduction, but introduces another build-around subtheme and needs more spell-focused support.</x:v>
      </x:c>
      <x:c r="H83" s="32" t="str">
        <x:v>CURRENT</x:v>
      </x:c>
      <x:c r="I83" s="32" t="str"/>
      <x:c r="J83" s="32" t="str">
        <x:v>Spell cost reduction, but introduces another build-around subtheme and needs more spell-focused support.</x:v>
      </x:c>
    </x:row>
    <x:row r="84">
      <x:c r="A84" s="36" t="n">
        <x:v>1</x:v>
      </x:c>
      <x:c r="B84" s="32" t="str">
        <x:v>Vandalblast</x:v>
      </x:c>
      <x:c r="C84" s="32" t="str">
        <x:v>RTR 111</x:v>
      </x:c>
      <x:c r="D84" s="32" t="str">
        <x:v>Sorcery</x:v>
      </x:c>
      <x:c r="E84" s="36" t="n">
        <x:v>1</x:v>
      </x:c>
      <x:c r="F84" s="32" t="str">
        <x:v>6. Interaction — counters / removal / resets</x:v>
      </x:c>
      <x:c r="G84" s="32" t="str">
        <x:v>Artifact removal / overload wipe</x:v>
      </x:c>
      <x:c r="H84" s="32" t="str">
        <x:v>CURRENT</x:v>
      </x:c>
      <x:c r="I84" s="32" t="str"/>
      <x:c r="J84" s="32" t="str">
        <x:v>Assess fit against theft/control identity; no specific pet status inferred.</x:v>
      </x:c>
    </x:row>
    <x:row r="85">
      <x:c r="A85" s="36" t="n">
        <x:v>1</x:v>
      </x:c>
      <x:c r="B85" s="32" t="str">
        <x:v>Vivid Crag</x:v>
      </x:c>
      <x:c r="C85" s="32" t="str">
        <x:v>MMA 225</x:v>
      </x:c>
      <x:c r="D85" s="32" t="str">
        <x:v>Land</x:v>
      </x:c>
      <x:c r="E85" s="36" t="n">
        <x:v>0</x:v>
      </x:c>
      <x:c r="F85" s="32" t="str">
        <x:v>1. Ramp + mana base</x:v>
      </x:c>
      <x:c r="G85" s="32" t="str">
        <x:v>Enters tapped and has limited colored-charge flexibility; slower than untapped duals.</x:v>
      </x:c>
      <x:c r="H85" s="32" t="str">
        <x:v>CURRENT</x:v>
      </x:c>
      <x:c r="I85" s="32" t="str"/>
      <x:c r="J85" s="32" t="str">
        <x:v>Enters tapped and has limited colored-charge flexibility; slower than untapped duals.</x:v>
      </x:c>
    </x:row>
    <x:row r="86">
      <x:c r="A86" s="36" t="n">
        <x:v>1</x:v>
      </x:c>
      <x:c r="B86" s="32" t="str">
        <x:v>Vivid Creek</x:v>
      </x:c>
      <x:c r="C86" s="32" t="str">
        <x:v>MMA 226</x:v>
      </x:c>
      <x:c r="D86" s="32" t="str">
        <x:v>Land</x:v>
      </x:c>
      <x:c r="E86" s="36" t="n">
        <x:v>0</x:v>
      </x:c>
      <x:c r="F86" s="32" t="str">
        <x:v>1. Ramp + mana base</x:v>
      </x:c>
      <x:c r="G86" s="32" t="str">
        <x:v>Enters tapped and has limited colored-charge flexibility; slower than untapped duals.</x:v>
      </x:c>
      <x:c r="H86" s="32" t="str">
        <x:v>CURRENT</x:v>
      </x:c>
      <x:c r="I86" s="32" t="str"/>
      <x:c r="J86" s="32" t="str">
        <x:v>Enters tapped and has limited colored-charge flexibility; slower than untapped duals.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d1a48027117345e4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28" hidden="0" customWidth="1"/>
    <x:col min="3" max="3" width="15" hidden="0" customWidth="1"/>
    <x:col min="4" max="4" width="20" hidden="0" customWidth="1"/>
    <x:col min="5" max="5" width="10" hidden="0" customWidth="1"/>
    <x:col min="6" max="6" width="34" hidden="0" customWidth="1"/>
    <x:col min="7" max="7" width="38" hidden="0" customWidth="1"/>
    <x:col min="8" max="8" width="26" hidden="0" customWidth="1"/>
    <x:col min="9" max="9" width="15" hidden="0" customWidth="1"/>
    <x:col min="10" max="10" width="58" hidden="0" customWidth="1"/>
  </x:cols>
  <x:sheetData>
    <x:row r="1" ht="30" customHeight="1">
      <x:c r="A1" s="5" t="str">
        <x:v>ZARA • PROPOSED LIST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0" customHeight="1">
      <x:c r="A2" s="14" t="str">
        <x:v>PROPOSED V2 — 13 changes; not acquired or playtested. Front-face MV used for MDFCs; functional mana sources shown separately.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 ht="32" customHeight="1">
      <x:c r="A4" s="24" t="str">
        <x:v>Qty</x:v>
      </x:c>
      <x:c r="B4" s="24" t="str">
        <x:v>Card</x:v>
      </x:c>
      <x:c r="C4" s="24" t="str">
        <x:v>Set / Print</x:v>
      </x:c>
      <x:c r="D4" s="24" t="str">
        <x:v>Card Type</x:v>
      </x:c>
      <x:c r="E4" s="24" t="str">
        <x:v>MV (front)</x:v>
      </x:c>
      <x:c r="F4" s="24" t="str">
        <x:v>Primary Group</x:v>
      </x:c>
      <x:c r="G4" s="24" t="str">
        <x:v>Secondary Role</x:v>
      </x:c>
      <x:c r="H4" s="24" t="str">
        <x:v>State</x:v>
      </x:c>
      <x:c r="I4" s="24" t="str">
        <x:v>Finish Marker</x:v>
      </x:c>
      <x:c r="J4" s="24" t="str">
        <x:v>Notes / Rules / Fit</x:v>
      </x:c>
    </x:row>
    <x:row r="5">
      <x:c r="A5" s="36" t="n">
        <x:v>1</x:v>
      </x:c>
      <x:c r="B5" s="32" t="str">
        <x:v>Zara, Renegade Recruiter</x:v>
      </x:c>
      <x:c r="C5" s="32" t="str">
        <x:v>CMR 294</x:v>
      </x:c>
      <x:c r="D5" s="32" t="str">
        <x:v>Creature</x:v>
      </x:c>
      <x:c r="E5" s="36" t="n">
        <x:v>5</x:v>
      </x:c>
      <x:c r="F5" s="32" t="str">
        <x:v>7. Zara engine — haste / protection / retain theft</x:v>
      </x:c>
      <x:c r="G5" s="32" t="str">
        <x:v>Core engine. Attack trigger looks at defending player's hand; steals a creature temporarily. Does not require combat damage.</x:v>
      </x:c>
      <x:c r="H5" s="32" t="str">
        <x:v>Commander</x:v>
      </x:c>
      <x:c r="I5" s="32" t="str"/>
      <x:c r="J5" s="32" t="str">
        <x:v>Core engine. Attack trigger looks at defending player's hand; steals a creature temporarily. Does not require combat damage.</x:v>
      </x:c>
    </x:row>
    <x:row r="6">
      <x:c r="A6" s="36" t="n">
        <x:v>1</x:v>
      </x:c>
      <x:c r="B6" s="32" t="str">
        <x:v>Act of Treason</x:v>
      </x:c>
      <x:c r="C6" s="32" t="str">
        <x:v>RNA 91</x:v>
      </x:c>
      <x:c r="D6" s="32" t="str">
        <x:v>Sorcery</x:v>
      </x:c>
      <x:c r="E6" s="36" t="n">
        <x:v>3</x:v>
      </x:c>
      <x:c r="F6" s="32" t="str">
        <x:v>3. Theft — temporary / combat</x:v>
      </x:c>
      <x:c r="G6" s="32" t="str">
        <x:v>Temporary theft; haste; sacrifice payoff</x:v>
      </x:c>
      <x:c r="H6" s="32" t="str">
        <x:v>Retained</x:v>
      </x:c>
      <x:c r="I6" s="32" t="str"/>
      <x:c r="J6" s="32" t="str">
        <x:v>Temporary theft plus untap/haste; can attack or be sacrificed to Fling/Kazuul's Fury.</x:v>
      </x:c>
    </x:row>
    <x:row r="7">
      <x:c r="A7" s="36" t="n">
        <x:v>1</x:v>
      </x:c>
      <x:c r="B7" s="32" t="str">
        <x:v>Arcane Signet</x:v>
      </x:c>
      <x:c r="C7" s="32" t="str">
        <x:v>VOC 159</x:v>
      </x:c>
      <x:c r="D7" s="32" t="str">
        <x:v>Artifact</x:v>
      </x:c>
      <x:c r="E7" s="36" t="n">
        <x:v>2</x:v>
      </x:c>
      <x:c r="F7" s="32" t="str">
        <x:v>1. Ramp + mana base</x:v>
      </x:c>
      <x:c r="G7" s="32" t="str">
        <x:v>Role classified by deck context; evaluate via playtests.</x:v>
      </x:c>
      <x:c r="H7" s="32" t="str">
        <x:v>Retained</x:v>
      </x:c>
      <x:c r="I7" s="32" t="str"/>
      <x:c r="J7" s="32" t="str">
        <x:v>Assess fit against theft/control identity; no specific pet status inferred.</x:v>
      </x:c>
    </x:row>
    <x:row r="8">
      <x:c r="A8" s="36" t="n">
        <x:v>1</x:v>
      </x:c>
      <x:c r="B8" s="32" t="str">
        <x:v>Archmage Emeritus</x:v>
      </x:c>
      <x:c r="C8" s="32" t="str">
        <x:v>STX 377</x:v>
      </x:c>
      <x:c r="D8" s="32" t="str">
        <x:v>Creature</x:v>
      </x:c>
      <x:c r="E8" s="36" t="n">
        <x:v>4</x:v>
      </x:c>
      <x:c r="F8" s="32" t="str">
        <x:v>2. Draw + selection</x:v>
      </x:c>
      <x:c r="G8" s="32" t="str">
        <x:v>Draw engine for instants/sorceries and copies, but needs spell density.</x:v>
      </x:c>
      <x:c r="H8" s="32" t="str">
        <x:v>Retained</x:v>
      </x:c>
      <x:c r="I8" s="32" t="str">
        <x:v>*F*</x:v>
      </x:c>
      <x:c r="J8" s="32" t="str">
        <x:v>Draw engine for instants/sorceries and copies, but needs spell density.</x:v>
      </x:c>
    </x:row>
    <x:row r="9">
      <x:c r="A9" s="36" t="n">
        <x:v>1</x:v>
      </x:c>
      <x:c r="B9" s="32" t="str">
        <x:v>Blasphemous Act</x:v>
      </x:c>
      <x:c r="C9" s="32" t="str">
        <x:v>VOC 143</x:v>
      </x:c>
      <x:c r="D9" s="32" t="str">
        <x:v>Sorcery</x:v>
      </x:c>
      <x:c r="E9" s="36" t="n">
        <x:v>9</x:v>
      </x:c>
      <x:c r="F9" s="32" t="str">
        <x:v>6. Interaction — counters / removal / resets</x:v>
      </x:c>
      <x:c r="G9" s="32" t="str">
        <x:v>Mass creature removal</x:v>
      </x:c>
      <x:c r="H9" s="32" t="str">
        <x:v>Retained</x:v>
      </x:c>
      <x:c r="I9" s="32" t="str"/>
      <x:c r="J9" s="32" t="str">
        <x:v>Efficient mass creature removal in creature-heavy pods; can destroy stolen creatures, so sequence carefully.</x:v>
      </x:c>
    </x:row>
    <x:row r="10">
      <x:c r="A10" s="36" t="n">
        <x:v>1</x:v>
      </x:c>
      <x:c r="B10" s="32" t="str">
        <x:v>Castle Vantress</x:v>
      </x:c>
      <x:c r="C10" s="32" t="str">
        <x:v>ELD 242</x:v>
      </x:c>
      <x:c r="D10" s="32" t="str">
        <x:v>Land</x:v>
      </x:c>
      <x:c r="E10" s="36" t="n">
        <x:v>0</x:v>
      </x:c>
      <x:c r="F10" s="32" t="str">
        <x:v>1. Ramp + mana base</x:v>
      </x:c>
      <x:c r="G10" s="32" t="str">
        <x:v>Role classified by deck context; evaluate via playtests.</x:v>
      </x:c>
      <x:c r="H10" s="32" t="str">
        <x:v>Retained</x:v>
      </x:c>
      <x:c r="I10" s="32" t="str"/>
      <x:c r="J10" s="32" t="str">
        <x:v>Assess fit against theft/control identity; no specific pet status inferred.</x:v>
      </x:c>
    </x:row>
    <x:row r="11">
      <x:c r="A11" s="36" t="n">
        <x:v>1</x:v>
      </x:c>
      <x:c r="B11" s="32" t="str">
        <x:v>Clone</x:v>
      </x:c>
      <x:c r="C11" s="32" t="str">
        <x:v>M14 47</x:v>
      </x:c>
      <x:c r="D11" s="32" t="str">
        <x:v>Creature</x:v>
      </x:c>
      <x:c r="E11" s="36" t="n">
        <x:v>4</x:v>
      </x:c>
      <x:c r="F11" s="32" t="str">
        <x:v>5. Copy / clone / spell manipulation</x:v>
      </x:c>
      <x:c r="G11" s="32" t="str">
        <x:v>Can copy a creature stolen by Zara; the copy is a different object and does not return with Zara's delayed trigger.</x:v>
      </x:c>
      <x:c r="H11" s="32" t="str">
        <x:v>Retained</x:v>
      </x:c>
      <x:c r="I11" s="32" t="str"/>
      <x:c r="J11" s="32" t="str">
        <x:v>Can copy a creature stolen by Zara; the copy is a different object and does not return with Zara's delayed trigger.</x:v>
      </x:c>
    </x:row>
    <x:row r="12">
      <x:c r="A12" s="36" t="n">
        <x:v>1</x:v>
      </x:c>
      <x:c r="B12" s="32" t="str">
        <x:v>Clout of the Dominus</x:v>
      </x:c>
      <x:c r="C12" s="32" t="str">
        <x:v>EVE 99</x:v>
      </x:c>
      <x:c r="D12" s="32" t="str">
        <x:v>Enchantment</x:v>
      </x:c>
      <x:c r="E12" s="36" t="n">
        <x:v>1</x:v>
      </x:c>
      <x:c r="F12" s="32" t="str">
        <x:v>7. Zara engine — haste / protection / retain theft</x:v>
      </x:c>
      <x:c r="G12" s="32" t="str">
        <x:v>Haste + shroud + +2/+2 on Zara</x:v>
      </x:c>
      <x:c r="H12" s="32" t="str">
        <x:v>Retained</x:v>
      </x:c>
      <x:c r="I12" s="32" t="str"/>
      <x:c r="J12" s="32" t="str">
        <x:v>Exceptional commander synergy: Zara is both blue and red, so receives +2/+2, shroud and haste. Sequence any other targeting/equipping before attaching this Aura.</x:v>
      </x:c>
    </x:row>
    <x:row r="13">
      <x:c r="A13" s="36" t="n">
        <x:v>1</x:v>
      </x:c>
      <x:c r="B13" s="32" t="str">
        <x:v>Command Tower</x:v>
      </x:c>
      <x:c r="C13" s="32" t="str">
        <x:v>C13 281</x:v>
      </x:c>
      <x:c r="D13" s="32" t="str">
        <x:v>Land</x:v>
      </x:c>
      <x:c r="E13" s="36" t="n">
        <x:v>0</x:v>
      </x:c>
      <x:c r="F13" s="32" t="str">
        <x:v>1. Ramp + mana base</x:v>
      </x:c>
      <x:c r="G13" s="32" t="str">
        <x:v>Role classified by deck context; evaluate via playtests.</x:v>
      </x:c>
      <x:c r="H13" s="32" t="str">
        <x:v>Retained</x:v>
      </x:c>
      <x:c r="I13" s="32" t="str"/>
      <x:c r="J13" s="32" t="str">
        <x:v>Assess fit against theft/control identity; no specific pet status inferred.</x:v>
      </x:c>
    </x:row>
    <x:row r="14">
      <x:c r="A14" s="36" t="n">
        <x:v>1</x:v>
      </x:c>
      <x:c r="B14" s="32" t="str">
        <x:v>Counterspell</x:v>
      </x:c>
      <x:c r="C14" s="32" t="str">
        <x:v>CMR 395</x:v>
      </x:c>
      <x:c r="D14" s="32" t="str">
        <x:v>Instant</x:v>
      </x:c>
      <x:c r="E14" s="36" t="n">
        <x:v>2</x:v>
      </x:c>
      <x:c r="F14" s="32" t="str">
        <x:v>6. Interaction — counters / removal / resets</x:v>
      </x:c>
      <x:c r="G14" s="32" t="str">
        <x:v>Role classified by deck context; evaluate via playtests.</x:v>
      </x:c>
      <x:c r="H14" s="32" t="str">
        <x:v>Retained</x:v>
      </x:c>
      <x:c r="I14" s="32" t="str"/>
      <x:c r="J14" s="32" t="str">
        <x:v>Assess fit against theft/control identity; no specific pet status inferred.</x:v>
      </x:c>
    </x:row>
    <x:row r="15">
      <x:c r="A15" s="36" t="n">
        <x:v>1</x:v>
      </x:c>
      <x:c r="B15" s="32" t="str">
        <x:v>Curiosity</x:v>
      </x:c>
      <x:c r="C15" s="32" t="str">
        <x:v>8ED 72</x:v>
      </x:c>
      <x:c r="D15" s="32" t="str">
        <x:v>Enchantment</x:v>
      </x:c>
      <x:c r="E15" s="36" t="n">
        <x:v>1</x:v>
      </x:c>
      <x:c r="F15" s="32" t="str">
        <x:v>8. Finishers / tax / utility</x:v>
      </x:c>
      <x:c r="G15" s="32" t="str">
        <x:v>Draw engine; two-card combo</x:v>
      </x:c>
      <x:c r="H15" s="32" t="str">
        <x:v>Retained</x:v>
      </x:c>
      <x:c r="I15" s="32" t="str"/>
      <x:c r="J15" s="32" t="str">
        <x:v>Value on evasive creatures; enables compact two-card loops with either Niv-Mizzet. Optional high-power finish.</x:v>
      </x:c>
    </x:row>
    <x:row r="16">
      <x:c r="A16" s="36" t="n">
        <x:v>1</x:v>
      </x:c>
      <x:c r="B16" s="32" t="str">
        <x:v>Cyclonic Rift</x:v>
      </x:c>
      <x:c r="C16" s="32" t="str">
        <x:v>RTR 35</x:v>
      </x:c>
      <x:c r="D16" s="32" t="str">
        <x:v>Instant</x:v>
      </x:c>
      <x:c r="E16" s="36" t="n">
        <x:v>2</x:v>
      </x:c>
      <x:c r="F16" s="32" t="str">
        <x:v>6. Interaction — counters / removal / resets</x:v>
      </x:c>
      <x:c r="G16" s="32" t="str">
        <x:v>Flexible bounce / reset</x:v>
      </x:c>
      <x:c r="H16" s="32" t="str">
        <x:v>Retained</x:v>
      </x:c>
      <x:c r="I16" s="32" t="str"/>
      <x:c r="J16" s="32" t="str">
        <x:v>Premium flexible reset, especially overloaded before your turn; often converts a stable game.</x:v>
      </x:c>
    </x:row>
    <x:row r="17">
      <x:c r="A17" s="36" t="n">
        <x:v>1</x:v>
      </x:c>
      <x:c r="B17" s="32" t="str">
        <x:v>Day's Undoing</x:v>
      </x:c>
      <x:c r="C17" s="32" t="str">
        <x:v>ORI 51</x:v>
      </x:c>
      <x:c r="D17" s="32" t="str">
        <x:v>Sorcery</x:v>
      </x:c>
      <x:c r="E17" s="36" t="n">
        <x:v>3</x:v>
      </x:c>
      <x:c r="F17" s="32" t="str">
        <x:v>2. Draw + selection</x:v>
      </x:c>
      <x:c r="G17" s="32" t="str">
        <x:v>Symmetric wheel / hand reset</x:v>
      </x:c>
      <x:c r="H17" s="32" t="str">
        <x:v>Retained</x:v>
      </x:c>
      <x:c r="I17" s="32" t="str"/>
      <x:c r="J17" s="32" t="str">
        <x:v>Refills all players and can undo your advantage; meta-dependent rather than a dedicated theft effect.</x:v>
      </x:c>
    </x:row>
    <x:row r="18">
      <x:c r="A18" s="36" t="n">
        <x:v>1</x:v>
      </x:c>
      <x:c r="B18" s="32" t="str">
        <x:v>Desolate Lighthouse</x:v>
      </x:c>
      <x:c r="C18" s="32" t="str">
        <x:v>AVR 227</x:v>
      </x:c>
      <x:c r="D18" s="32" t="str">
        <x:v>Land</x:v>
      </x:c>
      <x:c r="E18" s="36" t="n">
        <x:v>0</x:v>
      </x:c>
      <x:c r="F18" s="32" t="str">
        <x:v>2. Draw + selection</x:v>
      </x:c>
      <x:c r="G18" s="32" t="str">
        <x:v>Role classified by deck context; evaluate via playtests.</x:v>
      </x:c>
      <x:c r="H18" s="32" t="str">
        <x:v>Retained</x:v>
      </x:c>
      <x:c r="I18" s="32" t="str"/>
      <x:c r="J18" s="32" t="str">
        <x:v>Assess fit against theft/control identity; no specific pet status inferred.</x:v>
      </x:c>
    </x:row>
    <x:row r="19">
      <x:c r="A19" s="36" t="n">
        <x:v>1</x:v>
      </x:c>
      <x:c r="B19" s="32" t="str">
        <x:v>Dissipation Field</x:v>
      </x:c>
      <x:c r="C19" s="32" t="str">
        <x:v>CLB 718</x:v>
      </x:c>
      <x:c r="D19" s="32" t="str">
        <x:v>Enchantment</x:v>
      </x:c>
      <x:c r="E19" s="36" t="n">
        <x:v>4</x:v>
      </x:c>
      <x:c r="F19" s="32" t="str">
        <x:v>7. Zara engine — haste / protection / retain theft</x:v>
      </x:c>
      <x:c r="G19" s="32" t="str">
        <x:v>Role classified by deck context; evaluate via playtests.</x:v>
      </x:c>
      <x:c r="H19" s="32" t="str">
        <x:v>Retained</x:v>
      </x:c>
      <x:c r="I19" s="32" t="str"/>
      <x:c r="J19" s="32" t="str">
        <x:v>Assess fit against theft/control identity; no specific pet status inferred.</x:v>
      </x:c>
    </x:row>
    <x:row r="20">
      <x:c r="A20" s="36" t="n">
        <x:v>1</x:v>
      </x:c>
      <x:c r="B20" s="32" t="str">
        <x:v>Domestication</x:v>
      </x:c>
      <x:c r="C20" s="32" t="str">
        <x:v>M14 53</x:v>
      </x:c>
      <x:c r="D20" s="32" t="str">
        <x:v>Enchantment</x:v>
      </x:c>
      <x:c r="E20" s="36" t="n">
        <x:v>4</x:v>
      </x:c>
      <x:c r="F20" s="32" t="str">
        <x:v>4. Theft — permanent / control</x:v>
      </x:c>
      <x:c r="G20" s="32" t="str">
        <x:v>Permanent control of a creature with power 3 or less; can fail if that creature's power rises above 3.</x:v>
      </x:c>
      <x:c r="H20" s="32" t="str">
        <x:v>Retained</x:v>
      </x:c>
      <x:c r="I20" s="32" t="str"/>
      <x:c r="J20" s="32" t="str">
        <x:v>Permanent control of a creature with power 3 or less; can fail if that creature's power rises above 3.</x:v>
      </x:c>
    </x:row>
    <x:row r="21">
      <x:c r="A21" s="36" t="n">
        <x:v>1</x:v>
      </x:c>
      <x:c r="B21" s="32" t="str">
        <x:v>Domineering Will</x:v>
      </x:c>
      <x:c r="C21" s="32" t="str">
        <x:v>CLB 719</x:v>
      </x:c>
      <x:c r="D21" s="32" t="str">
        <x:v>Instant</x:v>
      </x:c>
      <x:c r="E21" s="36" t="n">
        <x:v>3</x:v>
      </x:c>
      <x:c r="F21" s="32" t="str">
        <x:v>3. Theft — temporary / combat</x:v>
      </x:c>
      <x:c r="G21" s="32" t="str">
        <x:v>Temporary control / combat manipulation</x:v>
      </x:c>
      <x:c r="H21" s="32" t="str">
        <x:v>Retained</x:v>
      </x:c>
      <x:c r="I21" s="32" t="str"/>
      <x:c r="J21" s="32" t="str">
        <x:v>Can use opponent creatures to create unfavorable blocks; temporary control, not permanent theft.</x:v>
      </x:c>
    </x:row>
    <x:row r="22">
      <x:c r="A22" s="36" t="n">
        <x:v>1</x:v>
      </x:c>
      <x:c r="B22" s="32" t="str">
        <x:v>Dominus of Fealty</x:v>
      </x:c>
      <x:c r="C22" s="32" t="str">
        <x:v>EVE 102</x:v>
      </x:c>
      <x:c r="D22" s="32" t="str">
        <x:v>Creature</x:v>
      </x:c>
      <x:c r="E22" s="36" t="n">
        <x:v>5</x:v>
      </x:c>
      <x:c r="F22" s="32" t="str">
        <x:v>3. Theft — temporary / combat</x:v>
      </x:c>
      <x:c r="G22" s="32" t="str">
        <x:v>Recurring temporary permanent theft</x:v>
      </x:c>
      <x:c r="H22" s="32" t="str">
        <x:v>Retained</x:v>
      </x:c>
      <x:c r="I22" s="32" t="str"/>
      <x:c r="J22" s="32" t="str">
        <x:v>Repeatable temporary control of any permanent at upkeep; powerful but requires surviving to upkeep and the permanent returns at EOT.</x:v>
      </x:c>
    </x:row>
    <x:row r="23">
      <x:c r="A23" s="36" t="n">
        <x:v>1</x:v>
      </x:c>
      <x:c r="B23" s="32" t="str">
        <x:v>Encroaching Wastes</x:v>
      </x:c>
      <x:c r="C23" s="32" t="str">
        <x:v>M14 227</x:v>
      </x:c>
      <x:c r="D23" s="32" t="str">
        <x:v>Land</x:v>
      </x:c>
      <x:c r="E23" s="36" t="n">
        <x:v>0</x:v>
      </x:c>
      <x:c r="F23" s="32" t="str">
        <x:v>1. Ramp + mana base</x:v>
      </x:c>
      <x:c r="G23" s="32" t="str">
        <x:v>Colorless land with narrow utility; unreliable for UUU/RRR requirements.</x:v>
      </x:c>
      <x:c r="H23" s="32" t="str">
        <x:v>Retained</x:v>
      </x:c>
      <x:c r="I23" s="32" t="str"/>
      <x:c r="J23" s="32" t="str">
        <x:v>Colorless land with narrow utility; unreliable for UUU/RRR requirements.</x:v>
      </x:c>
    </x:row>
    <x:row r="24">
      <x:c r="A24" s="36" t="n">
        <x:v>1</x:v>
      </x:c>
      <x:c r="B24" s="32" t="str">
        <x:v>Essence Capture</x:v>
      </x:c>
      <x:c r="C24" s="32" t="str">
        <x:v>OTP 10</x:v>
      </x:c>
      <x:c r="D24" s="32" t="str">
        <x:v>Instant</x:v>
      </x:c>
      <x:c r="E24" s="36" t="n">
        <x:v>2</x:v>
      </x:c>
      <x:c r="F24" s="32" t="str">
        <x:v>6. Interaction — counters / removal / resets</x:v>
      </x:c>
      <x:c r="G24" s="32" t="str">
        <x:v>Role classified by deck context; evaluate via playtests.</x:v>
      </x:c>
      <x:c r="H24" s="32" t="str">
        <x:v>Retained</x:v>
      </x:c>
      <x:c r="I24" s="32" t="str"/>
      <x:c r="J24" s="32" t="str">
        <x:v>Assess fit against theft/control identity; no specific pet status inferred.</x:v>
      </x:c>
    </x:row>
    <x:row r="25">
      <x:c r="A25" s="36" t="n">
        <x:v>1</x:v>
      </x:c>
      <x:c r="B25" s="32" t="str">
        <x:v>Fated Infatuation</x:v>
      </x:c>
      <x:c r="C25" s="32" t="str">
        <x:v>BNG 39</x:v>
      </x:c>
      <x:c r="D25" s="32" t="str">
        <x:v>Instant</x:v>
      </x:c>
      <x:c r="E25" s="36" t="n">
        <x:v>3</x:v>
      </x:c>
      <x:c r="F25" s="32" t="str">
        <x:v>5. Copy / clone / spell manipulation</x:v>
      </x:c>
      <x:c r="G25" s="32" t="str">
        <x:v>Instant-speed copy of a creature you control; can copy Zara's borrowed creature before the return trigger resolves.</x:v>
      </x:c>
      <x:c r="H25" s="32" t="str">
        <x:v>Retained</x:v>
      </x:c>
      <x:c r="I25" s="32" t="str"/>
      <x:c r="J25" s="32" t="str">
        <x:v>Instant-speed copy of a creature you control; can copy Zara's borrowed creature before the return trigger resolves.</x:v>
      </x:c>
    </x:row>
    <x:row r="26">
      <x:c r="A26" s="36" t="n">
        <x:v>1</x:v>
      </x:c>
      <x:c r="B26" s="32" t="str">
        <x:v>Fellwar Stone</x:v>
      </x:c>
      <x:c r="C26" s="32" t="str">
        <x:v>CMM 382</x:v>
      </x:c>
      <x:c r="D26" s="32" t="str">
        <x:v>Artifact</x:v>
      </x:c>
      <x:c r="E26" s="36" t="n">
        <x:v>2</x:v>
      </x:c>
      <x:c r="F26" s="32" t="str">
        <x:v>1. Ramp + mana base</x:v>
      </x:c>
      <x:c r="G26" s="32" t="str">
        <x:v>Role classified by deck context; evaluate via playtests.</x:v>
      </x:c>
      <x:c r="H26" s="32" t="str">
        <x:v>Retained</x:v>
      </x:c>
      <x:c r="I26" s="32" t="str"/>
      <x:c r="J26" s="32" t="str">
        <x:v>Assess fit against theft/control identity; no specific pet status inferred.</x:v>
      </x:c>
    </x:row>
    <x:row r="27">
      <x:c r="A27" s="36" t="n">
        <x:v>1</x:v>
      </x:c>
      <x:c r="B27" s="32" t="str">
        <x:v>Flare of Duplication</x:v>
      </x:c>
      <x:c r="C27" s="32" t="str">
        <x:v>MH3 333</x:v>
      </x:c>
      <x:c r="D27" s="32" t="str">
        <x:v>Instant</x:v>
      </x:c>
      <x:c r="E27" s="36" t="n">
        <x:v>3</x:v>
      </x:c>
      <x:c r="F27" s="32" t="str">
        <x:v>5. Copy / clone / spell manipulation</x:v>
      </x:c>
      <x:c r="G27" s="32" t="str">
        <x:v>Copies an instant/sorcery you control; it does not directly copy opposing spells. Sacrifice cost can monetize a stolen creature.</x:v>
      </x:c>
      <x:c r="H27" s="32" t="str">
        <x:v>Retained</x:v>
      </x:c>
      <x:c r="I27" s="32" t="str"/>
      <x:c r="J27" s="32" t="str">
        <x:v>Copies an instant/sorcery you control; it does not directly copy opposing spells. Sacrifice cost can monetize a stolen creature.</x:v>
      </x:c>
    </x:row>
    <x:row r="28">
      <x:c r="A28" s="36" t="n">
        <x:v>1</x:v>
      </x:c>
      <x:c r="B28" s="32" t="str">
        <x:v>Fling</x:v>
      </x:c>
      <x:c r="C28" s="32" t="str">
        <x:v>OTP 24</x:v>
      </x:c>
      <x:c r="D28" s="32" t="str">
        <x:v>Instant</x:v>
      </x:c>
      <x:c r="E28" s="36" t="n">
        <x:v>2</x:v>
      </x:c>
      <x:c r="F28" s="32" t="str">
        <x:v>3. Theft — temporary / combat</x:v>
      </x:c>
      <x:c r="G28" s="32" t="str">
        <x:v>Sacrifice temporary theft for damage</x:v>
      </x:c>
      <x:c r="H28" s="32" t="str">
        <x:v>Retained</x:v>
      </x:c>
      <x:c r="I28" s="32" t="str"/>
      <x:c r="J28" s="32" t="str">
        <x:v>Converts a temporary stolen creature into direct damage before it returns.</x:v>
      </x:c>
    </x:row>
    <x:row r="29">
      <x:c r="A29" s="36" t="n">
        <x:v>1</x:v>
      </x:c>
      <x:c r="B29" s="32" t="str">
        <x:v>Glasspool Mimic</x:v>
      </x:c>
      <x:c r="C29" s="32" t="str">
        <x:v>ZNR 60</x:v>
      </x:c>
      <x:c r="D29" s="32" t="str">
        <x:v>MDFC — Creature/Land</x:v>
      </x:c>
      <x:c r="E29" s="36" t="n">
        <x:v>3</x:v>
      </x:c>
      <x:c r="F29" s="32" t="str">
        <x:v>5. Copy / clone / spell manipulation</x:v>
      </x:c>
      <x:c r="G29" s="32" t="str">
        <x:v>Clone or tapped land</x:v>
      </x:c>
      <x:c r="H29" s="32" t="str">
        <x:v>Retained</x:v>
      </x:c>
      <x:c r="I29" s="32" t="str"/>
      <x:c r="J29" s="32" t="str">
        <x:v>MDFC clone that copies a creature you control; land back face improves functional mana sources.</x:v>
      </x:c>
    </x:row>
    <x:row r="30">
      <x:c r="A30" s="36" t="n">
        <x:v>1</x:v>
      </x:c>
      <x:c r="B30" s="32" t="str">
        <x:v>Grafted Identity</x:v>
      </x:c>
      <x:c r="C30" s="32" t="str">
        <x:v>MID 57</x:v>
      </x:c>
      <x:c r="D30" s="32" t="str">
        <x:v>Enchantment</x:v>
      </x:c>
      <x:c r="E30" s="36" t="n">
        <x:v>4</x:v>
      </x:c>
      <x:c r="F30" s="32" t="str">
        <x:v>4. Theft — permanent / control</x:v>
      </x:c>
      <x:c r="G30" s="32" t="str">
        <x:v>Permanent theft; sacrifice cost</x:v>
      </x:c>
      <x:c r="H30" s="32" t="str">
        <x:v>Retained</x:v>
      </x:c>
      <x:c r="I30" s="32" t="str"/>
      <x:c r="J30" s="32" t="str">
        <x:v>Theft Aura that requires sacrificing a creature as an additional cost; a temporary Zara creature may pay that cost.</x:v>
      </x:c>
    </x:row>
    <x:row r="31">
      <x:c r="A31" s="36" t="n">
        <x:v>1</x:v>
      </x:c>
      <x:c r="B31" s="32" t="str">
        <x:v>Increasing Vengeance</x:v>
      </x:c>
      <x:c r="C31" s="32" t="str">
        <x:v>DKA 95</x:v>
      </x:c>
      <x:c r="D31" s="32" t="str">
        <x:v>Instant</x:v>
      </x:c>
      <x:c r="E31" s="36" t="n">
        <x:v>2</x:v>
      </x:c>
      <x:c r="F31" s="32" t="str">
        <x:v>5. Copy / clone / spell manipulation</x:v>
      </x:c>
      <x:c r="G31" s="32" t="str">
        <x:v>Copies your own instant/sorcery; value tool, not the main theft engine.</x:v>
      </x:c>
      <x:c r="H31" s="32" t="str">
        <x:v>Retained</x:v>
      </x:c>
      <x:c r="I31" s="32" t="str"/>
      <x:c r="J31" s="32" t="str">
        <x:v>Copies your own instant/sorcery; value tool, not the main theft engine.</x:v>
      </x:c>
    </x:row>
    <x:row r="32">
      <x:c r="A32" s="36" t="n">
        <x:v>1</x:v>
      </x:c>
      <x:c r="B32" s="32" t="str">
        <x:v>Invoke the Winds</x:v>
      </x:c>
      <x:c r="C32" s="32" t="str">
        <x:v>NEO 58</x:v>
      </x:c>
      <x:c r="D32" s="32" t="str">
        <x:v>Sorcery</x:v>
      </x:c>
      <x:c r="E32" s="36" t="n">
        <x:v>5</x:v>
      </x:c>
      <x:c r="F32" s="32" t="str">
        <x:v>4. Theft — permanent / control</x:v>
      </x:c>
      <x:c r="G32" s="32" t="str">
        <x:v>Permanent theft of an artifact, creature or planeswalker; strong but expensive and color intensive.</x:v>
      </x:c>
      <x:c r="H32" s="32" t="str">
        <x:v>Retained</x:v>
      </x:c>
      <x:c r="I32" s="32" t="str"/>
      <x:c r="J32" s="32" t="str">
        <x:v>Permanent theft of an artifact, creature or planeswalker; strong but expensive and color intensive.</x:v>
      </x:c>
    </x:row>
    <x:row r="33">
      <x:c r="A33" s="36" t="n">
        <x:v>12</x:v>
      </x:c>
      <x:c r="B33" s="32" t="str">
        <x:v>Island</x:v>
      </x:c>
      <x:c r="C33" s="32" t="str">
        <x:v>MID 381</x:v>
      </x:c>
      <x:c r="D33" s="32" t="str">
        <x:v>Land</x:v>
      </x:c>
      <x:c r="E33" s="36" t="n">
        <x:v>0</x:v>
      </x:c>
      <x:c r="F33" s="32" t="str">
        <x:v>1. Ramp + mana base</x:v>
      </x:c>
      <x:c r="G33" s="32" t="str">
        <x:v>Role classified by deck context; evaluate via playtests.</x:v>
      </x:c>
      <x:c r="H33" s="32" t="str">
        <x:v>Retained</x:v>
      </x:c>
      <x:c r="I33" s="32" t="str">
        <x:v>*F*</x:v>
      </x:c>
      <x:c r="J33" s="32" t="str">
        <x:v>Assess fit against theft/control identity; no specific pet status inferred.</x:v>
      </x:c>
    </x:row>
    <x:row r="34">
      <x:c r="A34" s="36" t="n">
        <x:v>1</x:v>
      </x:c>
      <x:c r="B34" s="32" t="str">
        <x:v>Izzet Boilerworks</x:v>
      </x:c>
      <x:c r="C34" s="32" t="str">
        <x:v>GPT 159</x:v>
      </x:c>
      <x:c r="D34" s="32" t="str">
        <x:v>Land</x:v>
      </x:c>
      <x:c r="E34" s="36" t="n">
        <x:v>0</x:v>
      </x:c>
      <x:c r="F34" s="32" t="str">
        <x:v>1. Ramp + mana base</x:v>
      </x:c>
      <x:c r="G34" s="32" t="str">
        <x:v>Role classified by deck context; evaluate via playtests.</x:v>
      </x:c>
      <x:c r="H34" s="32" t="str">
        <x:v>Retained</x:v>
      </x:c>
      <x:c r="I34" s="32" t="str"/>
      <x:c r="J34" s="32" t="str">
        <x:v>Assess fit against theft/control identity; no specific pet status inferred.</x:v>
      </x:c>
    </x:row>
    <x:row r="35">
      <x:c r="A35" s="36" t="n">
        <x:v>1</x:v>
      </x:c>
      <x:c r="B35" s="32" t="str">
        <x:v>Izzet Charm</x:v>
      </x:c>
      <x:c r="C35" s="32" t="str">
        <x:v>MM3 171</x:v>
      </x:c>
      <x:c r="D35" s="32" t="str">
        <x:v>Instant</x:v>
      </x:c>
      <x:c r="E35" s="36" t="n">
        <x:v>2</x:v>
      </x:c>
      <x:c r="F35" s="32" t="str">
        <x:v>6. Interaction — counters / removal / resets</x:v>
      </x:c>
      <x:c r="G35" s="32" t="str">
        <x:v>Role classified by deck context; evaluate via playtests.</x:v>
      </x:c>
      <x:c r="H35" s="32" t="str">
        <x:v>Retained</x:v>
      </x:c>
      <x:c r="I35" s="32" t="str"/>
      <x:c r="J35" s="32" t="str">
        <x:v>Assess fit against theft/control identity; no specific pet status inferred.</x:v>
      </x:c>
    </x:row>
    <x:row r="36">
      <x:c r="A36" s="36" t="n">
        <x:v>1</x:v>
      </x:c>
      <x:c r="B36" s="32" t="str">
        <x:v>Izzet Signet</x:v>
      </x:c>
      <x:c r="C36" s="32" t="str">
        <x:v>CLB 863</x:v>
      </x:c>
      <x:c r="D36" s="32" t="str">
        <x:v>Artifact</x:v>
      </x:c>
      <x:c r="E36" s="36" t="n">
        <x:v>2</x:v>
      </x:c>
      <x:c r="F36" s="32" t="str">
        <x:v>1. Ramp + mana base</x:v>
      </x:c>
      <x:c r="G36" s="32" t="str">
        <x:v>Role classified by deck context; evaluate via playtests.</x:v>
      </x:c>
      <x:c r="H36" s="32" t="str">
        <x:v>Retained</x:v>
      </x:c>
      <x:c r="I36" s="32" t="str"/>
      <x:c r="J36" s="32" t="str">
        <x:v>Assess fit against theft/control identity; no specific pet status inferred.</x:v>
      </x:c>
    </x:row>
    <x:row r="37">
      <x:c r="A37" s="36" t="n">
        <x:v>1</x:v>
      </x:c>
      <x:c r="B37" s="32" t="str">
        <x:v>Kazuul's Fury</x:v>
      </x:c>
      <x:c r="C37" s="32" t="str">
        <x:v>ZNR 146</x:v>
      </x:c>
      <x:c r="D37" s="32" t="str">
        <x:v>MDFC — Instant/Land</x:v>
      </x:c>
      <x:c r="E37" s="36" t="n">
        <x:v>3</x:v>
      </x:c>
      <x:c r="F37" s="32" t="str">
        <x:v>3. Theft — temporary / combat</x:v>
      </x:c>
      <x:c r="G37" s="32" t="str">
        <x:v>Sacrifice payoff or tapped land</x:v>
      </x:c>
      <x:c r="H37" s="32" t="str">
        <x:v>Retained</x:v>
      </x:c>
      <x:c r="I37" s="32" t="str"/>
      <x:c r="J37" s="32" t="str">
        <x:v>MDFC; additional Fling effect with a land back face, counted as one physical card.</x:v>
      </x:c>
    </x:row>
    <x:row r="38">
      <x:c r="A38" s="36" t="n">
        <x:v>1</x:v>
      </x:c>
      <x:c r="B38" s="32" t="str">
        <x:v>Kitnap</x:v>
      </x:c>
      <x:c r="C38" s="32" t="str">
        <x:v>BLB 53</x:v>
      </x:c>
      <x:c r="D38" s="32" t="str">
        <x:v>Enchantment</x:v>
      </x:c>
      <x:c r="E38" s="36" t="n">
        <x:v>3</x:v>
      </x:c>
      <x:c r="F38" s="32" t="str">
        <x:v>4. Theft — permanent / control</x:v>
      </x:c>
      <x:c r="G38" s="32" t="str">
        <x:v>Conditional theft of a creature with tap/untap restrictions; timing matters.</x:v>
      </x:c>
      <x:c r="H38" s="32" t="str">
        <x:v>Retained</x:v>
      </x:c>
      <x:c r="I38" s="32" t="str"/>
      <x:c r="J38" s="32" t="str">
        <x:v>Conditional theft of a creature with tap/untap restrictions; timing matters.</x:v>
      </x:c>
    </x:row>
    <x:row r="39">
      <x:c r="A39" s="36" t="n">
        <x:v>1</x:v>
      </x:c>
      <x:c r="B39" s="32" t="str">
        <x:v>Leyline of Resonance</x:v>
      </x:c>
      <x:c r="C39" s="32" t="str">
        <x:v>DSK 143</x:v>
      </x:c>
      <x:c r="D39" s="32" t="str">
        <x:v>Enchantment</x:v>
      </x:c>
      <x:c r="E39" s="36" t="n">
        <x:v>2</x:v>
      </x:c>
      <x:c r="F39" s="32" t="str">
        <x:v>5. Copy / clone / spell manipulation</x:v>
      </x:c>
      <x:c r="G39" s="32" t="str">
        <x:v>Copies instant/sorcery spells that target only a creature you control; relevant to Fated Infatuation/Quasiduplicate, but narrow.</x:v>
      </x:c>
      <x:c r="H39" s="32" t="str">
        <x:v>Retained</x:v>
      </x:c>
      <x:c r="I39" s="32" t="str"/>
      <x:c r="J39" s="32" t="str">
        <x:v>Copies instant/sorcery spells that target only a creature you control; relevant to Fated Infatuation/Quasiduplicate, but narrow.</x:v>
      </x:c>
    </x:row>
    <x:row r="40">
      <x:c r="A40" s="36" t="n">
        <x:v>1</x:v>
      </x:c>
      <x:c r="B40" s="32" t="str">
        <x:v>Malevolent Hermit</x:v>
      </x:c>
      <x:c r="C40" s="32" t="str">
        <x:v>MID 61</x:v>
      </x:c>
      <x:c r="D40" s="32" t="str">
        <x:v>Creature</x:v>
      </x:c>
      <x:c r="E40" s="36" t="n">
        <x:v>2</x:v>
      </x:c>
      <x:c r="F40" s="32" t="str">
        <x:v>7. Zara engine — haste / protection / retain theft</x:v>
      </x:c>
      <x:c r="G40" s="32" t="str">
        <x:v>Role classified by deck context; evaluate via playtests.</x:v>
      </x:c>
      <x:c r="H40" s="32" t="str">
        <x:v>Retained</x:v>
      </x:c>
      <x:c r="I40" s="32" t="str"/>
      <x:c r="J40" s="32" t="str">
        <x:v>Assess fit against theft/control identity; no specific pet status inferred.</x:v>
      </x:c>
    </x:row>
    <x:row r="41">
      <x:c r="A41" s="36" t="n">
        <x:v>1</x:v>
      </x:c>
      <x:c r="B41" s="32" t="str">
        <x:v>Mana Leak</x:v>
      </x:c>
      <x:c r="C41" s="32" t="str">
        <x:v>9ED 86</x:v>
      </x:c>
      <x:c r="D41" s="32" t="str">
        <x:v>Instant</x:v>
      </x:c>
      <x:c r="E41" s="36" t="n">
        <x:v>2</x:v>
      </x:c>
      <x:c r="F41" s="32" t="str">
        <x:v>6. Interaction — counters / removal / resets</x:v>
      </x:c>
      <x:c r="G41" s="32" t="str">
        <x:v>Role classified by deck context; evaluate via playtests.</x:v>
      </x:c>
      <x:c r="H41" s="32" t="str">
        <x:v>Retained</x:v>
      </x:c>
      <x:c r="I41" s="32" t="str"/>
      <x:c r="J41" s="32" t="str">
        <x:v>Assess fit against theft/control identity; no specific pet status inferred.</x:v>
      </x:c>
    </x:row>
    <x:row r="42">
      <x:c r="A42" s="36" t="n">
        <x:v>1</x:v>
      </x:c>
      <x:c r="B42" s="32" t="str">
        <x:v>Mass Manipulation</x:v>
      </x:c>
      <x:c r="C42" s="32" t="str">
        <x:v>RNA 42</x:v>
      </x:c>
      <x:c r="D42" s="32" t="str">
        <x:v>Sorcery</x:v>
      </x:c>
      <x:c r="E42" s="36" t="n">
        <x:v>4</x:v>
      </x:c>
      <x:c r="F42" s="32" t="str">
        <x:v>4. Theft — permanent / control</x:v>
      </x:c>
      <x:c r="G42" s="32" t="str">
        <x:v>Role classified by deck context; evaluate via playtests.</x:v>
      </x:c>
      <x:c r="H42" s="32" t="str">
        <x:v>Retained</x:v>
      </x:c>
      <x:c r="I42" s="32" t="str"/>
      <x:c r="J42" s="32" t="str">
        <x:v>Assess fit against theft/control identity; no specific pet status inferred.</x:v>
      </x:c>
    </x:row>
    <x:row r="43">
      <x:c r="A43" s="36" t="n">
        <x:v>1</x:v>
      </x:c>
      <x:c r="B43" s="32" t="str">
        <x:v>Midnight Clock</x:v>
      </x:c>
      <x:c r="C43" s="32" t="str">
        <x:v>WOC 99</x:v>
      </x:c>
      <x:c r="D43" s="32" t="str">
        <x:v>Artifact</x:v>
      </x:c>
      <x:c r="E43" s="36" t="n">
        <x:v>3</x:v>
      </x:c>
      <x:c r="F43" s="32" t="str">
        <x:v>2. Draw + selection</x:v>
      </x:c>
      <x:c r="G43" s="32" t="str">
        <x:v>Early ramp and a late wheel; fits a slower Izzet value plan, though three-mana ramp is not fast.</x:v>
      </x:c>
      <x:c r="H43" s="32" t="str">
        <x:v>Retained</x:v>
      </x:c>
      <x:c r="I43" s="32" t="str"/>
      <x:c r="J43" s="32" t="str">
        <x:v>Early ramp and a late wheel; fits a slower Izzet value plan, though three-mana ramp is not fast.</x:v>
      </x:c>
    </x:row>
    <x:row r="44">
      <x:c r="A44" s="36" t="n">
        <x:v>1</x:v>
      </x:c>
      <x:c r="B44" s="32" t="str">
        <x:v>Mind Control</x:v>
      </x:c>
      <x:c r="C44" s="32" t="str">
        <x:v>DCI 30</x:v>
      </x:c>
      <x:c r="D44" s="32" t="str">
        <x:v>Enchantment</x:v>
      </x:c>
      <x:c r="E44" s="36" t="n">
        <x:v>5</x:v>
      </x:c>
      <x:c r="F44" s="32" t="str">
        <x:v>4. Theft — permanent / control</x:v>
      </x:c>
      <x:c r="G44" s="32" t="str">
        <x:v>Straightforward permanent creature theft, but costs five mana and is vulnerable to enchantment removal.</x:v>
      </x:c>
      <x:c r="H44" s="32" t="str">
        <x:v>Retained</x:v>
      </x:c>
      <x:c r="I44" s="32" t="str">
        <x:v>*F*</x:v>
      </x:c>
      <x:c r="J44" s="32" t="str">
        <x:v>Straightforward permanent creature theft, but costs five mana and is vulnerable to enchantment removal.</x:v>
      </x:c>
    </x:row>
    <x:row r="45">
      <x:c r="A45" s="36" t="n">
        <x:v>1</x:v>
      </x:c>
      <x:c r="B45" s="32" t="str">
        <x:v>Mirror Sheen</x:v>
      </x:c>
      <x:c r="C45" s="32" t="str">
        <x:v>EVE 105</x:v>
      </x:c>
      <x:c r="D45" s="32" t="str">
        <x:v>Enchantment</x:v>
      </x:c>
      <x:c r="E45" s="36" t="n">
        <x:v>3</x:v>
      </x:c>
      <x:c r="F45" s="32" t="str">
        <x:v>5. Copy / clone / spell manipulation</x:v>
      </x:c>
      <x:c r="G45" s="32" t="str">
        <x:v>Expensive, conditional copy effect for spells that target you or a permanent you control; flavorful but mana-intensive.</x:v>
      </x:c>
      <x:c r="H45" s="32" t="str">
        <x:v>Retained</x:v>
      </x:c>
      <x:c r="I45" s="32" t="str"/>
      <x:c r="J45" s="32" t="str">
        <x:v>Expensive, conditional copy effect for spells that target you or a permanent you control; flavorful but mana-intensive.</x:v>
      </x:c>
    </x:row>
    <x:row r="46">
      <x:c r="A46" s="36" t="n">
        <x:v>1</x:v>
      </x:c>
      <x:c r="B46" s="32" t="str">
        <x:v>Mirrormade</x:v>
      </x:c>
      <x:c r="C46" s="32" t="str">
        <x:v>ELD 55</x:v>
      </x:c>
      <x:c r="D46" s="32" t="str">
        <x:v>Enchantment</x:v>
      </x:c>
      <x:c r="E46" s="36" t="n">
        <x:v>3</x:v>
      </x:c>
      <x:c r="F46" s="32" t="str">
        <x:v>5. Copy / clone / spell manipulation</x:v>
      </x:c>
      <x:c r="G46" s="32" t="str">
        <x:v>Role classified by deck context; evaluate via playtests.</x:v>
      </x:c>
      <x:c r="H46" s="32" t="str">
        <x:v>Retained</x:v>
      </x:c>
      <x:c r="I46" s="32" t="str"/>
      <x:c r="J46" s="32" t="str">
        <x:v>Assess fit against theft/control identity; no specific pet status inferred.</x:v>
      </x:c>
    </x:row>
    <x:row r="47">
      <x:c r="A47" s="36" t="n">
        <x:v>1</x:v>
      </x:c>
      <x:c r="B47" s="32" t="str">
        <x:v>Mob Rule</x:v>
      </x:c>
      <x:c r="C47" s="32" t="str">
        <x:v>VOC 147</x:v>
      </x:c>
      <x:c r="D47" s="32" t="str">
        <x:v>Sorcery</x:v>
      </x:c>
      <x:c r="E47" s="36" t="n">
        <x:v>6</x:v>
      </x:c>
      <x:c r="F47" s="32" t="str">
        <x:v>3. Theft — temporary / combat</x:v>
      </x:c>
      <x:c r="G47" s="32" t="str">
        <x:v>Mass theft / combat finisher</x:v>
      </x:c>
      <x:c r="H47" s="32" t="str">
        <x:v>Retained</x:v>
      </x:c>
      <x:c r="I47" s="32" t="str"/>
      <x:c r="J47" s="32" t="str">
        <x:v>Mass-theft finisher; choose the power threshold according to the board. Explosive with combat or sacrifice outlets.</x:v>
      </x:c>
    </x:row>
    <x:row r="48">
      <x:c r="A48" s="36" t="n">
        <x:v>8</x:v>
      </x:c>
      <x:c r="B48" s="32" t="str">
        <x:v>Mountain</x:v>
      </x:c>
      <x:c r="C48" s="32" t="str">
        <x:v>SHM 297</x:v>
      </x:c>
      <x:c r="D48" s="32" t="str">
        <x:v>Land</x:v>
      </x:c>
      <x:c r="E48" s="36" t="n">
        <x:v>0</x:v>
      </x:c>
      <x:c r="F48" s="32" t="str">
        <x:v>1. Ramp + mana base</x:v>
      </x:c>
      <x:c r="G48" s="32" t="str">
        <x:v>Role classified by deck context; evaluate via playtests.</x:v>
      </x:c>
      <x:c r="H48" s="32" t="str">
        <x:v>Retained</x:v>
      </x:c>
      <x:c r="I48" s="32" t="str">
        <x:v>*F*</x:v>
      </x:c>
      <x:c r="J48" s="32" t="str">
        <x:v>Assess fit against theft/control identity; no specific pet status inferred.</x:v>
      </x:c>
    </x:row>
    <x:row r="49">
      <x:c r="A49" s="36" t="n">
        <x:v>1</x:v>
      </x:c>
      <x:c r="B49" s="32" t="str">
        <x:v>Myriad Landscape</x:v>
      </x:c>
      <x:c r="C49" s="32" t="str">
        <x:v>VOC 176</x:v>
      </x:c>
      <x:c r="D49" s="32" t="str">
        <x:v>Land</x:v>
      </x:c>
      <x:c r="E49" s="36" t="n">
        <x:v>0</x:v>
      </x:c>
      <x:c r="F49" s="32" t="str">
        <x:v>1. Ramp + mana base</x:v>
      </x:c>
      <x:c r="G49" s="32" t="str">
        <x:v>Role classified by deck context; evaluate via playtests.</x:v>
      </x:c>
      <x:c r="H49" s="32" t="str">
        <x:v>Retained</x:v>
      </x:c>
      <x:c r="I49" s="32" t="str"/>
      <x:c r="J49" s="32" t="str">
        <x:v>Assess fit against theft/control identity; no specific pet status inferred.</x:v>
      </x:c>
    </x:row>
    <x:row r="50">
      <x:c r="A50" s="36" t="n">
        <x:v>1</x:v>
      </x:c>
      <x:c r="B50" s="32" t="str">
        <x:v>Negate</x:v>
      </x:c>
      <x:c r="C50" s="32" t="str">
        <x:v>M14 64</x:v>
      </x:c>
      <x:c r="D50" s="32" t="str">
        <x:v>Instant</x:v>
      </x:c>
      <x:c r="E50" s="36" t="n">
        <x:v>2</x:v>
      </x:c>
      <x:c r="F50" s="32" t="str">
        <x:v>6. Interaction — counters / removal / resets</x:v>
      </x:c>
      <x:c r="G50" s="32" t="str">
        <x:v>Role classified by deck context; evaluate via playtests.</x:v>
      </x:c>
      <x:c r="H50" s="32" t="str">
        <x:v>Retained</x:v>
      </x:c>
      <x:c r="I50" s="32" t="str"/>
      <x:c r="J50" s="32" t="str">
        <x:v>Assess fit against theft/control identity; no specific pet status inferred.</x:v>
      </x:c>
    </x:row>
    <x:row r="51">
      <x:c r="A51" s="36" t="n">
        <x:v>1</x:v>
      </x:c>
      <x:c r="B51" s="32" t="str">
        <x:v>Nevinyrral's Disk</x:v>
      </x:c>
      <x:c r="C51" s="32" t="str">
        <x:v>MH2 298</x:v>
      </x:c>
      <x:c r="D51" s="32" t="str">
        <x:v>Artifact</x:v>
      </x:c>
      <x:c r="E51" s="36" t="n">
        <x:v>4</x:v>
      </x:c>
      <x:c r="F51" s="32" t="str">
        <x:v>6. Interaction — counters / removal / resets</x:v>
      </x:c>
      <x:c r="G51" s="32" t="str">
        <x:v>Slow broad reset; useful as emergency catch-up but can wipe your own artifacts and enchantments.</x:v>
      </x:c>
      <x:c r="H51" s="32" t="str">
        <x:v>Retained</x:v>
      </x:c>
      <x:c r="I51" s="32" t="str"/>
      <x:c r="J51" s="32" t="str">
        <x:v>Slow broad reset; useful as emergency catch-up but can wipe your own artifacts and enchantments.</x:v>
      </x:c>
    </x:row>
    <x:row r="52">
      <x:c r="A52" s="36" t="n">
        <x:v>1</x:v>
      </x:c>
      <x:c r="B52" s="32" t="str">
        <x:v>Niv-Mizzet, Parun</x:v>
      </x:c>
      <x:c r="C52" s="32" t="str">
        <x:v>GRN 192</x:v>
      </x:c>
      <x:c r="D52" s="32" t="str">
        <x:v>Creature</x:v>
      </x:c>
      <x:c r="E52" s="36" t="n">
        <x:v>6</x:v>
      </x:c>
      <x:c r="F52" s="32" t="str">
        <x:v>8. Finishers / tax / utility</x:v>
      </x:c>
      <x:c r="G52" s="32" t="str">
        <x:v>Card draw / damage / Curiosity combo</x:v>
      </x:c>
      <x:c r="H52" s="32" t="str">
        <x:v>Retained</x:v>
      </x:c>
      <x:c r="I52" s="32" t="str"/>
      <x:c r="J52" s="32" t="str">
        <x:v>Draw/damage engine and Curiosity combo piece; demanding UUU/RR mana cost needs support.</x:v>
      </x:c>
    </x:row>
    <x:row r="53">
      <x:c r="A53" s="36" t="n">
        <x:v>1</x:v>
      </x:c>
      <x:c r="B53" s="32" t="str">
        <x:v>Niv-Mizzet, the Firemind</x:v>
      </x:c>
      <x:c r="C53" s="32" t="str">
        <x:v>DDJ 1</x:v>
      </x:c>
      <x:c r="D53" s="32" t="str">
        <x:v>Creature</x:v>
      </x:c>
      <x:c r="E53" s="36" t="n">
        <x:v>6</x:v>
      </x:c>
      <x:c r="F53" s="32" t="str">
        <x:v>8. Finishers / tax / utility</x:v>
      </x:c>
      <x:c r="G53" s="32" t="str">
        <x:v>Damage draw / Curiosity combo</x:v>
      </x:c>
      <x:c r="H53" s="32" t="str">
        <x:v>Retained</x:v>
      </x:c>
      <x:c r="I53" s="32" t="str">
        <x:v>*F*</x:v>
      </x:c>
      <x:c r="J53" s="32" t="str">
        <x:v>Curiosity combo piece. Alternate finish, while acknowledging the secondary spellslinger package.</x:v>
      </x:c>
    </x:row>
    <x:row r="54">
      <x:c r="A54" s="36" t="n">
        <x:v>1</x:v>
      </x:c>
      <x:c r="B54" s="32" t="str">
        <x:v>Order of Succession</x:v>
      </x:c>
      <x:c r="C54" s="32" t="str">
        <x:v>C13 52</x:v>
      </x:c>
      <x:c r="D54" s="32" t="str">
        <x:v>Sorcery</x:v>
      </x:c>
      <x:c r="E54" s="36" t="n">
        <x:v>4</x:v>
      </x:c>
      <x:c r="F54" s="32" t="str">
        <x:v>4. Theft — permanent / control</x:v>
      </x:c>
      <x:c r="G54" s="32" t="str">
        <x:v>Political control exchange</x:v>
      </x:c>
      <x:c r="H54" s="32" t="str">
        <x:v>Retained</x:v>
      </x:c>
      <x:c r="I54" s="32" t="str"/>
      <x:c r="J54" s="32" t="str">
        <x:v>Politically interesting control exchange; outcome depends on turn order and choices.</x:v>
      </x:c>
    </x:row>
    <x:row r="55">
      <x:c r="A55" s="36" t="n">
        <x:v>1</x:v>
      </x:c>
      <x:c r="B55" s="32" t="str">
        <x:v>Propaganda</x:v>
      </x:c>
      <x:c r="C55" s="32" t="str">
        <x:v>ACR 85</x:v>
      </x:c>
      <x:c r="D55" s="32" t="str">
        <x:v>Enchantment</x:v>
      </x:c>
      <x:c r="E55" s="36" t="n">
        <x:v>3</x:v>
      </x:c>
      <x:c r="F55" s="32" t="str">
        <x:v>8. Finishers / tax / utility</x:v>
      </x:c>
      <x:c r="G55" s="32" t="str">
        <x:v>Tax / deterrent</x:v>
      </x:c>
      <x:c r="H55" s="32" t="str">
        <x:v>Retained</x:v>
      </x:c>
      <x:c r="I55" s="32" t="str"/>
      <x:c r="J55" s="32" t="str">
        <x:v>Taxes attacks toward you; protects setup but doesn't directly advance theft.</x:v>
      </x:c>
    </x:row>
    <x:row r="56">
      <x:c r="A56" s="36" t="n">
        <x:v>1</x:v>
      </x:c>
      <x:c r="B56" s="32" t="str">
        <x:v>Quasiduplicate</x:v>
      </x:c>
      <x:c r="C56" s="32" t="str">
        <x:v>RVR 55</x:v>
      </x:c>
      <x:c r="D56" s="32" t="str">
        <x:v>Sorcery</x:v>
      </x:c>
      <x:c r="E56" s="36" t="n">
        <x:v>3</x:v>
      </x:c>
      <x:c r="F56" s="32" t="str">
        <x:v>5. Copy / clone / spell manipulation</x:v>
      </x:c>
      <x:c r="G56" s="32" t="str">
        <x:v>Repeatable copy spell with jump-start; can copy borrowed creatures, but is normally sorcery-speed.</x:v>
      </x:c>
      <x:c r="H56" s="32" t="str">
        <x:v>Retained</x:v>
      </x:c>
      <x:c r="I56" s="32" t="str">
        <x:v>*F*</x:v>
      </x:c>
      <x:c r="J56" s="32" t="str">
        <x:v>Repeatable copy spell with jump-start; can copy borrowed creatures, but is normally sorcery-speed.</x:v>
      </x:c>
    </x:row>
    <x:row r="57">
      <x:c r="A57" s="36" t="n">
        <x:v>1</x:v>
      </x:c>
      <x:c r="B57" s="32" t="str">
        <x:v>Redirect</x:v>
      </x:c>
      <x:c r="C57" s="32" t="str">
        <x:v>M13 64</x:v>
      </x:c>
      <x:c r="D57" s="32" t="str">
        <x:v>Instant</x:v>
      </x:c>
      <x:c r="E57" s="36" t="n">
        <x:v>2</x:v>
      </x:c>
      <x:c r="F57" s="32" t="str">
        <x:v>5. Copy / clone / spell manipulation</x:v>
      </x:c>
      <x:c r="G57" s="32" t="str">
        <x:v>Changes a spell's targets, subject to legal-target rules. Political trick, not a broad counterspell.</x:v>
      </x:c>
      <x:c r="H57" s="32" t="str">
        <x:v>Retained</x:v>
      </x:c>
      <x:c r="I57" s="32" t="str"/>
      <x:c r="J57" s="32" t="str">
        <x:v>Changes a spell's targets, subject to legal-target rules. Political trick, not a broad counterspell.</x:v>
      </x:c>
    </x:row>
    <x:row r="58">
      <x:c r="A58" s="36" t="n">
        <x:v>1</x:v>
      </x:c>
      <x:c r="B58" s="32" t="str">
        <x:v>Reliquary Tower</x:v>
      </x:c>
      <x:c r="C58" s="32" t="str">
        <x:v>CMM 425</x:v>
      </x:c>
      <x:c r="D58" s="32" t="str">
        <x:v>Land</x:v>
      </x:c>
      <x:c r="E58" s="36" t="n">
        <x:v>0</x:v>
      </x:c>
      <x:c r="F58" s="32" t="str">
        <x:v>1. Ramp + mana base</x:v>
      </x:c>
      <x:c r="G58" s="32" t="str">
        <x:v>Role classified by deck context; evaluate via playtests.</x:v>
      </x:c>
      <x:c r="H58" s="32" t="str">
        <x:v>Retained</x:v>
      </x:c>
      <x:c r="I58" s="32" t="str"/>
      <x:c r="J58" s="32" t="str">
        <x:v>Assess fit against theft/control identity; no specific pet status inferred.</x:v>
      </x:c>
    </x:row>
    <x:row r="59">
      <x:c r="A59" s="36" t="n">
        <x:v>1</x:v>
      </x:c>
      <x:c r="B59" s="32" t="str">
        <x:v>Rhystic Study</x:v>
      </x:c>
      <x:c r="C59" s="32" t="str">
        <x:v>PCY 45</x:v>
      </x:c>
      <x:c r="D59" s="32" t="str">
        <x:v>Enchantment</x:v>
      </x:c>
      <x:c r="E59" s="36" t="n">
        <x:v>3</x:v>
      </x:c>
      <x:c r="F59" s="32" t="str">
        <x:v>2. Draw + selection</x:v>
      </x:c>
      <x:c r="G59" s="32" t="str">
        <x:v>Important ongoing card advantage; helps keep mana available for reactive plays.</x:v>
      </x:c>
      <x:c r="H59" s="32" t="str">
        <x:v>Retained</x:v>
      </x:c>
      <x:c r="I59" s="32" t="str"/>
      <x:c r="J59" s="32" t="str">
        <x:v>Important ongoing card advantage; helps keep mana available for reactive plays.</x:v>
      </x:c>
    </x:row>
    <x:row r="60">
      <x:c r="A60" s="36" t="n">
        <x:v>1</x:v>
      </x:c>
      <x:c r="B60" s="32" t="str">
        <x:v>Run Away Together</x:v>
      </x:c>
      <x:c r="C60" s="32" t="str">
        <x:v>CLB 92</x:v>
      </x:c>
      <x:c r="D60" s="32" t="str">
        <x:v>Instant</x:v>
      </x:c>
      <x:c r="E60" s="36" t="n">
        <x:v>2</x:v>
      </x:c>
      <x:c r="F60" s="32" t="str">
        <x:v>6. Interaction — counters / removal / resets</x:v>
      </x:c>
      <x:c r="G60" s="32" t="str">
        <x:v>Role classified by deck context; evaluate via playtests.</x:v>
      </x:c>
      <x:c r="H60" s="32" t="str">
        <x:v>Retained</x:v>
      </x:c>
      <x:c r="I60" s="32" t="str"/>
      <x:c r="J60" s="32" t="str">
        <x:v>Assess fit against theft/control identity; no specific pet status inferred.</x:v>
      </x:c>
    </x:row>
    <x:row r="61">
      <x:c r="A61" s="36" t="n">
        <x:v>1</x:v>
      </x:c>
      <x:c r="B61" s="32" t="str">
        <x:v>Sakashima's Will</x:v>
      </x:c>
      <x:c r="C61" s="32" t="str">
        <x:v>CMR 91</x:v>
      </x:c>
      <x:c r="D61" s="32" t="str">
        <x:v>Sorcery</x:v>
      </x:c>
      <x:c r="E61" s="36" t="n">
        <x:v>4</x:v>
      </x:c>
      <x:c r="F61" s="32" t="str">
        <x:v>5. Copy / clone / spell manipulation</x:v>
      </x:c>
      <x:c r="G61" s="32" t="str">
        <x:v>Role classified by deck context; evaluate via playtests.</x:v>
      </x:c>
      <x:c r="H61" s="32" t="str">
        <x:v>Retained</x:v>
      </x:c>
      <x:c r="I61" s="32" t="str"/>
      <x:c r="J61" s="32" t="str">
        <x:v>Assess fit against theft/control identity; no specific pet status inferred.</x:v>
      </x:c>
    </x:row>
    <x:row r="62">
      <x:c r="A62" s="36" t="n">
        <x:v>1</x:v>
      </x:c>
      <x:c r="B62" s="32" t="str">
        <x:v>Sensei's Divining Top</x:v>
      </x:c>
      <x:c r="C62" s="32" t="str">
        <x:v>2X2 398</x:v>
      </x:c>
      <x:c r="D62" s="32" t="str">
        <x:v>Artifact</x:v>
      </x:c>
      <x:c r="E62" s="36" t="n">
        <x:v>1</x:v>
      </x:c>
      <x:c r="F62" s="32" t="str">
        <x:v>2. Draw + selection</x:v>
      </x:c>
      <x:c r="G62" s="32" t="str">
        <x:v>Card selection, but not true card advantage and requires mana to use repeatedly.</x:v>
      </x:c>
      <x:c r="H62" s="32" t="str">
        <x:v>Retained</x:v>
      </x:c>
      <x:c r="I62" s="32" t="str">
        <x:v>*F*</x:v>
      </x:c>
      <x:c r="J62" s="32" t="str">
        <x:v>Card selection, but not true card advantage and requires mana to use repeatedly.</x:v>
      </x:c>
    </x:row>
    <x:row r="63">
      <x:c r="A63" s="36" t="n">
        <x:v>1</x:v>
      </x:c>
      <x:c r="B63" s="32" t="str">
        <x:v>Silundi Vision</x:v>
      </x:c>
      <x:c r="C63" s="32" t="str">
        <x:v>ZNR 80</x:v>
      </x:c>
      <x:c r="D63" s="32" t="str">
        <x:v>MDFC — Sorcery/Land</x:v>
      </x:c>
      <x:c r="E63" s="36" t="n">
        <x:v>3</x:v>
      </x:c>
      <x:c r="F63" s="32" t="str">
        <x:v>2. Draw + selection</x:v>
      </x:c>
      <x:c r="G63" s="32" t="str">
        <x:v>Selection spell or tapped land</x:v>
      </x:c>
      <x:c r="H63" s="32" t="str">
        <x:v>Retained</x:v>
      </x:c>
      <x:c r="I63" s="32" t="str"/>
      <x:c r="J63" s="32" t="str">
        <x:v>Assess fit against theft/control identity; no specific pet status inferred.</x:v>
      </x:c>
    </x:row>
    <x:row r="64">
      <x:c r="A64" s="36" t="n">
        <x:v>1</x:v>
      </x:c>
      <x:c r="B64" s="32" t="str">
        <x:v>Sol Ring</x:v>
      </x:c>
      <x:c r="C64" s="32" t="str">
        <x:v>CMR 472</x:v>
      </x:c>
      <x:c r="D64" s="32" t="str">
        <x:v>Artifact</x:v>
      </x:c>
      <x:c r="E64" s="36" t="n">
        <x:v>1</x:v>
      </x:c>
      <x:c r="F64" s="32" t="str">
        <x:v>1. Ramp + mana base</x:v>
      </x:c>
      <x:c r="G64" s="32" t="str">
        <x:v>Role classified by deck context; evaluate via playtests.</x:v>
      </x:c>
      <x:c r="H64" s="32" t="str">
        <x:v>Retained</x:v>
      </x:c>
      <x:c r="I64" s="32" t="str"/>
      <x:c r="J64" s="32" t="str">
        <x:v>Assess fit against theft/control identity; no specific pet status inferred.</x:v>
      </x:c>
    </x:row>
    <x:row r="65">
      <x:c r="A65" s="36" t="n">
        <x:v>1</x:v>
      </x:c>
      <x:c r="B65" s="32" t="str">
        <x:v>Steal Enchantment</x:v>
      </x:c>
      <x:c r="C65" s="32" t="str">
        <x:v>TMP 90</x:v>
      </x:c>
      <x:c r="D65" s="32" t="str">
        <x:v>Enchantment</x:v>
      </x:c>
      <x:c r="E65" s="36" t="n">
        <x:v>3</x:v>
      </x:c>
      <x:c r="F65" s="32" t="str">
        <x:v>4. Theft — permanent / control</x:v>
      </x:c>
      <x:c r="G65" s="32" t="str">
        <x:v>Niche, but directly on-theme: takes an opposing enchantment.</x:v>
      </x:c>
      <x:c r="H65" s="32" t="str">
        <x:v>Retained</x:v>
      </x:c>
      <x:c r="I65" s="32" t="str"/>
      <x:c r="J65" s="32" t="str">
        <x:v>Niche, but directly on-theme: takes an opposing enchantment.</x:v>
      </x:c>
    </x:row>
    <x:row r="66">
      <x:c r="A66" s="36" t="n">
        <x:v>1</x:v>
      </x:c>
      <x:c r="B66" s="32" t="str">
        <x:v>Talisman of Creativity</x:v>
      </x:c>
      <x:c r="C66" s="32" t="str">
        <x:v>CLB 876</x:v>
      </x:c>
      <x:c r="D66" s="32" t="str">
        <x:v>Artifact</x:v>
      </x:c>
      <x:c r="E66" s="36" t="n">
        <x:v>2</x:v>
      </x:c>
      <x:c r="F66" s="32" t="str">
        <x:v>1. Ramp + mana base</x:v>
      </x:c>
      <x:c r="G66" s="32" t="str">
        <x:v>Role classified by deck context; evaluate via playtests.</x:v>
      </x:c>
      <x:c r="H66" s="32" t="str">
        <x:v>Retained</x:v>
      </x:c>
      <x:c r="I66" s="32" t="str"/>
      <x:c r="J66" s="32" t="str">
        <x:v>Assess fit against theft/control identity; no specific pet status inferred.</x:v>
      </x:c>
    </x:row>
    <x:row r="67">
      <x:c r="A67" s="36" t="n">
        <x:v>1</x:v>
      </x:c>
      <x:c r="B67" s="32" t="str">
        <x:v>Telepathy</x:v>
      </x:c>
      <x:c r="C67" s="32" t="str">
        <x:v>8ED 105</x:v>
      </x:c>
      <x:c r="D67" s="32" t="str">
        <x:v>Enchantment</x:v>
      </x:c>
      <x:c r="E67" s="36" t="n">
        <x:v>1</x:v>
      </x:c>
      <x:c r="F67" s="32" t="str">
        <x:v>7. Zara engine — haste / protection / retain theft</x:v>
      </x:c>
      <x:c r="G67" s="32" t="str">
        <x:v>Information advantage / target selection</x:v>
      </x:c>
      <x:c r="H67" s="32" t="str">
        <x:v>Retained</x:v>
      </x:c>
      <x:c r="I67" s="32" t="str"/>
      <x:c r="J67" s="32" t="str">
        <x:v>Reveals all opponents' hands, improving Zara target selection and creating political information.</x:v>
      </x:c>
    </x:row>
    <x:row r="68">
      <x:c r="A68" s="36" t="n">
        <x:v>1</x:v>
      </x:c>
      <x:c r="B68" s="32" t="str">
        <x:v>Temple of Epiphany</x:v>
      </x:c>
      <x:c r="C68" s="32" t="str">
        <x:v>CLB 923</x:v>
      </x:c>
      <x:c r="D68" s="32" t="str">
        <x:v>Land</x:v>
      </x:c>
      <x:c r="E68" s="36" t="n">
        <x:v>0</x:v>
      </x:c>
      <x:c r="F68" s="32" t="str">
        <x:v>1. Ramp + mana base</x:v>
      </x:c>
      <x:c r="G68" s="32" t="str">
        <x:v>Role classified by deck context; evaluate via playtests.</x:v>
      </x:c>
      <x:c r="H68" s="32" t="str">
        <x:v>Retained</x:v>
      </x:c>
      <x:c r="I68" s="32" t="str"/>
      <x:c r="J68" s="32" t="str">
        <x:v>Assess fit against theft/control identity; no specific pet status inferred.</x:v>
      </x:c>
    </x:row>
    <x:row r="69">
      <x:c r="A69" s="36" t="n">
        <x:v>1</x:v>
      </x:c>
      <x:c r="B69" s="32" t="str">
        <x:v>Temple of the False God</x:v>
      </x:c>
      <x:c r="C69" s="32" t="str">
        <x:v>VOC 187</x:v>
      </x:c>
      <x:c r="D69" s="32" t="str">
        <x:v>Land</x:v>
      </x:c>
      <x:c r="E69" s="36" t="n">
        <x:v>0</x:v>
      </x:c>
      <x:c r="F69" s="32" t="str">
        <x:v>1. Ramp + mana base</x:v>
      </x:c>
      <x:c r="G69" s="32" t="str">
        <x:v>Conditional mana source that is poor early, especially alongside only 31 physical lands.</x:v>
      </x:c>
      <x:c r="H69" s="32" t="str">
        <x:v>Retained</x:v>
      </x:c>
      <x:c r="I69" s="32" t="str"/>
      <x:c r="J69" s="32" t="str">
        <x:v>Conditional mana source that is poor early, especially alongside only 31 physical lands.</x:v>
      </x:c>
    </x:row>
    <x:row r="70">
      <x:c r="A70" s="36" t="n">
        <x:v>1</x:v>
      </x:c>
      <x:c r="B70" s="32" t="str">
        <x:v>Unwilling Recruit</x:v>
      </x:c>
      <x:c r="C70" s="32" t="str">
        <x:v>EVE 64</x:v>
      </x:c>
      <x:c r="D70" s="32" t="str">
        <x:v>Sorcery</x:v>
      </x:c>
      <x:c r="E70" s="36" t="n">
        <x:v>3</x:v>
      </x:c>
      <x:c r="F70" s="32" t="str">
        <x:v>3. Theft — temporary / combat</x:v>
      </x:c>
      <x:c r="G70" s="32" t="str">
        <x:v>Scalable temporary theft</x:v>
      </x:c>
      <x:c r="H70" s="32" t="str">
        <x:v>Retained</x:v>
      </x:c>
      <x:c r="I70" s="32" t="str"/>
      <x:c r="J70" s="32" t="str">
        <x:v>Scalable temporary theft with haste; triple-red pip can stress the mana base.</x:v>
      </x:c>
    </x:row>
    <x:row r="71">
      <x:c r="A71" s="36" t="n">
        <x:v>1</x:v>
      </x:c>
      <x:c r="B71" s="32" t="str">
        <x:v>Vandalblast</x:v>
      </x:c>
      <x:c r="C71" s="32" t="str">
        <x:v>RTR 111</x:v>
      </x:c>
      <x:c r="D71" s="32" t="str">
        <x:v>Sorcery</x:v>
      </x:c>
      <x:c r="E71" s="36" t="n">
        <x:v>1</x:v>
      </x:c>
      <x:c r="F71" s="32" t="str">
        <x:v>6. Interaction — counters / removal / resets</x:v>
      </x:c>
      <x:c r="G71" s="32" t="str">
        <x:v>Artifact removal / overload wipe</x:v>
      </x:c>
      <x:c r="H71" s="32" t="str">
        <x:v>Retained</x:v>
      </x:c>
      <x:c r="I71" s="32" t="str"/>
      <x:c r="J71" s="32" t="str">
        <x:v>Assess fit against theft/control identity; no specific pet status inferred.</x:v>
      </x:c>
    </x:row>
    <x:row r="72">
      <x:c r="A72" s="36" t="n">
        <x:v>1</x:v>
      </x:c>
      <x:c r="B72" s="32" t="str">
        <x:v>Vivid Crag</x:v>
      </x:c>
      <x:c r="C72" s="32" t="str">
        <x:v>MMA 225</x:v>
      </x:c>
      <x:c r="D72" s="32" t="str">
        <x:v>Land</x:v>
      </x:c>
      <x:c r="E72" s="36" t="n">
        <x:v>0</x:v>
      </x:c>
      <x:c r="F72" s="32" t="str">
        <x:v>1. Ramp + mana base</x:v>
      </x:c>
      <x:c r="G72" s="32" t="str">
        <x:v>Enters tapped and has limited colored-charge flexibility; slower than untapped duals.</x:v>
      </x:c>
      <x:c r="H72" s="32" t="str">
        <x:v>Retained</x:v>
      </x:c>
      <x:c r="I72" s="32" t="str"/>
      <x:c r="J72" s="32" t="str">
        <x:v>Enters tapped and has limited colored-charge flexibility; slower than untapped duals.</x:v>
      </x:c>
    </x:row>
    <x:row r="73">
      <x:c r="A73" s="36" t="n">
        <x:v>1</x:v>
      </x:c>
      <x:c r="B73" s="32" t="str">
        <x:v>Vivid Creek</x:v>
      </x:c>
      <x:c r="C73" s="32" t="str">
        <x:v>MMA 226</x:v>
      </x:c>
      <x:c r="D73" s="32" t="str">
        <x:v>Land</x:v>
      </x:c>
      <x:c r="E73" s="36" t="n">
        <x:v>0</x:v>
      </x:c>
      <x:c r="F73" s="32" t="str">
        <x:v>1. Ramp + mana base</x:v>
      </x:c>
      <x:c r="G73" s="32" t="str">
        <x:v>Enters tapped and has limited colored-charge flexibility; slower than untapped duals.</x:v>
      </x:c>
      <x:c r="H73" s="32" t="str">
        <x:v>Retained</x:v>
      </x:c>
      <x:c r="I73" s="32" t="str"/>
      <x:c r="J73" s="32" t="str">
        <x:v>Enters tapped and has limited colored-charge flexibility; slower than untapped duals.</x:v>
      </x:c>
    </x:row>
    <x:row r="74">
      <x:c r="A74" s="36" t="n">
        <x:v>1</x:v>
      </x:c>
      <x:c r="B74" s="32" t="str">
        <x:v>Sundial of the Infinite</x:v>
      </x:c>
      <x:c r="C74" s="32" t="str">
        <x:v>PROPOSED — printing not selected</x:v>
      </x:c>
      <x:c r="D74" s="32" t="str">
        <x:v>Artifact</x:v>
      </x:c>
      <x:c r="E74" s="36" t="n">
        <x:v>2</x:v>
      </x:c>
      <x:c r="F74" s="32" t="str">
        <x:v>7. Zara engine — haste / protection / retain theft</x:v>
      </x:c>
      <x:c r="G74" s="32" t="str">
        <x:v>Keep Zara's borrowed creature by ending turn with return trigger on stack</x:v>
      </x:c>
      <x:c r="H74" s="32" t="str">
        <x:v>Added — proposed</x:v>
      </x:c>
      <x:c r="I74" s="32" t="str"/>
      <x:c r="J74" s="32" t="str">
        <x:v>Priority engine: after Zara's delayed return trigger is on the stack during your end step, activate Sundial to end the turn; that trigger is exiled from the stack.</x:v>
      </x:c>
    </x:row>
    <x:row r="75">
      <x:c r="A75" s="36" t="n">
        <x:v>1</x:v>
      </x:c>
      <x:c r="B75" s="32" t="str">
        <x:v>Conjurer's Closet</x:v>
      </x:c>
      <x:c r="C75" s="32" t="str">
        <x:v>PROPOSED — printing not selected</x:v>
      </x:c>
      <x:c r="D75" s="32" t="str">
        <x:v>Artifact</x:v>
      </x:c>
      <x:c r="E75" s="36" t="n">
        <x:v>5</x:v>
      </x:c>
      <x:c r="F75" s="32" t="str">
        <x:v>7. Zara engine — haste / protection / retain theft</x:v>
      </x:c>
      <x:c r="G75" s="32" t="str">
        <x:v>Blink borrowed creature before return trigger resolves</x:v>
      </x:c>
      <x:c r="H75" s="32" t="str">
        <x:v>Added — proposed</x:v>
      </x:c>
      <x:c r="I75" s="32" t="str"/>
      <x:c r="J75" s="32" t="str">
        <x:v>At your end step, stack its blink trigger above Zara's return trigger; blinking the borrowed creature makes it a new object so the delayed return won't find it.</x:v>
      </x:c>
    </x:row>
    <x:row r="76">
      <x:c r="A76" s="36" t="n">
        <x:v>1</x:v>
      </x:c>
      <x:c r="B76" s="32" t="str">
        <x:v>Ghostly Flicker</x:v>
      </x:c>
      <x:c r="C76" s="32" t="str">
        <x:v>PROPOSED — printing not selected</x:v>
      </x:c>
      <x:c r="D76" s="32" t="str">
        <x:v>Instant</x:v>
      </x:c>
      <x:c r="E76" s="36" t="n">
        <x:v>3</x:v>
      </x:c>
      <x:c r="F76" s="32" t="str">
        <x:v>6. Interaction — counters / removal / resets</x:v>
      </x:c>
      <x:c r="G76" s="32" t="str">
        <x:v>Instant-speed blink / protect borrowed creature</x:v>
      </x:c>
      <x:c r="H76" s="32" t="str">
        <x:v>Added — proposed</x:v>
      </x:c>
      <x:c r="I76" s="32" t="str"/>
      <x:c r="J76" s="32" t="str">
        <x:v>Instant-speed blink of the borrowed creature plus another artifact/creature/land you control; new object avoids Zara's return effect. Also protects/value loops.</x:v>
      </x:c>
    </x:row>
    <x:row r="77">
      <x:c r="A77" s="36" t="n">
        <x:v>1</x:v>
      </x:c>
      <x:c r="B77" s="32" t="str">
        <x:v>Agent of Treachery</x:v>
      </x:c>
      <x:c r="C77" s="32" t="str">
        <x:v>PROPOSED — printing not selected</x:v>
      </x:c>
      <x:c r="D77" s="32" t="str">
        <x:v>Creature</x:v>
      </x:c>
      <x:c r="E77" s="36" t="n">
        <x:v>7</x:v>
      </x:c>
      <x:c r="F77" s="32" t="str">
        <x:v>4. Theft — permanent / control</x:v>
      </x:c>
      <x:c r="G77" s="32" t="str">
        <x:v>Permanent theft and potential draw-three engine</x:v>
      </x:c>
      <x:c r="H77" s="32" t="str">
        <x:v>Added — proposed</x:v>
      </x:c>
      <x:c r="I77" s="32" t="str"/>
      <x:c r="J77" s="32" t="str">
        <x:v>High-cost but on-theme permanent theft. Its ETB control change has no duration clause, and it can draw three if you control three or more permanents you don't own at end step.</x:v>
      </x:c>
    </x:row>
    <x:row r="78">
      <x:c r="A78" s="36" t="n">
        <x:v>1</x:v>
      </x:c>
      <x:c r="B78" s="32" t="str">
        <x:v>Stolen Strategy</x:v>
      </x:c>
      <x:c r="C78" s="32" t="str">
        <x:v>PROPOSED — printing not selected</x:v>
      </x:c>
      <x:c r="D78" s="32" t="str">
        <x:v>Enchantment</x:v>
      </x:c>
      <x:c r="E78" s="36" t="n">
        <x:v>5</x:v>
      </x:c>
      <x:c r="F78" s="32" t="str">
        <x:v>8. Finishers / tax / utility</x:v>
      </x:c>
      <x:c r="G78" s="32" t="str">
        <x:v>Cast spells from opponents' libraries</x:v>
      </x:c>
      <x:c r="H78" s="32" t="str">
        <x:v>Added — proposed</x:v>
      </x:c>
      <x:c r="I78" s="32" t="str"/>
      <x:c r="J78" s="32" t="str">
        <x:v>Upkeep engine that lets you cast spells from each opponent's library top; direct support for the 'play their cards' identity.</x:v>
      </x:c>
    </x:row>
    <x:row r="79">
      <x:c r="A79" s="36" t="n">
        <x:v>1</x:v>
      </x:c>
      <x:c r="B79" s="32" t="str">
        <x:v>Port Razer</x:v>
      </x:c>
      <x:c r="C79" s="32" t="str">
        <x:v>PROPOSED — printing not selected</x:v>
      </x:c>
      <x:c r="D79" s="32" t="str">
        <x:v>Creature</x:v>
      </x:c>
      <x:c r="E79" s="36" t="n">
        <x:v>5</x:v>
      </x:c>
      <x:c r="F79" s="32" t="str">
        <x:v>3. Theft — temporary / combat</x:v>
      </x:c>
      <x:c r="G79" s="32" t="str">
        <x:v>Extra combat; gives Zara another attack trigger</x:v>
      </x:c>
      <x:c r="H79" s="32" t="str">
        <x:v>Added — proposed</x:v>
      </x:c>
      <x:c r="I79" s="32" t="str"/>
      <x:c r="J79" s="32" t="str">
        <x:v>Extra combat payoff; when it deals combat damage to a player for the first time each turn, untaps attacking creatures and creates another combat phase, giving Zara another attack trigger.</x:v>
      </x:c>
    </x:row>
    <x:row r="80">
      <x:c r="A80" s="36" t="n">
        <x:v>1</x:v>
      </x:c>
      <x:c r="B80" s="32" t="str">
        <x:v>Bribery</x:v>
      </x:c>
      <x:c r="C80" s="32" t="str">
        <x:v>PROPOSED — printing not selected</x:v>
      </x:c>
      <x:c r="D80" s="32" t="str">
        <x:v>Sorcery</x:v>
      </x:c>
      <x:c r="E80" s="36" t="n">
        <x:v>5</x:v>
      </x:c>
      <x:c r="F80" s="32" t="str">
        <x:v>4. Theft — permanent / control</x:v>
      </x:c>
      <x:c r="G80" s="32" t="str">
        <x:v>Steal creature from opponent's library</x:v>
      </x:c>
      <x:c r="H80" s="32" t="str">
        <x:v>Added — proposed</x:v>
      </x:c>
      <x:c r="I80" s="32" t="str"/>
      <x:c r="J80" s="32" t="str">
        <x:v>Steals the best creature from an opponent's library directly onto your battlefield; powerful but five mana and may raise threat perception.</x:v>
      </x:c>
    </x:row>
    <x:row r="81">
      <x:c r="A81" s="36" t="n">
        <x:v>1</x:v>
      </x:c>
      <x:c r="B81" s="32" t="str">
        <x:v>Chaos Warp</x:v>
      </x:c>
      <x:c r="C81" s="32" t="str">
        <x:v>PROPOSED — printing not selected</x:v>
      </x:c>
      <x:c r="D81" s="32" t="str">
        <x:v>Instant</x:v>
      </x:c>
      <x:c r="E81" s="36" t="n">
        <x:v>3</x:v>
      </x:c>
      <x:c r="F81" s="32" t="str">
        <x:v>6. Interaction — counters / removal / resets</x:v>
      </x:c>
      <x:c r="G81" s="32" t="str">
        <x:v>Flexible answer to any permanent type</x:v>
      </x:c>
      <x:c r="H81" s="32" t="str">
        <x:v>Added — proposed</x:v>
      </x:c>
      <x:c r="I81" s="32" t="str"/>
      <x:c r="J81" s="32" t="str">
        <x:v>Flexible answer to almost any problematic permanent; improves red's interaction coverage.</x:v>
      </x:c>
    </x:row>
    <x:row r="82">
      <x:c r="A82" s="36" t="n">
        <x:v>1</x:v>
      </x:c>
      <x:c r="B82" s="32" t="str">
        <x:v>Steam Vents</x:v>
      </x:c>
      <x:c r="C82" s="32" t="str">
        <x:v>PROPOSED — printing not selected</x:v>
      </x:c>
      <x:c r="D82" s="32" t="str">
        <x:v>Land</x:v>
      </x:c>
      <x:c r="E82" s="36" t="n">
        <x:v>0</x:v>
      </x:c>
      <x:c r="F82" s="32" t="str">
        <x:v>1. Ramp + mana base</x:v>
      </x:c>
      <x:c r="G82" s="32" t="str">
        <x:v>Untapped dual when needed; supports colored requirements.</x:v>
      </x:c>
      <x:c r="H82" s="32" t="str">
        <x:v>Added — proposed</x:v>
      </x:c>
      <x:c r="I82" s="32" t="str"/>
      <x:c r="J82" s="32" t="str">
        <x:v>Untapped dual when needed; supports colored requirements.</x:v>
      </x:c>
    </x:row>
    <x:row r="83">
      <x:c r="A83" s="36" t="n">
        <x:v>1</x:v>
      </x:c>
      <x:c r="B83" s="32" t="str">
        <x:v>Shivan Reef</x:v>
      </x:c>
      <x:c r="C83" s="32" t="str">
        <x:v>PROPOSED — printing not selected</x:v>
      </x:c>
      <x:c r="D83" s="32" t="str">
        <x:v>Land</x:v>
      </x:c>
      <x:c r="E83" s="36" t="n">
        <x:v>0</x:v>
      </x:c>
      <x:c r="F83" s="32" t="str">
        <x:v>1. Ramp + mana base</x:v>
      </x:c>
      <x:c r="G83" s="32" t="str">
        <x:v>Untapped dual/fixer, at a small life cost.</x:v>
      </x:c>
      <x:c r="H83" s="32" t="str">
        <x:v>Added — proposed</x:v>
      </x:c>
      <x:c r="I83" s="32" t="str"/>
      <x:c r="J83" s="32" t="str">
        <x:v>Untapped dual/fixer, at a small life cost.</x:v>
      </x:c>
    </x:row>
    <x:row r="84">
      <x:c r="A84" s="36" t="n">
        <x:v>1</x:v>
      </x:c>
      <x:c r="B84" s="32" t="str">
        <x:v>Training Center</x:v>
      </x:c>
      <x:c r="C84" s="32" t="str">
        <x:v>PROPOSED — printing not selected</x:v>
      </x:c>
      <x:c r="D84" s="32" t="str">
        <x:v>Land</x:v>
      </x:c>
      <x:c r="E84" s="36" t="n">
        <x:v>0</x:v>
      </x:c>
      <x:c r="F84" s="32" t="str">
        <x:v>1. Ramp + mana base</x:v>
      </x:c>
      <x:c r="G84" s="32" t="str">
        <x:v>Usually untapped in multiplayer; improves color fixing.</x:v>
      </x:c>
      <x:c r="H84" s="32" t="str">
        <x:v>Added — proposed</x:v>
      </x:c>
      <x:c r="I84" s="32" t="str"/>
      <x:c r="J84" s="32" t="str">
        <x:v>Usually untapped in multiplayer; improves color fixing.</x:v>
      </x:c>
    </x:row>
    <x:row r="85">
      <x:c r="A85" s="36" t="n">
        <x:v>1</x:v>
      </x:c>
      <x:c r="B85" s="32" t="str">
        <x:v>Stormcarved Coast</x:v>
      </x:c>
      <x:c r="C85" s="32" t="str">
        <x:v>PROPOSED — printing not selected</x:v>
      </x:c>
      <x:c r="D85" s="32" t="str">
        <x:v>Land</x:v>
      </x:c>
      <x:c r="E85" s="36" t="n">
        <x:v>0</x:v>
      </x:c>
      <x:c r="F85" s="32" t="str">
        <x:v>1. Ramp + mana base</x:v>
      </x:c>
      <x:c r="G85" s="32" t="str">
        <x:v>Often untapped in mid/late game, improving colored sources.</x:v>
      </x:c>
      <x:c r="H85" s="32" t="str">
        <x:v>Added — proposed</x:v>
      </x:c>
      <x:c r="I85" s="32" t="str"/>
      <x:c r="J85" s="32" t="str">
        <x:v>Often untapped in mid/late game, improving colored sources.</x:v>
      </x:c>
    </x:row>
    <x:row r="86">
      <x:c r="A86" s="36" t="n">
        <x:v>1</x:v>
      </x:c>
      <x:c r="B86" s="32" t="str">
        <x:v>Sulfur Falls</x:v>
      </x:c>
      <x:c r="C86" s="32" t="str">
        <x:v>PROPOSED — printing not selected</x:v>
      </x:c>
      <x:c r="D86" s="32" t="str">
        <x:v>Land</x:v>
      </x:c>
      <x:c r="E86" s="36" t="n">
        <x:v>0</x:v>
      </x:c>
      <x:c r="F86" s="32" t="str">
        <x:v>1. Ramp + mana base</x:v>
      </x:c>
      <x:c r="G86" s="32" t="str">
        <x:v>Usually untapped when an Island or Mountain is present; improves reliable fixing.</x:v>
      </x:c>
      <x:c r="H86" s="32" t="str">
        <x:v>Added — proposed</x:v>
      </x:c>
      <x:c r="I86" s="32" t="str"/>
      <x:c r="J86" s="32" t="str">
        <x:v>Usually untapped when an Island or Mountain is present; improves reliable fixing.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3d2acfd9bb564ea3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0" hidden="0" customWidth="1"/>
    <x:col min="4" max="4" width="55" hidden="0" customWidth="1"/>
    <x:col min="5" max="5" width="52" hidden="0" customWidth="1"/>
    <x:col min="6" max="6" width="13" hidden="0" customWidth="1"/>
  </x:cols>
  <x:sheetData>
    <x:row r="1" ht="30" customHeight="1">
      <x:c r="A1" s="5" t="str">
        <x:v>ZARA • UPGRADE MATRIX</x:v>
      </x:c>
      <x:c r="B1" s="5"/>
      <x:c r="C1" s="5"/>
      <x:c r="D1" s="5"/>
      <x:c r="E1" s="5"/>
      <x:c r="F1" s="5"/>
      <x:c r="G1" s="5"/>
    </x:row>
    <x:row r="2" ht="30" customHeight="1">
      <x:c r="A2" s="14" t="str">
        <x:v>PROPOSED V2. Priorities reflect deck function, not card price. All changes remain untested.</x:v>
      </x:c>
      <x:c r="B2" s="14"/>
      <x:c r="C2" s="14"/>
      <x:c r="D2" s="14"/>
      <x:c r="E2" s="14"/>
      <x:c r="F2" s="14"/>
      <x:c r="G2" s="14"/>
    </x:row>
    <x:row r="4" ht="32" customHeight="1">
      <x:c r="A4" s="24" t="str">
        <x:v>OUT — from CURRENT</x:v>
      </x:c>
      <x:c r="B4" s="24" t="str">
        <x:v>IN — PROPOSED</x:v>
      </x:c>
      <x:c r="C4" s="24" t="str">
        <x:v>Priority</x:v>
      </x:c>
      <x:c r="D4" s="24" t="str">
        <x:v>Why the change</x:v>
      </x:c>
      <x:c r="E4" s="24" t="str">
        <x:v>Main risk / caveat</x:v>
      </x:c>
      <x:c r="F4" s="24" t="str">
        <x:v>Confidence</x:v>
      </x:c>
    </x:row>
    <x:row r="5">
      <x:c r="A5" s="32" t="str">
        <x:v>Alchemist's Gambit</x:v>
      </x:c>
      <x:c r="B5" s="32" t="str">
        <x:v>Sundial of the Infinite</x:v>
      </x:c>
      <x:c r="C5" s="32" t="str">
        <x:v>P1 — structural</x:v>
      </x:c>
      <x:c r="D5" s="32" t="str">
        <x:v>Replace a risky extra-turn spell with Zara's signature retention engine.</x:v>
      </x:c>
      <x:c r="E5" s="32" t="str">
        <x:v>Sundial only works during your turn; activate after the return trigger is on the stack. Ending the turn also removes the combat from the game state.</x:v>
      </x:c>
      <x:c r="F5" s="32" t="str">
        <x:v>High</x:v>
      </x:c>
    </x:row>
    <x:row r="6">
      <x:c r="A6" s="32" t="str">
        <x:v>Browbeat</x:v>
      </x:c>
      <x:c r="B6" s="32" t="str">
        <x:v>Conjurer's Closet</x:v>
      </x:c>
      <x:c r="C6" s="32" t="str">
        <x:v>P1 — engine</x:v>
      </x:c>
      <x:c r="D6" s="32" t="str">
        <x:v>Trade opponent-choice draw/damage for a repeatable end-step blink that can keep Zara's borrowed creature.</x:v>
      </x:c>
      <x:c r="E6" s="32" t="str">
        <x:v>Costs five mana and is slow; must order the Closet trigger above Zara's return trigger.</x:v>
      </x:c>
      <x:c r="F6" s="32" t="str">
        <x:v>High</x:v>
      </x:c>
    </x:row>
    <x:row r="7">
      <x:c r="A7" s="32" t="str">
        <x:v>Firemind's Research</x:v>
      </x:c>
      <x:c r="B7" s="32" t="str">
        <x:v>Ghostly Flicker</x:v>
      </x:c>
      <x:c r="C7" s="32" t="str">
        <x:v>P1 — engine</x:v>
      </x:c>
      <x:c r="D7" s="32" t="str">
        <x:v>Convert a slow spellslinger payoff into instant-speed blink, protection and retention for borrowed creatures.</x:v>
      </x:c>
      <x:c r="E7" s="32" t="str">
        <x:v>Needs two legal permanents among artifacts/creatures/lands you control; not every target is a creature.</x:v>
      </x:c>
      <x:c r="F7" s="32" t="str">
        <x:v>High</x:v>
      </x:c>
    </x:row>
    <x:row r="8">
      <x:c r="A8" s="32" t="str">
        <x:v>Goblin Electromancer</x:v>
      </x:c>
      <x:c r="B8" s="32" t="str">
        <x:v>Agent of Treachery</x:v>
      </x:c>
      <x:c r="C8" s="32" t="str">
        <x:v>P2 — theft</x:v>
      </x:c>
      <x:c r="D8" s="32" t="str">
        <x:v>Replace spellslinger cost reduction with an ETB permanent-steal threat that may also draw three cards.</x:v>
      </x:c>
      <x:c r="E8" s="32" t="str">
        <x:v>Seven mana when hard-cast; not a cheap value play. Its theft effect persists after Agent leaves.</x:v>
      </x:c>
      <x:c r="F8" s="32" t="str">
        <x:v>Medium</x:v>
      </x:c>
    </x:row>
    <x:row r="9">
      <x:c r="A9" s="32" t="str">
        <x:v>Goblin Flectomancer</x:v>
      </x:c>
      <x:c r="B9" s="32" t="str">
        <x:v>Stolen Strategy</x:v>
      </x:c>
      <x:c r="C9" s="32" t="str">
        <x:v>P2 — identity</x:v>
      </x:c>
      <x:c r="D9" s="32" t="str">
        <x:v>Move from a narrow target-switch creature to a sustained engine for casting cards from opponents' libraries.</x:v>
      </x:c>
      <x:c r="E9" s="32" t="str">
        <x:v>Five mana and upkeep timing; can exile cards you cannot afford to cast that turn.</x:v>
      </x:c>
      <x:c r="F9" s="32" t="str">
        <x:v>High</x:v>
      </x:c>
    </x:row>
    <x:row r="10">
      <x:c r="A10" s="32" t="str">
        <x:v>Parallel Thoughts</x:v>
      </x:c>
      <x:c r="B10" s="32" t="str">
        <x:v>Port Razer</x:v>
      </x:c>
      <x:c r="C10" s="32" t="str">
        <x:v>P1 — closing</x:v>
      </x:c>
      <x:c r="D10" s="32" t="str">
        <x:v>Replace slow setup with an extra-combat payoff that can trigger Zara again in the same turn.</x:v>
      </x:c>
      <x:c r="E10" s="32" t="str">
        <x:v>Needs Port Razer to deal combat damage to a player; vulnerable to blockers and removal.</x:v>
      </x:c>
      <x:c r="F10" s="32" t="str">
        <x:v>High</x:v>
      </x:c>
    </x:row>
    <x:row r="11">
      <x:c r="A11" s="32" t="str">
        <x:v>Smoke</x:v>
      </x:c>
      <x:c r="B11" s="32" t="str">
        <x:v>Bribery</x:v>
      </x:c>
      <x:c r="C11" s="32" t="str">
        <x:v>P2 — theft</x:v>
      </x:c>
      <x:c r="D11" s="32" t="str">
        <x:v>Replace symmetric untap denial with direct access to the best creature in an opponent's library.</x:v>
      </x:c>
      <x:c r="E11" s="32" t="str">
        <x:v>Five mana; raises threat perception and depends on the opponent's deck having a suitable creature.</x:v>
      </x:c>
      <x:c r="F11" s="32" t="str">
        <x:v>High</x:v>
      </x:c>
    </x:row>
    <x:row r="12">
      <x:c r="A12" s="32" t="str">
        <x:v>Sphinx of the Second Sun</x:v>
      </x:c>
      <x:c r="B12" s="32" t="str">
        <x:v>Chaos Warp</x:v>
      </x:c>
      <x:c r="C12" s="32" t="str">
        <x:v>P1 — interaction</x:v>
      </x:c>
      <x:c r="D12" s="32" t="str">
        <x:v>Trade an eight-mana value creature for a flexible answer to nearly any problematic permanent.</x:v>
      </x:c>
      <x:c r="E12" s="32" t="str">
        <x:v>Chaos Warp is a random answer and may replace the threat with another permanent.</x:v>
      </x:c>
      <x:c r="F12" s="32" t="str">
        <x:v>High</x:v>
      </x:c>
    </x:row>
    <x:row r="13">
      <x:c r="A13" s="32" t="str">
        <x:v>Mizzium Mortars</x:v>
      </x:c>
      <x:c r="B13" s="32" t="str">
        <x:v>Steam Vents</x:v>
      </x:c>
      <x:c r="C13" s="32" t="str">
        <x:v>P1 — mana</x:v>
      </x:c>
      <x:c r="D13" s="32" t="str">
        <x:v>Convert a narrow removal slot into an untapped dual-color source; other sweepers and Rift remain.</x:v>
      </x:c>
      <x:c r="E13" s="32" t="str">
        <x:v>Lose targeted creature removal and access to overload; check table needs before adopting.</x:v>
      </x:c>
      <x:c r="F13" s="32" t="str">
        <x:v>Medium</x:v>
      </x:c>
    </x:row>
    <x:row r="14">
      <x:c r="A14" s="32" t="str">
        <x:v>Supreme Will</x:v>
      </x:c>
      <x:c r="B14" s="32" t="str">
        <x:v>Shivan Reef</x:v>
      </x:c>
      <x:c r="C14" s="32" t="str">
        <x:v>P1 — mana</x:v>
      </x:c>
      <x:c r="D14" s="32" t="str">
        <x:v>Improve colored-source count rather than use a three-mana, medium-efficiency counter/selection spell.</x:v>
      </x:c>
      <x:c r="E14" s="32" t="str">
        <x:v>Life loss can add up; keep adequate basic/dual mix.</x:v>
      </x:c>
      <x:c r="F14" s="32" t="str">
        <x:v>Medium</x:v>
      </x:c>
    </x:row>
    <x:row r="15">
      <x:c r="A15" s="32" t="str">
        <x:v>Vadrik, Astral Archmage</x:v>
      </x:c>
      <x:c r="B15" s="32" t="str">
        <x:v>Training Center</x:v>
      </x:c>
      <x:c r="C15" s="32" t="str">
        <x:v>P1 — mana</x:v>
      </x:c>
      <x:c r="D15" s="32" t="str">
        <x:v>Remove a third build-around (spell-cost reduction) and add a multiplayer-friendly dual source.</x:v>
      </x:c>
      <x:c r="E15" s="32" t="str">
        <x:v>Lose some cost reduction for instants and sorceries; this is a deliberate identity choice.</x:v>
      </x:c>
      <x:c r="F15" s="32" t="str">
        <x:v>Medium</x:v>
      </x:c>
    </x:row>
    <x:row r="16">
      <x:c r="A16" s="32" t="str">
        <x:v>Consuming Tide</x:v>
      </x:c>
      <x:c r="B16" s="32" t="str">
        <x:v>Stormcarved Coast</x:v>
      </x:c>
      <x:c r="C16" s="32" t="str">
        <x:v>P1 — mana</x:v>
      </x:c>
      <x:c r="D16" s="32" t="str">
        <x:v>Reduce redundant mass-bounce effects and increase reliable color fixing for the five-mana commander and blue/red pips.</x:v>
      </x:c>
      <x:c r="E16" s="32" t="str">
        <x:v>Lose one catch-up reset/draw effect; test whether Rift + Disk + Blasphemous Act are enough.</x:v>
      </x:c>
      <x:c r="F16" s="32" t="str">
        <x:v>Medium</x:v>
      </x:c>
    </x:row>
    <x:row r="17">
      <x:c r="A17" s="32" t="str">
        <x:v>Exclude</x:v>
      </x:c>
      <x:c r="B17" s="32" t="str">
        <x:v>Sulfur Falls</x:v>
      </x:c>
      <x:c r="C17" s="32" t="str">
        <x:v>P1 — mana</x:v>
      </x:c>
      <x:c r="D17" s="32" t="str">
        <x:v>Trade a three-mana narrow creature counter for a source that usually enters untapped once an Island/Mountain is present.</x:v>
      </x:c>
      <x:c r="E17" s="32" t="str">
        <x:v>Lose a counter that replaces itself; retain Counterspell, Negate, Mana Leak, Essence Capture and other interaction.</x:v>
      </x:c>
      <x:c r="F17" s="32" t="str">
        <x:v>Medium</x:v>
      </x:c>
    </x:row>
  </x:sheetData>
  <x:mergeCells>
    <x:mergeCell ref="A1:G1"/>
    <x:mergeCell ref="A2:G2"/>
  </x:mergeCells>
  <x:conditionalFormatting sqref="C5:C17">
    <x:cfRule type="expression" dxfId="4" priority="1">
      <x:formula>LEFT(C5,2)="P1"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0c35cf013a14829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28" hidden="0" customWidth="1"/>
    <x:col min="3" max="3" width="22" hidden="0" customWidth="1"/>
    <x:col min="4" max="4" width="8" hidden="0" customWidth="1"/>
    <x:col min="5" max="5" width="37" hidden="0" customWidth="1"/>
    <x:col min="6" max="6" width="9" hidden="0" customWidth="1"/>
    <x:col min="7" max="7" width="45" hidden="0" customWidth="1"/>
    <x:col min="8" max="8" width="45" hidden="0" customWidth="1"/>
    <x:col min="9" max="9" width="82" hidden="0" customWidth="1"/>
  </x:cols>
  <x:sheetData>
    <x:row r="1" ht="30" customHeight="1">
      <x:c r="A1" s="5" t="str">
        <x:v>ZARA • CARD-BY-CARD MATRIX</x:v>
      </x:c>
      <x:c r="B1" s="5"/>
      <x:c r="C1" s="5"/>
      <x:c r="D1" s="5"/>
      <x:c r="E1" s="5"/>
      <x:c r="F1" s="5"/>
      <x:c r="G1" s="5"/>
      <x:c r="H1" s="5"/>
      <x:c r="I1" s="5"/>
    </x:row>
    <x:row r="2" ht="30" customHeight="1">
      <x:c r="A2" s="14" t="str">
        <x:v>Every proposed card plus every V2 cut candidate. Primary group assigned once; secondary functions are documented in notes.</x:v>
      </x:c>
      <x:c r="B2" s="14"/>
      <x:c r="C2" s="14"/>
      <x:c r="D2" s="14"/>
      <x:c r="E2" s="14"/>
      <x:c r="F2" s="14"/>
      <x:c r="G2" s="14"/>
      <x:c r="H2" s="14"/>
      <x:c r="I2" s="14"/>
    </x:row>
    <x:row r="4" ht="32" customHeight="1">
      <x:c r="A4" s="24" t="str">
        <x:v>Card</x:v>
      </x:c>
      <x:c r="B4" s="24" t="str">
        <x:v>State</x:v>
      </x:c>
      <x:c r="C4" s="24" t="str">
        <x:v>Type</x:v>
      </x:c>
      <x:c r="D4" s="24" t="str">
        <x:v>MV</x:v>
      </x:c>
      <x:c r="E4" s="24" t="str">
        <x:v>Primary group</x:v>
      </x:c>
      <x:c r="F4" s="24" t="str">
        <x:v>Tier</x:v>
      </x:c>
      <x:c r="G4" s="24" t="str">
        <x:v>Tier definition</x:v>
      </x:c>
      <x:c r="H4" s="24" t="str">
        <x:v>Secondary role</x:v>
      </x:c>
      <x:c r="I4" s="24" t="str">
        <x:v>Deck-specific notes / evidence</x:v>
      </x:c>
    </x:row>
    <x:row r="5">
      <x:c r="A5" s="32" t="str">
        <x:v>Zara, Renegade Recruiter</x:v>
      </x:c>
      <x:c r="B5" s="32" t="str">
        <x:v>Commander</x:v>
      </x:c>
      <x:c r="C5" s="32" t="str">
        <x:v>Creature</x:v>
      </x:c>
      <x:c r="D5" s="32" t="n">
        <x:v>5</x:v>
      </x:c>
      <x:c r="E5" s="32" t="str">
        <x:v>7. Zara engine — haste / protection / retain theft</x:v>
      </x:c>
      <x:c r="F5" s="32" t="str">
        <x:v>S</x:v>
      </x:c>
      <x:c r="G5" s="32" t="str">
        <x:v>Defining engine or premium card with exceptionally high fit</x:v>
      </x:c>
      <x:c r="H5" s="32" t="str">
        <x:v>Core engine. Attack trigger looks at defending player's hand; steals a creature temporarily. Does not require combat damage.</x:v>
      </x:c>
      <x:c r="I5" s="32" t="str">
        <x:v>Core engine. Attack trigger looks at defending player's hand; steals a creature temporarily. Does not require combat damage.</x:v>
      </x:c>
    </x:row>
    <x:row r="6">
      <x:c r="A6" s="32" t="str">
        <x:v>Act of Treason</x:v>
      </x:c>
      <x:c r="B6" s="32" t="str">
        <x:v>CURRENT — RETAINED</x:v>
      </x:c>
      <x:c r="C6" s="32" t="str">
        <x:v>Sorcery</x:v>
      </x:c>
      <x:c r="D6" s="32" t="n">
        <x:v>3</x:v>
      </x:c>
      <x:c r="E6" s="32" t="str">
        <x:v>3. Theft — temporary / combat</x:v>
      </x:c>
      <x:c r="F6" s="32" t="str">
        <x:v>B</x:v>
      </x:c>
      <x:c r="G6" s="32" t="str">
        <x:v>Useful role player; effectiveness depends on board or build</x:v>
      </x:c>
      <x:c r="H6" s="32" t="str">
        <x:v>Temporary theft; haste; sacrifice payoff</x:v>
      </x:c>
      <x:c r="I6" s="32" t="str">
        <x:v>Temporary theft plus untap/haste; can attack or be sacrificed to Fling/Kazuul's Fury.</x:v>
      </x:c>
    </x:row>
    <x:row r="7">
      <x:c r="A7" s="32" t="str">
        <x:v>Arcane Signet</x:v>
      </x:c>
      <x:c r="B7" s="32" t="str">
        <x:v>CURRENT — RETAINED</x:v>
      </x:c>
      <x:c r="C7" s="32" t="str">
        <x:v>Artifact</x:v>
      </x:c>
      <x:c r="D7" s="32" t="n">
        <x:v>2</x:v>
      </x:c>
      <x:c r="E7" s="32" t="str">
        <x:v>1. Ramp + mana base</x:v>
      </x:c>
      <x:c r="F7" s="32" t="str">
        <x:v>A</x:v>
      </x:c>
      <x:c r="G7" s="32" t="str">
        <x:v>High-fit core piece or premium role player</x:v>
      </x:c>
      <x:c r="H7" s="32" t="str">
        <x:v>Role classified by deck context; evaluate via playtests.</x:v>
      </x:c>
      <x:c r="I7" s="32" t="str">
        <x:v>Assess game-state utility, mana cost, and synergy with theft/copy plan; no pet status inferred.</x:v>
      </x:c>
    </x:row>
    <x:row r="8">
      <x:c r="A8" s="32" t="str">
        <x:v>Archmage Emeritus</x:v>
      </x:c>
      <x:c r="B8" s="32" t="str">
        <x:v>CURRENT — RETAINED</x:v>
      </x:c>
      <x:c r="C8" s="32" t="str">
        <x:v>Creature</x:v>
      </x:c>
      <x:c r="D8" s="32" t="n">
        <x:v>4</x:v>
      </x:c>
      <x:c r="E8" s="32" t="str">
        <x:v>2. Draw + selection</x:v>
      </x:c>
      <x:c r="F8" s="32" t="str">
        <x:v>A</x:v>
      </x:c>
      <x:c r="G8" s="32" t="str">
        <x:v>High-fit core piece or premium role player</x:v>
      </x:c>
      <x:c r="H8" s="32" t="str">
        <x:v>Draw engine for instants/sorceries and copies, but needs spell density.</x:v>
      </x:c>
      <x:c r="I8" s="32" t="str">
        <x:v>Draw engine for instants/sorceries and copies, but needs spell density.</x:v>
      </x:c>
    </x:row>
    <x:row r="9">
      <x:c r="A9" s="32" t="str">
        <x:v>Blasphemous Act</x:v>
      </x:c>
      <x:c r="B9" s="32" t="str">
        <x:v>CURRENT — RETAINED</x:v>
      </x:c>
      <x:c r="C9" s="32" t="str">
        <x:v>Sorcery</x:v>
      </x:c>
      <x:c r="D9" s="32" t="n">
        <x:v>9</x:v>
      </x:c>
      <x:c r="E9" s="32" t="str">
        <x:v>6. Interaction — counters / removal / resets</x:v>
      </x:c>
      <x:c r="F9" s="32" t="str">
        <x:v>A</x:v>
      </x:c>
      <x:c r="G9" s="32" t="str">
        <x:v>High-fit core piece or premium role player</x:v>
      </x:c>
      <x:c r="H9" s="32" t="str">
        <x:v>Mass creature removal</x:v>
      </x:c>
      <x:c r="I9" s="32" t="str">
        <x:v>Efficient mass creature removal in creature-heavy pods; can destroy stolen creatures, so sequence carefully.</x:v>
      </x:c>
    </x:row>
    <x:row r="10">
      <x:c r="A10" s="32" t="str">
        <x:v>Castle Vantress</x:v>
      </x:c>
      <x:c r="B10" s="32" t="str">
        <x:v>CURRENT — RETAINED</x:v>
      </x:c>
      <x:c r="C10" s="32" t="str">
        <x:v>Land</x:v>
      </x:c>
      <x:c r="D10" s="32" t="n">
        <x:v>0</x:v>
      </x:c>
      <x:c r="E10" s="32" t="str">
        <x:v>1. Ramp + mana base</x:v>
      </x:c>
      <x:c r="F10" s="32" t="str">
        <x:v>B</x:v>
      </x:c>
      <x:c r="G10" s="32" t="str">
        <x:v>Useful role player; effectiveness depends on board or build</x:v>
      </x:c>
      <x:c r="H10" s="32" t="str">
        <x:v>Role classified by deck context; evaluate via playtests.</x:v>
      </x:c>
      <x:c r="I10" s="32" t="str">
        <x:v>Assess game-state utility, mana cost, and synergy with theft/copy plan; no pet status inferred.</x:v>
      </x:c>
    </x:row>
    <x:row r="11">
      <x:c r="A11" s="32" t="str">
        <x:v>Clone</x:v>
      </x:c>
      <x:c r="B11" s="32" t="str">
        <x:v>CURRENT — RETAINED</x:v>
      </x:c>
      <x:c r="C11" s="32" t="str">
        <x:v>Creature</x:v>
      </x:c>
      <x:c r="D11" s="32" t="n">
        <x:v>4</x:v>
      </x:c>
      <x:c r="E11" s="32" t="str">
        <x:v>5. Copy / clone / spell manipulation</x:v>
      </x:c>
      <x:c r="F11" s="32" t="str">
        <x:v>A</x:v>
      </x:c>
      <x:c r="G11" s="32" t="str">
        <x:v>High-fit core piece or premium role player</x:v>
      </x:c>
      <x:c r="H11" s="32" t="str">
        <x:v>Can copy a creature stolen by Zara; the copy is a different object and does not return with Zara's delayed trigger.</x:v>
      </x:c>
      <x:c r="I11" s="32" t="str">
        <x:v>Can copy a creature stolen by Zara; the copy is a different object and does not return with Zara's delayed trigger.</x:v>
      </x:c>
    </x:row>
    <x:row r="12">
      <x:c r="A12" s="32" t="str">
        <x:v>Clout of the Dominus</x:v>
      </x:c>
      <x:c r="B12" s="32" t="str">
        <x:v>CURRENT — RETAINED</x:v>
      </x:c>
      <x:c r="C12" s="32" t="str">
        <x:v>Enchantment</x:v>
      </x:c>
      <x:c r="D12" s="32" t="n">
        <x:v>1</x:v>
      </x:c>
      <x:c r="E12" s="32" t="str">
        <x:v>7. Zara engine — haste / protection / retain theft</x:v>
      </x:c>
      <x:c r="F12" s="32" t="str">
        <x:v>S</x:v>
      </x:c>
      <x:c r="G12" s="32" t="str">
        <x:v>Defining engine or premium card with exceptionally high fit</x:v>
      </x:c>
      <x:c r="H12" s="32" t="str">
        <x:v>Haste + shroud + +2/+2 on Zara</x:v>
      </x:c>
      <x:c r="I12" s="32" t="str">
        <x:v>Exceptional commander synergy: Zara is both blue and red, so receives +2/+2, shroud and haste. Sequence any other targeting/equipping before attaching this Aura.</x:v>
      </x:c>
    </x:row>
    <x:row r="13">
      <x:c r="A13" s="32" t="str">
        <x:v>Command Tower</x:v>
      </x:c>
      <x:c r="B13" s="32" t="str">
        <x:v>CURRENT — RETAINED</x:v>
      </x:c>
      <x:c r="C13" s="32" t="str">
        <x:v>Land</x:v>
      </x:c>
      <x:c r="D13" s="32" t="n">
        <x:v>0</x:v>
      </x:c>
      <x:c r="E13" s="32" t="str">
        <x:v>1. Ramp + mana base</x:v>
      </x:c>
      <x:c r="F13" s="32" t="str">
        <x:v>A</x:v>
      </x:c>
      <x:c r="G13" s="32" t="str">
        <x:v>High-fit core piece or premium role player</x:v>
      </x:c>
      <x:c r="H13" s="32" t="str">
        <x:v>Role classified by deck context; evaluate via playtests.</x:v>
      </x:c>
      <x:c r="I13" s="32" t="str">
        <x:v>Assess game-state utility, mana cost, and synergy with theft/copy plan; no pet status inferred.</x:v>
      </x:c>
    </x:row>
    <x:row r="14">
      <x:c r="A14" s="32" t="str">
        <x:v>Counterspell</x:v>
      </x:c>
      <x:c r="B14" s="32" t="str">
        <x:v>CURRENT — RETAINED</x:v>
      </x:c>
      <x:c r="C14" s="32" t="str">
        <x:v>Instant</x:v>
      </x:c>
      <x:c r="D14" s="32" t="n">
        <x:v>2</x:v>
      </x:c>
      <x:c r="E14" s="32" t="str">
        <x:v>6. Interaction — counters / removal / resets</x:v>
      </x:c>
      <x:c r="F14" s="32" t="str">
        <x:v>A</x:v>
      </x:c>
      <x:c r="G14" s="32" t="str">
        <x:v>High-fit core piece or premium role player</x:v>
      </x:c>
      <x:c r="H14" s="32" t="str">
        <x:v>Role classified by deck context; evaluate via playtests.</x:v>
      </x:c>
      <x:c r="I14" s="32" t="str">
        <x:v>Assess game-state utility, mana cost, and synergy with theft/copy plan; no pet status inferred.</x:v>
      </x:c>
    </x:row>
    <x:row r="15">
      <x:c r="A15" s="32" t="str">
        <x:v>Curiosity</x:v>
      </x:c>
      <x:c r="B15" s="32" t="str">
        <x:v>CURRENT — RETAINED</x:v>
      </x:c>
      <x:c r="C15" s="32" t="str">
        <x:v>Enchantment</x:v>
      </x:c>
      <x:c r="D15" s="32" t="n">
        <x:v>1</x:v>
      </x:c>
      <x:c r="E15" s="32" t="str">
        <x:v>8. Finishers / tax / utility</x:v>
      </x:c>
      <x:c r="F15" s="32" t="str">
        <x:v>A</x:v>
      </x:c>
      <x:c r="G15" s="32" t="str">
        <x:v>High-fit core piece or premium role player</x:v>
      </x:c>
      <x:c r="H15" s="32" t="str">
        <x:v>Draw engine; two-card combo</x:v>
      </x:c>
      <x:c r="I15" s="32" t="str">
        <x:v>Value on evasive creatures; enables compact two-card loops with either Niv-Mizzet. Optional high-power finish.</x:v>
      </x:c>
    </x:row>
    <x:row r="16">
      <x:c r="A16" s="32" t="str">
        <x:v>Cyclonic Rift</x:v>
      </x:c>
      <x:c r="B16" s="32" t="str">
        <x:v>CURRENT — RETAINED</x:v>
      </x:c>
      <x:c r="C16" s="32" t="str">
        <x:v>Instant</x:v>
      </x:c>
      <x:c r="D16" s="32" t="n">
        <x:v>2</x:v>
      </x:c>
      <x:c r="E16" s="32" t="str">
        <x:v>6. Interaction — counters / removal / resets</x:v>
      </x:c>
      <x:c r="F16" s="32" t="str">
        <x:v>S</x:v>
      </x:c>
      <x:c r="G16" s="32" t="str">
        <x:v>Defining engine or premium card with exceptionally high fit</x:v>
      </x:c>
      <x:c r="H16" s="32" t="str">
        <x:v>Flexible bounce / reset</x:v>
      </x:c>
      <x:c r="I16" s="32" t="str">
        <x:v>Premium flexible reset, especially overloaded before your turn; often converts a stable game.</x:v>
      </x:c>
    </x:row>
    <x:row r="17">
      <x:c r="A17" s="32" t="str">
        <x:v>Day's Undoing</x:v>
      </x:c>
      <x:c r="B17" s="32" t="str">
        <x:v>CURRENT — RETAINED</x:v>
      </x:c>
      <x:c r="C17" s="32" t="str">
        <x:v>Sorcery</x:v>
      </x:c>
      <x:c r="D17" s="32" t="n">
        <x:v>3</x:v>
      </x:c>
      <x:c r="E17" s="32" t="str">
        <x:v>2. Draw + selection</x:v>
      </x:c>
      <x:c r="F17" s="32" t="str">
        <x:v>B</x:v>
      </x:c>
      <x:c r="G17" s="32" t="str">
        <x:v>Useful role player; effectiveness depends on board or build</x:v>
      </x:c>
      <x:c r="H17" s="32" t="str">
        <x:v>Symmetric wheel / hand reset</x:v>
      </x:c>
      <x:c r="I17" s="32" t="str">
        <x:v>Refills all players and can undo your advantage; meta-dependent rather than a dedicated theft effect.</x:v>
      </x:c>
    </x:row>
    <x:row r="18">
      <x:c r="A18" s="32" t="str">
        <x:v>Desolate Lighthouse</x:v>
      </x:c>
      <x:c r="B18" s="32" t="str">
        <x:v>CURRENT — RETAINED</x:v>
      </x:c>
      <x:c r="C18" s="32" t="str">
        <x:v>Land</x:v>
      </x:c>
      <x:c r="D18" s="32" t="n">
        <x:v>0</x:v>
      </x:c>
      <x:c r="E18" s="32" t="str">
        <x:v>2. Draw + selection</x:v>
      </x:c>
      <x:c r="F18" s="32" t="str">
        <x:v>B</x:v>
      </x:c>
      <x:c r="G18" s="32" t="str">
        <x:v>Useful role player; effectiveness depends on board or build</x:v>
      </x:c>
      <x:c r="H18" s="32" t="str">
        <x:v>Role classified by deck context; evaluate via playtests.</x:v>
      </x:c>
      <x:c r="I18" s="32" t="str">
        <x:v>Assess game-state utility, mana cost, and synergy with theft/copy plan; no pet status inferred.</x:v>
      </x:c>
    </x:row>
    <x:row r="19">
      <x:c r="A19" s="32" t="str">
        <x:v>Dissipation Field</x:v>
      </x:c>
      <x:c r="B19" s="32" t="str">
        <x:v>CURRENT — RETAINED</x:v>
      </x:c>
      <x:c r="C19" s="32" t="str">
        <x:v>Enchantment</x:v>
      </x:c>
      <x:c r="D19" s="32" t="n">
        <x:v>4</x:v>
      </x:c>
      <x:c r="E19" s="32" t="str">
        <x:v>7. Zara engine — haste / protection / retain theft</x:v>
      </x:c>
      <x:c r="F19" s="32" t="str">
        <x:v>B</x:v>
      </x:c>
      <x:c r="G19" s="32" t="str">
        <x:v>Useful role player; effectiveness depends on board or build</x:v>
      </x:c>
      <x:c r="H19" s="32" t="str">
        <x:v>Role classified by deck context; evaluate via playtests.</x:v>
      </x:c>
      <x:c r="I19" s="32" t="str">
        <x:v>Assess game-state utility, mana cost, and synergy with theft/copy plan; no pet status inferred.</x:v>
      </x:c>
    </x:row>
    <x:row r="20">
      <x:c r="A20" s="32" t="str">
        <x:v>Domestication</x:v>
      </x:c>
      <x:c r="B20" s="32" t="str">
        <x:v>CURRENT — RETAINED</x:v>
      </x:c>
      <x:c r="C20" s="32" t="str">
        <x:v>Enchantment</x:v>
      </x:c>
      <x:c r="D20" s="32" t="n">
        <x:v>4</x:v>
      </x:c>
      <x:c r="E20" s="32" t="str">
        <x:v>4. Theft — permanent / control</x:v>
      </x:c>
      <x:c r="F20" s="32" t="str">
        <x:v>B</x:v>
      </x:c>
      <x:c r="G20" s="32" t="str">
        <x:v>Useful role player; effectiveness depends on board or build</x:v>
      </x:c>
      <x:c r="H20" s="32" t="str">
        <x:v>Permanent control of a creature with power 3 or less; can fail if that creature's power rises above 3.</x:v>
      </x:c>
      <x:c r="I20" s="32" t="str">
        <x:v>Permanent control of a creature with power 3 or less; can fail if that creature's power rises above 3.</x:v>
      </x:c>
    </x:row>
    <x:row r="21">
      <x:c r="A21" s="32" t="str">
        <x:v>Domineering Will</x:v>
      </x:c>
      <x:c r="B21" s="32" t="str">
        <x:v>CURRENT — RETAINED</x:v>
      </x:c>
      <x:c r="C21" s="32" t="str">
        <x:v>Instant</x:v>
      </x:c>
      <x:c r="D21" s="32" t="n">
        <x:v>3</x:v>
      </x:c>
      <x:c r="E21" s="32" t="str">
        <x:v>3. Theft — temporary / combat</x:v>
      </x:c>
      <x:c r="F21" s="32" t="str">
        <x:v>B</x:v>
      </x:c>
      <x:c r="G21" s="32" t="str">
        <x:v>Useful role player; effectiveness depends on board or build</x:v>
      </x:c>
      <x:c r="H21" s="32" t="str">
        <x:v>Temporary control / combat manipulation</x:v>
      </x:c>
      <x:c r="I21" s="32" t="str">
        <x:v>Can use opponent creatures to create unfavorable blocks; temporary control, not permanent theft.</x:v>
      </x:c>
    </x:row>
    <x:row r="22">
      <x:c r="A22" s="32" t="str">
        <x:v>Dominus of Fealty</x:v>
      </x:c>
      <x:c r="B22" s="32" t="str">
        <x:v>CURRENT — RETAINED</x:v>
      </x:c>
      <x:c r="C22" s="32" t="str">
        <x:v>Creature</x:v>
      </x:c>
      <x:c r="D22" s="32" t="n">
        <x:v>5</x:v>
      </x:c>
      <x:c r="E22" s="32" t="str">
        <x:v>3. Theft — temporary / combat</x:v>
      </x:c>
      <x:c r="F22" s="32" t="str">
        <x:v>A</x:v>
      </x:c>
      <x:c r="G22" s="32" t="str">
        <x:v>High-fit core piece or premium role player</x:v>
      </x:c>
      <x:c r="H22" s="32" t="str">
        <x:v>Recurring temporary permanent theft</x:v>
      </x:c>
      <x:c r="I22" s="32" t="str">
        <x:v>Repeatable temporary control of any permanent at upkeep; powerful but requires surviving to upkeep and the permanent returns at EOT.</x:v>
      </x:c>
    </x:row>
    <x:row r="23">
      <x:c r="A23" s="32" t="str">
        <x:v>Encroaching Wastes</x:v>
      </x:c>
      <x:c r="B23" s="32" t="str">
        <x:v>CURRENT — RETAINED</x:v>
      </x:c>
      <x:c r="C23" s="32" t="str">
        <x:v>Land</x:v>
      </x:c>
      <x:c r="D23" s="32" t="n">
        <x:v>0</x:v>
      </x:c>
      <x:c r="E23" s="32" t="str">
        <x:v>1. Ramp + mana base</x:v>
      </x:c>
      <x:c r="F23" s="32" t="str">
        <x:v>C</x:v>
      </x:c>
      <x:c r="G23" s="32" t="str">
        <x:v>Conditional, inefficient, or partially off-plan</x:v>
      </x:c>
      <x:c r="H23" s="32" t="str">
        <x:v>Colorless land with narrow utility; unreliable for UUU/RRR requirements.</x:v>
      </x:c>
      <x:c r="I23" s="32" t="str">
        <x:v>Colorless land with narrow utility; unreliable for UUU/RRR requirements.</x:v>
      </x:c>
    </x:row>
    <x:row r="24">
      <x:c r="A24" s="32" t="str">
        <x:v>Essence Capture</x:v>
      </x:c>
      <x:c r="B24" s="32" t="str">
        <x:v>CURRENT — RETAINED</x:v>
      </x:c>
      <x:c r="C24" s="32" t="str">
        <x:v>Instant</x:v>
      </x:c>
      <x:c r="D24" s="32" t="n">
        <x:v>2</x:v>
      </x:c>
      <x:c r="E24" s="32" t="str">
        <x:v>6. Interaction — counters / removal / resets</x:v>
      </x:c>
      <x:c r="F24" s="32" t="str">
        <x:v>C</x:v>
      </x:c>
      <x:c r="G24" s="32" t="str">
        <x:v>Conditional, inefficient, or partially off-plan</x:v>
      </x:c>
      <x:c r="H24" s="32" t="str">
        <x:v>Role classified by deck context; evaluate via playtests.</x:v>
      </x:c>
      <x:c r="I24" s="32" t="str">
        <x:v>Assess game-state utility, mana cost, and synergy with theft/copy plan; no pet status inferred.</x:v>
      </x:c>
    </x:row>
    <x:row r="25">
      <x:c r="A25" s="32" t="str">
        <x:v>Fated Infatuation</x:v>
      </x:c>
      <x:c r="B25" s="32" t="str">
        <x:v>CURRENT — RETAINED</x:v>
      </x:c>
      <x:c r="C25" s="32" t="str">
        <x:v>Instant</x:v>
      </x:c>
      <x:c r="D25" s="32" t="n">
        <x:v>3</x:v>
      </x:c>
      <x:c r="E25" s="32" t="str">
        <x:v>5. Copy / clone / spell manipulation</x:v>
      </x:c>
      <x:c r="F25" s="32" t="str">
        <x:v>A</x:v>
      </x:c>
      <x:c r="G25" s="32" t="str">
        <x:v>High-fit core piece or premium role player</x:v>
      </x:c>
      <x:c r="H25" s="32" t="str">
        <x:v>Instant-speed copy of a creature you control; can copy Zara's borrowed creature before the return trigger resolves.</x:v>
      </x:c>
      <x:c r="I25" s="32" t="str">
        <x:v>Instant-speed copy of a creature you control; can copy Zara's borrowed creature before the return trigger resolves.</x:v>
      </x:c>
    </x:row>
    <x:row r="26">
      <x:c r="A26" s="32" t="str">
        <x:v>Fellwar Stone</x:v>
      </x:c>
      <x:c r="B26" s="32" t="str">
        <x:v>CURRENT — RETAINED</x:v>
      </x:c>
      <x:c r="C26" s="32" t="str">
        <x:v>Artifact</x:v>
      </x:c>
      <x:c r="D26" s="32" t="n">
        <x:v>2</x:v>
      </x:c>
      <x:c r="E26" s="32" t="str">
        <x:v>1. Ramp + mana base</x:v>
      </x:c>
      <x:c r="F26" s="32" t="str">
        <x:v>A</x:v>
      </x:c>
      <x:c r="G26" s="32" t="str">
        <x:v>High-fit core piece or premium role player</x:v>
      </x:c>
      <x:c r="H26" s="32" t="str">
        <x:v>Role classified by deck context; evaluate via playtests.</x:v>
      </x:c>
      <x:c r="I26" s="32" t="str">
        <x:v>Assess game-state utility, mana cost, and synergy with theft/copy plan; no pet status inferred.</x:v>
      </x:c>
    </x:row>
    <x:row r="27">
      <x:c r="A27" s="32" t="str">
        <x:v>Flare of Duplication</x:v>
      </x:c>
      <x:c r="B27" s="32" t="str">
        <x:v>CURRENT — RETAINED</x:v>
      </x:c>
      <x:c r="C27" s="32" t="str">
        <x:v>Instant</x:v>
      </x:c>
      <x:c r="D27" s="32" t="n">
        <x:v>3</x:v>
      </x:c>
      <x:c r="E27" s="32" t="str">
        <x:v>5. Copy / clone / spell manipulation</x:v>
      </x:c>
      <x:c r="F27" s="32" t="str">
        <x:v>B</x:v>
      </x:c>
      <x:c r="G27" s="32" t="str">
        <x:v>Useful role player; effectiveness depends on board or build</x:v>
      </x:c>
      <x:c r="H27" s="32" t="str">
        <x:v>Copies an instant/sorcery you control; it does not directly copy opposing spells. Sacrifice cost can monetize a stolen creature.</x:v>
      </x:c>
      <x:c r="I27" s="32" t="str">
        <x:v>Copies an instant/sorcery you control; it does not directly copy opposing spells. Sacrifice cost can monetize a stolen creature.</x:v>
      </x:c>
    </x:row>
    <x:row r="28">
      <x:c r="A28" s="32" t="str">
        <x:v>Fling</x:v>
      </x:c>
      <x:c r="B28" s="32" t="str">
        <x:v>CURRENT — RETAINED</x:v>
      </x:c>
      <x:c r="C28" s="32" t="str">
        <x:v>Instant</x:v>
      </x:c>
      <x:c r="D28" s="32" t="n">
        <x:v>2</x:v>
      </x:c>
      <x:c r="E28" s="32" t="str">
        <x:v>3. Theft — temporary / combat</x:v>
      </x:c>
      <x:c r="F28" s="32" t="str">
        <x:v>A</x:v>
      </x:c>
      <x:c r="G28" s="32" t="str">
        <x:v>High-fit core piece or premium role player</x:v>
      </x:c>
      <x:c r="H28" s="32" t="str">
        <x:v>Sacrifice temporary theft for damage</x:v>
      </x:c>
      <x:c r="I28" s="32" t="str">
        <x:v>Converts a temporary stolen creature into direct damage before it returns.</x:v>
      </x:c>
    </x:row>
    <x:row r="29">
      <x:c r="A29" s="32" t="str">
        <x:v>Glasspool Mimic</x:v>
      </x:c>
      <x:c r="B29" s="32" t="str">
        <x:v>CURRENT — RETAINED</x:v>
      </x:c>
      <x:c r="C29" s="32" t="str">
        <x:v>MDFC — Creature/Land</x:v>
      </x:c>
      <x:c r="D29" s="32" t="n">
        <x:v>3</x:v>
      </x:c>
      <x:c r="E29" s="32" t="str">
        <x:v>5. Copy / clone / spell manipulation</x:v>
      </x:c>
      <x:c r="F29" s="32" t="str">
        <x:v>A</x:v>
      </x:c>
      <x:c r="G29" s="32" t="str">
        <x:v>High-fit core piece or premium role player</x:v>
      </x:c>
      <x:c r="H29" s="32" t="str">
        <x:v>Clone or tapped land</x:v>
      </x:c>
      <x:c r="I29" s="32" t="str">
        <x:v>MDFC clone that copies a creature you control; land back face improves functional mana sources.</x:v>
      </x:c>
    </x:row>
    <x:row r="30">
      <x:c r="A30" s="32" t="str">
        <x:v>Grafted Identity</x:v>
      </x:c>
      <x:c r="B30" s="32" t="str">
        <x:v>CURRENT — RETAINED</x:v>
      </x:c>
      <x:c r="C30" s="32" t="str">
        <x:v>Enchantment</x:v>
      </x:c>
      <x:c r="D30" s="32" t="n">
        <x:v>4</x:v>
      </x:c>
      <x:c r="E30" s="32" t="str">
        <x:v>4. Theft — permanent / control</x:v>
      </x:c>
      <x:c r="F30" s="32" t="str">
        <x:v>A</x:v>
      </x:c>
      <x:c r="G30" s="32" t="str">
        <x:v>High-fit core piece or premium role player</x:v>
      </x:c>
      <x:c r="H30" s="32" t="str">
        <x:v>Permanent theft; sacrifice cost</x:v>
      </x:c>
      <x:c r="I30" s="32" t="str">
        <x:v>Theft Aura that requires sacrificing a creature as an additional cost; a temporary Zara creature may pay that cost.</x:v>
      </x:c>
    </x:row>
    <x:row r="31">
      <x:c r="A31" s="32" t="str">
        <x:v>Increasing Vengeance</x:v>
      </x:c>
      <x:c r="B31" s="32" t="str">
        <x:v>CURRENT — RETAINED</x:v>
      </x:c>
      <x:c r="C31" s="32" t="str">
        <x:v>Instant</x:v>
      </x:c>
      <x:c r="D31" s="32" t="n">
        <x:v>2</x:v>
      </x:c>
      <x:c r="E31" s="32" t="str">
        <x:v>5. Copy / clone / spell manipulation</x:v>
      </x:c>
      <x:c r="F31" s="32" t="str">
        <x:v>B</x:v>
      </x:c>
      <x:c r="G31" s="32" t="str">
        <x:v>Useful role player; effectiveness depends on board or build</x:v>
      </x:c>
      <x:c r="H31" s="32" t="str">
        <x:v>Copies your own instant/sorcery; value tool, not the main theft engine.</x:v>
      </x:c>
      <x:c r="I31" s="32" t="str">
        <x:v>Copies your own instant/sorcery; value tool, not the main theft engine.</x:v>
      </x:c>
    </x:row>
    <x:row r="32">
      <x:c r="A32" s="32" t="str">
        <x:v>Invoke the Winds</x:v>
      </x:c>
      <x:c r="B32" s="32" t="str">
        <x:v>CURRENT — RETAINED</x:v>
      </x:c>
      <x:c r="C32" s="32" t="str">
        <x:v>Sorcery</x:v>
      </x:c>
      <x:c r="D32" s="32" t="n">
        <x:v>5</x:v>
      </x:c>
      <x:c r="E32" s="32" t="str">
        <x:v>4. Theft — permanent / control</x:v>
      </x:c>
      <x:c r="F32" s="32" t="str">
        <x:v>A</x:v>
      </x:c>
      <x:c r="G32" s="32" t="str">
        <x:v>High-fit core piece or premium role player</x:v>
      </x:c>
      <x:c r="H32" s="32" t="str">
        <x:v>Permanent theft of an artifact, creature or planeswalker; strong but expensive and color intensive.</x:v>
      </x:c>
      <x:c r="I32" s="32" t="str">
        <x:v>Permanent theft of an artifact, creature or planeswalker; strong but expensive and color intensive.</x:v>
      </x:c>
    </x:row>
    <x:row r="33">
      <x:c r="A33" s="32" t="str">
        <x:v>Island</x:v>
      </x:c>
      <x:c r="B33" s="32" t="str">
        <x:v>CURRENT — RETAINED</x:v>
      </x:c>
      <x:c r="C33" s="32" t="str">
        <x:v>Land</x:v>
      </x:c>
      <x:c r="D33" s="32" t="n">
        <x:v>0</x:v>
      </x:c>
      <x:c r="E33" s="32" t="str">
        <x:v>1. Ramp + mana base</x:v>
      </x:c>
      <x:c r="F33" s="32" t="str">
        <x:v>B</x:v>
      </x:c>
      <x:c r="G33" s="32" t="str">
        <x:v>Useful role player; effectiveness depends on board or build</x:v>
      </x:c>
      <x:c r="H33" s="32" t="str">
        <x:v>Role classified by deck context; evaluate via playtests.</x:v>
      </x:c>
      <x:c r="I33" s="32" t="str">
        <x:v>Assess game-state utility, mana cost, and synergy with theft/copy plan; no pet status inferred.</x:v>
      </x:c>
    </x:row>
    <x:row r="34">
      <x:c r="A34" s="32" t="str">
        <x:v>Izzet Boilerworks</x:v>
      </x:c>
      <x:c r="B34" s="32" t="str">
        <x:v>CURRENT — RETAINED</x:v>
      </x:c>
      <x:c r="C34" s="32" t="str">
        <x:v>Land</x:v>
      </x:c>
      <x:c r="D34" s="32" t="n">
        <x:v>0</x:v>
      </x:c>
      <x:c r="E34" s="32" t="str">
        <x:v>1. Ramp + mana base</x:v>
      </x:c>
      <x:c r="F34" s="32" t="str">
        <x:v>B</x:v>
      </x:c>
      <x:c r="G34" s="32" t="str">
        <x:v>Useful role player; effectiveness depends on board or build</x:v>
      </x:c>
      <x:c r="H34" s="32" t="str">
        <x:v>Role classified by deck context; evaluate via playtests.</x:v>
      </x:c>
      <x:c r="I34" s="32" t="str">
        <x:v>Assess game-state utility, mana cost, and synergy with theft/copy plan; no pet status inferred.</x:v>
      </x:c>
    </x:row>
    <x:row r="35">
      <x:c r="A35" s="32" t="str">
        <x:v>Izzet Charm</x:v>
      </x:c>
      <x:c r="B35" s="32" t="str">
        <x:v>CURRENT — RETAINED</x:v>
      </x:c>
      <x:c r="C35" s="32" t="str">
        <x:v>Instant</x:v>
      </x:c>
      <x:c r="D35" s="32" t="n">
        <x:v>2</x:v>
      </x:c>
      <x:c r="E35" s="32" t="str">
        <x:v>6. Interaction — counters / removal / resets</x:v>
      </x:c>
      <x:c r="F35" s="32" t="str">
        <x:v>B</x:v>
      </x:c>
      <x:c r="G35" s="32" t="str">
        <x:v>Useful role player; effectiveness depends on board or build</x:v>
      </x:c>
      <x:c r="H35" s="32" t="str">
        <x:v>Role classified by deck context; evaluate via playtests.</x:v>
      </x:c>
      <x:c r="I35" s="32" t="str">
        <x:v>Assess game-state utility, mana cost, and synergy with theft/copy plan; no pet status inferred.</x:v>
      </x:c>
    </x:row>
    <x:row r="36">
      <x:c r="A36" s="32" t="str">
        <x:v>Izzet Signet</x:v>
      </x:c>
      <x:c r="B36" s="32" t="str">
        <x:v>CURRENT — RETAINED</x:v>
      </x:c>
      <x:c r="C36" s="32" t="str">
        <x:v>Artifact</x:v>
      </x:c>
      <x:c r="D36" s="32" t="n">
        <x:v>2</x:v>
      </x:c>
      <x:c r="E36" s="32" t="str">
        <x:v>1. Ramp + mana base</x:v>
      </x:c>
      <x:c r="F36" s="32" t="str">
        <x:v>A</x:v>
      </x:c>
      <x:c r="G36" s="32" t="str">
        <x:v>High-fit core piece or premium role player</x:v>
      </x:c>
      <x:c r="H36" s="32" t="str">
        <x:v>Role classified by deck context; evaluate via playtests.</x:v>
      </x:c>
      <x:c r="I36" s="32" t="str">
        <x:v>Assess game-state utility, mana cost, and synergy with theft/copy plan; no pet status inferred.</x:v>
      </x:c>
    </x:row>
    <x:row r="37">
      <x:c r="A37" s="32" t="str">
        <x:v>Kazuul's Fury</x:v>
      </x:c>
      <x:c r="B37" s="32" t="str">
        <x:v>CURRENT — RETAINED</x:v>
      </x:c>
      <x:c r="C37" s="32" t="str">
        <x:v>MDFC — Instant/Land</x:v>
      </x:c>
      <x:c r="D37" s="32" t="n">
        <x:v>3</x:v>
      </x:c>
      <x:c r="E37" s="32" t="str">
        <x:v>3. Theft — temporary / combat</x:v>
      </x:c>
      <x:c r="F37" s="32" t="str">
        <x:v>A</x:v>
      </x:c>
      <x:c r="G37" s="32" t="str">
        <x:v>High-fit core piece or premium role player</x:v>
      </x:c>
      <x:c r="H37" s="32" t="str">
        <x:v>Sacrifice payoff or tapped land</x:v>
      </x:c>
      <x:c r="I37" s="32" t="str">
        <x:v>MDFC; additional Fling effect with a land back face, counted as one physical card.</x:v>
      </x:c>
    </x:row>
    <x:row r="38">
      <x:c r="A38" s="32" t="str">
        <x:v>Kitnap</x:v>
      </x:c>
      <x:c r="B38" s="32" t="str">
        <x:v>CURRENT — RETAINED</x:v>
      </x:c>
      <x:c r="C38" s="32" t="str">
        <x:v>Enchantment</x:v>
      </x:c>
      <x:c r="D38" s="32" t="n">
        <x:v>3</x:v>
      </x:c>
      <x:c r="E38" s="32" t="str">
        <x:v>4. Theft — permanent / control</x:v>
      </x:c>
      <x:c r="F38" s="32" t="str">
        <x:v>B</x:v>
      </x:c>
      <x:c r="G38" s="32" t="str">
        <x:v>Useful role player; effectiveness depends on board or build</x:v>
      </x:c>
      <x:c r="H38" s="32" t="str">
        <x:v>Conditional theft of a creature with tap/untap restrictions; timing matters.</x:v>
      </x:c>
      <x:c r="I38" s="32" t="str">
        <x:v>Conditional theft of a creature with tap/untap restrictions; timing matters.</x:v>
      </x:c>
    </x:row>
    <x:row r="39">
      <x:c r="A39" s="32" t="str">
        <x:v>Leyline of Resonance</x:v>
      </x:c>
      <x:c r="B39" s="32" t="str">
        <x:v>CURRENT — RETAINED</x:v>
      </x:c>
      <x:c r="C39" s="32" t="str">
        <x:v>Enchantment</x:v>
      </x:c>
      <x:c r="D39" s="32" t="n">
        <x:v>2</x:v>
      </x:c>
      <x:c r="E39" s="32" t="str">
        <x:v>5. Copy / clone / spell manipulation</x:v>
      </x:c>
      <x:c r="F39" s="32" t="str">
        <x:v>B</x:v>
      </x:c>
      <x:c r="G39" s="32" t="str">
        <x:v>Useful role player; effectiveness depends on board or build</x:v>
      </x:c>
      <x:c r="H39" s="32" t="str">
        <x:v>Copies instant/sorcery spells that target only a creature you control; relevant to Fated Infatuation/Quasiduplicate, but narrow.</x:v>
      </x:c>
      <x:c r="I39" s="32" t="str">
        <x:v>Copies instant/sorcery spells that target only a creature you control; relevant to Fated Infatuation/Quasiduplicate, but narrow.</x:v>
      </x:c>
    </x:row>
    <x:row r="40">
      <x:c r="A40" s="32" t="str">
        <x:v>Malevolent Hermit</x:v>
      </x:c>
      <x:c r="B40" s="32" t="str">
        <x:v>CURRENT — RETAINED</x:v>
      </x:c>
      <x:c r="C40" s="32" t="str">
        <x:v>Creature</x:v>
      </x:c>
      <x:c r="D40" s="32" t="n">
        <x:v>2</x:v>
      </x:c>
      <x:c r="E40" s="32" t="str">
        <x:v>7. Zara engine — haste / protection / retain theft</x:v>
      </x:c>
      <x:c r="F40" s="32" t="str">
        <x:v>B</x:v>
      </x:c>
      <x:c r="G40" s="32" t="str">
        <x:v>Useful role player; effectiveness depends on board or build</x:v>
      </x:c>
      <x:c r="H40" s="32" t="str">
        <x:v>Role classified by deck context; evaluate via playtests.</x:v>
      </x:c>
      <x:c r="I40" s="32" t="str">
        <x:v>Assess game-state utility, mana cost, and synergy with theft/copy plan; no pet status inferred.</x:v>
      </x:c>
    </x:row>
    <x:row r="41">
      <x:c r="A41" s="32" t="str">
        <x:v>Mana Leak</x:v>
      </x:c>
      <x:c r="B41" s="32" t="str">
        <x:v>CURRENT — RETAINED</x:v>
      </x:c>
      <x:c r="C41" s="32" t="str">
        <x:v>Instant</x:v>
      </x:c>
      <x:c r="D41" s="32" t="n">
        <x:v>2</x:v>
      </x:c>
      <x:c r="E41" s="32" t="str">
        <x:v>6. Interaction — counters / removal / resets</x:v>
      </x:c>
      <x:c r="F41" s="32" t="str">
        <x:v>C</x:v>
      </x:c>
      <x:c r="G41" s="32" t="str">
        <x:v>Conditional, inefficient, or partially off-plan</x:v>
      </x:c>
      <x:c r="H41" s="32" t="str">
        <x:v>Role classified by deck context; evaluate via playtests.</x:v>
      </x:c>
      <x:c r="I41" s="32" t="str">
        <x:v>Assess game-state utility, mana cost, and synergy with theft/copy plan; no pet status inferred.</x:v>
      </x:c>
    </x:row>
    <x:row r="42">
      <x:c r="A42" s="32" t="str">
        <x:v>Mass Manipulation</x:v>
      </x:c>
      <x:c r="B42" s="32" t="str">
        <x:v>CURRENT — RETAINED</x:v>
      </x:c>
      <x:c r="C42" s="32" t="str">
        <x:v>Sorcery</x:v>
      </x:c>
      <x:c r="D42" s="32" t="n">
        <x:v>4</x:v>
      </x:c>
      <x:c r="E42" s="32" t="str">
        <x:v>4. Theft — permanent / control</x:v>
      </x:c>
      <x:c r="F42" s="32" t="str">
        <x:v>B</x:v>
      </x:c>
      <x:c r="G42" s="32" t="str">
        <x:v>Useful role player; effectiveness depends on board or build</x:v>
      </x:c>
      <x:c r="H42" s="32" t="str">
        <x:v>Role classified by deck context; evaluate via playtests.</x:v>
      </x:c>
      <x:c r="I42" s="32" t="str">
        <x:v>Assess game-state utility, mana cost, and synergy with theft/copy plan; no pet status inferred.</x:v>
      </x:c>
    </x:row>
    <x:row r="43">
      <x:c r="A43" s="32" t="str">
        <x:v>Midnight Clock</x:v>
      </x:c>
      <x:c r="B43" s="32" t="str">
        <x:v>CURRENT — RETAINED</x:v>
      </x:c>
      <x:c r="C43" s="32" t="str">
        <x:v>Artifact</x:v>
      </x:c>
      <x:c r="D43" s="32" t="n">
        <x:v>3</x:v>
      </x:c>
      <x:c r="E43" s="32" t="str">
        <x:v>2. Draw + selection</x:v>
      </x:c>
      <x:c r="F43" s="32" t="str">
        <x:v>B</x:v>
      </x:c>
      <x:c r="G43" s="32" t="str">
        <x:v>Useful role player; effectiveness depends on board or build</x:v>
      </x:c>
      <x:c r="H43" s="32" t="str">
        <x:v>Early ramp and a late wheel; fits a slower Izzet value plan, though three-mana ramp is not fast.</x:v>
      </x:c>
      <x:c r="I43" s="32" t="str">
        <x:v>Early ramp and a late wheel; fits a slower Izzet value plan, though three-mana ramp is not fast.</x:v>
      </x:c>
    </x:row>
    <x:row r="44">
      <x:c r="A44" s="32" t="str">
        <x:v>Mind Control</x:v>
      </x:c>
      <x:c r="B44" s="32" t="str">
        <x:v>CURRENT — RETAINED</x:v>
      </x:c>
      <x:c r="C44" s="32" t="str">
        <x:v>Enchantment</x:v>
      </x:c>
      <x:c r="D44" s="32" t="n">
        <x:v>5</x:v>
      </x:c>
      <x:c r="E44" s="32" t="str">
        <x:v>4. Theft — permanent / control</x:v>
      </x:c>
      <x:c r="F44" s="32" t="str">
        <x:v>B</x:v>
      </x:c>
      <x:c r="G44" s="32" t="str">
        <x:v>Useful role player; effectiveness depends on board or build</x:v>
      </x:c>
      <x:c r="H44" s="32" t="str">
        <x:v>Straightforward permanent creature theft, but costs five mana and is vulnerable to enchantment removal.</x:v>
      </x:c>
      <x:c r="I44" s="32" t="str">
        <x:v>Straightforward permanent creature theft, but costs five mana and is vulnerable to enchantment removal.</x:v>
      </x:c>
    </x:row>
    <x:row r="45">
      <x:c r="A45" s="32" t="str">
        <x:v>Mirror Sheen</x:v>
      </x:c>
      <x:c r="B45" s="32" t="str">
        <x:v>CURRENT — RETAINED</x:v>
      </x:c>
      <x:c r="C45" s="32" t="str">
        <x:v>Enchantment</x:v>
      </x:c>
      <x:c r="D45" s="32" t="n">
        <x:v>3</x:v>
      </x:c>
      <x:c r="E45" s="32" t="str">
        <x:v>5. Copy / clone / spell manipulation</x:v>
      </x:c>
      <x:c r="F45" s="32" t="str">
        <x:v>C</x:v>
      </x:c>
      <x:c r="G45" s="32" t="str">
        <x:v>Conditional, inefficient, or partially off-plan</x:v>
      </x:c>
      <x:c r="H45" s="32" t="str">
        <x:v>Expensive, conditional copy effect for spells that target you or a permanent you control; flavorful but mana-intensive.</x:v>
      </x:c>
      <x:c r="I45" s="32" t="str">
        <x:v>Expensive, conditional copy effect for spells that target you or a permanent you control; flavorful but mana-intensive.</x:v>
      </x:c>
    </x:row>
    <x:row r="46">
      <x:c r="A46" s="32" t="str">
        <x:v>Mirrormade</x:v>
      </x:c>
      <x:c r="B46" s="32" t="str">
        <x:v>CURRENT — RETAINED</x:v>
      </x:c>
      <x:c r="C46" s="32" t="str">
        <x:v>Enchantment</x:v>
      </x:c>
      <x:c r="D46" s="32" t="n">
        <x:v>3</x:v>
      </x:c>
      <x:c r="E46" s="32" t="str">
        <x:v>5. Copy / clone / spell manipulation</x:v>
      </x:c>
      <x:c r="F46" s="32" t="str">
        <x:v>B</x:v>
      </x:c>
      <x:c r="G46" s="32" t="str">
        <x:v>Useful role player; effectiveness depends on board or build</x:v>
      </x:c>
      <x:c r="H46" s="32" t="str">
        <x:v>Role classified by deck context; evaluate via playtests.</x:v>
      </x:c>
      <x:c r="I46" s="32" t="str">
        <x:v>Assess game-state utility, mana cost, and synergy with theft/copy plan; no pet status inferred.</x:v>
      </x:c>
    </x:row>
    <x:row r="47">
      <x:c r="A47" s="32" t="str">
        <x:v>Mob Rule</x:v>
      </x:c>
      <x:c r="B47" s="32" t="str">
        <x:v>CURRENT — RETAINED</x:v>
      </x:c>
      <x:c r="C47" s="32" t="str">
        <x:v>Sorcery</x:v>
      </x:c>
      <x:c r="D47" s="32" t="n">
        <x:v>6</x:v>
      </x:c>
      <x:c r="E47" s="32" t="str">
        <x:v>3. Theft — temporary / combat</x:v>
      </x:c>
      <x:c r="F47" s="32" t="str">
        <x:v>A</x:v>
      </x:c>
      <x:c r="G47" s="32" t="str">
        <x:v>High-fit core piece or premium role player</x:v>
      </x:c>
      <x:c r="H47" s="32" t="str">
        <x:v>Mass theft / combat finisher</x:v>
      </x:c>
      <x:c r="I47" s="32" t="str">
        <x:v>Mass-theft finisher; choose the power threshold according to the board. Explosive with combat or sacrifice outlets.</x:v>
      </x:c>
    </x:row>
    <x:row r="48">
      <x:c r="A48" s="32" t="str">
        <x:v>Mountain</x:v>
      </x:c>
      <x:c r="B48" s="32" t="str">
        <x:v>CURRENT — RETAINED</x:v>
      </x:c>
      <x:c r="C48" s="32" t="str">
        <x:v>Land</x:v>
      </x:c>
      <x:c r="D48" s="32" t="n">
        <x:v>0</x:v>
      </x:c>
      <x:c r="E48" s="32" t="str">
        <x:v>1. Ramp + mana base</x:v>
      </x:c>
      <x:c r="F48" s="32" t="str">
        <x:v>B</x:v>
      </x:c>
      <x:c r="G48" s="32" t="str">
        <x:v>Useful role player; effectiveness depends on board or build</x:v>
      </x:c>
      <x:c r="H48" s="32" t="str">
        <x:v>Role classified by deck context; evaluate via playtests.</x:v>
      </x:c>
      <x:c r="I48" s="32" t="str">
        <x:v>Assess game-state utility, mana cost, and synergy with theft/copy plan; no pet status inferred.</x:v>
      </x:c>
    </x:row>
    <x:row r="49">
      <x:c r="A49" s="32" t="str">
        <x:v>Myriad Landscape</x:v>
      </x:c>
      <x:c r="B49" s="32" t="str">
        <x:v>CURRENT — RETAINED</x:v>
      </x:c>
      <x:c r="C49" s="32" t="str">
        <x:v>Land</x:v>
      </x:c>
      <x:c r="D49" s="32" t="n">
        <x:v>0</x:v>
      </x:c>
      <x:c r="E49" s="32" t="str">
        <x:v>1. Ramp + mana base</x:v>
      </x:c>
      <x:c r="F49" s="32" t="str">
        <x:v>B</x:v>
      </x:c>
      <x:c r="G49" s="32" t="str">
        <x:v>Useful role player; effectiveness depends on board or build</x:v>
      </x:c>
      <x:c r="H49" s="32" t="str">
        <x:v>Role classified by deck context; evaluate via playtests.</x:v>
      </x:c>
      <x:c r="I49" s="32" t="str">
        <x:v>Assess game-state utility, mana cost, and synergy with theft/copy plan; no pet status inferred.</x:v>
      </x:c>
    </x:row>
    <x:row r="50">
      <x:c r="A50" s="32" t="str">
        <x:v>Negate</x:v>
      </x:c>
      <x:c r="B50" s="32" t="str">
        <x:v>CURRENT — RETAINED</x:v>
      </x:c>
      <x:c r="C50" s="32" t="str">
        <x:v>Instant</x:v>
      </x:c>
      <x:c r="D50" s="32" t="n">
        <x:v>2</x:v>
      </x:c>
      <x:c r="E50" s="32" t="str">
        <x:v>6. Interaction — counters / removal / resets</x:v>
      </x:c>
      <x:c r="F50" s="32" t="str">
        <x:v>B</x:v>
      </x:c>
      <x:c r="G50" s="32" t="str">
        <x:v>Useful role player; effectiveness depends on board or build</x:v>
      </x:c>
      <x:c r="H50" s="32" t="str">
        <x:v>Role classified by deck context; evaluate via playtests.</x:v>
      </x:c>
      <x:c r="I50" s="32" t="str">
        <x:v>Assess game-state utility, mana cost, and synergy with theft/copy plan; no pet status inferred.</x:v>
      </x:c>
    </x:row>
    <x:row r="51">
      <x:c r="A51" s="32" t="str">
        <x:v>Nevinyrral's Disk</x:v>
      </x:c>
      <x:c r="B51" s="32" t="str">
        <x:v>CURRENT — RETAINED</x:v>
      </x:c>
      <x:c r="C51" s="32" t="str">
        <x:v>Artifact</x:v>
      </x:c>
      <x:c r="D51" s="32" t="n">
        <x:v>4</x:v>
      </x:c>
      <x:c r="E51" s="32" t="str">
        <x:v>6. Interaction — counters / removal / resets</x:v>
      </x:c>
      <x:c r="F51" s="32" t="str">
        <x:v>B</x:v>
      </x:c>
      <x:c r="G51" s="32" t="str">
        <x:v>Useful role player; effectiveness depends on board or build</x:v>
      </x:c>
      <x:c r="H51" s="32" t="str">
        <x:v>Slow broad reset; useful as emergency catch-up but can wipe your own artifacts and enchantments.</x:v>
      </x:c>
      <x:c r="I51" s="32" t="str">
        <x:v>Slow broad reset; useful as emergency catch-up but can wipe your own artifacts and enchantments.</x:v>
      </x:c>
    </x:row>
    <x:row r="52">
      <x:c r="A52" s="32" t="str">
        <x:v>Niv-Mizzet, Parun</x:v>
      </x:c>
      <x:c r="B52" s="32" t="str">
        <x:v>CURRENT — RETAINED</x:v>
      </x:c>
      <x:c r="C52" s="32" t="str">
        <x:v>Creature</x:v>
      </x:c>
      <x:c r="D52" s="32" t="n">
        <x:v>6</x:v>
      </x:c>
      <x:c r="E52" s="32" t="str">
        <x:v>8. Finishers / tax / utility</x:v>
      </x:c>
      <x:c r="F52" s="32" t="str">
        <x:v>A</x:v>
      </x:c>
      <x:c r="G52" s="32" t="str">
        <x:v>High-fit core piece or premium role player</x:v>
      </x:c>
      <x:c r="H52" s="32" t="str">
        <x:v>Card draw / damage / Curiosity combo</x:v>
      </x:c>
      <x:c r="I52" s="32" t="str">
        <x:v>Draw/damage engine and Curiosity combo piece; demanding UUU/RR mana cost needs support.</x:v>
      </x:c>
    </x:row>
    <x:row r="53">
      <x:c r="A53" s="32" t="str">
        <x:v>Niv-Mizzet, the Firemind</x:v>
      </x:c>
      <x:c r="B53" s="32" t="str">
        <x:v>CURRENT — RETAINED</x:v>
      </x:c>
      <x:c r="C53" s="32" t="str">
        <x:v>Creature</x:v>
      </x:c>
      <x:c r="D53" s="32" t="n">
        <x:v>6</x:v>
      </x:c>
      <x:c r="E53" s="32" t="str">
        <x:v>8. Finishers / tax / utility</x:v>
      </x:c>
      <x:c r="F53" s="32" t="str">
        <x:v>A</x:v>
      </x:c>
      <x:c r="G53" s="32" t="str">
        <x:v>High-fit core piece or premium role player</x:v>
      </x:c>
      <x:c r="H53" s="32" t="str">
        <x:v>Damage draw / Curiosity combo</x:v>
      </x:c>
      <x:c r="I53" s="32" t="str">
        <x:v>Curiosity combo piece. Alternate finish, while acknowledging the secondary spellslinger package.</x:v>
      </x:c>
    </x:row>
    <x:row r="54">
      <x:c r="A54" s="32" t="str">
        <x:v>Order of Succession</x:v>
      </x:c>
      <x:c r="B54" s="32" t="str">
        <x:v>CURRENT — RETAINED</x:v>
      </x:c>
      <x:c r="C54" s="32" t="str">
        <x:v>Sorcery</x:v>
      </x:c>
      <x:c r="D54" s="32" t="n">
        <x:v>4</x:v>
      </x:c>
      <x:c r="E54" s="32" t="str">
        <x:v>4. Theft — permanent / control</x:v>
      </x:c>
      <x:c r="F54" s="32" t="str">
        <x:v>A</x:v>
      </x:c>
      <x:c r="G54" s="32" t="str">
        <x:v>High-fit core piece or premium role player</x:v>
      </x:c>
      <x:c r="H54" s="32" t="str">
        <x:v>Political control exchange</x:v>
      </x:c>
      <x:c r="I54" s="32" t="str">
        <x:v>Politically interesting control exchange; outcome depends on turn order and choices.</x:v>
      </x:c>
    </x:row>
    <x:row r="55">
      <x:c r="A55" s="32" t="str">
        <x:v>Propaganda</x:v>
      </x:c>
      <x:c r="B55" s="32" t="str">
        <x:v>CURRENT — RETAINED</x:v>
      </x:c>
      <x:c r="C55" s="32" t="str">
        <x:v>Enchantment</x:v>
      </x:c>
      <x:c r="D55" s="32" t="n">
        <x:v>3</x:v>
      </x:c>
      <x:c r="E55" s="32" t="str">
        <x:v>8. Finishers / tax / utility</x:v>
      </x:c>
      <x:c r="F55" s="32" t="str">
        <x:v>A</x:v>
      </x:c>
      <x:c r="G55" s="32" t="str">
        <x:v>High-fit core piece or premium role player</x:v>
      </x:c>
      <x:c r="H55" s="32" t="str">
        <x:v>Tax / deterrent</x:v>
      </x:c>
      <x:c r="I55" s="32" t="str">
        <x:v>Taxes attacks toward you; protects setup but doesn't directly advance theft.</x:v>
      </x:c>
    </x:row>
    <x:row r="56">
      <x:c r="A56" s="32" t="str">
        <x:v>Quasiduplicate</x:v>
      </x:c>
      <x:c r="B56" s="32" t="str">
        <x:v>CURRENT — RETAINED</x:v>
      </x:c>
      <x:c r="C56" s="32" t="str">
        <x:v>Sorcery</x:v>
      </x:c>
      <x:c r="D56" s="32" t="n">
        <x:v>3</x:v>
      </x:c>
      <x:c r="E56" s="32" t="str">
        <x:v>5. Copy / clone / spell manipulation</x:v>
      </x:c>
      <x:c r="F56" s="32" t="str">
        <x:v>A</x:v>
      </x:c>
      <x:c r="G56" s="32" t="str">
        <x:v>High-fit core piece or premium role player</x:v>
      </x:c>
      <x:c r="H56" s="32" t="str">
        <x:v>Repeatable copy spell with jump-start; can copy borrowed creatures, but is normally sorcery-speed.</x:v>
      </x:c>
      <x:c r="I56" s="32" t="str">
        <x:v>Repeatable copy spell with jump-start; can copy borrowed creatures, but is normally sorcery-speed.</x:v>
      </x:c>
    </x:row>
    <x:row r="57">
      <x:c r="A57" s="32" t="str">
        <x:v>Redirect</x:v>
      </x:c>
      <x:c r="B57" s="32" t="str">
        <x:v>CURRENT — RETAINED</x:v>
      </x:c>
      <x:c r="C57" s="32" t="str">
        <x:v>Instant</x:v>
      </x:c>
      <x:c r="D57" s="32" t="n">
        <x:v>2</x:v>
      </x:c>
      <x:c r="E57" s="32" t="str">
        <x:v>5. Copy / clone / spell manipulation</x:v>
      </x:c>
      <x:c r="F57" s="32" t="str">
        <x:v>B</x:v>
      </x:c>
      <x:c r="G57" s="32" t="str">
        <x:v>Useful role player; effectiveness depends on board or build</x:v>
      </x:c>
      <x:c r="H57" s="32" t="str">
        <x:v>Changes a spell's targets, subject to legal-target rules. Political trick, not a broad counterspell.</x:v>
      </x:c>
      <x:c r="I57" s="32" t="str">
        <x:v>Changes a spell's targets, subject to legal-target rules. Political trick, not a broad counterspell.</x:v>
      </x:c>
    </x:row>
    <x:row r="58">
      <x:c r="A58" s="32" t="str">
        <x:v>Reliquary Tower</x:v>
      </x:c>
      <x:c r="B58" s="32" t="str">
        <x:v>CURRENT — RETAINED</x:v>
      </x:c>
      <x:c r="C58" s="32" t="str">
        <x:v>Land</x:v>
      </x:c>
      <x:c r="D58" s="32" t="n">
        <x:v>0</x:v>
      </x:c>
      <x:c r="E58" s="32" t="str">
        <x:v>1. Ramp + mana base</x:v>
      </x:c>
      <x:c r="F58" s="32" t="str">
        <x:v>B</x:v>
      </x:c>
      <x:c r="G58" s="32" t="str">
        <x:v>Useful role player; effectiveness depends on board or build</x:v>
      </x:c>
      <x:c r="H58" s="32" t="str">
        <x:v>Role classified by deck context; evaluate via playtests.</x:v>
      </x:c>
      <x:c r="I58" s="32" t="str">
        <x:v>Assess game-state utility, mana cost, and synergy with theft/copy plan; no pet status inferred.</x:v>
      </x:c>
    </x:row>
    <x:row r="59">
      <x:c r="A59" s="32" t="str">
        <x:v>Rhystic Study</x:v>
      </x:c>
      <x:c r="B59" s="32" t="str">
        <x:v>CURRENT — RETAINED</x:v>
      </x:c>
      <x:c r="C59" s="32" t="str">
        <x:v>Enchantment</x:v>
      </x:c>
      <x:c r="D59" s="32" t="n">
        <x:v>3</x:v>
      </x:c>
      <x:c r="E59" s="32" t="str">
        <x:v>2. Draw + selection</x:v>
      </x:c>
      <x:c r="F59" s="32" t="str">
        <x:v>S</x:v>
      </x:c>
      <x:c r="G59" s="32" t="str">
        <x:v>Defining engine or premium card with exceptionally high fit</x:v>
      </x:c>
      <x:c r="H59" s="32" t="str">
        <x:v>Important ongoing card advantage; helps keep mana available for reactive plays.</x:v>
      </x:c>
      <x:c r="I59" s="32" t="str">
        <x:v>Important ongoing card advantage; helps keep mana available for reactive plays.</x:v>
      </x:c>
    </x:row>
    <x:row r="60">
      <x:c r="A60" s="32" t="str">
        <x:v>Run Away Together</x:v>
      </x:c>
      <x:c r="B60" s="32" t="str">
        <x:v>CURRENT — RETAINED</x:v>
      </x:c>
      <x:c r="C60" s="32" t="str">
        <x:v>Instant</x:v>
      </x:c>
      <x:c r="D60" s="32" t="n">
        <x:v>2</x:v>
      </x:c>
      <x:c r="E60" s="32" t="str">
        <x:v>6. Interaction — counters / removal / resets</x:v>
      </x:c>
      <x:c r="F60" s="32" t="str">
        <x:v>B</x:v>
      </x:c>
      <x:c r="G60" s="32" t="str">
        <x:v>Useful role player; effectiveness depends on board or build</x:v>
      </x:c>
      <x:c r="H60" s="32" t="str">
        <x:v>Role classified by deck context; evaluate via playtests.</x:v>
      </x:c>
      <x:c r="I60" s="32" t="str">
        <x:v>Assess game-state utility, mana cost, and synergy with theft/copy plan; no pet status inferred.</x:v>
      </x:c>
    </x:row>
    <x:row r="61">
      <x:c r="A61" s="32" t="str">
        <x:v>Sakashima's Will</x:v>
      </x:c>
      <x:c r="B61" s="32" t="str">
        <x:v>CURRENT — RETAINED</x:v>
      </x:c>
      <x:c r="C61" s="32" t="str">
        <x:v>Sorcery</x:v>
      </x:c>
      <x:c r="D61" s="32" t="n">
        <x:v>4</x:v>
      </x:c>
      <x:c r="E61" s="32" t="str">
        <x:v>5. Copy / clone / spell manipulation</x:v>
      </x:c>
      <x:c r="F61" s="32" t="str">
        <x:v>B</x:v>
      </x:c>
      <x:c r="G61" s="32" t="str">
        <x:v>Useful role player; effectiveness depends on board or build</x:v>
      </x:c>
      <x:c r="H61" s="32" t="str">
        <x:v>Role classified by deck context; evaluate via playtests.</x:v>
      </x:c>
      <x:c r="I61" s="32" t="str">
        <x:v>Assess game-state utility, mana cost, and synergy with theft/copy plan; no pet status inferred.</x:v>
      </x:c>
    </x:row>
    <x:row r="62">
      <x:c r="A62" s="32" t="str">
        <x:v>Sensei's Divining Top</x:v>
      </x:c>
      <x:c r="B62" s="32" t="str">
        <x:v>CURRENT — RETAINED</x:v>
      </x:c>
      <x:c r="C62" s="32" t="str">
        <x:v>Artifact</x:v>
      </x:c>
      <x:c r="D62" s="32" t="n">
        <x:v>1</x:v>
      </x:c>
      <x:c r="E62" s="32" t="str">
        <x:v>2. Draw + selection</x:v>
      </x:c>
      <x:c r="F62" s="32" t="str">
        <x:v>B</x:v>
      </x:c>
      <x:c r="G62" s="32" t="str">
        <x:v>Useful role player; effectiveness depends on board or build</x:v>
      </x:c>
      <x:c r="H62" s="32" t="str">
        <x:v>Card selection, but not true card advantage and requires mana to use repeatedly.</x:v>
      </x:c>
      <x:c r="I62" s="32" t="str">
        <x:v>Card selection, but not true card advantage and requires mana to use repeatedly.</x:v>
      </x:c>
    </x:row>
    <x:row r="63">
      <x:c r="A63" s="32" t="str">
        <x:v>Silundi Vision</x:v>
      </x:c>
      <x:c r="B63" s="32" t="str">
        <x:v>CURRENT — RETAINED</x:v>
      </x:c>
      <x:c r="C63" s="32" t="str">
        <x:v>MDFC — Sorcery/Land</x:v>
      </x:c>
      <x:c r="D63" s="32" t="n">
        <x:v>3</x:v>
      </x:c>
      <x:c r="E63" s="32" t="str">
        <x:v>2. Draw + selection</x:v>
      </x:c>
      <x:c r="F63" s="32" t="str">
        <x:v>B</x:v>
      </x:c>
      <x:c r="G63" s="32" t="str">
        <x:v>Useful role player; effectiveness depends on board or build</x:v>
      </x:c>
      <x:c r="H63" s="32" t="str">
        <x:v>Selection spell or tapped land</x:v>
      </x:c>
      <x:c r="I63" s="32" t="str">
        <x:v>Assess game-state utility, mana cost, and synergy with theft/copy plan; no pet status inferred.</x:v>
      </x:c>
    </x:row>
    <x:row r="64">
      <x:c r="A64" s="32" t="str">
        <x:v>Sol Ring</x:v>
      </x:c>
      <x:c r="B64" s="32" t="str">
        <x:v>CURRENT — RETAINED</x:v>
      </x:c>
      <x:c r="C64" s="32" t="str">
        <x:v>Artifact</x:v>
      </x:c>
      <x:c r="D64" s="32" t="n">
        <x:v>1</x:v>
      </x:c>
      <x:c r="E64" s="32" t="str">
        <x:v>1. Ramp + mana base</x:v>
      </x:c>
      <x:c r="F64" s="32" t="str">
        <x:v>A</x:v>
      </x:c>
      <x:c r="G64" s="32" t="str">
        <x:v>High-fit core piece or premium role player</x:v>
      </x:c>
      <x:c r="H64" s="32" t="str">
        <x:v>Role classified by deck context; evaluate via playtests.</x:v>
      </x:c>
      <x:c r="I64" s="32" t="str">
        <x:v>Assess game-state utility, mana cost, and synergy with theft/copy plan; no pet status inferred.</x:v>
      </x:c>
    </x:row>
    <x:row r="65">
      <x:c r="A65" s="32" t="str">
        <x:v>Steal Enchantment</x:v>
      </x:c>
      <x:c r="B65" s="32" t="str">
        <x:v>CURRENT — RETAINED</x:v>
      </x:c>
      <x:c r="C65" s="32" t="str">
        <x:v>Enchantment</x:v>
      </x:c>
      <x:c r="D65" s="32" t="n">
        <x:v>3</x:v>
      </x:c>
      <x:c r="E65" s="32" t="str">
        <x:v>4. Theft — permanent / control</x:v>
      </x:c>
      <x:c r="F65" s="32" t="str">
        <x:v>B</x:v>
      </x:c>
      <x:c r="G65" s="32" t="str">
        <x:v>Useful role player; effectiveness depends on board or build</x:v>
      </x:c>
      <x:c r="H65" s="32" t="str">
        <x:v>Niche, but directly on-theme: takes an opposing enchantment.</x:v>
      </x:c>
      <x:c r="I65" s="32" t="str">
        <x:v>Niche, but directly on-theme: takes an opposing enchantment.</x:v>
      </x:c>
    </x:row>
    <x:row r="66">
      <x:c r="A66" s="32" t="str">
        <x:v>Talisman of Creativity</x:v>
      </x:c>
      <x:c r="B66" s="32" t="str">
        <x:v>CURRENT — RETAINED</x:v>
      </x:c>
      <x:c r="C66" s="32" t="str">
        <x:v>Artifact</x:v>
      </x:c>
      <x:c r="D66" s="32" t="n">
        <x:v>2</x:v>
      </x:c>
      <x:c r="E66" s="32" t="str">
        <x:v>1. Ramp + mana base</x:v>
      </x:c>
      <x:c r="F66" s="32" t="str">
        <x:v>A</x:v>
      </x:c>
      <x:c r="G66" s="32" t="str">
        <x:v>High-fit core piece or premium role player</x:v>
      </x:c>
      <x:c r="H66" s="32" t="str">
        <x:v>Role classified by deck context; evaluate via playtests.</x:v>
      </x:c>
      <x:c r="I66" s="32" t="str">
        <x:v>Assess game-state utility, mana cost, and synergy with theft/copy plan; no pet status inferred.</x:v>
      </x:c>
    </x:row>
    <x:row r="67">
      <x:c r="A67" s="32" t="str">
        <x:v>Telepathy</x:v>
      </x:c>
      <x:c r="B67" s="32" t="str">
        <x:v>CURRENT — RETAINED</x:v>
      </x:c>
      <x:c r="C67" s="32" t="str">
        <x:v>Enchantment</x:v>
      </x:c>
      <x:c r="D67" s="32" t="n">
        <x:v>1</x:v>
      </x:c>
      <x:c r="E67" s="32" t="str">
        <x:v>7. Zara engine — haste / protection / retain theft</x:v>
      </x:c>
      <x:c r="F67" s="32" t="str">
        <x:v>A</x:v>
      </x:c>
      <x:c r="G67" s="32" t="str">
        <x:v>High-fit core piece or premium role player</x:v>
      </x:c>
      <x:c r="H67" s="32" t="str">
        <x:v>Information advantage / target selection</x:v>
      </x:c>
      <x:c r="I67" s="32" t="str">
        <x:v>Reveals all opponents' hands, improving Zara target selection and creating political information.</x:v>
      </x:c>
    </x:row>
    <x:row r="68">
      <x:c r="A68" s="32" t="str">
        <x:v>Temple of Epiphany</x:v>
      </x:c>
      <x:c r="B68" s="32" t="str">
        <x:v>CURRENT — RETAINED</x:v>
      </x:c>
      <x:c r="C68" s="32" t="str">
        <x:v>Land</x:v>
      </x:c>
      <x:c r="D68" s="32" t="n">
        <x:v>0</x:v>
      </x:c>
      <x:c r="E68" s="32" t="str">
        <x:v>1. Ramp + mana base</x:v>
      </x:c>
      <x:c r="F68" s="32" t="str">
        <x:v>B</x:v>
      </x:c>
      <x:c r="G68" s="32" t="str">
        <x:v>Useful role player; effectiveness depends on board or build</x:v>
      </x:c>
      <x:c r="H68" s="32" t="str">
        <x:v>Role classified by deck context; evaluate via playtests.</x:v>
      </x:c>
      <x:c r="I68" s="32" t="str">
        <x:v>Assess game-state utility, mana cost, and synergy with theft/copy plan; no pet status inferred.</x:v>
      </x:c>
    </x:row>
    <x:row r="69">
      <x:c r="A69" s="32" t="str">
        <x:v>Temple of the False God</x:v>
      </x:c>
      <x:c r="B69" s="32" t="str">
        <x:v>CURRENT — RETAINED</x:v>
      </x:c>
      <x:c r="C69" s="32" t="str">
        <x:v>Land</x:v>
      </x:c>
      <x:c r="D69" s="32" t="n">
        <x:v>0</x:v>
      </x:c>
      <x:c r="E69" s="32" t="str">
        <x:v>1. Ramp + mana base</x:v>
      </x:c>
      <x:c r="F69" s="32" t="str">
        <x:v>D</x:v>
      </x:c>
      <x:c r="G69" s="32" t="str">
        <x:v>Recommended cut in PROPOSED V2 or structural liability</x:v>
      </x:c>
      <x:c r="H69" s="32" t="str">
        <x:v>Conditional mana source that is poor early, especially alongside only 31 physical lands.</x:v>
      </x:c>
      <x:c r="I69" s="32" t="str">
        <x:v>Conditional mana source that is poor early, especially alongside only 31 physical lands.</x:v>
      </x:c>
    </x:row>
    <x:row r="70">
      <x:c r="A70" s="32" t="str">
        <x:v>Unwilling Recruit</x:v>
      </x:c>
      <x:c r="B70" s="32" t="str">
        <x:v>CURRENT — RETAINED</x:v>
      </x:c>
      <x:c r="C70" s="32" t="str">
        <x:v>Sorcery</x:v>
      </x:c>
      <x:c r="D70" s="32" t="n">
        <x:v>3</x:v>
      </x:c>
      <x:c r="E70" s="32" t="str">
        <x:v>3. Theft — temporary / combat</x:v>
      </x:c>
      <x:c r="F70" s="32" t="str">
        <x:v>B</x:v>
      </x:c>
      <x:c r="G70" s="32" t="str">
        <x:v>Useful role player; effectiveness depends on board or build</x:v>
      </x:c>
      <x:c r="H70" s="32" t="str">
        <x:v>Scalable temporary theft</x:v>
      </x:c>
      <x:c r="I70" s="32" t="str">
        <x:v>Scalable temporary theft with haste; triple-red pip can stress the mana base.</x:v>
      </x:c>
    </x:row>
    <x:row r="71">
      <x:c r="A71" s="32" t="str">
        <x:v>Vandalblast</x:v>
      </x:c>
      <x:c r="B71" s="32" t="str">
        <x:v>CURRENT — RETAINED</x:v>
      </x:c>
      <x:c r="C71" s="32" t="str">
        <x:v>Sorcery</x:v>
      </x:c>
      <x:c r="D71" s="32" t="n">
        <x:v>1</x:v>
      </x:c>
      <x:c r="E71" s="32" t="str">
        <x:v>6. Interaction — counters / removal / resets</x:v>
      </x:c>
      <x:c r="F71" s="32" t="str">
        <x:v>A</x:v>
      </x:c>
      <x:c r="G71" s="32" t="str">
        <x:v>High-fit core piece or premium role player</x:v>
      </x:c>
      <x:c r="H71" s="32" t="str">
        <x:v>Artifact removal / overload wipe</x:v>
      </x:c>
      <x:c r="I71" s="32" t="str">
        <x:v>Assess game-state utility, mana cost, and synergy with theft/copy plan; no pet status inferred.</x:v>
      </x:c>
    </x:row>
    <x:row r="72">
      <x:c r="A72" s="32" t="str">
        <x:v>Vivid Crag</x:v>
      </x:c>
      <x:c r="B72" s="32" t="str">
        <x:v>CURRENT — RETAINED</x:v>
      </x:c>
      <x:c r="C72" s="32" t="str">
        <x:v>Land</x:v>
      </x:c>
      <x:c r="D72" s="32" t="n">
        <x:v>0</x:v>
      </x:c>
      <x:c r="E72" s="32" t="str">
        <x:v>1. Ramp + mana base</x:v>
      </x:c>
      <x:c r="F72" s="32" t="str">
        <x:v>C</x:v>
      </x:c>
      <x:c r="G72" s="32" t="str">
        <x:v>Conditional, inefficient, or partially off-plan</x:v>
      </x:c>
      <x:c r="H72" s="32" t="str">
        <x:v>Enters tapped and has limited colored-charge flexibility; slower than untapped duals.</x:v>
      </x:c>
      <x:c r="I72" s="32" t="str">
        <x:v>Enters tapped and has limited colored-charge flexibility; slower than untapped duals.</x:v>
      </x:c>
    </x:row>
    <x:row r="73">
      <x:c r="A73" s="32" t="str">
        <x:v>Vivid Creek</x:v>
      </x:c>
      <x:c r="B73" s="32" t="str">
        <x:v>CURRENT — RETAINED</x:v>
      </x:c>
      <x:c r="C73" s="32" t="str">
        <x:v>Land</x:v>
      </x:c>
      <x:c r="D73" s="32" t="n">
        <x:v>0</x:v>
      </x:c>
      <x:c r="E73" s="32" t="str">
        <x:v>1. Ramp + mana base</x:v>
      </x:c>
      <x:c r="F73" s="32" t="str">
        <x:v>C</x:v>
      </x:c>
      <x:c r="G73" s="32" t="str">
        <x:v>Conditional, inefficient, or partially off-plan</x:v>
      </x:c>
      <x:c r="H73" s="32" t="str">
        <x:v>Enters tapped and has limited colored-charge flexibility; slower than untapped duals.</x:v>
      </x:c>
      <x:c r="I73" s="32" t="str">
        <x:v>Enters tapped and has limited colored-charge flexibility; slower than untapped duals.</x:v>
      </x:c>
    </x:row>
    <x:row r="74">
      <x:c r="A74" s="32" t="str">
        <x:v>Sundial of the Infinite</x:v>
      </x:c>
      <x:c r="B74" s="32" t="str">
        <x:v>ADDED — PROPOSED</x:v>
      </x:c>
      <x:c r="C74" s="32" t="str">
        <x:v>Artifact</x:v>
      </x:c>
      <x:c r="D74" s="32" t="n">
        <x:v>2</x:v>
      </x:c>
      <x:c r="E74" s="32" t="str">
        <x:v>7. Zara engine — haste / protection / retain theft</x:v>
      </x:c>
      <x:c r="F74" s="32" t="str">
        <x:v>S</x:v>
      </x:c>
      <x:c r="G74" s="32" t="str">
        <x:v>Defining engine or premium card with exceptionally high fit</x:v>
      </x:c>
      <x:c r="H74" s="32" t="str">
        <x:v>Keep Zara's borrowed creature by ending turn with return trigger on stack</x:v>
      </x:c>
      <x:c r="I74" s="32" t="str">
        <x:v>Priority engine: after Zara's delayed return trigger is on the stack during your end step, activate Sundial to end the turn; that trigger is exiled from the stack.</x:v>
      </x:c>
    </x:row>
    <x:row r="75">
      <x:c r="A75" s="32" t="str">
        <x:v>Conjurer's Closet</x:v>
      </x:c>
      <x:c r="B75" s="32" t="str">
        <x:v>ADDED — PROPOSED</x:v>
      </x:c>
      <x:c r="C75" s="32" t="str">
        <x:v>Artifact</x:v>
      </x:c>
      <x:c r="D75" s="32" t="n">
        <x:v>5</x:v>
      </x:c>
      <x:c r="E75" s="32" t="str">
        <x:v>7. Zara engine — haste / protection / retain theft</x:v>
      </x:c>
      <x:c r="F75" s="32" t="str">
        <x:v>A</x:v>
      </x:c>
      <x:c r="G75" s="32" t="str">
        <x:v>High-fit core piece or premium role player</x:v>
      </x:c>
      <x:c r="H75" s="32" t="str">
        <x:v>Blink borrowed creature before return trigger resolves</x:v>
      </x:c>
      <x:c r="I75" s="32" t="str">
        <x:v>At your end step, stack its blink trigger above Zara's return trigger; blinking the borrowed creature makes it a new object so the delayed return won't find it.</x:v>
      </x:c>
    </x:row>
    <x:row r="76">
      <x:c r="A76" s="32" t="str">
        <x:v>Ghostly Flicker</x:v>
      </x:c>
      <x:c r="B76" s="32" t="str">
        <x:v>ADDED — PROPOSED</x:v>
      </x:c>
      <x:c r="C76" s="32" t="str">
        <x:v>Instant</x:v>
      </x:c>
      <x:c r="D76" s="32" t="n">
        <x:v>3</x:v>
      </x:c>
      <x:c r="E76" s="32" t="str">
        <x:v>6. Interaction — counters / removal / resets</x:v>
      </x:c>
      <x:c r="F76" s="32" t="str">
        <x:v>A</x:v>
      </x:c>
      <x:c r="G76" s="32" t="str">
        <x:v>High-fit core piece or premium role player</x:v>
      </x:c>
      <x:c r="H76" s="32" t="str">
        <x:v>Instant-speed blink / protect borrowed creature</x:v>
      </x:c>
      <x:c r="I76" s="32" t="str">
        <x:v>Instant-speed blink of the borrowed creature plus another artifact/creature/land you control; new object avoids Zara's return effect. Also protects/value loops.</x:v>
      </x:c>
    </x:row>
    <x:row r="77">
      <x:c r="A77" s="32" t="str">
        <x:v>Agent of Treachery</x:v>
      </x:c>
      <x:c r="B77" s="32" t="str">
        <x:v>ADDED — PROPOSED</x:v>
      </x:c>
      <x:c r="C77" s="32" t="str">
        <x:v>Creature</x:v>
      </x:c>
      <x:c r="D77" s="32" t="n">
        <x:v>7</x:v>
      </x:c>
      <x:c r="E77" s="32" t="str">
        <x:v>4. Theft — permanent / control</x:v>
      </x:c>
      <x:c r="F77" s="32" t="str">
        <x:v>A</x:v>
      </x:c>
      <x:c r="G77" s="32" t="str">
        <x:v>High-fit core piece or premium role player</x:v>
      </x:c>
      <x:c r="H77" s="32" t="str">
        <x:v>Permanent theft and potential draw-three engine</x:v>
      </x:c>
      <x:c r="I77" s="32" t="str">
        <x:v>High-cost but on-theme permanent theft. Its ETB control change has no duration clause, and it can draw three if you control three or more permanents you don't own at end step.</x:v>
      </x:c>
    </x:row>
    <x:row r="78">
      <x:c r="A78" s="32" t="str">
        <x:v>Stolen Strategy</x:v>
      </x:c>
      <x:c r="B78" s="32" t="str">
        <x:v>ADDED — PROPOSED</x:v>
      </x:c>
      <x:c r="C78" s="32" t="str">
        <x:v>Enchantment</x:v>
      </x:c>
      <x:c r="D78" s="32" t="n">
        <x:v>5</x:v>
      </x:c>
      <x:c r="E78" s="32" t="str">
        <x:v>8. Finishers / tax / utility</x:v>
      </x:c>
      <x:c r="F78" s="32" t="str">
        <x:v>A</x:v>
      </x:c>
      <x:c r="G78" s="32" t="str">
        <x:v>High-fit core piece or premium role player</x:v>
      </x:c>
      <x:c r="H78" s="32" t="str">
        <x:v>Cast spells from opponents' libraries</x:v>
      </x:c>
      <x:c r="I78" s="32" t="str">
        <x:v>Upkeep engine that lets you cast spells from each opponent's library top; direct support for the 'play their cards' identity.</x:v>
      </x:c>
    </x:row>
    <x:row r="79">
      <x:c r="A79" s="32" t="str">
        <x:v>Port Razer</x:v>
      </x:c>
      <x:c r="B79" s="32" t="str">
        <x:v>ADDED — PROPOSED</x:v>
      </x:c>
      <x:c r="C79" s="32" t="str">
        <x:v>Creature</x:v>
      </x:c>
      <x:c r="D79" s="32" t="n">
        <x:v>5</x:v>
      </x:c>
      <x:c r="E79" s="32" t="str">
        <x:v>3. Theft — temporary / combat</x:v>
      </x:c>
      <x:c r="F79" s="32" t="str">
        <x:v>A</x:v>
      </x:c>
      <x:c r="G79" s="32" t="str">
        <x:v>High-fit core piece or premium role player</x:v>
      </x:c>
      <x:c r="H79" s="32" t="str">
        <x:v>Extra combat; gives Zara another attack trigger</x:v>
      </x:c>
      <x:c r="I79" s="32" t="str">
        <x:v>Extra combat payoff; when it deals combat damage to a player for the first time each turn, untaps attacking creatures and creates another combat phase, giving Zara another attack trigger.</x:v>
      </x:c>
    </x:row>
    <x:row r="80">
      <x:c r="A80" s="32" t="str">
        <x:v>Bribery</x:v>
      </x:c>
      <x:c r="B80" s="32" t="str">
        <x:v>ADDED — PROPOSED</x:v>
      </x:c>
      <x:c r="C80" s="32" t="str">
        <x:v>Sorcery</x:v>
      </x:c>
      <x:c r="D80" s="32" t="n">
        <x:v>5</x:v>
      </x:c>
      <x:c r="E80" s="32" t="str">
        <x:v>4. Theft — permanent / control</x:v>
      </x:c>
      <x:c r="F80" s="32" t="str">
        <x:v>A</x:v>
      </x:c>
      <x:c r="G80" s="32" t="str">
        <x:v>High-fit core piece or premium role player</x:v>
      </x:c>
      <x:c r="H80" s="32" t="str">
        <x:v>Steal creature from opponent's library</x:v>
      </x:c>
      <x:c r="I80" s="32" t="str">
        <x:v>Steals the best creature from an opponent's library directly onto your battlefield; powerful but five mana and may raise threat perception.</x:v>
      </x:c>
    </x:row>
    <x:row r="81">
      <x:c r="A81" s="32" t="str">
        <x:v>Chaos Warp</x:v>
      </x:c>
      <x:c r="B81" s="32" t="str">
        <x:v>ADDED — PROPOSED</x:v>
      </x:c>
      <x:c r="C81" s="32" t="str">
        <x:v>Instant</x:v>
      </x:c>
      <x:c r="D81" s="32" t="n">
        <x:v>3</x:v>
      </x:c>
      <x:c r="E81" s="32" t="str">
        <x:v>6. Interaction — counters / removal / resets</x:v>
      </x:c>
      <x:c r="F81" s="32" t="str">
        <x:v>A</x:v>
      </x:c>
      <x:c r="G81" s="32" t="str">
        <x:v>High-fit core piece or premium role player</x:v>
      </x:c>
      <x:c r="H81" s="32" t="str">
        <x:v>Flexible answer to any permanent type</x:v>
      </x:c>
      <x:c r="I81" s="32" t="str">
        <x:v>Flexible answer to almost any problematic permanent; improves red's interaction coverage.</x:v>
      </x:c>
    </x:row>
    <x:row r="82">
      <x:c r="A82" s="32" t="str">
        <x:v>Steam Vents</x:v>
      </x:c>
      <x:c r="B82" s="32" t="str">
        <x:v>ADDED — PROPOSED</x:v>
      </x:c>
      <x:c r="C82" s="32" t="str">
        <x:v>Land</x:v>
      </x:c>
      <x:c r="D82" s="32" t="n">
        <x:v>0</x:v>
      </x:c>
      <x:c r="E82" s="32" t="str">
        <x:v>1. Ramp + mana base</x:v>
      </x:c>
      <x:c r="F82" s="32" t="str">
        <x:v>A</x:v>
      </x:c>
      <x:c r="G82" s="32" t="str">
        <x:v>High-fit core piece or premium role player</x:v>
      </x:c>
      <x:c r="H82" s="32" t="str">
        <x:v>Untapped dual when needed; supports colored requirements.</x:v>
      </x:c>
      <x:c r="I82" s="32" t="str">
        <x:v>Untapped dual when needed; supports colored requirements.</x:v>
      </x:c>
    </x:row>
    <x:row r="83">
      <x:c r="A83" s="32" t="str">
        <x:v>Shivan Reef</x:v>
      </x:c>
      <x:c r="B83" s="32" t="str">
        <x:v>ADDED — PROPOSED</x:v>
      </x:c>
      <x:c r="C83" s="32" t="str">
        <x:v>Land</x:v>
      </x:c>
      <x:c r="D83" s="32" t="n">
        <x:v>0</x:v>
      </x:c>
      <x:c r="E83" s="32" t="str">
        <x:v>1. Ramp + mana base</x:v>
      </x:c>
      <x:c r="F83" s="32" t="str">
        <x:v>A</x:v>
      </x:c>
      <x:c r="G83" s="32" t="str">
        <x:v>High-fit core piece or premium role player</x:v>
      </x:c>
      <x:c r="H83" s="32" t="str">
        <x:v>Untapped dual/fixer, at a small life cost.</x:v>
      </x:c>
      <x:c r="I83" s="32" t="str">
        <x:v>Untapped dual/fixer, at a small life cost.</x:v>
      </x:c>
    </x:row>
    <x:row r="84">
      <x:c r="A84" s="32" t="str">
        <x:v>Training Center</x:v>
      </x:c>
      <x:c r="B84" s="32" t="str">
        <x:v>ADDED — PROPOSED</x:v>
      </x:c>
      <x:c r="C84" s="32" t="str">
        <x:v>Land</x:v>
      </x:c>
      <x:c r="D84" s="32" t="n">
        <x:v>0</x:v>
      </x:c>
      <x:c r="E84" s="32" t="str">
        <x:v>1. Ramp + mana base</x:v>
      </x:c>
      <x:c r="F84" s="32" t="str">
        <x:v>A</x:v>
      </x:c>
      <x:c r="G84" s="32" t="str">
        <x:v>High-fit core piece or premium role player</x:v>
      </x:c>
      <x:c r="H84" s="32" t="str">
        <x:v>Usually untapped in multiplayer; improves color fixing.</x:v>
      </x:c>
      <x:c r="I84" s="32" t="str">
        <x:v>Usually untapped in multiplayer; improves color fixing.</x:v>
      </x:c>
    </x:row>
    <x:row r="85">
      <x:c r="A85" s="32" t="str">
        <x:v>Stormcarved Coast</x:v>
      </x:c>
      <x:c r="B85" s="32" t="str">
        <x:v>ADDED — PROPOSED</x:v>
      </x:c>
      <x:c r="C85" s="32" t="str">
        <x:v>Land</x:v>
      </x:c>
      <x:c r="D85" s="32" t="n">
        <x:v>0</x:v>
      </x:c>
      <x:c r="E85" s="32" t="str">
        <x:v>1. Ramp + mana base</x:v>
      </x:c>
      <x:c r="F85" s="32" t="str">
        <x:v>A</x:v>
      </x:c>
      <x:c r="G85" s="32" t="str">
        <x:v>High-fit core piece or premium role player</x:v>
      </x:c>
      <x:c r="H85" s="32" t="str">
        <x:v>Often untapped in mid/late game, improving colored sources.</x:v>
      </x:c>
      <x:c r="I85" s="32" t="str">
        <x:v>Often untapped in mid/late game, improving colored sources.</x:v>
      </x:c>
    </x:row>
    <x:row r="86">
      <x:c r="A86" s="32" t="str">
        <x:v>Sulfur Falls</x:v>
      </x:c>
      <x:c r="B86" s="32" t="str">
        <x:v>ADDED — PROPOSED</x:v>
      </x:c>
      <x:c r="C86" s="32" t="str">
        <x:v>Land</x:v>
      </x:c>
      <x:c r="D86" s="32" t="n">
        <x:v>0</x:v>
      </x:c>
      <x:c r="E86" s="32" t="str">
        <x:v>1. Ramp + mana base</x:v>
      </x:c>
      <x:c r="F86" s="32" t="str">
        <x:v>A</x:v>
      </x:c>
      <x:c r="G86" s="32" t="str">
        <x:v>High-fit core piece or premium role player</x:v>
      </x:c>
      <x:c r="H86" s="32" t="str">
        <x:v>Usually untapped when an Island or Mountain is present; improves reliable fixing.</x:v>
      </x:c>
      <x:c r="I86" s="32" t="str">
        <x:v>Usually untapped when an Island or Mountain is present; improves reliable fixing.</x:v>
      </x:c>
    </x:row>
    <x:row r="87">
      <x:c r="A87" s="32" t="str">
        <x:v>Alchemist's Gambit</x:v>
      </x:c>
      <x:c r="B87" s="32" t="str">
        <x:v>CUT CANDIDATE — V2</x:v>
      </x:c>
      <x:c r="C87" s="32" t="str">
        <x:v>Sorcery</x:v>
      </x:c>
      <x:c r="D87" s="32" t="n">
        <x:v>3</x:v>
      </x:c>
      <x:c r="E87" s="32" t="str">
        <x:v>3. Theft — temporary / combat</x:v>
      </x:c>
      <x:c r="F87" s="32" t="str">
        <x:v>D</x:v>
      </x:c>
      <x:c r="G87" s="32" t="str">
        <x:v>Recommended cut in PROPOSED V2 or structural liability</x:v>
      </x:c>
      <x:c r="H87" s="32" t="str">
        <x:v>Extra turn; risky payoff</x:v>
      </x:c>
      <x:c r="I87" s="32" t="str">
        <x:v>Risky extra-turn effect with a lose-game clause unless cleaved; weak fit versus durable theft engines.</x:v>
      </x:c>
    </x:row>
    <x:row r="88">
      <x:c r="A88" s="32" t="str">
        <x:v>Browbeat</x:v>
      </x:c>
      <x:c r="B88" s="32" t="str">
        <x:v>CUT CANDIDATE — V2</x:v>
      </x:c>
      <x:c r="C88" s="32" t="str">
        <x:v>Sorcery</x:v>
      </x:c>
      <x:c r="D88" s="32" t="n">
        <x:v>3</x:v>
      </x:c>
      <x:c r="E88" s="32" t="str">
        <x:v>2. Draw + selection</x:v>
      </x:c>
      <x:c r="F88" s="32" t="str">
        <x:v>D</x:v>
      </x:c>
      <x:c r="G88" s="32" t="str">
        <x:v>Recommended cut in PROPOSED V2 or structural liability</x:v>
      </x:c>
      <x:c r="H88" s="32" t="str">
        <x:v>Opponent-choice draw/damage</x:v>
      </x:c>
      <x:c r="I88" s="32" t="str">
        <x:v>Opponent chooses the outcome; unreliable card draw and low control over result.</x:v>
      </x:c>
    </x:row>
    <x:row r="89">
      <x:c r="A89" s="32" t="str">
        <x:v>Firemind's Research</x:v>
      </x:c>
      <x:c r="B89" s="32" t="str">
        <x:v>CUT CANDIDATE — V2</x:v>
      </x:c>
      <x:c r="C89" s="32" t="str">
        <x:v>Enchantment</x:v>
      </x:c>
      <x:c r="D89" s="32" t="n">
        <x:v>2</x:v>
      </x:c>
      <x:c r="E89" s="32" t="str">
        <x:v>8. Finishers / tax / utility</x:v>
      </x:c>
      <x:c r="F89" s="32" t="str">
        <x:v>D</x:v>
      </x:c>
      <x:c r="G89" s="32" t="str">
        <x:v>Recommended cut in PROPOSED V2 or structural liability</x:v>
      </x:c>
      <x:c r="H89" s="32" t="str">
        <x:v>Slow payoff for instants/sorceries; supports a secondary spellslinger theme more than theft.</x:v>
      </x:c>
      <x:c r="I89" s="32" t="str">
        <x:v>Slow payoff for instants/sorceries; supports a secondary spellslinger theme more than theft.</x:v>
      </x:c>
    </x:row>
    <x:row r="90">
      <x:c r="A90" s="32" t="str">
        <x:v>Goblin Electromancer</x:v>
      </x:c>
      <x:c r="B90" s="32" t="str">
        <x:v>CUT CANDIDATE — V2</x:v>
      </x:c>
      <x:c r="C90" s="32" t="str">
        <x:v>Creature</x:v>
      </x:c>
      <x:c r="D90" s="32" t="n">
        <x:v>2</x:v>
      </x:c>
      <x:c r="E90" s="32" t="str">
        <x:v>1. Ramp + mana base</x:v>
      </x:c>
      <x:c r="F90" s="32" t="str">
        <x:v>C</x:v>
      </x:c>
      <x:c r="G90" s="32" t="str">
        <x:v>Conditional, inefficient, or partially off-plan</x:v>
      </x:c>
      <x:c r="H90" s="32" t="str">
        <x:v>Efficient in spellslinger, but lower synergy with the theft/control core.</x:v>
      </x:c>
      <x:c r="I90" s="32" t="str">
        <x:v>Efficient in spellslinger, but lower synergy with the theft/control core.</x:v>
      </x:c>
    </x:row>
    <x:row r="91">
      <x:c r="A91" s="32" t="str">
        <x:v>Goblin Flectomancer</x:v>
      </x:c>
      <x:c r="B91" s="32" t="str">
        <x:v>CUT CANDIDATE — V2</x:v>
      </x:c>
      <x:c r="C91" s="32" t="str">
        <x:v>Creature</x:v>
      </x:c>
      <x:c r="D91" s="32" t="n">
        <x:v>3</x:v>
      </x:c>
      <x:c r="E91" s="32" t="str">
        <x:v>5. Copy / clone / spell manipulation</x:v>
      </x:c>
      <x:c r="F91" s="32" t="str">
        <x:v>C</x:v>
      </x:c>
      <x:c r="G91" s="32" t="str">
        <x:v>Conditional, inefficient, or partially off-plan</x:v>
      </x:c>
      <x:c r="H91" s="32" t="str">
        <x:v>Target-changing ability on a body, but needs the right spell and is difficult to reuse.</x:v>
      </x:c>
      <x:c r="I91" s="32" t="str">
        <x:v>Target-changing ability on a body, but needs the right spell and is difficult to reuse.</x:v>
      </x:c>
    </x:row>
    <x:row r="92">
      <x:c r="A92" s="32" t="str">
        <x:v>Parallel Thoughts</x:v>
      </x:c>
      <x:c r="B92" s="32" t="str">
        <x:v>CUT CANDIDATE — V2</x:v>
      </x:c>
      <x:c r="C92" s="32" t="str">
        <x:v>Sorcery</x:v>
      </x:c>
      <x:c r="D92" s="32" t="n">
        <x:v>5</x:v>
      </x:c>
      <x:c r="E92" s="32" t="str">
        <x:v>2. Draw + selection</x:v>
      </x:c>
      <x:c r="F92" s="32" t="str">
        <x:v>D</x:v>
      </x:c>
      <x:c r="G92" s="32" t="str">
        <x:v>Recommended cut in PROPOSED V2 or structural liability</x:v>
      </x:c>
      <x:c r="H92" s="32" t="str">
        <x:v>Slow setup with delayed access to a curated pile; inefficient compared with cheaper selection/draw.</x:v>
      </x:c>
      <x:c r="I92" s="32" t="str">
        <x:v>Slow setup with delayed access to a curated pile; inefficient compared with cheaper selection/draw.</x:v>
      </x:c>
    </x:row>
    <x:row r="93">
      <x:c r="A93" s="32" t="str">
        <x:v>Smoke</x:v>
      </x:c>
      <x:c r="B93" s="32" t="str">
        <x:v>CUT CANDIDATE — V2</x:v>
      </x:c>
      <x:c r="C93" s="32" t="str">
        <x:v>Enchantment</x:v>
      </x:c>
      <x:c r="D93" s="32" t="n">
        <x:v>2</x:v>
      </x:c>
      <x:c r="E93" s="32" t="str">
        <x:v>8. Finishers / tax / utility</x:v>
      </x:c>
      <x:c r="F93" s="32" t="str">
        <x:v>D</x:v>
      </x:c>
      <x:c r="G93" s="32" t="str">
        <x:v>Recommended cut in PROPOSED V2 or structural liability</x:v>
      </x:c>
      <x:c r="H93" s="32" t="str">
        <x:v>Symmetrical untap restriction. Risks suppressing your own creatures and game flow; cut candidate.</x:v>
      </x:c>
      <x:c r="I93" s="32" t="str">
        <x:v>Symmetrical untap restriction. Risks suppressing your own creatures and game flow; cut candidate.</x:v>
      </x:c>
    </x:row>
    <x:row r="94">
      <x:c r="A94" s="32" t="str">
        <x:v>Sphinx of the Second Sun</x:v>
      </x:c>
      <x:c r="B94" s="32" t="str">
        <x:v>CUT CANDIDATE — V2</x:v>
      </x:c>
      <x:c r="C94" s="32" t="str">
        <x:v>Creature</x:v>
      </x:c>
      <x:c r="D94" s="32" t="n">
        <x:v>8</x:v>
      </x:c>
      <x:c r="E94" s="32" t="str">
        <x:v>8. Finishers / tax / utility</x:v>
      </x:c>
      <x:c r="F94" s="32" t="str">
        <x:v>C</x:v>
      </x:c>
      <x:c r="G94" s="32" t="str">
        <x:v>Conditional, inefficient, or partially off-plan</x:v>
      </x:c>
      <x:c r="H94" s="32" t="str">
        <x:v>Role classified by deck context; evaluate via playtests.</x:v>
      </x:c>
      <x:c r="I94" s="32" t="str">
        <x:v>Candidate cut; decision remains PROPOSED, not an instruction that the card was physically removed.</x:v>
      </x:c>
    </x:row>
    <x:row r="95">
      <x:c r="A95" s="32" t="str">
        <x:v>Mizzium Mortars</x:v>
      </x:c>
      <x:c r="B95" s="32" t="str">
        <x:v>CUT CANDIDATE — V2</x:v>
      </x:c>
      <x:c r="C95" s="32" t="str">
        <x:v>Sorcery</x:v>
      </x:c>
      <x:c r="D95" s="32" t="n">
        <x:v>2</x:v>
      </x:c>
      <x:c r="E95" s="32" t="str">
        <x:v>6. Interaction — counters / removal / resets</x:v>
      </x:c>
      <x:c r="F95" s="32" t="str">
        <x:v>C</x:v>
      </x:c>
      <x:c r="G95" s="32" t="str">
        <x:v>Conditional, inefficient, or partially off-plan</x:v>
      </x:c>
      <x:c r="H95" s="32" t="str">
        <x:v>Role classified by deck context; evaluate via playtests.</x:v>
      </x:c>
      <x:c r="I95" s="32" t="str">
        <x:v>Candidate cut; decision remains PROPOSED, not an instruction that the card was physically removed.</x:v>
      </x:c>
    </x:row>
    <x:row r="96">
      <x:c r="A96" s="32" t="str">
        <x:v>Supreme Will</x:v>
      </x:c>
      <x:c r="B96" s="32" t="str">
        <x:v>CUT CANDIDATE — V2</x:v>
      </x:c>
      <x:c r="C96" s="32" t="str">
        <x:v>Instant</x:v>
      </x:c>
      <x:c r="D96" s="32" t="n">
        <x:v>3</x:v>
      </x:c>
      <x:c r="E96" s="32" t="str">
        <x:v>6. Interaction — counters / removal / resets</x:v>
      </x:c>
      <x:c r="F96" s="32" t="str">
        <x:v>C</x:v>
      </x:c>
      <x:c r="G96" s="32" t="str">
        <x:v>Conditional, inefficient, or partially off-plan</x:v>
      </x:c>
      <x:c r="H96" s="32" t="str">
        <x:v>Role classified by deck context; evaluate via playtests.</x:v>
      </x:c>
      <x:c r="I96" s="32" t="str">
        <x:v>Candidate cut; decision remains PROPOSED, not an instruction that the card was physically removed.</x:v>
      </x:c>
    </x:row>
    <x:row r="97">
      <x:c r="A97" s="32" t="str">
        <x:v>Vadrik, Astral Archmage</x:v>
      </x:c>
      <x:c r="B97" s="32" t="str">
        <x:v>CUT CANDIDATE — V2</x:v>
      </x:c>
      <x:c r="C97" s="32" t="str">
        <x:v>Creature</x:v>
      </x:c>
      <x:c r="D97" s="32" t="n">
        <x:v>3</x:v>
      </x:c>
      <x:c r="E97" s="32" t="str">
        <x:v>8. Finishers / tax / utility</x:v>
      </x:c>
      <x:c r="F97" s="32" t="str">
        <x:v>C</x:v>
      </x:c>
      <x:c r="G97" s="32" t="str">
        <x:v>Conditional, inefficient, or partially off-plan</x:v>
      </x:c>
      <x:c r="H97" s="32" t="str">
        <x:v>Spell cost reduction, but introduces another build-around subtheme and needs more spell-focused support.</x:v>
      </x:c>
      <x:c r="I97" s="32" t="str">
        <x:v>Spell cost reduction, but introduces another build-around subtheme and needs more spell-focused support.</x:v>
      </x:c>
    </x:row>
    <x:row r="98">
      <x:c r="A98" s="32" t="str">
        <x:v>Consuming Tide</x:v>
      </x:c>
      <x:c r="B98" s="32" t="str">
        <x:v>CUT CANDIDATE — V2</x:v>
      </x:c>
      <x:c r="C98" s="32" t="str">
        <x:v>Sorcery</x:v>
      </x:c>
      <x:c r="D98" s="32" t="n">
        <x:v>4</x:v>
      </x:c>
      <x:c r="E98" s="32" t="str">
        <x:v>6. Interaction — counters / removal / resets</x:v>
      </x:c>
      <x:c r="F98" s="32" t="str">
        <x:v>C</x:v>
      </x:c>
      <x:c r="G98" s="32" t="str">
        <x:v>Conditional, inefficient, or partially off-plan</x:v>
      </x:c>
      <x:c r="H98" s="32" t="str">
        <x:v>Mass bounce / conditional draw</x:v>
      </x:c>
      <x:c r="I98" s="32" t="str">
        <x:v>High-variance mass bounce/draw. Redundant with Rift/Disk and may reset your own theft pieces.</x:v>
      </x:c>
    </x:row>
    <x:row r="99">
      <x:c r="A99" s="32" t="str">
        <x:v>Exclude</x:v>
      </x:c>
      <x:c r="B99" s="32" t="str">
        <x:v>CUT CANDIDATE — V2</x:v>
      </x:c>
      <x:c r="C99" s="32" t="str">
        <x:v>Instant</x:v>
      </x:c>
      <x:c r="D99" s="32" t="n">
        <x:v>3</x:v>
      </x:c>
      <x:c r="E99" s="32" t="str">
        <x:v>6. Interaction — counters / removal / resets</x:v>
      </x:c>
      <x:c r="F99" s="32" t="str">
        <x:v>C</x:v>
      </x:c>
      <x:c r="G99" s="32" t="str">
        <x:v>Conditional, inefficient, or partially off-plan</x:v>
      </x:c>
      <x:c r="H99" s="32" t="str">
        <x:v>Role classified by deck context; evaluate via playtests.</x:v>
      </x:c>
      <x:c r="I99" s="32" t="str">
        <x:v>Candidate cut; decision remains PROPOSED, not an instruction that the card was physically removed.</x:v>
      </x:c>
    </x:row>
  </x:sheetData>
  <x:mergeCells>
    <x:mergeCell ref="A1:I1"/>
    <x:mergeCell ref="A2:I2"/>
  </x:mergeCells>
  <x:conditionalFormatting sqref="B5:B99">
    <x:cfRule type="expression" dxfId="3" priority="1">
      <x:formula>ISNUMBER(SEARCH("CUT",B5))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90344b7834e48e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5" hidden="0" customWidth="1"/>
    <x:col min="3" max="3" width="18" hidden="0" customWidth="1"/>
    <x:col min="4" max="4" width="12" hidden="0" customWidth="1"/>
    <x:col min="5" max="5" width="86" hidden="0" customWidth="1"/>
  </x:cols>
  <x:sheetData>
    <x:row r="1" ht="30" customHeight="1">
      <x:c r="A1" s="5" t="str">
        <x:v>ZARA • 8×8 FUNCTIONAL GROUPS</x:v>
      </x:c>
      <x:c r="B1" s="5"/>
      <x:c r="C1" s="5"/>
      <x:c r="D1" s="5"/>
      <x:c r="E1" s="5"/>
    </x:row>
    <x:row r="2" ht="30" customHeight="1">
      <x:c r="A2" s="14" t="str">
        <x:v>Refined grouping: one primary bucket per card. Cross-functions belong in notes; they are not double-counted.</x:v>
      </x:c>
      <x:c r="B2" s="14"/>
      <x:c r="C2" s="14"/>
      <x:c r="D2" s="14"/>
      <x:c r="E2" s="14"/>
    </x:row>
    <x:row r="4" ht="32" customHeight="1">
      <x:c r="A4" s="24" t="str">
        <x:v>Primary group</x:v>
      </x:c>
      <x:c r="B4" s="24" t="str">
        <x:v>CURRENT count*</x:v>
      </x:c>
      <x:c r="C4" s="24" t="str">
        <x:v>PROPOSED V2 count*</x:v>
      </x:c>
      <x:c r="D4" s="24" t="str">
        <x:v>Change</x:v>
      </x:c>
      <x:c r="E4" s="24" t="str">
        <x:v>Function / grouping rationale</x:v>
      </x:c>
    </x:row>
    <x:row r="5">
      <x:c r="A5" s="32" t="str">
        <x:v>1. Ramp + mana base</x:v>
      </x:c>
      <x:c r="B5" s="32" t="n">
        <x:v>6</x:v>
      </x:c>
      <x:c r="C5" s="32" t="n">
        <x:v>5</x:v>
      </x:c>
      <x:c r="D5" s="32" t="n">
        <x:v>-1</x:v>
      </x:c>
      <x:c r="E5" s="32" t="str">
        <x:v>Ramp rocks + mana base. Track physical lands separately from modal double-faced cards.</x:v>
      </x:c>
    </x:row>
    <x:row r="6">
      <x:c r="A6" s="32" t="str">
        <x:v>2. Draw + selection</x:v>
      </x:c>
      <x:c r="B6" s="32" t="n">
        <x:v>8</x:v>
      </x:c>
      <x:c r="C6" s="32" t="n">
        <x:v>6</x:v>
      </x:c>
      <x:c r="D6" s="32" t="n">
        <x:v>-2</x:v>
      </x:c>
      <x:c r="E6" s="32" t="str">
        <x:v>Raw draw, card selection, wheels and ongoing advantage.</x:v>
      </x:c>
    </x:row>
    <x:row r="7">
      <x:c r="A7" s="32" t="str">
        <x:v>3. Theft — temporary / combat</x:v>
      </x:c>
      <x:c r="B7" s="32" t="n">
        <x:v>8</x:v>
      </x:c>
      <x:c r="C7" s="32" t="n">
        <x:v>8</x:v>
      </x:c>
      <x:c r="D7" s="32" t="n">
        <x:v>0</x:v>
      </x:c>
      <x:c r="E7" s="32" t="str">
        <x:v>Temporary control, theft that expires, combat swings and sacrifice conversion.</x:v>
      </x:c>
    </x:row>
    <x:row r="8">
      <x:c r="A8" s="32" t="str">
        <x:v>4. Theft — permanent / control</x:v>
      </x:c>
      <x:c r="B8" s="32" t="n">
        <x:v>8</x:v>
      </x:c>
      <x:c r="C8" s="32" t="n">
        <x:v>10</x:v>
      </x:c>
      <x:c r="D8" s="32" t="n">
        <x:v>2</x:v>
      </x:c>
      <x:c r="E8" s="32" t="str">
        <x:v>Permanent/ongoing control of opponent cards, whether by Aura, ETB or spell.</x:v>
      </x:c>
    </x:row>
    <x:row r="9">
      <x:c r="A9" s="32" t="str">
        <x:v>5. Copy / clone / spell manipulation</x:v>
      </x:c>
      <x:c r="B9" s="32" t="n">
        <x:v>12</x:v>
      </x:c>
      <x:c r="C9" s="32" t="n">
        <x:v>11</x:v>
      </x:c>
      <x:c r="D9" s="32" t="n">
        <x:v>-1</x:v>
      </x:c>
      <x:c r="E9" s="32" t="str">
        <x:v>Clones, spell copies, redirection and copying a borrowed creature.</x:v>
      </x:c>
    </x:row>
    <x:row r="10">
      <x:c r="A10" s="32" t="str">
        <x:v>6. Interaction — counters / removal / resets</x:v>
      </x:c>
      <x:c r="B10" s="32" t="n">
        <x:v>14</x:v>
      </x:c>
      <x:c r="C10" s="32" t="n">
        <x:v>12</x:v>
      </x:c>
      <x:c r="D10" s="32" t="n">
        <x:v>-2</x:v>
      </x:c>
      <x:c r="E10" s="32" t="str">
        <x:v>Counters, flexible answers, bounce and mass resets.</x:v>
      </x:c>
    </x:row>
    <x:row r="11">
      <x:c r="A11" s="32" t="str">
        <x:v>7. Zara engine — haste / protection / retain theft</x:v>
      </x:c>
      <x:c r="B11" s="32" t="n">
        <x:v>4</x:v>
      </x:c>
      <x:c r="C11" s="32" t="n">
        <x:v>6</x:v>
      </x:c>
      <x:c r="D11" s="32" t="n">
        <x:v>2</x:v>
      </x:c>
      <x:c r="E11" s="32" t="str">
        <x:v>Zara-specific support: haste/protection, information, retaining or blinking borrowed creatures.</x:v>
      </x:c>
    </x:row>
    <x:row r="12">
      <x:c r="A12" s="32" t="str">
        <x:v>8. Finishers / tax / utility</x:v>
      </x:c>
      <x:c r="B12" s="32" t="n">
        <x:v>8</x:v>
      </x:c>
      <x:c r="C12" s="32" t="n">
        <x:v>5</x:v>
      </x:c>
      <x:c r="D12" s="32" t="n">
        <x:v>-3</x:v>
      </x:c>
      <x:c r="E12" s="32" t="str">
        <x:v>Finishers, taxes, meta tools and secondary payoff cards.</x:v>
      </x:c>
    </x:row>
    <x:row r="14" ht="40" customHeight="1">
      <x:c r="A14" s="39" t="str">
        <x:v>*Counts exclude the commander and physical lands; MDFCs are counted as the spell face in one group and also listed as functional mana sources in Structural Audit. The 8×8 is diagnostic, not a forced 8-cards-per-bucket rule.</x:v>
      </x:c>
      <x:c r="B14" s="39"/>
      <x:c r="C14" s="39"/>
      <x:c r="D14" s="39"/>
      <x:c r="E14" s="39"/>
    </x:row>
  </x:sheetData>
  <x:mergeCells>
    <x:mergeCell ref="A1:E1"/>
    <x:mergeCell ref="A2:E2"/>
    <x:mergeCell ref="A14:E1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3" hidden="0" customWidth="1"/>
    <x:col min="2" max="2" width="23" hidden="0" customWidth="1"/>
    <x:col min="3" max="3" width="23" hidden="0" customWidth="1"/>
    <x:col min="4" max="4" width="105" hidden="0" customWidth="1"/>
  </x:cols>
  <x:sheetData>
    <x:row r="1" ht="30" customHeight="1">
      <x:c r="A1" s="5" t="str">
        <x:v>ZARA • STRUCTURAL AUDIT</x:v>
      </x:c>
      <x:c r="B1" s="5"/>
      <x:c r="C1" s="5"/>
      <x:c r="D1" s="5"/>
      <x:c r="E1" s="5"/>
      <x:c r="F1" s="5"/>
    </x:row>
    <x:row r="2" ht="30" customHeight="1">
      <x:c r="A2" s="14" t="str">
        <x:v>Counts checked from the supplied list; front-face mana values on MDFCs; mean mana values are calculated from the mapped front faces.</x:v>
      </x:c>
      <x:c r="B2" s="14"/>
      <x:c r="C2" s="14"/>
      <x:c r="D2" s="14"/>
      <x:c r="E2" s="14"/>
      <x:c r="F2" s="14"/>
    </x:row>
    <x:row r="4" ht="32" customHeight="1">
      <x:c r="A4" s="24" t="str">
        <x:v>Metric</x:v>
      </x:c>
      <x:c r="B4" s="24" t="str">
        <x:v>CURRENT</x:v>
      </x:c>
      <x:c r="C4" s="24" t="str">
        <x:v>PROPOSED V2</x:v>
      </x:c>
      <x:c r="D4" s="24" t="str">
        <x:v>Interpretation / source of judgement</x:v>
      </x:c>
    </x:row>
    <x:row r="5">
      <x:c r="A5" s="32" t="str">
        <x:v>Deck count incl. commander</x:v>
      </x:c>
      <x:c r="B5" s="32" t="n">
        <x:v>100</x:v>
      </x:c>
      <x:c r="C5" s="32" t="n">
        <x:v>100</x:v>
      </x:c>
      <x:c r="D5" s="32" t="str">
        <x:v>Both lists reconcile to 100 physical cards.</x:v>
      </x:c>
    </x:row>
    <x:row r="6">
      <x:c r="A6" s="32" t="str">
        <x:v>Physical lands</x:v>
      </x:c>
      <x:c r="B6" s="32" t="n">
        <x:v>31</x:v>
      </x:c>
      <x:c r="C6" s="32" t="n">
        <x:v>36</x:v>
      </x:c>
      <x:c r="D6" s="32" t="str">
        <x:v>Current 31 is lean for a five-mana commander and several 5–7 mana plays; proposal adds five lands.</x:v>
      </x:c>
    </x:row>
    <x:row r="7">
      <x:c r="A7" s="32" t="str">
        <x:v>MDFCs that can be played as lands</x:v>
      </x:c>
      <x:c r="B7" s="32" t="n">
        <x:v>3</x:v>
      </x:c>
      <x:c r="C7" s="32" t="n">
        <x:v>3</x:v>
      </x:c>
      <x:c r="D7" s="32" t="str">
        <x:v>Glasspool Mimic, Silundi Vision and Kazuul's Fury count once each physically; back face may be a land.</x:v>
      </x:c>
    </x:row>
    <x:row r="8">
      <x:c r="A8" s="32" t="str">
        <x:v>Potential functional mana sources</x:v>
      </x:c>
      <x:c r="B8" s="32" t="n">
        <x:v>34</x:v>
      </x:c>
      <x:c r="C8" s="32" t="n">
        <x:v>39</x:v>
      </x:c>
      <x:c r="D8" s="32" t="str">
        <x:v>Physical lands plus MDFCs with land faces; not equivalent to untapped colored sources.</x:v>
      </x:c>
    </x:row>
    <x:row r="9">
      <x:c r="A9" s="32" t="str">
        <x:v>Mana rocks / artifacts used as ramp</x:v>
      </x:c>
      <x:c r="B9" s="32" t="n">
        <x:v>6</x:v>
      </x:c>
      <x:c r="C9" s="32" t="n">
        <x:v>6</x:v>
      </x:c>
      <x:c r="D9" s="32" t="str">
        <x:v>Arcane Signet, Fellwar Stone, Izzet Signet, Midnight Clock, Sol Ring, Talisman of Creativity.</x:v>
      </x:c>
    </x:row>
    <x:row r="10">
      <x:c r="A10" s="32" t="str">
        <x:v>Mean MV of nonland cards excluding commander</x:v>
      </x:c>
      <x:c r="B10" s="32" t="n">
        <x:v>3.09</x:v>
      </x:c>
      <x:c r="C10" s="32" t="n">
        <x:v>3.21</x:v>
      </x:c>
      <x:c r="D10" s="32" t="str">
        <x:v>Estimated from card mana values; MDFCs counted by front face. Proposal adds high-impact 5–7 MV theft engines, so the average rises slightly even while mana support improves.</x:v>
      </x:c>
    </x:row>
    <x:row r="11">
      <x:c r="A11" s="32" t="str">
        <x:v>Current unique card names</x:v>
      </x:c>
      <x:c r="B11" s="32" t="n">
        <x:v>82</x:v>
      </x:c>
      <x:c r="C11" s="32" t="n">
        <x:v>82</x:v>
      </x:c>
      <x:c r="D11" s="32" t="str">
        <x:v>Basic Island/Mountain duplicates are allowed; the source list contains no other duplicate names.</x:v>
      </x:c>
    </x:row>
    <x:row r="12">
      <x:c r="A12" s="32" t="str">
        <x:v>Creatures in main deck (front face)</x:v>
      </x:c>
      <x:c r="B12" s="32" t="n">
        <x:v>11</x:v>
      </x:c>
      <x:c r="C12" s="32" t="n">
        <x:v>9</x:v>
      </x:c>
      <x:c r="D12" s="32" t="str">
        <x:v>Low creature count is acceptable only because Zara supplies opponent creatures; enough own bodies are still useful for copy/sacrifice lines.</x:v>
      </x:c>
    </x:row>
    <x:row r="13">
      <x:c r="A13" s="32" t="str">
        <x:v>Zara trigger needs combat damage?</x:v>
      </x:c>
      <x:c r="B13" s="32" t="str">
        <x:v>No</x:v>
      </x:c>
      <x:c r="C13" s="32" t="str">
        <x:v>No</x:v>
      </x:c>
      <x:c r="D13" s="32" t="str">
        <x:v>Declaring Zara as attacker triggers her ability even if she is blocked or deals no damage.</x:v>
      </x:c>
    </x:row>
    <x:row r="14">
      <x:c r="A14" s="32" t="str">
        <x:v>Stolen creature return rule</x:v>
      </x:c>
      <x:c r="B14" s="32" t="str">
        <x:v>Returns if still on battlefield</x:v>
      </x:c>
      <x:c r="C14" s="32" t="str">
        <x:v>Same rule</x:v>
      </x:c>
      <x:c r="D14" s="32" t="str">
        <x:v>If it left the battlefield before delayed trigger resolves, it is not returned; blink creates a new object.</x:v>
      </x:c>
    </x:row>
    <x:row r="15">
      <x:c r="A15" s="32" t="str">
        <x:v>Format/identity sanity check</x:v>
      </x:c>
      <x:c r="B15" s="32" t="str">
        <x:v>Izzet / appears legal</x:v>
      </x:c>
      <x:c r="C15" s="32" t="str">
        <x:v>Izzet / appears legal</x:v>
      </x:c>
      <x:c r="D15" s="32" t="str">
        <x:v>No obvious color-identity issue found. Verify the current official Commander banlist before final paper build.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dfa85a38ad8347de"/>
  </x:tableParts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29" hidden="0" customWidth="1"/>
    <x:col min="3" max="3" width="28" hidden="0" customWidth="1"/>
    <x:col min="4" max="4" width="37" hidden="0" customWidth="1"/>
    <x:col min="5" max="5" width="48" hidden="0" customWidth="1"/>
    <x:col min="6" max="6" width="80" hidden="0" customWidth="1"/>
  </x:cols>
  <x:sheetData>
    <x:row r="1" ht="30" customHeight="1">
      <x:c r="A1" s="5" t="str">
        <x:v>ZARA • TIER LIST</x:v>
      </x:c>
      <x:c r="B1" s="5"/>
      <x:c r="C1" s="5"/>
      <x:c r="D1" s="5"/>
      <x:c r="E1" s="5"/>
      <x:c r="F1" s="5"/>
    </x:row>
    <x:row r="2" ht="30" customHeight="1">
      <x:c r="A2" s="14" t="str">
        <x:v>Deck-relative rating, not a universal power ranking. D includes cards marked for V2 cuts; notes explain the fit.</x:v>
      </x:c>
      <x:c r="B2" s="14"/>
      <x:c r="C2" s="14"/>
      <x:c r="D2" s="14"/>
      <x:c r="E2" s="14"/>
      <x:c r="F2" s="14"/>
    </x:row>
    <x:row r="4" ht="32" customHeight="1">
      <x:c r="A4" s="24" t="str">
        <x:v>Tier</x:v>
      </x:c>
      <x:c r="B4" s="24" t="str">
        <x:v>Card</x:v>
      </x:c>
      <x:c r="C4" s="24" t="str">
        <x:v>State</x:v>
      </x:c>
      <x:c r="D4" s="24" t="str">
        <x:v>Primary group</x:v>
      </x:c>
      <x:c r="E4" s="24" t="str">
        <x:v>Definition</x:v>
      </x:c>
      <x:c r="F4" s="24" t="str">
        <x:v>Why it fits / why it may not</x:v>
      </x:c>
    </x:row>
    <x:row r="5">
      <x:c r="A5" s="32" t="str">
        <x:v>S</x:v>
      </x:c>
      <x:c r="B5" s="32" t="str">
        <x:v>Clout of the Dominus</x:v>
      </x:c>
      <x:c r="C5" s="32" t="str">
        <x:v>CURRENT — RETAINED</x:v>
      </x:c>
      <x:c r="D5" s="32" t="str">
        <x:v>7. Zara engine — haste / protection / retain theft</x:v>
      </x:c>
      <x:c r="E5" s="32" t="str">
        <x:v>Defining engine or premium card with exceptionally high fit</x:v>
      </x:c>
      <x:c r="F5" s="32" t="str">
        <x:v>Exceptional commander synergy: Zara is both blue and red, so receives +2/+2, shroud and haste. Sequence any other targeting/equipping before attaching this Aura.</x:v>
      </x:c>
    </x:row>
    <x:row r="6">
      <x:c r="A6" s="32" t="str">
        <x:v>S</x:v>
      </x:c>
      <x:c r="B6" s="32" t="str">
        <x:v>Cyclonic Rift</x:v>
      </x:c>
      <x:c r="C6" s="32" t="str">
        <x:v>CURRENT — RETAINED</x:v>
      </x:c>
      <x:c r="D6" s="32" t="str">
        <x:v>6. Interaction — counters / removal / resets</x:v>
      </x:c>
      <x:c r="E6" s="32" t="str">
        <x:v>Defining engine or premium card with exceptionally high fit</x:v>
      </x:c>
      <x:c r="F6" s="32" t="str">
        <x:v>Premium flexible reset, especially overloaded before your turn; often converts a stable game.</x:v>
      </x:c>
    </x:row>
    <x:row r="7">
      <x:c r="A7" s="32" t="str">
        <x:v>S</x:v>
      </x:c>
      <x:c r="B7" s="32" t="str">
        <x:v>Rhystic Study</x:v>
      </x:c>
      <x:c r="C7" s="32" t="str">
        <x:v>CURRENT — RETAINED</x:v>
      </x:c>
      <x:c r="D7" s="32" t="str">
        <x:v>2. Draw + selection</x:v>
      </x:c>
      <x:c r="E7" s="32" t="str">
        <x:v>Defining engine or premium card with exceptionally high fit</x:v>
      </x:c>
      <x:c r="F7" s="32" t="str">
        <x:v>Important ongoing card advantage; helps keep mana available for reactive plays.</x:v>
      </x:c>
    </x:row>
    <x:row r="8">
      <x:c r="A8" s="32" t="str">
        <x:v>S</x:v>
      </x:c>
      <x:c r="B8" s="32" t="str">
        <x:v>Sundial of the Infinite</x:v>
      </x:c>
      <x:c r="C8" s="32" t="str">
        <x:v>ADDED — PROPOSED</x:v>
      </x:c>
      <x:c r="D8" s="32" t="str">
        <x:v>7. Zara engine — haste / protection / retain theft</x:v>
      </x:c>
      <x:c r="E8" s="32" t="str">
        <x:v>Defining engine or premium card with exceptionally high fit</x:v>
      </x:c>
      <x:c r="F8" s="32" t="str">
        <x:v>Priority engine: after Zara's delayed return trigger is on the stack during your end step, activate Sundial to end the turn; that trigger is exiled from the stack.</x:v>
      </x:c>
    </x:row>
    <x:row r="9">
      <x:c r="A9" s="32" t="str">
        <x:v>S</x:v>
      </x:c>
      <x:c r="B9" s="32" t="str">
        <x:v>Zara, Renegade Recruiter</x:v>
      </x:c>
      <x:c r="C9" s="32" t="str">
        <x:v>Commander</x:v>
      </x:c>
      <x:c r="D9" s="32" t="str">
        <x:v>7. Zara engine — haste / protection / retain theft</x:v>
      </x:c>
      <x:c r="E9" s="32" t="str">
        <x:v>Defining engine or premium card with exceptionally high fit</x:v>
      </x:c>
      <x:c r="F9" s="32" t="str">
        <x:v>Core engine. Attack trigger looks at defending player's hand; steals a creature temporarily. Does not require combat damage.</x:v>
      </x:c>
    </x:row>
    <x:row r="10">
      <x:c r="A10" s="32" t="str">
        <x:v>A</x:v>
      </x:c>
      <x:c r="B10" s="32" t="str">
        <x:v>Agent of Treachery</x:v>
      </x:c>
      <x:c r="C10" s="32" t="str">
        <x:v>ADDED — PROPOSED</x:v>
      </x:c>
      <x:c r="D10" s="32" t="str">
        <x:v>4. Theft — permanent / control</x:v>
      </x:c>
      <x:c r="E10" s="32" t="str">
        <x:v>High-fit core piece or premium role player</x:v>
      </x:c>
      <x:c r="F10" s="32" t="str">
        <x:v>High-cost but on-theme permanent theft. Its ETB control change has no duration clause, and it can draw three if you control three or more permanents you don't own at end step.</x:v>
      </x:c>
    </x:row>
    <x:row r="11">
      <x:c r="A11" s="32" t="str">
        <x:v>A</x:v>
      </x:c>
      <x:c r="B11" s="32" t="str">
        <x:v>Arcane Signet</x:v>
      </x:c>
      <x:c r="C11" s="32" t="str">
        <x:v>CURRENT — RETAINED</x:v>
      </x:c>
      <x:c r="D11" s="32" t="str">
        <x:v>1. Ramp + mana base</x:v>
      </x:c>
      <x:c r="E11" s="32" t="str">
        <x:v>High-fit core piece or premium role player</x:v>
      </x:c>
      <x:c r="F11" s="32" t="str">
        <x:v>Assess game-state utility, mana cost, and synergy with theft/copy plan; no pet status inferred.</x:v>
      </x:c>
    </x:row>
    <x:row r="12">
      <x:c r="A12" s="32" t="str">
        <x:v>A</x:v>
      </x:c>
      <x:c r="B12" s="32" t="str">
        <x:v>Archmage Emeritus</x:v>
      </x:c>
      <x:c r="C12" s="32" t="str">
        <x:v>CURRENT — RETAINED</x:v>
      </x:c>
      <x:c r="D12" s="32" t="str">
        <x:v>2. Draw + selection</x:v>
      </x:c>
      <x:c r="E12" s="32" t="str">
        <x:v>High-fit core piece or premium role player</x:v>
      </x:c>
      <x:c r="F12" s="32" t="str">
        <x:v>Draw engine for instants/sorceries and copies, but needs spell density.</x:v>
      </x:c>
    </x:row>
    <x:row r="13">
      <x:c r="A13" s="32" t="str">
        <x:v>A</x:v>
      </x:c>
      <x:c r="B13" s="32" t="str">
        <x:v>Blasphemous Act</x:v>
      </x:c>
      <x:c r="C13" s="32" t="str">
        <x:v>CURRENT — RETAINED</x:v>
      </x:c>
      <x:c r="D13" s="32" t="str">
        <x:v>6. Interaction — counters / removal / resets</x:v>
      </x:c>
      <x:c r="E13" s="32" t="str">
        <x:v>High-fit core piece or premium role player</x:v>
      </x:c>
      <x:c r="F13" s="32" t="str">
        <x:v>Efficient mass creature removal in creature-heavy pods; can destroy stolen creatures, so sequence carefully.</x:v>
      </x:c>
    </x:row>
    <x:row r="14">
      <x:c r="A14" s="32" t="str">
        <x:v>A</x:v>
      </x:c>
      <x:c r="B14" s="32" t="str">
        <x:v>Bribery</x:v>
      </x:c>
      <x:c r="C14" s="32" t="str">
        <x:v>ADDED — PROPOSED</x:v>
      </x:c>
      <x:c r="D14" s="32" t="str">
        <x:v>4. Theft — permanent / control</x:v>
      </x:c>
      <x:c r="E14" s="32" t="str">
        <x:v>High-fit core piece or premium role player</x:v>
      </x:c>
      <x:c r="F14" s="32" t="str">
        <x:v>Steals the best creature from an opponent's library directly onto your battlefield; powerful but five mana and may raise threat perception.</x:v>
      </x:c>
    </x:row>
    <x:row r="15">
      <x:c r="A15" s="32" t="str">
        <x:v>A</x:v>
      </x:c>
      <x:c r="B15" s="32" t="str">
        <x:v>Chaos Warp</x:v>
      </x:c>
      <x:c r="C15" s="32" t="str">
        <x:v>ADDED — PROPOSED</x:v>
      </x:c>
      <x:c r="D15" s="32" t="str">
        <x:v>6. Interaction — counters / removal / resets</x:v>
      </x:c>
      <x:c r="E15" s="32" t="str">
        <x:v>High-fit core piece or premium role player</x:v>
      </x:c>
      <x:c r="F15" s="32" t="str">
        <x:v>Flexible answer to almost any problematic permanent; improves red's interaction coverage.</x:v>
      </x:c>
    </x:row>
    <x:row r="16">
      <x:c r="A16" s="32" t="str">
        <x:v>A</x:v>
      </x:c>
      <x:c r="B16" s="32" t="str">
        <x:v>Clone</x:v>
      </x:c>
      <x:c r="C16" s="32" t="str">
        <x:v>CURRENT — RETAINED</x:v>
      </x:c>
      <x:c r="D16" s="32" t="str">
        <x:v>5. Copy / clone / spell manipulation</x:v>
      </x:c>
      <x:c r="E16" s="32" t="str">
        <x:v>High-fit core piece or premium role player</x:v>
      </x:c>
      <x:c r="F16" s="32" t="str">
        <x:v>Can copy a creature stolen by Zara; the copy is a different object and does not return with Zara's delayed trigger.</x:v>
      </x:c>
    </x:row>
    <x:row r="17">
      <x:c r="A17" s="32" t="str">
        <x:v>A</x:v>
      </x:c>
      <x:c r="B17" s="32" t="str">
        <x:v>Command Tower</x:v>
      </x:c>
      <x:c r="C17" s="32" t="str">
        <x:v>CURRENT — RETAINED</x:v>
      </x:c>
      <x:c r="D17" s="32" t="str">
        <x:v>1. Ramp + mana base</x:v>
      </x:c>
      <x:c r="E17" s="32" t="str">
        <x:v>High-fit core piece or premium role player</x:v>
      </x:c>
      <x:c r="F17" s="32" t="str">
        <x:v>Assess game-state utility, mana cost, and synergy with theft/copy plan; no pet status inferred.</x:v>
      </x:c>
    </x:row>
    <x:row r="18">
      <x:c r="A18" s="32" t="str">
        <x:v>A</x:v>
      </x:c>
      <x:c r="B18" s="32" t="str">
        <x:v>Conjurer's Closet</x:v>
      </x:c>
      <x:c r="C18" s="32" t="str">
        <x:v>ADDED — PROPOSED</x:v>
      </x:c>
      <x:c r="D18" s="32" t="str">
        <x:v>7. Zara engine — haste / protection / retain theft</x:v>
      </x:c>
      <x:c r="E18" s="32" t="str">
        <x:v>High-fit core piece or premium role player</x:v>
      </x:c>
      <x:c r="F18" s="32" t="str">
        <x:v>At your end step, stack its blink trigger above Zara's return trigger; blinking the borrowed creature makes it a new object so the delayed return won't find it.</x:v>
      </x:c>
    </x:row>
    <x:row r="19">
      <x:c r="A19" s="32" t="str">
        <x:v>A</x:v>
      </x:c>
      <x:c r="B19" s="32" t="str">
        <x:v>Counterspell</x:v>
      </x:c>
      <x:c r="C19" s="32" t="str">
        <x:v>CURRENT — RETAINED</x:v>
      </x:c>
      <x:c r="D19" s="32" t="str">
        <x:v>6. Interaction — counters / removal / resets</x:v>
      </x:c>
      <x:c r="E19" s="32" t="str">
        <x:v>High-fit core piece or premium role player</x:v>
      </x:c>
      <x:c r="F19" s="32" t="str">
        <x:v>Assess game-state utility, mana cost, and synergy with theft/copy plan; no pet status inferred.</x:v>
      </x:c>
    </x:row>
    <x:row r="20">
      <x:c r="A20" s="32" t="str">
        <x:v>A</x:v>
      </x:c>
      <x:c r="B20" s="32" t="str">
        <x:v>Curiosity</x:v>
      </x:c>
      <x:c r="C20" s="32" t="str">
        <x:v>CURRENT — RETAINED</x:v>
      </x:c>
      <x:c r="D20" s="32" t="str">
        <x:v>8. Finishers / tax / utility</x:v>
      </x:c>
      <x:c r="E20" s="32" t="str">
        <x:v>High-fit core piece or premium role player</x:v>
      </x:c>
      <x:c r="F20" s="32" t="str">
        <x:v>Value on evasive creatures; enables compact two-card loops with either Niv-Mizzet. Optional high-power finish.</x:v>
      </x:c>
    </x:row>
    <x:row r="21">
      <x:c r="A21" s="32" t="str">
        <x:v>A</x:v>
      </x:c>
      <x:c r="B21" s="32" t="str">
        <x:v>Dominus of Fealty</x:v>
      </x:c>
      <x:c r="C21" s="32" t="str">
        <x:v>CURRENT — RETAINED</x:v>
      </x:c>
      <x:c r="D21" s="32" t="str">
        <x:v>3. Theft — temporary / combat</x:v>
      </x:c>
      <x:c r="E21" s="32" t="str">
        <x:v>High-fit core piece or premium role player</x:v>
      </x:c>
      <x:c r="F21" s="32" t="str">
        <x:v>Repeatable temporary control of any permanent at upkeep; powerful but requires surviving to upkeep and the permanent returns at EOT.</x:v>
      </x:c>
    </x:row>
    <x:row r="22">
      <x:c r="A22" s="32" t="str">
        <x:v>A</x:v>
      </x:c>
      <x:c r="B22" s="32" t="str">
        <x:v>Fated Infatuation</x:v>
      </x:c>
      <x:c r="C22" s="32" t="str">
        <x:v>CURRENT — RETAINED</x:v>
      </x:c>
      <x:c r="D22" s="32" t="str">
        <x:v>5. Copy / clone / spell manipulation</x:v>
      </x:c>
      <x:c r="E22" s="32" t="str">
        <x:v>High-fit core piece or premium role player</x:v>
      </x:c>
      <x:c r="F22" s="32" t="str">
        <x:v>Instant-speed copy of a creature you control; can copy Zara's borrowed creature before the return trigger resolves.</x:v>
      </x:c>
    </x:row>
    <x:row r="23">
      <x:c r="A23" s="32" t="str">
        <x:v>A</x:v>
      </x:c>
      <x:c r="B23" s="32" t="str">
        <x:v>Fellwar Stone</x:v>
      </x:c>
      <x:c r="C23" s="32" t="str">
        <x:v>CURRENT — RETAINED</x:v>
      </x:c>
      <x:c r="D23" s="32" t="str">
        <x:v>1. Ramp + mana base</x:v>
      </x:c>
      <x:c r="E23" s="32" t="str">
        <x:v>High-fit core piece or premium role player</x:v>
      </x:c>
      <x:c r="F23" s="32" t="str">
        <x:v>Assess game-state utility, mana cost, and synergy with theft/copy plan; no pet status inferred.</x:v>
      </x:c>
    </x:row>
    <x:row r="24">
      <x:c r="A24" s="32" t="str">
        <x:v>A</x:v>
      </x:c>
      <x:c r="B24" s="32" t="str">
        <x:v>Fling</x:v>
      </x:c>
      <x:c r="C24" s="32" t="str">
        <x:v>CURRENT — RETAINED</x:v>
      </x:c>
      <x:c r="D24" s="32" t="str">
        <x:v>3. Theft — temporary / combat</x:v>
      </x:c>
      <x:c r="E24" s="32" t="str">
        <x:v>High-fit core piece or premium role player</x:v>
      </x:c>
      <x:c r="F24" s="32" t="str">
        <x:v>Converts a temporary stolen creature into direct damage before it returns.</x:v>
      </x:c>
    </x:row>
    <x:row r="25">
      <x:c r="A25" s="32" t="str">
        <x:v>A</x:v>
      </x:c>
      <x:c r="B25" s="32" t="str">
        <x:v>Ghostly Flicker</x:v>
      </x:c>
      <x:c r="C25" s="32" t="str">
        <x:v>ADDED — PROPOSED</x:v>
      </x:c>
      <x:c r="D25" s="32" t="str">
        <x:v>6. Interaction — counters / removal / resets</x:v>
      </x:c>
      <x:c r="E25" s="32" t="str">
        <x:v>High-fit core piece or premium role player</x:v>
      </x:c>
      <x:c r="F25" s="32" t="str">
        <x:v>Instant-speed blink of the borrowed creature plus another artifact/creature/land you control; new object avoids Zara's return effect. Also protects/value loops.</x:v>
      </x:c>
    </x:row>
    <x:row r="26">
      <x:c r="A26" s="32" t="str">
        <x:v>A</x:v>
      </x:c>
      <x:c r="B26" s="32" t="str">
        <x:v>Glasspool Mimic</x:v>
      </x:c>
      <x:c r="C26" s="32" t="str">
        <x:v>CURRENT — RETAINED</x:v>
      </x:c>
      <x:c r="D26" s="32" t="str">
        <x:v>5. Copy / clone / spell manipulation</x:v>
      </x:c>
      <x:c r="E26" s="32" t="str">
        <x:v>High-fit core piece or premium role player</x:v>
      </x:c>
      <x:c r="F26" s="32" t="str">
        <x:v>MDFC clone that copies a creature you control; land back face improves functional mana sources.</x:v>
      </x:c>
    </x:row>
    <x:row r="27">
      <x:c r="A27" s="32" t="str">
        <x:v>A</x:v>
      </x:c>
      <x:c r="B27" s="32" t="str">
        <x:v>Grafted Identity</x:v>
      </x:c>
      <x:c r="C27" s="32" t="str">
        <x:v>CURRENT — RETAINED</x:v>
      </x:c>
      <x:c r="D27" s="32" t="str">
        <x:v>4. Theft — permanent / control</x:v>
      </x:c>
      <x:c r="E27" s="32" t="str">
        <x:v>High-fit core piece or premium role player</x:v>
      </x:c>
      <x:c r="F27" s="32" t="str">
        <x:v>Theft Aura that requires sacrificing a creature as an additional cost; a temporary Zara creature may pay that cost.</x:v>
      </x:c>
    </x:row>
    <x:row r="28">
      <x:c r="A28" s="32" t="str">
        <x:v>A</x:v>
      </x:c>
      <x:c r="B28" s="32" t="str">
        <x:v>Invoke the Winds</x:v>
      </x:c>
      <x:c r="C28" s="32" t="str">
        <x:v>CURRENT — RETAINED</x:v>
      </x:c>
      <x:c r="D28" s="32" t="str">
        <x:v>4. Theft — permanent / control</x:v>
      </x:c>
      <x:c r="E28" s="32" t="str">
        <x:v>High-fit core piece or premium role player</x:v>
      </x:c>
      <x:c r="F28" s="32" t="str">
        <x:v>Permanent theft of an artifact, creature or planeswalker; strong but expensive and color intensive.</x:v>
      </x:c>
    </x:row>
    <x:row r="29">
      <x:c r="A29" s="32" t="str">
        <x:v>A</x:v>
      </x:c>
      <x:c r="B29" s="32" t="str">
        <x:v>Izzet Signet</x:v>
      </x:c>
      <x:c r="C29" s="32" t="str">
        <x:v>CURRENT — RETAINED</x:v>
      </x:c>
      <x:c r="D29" s="32" t="str">
        <x:v>1. Ramp + mana base</x:v>
      </x:c>
      <x:c r="E29" s="32" t="str">
        <x:v>High-fit core piece or premium role player</x:v>
      </x:c>
      <x:c r="F29" s="32" t="str">
        <x:v>Assess game-state utility, mana cost, and synergy with theft/copy plan; no pet status inferred.</x:v>
      </x:c>
    </x:row>
    <x:row r="30">
      <x:c r="A30" s="32" t="str">
        <x:v>A</x:v>
      </x:c>
      <x:c r="B30" s="32" t="str">
        <x:v>Kazuul's Fury</x:v>
      </x:c>
      <x:c r="C30" s="32" t="str">
        <x:v>CURRENT — RETAINED</x:v>
      </x:c>
      <x:c r="D30" s="32" t="str">
        <x:v>3. Theft — temporary / combat</x:v>
      </x:c>
      <x:c r="E30" s="32" t="str">
        <x:v>High-fit core piece or premium role player</x:v>
      </x:c>
      <x:c r="F30" s="32" t="str">
        <x:v>MDFC; additional Fling effect with a land back face, counted as one physical card.</x:v>
      </x:c>
    </x:row>
    <x:row r="31">
      <x:c r="A31" s="32" t="str">
        <x:v>A</x:v>
      </x:c>
      <x:c r="B31" s="32" t="str">
        <x:v>Mob Rule</x:v>
      </x:c>
      <x:c r="C31" s="32" t="str">
        <x:v>CURRENT — RETAINED</x:v>
      </x:c>
      <x:c r="D31" s="32" t="str">
        <x:v>3. Theft — temporary / combat</x:v>
      </x:c>
      <x:c r="E31" s="32" t="str">
        <x:v>High-fit core piece or premium role player</x:v>
      </x:c>
      <x:c r="F31" s="32" t="str">
        <x:v>Mass-theft finisher; choose the power threshold according to the board. Explosive with combat or sacrifice outlets.</x:v>
      </x:c>
    </x:row>
    <x:row r="32">
      <x:c r="A32" s="32" t="str">
        <x:v>A</x:v>
      </x:c>
      <x:c r="B32" s="32" t="str">
        <x:v>Niv-Mizzet, Parun</x:v>
      </x:c>
      <x:c r="C32" s="32" t="str">
        <x:v>CURRENT — RETAINED</x:v>
      </x:c>
      <x:c r="D32" s="32" t="str">
        <x:v>8. Finishers / tax / utility</x:v>
      </x:c>
      <x:c r="E32" s="32" t="str">
        <x:v>High-fit core piece or premium role player</x:v>
      </x:c>
      <x:c r="F32" s="32" t="str">
        <x:v>Draw/damage engine and Curiosity combo piece; demanding UUU/RR mana cost needs support.</x:v>
      </x:c>
    </x:row>
    <x:row r="33">
      <x:c r="A33" s="32" t="str">
        <x:v>A</x:v>
      </x:c>
      <x:c r="B33" s="32" t="str">
        <x:v>Niv-Mizzet, the Firemind</x:v>
      </x:c>
      <x:c r="C33" s="32" t="str">
        <x:v>CURRENT — RETAINED</x:v>
      </x:c>
      <x:c r="D33" s="32" t="str">
        <x:v>8. Finishers / tax / utility</x:v>
      </x:c>
      <x:c r="E33" s="32" t="str">
        <x:v>High-fit core piece or premium role player</x:v>
      </x:c>
      <x:c r="F33" s="32" t="str">
        <x:v>Curiosity combo piece. Alternate finish, while acknowledging the secondary spellslinger package.</x:v>
      </x:c>
    </x:row>
    <x:row r="34">
      <x:c r="A34" s="32" t="str">
        <x:v>A</x:v>
      </x:c>
      <x:c r="B34" s="32" t="str">
        <x:v>Order of Succession</x:v>
      </x:c>
      <x:c r="C34" s="32" t="str">
        <x:v>CURRENT — RETAINED</x:v>
      </x:c>
      <x:c r="D34" s="32" t="str">
        <x:v>4. Theft — permanent / control</x:v>
      </x:c>
      <x:c r="E34" s="32" t="str">
        <x:v>High-fit core piece or premium role player</x:v>
      </x:c>
      <x:c r="F34" s="32" t="str">
        <x:v>Politically interesting control exchange; outcome depends on turn order and choices.</x:v>
      </x:c>
    </x:row>
    <x:row r="35">
      <x:c r="A35" s="32" t="str">
        <x:v>A</x:v>
      </x:c>
      <x:c r="B35" s="32" t="str">
        <x:v>Port Razer</x:v>
      </x:c>
      <x:c r="C35" s="32" t="str">
        <x:v>ADDED — PROPOSED</x:v>
      </x:c>
      <x:c r="D35" s="32" t="str">
        <x:v>3. Theft — temporary / combat</x:v>
      </x:c>
      <x:c r="E35" s="32" t="str">
        <x:v>High-fit core piece or premium role player</x:v>
      </x:c>
      <x:c r="F35" s="32" t="str">
        <x:v>Extra combat payoff; when it deals combat damage to a player for the first time each turn, untaps attacking creatures and creates another combat phase, giving Zara another attack trigger.</x:v>
      </x:c>
    </x:row>
    <x:row r="36">
      <x:c r="A36" s="32" t="str">
        <x:v>A</x:v>
      </x:c>
      <x:c r="B36" s="32" t="str">
        <x:v>Propaganda</x:v>
      </x:c>
      <x:c r="C36" s="32" t="str">
        <x:v>CURRENT — RETAINED</x:v>
      </x:c>
      <x:c r="D36" s="32" t="str">
        <x:v>8. Finishers / tax / utility</x:v>
      </x:c>
      <x:c r="E36" s="32" t="str">
        <x:v>High-fit core piece or premium role player</x:v>
      </x:c>
      <x:c r="F36" s="32" t="str">
        <x:v>Taxes attacks toward you; protects setup but doesn't directly advance theft.</x:v>
      </x:c>
    </x:row>
    <x:row r="37">
      <x:c r="A37" s="32" t="str">
        <x:v>A</x:v>
      </x:c>
      <x:c r="B37" s="32" t="str">
        <x:v>Quasiduplicate</x:v>
      </x:c>
      <x:c r="C37" s="32" t="str">
        <x:v>CURRENT — RETAINED</x:v>
      </x:c>
      <x:c r="D37" s="32" t="str">
        <x:v>5. Copy / clone / spell manipulation</x:v>
      </x:c>
      <x:c r="E37" s="32" t="str">
        <x:v>High-fit core piece or premium role player</x:v>
      </x:c>
      <x:c r="F37" s="32" t="str">
        <x:v>Repeatable copy spell with jump-start; can copy borrowed creatures, but is normally sorcery-speed.</x:v>
      </x:c>
    </x:row>
    <x:row r="38">
      <x:c r="A38" s="32" t="str">
        <x:v>A</x:v>
      </x:c>
      <x:c r="B38" s="32" t="str">
        <x:v>Shivan Reef</x:v>
      </x:c>
      <x:c r="C38" s="32" t="str">
        <x:v>ADDED — PROPOSED</x:v>
      </x:c>
      <x:c r="D38" s="32" t="str">
        <x:v>1. Ramp + mana base</x:v>
      </x:c>
      <x:c r="E38" s="32" t="str">
        <x:v>High-fit core piece or premium role player</x:v>
      </x:c>
      <x:c r="F38" s="32" t="str">
        <x:v>Untapped dual/fixer, at a small life cost.</x:v>
      </x:c>
    </x:row>
    <x:row r="39">
      <x:c r="A39" s="32" t="str">
        <x:v>A</x:v>
      </x:c>
      <x:c r="B39" s="32" t="str">
        <x:v>Sol Ring</x:v>
      </x:c>
      <x:c r="C39" s="32" t="str">
        <x:v>CURRENT — RETAINED</x:v>
      </x:c>
      <x:c r="D39" s="32" t="str">
        <x:v>1. Ramp + mana base</x:v>
      </x:c>
      <x:c r="E39" s="32" t="str">
        <x:v>High-fit core piece or premium role player</x:v>
      </x:c>
      <x:c r="F39" s="32" t="str">
        <x:v>Assess game-state utility, mana cost, and synergy with theft/copy plan; no pet status inferred.</x:v>
      </x:c>
    </x:row>
    <x:row r="40">
      <x:c r="A40" s="32" t="str">
        <x:v>A</x:v>
      </x:c>
      <x:c r="B40" s="32" t="str">
        <x:v>Steam Vents</x:v>
      </x:c>
      <x:c r="C40" s="32" t="str">
        <x:v>ADDED — PROPOSED</x:v>
      </x:c>
      <x:c r="D40" s="32" t="str">
        <x:v>1. Ramp + mana base</x:v>
      </x:c>
      <x:c r="E40" s="32" t="str">
        <x:v>High-fit core piece or premium role player</x:v>
      </x:c>
      <x:c r="F40" s="32" t="str">
        <x:v>Untapped dual when needed; supports colored requirements.</x:v>
      </x:c>
    </x:row>
    <x:row r="41">
      <x:c r="A41" s="32" t="str">
        <x:v>A</x:v>
      </x:c>
      <x:c r="B41" s="32" t="str">
        <x:v>Stolen Strategy</x:v>
      </x:c>
      <x:c r="C41" s="32" t="str">
        <x:v>ADDED — PROPOSED</x:v>
      </x:c>
      <x:c r="D41" s="32" t="str">
        <x:v>8. Finishers / tax / utility</x:v>
      </x:c>
      <x:c r="E41" s="32" t="str">
        <x:v>High-fit core piece or premium role player</x:v>
      </x:c>
      <x:c r="F41" s="32" t="str">
        <x:v>Upkeep engine that lets you cast spells from each opponent's library top; direct support for the 'play their cards' identity.</x:v>
      </x:c>
    </x:row>
    <x:row r="42">
      <x:c r="A42" s="32" t="str">
        <x:v>A</x:v>
      </x:c>
      <x:c r="B42" s="32" t="str">
        <x:v>Stormcarved Coast</x:v>
      </x:c>
      <x:c r="C42" s="32" t="str">
        <x:v>ADDED — PROPOSED</x:v>
      </x:c>
      <x:c r="D42" s="32" t="str">
        <x:v>1. Ramp + mana base</x:v>
      </x:c>
      <x:c r="E42" s="32" t="str">
        <x:v>High-fit core piece or premium role player</x:v>
      </x:c>
      <x:c r="F42" s="32" t="str">
        <x:v>Often untapped in mid/late game, improving colored sources.</x:v>
      </x:c>
    </x:row>
    <x:row r="43">
      <x:c r="A43" s="32" t="str">
        <x:v>A</x:v>
      </x:c>
      <x:c r="B43" s="32" t="str">
        <x:v>Sulfur Falls</x:v>
      </x:c>
      <x:c r="C43" s="32" t="str">
        <x:v>ADDED — PROPOSED</x:v>
      </x:c>
      <x:c r="D43" s="32" t="str">
        <x:v>1. Ramp + mana base</x:v>
      </x:c>
      <x:c r="E43" s="32" t="str">
        <x:v>High-fit core piece or premium role player</x:v>
      </x:c>
      <x:c r="F43" s="32" t="str">
        <x:v>Usually untapped when an Island or Mountain is present; improves reliable fixing.</x:v>
      </x:c>
    </x:row>
    <x:row r="44">
      <x:c r="A44" s="32" t="str">
        <x:v>A</x:v>
      </x:c>
      <x:c r="B44" s="32" t="str">
        <x:v>Talisman of Creativity</x:v>
      </x:c>
      <x:c r="C44" s="32" t="str">
        <x:v>CURRENT — RETAINED</x:v>
      </x:c>
      <x:c r="D44" s="32" t="str">
        <x:v>1. Ramp + mana base</x:v>
      </x:c>
      <x:c r="E44" s="32" t="str">
        <x:v>High-fit core piece or premium role player</x:v>
      </x:c>
      <x:c r="F44" s="32" t="str">
        <x:v>Assess game-state utility, mana cost, and synergy with theft/copy plan; no pet status inferred.</x:v>
      </x:c>
    </x:row>
    <x:row r="45">
      <x:c r="A45" s="32" t="str">
        <x:v>A</x:v>
      </x:c>
      <x:c r="B45" s="32" t="str">
        <x:v>Telepathy</x:v>
      </x:c>
      <x:c r="C45" s="32" t="str">
        <x:v>CURRENT — RETAINED</x:v>
      </x:c>
      <x:c r="D45" s="32" t="str">
        <x:v>7. Zara engine — haste / protection / retain theft</x:v>
      </x:c>
      <x:c r="E45" s="32" t="str">
        <x:v>High-fit core piece or premium role player</x:v>
      </x:c>
      <x:c r="F45" s="32" t="str">
        <x:v>Reveals all opponents' hands, improving Zara target selection and creating political information.</x:v>
      </x:c>
    </x:row>
    <x:row r="46">
      <x:c r="A46" s="32" t="str">
        <x:v>A</x:v>
      </x:c>
      <x:c r="B46" s="32" t="str">
        <x:v>Training Center</x:v>
      </x:c>
      <x:c r="C46" s="32" t="str">
        <x:v>ADDED — PROPOSED</x:v>
      </x:c>
      <x:c r="D46" s="32" t="str">
        <x:v>1. Ramp + mana base</x:v>
      </x:c>
      <x:c r="E46" s="32" t="str">
        <x:v>High-fit core piece or premium role player</x:v>
      </x:c>
      <x:c r="F46" s="32" t="str">
        <x:v>Usually untapped in multiplayer; improves color fixing.</x:v>
      </x:c>
    </x:row>
    <x:row r="47">
      <x:c r="A47" s="32" t="str">
        <x:v>A</x:v>
      </x:c>
      <x:c r="B47" s="32" t="str">
        <x:v>Vandalblast</x:v>
      </x:c>
      <x:c r="C47" s="32" t="str">
        <x:v>CURRENT — RETAINED</x:v>
      </x:c>
      <x:c r="D47" s="32" t="str">
        <x:v>6. Interaction — counters / removal / resets</x:v>
      </x:c>
      <x:c r="E47" s="32" t="str">
        <x:v>High-fit core piece or premium role player</x:v>
      </x:c>
      <x:c r="F47" s="32" t="str">
        <x:v>Assess game-state utility, mana cost, and synergy with theft/copy plan; no pet status inferred.</x:v>
      </x:c>
    </x:row>
    <x:row r="48">
      <x:c r="A48" s="32" t="str">
        <x:v>B</x:v>
      </x:c>
      <x:c r="B48" s="32" t="str">
        <x:v>Act of Treason</x:v>
      </x:c>
      <x:c r="C48" s="32" t="str">
        <x:v>CURRENT — RETAINED</x:v>
      </x:c>
      <x:c r="D48" s="32" t="str">
        <x:v>3. Theft — temporary / combat</x:v>
      </x:c>
      <x:c r="E48" s="32" t="str">
        <x:v>Useful role player; effectiveness depends on board or build</x:v>
      </x:c>
      <x:c r="F48" s="32" t="str">
        <x:v>Temporary theft plus untap/haste; can attack or be sacrificed to Fling/Kazuul's Fury.</x:v>
      </x:c>
    </x:row>
    <x:row r="49">
      <x:c r="A49" s="32" t="str">
        <x:v>B</x:v>
      </x:c>
      <x:c r="B49" s="32" t="str">
        <x:v>Castle Vantress</x:v>
      </x:c>
      <x:c r="C49" s="32" t="str">
        <x:v>CURRENT — RETAINED</x:v>
      </x:c>
      <x:c r="D49" s="32" t="str">
        <x:v>1. Ramp + mana base</x:v>
      </x:c>
      <x:c r="E49" s="32" t="str">
        <x:v>Useful role player; effectiveness depends on board or build</x:v>
      </x:c>
      <x:c r="F49" s="32" t="str">
        <x:v>Assess game-state utility, mana cost, and synergy with theft/copy plan; no pet status inferred.</x:v>
      </x:c>
    </x:row>
    <x:row r="50">
      <x:c r="A50" s="32" t="str">
        <x:v>B</x:v>
      </x:c>
      <x:c r="B50" s="32" t="str">
        <x:v>Day's Undoing</x:v>
      </x:c>
      <x:c r="C50" s="32" t="str">
        <x:v>CURRENT — RETAINED</x:v>
      </x:c>
      <x:c r="D50" s="32" t="str">
        <x:v>2. Draw + selection</x:v>
      </x:c>
      <x:c r="E50" s="32" t="str">
        <x:v>Useful role player; effectiveness depends on board or build</x:v>
      </x:c>
      <x:c r="F50" s="32" t="str">
        <x:v>Refills all players and can undo your advantage; meta-dependent rather than a dedicated theft effect.</x:v>
      </x:c>
    </x:row>
    <x:row r="51">
      <x:c r="A51" s="32" t="str">
        <x:v>B</x:v>
      </x:c>
      <x:c r="B51" s="32" t="str">
        <x:v>Desolate Lighthouse</x:v>
      </x:c>
      <x:c r="C51" s="32" t="str">
        <x:v>CURRENT — RETAINED</x:v>
      </x:c>
      <x:c r="D51" s="32" t="str">
        <x:v>2. Draw + selection</x:v>
      </x:c>
      <x:c r="E51" s="32" t="str">
        <x:v>Useful role player; effectiveness depends on board or build</x:v>
      </x:c>
      <x:c r="F51" s="32" t="str">
        <x:v>Assess game-state utility, mana cost, and synergy with theft/copy plan; no pet status inferred.</x:v>
      </x:c>
    </x:row>
    <x:row r="52">
      <x:c r="A52" s="32" t="str">
        <x:v>B</x:v>
      </x:c>
      <x:c r="B52" s="32" t="str">
        <x:v>Dissipation Field</x:v>
      </x:c>
      <x:c r="C52" s="32" t="str">
        <x:v>CURRENT — RETAINED</x:v>
      </x:c>
      <x:c r="D52" s="32" t="str">
        <x:v>7. Zara engine — haste / protection / retain theft</x:v>
      </x:c>
      <x:c r="E52" s="32" t="str">
        <x:v>Useful role player; effectiveness depends on board or build</x:v>
      </x:c>
      <x:c r="F52" s="32" t="str">
        <x:v>Assess game-state utility, mana cost, and synergy with theft/copy plan; no pet status inferred.</x:v>
      </x:c>
    </x:row>
    <x:row r="53">
      <x:c r="A53" s="32" t="str">
        <x:v>B</x:v>
      </x:c>
      <x:c r="B53" s="32" t="str">
        <x:v>Domestication</x:v>
      </x:c>
      <x:c r="C53" s="32" t="str">
        <x:v>CURRENT — RETAINED</x:v>
      </x:c>
      <x:c r="D53" s="32" t="str">
        <x:v>4. Theft — permanent / control</x:v>
      </x:c>
      <x:c r="E53" s="32" t="str">
        <x:v>Useful role player; effectiveness depends on board or build</x:v>
      </x:c>
      <x:c r="F53" s="32" t="str">
        <x:v>Permanent control of a creature with power 3 or less; can fail if that creature's power rises above 3.</x:v>
      </x:c>
    </x:row>
    <x:row r="54">
      <x:c r="A54" s="32" t="str">
        <x:v>B</x:v>
      </x:c>
      <x:c r="B54" s="32" t="str">
        <x:v>Domineering Will</x:v>
      </x:c>
      <x:c r="C54" s="32" t="str">
        <x:v>CURRENT — RETAINED</x:v>
      </x:c>
      <x:c r="D54" s="32" t="str">
        <x:v>3. Theft — temporary / combat</x:v>
      </x:c>
      <x:c r="E54" s="32" t="str">
        <x:v>Useful role player; effectiveness depends on board or build</x:v>
      </x:c>
      <x:c r="F54" s="32" t="str">
        <x:v>Can use opponent creatures to create unfavorable blocks; temporary control, not permanent theft.</x:v>
      </x:c>
    </x:row>
    <x:row r="55">
      <x:c r="A55" s="32" t="str">
        <x:v>B</x:v>
      </x:c>
      <x:c r="B55" s="32" t="str">
        <x:v>Flare of Duplication</x:v>
      </x:c>
      <x:c r="C55" s="32" t="str">
        <x:v>CURRENT — RETAINED</x:v>
      </x:c>
      <x:c r="D55" s="32" t="str">
        <x:v>5. Copy / clone / spell manipulation</x:v>
      </x:c>
      <x:c r="E55" s="32" t="str">
        <x:v>Useful role player; effectiveness depends on board or build</x:v>
      </x:c>
      <x:c r="F55" s="32" t="str">
        <x:v>Copies an instant/sorcery you control; it does not directly copy opposing spells. Sacrifice cost can monetize a stolen creature.</x:v>
      </x:c>
    </x:row>
    <x:row r="56">
      <x:c r="A56" s="32" t="str">
        <x:v>B</x:v>
      </x:c>
      <x:c r="B56" s="32" t="str">
        <x:v>Increasing Vengeance</x:v>
      </x:c>
      <x:c r="C56" s="32" t="str">
        <x:v>CURRENT — RETAINED</x:v>
      </x:c>
      <x:c r="D56" s="32" t="str">
        <x:v>5. Copy / clone / spell manipulation</x:v>
      </x:c>
      <x:c r="E56" s="32" t="str">
        <x:v>Useful role player; effectiveness depends on board or build</x:v>
      </x:c>
      <x:c r="F56" s="32" t="str">
        <x:v>Copies your own instant/sorcery; value tool, not the main theft engine.</x:v>
      </x:c>
    </x:row>
    <x:row r="57">
      <x:c r="A57" s="32" t="str">
        <x:v>B</x:v>
      </x:c>
      <x:c r="B57" s="32" t="str">
        <x:v>Island</x:v>
      </x:c>
      <x:c r="C57" s="32" t="str">
        <x:v>CURRENT — RETAINED</x:v>
      </x:c>
      <x:c r="D57" s="32" t="str">
        <x:v>1. Ramp + mana base</x:v>
      </x:c>
      <x:c r="E57" s="32" t="str">
        <x:v>Useful role player; effectiveness depends on board or build</x:v>
      </x:c>
      <x:c r="F57" s="32" t="str">
        <x:v>Assess game-state utility, mana cost, and synergy with theft/copy plan; no pet status inferred.</x:v>
      </x:c>
    </x:row>
    <x:row r="58">
      <x:c r="A58" s="32" t="str">
        <x:v>B</x:v>
      </x:c>
      <x:c r="B58" s="32" t="str">
        <x:v>Izzet Boilerworks</x:v>
      </x:c>
      <x:c r="C58" s="32" t="str">
        <x:v>CURRENT — RETAINED</x:v>
      </x:c>
      <x:c r="D58" s="32" t="str">
        <x:v>1. Ramp + mana base</x:v>
      </x:c>
      <x:c r="E58" s="32" t="str">
        <x:v>Useful role player; effectiveness depends on board or build</x:v>
      </x:c>
      <x:c r="F58" s="32" t="str">
        <x:v>Assess game-state utility, mana cost, and synergy with theft/copy plan; no pet status inferred.</x:v>
      </x:c>
    </x:row>
    <x:row r="59">
      <x:c r="A59" s="32" t="str">
        <x:v>B</x:v>
      </x:c>
      <x:c r="B59" s="32" t="str">
        <x:v>Izzet Charm</x:v>
      </x:c>
      <x:c r="C59" s="32" t="str">
        <x:v>CURRENT — RETAINED</x:v>
      </x:c>
      <x:c r="D59" s="32" t="str">
        <x:v>6. Interaction — counters / removal / resets</x:v>
      </x:c>
      <x:c r="E59" s="32" t="str">
        <x:v>Useful role player; effectiveness depends on board or build</x:v>
      </x:c>
      <x:c r="F59" s="32" t="str">
        <x:v>Assess game-state utility, mana cost, and synergy with theft/copy plan; no pet status inferred.</x:v>
      </x:c>
    </x:row>
    <x:row r="60">
      <x:c r="A60" s="32" t="str">
        <x:v>B</x:v>
      </x:c>
      <x:c r="B60" s="32" t="str">
        <x:v>Kitnap</x:v>
      </x:c>
      <x:c r="C60" s="32" t="str">
        <x:v>CURRENT — RETAINED</x:v>
      </x:c>
      <x:c r="D60" s="32" t="str">
        <x:v>4. Theft — permanent / control</x:v>
      </x:c>
      <x:c r="E60" s="32" t="str">
        <x:v>Useful role player; effectiveness depends on board or build</x:v>
      </x:c>
      <x:c r="F60" s="32" t="str">
        <x:v>Conditional theft of a creature with tap/untap restrictions; timing matters.</x:v>
      </x:c>
    </x:row>
    <x:row r="61">
      <x:c r="A61" s="32" t="str">
        <x:v>B</x:v>
      </x:c>
      <x:c r="B61" s="32" t="str">
        <x:v>Leyline of Resonance</x:v>
      </x:c>
      <x:c r="C61" s="32" t="str">
        <x:v>CURRENT — RETAINED</x:v>
      </x:c>
      <x:c r="D61" s="32" t="str">
        <x:v>5. Copy / clone / spell manipulation</x:v>
      </x:c>
      <x:c r="E61" s="32" t="str">
        <x:v>Useful role player; effectiveness depends on board or build</x:v>
      </x:c>
      <x:c r="F61" s="32" t="str">
        <x:v>Copies instant/sorcery spells that target only a creature you control; relevant to Fated Infatuation/Quasiduplicate, but narrow.</x:v>
      </x:c>
    </x:row>
    <x:row r="62">
      <x:c r="A62" s="32" t="str">
        <x:v>B</x:v>
      </x:c>
      <x:c r="B62" s="32" t="str">
        <x:v>Malevolent Hermit</x:v>
      </x:c>
      <x:c r="C62" s="32" t="str">
        <x:v>CURRENT — RETAINED</x:v>
      </x:c>
      <x:c r="D62" s="32" t="str">
        <x:v>7. Zara engine — haste / protection / retain theft</x:v>
      </x:c>
      <x:c r="E62" s="32" t="str">
        <x:v>Useful role player; effectiveness depends on board or build</x:v>
      </x:c>
      <x:c r="F62" s="32" t="str">
        <x:v>Assess game-state utility, mana cost, and synergy with theft/copy plan; no pet status inferred.</x:v>
      </x:c>
    </x:row>
    <x:row r="63">
      <x:c r="A63" s="32" t="str">
        <x:v>B</x:v>
      </x:c>
      <x:c r="B63" s="32" t="str">
        <x:v>Mass Manipulation</x:v>
      </x:c>
      <x:c r="C63" s="32" t="str">
        <x:v>CURRENT — RETAINED</x:v>
      </x:c>
      <x:c r="D63" s="32" t="str">
        <x:v>4. Theft — permanent / control</x:v>
      </x:c>
      <x:c r="E63" s="32" t="str">
        <x:v>Useful role player; effectiveness depends on board or build</x:v>
      </x:c>
      <x:c r="F63" s="32" t="str">
        <x:v>Assess game-state utility, mana cost, and synergy with theft/copy plan; no pet status inferred.</x:v>
      </x:c>
    </x:row>
    <x:row r="64">
      <x:c r="A64" s="32" t="str">
        <x:v>B</x:v>
      </x:c>
      <x:c r="B64" s="32" t="str">
        <x:v>Midnight Clock</x:v>
      </x:c>
      <x:c r="C64" s="32" t="str">
        <x:v>CURRENT — RETAINED</x:v>
      </x:c>
      <x:c r="D64" s="32" t="str">
        <x:v>2. Draw + selection</x:v>
      </x:c>
      <x:c r="E64" s="32" t="str">
        <x:v>Useful role player; effectiveness depends on board or build</x:v>
      </x:c>
      <x:c r="F64" s="32" t="str">
        <x:v>Early ramp and a late wheel; fits a slower Izzet value plan, though three-mana ramp is not fast.</x:v>
      </x:c>
    </x:row>
    <x:row r="65">
      <x:c r="A65" s="32" t="str">
        <x:v>B</x:v>
      </x:c>
      <x:c r="B65" s="32" t="str">
        <x:v>Mind Control</x:v>
      </x:c>
      <x:c r="C65" s="32" t="str">
        <x:v>CURRENT — RETAINED</x:v>
      </x:c>
      <x:c r="D65" s="32" t="str">
        <x:v>4. Theft — permanent / control</x:v>
      </x:c>
      <x:c r="E65" s="32" t="str">
        <x:v>Useful role player; effectiveness depends on board or build</x:v>
      </x:c>
      <x:c r="F65" s="32" t="str">
        <x:v>Straightforward permanent creature theft, but costs five mana and is vulnerable to enchantment removal.</x:v>
      </x:c>
    </x:row>
    <x:row r="66">
      <x:c r="A66" s="32" t="str">
        <x:v>B</x:v>
      </x:c>
      <x:c r="B66" s="32" t="str">
        <x:v>Mirrormade</x:v>
      </x:c>
      <x:c r="C66" s="32" t="str">
        <x:v>CURRENT — RETAINED</x:v>
      </x:c>
      <x:c r="D66" s="32" t="str">
        <x:v>5. Copy / clone / spell manipulation</x:v>
      </x:c>
      <x:c r="E66" s="32" t="str">
        <x:v>Useful role player; effectiveness depends on board or build</x:v>
      </x:c>
      <x:c r="F66" s="32" t="str">
        <x:v>Assess game-state utility, mana cost, and synergy with theft/copy plan; no pet status inferred.</x:v>
      </x:c>
    </x:row>
    <x:row r="67">
      <x:c r="A67" s="32" t="str">
        <x:v>B</x:v>
      </x:c>
      <x:c r="B67" s="32" t="str">
        <x:v>Mountain</x:v>
      </x:c>
      <x:c r="C67" s="32" t="str">
        <x:v>CURRENT — RETAINED</x:v>
      </x:c>
      <x:c r="D67" s="32" t="str">
        <x:v>1. Ramp + mana base</x:v>
      </x:c>
      <x:c r="E67" s="32" t="str">
        <x:v>Useful role player; effectiveness depends on board or build</x:v>
      </x:c>
      <x:c r="F67" s="32" t="str">
        <x:v>Assess game-state utility, mana cost, and synergy with theft/copy plan; no pet status inferred.</x:v>
      </x:c>
    </x:row>
    <x:row r="68">
      <x:c r="A68" s="32" t="str">
        <x:v>B</x:v>
      </x:c>
      <x:c r="B68" s="32" t="str">
        <x:v>Myriad Landscape</x:v>
      </x:c>
      <x:c r="C68" s="32" t="str">
        <x:v>CURRENT — RETAINED</x:v>
      </x:c>
      <x:c r="D68" s="32" t="str">
        <x:v>1. Ramp + mana base</x:v>
      </x:c>
      <x:c r="E68" s="32" t="str">
        <x:v>Useful role player; effectiveness depends on board or build</x:v>
      </x:c>
      <x:c r="F68" s="32" t="str">
        <x:v>Assess game-state utility, mana cost, and synergy with theft/copy plan; no pet status inferred.</x:v>
      </x:c>
    </x:row>
    <x:row r="69">
      <x:c r="A69" s="32" t="str">
        <x:v>B</x:v>
      </x:c>
      <x:c r="B69" s="32" t="str">
        <x:v>Negate</x:v>
      </x:c>
      <x:c r="C69" s="32" t="str">
        <x:v>CURRENT — RETAINED</x:v>
      </x:c>
      <x:c r="D69" s="32" t="str">
        <x:v>6. Interaction — counters / removal / resets</x:v>
      </x:c>
      <x:c r="E69" s="32" t="str">
        <x:v>Useful role player; effectiveness depends on board or build</x:v>
      </x:c>
      <x:c r="F69" s="32" t="str">
        <x:v>Assess game-state utility, mana cost, and synergy with theft/copy plan; no pet status inferred.</x:v>
      </x:c>
    </x:row>
    <x:row r="70">
      <x:c r="A70" s="32" t="str">
        <x:v>B</x:v>
      </x:c>
      <x:c r="B70" s="32" t="str">
        <x:v>Nevinyrral's Disk</x:v>
      </x:c>
      <x:c r="C70" s="32" t="str">
        <x:v>CURRENT — RETAINED</x:v>
      </x:c>
      <x:c r="D70" s="32" t="str">
        <x:v>6. Interaction — counters / removal / resets</x:v>
      </x:c>
      <x:c r="E70" s="32" t="str">
        <x:v>Useful role player; effectiveness depends on board or build</x:v>
      </x:c>
      <x:c r="F70" s="32" t="str">
        <x:v>Slow broad reset; useful as emergency catch-up but can wipe your own artifacts and enchantments.</x:v>
      </x:c>
    </x:row>
    <x:row r="71">
      <x:c r="A71" s="32" t="str">
        <x:v>B</x:v>
      </x:c>
      <x:c r="B71" s="32" t="str">
        <x:v>Redirect</x:v>
      </x:c>
      <x:c r="C71" s="32" t="str">
        <x:v>CURRENT — RETAINED</x:v>
      </x:c>
      <x:c r="D71" s="32" t="str">
        <x:v>5. Copy / clone / spell manipulation</x:v>
      </x:c>
      <x:c r="E71" s="32" t="str">
        <x:v>Useful role player; effectiveness depends on board or build</x:v>
      </x:c>
      <x:c r="F71" s="32" t="str">
        <x:v>Changes a spell's targets, subject to legal-target rules. Political trick, not a broad counterspell.</x:v>
      </x:c>
    </x:row>
    <x:row r="72">
      <x:c r="A72" s="32" t="str">
        <x:v>B</x:v>
      </x:c>
      <x:c r="B72" s="32" t="str">
        <x:v>Reliquary Tower</x:v>
      </x:c>
      <x:c r="C72" s="32" t="str">
        <x:v>CURRENT — RETAINED</x:v>
      </x:c>
      <x:c r="D72" s="32" t="str">
        <x:v>1. Ramp + mana base</x:v>
      </x:c>
      <x:c r="E72" s="32" t="str">
        <x:v>Useful role player; effectiveness depends on board or build</x:v>
      </x:c>
      <x:c r="F72" s="32" t="str">
        <x:v>Assess game-state utility, mana cost, and synergy with theft/copy plan; no pet status inferred.</x:v>
      </x:c>
    </x:row>
    <x:row r="73">
      <x:c r="A73" s="32" t="str">
        <x:v>B</x:v>
      </x:c>
      <x:c r="B73" s="32" t="str">
        <x:v>Run Away Together</x:v>
      </x:c>
      <x:c r="C73" s="32" t="str">
        <x:v>CURRENT — RETAINED</x:v>
      </x:c>
      <x:c r="D73" s="32" t="str">
        <x:v>6. Interaction — counters / removal / resets</x:v>
      </x:c>
      <x:c r="E73" s="32" t="str">
        <x:v>Useful role player; effectiveness depends on board or build</x:v>
      </x:c>
      <x:c r="F73" s="32" t="str">
        <x:v>Assess game-state utility, mana cost, and synergy with theft/copy plan; no pet status inferred.</x:v>
      </x:c>
    </x:row>
    <x:row r="74">
      <x:c r="A74" s="32" t="str">
        <x:v>B</x:v>
      </x:c>
      <x:c r="B74" s="32" t="str">
        <x:v>Sakashima's Will</x:v>
      </x:c>
      <x:c r="C74" s="32" t="str">
        <x:v>CURRENT — RETAINED</x:v>
      </x:c>
      <x:c r="D74" s="32" t="str">
        <x:v>5. Copy / clone / spell manipulation</x:v>
      </x:c>
      <x:c r="E74" s="32" t="str">
        <x:v>Useful role player; effectiveness depends on board or build</x:v>
      </x:c>
      <x:c r="F74" s="32" t="str">
        <x:v>Assess game-state utility, mana cost, and synergy with theft/copy plan; no pet status inferred.</x:v>
      </x:c>
    </x:row>
    <x:row r="75">
      <x:c r="A75" s="32" t="str">
        <x:v>B</x:v>
      </x:c>
      <x:c r="B75" s="32" t="str">
        <x:v>Sensei's Divining Top</x:v>
      </x:c>
      <x:c r="C75" s="32" t="str">
        <x:v>CURRENT — RETAINED</x:v>
      </x:c>
      <x:c r="D75" s="32" t="str">
        <x:v>2. Draw + selection</x:v>
      </x:c>
      <x:c r="E75" s="32" t="str">
        <x:v>Useful role player; effectiveness depends on board or build</x:v>
      </x:c>
      <x:c r="F75" s="32" t="str">
        <x:v>Card selection, but not true card advantage and requires mana to use repeatedly.</x:v>
      </x:c>
    </x:row>
    <x:row r="76">
      <x:c r="A76" s="32" t="str">
        <x:v>B</x:v>
      </x:c>
      <x:c r="B76" s="32" t="str">
        <x:v>Silundi Vision</x:v>
      </x:c>
      <x:c r="C76" s="32" t="str">
        <x:v>CURRENT — RETAINED</x:v>
      </x:c>
      <x:c r="D76" s="32" t="str">
        <x:v>2. Draw + selection</x:v>
      </x:c>
      <x:c r="E76" s="32" t="str">
        <x:v>Useful role player; effectiveness depends on board or build</x:v>
      </x:c>
      <x:c r="F76" s="32" t="str">
        <x:v>Assess game-state utility, mana cost, and synergy with theft/copy plan; no pet status inferred.</x:v>
      </x:c>
    </x:row>
    <x:row r="77">
      <x:c r="A77" s="32" t="str">
        <x:v>B</x:v>
      </x:c>
      <x:c r="B77" s="32" t="str">
        <x:v>Steal Enchantment</x:v>
      </x:c>
      <x:c r="C77" s="32" t="str">
        <x:v>CURRENT — RETAINED</x:v>
      </x:c>
      <x:c r="D77" s="32" t="str">
        <x:v>4. Theft — permanent / control</x:v>
      </x:c>
      <x:c r="E77" s="32" t="str">
        <x:v>Useful role player; effectiveness depends on board or build</x:v>
      </x:c>
      <x:c r="F77" s="32" t="str">
        <x:v>Niche, but directly on-theme: takes an opposing enchantment.</x:v>
      </x:c>
    </x:row>
    <x:row r="78">
      <x:c r="A78" s="32" t="str">
        <x:v>B</x:v>
      </x:c>
      <x:c r="B78" s="32" t="str">
        <x:v>Temple of Epiphany</x:v>
      </x:c>
      <x:c r="C78" s="32" t="str">
        <x:v>CURRENT — RETAINED</x:v>
      </x:c>
      <x:c r="D78" s="32" t="str">
        <x:v>1. Ramp + mana base</x:v>
      </x:c>
      <x:c r="E78" s="32" t="str">
        <x:v>Useful role player; effectiveness depends on board or build</x:v>
      </x:c>
      <x:c r="F78" s="32" t="str">
        <x:v>Assess game-state utility, mana cost, and synergy with theft/copy plan; no pet status inferred.</x:v>
      </x:c>
    </x:row>
    <x:row r="79">
      <x:c r="A79" s="32" t="str">
        <x:v>B</x:v>
      </x:c>
      <x:c r="B79" s="32" t="str">
        <x:v>Unwilling Recruit</x:v>
      </x:c>
      <x:c r="C79" s="32" t="str">
        <x:v>CURRENT — RETAINED</x:v>
      </x:c>
      <x:c r="D79" s="32" t="str">
        <x:v>3. Theft — temporary / combat</x:v>
      </x:c>
      <x:c r="E79" s="32" t="str">
        <x:v>Useful role player; effectiveness depends on board or build</x:v>
      </x:c>
      <x:c r="F79" s="32" t="str">
        <x:v>Scalable temporary theft with haste; triple-red pip can stress the mana base.</x:v>
      </x:c>
    </x:row>
    <x:row r="80">
      <x:c r="A80" s="32" t="str">
        <x:v>C</x:v>
      </x:c>
      <x:c r="B80" s="32" t="str">
        <x:v>Consuming Tide</x:v>
      </x:c>
      <x:c r="C80" s="32" t="str">
        <x:v>CUT CANDIDATE — V2</x:v>
      </x:c>
      <x:c r="D80" s="32" t="str">
        <x:v>6. Interaction — counters / removal / resets</x:v>
      </x:c>
      <x:c r="E80" s="32" t="str">
        <x:v>Conditional, inefficient, or partially off-plan</x:v>
      </x:c>
      <x:c r="F80" s="32" t="str">
        <x:v>High-variance mass bounce/draw. Redundant with Rift/Disk and may reset your own theft pieces.</x:v>
      </x:c>
    </x:row>
    <x:row r="81">
      <x:c r="A81" s="32" t="str">
        <x:v>C</x:v>
      </x:c>
      <x:c r="B81" s="32" t="str">
        <x:v>Encroaching Wastes</x:v>
      </x:c>
      <x:c r="C81" s="32" t="str">
        <x:v>CURRENT — RETAINED</x:v>
      </x:c>
      <x:c r="D81" s="32" t="str">
        <x:v>1. Ramp + mana base</x:v>
      </x:c>
      <x:c r="E81" s="32" t="str">
        <x:v>Conditional, inefficient, or partially off-plan</x:v>
      </x:c>
      <x:c r="F81" s="32" t="str">
        <x:v>Colorless land with narrow utility; unreliable for UUU/RRR requirements.</x:v>
      </x:c>
    </x:row>
    <x:row r="82">
      <x:c r="A82" s="32" t="str">
        <x:v>C</x:v>
      </x:c>
      <x:c r="B82" s="32" t="str">
        <x:v>Essence Capture</x:v>
      </x:c>
      <x:c r="C82" s="32" t="str">
        <x:v>CURRENT — RETAINED</x:v>
      </x:c>
      <x:c r="D82" s="32" t="str">
        <x:v>6. Interaction — counters / removal / resets</x:v>
      </x:c>
      <x:c r="E82" s="32" t="str">
        <x:v>Conditional, inefficient, or partially off-plan</x:v>
      </x:c>
      <x:c r="F82" s="32" t="str">
        <x:v>Assess game-state utility, mana cost, and synergy with theft/copy plan; no pet status inferred.</x:v>
      </x:c>
    </x:row>
    <x:row r="83">
      <x:c r="A83" s="32" t="str">
        <x:v>C</x:v>
      </x:c>
      <x:c r="B83" s="32" t="str">
        <x:v>Exclude</x:v>
      </x:c>
      <x:c r="C83" s="32" t="str">
        <x:v>CUT CANDIDATE — V2</x:v>
      </x:c>
      <x:c r="D83" s="32" t="str">
        <x:v>6. Interaction — counters / removal / resets</x:v>
      </x:c>
      <x:c r="E83" s="32" t="str">
        <x:v>Conditional, inefficient, or partially off-plan</x:v>
      </x:c>
      <x:c r="F83" s="32" t="str">
        <x:v>Candidate cut; decision remains PROPOSED, not an instruction that the card was physically removed.</x:v>
      </x:c>
    </x:row>
    <x:row r="84">
      <x:c r="A84" s="32" t="str">
        <x:v>C</x:v>
      </x:c>
      <x:c r="B84" s="32" t="str">
        <x:v>Goblin Electromancer</x:v>
      </x:c>
      <x:c r="C84" s="32" t="str">
        <x:v>CUT CANDIDATE — V2</x:v>
      </x:c>
      <x:c r="D84" s="32" t="str">
        <x:v>1. Ramp + mana base</x:v>
      </x:c>
      <x:c r="E84" s="32" t="str">
        <x:v>Conditional, inefficient, or partially off-plan</x:v>
      </x:c>
      <x:c r="F84" s="32" t="str">
        <x:v>Efficient in spellslinger, but lower synergy with the theft/control core.</x:v>
      </x:c>
    </x:row>
    <x:row r="85">
      <x:c r="A85" s="32" t="str">
        <x:v>C</x:v>
      </x:c>
      <x:c r="B85" s="32" t="str">
        <x:v>Goblin Flectomancer</x:v>
      </x:c>
      <x:c r="C85" s="32" t="str">
        <x:v>CUT CANDIDATE — V2</x:v>
      </x:c>
      <x:c r="D85" s="32" t="str">
        <x:v>5. Copy / clone / spell manipulation</x:v>
      </x:c>
      <x:c r="E85" s="32" t="str">
        <x:v>Conditional, inefficient, or partially off-plan</x:v>
      </x:c>
      <x:c r="F85" s="32" t="str">
        <x:v>Target-changing ability on a body, but needs the right spell and is difficult to reuse.</x:v>
      </x:c>
    </x:row>
    <x:row r="86">
      <x:c r="A86" s="32" t="str">
        <x:v>C</x:v>
      </x:c>
      <x:c r="B86" s="32" t="str">
        <x:v>Mana Leak</x:v>
      </x:c>
      <x:c r="C86" s="32" t="str">
        <x:v>CURRENT — RETAINED</x:v>
      </x:c>
      <x:c r="D86" s="32" t="str">
        <x:v>6. Interaction — counters / removal / resets</x:v>
      </x:c>
      <x:c r="E86" s="32" t="str">
        <x:v>Conditional, inefficient, or partially off-plan</x:v>
      </x:c>
      <x:c r="F86" s="32" t="str">
        <x:v>Assess game-state utility, mana cost, and synergy with theft/copy plan; no pet status inferred.</x:v>
      </x:c>
    </x:row>
    <x:row r="87">
      <x:c r="A87" s="32" t="str">
        <x:v>C</x:v>
      </x:c>
      <x:c r="B87" s="32" t="str">
        <x:v>Mirror Sheen</x:v>
      </x:c>
      <x:c r="C87" s="32" t="str">
        <x:v>CURRENT — RETAINED</x:v>
      </x:c>
      <x:c r="D87" s="32" t="str">
        <x:v>5. Copy / clone / spell manipulation</x:v>
      </x:c>
      <x:c r="E87" s="32" t="str">
        <x:v>Conditional, inefficient, or partially off-plan</x:v>
      </x:c>
      <x:c r="F87" s="32" t="str">
        <x:v>Expensive, conditional copy effect for spells that target you or a permanent you control; flavorful but mana-intensive.</x:v>
      </x:c>
    </x:row>
    <x:row r="88">
      <x:c r="A88" s="32" t="str">
        <x:v>C</x:v>
      </x:c>
      <x:c r="B88" s="32" t="str">
        <x:v>Mizzium Mortars</x:v>
      </x:c>
      <x:c r="C88" s="32" t="str">
        <x:v>CUT CANDIDATE — V2</x:v>
      </x:c>
      <x:c r="D88" s="32" t="str">
        <x:v>6. Interaction — counters / removal / resets</x:v>
      </x:c>
      <x:c r="E88" s="32" t="str">
        <x:v>Conditional, inefficient, or partially off-plan</x:v>
      </x:c>
      <x:c r="F88" s="32" t="str">
        <x:v>Candidate cut; decision remains PROPOSED, not an instruction that the card was physically removed.</x:v>
      </x:c>
    </x:row>
    <x:row r="89">
      <x:c r="A89" s="32" t="str">
        <x:v>C</x:v>
      </x:c>
      <x:c r="B89" s="32" t="str">
        <x:v>Sphinx of the Second Sun</x:v>
      </x:c>
      <x:c r="C89" s="32" t="str">
        <x:v>CUT CANDIDATE — V2</x:v>
      </x:c>
      <x:c r="D89" s="32" t="str">
        <x:v>8. Finishers / tax / utility</x:v>
      </x:c>
      <x:c r="E89" s="32" t="str">
        <x:v>Conditional, inefficient, or partially off-plan</x:v>
      </x:c>
      <x:c r="F89" s="32" t="str">
        <x:v>Candidate cut; decision remains PROPOSED, not an instruction that the card was physically removed.</x:v>
      </x:c>
    </x:row>
    <x:row r="90">
      <x:c r="A90" s="32" t="str">
        <x:v>C</x:v>
      </x:c>
      <x:c r="B90" s="32" t="str">
        <x:v>Supreme Will</x:v>
      </x:c>
      <x:c r="C90" s="32" t="str">
        <x:v>CUT CANDIDATE — V2</x:v>
      </x:c>
      <x:c r="D90" s="32" t="str">
        <x:v>6. Interaction — counters / removal / resets</x:v>
      </x:c>
      <x:c r="E90" s="32" t="str">
        <x:v>Conditional, inefficient, or partially off-plan</x:v>
      </x:c>
      <x:c r="F90" s="32" t="str">
        <x:v>Candidate cut; decision remains PROPOSED, not an instruction that the card was physically removed.</x:v>
      </x:c>
    </x:row>
    <x:row r="91">
      <x:c r="A91" s="32" t="str">
        <x:v>C</x:v>
      </x:c>
      <x:c r="B91" s="32" t="str">
        <x:v>Vadrik, Astral Archmage</x:v>
      </x:c>
      <x:c r="C91" s="32" t="str">
        <x:v>CUT CANDIDATE — V2</x:v>
      </x:c>
      <x:c r="D91" s="32" t="str">
        <x:v>8. Finishers / tax / utility</x:v>
      </x:c>
      <x:c r="E91" s="32" t="str">
        <x:v>Conditional, inefficient, or partially off-plan</x:v>
      </x:c>
      <x:c r="F91" s="32" t="str">
        <x:v>Spell cost reduction, but introduces another build-around subtheme and needs more spell-focused support.</x:v>
      </x:c>
    </x:row>
    <x:row r="92">
      <x:c r="A92" s="32" t="str">
        <x:v>C</x:v>
      </x:c>
      <x:c r="B92" s="32" t="str">
        <x:v>Vivid Crag</x:v>
      </x:c>
      <x:c r="C92" s="32" t="str">
        <x:v>CURRENT — RETAINED</x:v>
      </x:c>
      <x:c r="D92" s="32" t="str">
        <x:v>1. Ramp + mana base</x:v>
      </x:c>
      <x:c r="E92" s="32" t="str">
        <x:v>Conditional, inefficient, or partially off-plan</x:v>
      </x:c>
      <x:c r="F92" s="32" t="str">
        <x:v>Enters tapped and has limited colored-charge flexibility; slower than untapped duals.</x:v>
      </x:c>
    </x:row>
    <x:row r="93">
      <x:c r="A93" s="32" t="str">
        <x:v>C</x:v>
      </x:c>
      <x:c r="B93" s="32" t="str">
        <x:v>Vivid Creek</x:v>
      </x:c>
      <x:c r="C93" s="32" t="str">
        <x:v>CURRENT — RETAINED</x:v>
      </x:c>
      <x:c r="D93" s="32" t="str">
        <x:v>1. Ramp + mana base</x:v>
      </x:c>
      <x:c r="E93" s="32" t="str">
        <x:v>Conditional, inefficient, or partially off-plan</x:v>
      </x:c>
      <x:c r="F93" s="32" t="str">
        <x:v>Enters tapped and has limited colored-charge flexibility; slower than untapped duals.</x:v>
      </x:c>
    </x:row>
    <x:row r="94">
      <x:c r="A94" s="32" t="str">
        <x:v>D</x:v>
      </x:c>
      <x:c r="B94" s="32" t="str">
        <x:v>Alchemist's Gambit</x:v>
      </x:c>
      <x:c r="C94" s="32" t="str">
        <x:v>CUT CANDIDATE — V2</x:v>
      </x:c>
      <x:c r="D94" s="32" t="str">
        <x:v>3. Theft — temporary / combat</x:v>
      </x:c>
      <x:c r="E94" s="32" t="str">
        <x:v>Recommended cut in PROPOSED V2 or structural liability</x:v>
      </x:c>
      <x:c r="F94" s="32" t="str">
        <x:v>Risky extra-turn effect with a lose-game clause unless cleaved; weak fit versus durable theft engines.</x:v>
      </x:c>
    </x:row>
    <x:row r="95">
      <x:c r="A95" s="32" t="str">
        <x:v>D</x:v>
      </x:c>
      <x:c r="B95" s="32" t="str">
        <x:v>Browbeat</x:v>
      </x:c>
      <x:c r="C95" s="32" t="str">
        <x:v>CUT CANDIDATE — V2</x:v>
      </x:c>
      <x:c r="D95" s="32" t="str">
        <x:v>2. Draw + selection</x:v>
      </x:c>
      <x:c r="E95" s="32" t="str">
        <x:v>Recommended cut in PROPOSED V2 or structural liability</x:v>
      </x:c>
      <x:c r="F95" s="32" t="str">
        <x:v>Opponent chooses the outcome; unreliable card draw and low control over result.</x:v>
      </x:c>
    </x:row>
    <x:row r="96">
      <x:c r="A96" s="32" t="str">
        <x:v>D</x:v>
      </x:c>
      <x:c r="B96" s="32" t="str">
        <x:v>Firemind's Research</x:v>
      </x:c>
      <x:c r="C96" s="32" t="str">
        <x:v>CUT CANDIDATE — V2</x:v>
      </x:c>
      <x:c r="D96" s="32" t="str">
        <x:v>8. Finishers / tax / utility</x:v>
      </x:c>
      <x:c r="E96" s="32" t="str">
        <x:v>Recommended cut in PROPOSED V2 or structural liability</x:v>
      </x:c>
      <x:c r="F96" s="32" t="str">
        <x:v>Slow payoff for instants/sorceries; supports a secondary spellslinger theme more than theft.</x:v>
      </x:c>
    </x:row>
    <x:row r="97">
      <x:c r="A97" s="32" t="str">
        <x:v>D</x:v>
      </x:c>
      <x:c r="B97" s="32" t="str">
        <x:v>Parallel Thoughts</x:v>
      </x:c>
      <x:c r="C97" s="32" t="str">
        <x:v>CUT CANDIDATE — V2</x:v>
      </x:c>
      <x:c r="D97" s="32" t="str">
        <x:v>2. Draw + selection</x:v>
      </x:c>
      <x:c r="E97" s="32" t="str">
        <x:v>Recommended cut in PROPOSED V2 or structural liability</x:v>
      </x:c>
      <x:c r="F97" s="32" t="str">
        <x:v>Slow setup with delayed access to a curated pile; inefficient compared with cheaper selection/draw.</x:v>
      </x:c>
    </x:row>
    <x:row r="98">
      <x:c r="A98" s="32" t="str">
        <x:v>D</x:v>
      </x:c>
      <x:c r="B98" s="32" t="str">
        <x:v>Smoke</x:v>
      </x:c>
      <x:c r="C98" s="32" t="str">
        <x:v>CUT CANDIDATE — V2</x:v>
      </x:c>
      <x:c r="D98" s="32" t="str">
        <x:v>8. Finishers / tax / utility</x:v>
      </x:c>
      <x:c r="E98" s="32" t="str">
        <x:v>Recommended cut in PROPOSED V2 or structural liability</x:v>
      </x:c>
      <x:c r="F98" s="32" t="str">
        <x:v>Symmetrical untap restriction. Risks suppressing your own creatures and game flow; cut candidate.</x:v>
      </x:c>
    </x:row>
    <x:row r="99">
      <x:c r="A99" s="32" t="str">
        <x:v>D</x:v>
      </x:c>
      <x:c r="B99" s="32" t="str">
        <x:v>Temple of the False God</x:v>
      </x:c>
      <x:c r="C99" s="32" t="str">
        <x:v>CURRENT — RETAINED</x:v>
      </x:c>
      <x:c r="D99" s="32" t="str">
        <x:v>1. Ramp + mana base</x:v>
      </x:c>
      <x:c r="E99" s="32" t="str">
        <x:v>Recommended cut in PROPOSED V2 or structural liability</x:v>
      </x:c>
      <x:c r="F99" s="32" t="str">
        <x:v>Conditional mana source that is poor early, especially alongside only 31 physical lands.</x:v>
      </x:c>
    </x:row>
  </x:sheetData>
  <x:mergeCells>
    <x:mergeCell ref="A1:F1"/>
    <x:mergeCell ref="A2:F2"/>
  </x:mergeCells>
  <x:conditionalFormatting sqref="A5:A99">
    <x:cfRule type="expression" dxfId="0" priority="1">
      <x:formula>A5="S"</x:formula>
    </x:cfRule>
    <x:cfRule type="expression" dxfId="1" priority="2">
      <x:formula>A5="A"</x:formula>
    </x:cfRule>
    <x:cfRule type="expression" dxfId="2" priority="3">
      <x:formula>A5="D"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d6a60dbd64546cb"/>
  </x:tableParts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24" hidden="0" customWidth="1"/>
    <x:col min="3" max="3" width="63" hidden="0" customWidth="1"/>
    <x:col min="4" max="4" width="72" hidden="0" customWidth="1"/>
    <x:col min="5" max="5" width="23" hidden="0" customWidth="1"/>
    <x:col min="6" max="6" width="13" hidden="0" customWidth="1"/>
  </x:cols>
  <x:sheetData>
    <x:row r="1" ht="30" customHeight="1">
      <x:c r="A1" s="5" t="str">
        <x:v>ZARA • WATCHLIST &amp; ALTERNATIVES</x:v>
      </x:c>
      <x:c r="B1" s="5"/>
      <x:c r="C1" s="5"/>
      <x:c r="D1" s="5"/>
      <x:c r="E1" s="5"/>
      <x:c r="F1" s="5"/>
    </x:row>
    <x:row r="2" ht="30" customHeight="1">
      <x:c r="A2" s="14" t="str">
        <x:v>Candidate cards were compared by role; proposed additions are not acquired or tested.</x:v>
      </x:c>
      <x:c r="B2" s="14"/>
      <x:c r="C2" s="14"/>
      <x:c r="D2" s="14"/>
      <x:c r="E2" s="14"/>
      <x:c r="F2" s="14"/>
    </x:row>
    <x:row r="4" ht="32" customHeight="1">
      <x:c r="A4" s="24" t="str">
        <x:v>Card / package</x:v>
      </x:c>
      <x:c r="B4" s="24" t="str">
        <x:v>Priority</x:v>
      </x:c>
      <x:c r="C4" s="24" t="str">
        <x:v>Role &amp; reason</x:v>
      </x:c>
      <x:c r="D4" s="24" t="str">
        <x:v>Trade-off / condition</x:v>
      </x:c>
      <x:c r="E4" s="24" t="str">
        <x:v>Status</x:v>
      </x:c>
      <x:c r="F4" s="24" t="str">
        <x:v>Confidence</x:v>
      </x:c>
    </x:row>
    <x:row r="5">
      <x:c r="A5" s="32" t="str">
        <x:v>Sundial of the Infinite</x:v>
      </x:c>
      <x:c r="B5" s="32" t="str">
        <x:v>P1 — included in V2</x:v>
      </x:c>
      <x:c r="C5" s="32" t="str">
        <x:v>Retention engine for Zara's end-step return trigger.</x:v>
      </x:c>
      <x:c r="D5" s="32" t="str">
        <x:v>Timing is critical: activate only during your turn after the delayed return trigger is on the stack.</x:v>
      </x:c>
      <x:c r="E5" s="32" t="str">
        <x:v>Selected</x:v>
      </x:c>
      <x:c r="F5" s="32" t="str">
        <x:v>High</x:v>
      </x:c>
    </x:row>
    <x:row r="6">
      <x:c r="A6" s="32" t="str">
        <x:v>Conjurer's Closet</x:v>
      </x:c>
      <x:c r="B6" s="32" t="str">
        <x:v>P1 — included in V2</x:v>
      </x:c>
      <x:c r="C6" s="32" t="str">
        <x:v>Repeats blink of Zara-borrowed creature; also reuses ETBs.</x:v>
      </x:c>
      <x:c r="D6" s="32" t="str">
        <x:v>Order end-step triggers so Closet resolves before Zara return trigger.</x:v>
      </x:c>
      <x:c r="E6" s="32" t="str">
        <x:v>Selected</x:v>
      </x:c>
      <x:c r="F6" s="32" t="str">
        <x:v>High</x:v>
      </x:c>
    </x:row>
    <x:row r="7">
      <x:c r="A7" s="32" t="str">
        <x:v>Ghostly Flicker</x:v>
      </x:c>
      <x:c r="B7" s="32" t="str">
        <x:v>P1 — included in V2</x:v>
      </x:c>
      <x:c r="C7" s="32" t="str">
        <x:v>Instant-speed blink/retention; can protect a creature and another artifact/land.</x:v>
      </x:c>
      <x:c r="D7" s="32" t="str">
        <x:v>Needs two legal targets you control; tempo costs 3 mana.</x:v>
      </x:c>
      <x:c r="E7" s="32" t="str">
        <x:v>Selected</x:v>
      </x:c>
      <x:c r="F7" s="32" t="str">
        <x:v>High</x:v>
      </x:c>
    </x:row>
    <x:row r="8">
      <x:c r="A8" s="32" t="str">
        <x:v>Stolen Strategy</x:v>
      </x:c>
      <x:c r="B8" s="32" t="str">
        <x:v>P2 — included in V2</x:v>
      </x:c>
      <x:c r="C8" s="32" t="str">
        <x:v>Directly supports casting cards from opponents' libraries.</x:v>
      </x:c>
      <x:c r="D8" s="32" t="str">
        <x:v>Five mana; opponent top cards may be uncastable in the same turn.</x:v>
      </x:c>
      <x:c r="E8" s="32" t="str">
        <x:v>Selected</x:v>
      </x:c>
      <x:c r="F8" s="32" t="str">
        <x:v>High</x:v>
      </x:c>
    </x:row>
    <x:row r="9">
      <x:c r="A9" s="32" t="str">
        <x:v>Bribery</x:v>
      </x:c>
      <x:c r="B9" s="32" t="str">
        <x:v>P2 — included in V2</x:v>
      </x:c>
      <x:c r="C9" s="32" t="str">
        <x:v>Takes the best creature from an opponent's library, guaranteed creature payoff if available.</x:v>
      </x:c>
      <x:c r="D9" s="32" t="str">
        <x:v>Five mana; top-end spell and visibly threatening.</x:v>
      </x:c>
      <x:c r="E9" s="32" t="str">
        <x:v>Selected</x:v>
      </x:c>
      <x:c r="F9" s="32" t="str">
        <x:v>High</x:v>
      </x:c>
    </x:row>
    <x:row r="10">
      <x:c r="A10" s="32" t="str">
        <x:v>Port Razer</x:v>
      </x:c>
      <x:c r="B10" s="32" t="str">
        <x:v>P2 — included in V2</x:v>
      </x:c>
      <x:c r="C10" s="32" t="str">
        <x:v>Extra combat gives Zara additional attack triggers in a turn.</x:v>
      </x:c>
      <x:c r="D10" s="32" t="str">
        <x:v>Must connect with a player; vulnerable, and only triggers once per turn.</x:v>
      </x:c>
      <x:c r="E10" s="32" t="str">
        <x:v>Selected</x:v>
      </x:c>
      <x:c r="F10" s="32" t="str">
        <x:v>High</x:v>
      </x:c>
    </x:row>
    <x:row r="11">
      <x:c r="A11" s="32" t="str">
        <x:v>Agent of Treachery</x:v>
      </x:c>
      <x:c r="B11" s="32" t="str">
        <x:v>P2 — included in V2</x:v>
      </x:c>
      <x:c r="C11" s="32" t="str">
        <x:v>Permanent theft ETB; late-game draw three if controlling three permanents you don't own.</x:v>
      </x:c>
      <x:c r="D11" s="32" t="str">
        <x:v>Seven mana; adds to curve, and doesn't need to remain for the stolen permanent to stay yours.</x:v>
      </x:c>
      <x:c r="E11" s="32" t="str">
        <x:v>Selected</x:v>
      </x:c>
      <x:c r="F11" s="32" t="str">
        <x:v>Medium</x:v>
      </x:c>
    </x:row>
    <x:row r="12">
      <x:c r="A12" s="32" t="str">
        <x:v>Chaos Warp</x:v>
      </x:c>
      <x:c r="B12" s="32" t="str">
        <x:v>P1 — included in V2</x:v>
      </x:c>
      <x:c r="C12" s="32" t="str">
        <x:v>Red's flexible answer to any permanent.</x:v>
      </x:c>
      <x:c r="D12" s="32" t="str">
        <x:v>Random replacement permanent is a downside.</x:v>
      </x:c>
      <x:c r="E12" s="32" t="str">
        <x:v>Selected</x:v>
      </x:c>
      <x:c r="F12" s="32" t="str">
        <x:v>High</x:v>
      </x:c>
    </x:row>
    <x:row r="13">
      <x:c r="A13" s="32" t="str">
        <x:v>Coercive Recruiter</x:v>
      </x:c>
      <x:c r="B13" s="32" t="str">
        <x:v>P2 — future candidate</x:v>
      </x:c>
      <x:c r="C13" s="32" t="str">
        <x:v>Pirate tribal card that temporarily steals creatures when Pirates enter.</x:v>
      </x:c>
      <x:c r="D13" s="32" t="str">
        <x:v>Zara is a Pirate, but Zara attacking does not itself trigger this; needs other Pirates entering.</x:v>
      </x:c>
      <x:c r="E13" s="32" t="str">
        <x:v>Investigate</x:v>
      </x:c>
      <x:c r="F13" s="32" t="str">
        <x:v>Medium</x:v>
      </x:c>
    </x:row>
    <x:row r="14">
      <x:c r="A14" s="32" t="str">
        <x:v>Captivating Crew</x:v>
      </x:c>
      <x:c r="B14" s="32" t="str">
        <x:v>P3 — future candidate</x:v>
      </x:c>
      <x:c r="C14" s="32" t="str">
        <x:v>Repeatable temporary creature theft, useful with sacrifice payoffs.</x:v>
      </x:c>
      <x:c r="D14" s="32" t="str">
        <x:v>Four-mana activation makes it mana-hungry; overlaps with existing temporary theft.</x:v>
      </x:c>
      <x:c r="E14" s="32" t="str">
        <x:v>Investigate</x:v>
      </x:c>
      <x:c r="F14" s="32" t="str">
        <x:v>Medium</x:v>
      </x:c>
    </x:row>
    <x:row r="15">
      <x:c r="A15" s="32" t="str">
        <x:v>Zealous Conscripts</x:v>
      </x:c>
      <x:c r="B15" s="32" t="str">
        <x:v>P2 — future candidate</x:v>
      </x:c>
      <x:c r="C15" s="32" t="str">
        <x:v>ETB takes any permanent temporarily, untaps it and grants haste.</x:v>
      </x:c>
      <x:c r="D15" s="32" t="str">
        <x:v>At five mana, mostly overlaps with Act of Treason/Unwilling Recruit; strong if ETB density increases.</x:v>
      </x:c>
      <x:c r="E15" s="32" t="str">
        <x:v>Investigate</x:v>
      </x:c>
      <x:c r="F15" s="32" t="str">
        <x:v>Medium</x:v>
      </x:c>
    </x:row>
    <x:row r="16">
      <x:c r="A16" s="32" t="str">
        <x:v>Insurrection</x:v>
      </x:c>
      <x:c r="B16" s="32" t="str">
        <x:v>P2 — future candidate</x:v>
      </x:c>
      <x:c r="C16" s="32" t="str">
        <x:v>Explosive mass theft finisher; can end a game after a stalled board.</x:v>
      </x:c>
      <x:c r="D16" s="32" t="str">
        <x:v>Eight mana and likely to shift threat perception dramatically.</x:v>
      </x:c>
      <x:c r="E16" s="32" t="str">
        <x:v>Investigate</x:v>
      </x:c>
      <x:c r="F16" s="32" t="str">
        <x:v>High</x:v>
      </x:c>
    </x:row>
    <x:row r="17">
      <x:c r="A17" s="32" t="str">
        <x:v>Rite of Replication</x:v>
      </x:c>
      <x:c r="B17" s="32" t="str">
        <x:v>P2 — future candidate</x:v>
      </x:c>
      <x:c r="C17" s="32" t="str">
        <x:v>Kicked clone spell can turn a borrowed high-impact creature into a winning board.</x:v>
      </x:c>
      <x:c r="D17" s="32" t="str">
        <x:v>Nine mana kicked; expensive, but copies need no return trigger from Zara.</x:v>
      </x:c>
      <x:c r="E17" s="32" t="str">
        <x:v>Investigate</x:v>
      </x:c>
      <x:c r="F17" s="32" t="str">
        <x:v>High</x:v>
      </x:c>
    </x:row>
    <x:row r="18">
      <x:c r="A18" s="32" t="str">
        <x:v>Malcolm, Keen-Eyed Navigator</x:v>
      </x:c>
      <x:c r="B18" s="32" t="str">
        <x:v>P3 — future candidate</x:v>
      </x:c>
      <x:c r="C18" s="32" t="str">
        <x:v>Zara is a Pirate, so combat damage from Zara can generate Treasure with Malcolm.</x:v>
      </x:c>
      <x:c r="D18" s="32" t="str">
        <x:v>Only modest contribution without more Pirates or combat damage.</x:v>
      </x:c>
      <x:c r="E18" s="32" t="str">
        <x:v>Investigate</x:v>
      </x:c>
      <x:c r="F18" s="32" t="str">
        <x:v>Medium</x:v>
      </x:c>
    </x:row>
    <x:row r="19">
      <x:c r="A19" s="32" t="str">
        <x:v>Treasure Nabber</x:v>
      </x:c>
      <x:c r="B19" s="32" t="str">
        <x:v>P3 — future candidate</x:v>
      </x:c>
      <x:c r="C19" s="32" t="str">
        <x:v>Steals artifacts temporarily when opponents tap them for mana; can support artifact tempo.</x:v>
      </x:c>
      <x:c r="D19" s="32" t="str">
        <x:v>Meta-dependent and only works when opponents tap artifacts during their turns.</x:v>
      </x:c>
      <x:c r="E19" s="32" t="str">
        <x:v>Investigate</x:v>
      </x:c>
      <x:c r="F19" s="32" t="str">
        <x:v>Medium</x:v>
      </x:c>
    </x:row>
    <x:row r="20">
      <x:c r="A20" s="32" t="str">
        <x:v>Swiftfoot Boots / Lightning Greaves</x:v>
      </x:c>
      <x:c r="B20" s="32" t="str">
        <x:v>Not prioritized</x:v>
      </x:c>
      <x:c r="C20" s="32" t="str">
        <x:v>Common Zara protection/haste options in references.</x:v>
      </x:c>
      <x:c r="D20" s="32" t="str">
        <x:v>Clout of the Dominus already gives Zara haste and shroud; shroud prevents later targeting/equipping, so do not add blindly.</x:v>
      </x:c>
      <x:c r="E20" s="32" t="str">
        <x:v>Do not add by default</x:v>
      </x:c>
      <x:c r="F20" s="32" t="str">
        <x:v>High</x:v>
      </x:c>
    </x:row>
    <x:row r="21">
      <x:c r="A21" s="32" t="str">
        <x:v>Rogue's Passage</x:v>
      </x:c>
      <x:c r="B21" s="32" t="str">
        <x:v>P3 — future candidate</x:v>
      </x:c>
      <x:c r="C21" s="32" t="str">
        <x:v>Can make Zara connect for combat damage / help commander damage.</x:v>
      </x:c>
      <x:c r="D21" s="32" t="str">
        <x:v>Zara's theft trigger only needs her to attack, not connect; prioritize protection/retention over unblockability.</x:v>
      </x:c>
      <x:c r="E21" s="32" t="str">
        <x:v>Low priority</x:v>
      </x:c>
      <x:c r="F21" s="32" t="str">
        <x:v>High</x:v>
      </x:c>
    </x:row>
    <x:row r="22">
      <x:c r="A22" s="32" t="str">
        <x:v>Thassa, Deep-Dwelling</x:v>
      </x:c>
      <x:c r="B22" s="32" t="str">
        <x:v>P2 — future candidate</x:v>
      </x:c>
      <x:c r="C22" s="32" t="str">
        <x:v>Repeatable end-step blink can retain borrowed creatures and reuse ETBs.</x:v>
      </x:c>
      <x:c r="D22" s="32" t="str">
        <x:v>Five mana and requires an end-step trigger slot; overlaps with Closet/Ghostly Flicker/Sundial.</x:v>
      </x:c>
      <x:c r="E22" s="32" t="str">
        <x:v>Alternative to test</x:v>
      </x:c>
      <x:c r="F22" s="32" t="str">
        <x:v>Medium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5fa5266f97aa428b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7" hidden="0" customWidth="1"/>
    <x:col min="2" max="2" width="83" hidden="0" customWidth="1"/>
    <x:col min="3" max="3" width="68" hidden="0" customWidth="1"/>
    <x:col min="4" max="4" width="70" hidden="0" customWidth="1"/>
  </x:cols>
  <x:sheetData>
    <x:row r="1" ht="30" customHeight="1">
      <x:c r="A1" s="5" t="str">
        <x:v>ZARA • SOURCES &amp; VERIFICATION</x:v>
      </x:c>
      <x:c r="B1" s="5"/>
      <x:c r="C1" s="5"/>
      <x:c r="D1" s="5"/>
    </x:row>
    <x:row r="2" ht="30" customHeight="1">
      <x:c r="A2" s="14" t="str">
        <x:v>External references used for rules, benchmarks, card text and community build patterns. Card popularity is not a substitute for fit.</x:v>
      </x:c>
      <x:c r="B2" s="14"/>
      <x:c r="C2" s="14"/>
      <x:c r="D2" s="14"/>
    </x:row>
    <x:row r="4" ht="32" customHeight="1">
      <x:c r="A4" s="24" t="str">
        <x:v>Source</x:v>
      </x:c>
      <x:c r="B4" s="24" t="str">
        <x:v>Use in analysis</x:v>
      </x:c>
      <x:c r="C4" s="24" t="str">
        <x:v>URL</x:v>
      </x:c>
      <x:c r="D4" s="24" t="str">
        <x:v>Limitations / interpretation</x:v>
      </x:c>
    </x:row>
    <x:row r="5">
      <x:c r="A5" s="32" t="str">
        <x:v>EDH.Wiki — Zara Theft</x:v>
      </x:c>
      <x:c r="B5" s="32" t="str">
        <x:v>Archetype role, high-synergy cards, practical Zara strategy and Sundial spotlight.</x:v>
      </x:c>
      <x:c r="C5" s="32" t="str">
        <x:v>https://edh.wiki/commanders/zara-renegade-recruiter/theft/</x:v>
      </x:c>
      <x:c r="D5" s="32" t="str">
        <x:v>Benchmarks/community analysis, not official rules.</x:v>
      </x:c>
    </x:row>
    <x:row r="6">
      <x:c r="A6" s="32" t="str">
        <x:v>EDHREC — Zara Theft</x:v>
      </x:c>
      <x:c r="B6" s="32" t="str">
        <x:v>Aggregated cards and synergy levels: Coercive Recruiter, Captivating Crew, Dominus of Fealty, Mob Rule, Telepathy, Sundial, Port Razer, etc.</x:v>
      </x:c>
      <x:c r="C6" s="32" t="str">
        <x:v>https://edhrec.com/commanders/zara-renegade-recruiter/theft</x:v>
      </x:c>
      <x:c r="D6" s="32" t="str">
        <x:v>Usage is not proof of superiority.</x:v>
      </x:c>
    </x:row>
    <x:row r="7">
      <x:c r="A7" s="32" t="str">
        <x:v>EDHREC — Average Zara deck</x:v>
      </x:c>
      <x:c r="B7" s="32" t="str">
        <x:v>Reference list with Aetherize, Arcane Denial, Chaos Warp, Act of Treason, Mob Rule, Fling, lands and ramp.</x:v>
      </x:c>
      <x:c r="C7" s="32" t="str">
        <x:v>https://edhrec.com/average-decks/zara-renegade-recruiter/theft</x:v>
      </x:c>
      <x:c r="D7" s="32" t="str">
        <x:v>Benchmark context only; not copied.</x:v>
      </x:c>
    </x:row>
    <x:row r="8">
      <x:c r="A8" s="32" t="str">
        <x:v>Archidekt — Zara (user link)</x:v>
      </x:c>
      <x:c r="B8" s="32" t="str">
        <x:v>Readable community list: includes Conjurer's Closet, Ghostly Flicker, a 35-land base and average MV around 3.42.</x:v>
      </x:c>
      <x:c r="C8" s="32" t="str">
        <x:v>https://archidekt.com/decks/2008518/zara</x:v>
      </x:c>
      <x:c r="D8" s="32" t="str">
        <x:v>Used as structural benchmark; cards were not copied wholesale.</x:v>
      </x:c>
    </x:row>
    <x:row r="9">
      <x:c r="A9" s="32" t="str">
        <x:v>Moxfield — I'll Take That (user link)</x:v>
      </x:c>
      <x:c r="B9" s="32" t="str">
        <x:v>Additional theft/Commander reference.</x:v>
      </x:c>
      <x:c r="C9" s="32" t="str">
        <x:v>https://moxfield.com/decks/ygwWtcI310eLDcaQJAj6kg</x:v>
      </x:c>
      <x:c r="D9" s="32" t="str">
        <x:v>Page content was only partially readable in this research pass; no full list comparison claimed.</x:v>
      </x:c>
    </x:row>
    <x:row r="10">
      <x:c r="A10" s="32" t="str">
        <x:v>Scryfall — Zara LCC 297</x:v>
      </x:c>
      <x:c r="B10" s="32" t="str">
        <x:v>User-provided printing / card oracle lookup.</x:v>
      </x:c>
      <x:c r="C10" s="32" t="str">
        <x:v>https://scryfall.com/card/lcc/297/zara-renegade-recruiter</x:v>
      </x:c>
      <x:c r="D10" s="32" t="str">
        <x:v>Scryfall direct page returned access denied during this pass; cross-checked Oracle with mtg.wtf.</x:v>
      </x:c>
    </x:row>
    <x:row r="11">
      <x:c r="A11" s="32" t="str">
        <x:v>Zara — Oracle / rulings</x:v>
      </x:c>
      <x:c r="B11" s="32" t="str">
        <x:v>Exact card text and ruling that a creature put onto battlefield attacking was not declared as an attacker; delayed return only matters if the card remains there.</x:v>
      </x:c>
      <x:c r="C11" s="32" t="str">
        <x:v>https://www.mtg.wtf/card/lcc/297/Zara-Renegade-Recruiter</x:v>
      </x:c>
      <x:c r="D11" s="32" t="str">
        <x:v>Rules / text reference.</x:v>
      </x:c>
    </x:row>
    <x:row r="12">
      <x:c r="A12" s="32" t="str">
        <x:v>Sundial of the Infinite — Oracle/rulings</x:v>
      </x:c>
      <x:c r="B12" s="32" t="str">
        <x:v>End-turn rules: spells and abilities on stack are exiled; only activate during your turn.</x:v>
      </x:c>
      <x:c r="C12" s="32" t="str">
        <x:v>https://mtg.wtf/card/m12/218/Sundial-of-the-Infinite</x:v>
      </x:c>
      <x:c r="D12" s="32" t="str">
        <x:v>Rules / text reference.</x:v>
      </x:c>
    </x:row>
    <x:row r="13">
      <x:c r="A13" s="32" t="str">
        <x:v>Agent of Treachery — Oracle text</x:v>
      </x:c>
      <x:c r="B13" s="32" t="str">
        <x:v>ETB control of target permanent; end-step draw-three condition.</x:v>
      </x:c>
      <x:c r="C13" s="32" t="str">
        <x:v>https://planeswalkerhub.com/card/agent-of-treachery</x:v>
      </x:c>
      <x:c r="D13" s="32" t="str">
        <x:v>Secondary card database; verify Oracle before complicated interactions.</x:v>
      </x:c>
    </x:row>
    <x:row r="14">
      <x:c r="A14" s="32" t="str">
        <x:v>Stolen Strategy — Oracle text</x:v>
      </x:c>
      <x:c r="B14" s="32" t="str">
        <x:v>Upkeep exiles the top card of each opponent's library and permits casting those spells until end of turn.</x:v>
      </x:c>
      <x:c r="C14" s="32" t="str">
        <x:v>https://casualplaneswalker.com/card/stolen-strategy/faq/</x:v>
      </x:c>
      <x:c r="D14" s="32" t="str">
        <x:v>Secondary card database; rules text cross-checked.</x:v>
      </x:c>
    </x:row>
    <x:row r="15">
      <x:c r="A15" s="32" t="str">
        <x:v>EDH-Combos — Niv-Mizzet + Curiosity</x:v>
      </x:c>
      <x:c r="B15" s="32" t="str">
        <x:v>Documents two-card draw/damage loop with Niv-Mizzet, the Firemind and Curiosity.</x:v>
      </x:c>
      <x:c r="C15" s="32" t="str">
        <x:v>https://edh-combos.com/combo/1089-4971/</x:v>
      </x:c>
      <x:c r="D15" s="32" t="str">
        <x:v>Combo reference; this deck also has Niv-Mizzet, Parun as alternate pairing.</x:v>
      </x:c>
    </x:row>
    <x:row r="16">
      <x:c r="A16" s="32" t="str">
        <x:v>EDH-Combos — Niv-Mizzet, Parun + Curiosity</x:v>
      </x:c>
      <x:c r="B16" s="32" t="str">
        <x:v>Documents two-card draw/damage loop with Niv-Mizzet, Parun and Curiosity.</x:v>
      </x:c>
      <x:c r="C16" s="32" t="str">
        <x:v>https://edh-combos.com/combo/1089-2353/</x:v>
      </x:c>
      <x:c r="D16" s="32" t="str">
        <x:v>Combo reference; retain only if desired play experience accepts this as an alternate win.</x:v>
      </x:c>
    </x:row>
    <x:row r="17">
      <x:c r="A17" s="32" t="str">
        <x:v>Wizards — Banned &amp; Restricted list</x:v>
      </x:c>
      <x:c r="B17" s="32" t="str">
        <x:v>Official page used for general Commander banlist check.</x:v>
      </x:c>
      <x:c r="C17" s="32" t="str">
        <x:v>https://magic.wizards.com/pt-br/banned-restricted-list</x:v>
      </x:c>
      <x:c r="D17" s="32" t="str">
        <x:v>Cards appear color-identity compatible; verify current page before final implementation.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358c73571ffd4359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20" hidden="0" customWidth="1"/>
    <x:col min="3" max="3" width="12" hidden="0" customWidth="1"/>
    <x:col min="4" max="4" width="12" hidden="0" customWidth="1"/>
    <x:col min="5" max="5" width="23" hidden="0" customWidth="1"/>
    <x:col min="6" max="6" width="24" hidden="0" customWidth="1"/>
    <x:col min="7" max="7" width="32" hidden="0" customWidth="1"/>
    <x:col min="8" max="8" width="41" hidden="0" customWidth="1"/>
    <x:col min="9" max="9" width="23" hidden="0" customWidth="1"/>
    <x:col min="10" max="10" width="30" hidden="0" customWidth="1"/>
    <x:col min="11" max="11" width="24" hidden="0" customWidth="1"/>
    <x:col min="12" max="12" width="29" hidden="0" customWidth="1"/>
    <x:col min="13" max="13" width="16" hidden="0" customWidth="1"/>
    <x:col min="14" max="14" width="60" hidden="0" customWidth="1"/>
  </x:cols>
  <x:sheetData>
    <x:row r="1" ht="30" customHeight="1">
      <x:c r="A1" s="5" t="str">
        <x:v>ZARA • PLAYTEST LOG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0" customHeight="1">
      <x:c r="A2" s="14" t="str">
        <x:v>Record actual games. Do not change PROPOSED to TESTED until match data is entered and the list used is confirmed.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</x:row>
    <x:row r="4" ht="32" customHeight="1">
      <x:c r="A4" s="24" t="str">
        <x:v>Date</x:v>
      </x:c>
      <x:c r="B4" s="24" t="str">
        <x:v>Version</x:v>
      </x:c>
      <x:c r="C4" s="24" t="str">
        <x:v>Pod size</x:v>
      </x:c>
      <x:c r="D4" s="24" t="str">
        <x:v>Turn order</x:v>
      </x:c>
      <x:c r="E4" s="24" t="str">
        <x:v>Opening hand quality</x:v>
      </x:c>
      <x:c r="F4" s="24" t="str">
        <x:v>Turn Zara first attacked</x:v>
      </x:c>
      <x:c r="G4" s="24" t="str">
        <x:v>Zara triggers / stolen cards</x:v>
      </x:c>
      <x:c r="H4" s="24" t="str">
        <x:v>Borrowed cards retained / copied / sacrificed</x:v>
      </x:c>
      <x:c r="I4" s="24" t="str">
        <x:v>Cards stuck in hand</x:v>
      </x:c>
      <x:c r="J4" s="24" t="str">
        <x:v>Answers needed but unavailable</x:v>
      </x:c>
      <x:c r="K4" s="24" t="str">
        <x:v>Reset recovery</x:v>
      </x:c>
      <x:c r="L4" s="24" t="str">
        <x:v>Win condition / result</x:v>
      </x:c>
      <x:c r="M4" s="24" t="str">
        <x:v>Game duration</x:v>
      </x:c>
      <x:c r="N4" s="24" t="str">
        <x:v>Notes / opponent feedback</x:v>
      </x:c>
    </x:row>
    <x:row r="5">
      <x:c r="A5" s="32" t="str"/>
      <x:c r="B5" s="32" t="str"/>
      <x:c r="C5" s="32" t="str"/>
      <x:c r="D5" s="32" t="str"/>
      <x:c r="E5" s="32" t="str"/>
      <x:c r="F5" s="32" t="str"/>
      <x:c r="G5" s="32" t="str"/>
      <x:c r="H5" s="32" t="str"/>
      <x:c r="I5" s="32" t="str"/>
      <x:c r="J5" s="32" t="str"/>
      <x:c r="K5" s="32" t="str"/>
      <x:c r="L5" s="32" t="str"/>
      <x:c r="M5" s="32" t="str"/>
      <x:c r="N5" s="32" t="str"/>
    </x:row>
    <x:row r="6">
      <x:c r="A6" s="32" t="str"/>
      <x:c r="B6" s="32" t="str"/>
      <x:c r="C6" s="32" t="str"/>
      <x:c r="D6" s="32" t="str"/>
      <x:c r="E6" s="32" t="str"/>
      <x:c r="F6" s="32" t="str"/>
      <x:c r="G6" s="32" t="str"/>
      <x:c r="H6" s="32" t="str"/>
      <x:c r="I6" s="32" t="str"/>
      <x:c r="J6" s="32" t="str"/>
      <x:c r="K6" s="32" t="str"/>
      <x:c r="L6" s="32" t="str"/>
      <x:c r="M6" s="32" t="str"/>
      <x:c r="N6" s="32" t="str"/>
    </x:row>
    <x:row r="7">
      <x:c r="A7" s="32" t="str"/>
      <x:c r="B7" s="32" t="str"/>
      <x:c r="C7" s="32" t="str"/>
      <x:c r="D7" s="32" t="str"/>
      <x:c r="E7" s="32" t="str"/>
      <x:c r="F7" s="32" t="str"/>
      <x:c r="G7" s="32" t="str"/>
      <x:c r="H7" s="32" t="str"/>
      <x:c r="I7" s="32" t="str"/>
      <x:c r="J7" s="32" t="str"/>
      <x:c r="K7" s="32" t="str"/>
      <x:c r="L7" s="32" t="str"/>
      <x:c r="M7" s="32" t="str"/>
      <x:c r="N7" s="32" t="str"/>
    </x:row>
    <x:row r="8">
      <x:c r="A8" s="32" t="str"/>
      <x:c r="B8" s="32" t="str"/>
      <x:c r="C8" s="32" t="str"/>
      <x:c r="D8" s="32" t="str"/>
      <x:c r="E8" s="32" t="str"/>
      <x:c r="F8" s="32" t="str"/>
      <x:c r="G8" s="32" t="str"/>
      <x:c r="H8" s="32" t="str"/>
      <x:c r="I8" s="32" t="str"/>
      <x:c r="J8" s="32" t="str"/>
      <x:c r="K8" s="32" t="str"/>
      <x:c r="L8" s="32" t="str"/>
      <x:c r="M8" s="32" t="str"/>
      <x:c r="N8" s="32" t="str"/>
    </x:row>
    <x:row r="9">
      <x:c r="A9" s="32" t="str"/>
      <x:c r="B9" s="32" t="str"/>
      <x:c r="C9" s="32" t="str"/>
      <x:c r="D9" s="32" t="str"/>
      <x:c r="E9" s="32" t="str"/>
      <x:c r="F9" s="32" t="str"/>
      <x:c r="G9" s="32" t="str"/>
      <x:c r="H9" s="32" t="str"/>
      <x:c r="I9" s="32" t="str"/>
      <x:c r="J9" s="32" t="str"/>
      <x:c r="K9" s="32" t="str"/>
      <x:c r="L9" s="32" t="str"/>
      <x:c r="M9" s="32" t="str"/>
      <x:c r="N9" s="32" t="str"/>
    </x:row>
    <x:row r="10">
      <x:c r="A10" s="32" t="str"/>
      <x:c r="B10" s="32" t="str"/>
      <x:c r="C10" s="32" t="str"/>
      <x:c r="D10" s="32" t="str"/>
      <x:c r="E10" s="32" t="str"/>
      <x:c r="F10" s="32" t="str"/>
      <x:c r="G10" s="32" t="str"/>
      <x:c r="H10" s="32" t="str"/>
      <x:c r="I10" s="32" t="str"/>
      <x:c r="J10" s="32" t="str"/>
      <x:c r="K10" s="32" t="str"/>
      <x:c r="L10" s="32" t="str"/>
      <x:c r="M10" s="32" t="str"/>
      <x:c r="N10" s="32" t="str"/>
    </x:row>
    <x:row r="11">
      <x:c r="A11" s="32" t="str"/>
      <x:c r="B11" s="32" t="str"/>
      <x:c r="C11" s="32" t="str"/>
      <x:c r="D11" s="32" t="str"/>
      <x:c r="E11" s="32" t="str"/>
      <x:c r="F11" s="32" t="str"/>
      <x:c r="G11" s="32" t="str"/>
      <x:c r="H11" s="32" t="str"/>
      <x:c r="I11" s="32" t="str"/>
      <x:c r="J11" s="32" t="str"/>
      <x:c r="K11" s="32" t="str"/>
      <x:c r="L11" s="32" t="str"/>
      <x:c r="M11" s="32" t="str"/>
      <x:c r="N11" s="32" t="str"/>
    </x:row>
    <x:row r="12">
      <x:c r="A12" s="32" t="str"/>
      <x:c r="B12" s="32" t="str"/>
      <x:c r="C12" s="32" t="str"/>
      <x:c r="D12" s="32" t="str"/>
      <x:c r="E12" s="32" t="str"/>
      <x:c r="F12" s="32" t="str"/>
      <x:c r="G12" s="32" t="str"/>
      <x:c r="H12" s="32" t="str"/>
      <x:c r="I12" s="32" t="str"/>
      <x:c r="J12" s="32" t="str"/>
      <x:c r="K12" s="32" t="str"/>
      <x:c r="L12" s="32" t="str"/>
      <x:c r="M12" s="32" t="str"/>
      <x:c r="N12" s="32" t="str"/>
    </x:row>
    <x:row r="13">
      <x:c r="A13" s="32" t="str"/>
      <x:c r="B13" s="32" t="str"/>
      <x:c r="C13" s="32" t="str"/>
      <x:c r="D13" s="32" t="str"/>
      <x:c r="E13" s="32" t="str"/>
      <x:c r="F13" s="32" t="str"/>
      <x:c r="G13" s="32" t="str"/>
      <x:c r="H13" s="32" t="str"/>
      <x:c r="I13" s="32" t="str"/>
      <x:c r="J13" s="32" t="str"/>
      <x:c r="K13" s="32" t="str"/>
      <x:c r="L13" s="32" t="str"/>
      <x:c r="M13" s="32" t="str"/>
      <x:c r="N13" s="32" t="str"/>
    </x:row>
    <x:row r="14">
      <x:c r="A14" s="32" t="str"/>
      <x:c r="B14" s="32" t="str"/>
      <x:c r="C14" s="32" t="str"/>
      <x:c r="D14" s="32" t="str"/>
      <x:c r="E14" s="32" t="str"/>
      <x:c r="F14" s="32" t="str"/>
      <x:c r="G14" s="32" t="str"/>
      <x:c r="H14" s="32" t="str"/>
      <x:c r="I14" s="32" t="str"/>
      <x:c r="J14" s="32" t="str"/>
      <x:c r="K14" s="32" t="str"/>
      <x:c r="L14" s="32" t="str"/>
      <x:c r="M14" s="32" t="str"/>
      <x:c r="N14" s="32" t="str"/>
    </x:row>
    <x:row r="15">
      <x:c r="A15" s="32" t="str"/>
      <x:c r="B15" s="32" t="str"/>
      <x:c r="C15" s="32" t="str"/>
      <x:c r="D15" s="32" t="str"/>
      <x:c r="E15" s="32" t="str"/>
      <x:c r="F15" s="32" t="str"/>
      <x:c r="G15" s="32" t="str"/>
      <x:c r="H15" s="32" t="str"/>
      <x:c r="I15" s="32" t="str"/>
      <x:c r="J15" s="32" t="str"/>
      <x:c r="K15" s="32" t="str"/>
      <x:c r="L15" s="32" t="str"/>
      <x:c r="M15" s="32" t="str"/>
      <x:c r="N15" s="32" t="str"/>
    </x:row>
    <x:row r="16">
      <x:c r="A16" s="32" t="str"/>
      <x:c r="B16" s="32" t="str"/>
      <x:c r="C16" s="32" t="str"/>
      <x:c r="D16" s="32" t="str"/>
      <x:c r="E16" s="32" t="str"/>
      <x:c r="F16" s="32" t="str"/>
      <x:c r="G16" s="32" t="str"/>
      <x:c r="H16" s="32" t="str"/>
      <x:c r="I16" s="32" t="str"/>
      <x:c r="J16" s="32" t="str"/>
      <x:c r="K16" s="32" t="str"/>
      <x:c r="L16" s="32" t="str"/>
      <x:c r="M16" s="32" t="str"/>
      <x:c r="N16" s="32" t="str"/>
    </x:row>
    <x:row r="17">
      <x:c r="A17" s="32" t="str"/>
      <x:c r="B17" s="32" t="str"/>
      <x:c r="C17" s="32" t="str"/>
      <x:c r="D17" s="32" t="str"/>
      <x:c r="E17" s="32" t="str"/>
      <x:c r="F17" s="32" t="str"/>
      <x:c r="G17" s="32" t="str"/>
      <x:c r="H17" s="32" t="str"/>
      <x:c r="I17" s="32" t="str"/>
      <x:c r="J17" s="32" t="str"/>
      <x:c r="K17" s="32" t="str"/>
      <x:c r="L17" s="32" t="str"/>
      <x:c r="M17" s="32" t="str"/>
      <x:c r="N17" s="32" t="str"/>
    </x:row>
    <x:row r="18">
      <x:c r="A18" s="32" t="str"/>
      <x:c r="B18" s="32" t="str"/>
      <x:c r="C18" s="32" t="str"/>
      <x:c r="D18" s="32" t="str"/>
      <x:c r="E18" s="32" t="str"/>
      <x:c r="F18" s="32" t="str"/>
      <x:c r="G18" s="32" t="str"/>
      <x:c r="H18" s="32" t="str"/>
      <x:c r="I18" s="32" t="str"/>
      <x:c r="J18" s="32" t="str"/>
      <x:c r="K18" s="32" t="str"/>
      <x:c r="L18" s="32" t="str"/>
      <x:c r="M18" s="32" t="str"/>
      <x:c r="N18" s="32" t="str"/>
    </x:row>
    <x:row r="19">
      <x:c r="A19" s="32" t="str"/>
      <x:c r="B19" s="32" t="str"/>
      <x:c r="C19" s="32" t="str"/>
      <x:c r="D19" s="32" t="str"/>
      <x:c r="E19" s="32" t="str"/>
      <x:c r="F19" s="32" t="str"/>
      <x:c r="G19" s="32" t="str"/>
      <x:c r="H19" s="32" t="str"/>
      <x:c r="I19" s="32" t="str"/>
      <x:c r="J19" s="32" t="str"/>
      <x:c r="K19" s="32" t="str"/>
      <x:c r="L19" s="32" t="str"/>
      <x:c r="M19" s="32" t="str"/>
      <x:c r="N19" s="32" t="str"/>
    </x:row>
  </x:sheetData>
  <x:mergeCells>
    <x:mergeCell ref="A1:N1"/>
    <x:mergeCell ref="A2:N2"/>
  </x:mergeCells>
  <x:dataValidations count="1">
    <x:dataValidation type="list" sqref="B5:B19">
      <x:formula1>"CURRENT,PROPOSED V2,TESTED version"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24697281c04e60"/>
  </x:tableParts>
</x:worksheet>
</file>