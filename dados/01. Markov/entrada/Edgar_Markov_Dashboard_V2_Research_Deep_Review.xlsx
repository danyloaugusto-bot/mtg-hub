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08ed9ce9004e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7bed40ca1da405b"/>
    <x:sheet xmlns:r="http://schemas.openxmlformats.org/officeDocument/2006/relationships" name="CURRENT Decklist" sheetId="2" r:id="R5e2629bd78024959"/>
    <x:sheet xmlns:r="http://schemas.openxmlformats.org/officeDocument/2006/relationships" name="PROPOSED V2" sheetId="3" r:id="R164b5a87545a4ab2"/>
    <x:sheet xmlns:r="http://schemas.openxmlformats.org/officeDocument/2006/relationships" name="Upgrade Matrix" sheetId="4" r:id="R87b3e09103ce4458"/>
    <x:sheet xmlns:r="http://schemas.openxmlformats.org/officeDocument/2006/relationships" name="8x8 Grupos" sheetId="5" r:id="R189c6853c90d40e6"/>
    <x:sheet xmlns:r="http://schemas.openxmlformats.org/officeDocument/2006/relationships" name="Score Rubric" sheetId="6" r:id="Rfe7311d5f3704f07"/>
    <x:sheet xmlns:r="http://schemas.openxmlformats.org/officeDocument/2006/relationships" name="Comparadores" sheetId="7" r:id="R453ef6070ba6484d"/>
    <x:sheet xmlns:r="http://schemas.openxmlformats.org/officeDocument/2006/relationships" name="Tier List" sheetId="8" r:id="Re40d9a1de86f45dd"/>
    <x:sheet xmlns:r="http://schemas.openxmlformats.org/officeDocument/2006/relationships" name="Auditoria" sheetId="9" r:id="R4a4bcfce62ca4c4f"/>
    <x:sheet xmlns:r="http://schemas.openxmlformats.org/officeDocument/2006/relationships" name="Sources &amp; Rules" sheetId="10" r:id="Rd01491cd2cb54333"/>
    <x:sheet xmlns:r="http://schemas.openxmlformats.org/officeDocument/2006/relationships" name="Playtest Log" sheetId="11" r:id="Rb991fc95273140d3"/>
    <x:sheet xmlns:r="http://schemas.openxmlformats.org/officeDocument/2006/relationships" name="Research &amp; Candidates" sheetId="12" r:id="R6762eee0114b40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.0"/>
    <x:numFmt numFmtId="202" formatCode="0.00"/>
  </x:numFmts>
  <x:fonts count="14">
    <x:font>
      <x:sz val="11"/>
      <x:name val="Carlito"/>
    </x:font>
    <x:font>
      <x:b/>
      <x:sz val="15"/>
      <x:color rgb="FFFFFFFF"/>
      <x:name val="Carlito"/>
    </x:font>
    <x:font>
      <x:sz val="10"/>
      <x:color rgb="FF111827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1"/>
      <x:color rgb="FFFFFFFF"/>
      <x:name val="Carlito"/>
    </x:font>
    <x:font>
      <x:b/>
      <x:sz val="14"/>
      <x:color rgb="FF7F1D1D"/>
      <x:name val="Carlito"/>
    </x:font>
    <x:font>
      <x:b/>
      <x:sz val="10"/>
      <x:color rgb="FF111827"/>
      <x:name val="Carlito"/>
    </x:font>
    <x:font>
      <x:sz val="9"/>
      <x:color rgb="FF4B5563"/>
      <x:name val="Carlito"/>
    </x:font>
    <x:font>
      <x:sz val="9"/>
      <x:color rgb="FF111827"/>
      <x:name val="Carlito"/>
    </x:font>
    <x:font>
      <x:sz val="10"/>
      <x:color rgb="FF18181B"/>
      <x:name val="Carlito"/>
    </x:font>
    <x:font>
      <x:b/>
      <x:sz val="16"/>
      <x:color rgb="FFFFFFFF"/>
      <x:name val="Carlito"/>
    </x:font>
    <x:font>
      <x:i/>
      <x:sz val="10"/>
      <x:color rgb="FF18181B"/>
      <x:name val="Carlito"/>
    </x:font>
    <x:font>
      <x:b/>
      <x:sz val="10"/>
      <x:color rgb="FF18181B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7F1D1D"/>
      </x:patternFill>
    </x:fill>
    <x:fill>
      <x:patternFill patternType="solid">
        <x:fgColor rgb="FFFEE2E2"/>
      </x:patternFill>
    </x:fill>
    <x:fill>
      <x:patternFill patternType="solid">
        <x:fgColor rgb="FF111827"/>
      </x:patternFill>
    </x:fill>
    <x:fill>
      <x:patternFill patternType="solid">
        <x:fgColor rgb="FFB91C1C"/>
      </x:patternFill>
    </x:fill>
    <x:fill>
      <x:patternFill patternType="solid">
        <x:fgColor rgb="FFF3F4F6"/>
      </x:patternFill>
    </x:fill>
    <x:fill>
      <x:patternFill patternType="solid">
        <x:fgColor rgb="FFFFFBEB"/>
      </x:patternFill>
    </x:fill>
    <x:fill>
      <x:patternFill patternType="solid">
        <x:fgColor rgb="FFB91C1C"/>
      </x:patternFill>
    </x:fill>
    <x:fill>
      <x:patternFill patternType="solid">
        <x:fgColor rgb="FFE4E4E7"/>
      </x:patternFill>
    </x:fill>
    <x:fill>
      <x:patternFill patternType="solid">
        <x:fgColor rgb="FF18181B"/>
      </x:patternFill>
    </x:fill>
    <x:fill>
      <x:patternFill patternType="solid">
        <x:fgColor rgb="FFFEE2E2"/>
      </x:patternFill>
    </x:fill>
  </x:fills>
  <x:borders count="2">
    <x:border/>
    <x:border/>
  </x:borders>
  <x:cellStyleXfs count="1">
    <x:xf numFmtId="0" fontId="0" fillId="0" borderId="0"/>
  </x:cellStyleXfs>
  <x:cellXfs count="1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horizontal="center" vertical="top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horizontal="center" vertical="top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202" fontId="4" fillId="0" borderId="1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top" wrapText="1"/>
    </x:xf>
    <x:xf numFmtId="0" fontId="9" fillId="3" borderId="1" xfId="0" applyNumberFormat="1" applyFont="1" applyFill="1" applyBorder="1" applyAlignment="1">
      <x:alignment vertical="top" wrapText="1"/>
    </x:xf>
    <x:xf numFmtId="0" fontId="9" fillId="3" borderId="1" xfId="0" applyNumberFormat="1" applyFont="1" applyFill="1" applyBorder="1" applyAlignment="1">
      <x:alignment vertical="center" wrapText="1"/>
    </x:xf>
    <x:xf numFmtId="202" fontId="6" fillId="6" borderId="0" xfId="0" applyNumberFormat="1" applyFont="1" applyFill="1" applyBorder="1" applyAlignment="1">
      <x:alignment horizontal="center" vertical="center" wrapText="1"/>
    </x:xf>
    <x:xf numFmtId="202" fontId="6" fillId="6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horizontal="left" vertical="center" wrapText="1"/>
    </x:xf>
    <x:xf numFmtId="0" fontId="11" fillId="8" borderId="0" xfId="0" applyNumberFormat="1" applyFont="1" applyFill="1" applyBorder="1" applyAlignment="1">
      <x:alignment horizontal="left" vertical="center" wrapText="1"/>
    </x:xf>
    <x:xf numFmtId="0" fontId="2" fillId="9" borderId="0" xfId="0" applyNumberFormat="1" applyFont="1" applyFill="1" applyBorder="1" applyAlignment="1">
      <x:alignment vertical="center" wrapText="1"/>
    </x:xf>
    <x:xf numFmtId="0" fontId="12" fillId="9" borderId="0" xfId="0" applyNumberFormat="1" applyFont="1" applyFill="1" applyBorder="1" applyAlignment="1">
      <x:alignment vertic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horizontal="center" vertical="top" wrapText="1"/>
    </x:xf>
    <x:xf numFmtId="0" fontId="3" fillId="10" borderId="0" xfId="0" applyNumberFormat="1" applyFont="1" applyFill="1" applyBorder="1" applyAlignment="1">
      <x:alignment horizontal="center" vertical="top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200" fontId="10" fillId="0" borderId="0" xfId="0" applyNumberFormat="1" applyFont="1" applyFill="1" applyBorder="1" applyAlignment="1">
      <x:alignment vertical="top" wrapText="1"/>
    </x:xf>
    <x:xf numFmtId="201" fontId="10" fillId="0" borderId="0" xfId="0" applyNumberFormat="1" applyFont="1" applyFill="1" applyBorder="1" applyAlignment="1">
      <x:alignment vertical="top" wrapText="1"/>
    </x:xf>
    <x:xf numFmtId="202" fontId="10" fillId="0" borderId="0" xfId="0" applyNumberFormat="1" applyFont="1" applyFill="1" applyBorder="1" applyAlignment="1">
      <x:alignment vertical="top" wrapText="1"/>
    </x:xf>
    <x:xf numFmtId="0" fontId="10" fillId="11" borderId="0" xfId="0" applyNumberFormat="1" applyFont="1" applyFill="1" applyBorder="1" applyAlignment="1">
      <x:alignment vertical="top" wrapText="1"/>
    </x:xf>
    <x:xf numFmtId="201" fontId="10" fillId="11" borderId="0" xfId="0" applyNumberFormat="1" applyFont="1" applyFill="1" applyBorder="1" applyAlignment="1">
      <x:alignment vertical="top" wrapText="1"/>
    </x:xf>
    <x:xf numFmtId="202" fontId="10" fillId="11" borderId="0" xfId="0" applyNumberFormat="1" applyFont="1" applyFill="1" applyBorder="1" applyAlignment="1">
      <x:alignment vertical="top" wrapText="1"/>
    </x:xf>
    <x:xf numFmtId="0" fontId="13" fillId="11" borderId="0" xfId="0" applyNumberFormat="1" applyFont="1" applyFill="1" applyBorder="1" applyAlignment="1">
      <x:alignment vertical="top" wrapText="1"/>
    </x:xf>
    <x:xf numFmtId="201" fontId="13" fillId="11" borderId="0" xfId="0" applyNumberFormat="1" applyFont="1" applyFill="1" applyBorder="1" applyAlignment="1">
      <x:alignment vertical="top" wrapText="1"/>
    </x:xf>
    <x:xf numFmtId="202" fontId="13" fillId="11" borderId="0" xfId="0" applyNumberFormat="1" applyFont="1" applyFill="1" applyBorder="1" applyAlignment="1">
      <x:alignment vertical="top" wrapText="1"/>
    </x:xf>
    <x:xf numFmtId="0" fontId="13" fillId="11" borderId="0" xfId="0" applyNumberFormat="1" applyFont="1" applyFill="1" applyBorder="1" applyAlignment="1">
      <x:alignment vertical="center" wrapText="1"/>
    </x:xf>
    <x:xf numFmtId="201" fontId="13" fillId="11" borderId="0" xfId="0" applyNumberFormat="1" applyFont="1" applyFill="1" applyBorder="1" applyAlignment="1">
      <x:alignment vertical="center" wrapText="1"/>
    </x:xf>
    <x:xf numFmtId="202" fontId="13" fillId="11" borderId="0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 applyAlignment="1">
      <x:alignment vertical="top" wrapText="1"/>
    </x:xf>
    <x:xf numFmtId="0" fontId="12" fillId="9" borderId="0" xfId="0" applyNumberFormat="1" applyFont="1" applyFill="1" applyBorder="1" applyAlignment="1">
      <x:alignment vertical="top" wrapText="1"/>
    </x:xf>
    <x:xf numFmtId="200" fontId="13" fillId="11" borderId="0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vertical="top" wrapText="1"/>
    </x:xf>
    <x:xf numFmtId="0" fontId="10" fillId="6" borderId="0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center" wrapText="1"/>
    </x:xf>
    <x:xf numFmtId="0" fontId="9" fillId="9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wrapText="1"/>
    </x:xf>
    <x:xf numFmtId="0" fontId="11" fillId="8" borderId="0" xfId="0" applyNumberFormat="1" applyFont="1" applyFill="1" applyBorder="1" applyAlignment="1">
      <x:alignment horizontal="left" wrapText="1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10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dbf4194f4147dc" /><Relationship Type="http://schemas.openxmlformats.org/officeDocument/2006/relationships/theme" Target="/xl/theme/theme1.xml" Id="R7f73332e22d4438f" /><Relationship Type="http://schemas.openxmlformats.org/officeDocument/2006/relationships/sharedStrings" Target="/xl/sharedStrings.xml" Id="R02e3b4beb8c84f39" /><Relationship Type="http://schemas.openxmlformats.org/officeDocument/2006/relationships/worksheet" Target="/xl/worksheets/sheet1.xml" Id="R07bed40ca1da405b" /><Relationship Type="http://schemas.openxmlformats.org/officeDocument/2006/relationships/worksheet" Target="/xl/worksheets/sheet2.xml" Id="R5e2629bd78024959" /><Relationship Type="http://schemas.openxmlformats.org/officeDocument/2006/relationships/worksheet" Target="/xl/worksheets/sheet3.xml" Id="R164b5a87545a4ab2" /><Relationship Type="http://schemas.openxmlformats.org/officeDocument/2006/relationships/worksheet" Target="/xl/worksheets/sheet4.xml" Id="R87b3e09103ce4458" /><Relationship Type="http://schemas.openxmlformats.org/officeDocument/2006/relationships/worksheet" Target="/xl/worksheets/sheet5.xml" Id="R189c6853c90d40e6" /><Relationship Type="http://schemas.openxmlformats.org/officeDocument/2006/relationships/worksheet" Target="/xl/worksheets/sheet6.xml" Id="Rfe7311d5f3704f07" /><Relationship Type="http://schemas.openxmlformats.org/officeDocument/2006/relationships/worksheet" Target="/xl/worksheets/sheet7.xml" Id="R453ef6070ba6484d" /><Relationship Type="http://schemas.openxmlformats.org/officeDocument/2006/relationships/worksheet" Target="/xl/worksheets/sheet8.xml" Id="Re40d9a1de86f45dd" /><Relationship Type="http://schemas.openxmlformats.org/officeDocument/2006/relationships/worksheet" Target="/xl/worksheets/sheet9.xml" Id="R4a4bcfce62ca4c4f" /><Relationship Type="http://schemas.openxmlformats.org/officeDocument/2006/relationships/worksheet" Target="/xl/worksheets/sheet10.xml" Id="Rd01491cd2cb54333" /><Relationship Type="http://schemas.openxmlformats.org/officeDocument/2006/relationships/worksheet" Target="/xl/worksheets/sheet11.xml" Id="Rb991fc95273140d3" /><Relationship Type="http://schemas.openxmlformats.org/officeDocument/2006/relationships/worksheet" Target="/xl/worksheets/sheet12.xml" Id="R6762eee0114b40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54" hidden="0" customWidth="1"/>
    <x:col min="3" max="3" width="24" hidden="0" customWidth="1"/>
    <x:col min="4" max="4" width="22" hidden="0" customWidth="1"/>
    <x:col min="5" max="5" width="27" hidden="0" customWidth="1"/>
    <x:col min="6" max="6" width="4" hidden="0" customWidth="1"/>
    <x:col min="7" max="7" width="22" hidden="0" customWidth="1"/>
  </x:cols>
  <x:sheetData>
    <x:row r="1" ht="30" customHeight="1">
      <x:c r="A1" s="81" t="str">
        <x:v>EDGAR MARKOV — DASHBOARD DE PESQUISA PROFUNDA | V2</x:v>
      </x:c>
      <x:c r="B1" s="81"/>
      <x:c r="C1" s="81"/>
      <x:c r="D1" s="81"/>
      <x:c r="E1" s="81"/>
      <x:c r="F1" s="81"/>
      <x:c r="G1" s="81"/>
    </x:row>
    <x:row r="2" ht="32" customHeight="1">
      <x:c r="A2" s="83" t="str">
        <x:v>Projeto especial | Eminência + Vampiros funcionais + compra + resiliência pós-wipe | 14/10/2026 | V2 Research Deep Review</x:v>
      </x:c>
      <x:c r="B2" s="83"/>
      <x:c r="C2" s="83"/>
      <x:c r="D2" s="83"/>
      <x:c r="E2" s="83"/>
      <x:c r="F2" s="83"/>
      <x:c r="G2" s="83"/>
    </x:row>
    <x:row r="3">
      <x:c r="A3"/>
      <x:c r="B3"/>
      <x:c r="C3"/>
      <x:c r="D3"/>
      <x:c r="E3"/>
      <x:c r="F3"/>
      <x:c r="G3"/>
    </x:row>
    <x:row r="4" ht="28" customHeight="1">
      <x:c r="A4" s="84" t="str">
        <x:v>CURRENT — ESTRUTURA</x:v>
      </x:c>
      <x:c r="B4" s="84"/>
      <x:c r="C4" s="84" t="str">
        <x:v>PROPOSED V2 — PROJEÇÃO</x:v>
      </x:c>
      <x:c r="D4" s="84"/>
      <x:c r="E4" s="84" t="str">
        <x:v>CURRENT — CARTAS</x:v>
      </x:c>
      <x:c r="F4" s="84"/>
      <x:c r="G4" s="84" t="str">
        <x:v>V2 — TERRENOS FÍSICOS</x:v>
      </x:c>
    </x:row>
    <x:row r="5" ht="27" customHeight="1">
      <x:c r="A5" s="76" t="n">
        <x:f>'Score Rubric'!D15</x:f>
        <x:v>8.260000000000002</x:v>
      </x:c>
      <x:c r="B5" s="45"/>
      <x:c r="C5" s="76" t="n">
        <x:f>'Score Rubric'!F15</x:f>
        <x:v>9.04</x:v>
      </x:c>
      <x:c r="D5" s="45"/>
      <x:c r="E5" s="45" t="n">
        <x:f>COUNTA('CURRENT Decklist'!B5:B104)</x:f>
        <x:v>100</x:v>
      </x:c>
      <x:c r="F5" s="45"/>
      <x:c r="G5" s="45" t="n">
        <x:f>COUNTIF('PROPOSED V2'!D5:D104,"Land")</x:f>
        <x:v>35</x:v>
      </x:c>
    </x:row>
    <x:row r="6">
      <x:c r="A6" s="32"/>
      <x:c r="B6" s="32"/>
      <x:c r="C6" s="32"/>
      <x:c r="D6" s="32"/>
      <x:c r="E6" s="32"/>
      <x:c r="F6" s="32"/>
      <x:c r="G6" s="32"/>
    </x:row>
    <x:row r="7">
      <x:c r="A7" s="32"/>
      <x:c r="B7" s="32"/>
      <x:c r="C7" s="32"/>
      <x:c r="D7" s="32"/>
      <x:c r="E7" s="32"/>
      <x:c r="F7" s="32"/>
      <x:c r="G7" s="32"/>
    </x:row>
    <x:row r="8" ht="23" customHeight="1">
      <x:c r="A8" s="104" t="str">
        <x:v>DIREÇÃO ESTRATÉGICA</x:v>
      </x:c>
      <x:c r="B8" s="104"/>
      <x:c r="C8" s="104"/>
      <x:c r="D8" s="104"/>
      <x:c r="E8" s="104"/>
      <x:c r="F8" s="104"/>
      <x:c r="G8" s="104"/>
    </x:row>
    <x:row r="9" ht="36" customHeight="1">
      <x:c r="A9" s="105" t="str">
        <x:v>Plano central</x:v>
      </x:c>
      <x:c r="B9" s="79" t="str">
        <x:v>Curva de Vampiros úteis → Eminência e produção de fichas → compra/seleção + sacrifício com propósito → fechar por combate/drenagem.</x:v>
      </x:c>
      <x:c r="C9" s="32"/>
      <x:c r="D9" s="32"/>
      <x:c r="E9" s="32"/>
      <x:c r="F9" s="32"/>
      <x:c r="G9" s="32"/>
    </x:row>
    <x:row r="10" ht="36" customHeight="1">
      <x:c r="A10" s="105" t="str">
        <x:v>Restrição confirmada</x:v>
      </x:c>
      <x:c r="B10" s="79" t="str">
        <x:v>Sem Sol Ring, Signets ou pedras genéricas na baseline. Phyrexian Tower é terreno-sac outlet; Three Tree City é terreno tribal, não rock.</x:v>
      </x:c>
      <x:c r="C10" s="32"/>
      <x:c r="D10" s="32"/>
      <x:c r="E10" s="32"/>
      <x:c r="F10" s="32"/>
      <x:c r="G10" s="32"/>
    </x:row>
    <x:row r="11" ht="36" customHeight="1">
      <x:c r="A11" s="105" t="str">
        <x:v>Prioridade #1</x:v>
      </x:c>
      <x:c r="B11" s="79" t="str">
        <x:v>Evitar ficar sem gás: fontes de compra independentes da mesa (Black Market Connections/Necropotence), compra-resposta a wipe (Plumb) e recarga por Vampiros.</x:v>
      </x:c>
      <x:c r="C11" s="32"/>
      <x:c r="D11" s="32"/>
      <x:c r="E11" s="32"/>
      <x:c r="F11" s="32"/>
      <x:c r="G11" s="32"/>
    </x:row>
    <x:row r="12" ht="36" customHeight="1">
      <x:c r="A12" s="105" t="str">
        <x:v>Reconstrução</x:v>
      </x:c>
      <x:c r="B12" s="79" t="str">
        <x:v>Bloodline Bidding recupera criaturas do tipo escolhido somente do próprio cemitério, mas custa 8 e convoke exige criaturas disponíveis.</x:v>
      </x:c>
      <x:c r="C12" s="32"/>
      <x:c r="D12" s="32"/>
      <x:c r="E12" s="32"/>
      <x:c r="F12" s="32"/>
      <x:c r="G12" s="32"/>
    </x:row>
    <x:row r="13" ht="36" customHeight="1">
      <x:c r="A13" s="105" t="str">
        <x:v>Combo</x:v>
      </x:c>
      <x:c r="B13" s="79" t="str">
        <x:v>Vito, Thorn of the Dusk Rose + Bloodthirsty Conqueror mantido como contingência. Bloodletter pode ampliar perda de vida dos oponentes no seu turno.</x:v>
      </x:c>
      <x:c r="C13" s="32"/>
      <x:c r="D13" s="32"/>
      <x:c r="E13" s="32"/>
      <x:c r="F13" s="32"/>
      <x:c r="G13" s="32"/>
    </x:row>
    <x:row r="14" ht="36" customHeight="1">
      <x:c r="A14" s="105" t="str">
        <x:v>Status</x:v>
      </x:c>
      <x:c r="B14" s="79" t="str">
        <x:v>V2 é alvo de construção. 16 hipóteses; implementar em ondas. Nenhuma carta nova foi confirmada como comprada/incluída/testada.</x:v>
      </x:c>
      <x:c r="C14" s="32"/>
      <x:c r="D14" s="32"/>
      <x:c r="E14" s="32"/>
      <x:c r="F14" s="32"/>
      <x:c r="G14" s="32"/>
    </x:row>
    <x:row r="15">
      <x:c r="A15" s="32"/>
      <x:c r="B15" s="32"/>
      <x:c r="C15" s="32"/>
      <x:c r="D15" s="32"/>
      <x:c r="E15" s="32"/>
      <x:c r="F15" s="32"/>
      <x:c r="G15" s="32"/>
    </x:row>
    <x:row r="16" ht="23" customHeight="1">
      <x:c r="A16" s="104" t="str">
        <x:v>COMPARAÇÃO DE REFERÊNCIAS</x:v>
      </x:c>
      <x:c r="B16" s="104"/>
      <x:c r="C16" s="104"/>
      <x:c r="D16" s="104"/>
      <x:c r="E16" s="104"/>
      <x:c r="F16" s="104"/>
      <x:c r="G16" s="104"/>
    </x:row>
    <x:row r="17" ht="32" customHeight="1">
      <x:c r="A17" s="84" t="str">
        <x:v>Lista</x:v>
      </x:c>
      <x:c r="B17" s="84" t="str">
        <x:v>Terrenos reportados</x:v>
      </x:c>
      <x:c r="C17" s="84" t="str">
        <x:v>Curva média reportada</x:v>
      </x:c>
      <x:c r="D17" s="84" t="str">
        <x:v>Overlap com CURRENT</x:v>
      </x:c>
      <x:c r="E17" s="84" t="str">
        <x:v>Interpretação</x:v>
      </x:c>
      <x:c r="F17" s="24"/>
      <x:c r="G17" s="24"/>
    </x:row>
    <x:row r="18" ht="84" customHeight="1">
      <x:c r="A18" s="79" t="str">
        <x:v>Archidekt JoeyDH</x:v>
      </x:c>
      <x:c r="B18" s="79" t="str">
        <x:v>33</x:v>
      </x:c>
      <x:c r="C18" s="79" t="str">
        <x:v>~2,96</x:v>
      </x:c>
      <x:c r="D18" s="79" t="str">
        <x:v>42</x:v>
      </x:c>
      <x:c r="E18" s="106" t="str">
        <x:v>Upping the Average; snapshot de 2021, com pedras genéricas que o usuário não deseja.</x:v>
      </x:c>
      <x:c r="F18" s="42"/>
      <x:c r="G18" s="42"/>
    </x:row>
    <x:row r="19" ht="28" customHeight="1">
      <x:c r="A19" s="79" t="str">
        <x:v>Moxfield WinterDragon</x:v>
      </x:c>
      <x:c r="B19" s="79" t="str">
        <x:v>32 + Agadeem's Awakening</x:v>
      </x:c>
      <x:c r="C19" s="79" t="str">
        <x:v>~2,53</x:v>
      </x:c>
      <x:c r="D19" s="79" t="str">
        <x:v>36</x:v>
      </x:c>
      <x:c r="E19" s="106" t="str">
        <x:v>Aggro-midrange/combate + drenagem; snapshot indica atualização há mais de um ano.</x:v>
      </x:c>
      <x:c r="F19" s="42"/>
      <x:c r="G19" s="42"/>
    </x:row>
    <x:row r="20" ht="28" customHeight="1">
      <x:c r="A20" s="79" t="str">
        <x:v>Markov — Beijo do Vampiro</x:v>
      </x:c>
      <x:c r="B20" s="79" t="str">
        <x:v>31 slots de terreno no arquivo</x:v>
      </x:c>
      <x:c r="C20" s="79" t="str">
        <x:v>Não informado</x:v>
      </x:c>
      <x:c r="D20" s="79" t="str">
        <x:v>38</x:v>
      </x:c>
      <x:c r="E20" s="106" t="str">
        <x:v>Referência histórica do usuário; sem primer e sem estatística de curva disponível.</x:v>
      </x:c>
      <x:c r="F20" s="42"/>
      <x:c r="G20" s="42"/>
    </x:row>
    <x:row r="21">
      <x:c r="A21" s="32"/>
      <x:c r="B21" s="32"/>
      <x:c r="C21" s="32"/>
      <x:c r="D21" s="32"/>
      <x:c r="E21" s="32"/>
      <x:c r="F21" s="32"/>
      <x:c r="G21" s="32"/>
    </x:row>
    <x:row r="22" ht="23" customHeight="1">
      <x:c r="A22" s="104" t="str">
        <x:v>PRÓXIMA DECISÃO DE TESTE</x:v>
      </x:c>
      <x:c r="B22" s="104"/>
      <x:c r="C22" s="104"/>
      <x:c r="D22" s="104"/>
      <x:c r="E22" s="104"/>
      <x:c r="F22" s="104"/>
      <x:c r="G22" s="104"/>
    </x:row>
    <x:row r="23" ht="62" customHeight="1">
      <x:c r="A23" s="83" t="str">
        <x:v>Não aplicar 16 trocas ao mesmo tempo. Onda 1: Champion of Dusk, Black Market Connections, Plumb the Forbidden e Bloodletter of Aclazotz. Onda 2: Bloodline Recollector, Scheming Silvertongue, Crossway Troublemakers e Bloodline Bidding. Onda 3: base de mana/land count. Registre pelo menos 5 partidas comparáveis por configuração.</x:v>
      </x:c>
      <x:c r="B23" s="83"/>
      <x:c r="C23" s="83"/>
      <x:c r="D23" s="83"/>
      <x:c r="E23" s="83"/>
      <x:c r="F23" s="83"/>
      <x:c r="G23" s="83"/>
    </x:row>
    <x:row r="24">
      <x:c r="A24" s="32"/>
      <x:c r="B24" s="32"/>
      <x:c r="C24" s="32"/>
      <x:c r="D24" s="32"/>
      <x:c r="E24" s="32"/>
      <x:c r="F24" s="32"/>
      <x:c r="G24" s="32"/>
    </x:row>
    <x:row r="25">
      <x:c r="A25" s="32"/>
      <x:c r="B25" s="32"/>
      <x:c r="C25" s="32"/>
      <x:c r="D25" s="32"/>
      <x:c r="E25" s="32"/>
      <x:c r="F25" s="32"/>
      <x:c r="G25" s="32"/>
    </x:row>
    <x:row r="26" ht="32" customHeight="1">
      <x:c r="A26" s="83" t="str">
        <x:v>Arquivos: Handover_Edgar_Markov_V2_Research_Deep_Review.md | CURRENT congelada | V2 não testada | nota estrutural, nunca win rate.</x:v>
      </x:c>
      <x:c r="B26" s="83"/>
      <x:c r="C26" s="83"/>
      <x:c r="D26" s="83"/>
      <x:c r="E26" s="83"/>
      <x:c r="F26" s="83"/>
      <x:c r="G26" s="83"/>
    </x:row>
  </x:sheetData>
  <x:mergeCells>
    <x:mergeCell ref="A1:G1"/>
    <x:mergeCell ref="A2:G2"/>
    <x:mergeCell ref="B9:G9"/>
    <x:mergeCell ref="B10:G10"/>
    <x:mergeCell ref="B11:G11"/>
    <x:mergeCell ref="B12:G12"/>
    <x:mergeCell ref="B13:G13"/>
    <x:mergeCell ref="B14:G14"/>
    <x:mergeCell ref="E17:G17"/>
    <x:mergeCell ref="E18:G20"/>
    <x:mergeCell ref="A23:G23"/>
    <x:mergeCell ref="A26:G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defaultRowHeight="15"/>
  <x:cols>
    <x:col min="1" max="1" width="6" hidden="0" customWidth="1"/>
    <x:col min="2" max="2" width="30" hidden="0" customWidth="1"/>
    <x:col min="3" max="3" width="7" hidden="0" customWidth="1"/>
    <x:col min="4" max="4" width="15" hidden="0" customWidth="1"/>
    <x:col min="5" max="5" width="36" hidden="0" customWidth="1"/>
    <x:col min="6" max="6" width="58" hidden="0" customWidth="1"/>
    <x:col min="7" max="7" width="22" hidden="0" customWidth="1"/>
    <x:col min="8" max="8" width="24" hidden="0" customWidth="1"/>
  </x:cols>
  <x:sheetData>
    <x:row r="1" ht="30" customHeight="1">
      <x:c r="A1" s="6" t="str">
        <x:v>EDGAR MARKOV — CURRENT (congelada)</x:v>
      </x:c>
      <x:c r="B1" s="6"/>
      <x:c r="C1" s="6"/>
      <x:c r="D1" s="6"/>
      <x:c r="E1" s="6"/>
      <x:c r="F1" s="6"/>
      <x:c r="G1" s="6"/>
      <x:c r="H1" s="6"/>
    </x:row>
    <x:row r="2" ht="32" customHeight="1">
      <x:c r="A2" s="15" t="str">
        <x:v>Lista exatamente baseada nos nomes/quantidades enviados. *F* e acabamento não são tratados como pet cards. A lista completa com impressão está no Handover Markdown.</x:v>
      </x:c>
      <x:c r="B2" s="15"/>
      <x:c r="C2" s="15"/>
      <x:c r="D2" s="15"/>
      <x:c r="E2" s="15"/>
      <x:c r="F2" s="15"/>
      <x:c r="G2" s="15"/>
      <x:c r="H2" s="15"/>
    </x:row>
    <x:row r="3">
      <x:c r="A3"/>
      <x:c r="B3"/>
      <x:c r="C3"/>
      <x:c r="D3"/>
      <x:c r="E3"/>
      <x:c r="F3"/>
      <x:c r="G3"/>
      <x:c r="H3"/>
    </x:row>
    <x:row r="4" ht="28" customHeight="1">
      <x:c r="A4" s="24" t="str">
        <x:v>#</x:v>
      </x:c>
      <x:c r="B4" s="24" t="str">
        <x:v>Card</x:v>
      </x:c>
      <x:c r="C4" s="24" t="str">
        <x:v>Qty</x:v>
      </x:c>
      <x:c r="D4" s="24" t="str">
        <x:v>Tipo físico</x:v>
      </x:c>
      <x:c r="E4" s="24" t="str">
        <x:v>Grupo primário</x:v>
      </x:c>
      <x:c r="F4" s="24" t="str">
        <x:v>Função / papel no deck</x:v>
      </x:c>
      <x:c r="G4" s="24" t="str">
        <x:v>Tier de encaixe</x:v>
      </x:c>
      <x:c r="H4" s="24" t="str">
        <x:v>Estado</x:v>
      </x:c>
    </x:row>
    <x:row r="5" ht="34" customHeight="1">
      <x:c r="A5" s="32" t="n">
        <x:v>1</x:v>
      </x:c>
      <x:c r="B5" s="32" t="str">
        <x:v>Edgar Markov</x:v>
      </x:c>
      <x:c r="C5" s="32" t="n">
        <x:v>1</x:v>
      </x:c>
      <x:c r="D5" s="32" t="str">
        <x:v>Commander</x:v>
      </x:c>
      <x:c r="E5" s="32" t="str">
        <x:v>Mana base / fora do 8×8</x:v>
      </x:c>
      <x:c r="F5" s="32" t="str">
        <x:v>Comandante; Eminência gera ficha ao conjurar Vampiro e o ataque põe marcadores em todos os Vampiros.</x:v>
      </x:c>
      <x:c r="G5" s="32" t="str">
        <x:v>S</x:v>
      </x:c>
      <x:c r="H5" s="60" t="str">
        <x:v>CURRENT — commander</x:v>
      </x:c>
    </x:row>
    <x:row r="6" ht="34" customHeight="1">
      <x:c r="A6" s="32" t="n">
        <x:v>2</x:v>
      </x:c>
      <x:c r="B6" s="32" t="str">
        <x:v>Akroma's Will</x:v>
      </x:c>
      <x:c r="C6" s="32" t="n">
        <x:v>1</x:v>
      </x:c>
      <x:c r="D6" s="32" t="str">
        <x:v>Nonland</x:v>
      </x:c>
      <x:c r="E6" s="32" t="str">
        <x:v>8. Finalizadores / conversão em vitória</x:v>
      </x:c>
      <x:c r="F6" s="32" t="str">
        <x:v>Proteção de mesa ou finalizador: combina keywords e aumento de poder conforme controla o comandante.</x:v>
      </x:c>
      <x:c r="G6" s="32" t="str">
        <x:v>S</x:v>
      </x:c>
      <x:c r="H6" s="60" t="str">
        <x:v>CURRENT — congelada</x:v>
      </x:c>
    </x:row>
    <x:row r="7" ht="34" customHeight="1">
      <x:c r="A7" s="32" t="n">
        <x:v>3</x:v>
      </x:c>
      <x:c r="B7" s="32" t="str">
        <x:v>Anguished Unmaking</x:v>
      </x:c>
      <x:c r="C7" s="32" t="n">
        <x:v>1</x:v>
      </x:c>
      <x:c r="D7" s="32" t="str">
        <x:v>Nonland</x:v>
      </x:c>
      <x:c r="E7" s="32" t="str">
        <x:v>6. Remoção / interação / controle</x:v>
      </x:c>
      <x:c r="F7" s="32" t="str">
        <x:v>Exílio flexível de permanente não-terreno; custo de vida.</x:v>
      </x:c>
      <x:c r="G7" s="32" t="str">
        <x:v>A/B - papel específico</x:v>
      </x:c>
      <x:c r="H7" s="60" t="str">
        <x:v>CURRENT — congelada</x:v>
      </x:c>
    </x:row>
    <x:row r="8" ht="34" customHeight="1">
      <x:c r="A8" s="32" t="n">
        <x:v>4</x:v>
      </x:c>
      <x:c r="B8" s="32" t="str">
        <x:v>Anointed Procession</x:v>
      </x:c>
      <x:c r="C8" s="32" t="n">
        <x:v>1</x:v>
      </x:c>
      <x:c r="D8" s="32" t="str">
        <x:v>Nonland</x:v>
      </x:c>
      <x:c r="E8" s="32" t="str">
        <x:v>3. Fichas / crescimento de mesa</x:v>
      </x:c>
      <x:c r="F8" s="32" t="str">
        <x:v>Dobra fichas criadas; multiplica Eminência e outros geradores.</x:v>
      </x:c>
      <x:c r="G8" s="32" t="str">
        <x:v>S</x:v>
      </x:c>
      <x:c r="H8" s="60" t="str">
        <x:v>CURRENT — congelada</x:v>
      </x:c>
    </x:row>
    <x:row r="9" ht="34" customHeight="1">
      <x:c r="A9" s="32" t="n">
        <x:v>5</x:v>
      </x:c>
      <x:c r="B9" s="32" t="str">
        <x:v>Arid Mesa</x:v>
      </x:c>
      <x:c r="C9" s="32" t="n">
        <x:v>1</x:v>
      </x:c>
      <x:c r="D9" s="32" t="str">
        <x:v>Land</x:v>
      </x:c>
      <x:c r="E9" s="32" t="str">
        <x:v>Mana base / fora do 8×8</x:v>
      </x:c>
      <x:c r="F9" s="32" t="str">
        <x:v>Fonte de mana/fixação ou utilidade; avaliar entrada virada, cor e custo de oportunidade.</x:v>
      </x:c>
      <x:c r="G9" s="32" t="str">
        <x:v>N/A - mana</x:v>
      </x:c>
      <x:c r="H9" s="60" t="str">
        <x:v>CURRENT — congelada</x:v>
      </x:c>
    </x:row>
    <x:row r="10" ht="34" customHeight="1">
      <x:c r="A10" s="32" t="n">
        <x:v>6</x:v>
      </x:c>
      <x:c r="B10" s="32" t="str">
        <x:v>Banner of Kinship</x:v>
      </x:c>
      <x:c r="C10" s="32" t="n">
        <x:v>1</x:v>
      </x:c>
      <x:c r="D10" s="32" t="str">
        <x:v>Nonland</x:v>
      </x:c>
      <x:c r="E10" s="32" t="str">
        <x:v>8. Finalizadores / conversão em vitória</x:v>
      </x:c>
      <x:c r="F10" s="32" t="str">
        <x:v>Payoff tribal assimétrico; cresce com o número de Vampiros controlados.</x:v>
      </x:c>
      <x:c r="G10" s="32" t="str">
        <x:v>A</x:v>
      </x:c>
      <x:c r="H10" s="60" t="str">
        <x:v>CURRENT — congelada</x:v>
      </x:c>
    </x:row>
    <x:row r="11" ht="34" customHeight="1">
      <x:c r="A11" s="32" t="n">
        <x:v>7</x:v>
      </x:c>
      <x:c r="B11" s="32" t="str">
        <x:v>Baron Bertram Graywater</x:v>
      </x:c>
      <x:c r="C11" s="32" t="n">
        <x:v>1</x:v>
      </x:c>
      <x:c r="D11" s="32" t="str">
        <x:v>Nonland</x:v>
      </x:c>
      <x:c r="E11" s="32" t="str">
        <x:v>2. Compra / seleção / valor</x:v>
      </x:c>
      <x:c r="F11" s="32" t="str">
        <x:v>Ao entrar ficha, gera outro Vampiro uma vez por turno; sacrifício por compra.</x:v>
      </x:c>
      <x:c r="G11" s="32" t="str">
        <x:v>A</x:v>
      </x:c>
      <x:c r="H11" s="60" t="str">
        <x:v>CURRENT — congelada</x:v>
      </x:c>
    </x:row>
    <x:row r="12" ht="34" customHeight="1">
      <x:c r="A12" s="32" t="n">
        <x:v>8</x:v>
      </x:c>
      <x:c r="B12" s="32" t="str">
        <x:v>Blightstep Pathway</x:v>
      </x:c>
      <x:c r="C12" s="32" t="n">
        <x:v>1</x:v>
      </x:c>
      <x:c r="D12" s="32" t="str">
        <x:v>Land</x:v>
      </x:c>
      <x:c r="E12" s="32" t="str">
        <x:v>Mana base / fora do 8×8</x:v>
      </x:c>
      <x:c r="F12" s="32" t="str">
        <x:v>Fonte de mana/fixação ou utilidade; avaliar entrada virada, cor e custo de oportunidade.</x:v>
      </x:c>
      <x:c r="G12" s="32" t="str">
        <x:v>N/A - mana</x:v>
      </x:c>
      <x:c r="H12" s="60" t="str">
        <x:v>CURRENT — congelada</x:v>
      </x:c>
    </x:row>
    <x:row r="13" ht="34" customHeight="1">
      <x:c r="A13" s="32" t="n">
        <x:v>9</x:v>
      </x:c>
      <x:c r="B13" s="32" t="str">
        <x:v>Blood Artist</x:v>
      </x:c>
      <x:c r="C13" s="32" t="n">
        <x:v>1</x:v>
      </x:c>
      <x:c r="D13" s="32" t="str">
        <x:v>Nonland</x:v>
      </x:c>
      <x:c r="E13" s="32" t="str">
        <x:v>5. Drenagem / aristocratas / sacrifício</x:v>
      </x:c>
      <x:c r="F13" s="32" t="str">
        <x:v>Drenagem por mortes de criaturas; transforma wipes/sacrifícios em alcance.</x:v>
      </x:c>
      <x:c r="G13" s="32" t="str">
        <x:v>A</x:v>
      </x:c>
      <x:c r="H13" s="60" t="str">
        <x:v>CURRENT — congelada</x:v>
      </x:c>
    </x:row>
    <x:row r="14" ht="34" customHeight="1">
      <x:c r="A14" s="32" t="n">
        <x:v>10</x:v>
      </x:c>
      <x:c r="B14" s="32" t="str">
        <x:v>Blood for the Blood God!</x:v>
      </x:c>
      <x:c r="C14" s="32" t="n">
        <x:v>1</x:v>
      </x:c>
      <x:c r="D14" s="32" t="str">
        <x:v>Nonland</x:v>
      </x:c>
      <x:c r="E14" s="32" t="str">
        <x:v>2. Compra / seleção / valor</x:v>
      </x:c>
      <x:c r="F14" s="32" t="str">
        <x:v>Refill grande cujo custo pode reduzir com vida perdida por oponentes no turno.</x:v>
      </x:c>
      <x:c r="G14" s="32" t="str">
        <x:v>A/B - papel específico</x:v>
      </x:c>
      <x:c r="H14" s="60" t="str">
        <x:v>CURRENT — congelada</x:v>
      </x:c>
    </x:row>
    <x:row r="15" ht="34" customHeight="1">
      <x:c r="A15" s="32" t="n">
        <x:v>11</x:v>
      </x:c>
      <x:c r="B15" s="32" t="str">
        <x:v>Bloodline Keeper</x:v>
      </x:c>
      <x:c r="C15" s="32" t="n">
        <x:v>1</x:v>
      </x:c>
      <x:c r="D15" s="32" t="str">
        <x:v>Nonland</x:v>
      </x:c>
      <x:c r="E15" s="32" t="str">
        <x:v>3. Fichas / crescimento de mesa</x:v>
      </x:c>
      <x:c r="F15" s="32" t="str">
        <x:v>Gera fichas e pode transformar-se num lord se a mesa permitir ativar.</x:v>
      </x:c>
      <x:c r="G15" s="32" t="str">
        <x:v>A/B - papel específico</x:v>
      </x:c>
      <x:c r="H15" s="60" t="str">
        <x:v>CURRENT — congelada</x:v>
      </x:c>
    </x:row>
    <x:row r="16" ht="34" customHeight="1">
      <x:c r="A16" s="32" t="n">
        <x:v>12</x:v>
      </x:c>
      <x:c r="B16" s="32" t="str">
        <x:v>Bloodlord of Vaasgoth</x:v>
      </x:c>
      <x:c r="C16" s="32" t="n">
        <x:v>1</x:v>
      </x:c>
      <x:c r="D16" s="32" t="str">
        <x:v>Nonland</x:v>
      </x:c>
      <x:c r="E16" s="32" t="str">
        <x:v>4. Lords / combate / evasão</x:v>
      </x:c>
      <x:c r="F16" s="32" t="str">
        <x:v>Payoff de sangue/combate caro; sem valor imediato garantido ao resolver.</x:v>
      </x:c>
      <x:c r="G16" s="32" t="str">
        <x:v>B/C - candidata a corte</x:v>
      </x:c>
      <x:c r="H16" s="60" t="str">
        <x:v>CURRENT — congelada</x:v>
      </x:c>
    </x:row>
    <x:row r="17" ht="34" customHeight="1">
      <x:c r="A17" s="32" t="n">
        <x:v>13</x:v>
      </x:c>
      <x:c r="B17" s="32" t="str">
        <x:v>Bloodthirsty Conqueror</x:v>
      </x:c>
      <x:c r="C17" s="32" t="n">
        <x:v>1</x:v>
      </x:c>
      <x:c r="D17" s="32" t="str">
        <x:v>Nonland</x:v>
      </x:c>
      <x:c r="E17" s="32" t="str">
        <x:v>5. Drenagem / aristocratas / sacrifício</x:v>
      </x:c>
      <x:c r="F17" s="32" t="str">
        <x:v>Payoff de drenagem e peça do combo de duas cartas com Vito, Thorn of the Dusk Rose.</x:v>
      </x:c>
      <x:c r="G17" s="32" t="str">
        <x:v>S</x:v>
      </x:c>
      <x:c r="H17" s="60" t="str">
        <x:v>CURRENT — congelada</x:v>
      </x:c>
    </x:row>
    <x:row r="18" ht="34" customHeight="1">
      <x:c r="A18" s="32" t="n">
        <x:v>14</x:v>
      </x:c>
      <x:c r="B18" s="32" t="str">
        <x:v>Bolas's Citadel</x:v>
      </x:c>
      <x:c r="C18" s="32" t="n">
        <x:v>1</x:v>
      </x:c>
      <x:c r="D18" s="32" t="str">
        <x:v>Nonland</x:v>
      </x:c>
      <x:c r="E18" s="32" t="str">
        <x:v>2. Compra / seleção / valor</x:v>
      </x:c>
      <x:c r="F18" s="32" t="str">
        <x:v>Motor de cartas do topo, com custo de vida e fechamento por sacrifício.</x:v>
      </x:c>
      <x:c r="G18" s="32" t="str">
        <x:v>A/B - papel específico</x:v>
      </x:c>
      <x:c r="H18" s="60" t="str">
        <x:v>CURRENT — congelada</x:v>
      </x:c>
    </x:row>
    <x:row r="19" ht="34" customHeight="1">
      <x:c r="A19" s="32" t="n">
        <x:v>15</x:v>
      </x:c>
      <x:c r="B19" s="32" t="str">
        <x:v>Brightclimb Pathway</x:v>
      </x:c>
      <x:c r="C19" s="32" t="n">
        <x:v>1</x:v>
      </x:c>
      <x:c r="D19" s="32" t="str">
        <x:v>Land</x:v>
      </x:c>
      <x:c r="E19" s="32" t="str">
        <x:v>Mana base / fora do 8×8</x:v>
      </x:c>
      <x:c r="F19" s="32" t="str">
        <x:v>Fonte de mana/fixação ou utilidade; avaliar entrada virada, cor e custo de oportunidade.</x:v>
      </x:c>
      <x:c r="G19" s="32" t="str">
        <x:v>N/A - mana</x:v>
      </x:c>
      <x:c r="H19" s="60" t="str">
        <x:v>CURRENT — congelada</x:v>
      </x:c>
    </x:row>
    <x:row r="20" ht="34" customHeight="1">
      <x:c r="A20" s="32" t="n">
        <x:v>16</x:v>
      </x:c>
      <x:c r="B20" s="32" t="str">
        <x:v>Captivating Vampire</x:v>
      </x:c>
      <x:c r="C20" s="32" t="n">
        <x:v>1</x:v>
      </x:c>
      <x:c r="D20" s="32" t="str">
        <x:v>Nonland</x:v>
      </x:c>
      <x:c r="E20" s="32" t="str">
        <x:v>4. Lords / combate / evasão</x:v>
      </x:c>
      <x:c r="F20" s="32" t="str">
        <x:v>Lord tribal e controle de criatura via ativação com Vampiros.</x:v>
      </x:c>
      <x:c r="G20" s="32" t="str">
        <x:v>A</x:v>
      </x:c>
      <x:c r="H20" s="60" t="str">
        <x:v>CURRENT — congelada</x:v>
      </x:c>
    </x:row>
    <x:row r="21" ht="34" customHeight="1">
      <x:c r="A21" s="32" t="n">
        <x:v>17</x:v>
      </x:c>
      <x:c r="B21" s="32" t="str">
        <x:v>Carmen, Cruel Skymarcher</x:v>
      </x:c>
      <x:c r="C21" s="32" t="n">
        <x:v>1</x:v>
      </x:c>
      <x:c r="D21" s="32" t="str">
        <x:v>Nonland</x:v>
      </x:c>
      <x:c r="E21" s="32" t="str">
        <x:v>7. Proteção / recursão / resiliência</x:v>
      </x:c>
      <x:c r="F21" s="32" t="str">
        <x:v>Recursão de permanentes por ataque; cresce com sacrifícios.</x:v>
      </x:c>
      <x:c r="G21" s="32" t="str">
        <x:v>A/B - papel específico</x:v>
      </x:c>
      <x:c r="H21" s="60" t="str">
        <x:v>CURRENT — congelada</x:v>
      </x:c>
    </x:row>
    <x:row r="22" ht="34" customHeight="1">
      <x:c r="A22" s="32" t="n">
        <x:v>18</x:v>
      </x:c>
      <x:c r="B22" s="32" t="str">
        <x:v>Cemetery Gatekeeper</x:v>
      </x:c>
      <x:c r="C22" s="32" t="n">
        <x:v>1</x:v>
      </x:c>
      <x:c r="D22" s="32" t="str">
        <x:v>Nonland</x:v>
      </x:c>
      <x:c r="E22" s="32" t="str">
        <x:v>6. Remoção / interação / controle</x:v>
      </x:c>
      <x:c r="F22" s="32" t="str">
        <x:v>Punidor dependente do tipo exilado e do meta; pode afetar a própria lista.</x:v>
      </x:c>
      <x:c r="G22" s="32" t="str">
        <x:v>B/C - meta-dependente</x:v>
      </x:c>
      <x:c r="H22" s="60" t="str">
        <x:v>CURRENT — congelada</x:v>
      </x:c>
    </x:row>
    <x:row r="23" ht="34" customHeight="1">
      <x:c r="A23" s="32" t="n">
        <x:v>19</x:v>
      </x:c>
      <x:c r="B23" s="32" t="str">
        <x:v>Chaos Warp</x:v>
      </x:c>
      <x:c r="C23" s="32" t="n">
        <x:v>1</x:v>
      </x:c>
      <x:c r="D23" s="32" t="str">
        <x:v>Nonland</x:v>
      </x:c>
      <x:c r="E23" s="32" t="str">
        <x:v>6. Remoção / interação / controle</x:v>
      </x:c>
      <x:c r="F23" s="32" t="str">
        <x:v>Resposta ampla a permanente não-terreno.</x:v>
      </x:c>
      <x:c r="G23" s="32" t="str">
        <x:v>A/B - papel específico</x:v>
      </x:c>
      <x:c r="H23" s="60" t="str">
        <x:v>CURRENT — congelada</x:v>
      </x:c>
    </x:row>
    <x:row r="24" ht="34" customHeight="1">
      <x:c r="A24" s="32" t="n">
        <x:v>20</x:v>
      </x:c>
      <x:c r="B24" s="32" t="str">
        <x:v>Clavileño, First of the Blessed</x:v>
      </x:c>
      <x:c r="C24" s="32" t="n">
        <x:v>1</x:v>
      </x:c>
      <x:c r="D24" s="32" t="str">
        <x:v>Nonland</x:v>
      </x:c>
      <x:c r="E24" s="32" t="str">
        <x:v>3. Fichas / crescimento de mesa</x:v>
      </x:c>
      <x:c r="F24" s="32" t="str">
        <x:v>Converte Vampiros que atacam e morrem em fichas Demon/Vampire com evasão.</x:v>
      </x:c>
      <x:c r="G24" s="32" t="str">
        <x:v>A</x:v>
      </x:c>
      <x:c r="H24" s="60" t="str">
        <x:v>CURRENT — congelada</x:v>
      </x:c>
    </x:row>
    <x:row r="25" ht="34" customHeight="1">
      <x:c r="A25" s="32" t="n">
        <x:v>21</x:v>
      </x:c>
      <x:c r="B25" s="32" t="str">
        <x:v>Coat of Arms</x:v>
      </x:c>
      <x:c r="C25" s="32" t="n">
        <x:v>1</x:v>
      </x:c>
      <x:c r="D25" s="32" t="str">
        <x:v>Nonland</x:v>
      </x:c>
      <x:c r="E25" s="32" t="str">
        <x:v>8. Finalizadores / conversão em vitória</x:v>
      </x:c>
      <x:c r="F25" s="32" t="str">
        <x:v>Buff explosivo, mas simétrico: pode fortalecer tribal adversário.</x:v>
      </x:c>
      <x:c r="G25" s="32" t="str">
        <x:v>B/C - simétrico</x:v>
      </x:c>
      <x:c r="H25" s="60" t="str">
        <x:v>CURRENT — congelada</x:v>
      </x:c>
    </x:row>
    <x:row r="26" ht="34" customHeight="1">
      <x:c r="A26" s="32" t="n">
        <x:v>22</x:v>
      </x:c>
      <x:c r="B26" s="32" t="str">
        <x:v>Command Tower</x:v>
      </x:c>
      <x:c r="C26" s="32" t="n">
        <x:v>1</x:v>
      </x:c>
      <x:c r="D26" s="32" t="str">
        <x:v>Land</x:v>
      </x:c>
      <x:c r="E26" s="32" t="str">
        <x:v>Mana base / fora do 8×8</x:v>
      </x:c>
      <x:c r="F26" s="32" t="str">
        <x:v>Fonte de mana/fixação ou utilidade; avaliar entrada virada, cor e custo de oportunidade.</x:v>
      </x:c>
      <x:c r="G26" s="32" t="str">
        <x:v>N/A - mana</x:v>
      </x:c>
      <x:c r="H26" s="60" t="str">
        <x:v>CURRENT — congelada</x:v>
      </x:c>
    </x:row>
    <x:row r="27" ht="34" customHeight="1">
      <x:c r="A27" s="32" t="n">
        <x:v>23</x:v>
      </x:c>
      <x:c r="B27" s="32" t="str">
        <x:v>Cordial Vampire</x:v>
      </x:c>
      <x:c r="C27" s="32" t="n">
        <x:v>1</x:v>
      </x:c>
      <x:c r="D27" s="32" t="str">
        <x:v>Nonland</x:v>
      </x:c>
      <x:c r="E27" s="32" t="str">
        <x:v>4. Lords / combate / evasão</x:v>
      </x:c>
      <x:c r="F27" s="32" t="str">
        <x:v>Marcadores de +1/+1 quando criaturas morrem; escala com sacrifício e combate.</x:v>
      </x:c>
      <x:c r="G27" s="32" t="str">
        <x:v>A</x:v>
      </x:c>
      <x:c r="H27" s="60" t="str">
        <x:v>CURRENT — congelada</x:v>
      </x:c>
    </x:row>
    <x:row r="28" ht="34" customHeight="1">
      <x:c r="A28" s="32" t="n">
        <x:v>24</x:v>
      </x:c>
      <x:c r="B28" s="32" t="str">
        <x:v>Cover of Darkness</x:v>
      </x:c>
      <x:c r="C28" s="32" t="n">
        <x:v>1</x:v>
      </x:c>
      <x:c r="D28" s="32" t="str">
        <x:v>Nonland</x:v>
      </x:c>
      <x:c r="E28" s="32" t="str">
        <x:v>4. Lords / combate / evasão</x:v>
      </x:c>
      <x:c r="F28" s="32" t="str">
        <x:v>Evasão tribal escolhida; facilita dano e gatilhos de combate.</x:v>
      </x:c>
      <x:c r="G28" s="32" t="str">
        <x:v>A/B - papel específico</x:v>
      </x:c>
      <x:c r="H28" s="60" t="str">
        <x:v>CURRENT — congelada</x:v>
      </x:c>
    </x:row>
    <x:row r="29" ht="34" customHeight="1">
      <x:c r="A29" s="32" t="n">
        <x:v>25</x:v>
      </x:c>
      <x:c r="B29" s="32" t="str">
        <x:v>Cruel Celebrant</x:v>
      </x:c>
      <x:c r="C29" s="32" t="n">
        <x:v>1</x:v>
      </x:c>
      <x:c r="D29" s="32" t="str">
        <x:v>Nonland</x:v>
      </x:c>
      <x:c r="E29" s="32" t="str">
        <x:v>5. Drenagem / aristocratas / sacrifício</x:v>
      </x:c>
      <x:c r="F29" s="32" t="str">
        <x:v>Drenagem ao morrer criatura/planeswalker seu; não é Vampiro.</x:v>
      </x:c>
      <x:c r="G29" s="32" t="str">
        <x:v>A/B - papel específico</x:v>
      </x:c>
      <x:c r="H29" s="60" t="str">
        <x:v>CURRENT — congelada</x:v>
      </x:c>
    </x:row>
    <x:row r="30" ht="34" customHeight="1">
      <x:c r="A30" s="32" t="n">
        <x:v>26</x:v>
      </x:c>
      <x:c r="B30" s="32" t="str">
        <x:v>Crystal Grotto</x:v>
      </x:c>
      <x:c r="C30" s="32" t="n">
        <x:v>1</x:v>
      </x:c>
      <x:c r="D30" s="32" t="str">
        <x:v>Land</x:v>
      </x:c>
      <x:c r="E30" s="32" t="str">
        <x:v>Mana base / fora do 8×8</x:v>
      </x:c>
      <x:c r="F30" s="32" t="str">
        <x:v>Fonte de mana/fixação ou utilidade; avaliar entrada virada, cor e custo de oportunidade.</x:v>
      </x:c>
      <x:c r="G30" s="32" t="str">
        <x:v>N/A - mana</x:v>
      </x:c>
      <x:c r="H30" s="60" t="str">
        <x:v>CURRENT — congelada</x:v>
      </x:c>
    </x:row>
    <x:row r="31" ht="34" customHeight="1">
      <x:c r="A31" s="32" t="n">
        <x:v>27</x:v>
      </x:c>
      <x:c r="B31" s="32" t="str">
        <x:v>Damn</x:v>
      </x:c>
      <x:c r="C31" s="32" t="n">
        <x:v>1</x:v>
      </x:c>
      <x:c r="D31" s="32" t="str">
        <x:v>Nonland</x:v>
      </x:c>
      <x:c r="E31" s="32" t="str">
        <x:v>6. Remoção / interação / controle</x:v>
      </x:c>
      <x:c r="F31" s="32" t="str">
        <x:v>Remoção barata ou limpeza; flexível para curva e mesa.</x:v>
      </x:c>
      <x:c r="G31" s="32" t="str">
        <x:v>A/B - papel específico</x:v>
      </x:c>
      <x:c r="H31" s="60" t="str">
        <x:v>CURRENT — congelada</x:v>
      </x:c>
    </x:row>
    <x:row r="32" ht="34" customHeight="1">
      <x:c r="A32" s="32" t="n">
        <x:v>28</x:v>
      </x:c>
      <x:c r="B32" s="32" t="str">
        <x:v>Deadly Dispute</x:v>
      </x:c>
      <x:c r="C32" s="32" t="n">
        <x:v>1</x:v>
      </x:c>
      <x:c r="D32" s="32" t="str">
        <x:v>Nonland</x:v>
      </x:c>
      <x:c r="E32" s="32" t="str">
        <x:v>2. Compra / seleção / valor</x:v>
      </x:c>
      <x:c r="F32" s="32" t="str">
        <x:v>Sacrifício como custo para comprar duas cartas e gerar Tesouro.</x:v>
      </x:c>
      <x:c r="G32" s="32" t="str">
        <x:v>A/B - papel específico</x:v>
      </x:c>
      <x:c r="H32" s="60" t="str">
        <x:v>CURRENT — congelada</x:v>
      </x:c>
    </x:row>
    <x:row r="33" ht="34" customHeight="1">
      <x:c r="A33" s="32" t="n">
        <x:v>29</x:v>
      </x:c>
      <x:c r="B33" s="32" t="str">
        <x:v>Descendants' Fury</x:v>
      </x:c>
      <x:c r="C33" s="32" t="n">
        <x:v>1</x:v>
      </x:c>
      <x:c r="D33" s="32" t="str">
        <x:v>Nonland</x:v>
      </x:c>
      <x:c r="E33" s="32" t="str">
        <x:v>2. Compra / seleção / valor</x:v>
      </x:c>
      <x:c r="F33" s="32" t="str">
        <x:v>Transforma dano de combate em sacrifício/tutor de criatura com tipo compartilhado.</x:v>
      </x:c>
      <x:c r="G33" s="32" t="str">
        <x:v>A/B - papel específico</x:v>
      </x:c>
      <x:c r="H33" s="60" t="str">
        <x:v>CURRENT — congelada</x:v>
      </x:c>
    </x:row>
    <x:row r="34" ht="34" customHeight="1">
      <x:c r="A34" s="32" t="n">
        <x:v>30</x:v>
      </x:c>
      <x:c r="B34" s="32" t="str">
        <x:v>Dragonskull Summit</x:v>
      </x:c>
      <x:c r="C34" s="32" t="n">
        <x:v>1</x:v>
      </x:c>
      <x:c r="D34" s="32" t="str">
        <x:v>Land</x:v>
      </x:c>
      <x:c r="E34" s="32" t="str">
        <x:v>Mana base / fora do 8×8</x:v>
      </x:c>
      <x:c r="F34" s="32" t="str">
        <x:v>Fonte de mana/fixação ou utilidade; avaliar entrada virada, cor e custo de oportunidade.</x:v>
      </x:c>
      <x:c r="G34" s="32" t="str">
        <x:v>N/A - mana</x:v>
      </x:c>
      <x:c r="H34" s="60" t="str">
        <x:v>CURRENT — congelada</x:v>
      </x:c>
    </x:row>
    <x:row r="35" ht="34" customHeight="1">
      <x:c r="A35" s="32" t="n">
        <x:v>31</x:v>
      </x:c>
      <x:c r="B35" s="32" t="str">
        <x:v>Drana and Linvala</x:v>
      </x:c>
      <x:c r="C35" s="32" t="n">
        <x:v>1</x:v>
      </x:c>
      <x:c r="D35" s="32" t="str">
        <x:v>Nonland</x:v>
      </x:c>
      <x:c r="E35" s="32" t="str">
        <x:v>6. Remoção / interação / controle</x:v>
      </x:c>
      <x:c r="F35" s="32" t="str">
        <x:v>Interação baseada em habilidades ativadas de criaturas oponentes.</x:v>
      </x:c>
      <x:c r="G35" s="32" t="str">
        <x:v>A/B - papel específico</x:v>
      </x:c>
      <x:c r="H35" s="60" t="str">
        <x:v>CURRENT — congelada</x:v>
      </x:c>
    </x:row>
    <x:row r="36" ht="34" customHeight="1">
      <x:c r="A36" s="32" t="n">
        <x:v>32</x:v>
      </x:c>
      <x:c r="B36" s="32" t="str">
        <x:v>Dusk Legion Sergeant</x:v>
      </x:c>
      <x:c r="C36" s="32" t="n">
        <x:v>1</x:v>
      </x:c>
      <x:c r="D36" s="32" t="str">
        <x:v>Nonland</x:v>
      </x:c>
      <x:c r="E36" s="32" t="str">
        <x:v>7. Proteção / recursão / resiliência</x:v>
      </x:c>
      <x:c r="F36" s="32" t="str">
        <x:v>Pode conceder persist a Vampiros não-ficha naquele turno, sacrificando-se.</x:v>
      </x:c>
      <x:c r="G36" s="32" t="str">
        <x:v>A</x:v>
      </x:c>
      <x:c r="H36" s="60" t="str">
        <x:v>CURRENT — congelada</x:v>
      </x:c>
    </x:row>
    <x:row r="37" ht="34" customHeight="1">
      <x:c r="A37" s="32" t="n">
        <x:v>33</x:v>
      </x:c>
      <x:c r="B37" s="32" t="str">
        <x:v>Edgar, Charmed Groom</x:v>
      </x:c>
      <x:c r="C37" s="32" t="n">
        <x:v>1</x:v>
      </x:c>
      <x:c r="D37" s="32" t="str">
        <x:v>Nonland</x:v>
      </x:c>
      <x:c r="E37" s="32" t="str">
        <x:v>7. Proteção / recursão / resiliência</x:v>
      </x:c>
      <x:c r="F37" s="32" t="str">
        <x:v>Valor de entrada e resiliência: deixa um artefato após morrer e pode voltar.</x:v>
      </x:c>
      <x:c r="G37" s="32" t="str">
        <x:v>A/B - papel específico</x:v>
      </x:c>
      <x:c r="H37" s="60" t="str">
        <x:v>CURRENT — congelada</x:v>
      </x:c>
    </x:row>
    <x:row r="38" ht="34" customHeight="1">
      <x:c r="A38" s="32" t="n">
        <x:v>34</x:v>
      </x:c>
      <x:c r="B38" s="32" t="str">
        <x:v>Elenda, the Dusk Rose</x:v>
      </x:c>
      <x:c r="C38" s="32" t="n">
        <x:v>1</x:v>
      </x:c>
      <x:c r="D38" s="32" t="str">
        <x:v>Nonland</x:v>
      </x:c>
      <x:c r="E38" s="32" t="str">
        <x:v>3. Fichas / crescimento de mesa</x:v>
      </x:c>
      <x:c r="F38" s="32" t="str">
        <x:v>Cresce com mortes e deixa fichas lifelink quando morre; possível reconstrução pós-wipe.</x:v>
      </x:c>
      <x:c r="G38" s="32" t="str">
        <x:v>A</x:v>
      </x:c>
      <x:c r="H38" s="60" t="str">
        <x:v>CURRENT — congelada</x:v>
      </x:c>
    </x:row>
    <x:row r="39" ht="34" customHeight="1">
      <x:c r="A39" s="32" t="n">
        <x:v>35</x:v>
      </x:c>
      <x:c r="B39" s="32" t="str">
        <x:v>Exotic Orchard</x:v>
      </x:c>
      <x:c r="C39" s="32" t="n">
        <x:v>1</x:v>
      </x:c>
      <x:c r="D39" s="32" t="str">
        <x:v>Land</x:v>
      </x:c>
      <x:c r="E39" s="32" t="str">
        <x:v>Mana base / fora do 8×8</x:v>
      </x:c>
      <x:c r="F39" s="32" t="str">
        <x:v>Fonte de mana/fixação ou utilidade; avaliar entrada virada, cor e custo de oportunidade.</x:v>
      </x:c>
      <x:c r="G39" s="32" t="str">
        <x:v>N/A - mana</x:v>
      </x:c>
      <x:c r="H39" s="60" t="str">
        <x:v>CURRENT — congelada</x:v>
      </x:c>
    </x:row>
    <x:row r="40" ht="34" customHeight="1">
      <x:c r="A40" s="32" t="n">
        <x:v>36</x:v>
      </x:c>
      <x:c r="B40" s="32" t="str">
        <x:v>Fabled Passage</x:v>
      </x:c>
      <x:c r="C40" s="32" t="n">
        <x:v>1</x:v>
      </x:c>
      <x:c r="D40" s="32" t="str">
        <x:v>Land</x:v>
      </x:c>
      <x:c r="E40" s="32" t="str">
        <x:v>Mana base / fora do 8×8</x:v>
      </x:c>
      <x:c r="F40" s="32" t="str">
        <x:v>Fonte de mana/fixação ou utilidade; avaliar entrada virada, cor e custo de oportunidade.</x:v>
      </x:c>
      <x:c r="G40" s="32" t="str">
        <x:v>N/A - mana</x:v>
      </x:c>
      <x:c r="H40" s="60" t="str">
        <x:v>CURRENT — congelada</x:v>
      </x:c>
    </x:row>
    <x:row r="41" ht="34" customHeight="1">
      <x:c r="A41" s="32" t="n">
        <x:v>37</x:v>
      </x:c>
      <x:c r="B41" s="32" t="str">
        <x:v>Faithless Looting</x:v>
      </x:c>
      <x:c r="C41" s="32" t="n">
        <x:v>1</x:v>
      </x:c>
      <x:c r="D41" s="32" t="str">
        <x:v>Nonland</x:v>
      </x:c>
      <x:c r="E41" s="32" t="str">
        <x:v>2. Compra / seleção / valor</x:v>
      </x:c>
      <x:c r="F41" s="32" t="str">
        <x:v>Seleção e preenchimento de cemitério; vantagem líquida negativa sem sinergia.</x:v>
      </x:c>
      <x:c r="G41" s="32" t="str">
        <x:v>A/B - papel específico</x:v>
      </x:c>
      <x:c r="H41" s="60" t="str">
        <x:v>CURRENT — congelada</x:v>
      </x:c>
    </x:row>
    <x:row r="42" ht="34" customHeight="1">
      <x:c r="A42" s="32" t="n">
        <x:v>38</x:v>
      </x:c>
      <x:c r="B42" s="32" t="str">
        <x:v>Falkenrath Pit Fighter</x:v>
      </x:c>
      <x:c r="C42" s="32" t="n">
        <x:v>1</x:v>
      </x:c>
      <x:c r="D42" s="32" t="str">
        <x:v>Nonland</x:v>
      </x:c>
      <x:c r="E42" s="32" t="str">
        <x:v>2. Compra / seleção / valor</x:v>
      </x:c>
      <x:c r="F42" s="32" t="str">
        <x:v>Vampiro barato; filtragem com mana, tap e descarte se o oponente perdeu vida.</x:v>
      </x:c>
      <x:c r="G42" s="32" t="str">
        <x:v>B</x:v>
      </x:c>
      <x:c r="H42" s="60" t="str">
        <x:v>CURRENT — congelada</x:v>
      </x:c>
    </x:row>
    <x:row r="43" ht="34" customHeight="1">
      <x:c r="A43" s="32" t="n">
        <x:v>39</x:v>
      </x:c>
      <x:c r="B43" s="32" t="str">
        <x:v>Fetid Heath</x:v>
      </x:c>
      <x:c r="C43" s="32" t="n">
        <x:v>1</x:v>
      </x:c>
      <x:c r="D43" s="32" t="str">
        <x:v>Land</x:v>
      </x:c>
      <x:c r="E43" s="32" t="str">
        <x:v>Mana base / fora do 8×8</x:v>
      </x:c>
      <x:c r="F43" s="32" t="str">
        <x:v>Fonte de mana/fixação ou utilidade; avaliar entrada virada, cor e custo de oportunidade.</x:v>
      </x:c>
      <x:c r="G43" s="32" t="str">
        <x:v>N/A - mana</x:v>
      </x:c>
      <x:c r="H43" s="60" t="str">
        <x:v>CURRENT — congelada</x:v>
      </x:c>
    </x:row>
    <x:row r="44" ht="34" customHeight="1">
      <x:c r="A44" s="32" t="n">
        <x:v>40</x:v>
      </x:c>
      <x:c r="B44" s="32" t="str">
        <x:v>Florian, Voldaren Scion</x:v>
      </x:c>
      <x:c r="C44" s="32" t="n">
        <x:v>1</x:v>
      </x:c>
      <x:c r="D44" s="32" t="str">
        <x:v>Nonland</x:v>
      </x:c>
      <x:c r="E44" s="32" t="str">
        <x:v>2. Compra / seleção / valor</x:v>
      </x:c>
      <x:c r="F44" s="32" t="str">
        <x:v>Seleção por impulso após oponentes perderem vida no turno.</x:v>
      </x:c>
      <x:c r="G44" s="32" t="str">
        <x:v>A</x:v>
      </x:c>
      <x:c r="H44" s="60" t="str">
        <x:v>CURRENT — congelada</x:v>
      </x:c>
    </x:row>
    <x:row r="45" ht="34" customHeight="1">
      <x:c r="A45" s="32" t="n">
        <x:v>41</x:v>
      </x:c>
      <x:c r="B45" s="32" t="str">
        <x:v>Fountainport</x:v>
      </x:c>
      <x:c r="C45" s="32" t="n">
        <x:v>1</x:v>
      </x:c>
      <x:c r="D45" s="32" t="str">
        <x:v>Land</x:v>
      </x:c>
      <x:c r="E45" s="32" t="str">
        <x:v>Mana base / fora do 8×8</x:v>
      </x:c>
      <x:c r="F45" s="32" t="str">
        <x:v>Fonte de mana/fixação ou utilidade; avaliar entrada virada, cor e custo de oportunidade.</x:v>
      </x:c>
      <x:c r="G45" s="32" t="str">
        <x:v>N/A - mana</x:v>
      </x:c>
      <x:c r="H45" s="60" t="str">
        <x:v>CURRENT — congelada</x:v>
      </x:c>
    </x:row>
    <x:row r="46" ht="34" customHeight="1">
      <x:c r="A46" s="32" t="n">
        <x:v>42</x:v>
      </x:c>
      <x:c r="B46" s="32" t="str">
        <x:v>Gifted Aetherborn</x:v>
      </x:c>
      <x:c r="C46" s="32" t="n">
        <x:v>1</x:v>
      </x:c>
      <x:c r="D46" s="32" t="str">
        <x:v>Nonland</x:v>
      </x:c>
      <x:c r="E46" s="32" t="str">
        <x:v>1. Eminence &amp; curva</x:v>
      </x:c>
      <x:c r="F46" s="32" t="str">
        <x:v>Vampiro barato defensivo, lifelink e deathtouch.</x:v>
      </x:c>
      <x:c r="G46" s="32" t="str">
        <x:v>A/B - papel específico</x:v>
      </x:c>
      <x:c r="H46" s="60" t="str">
        <x:v>CURRENT — congelada</x:v>
      </x:c>
    </x:row>
    <x:row r="47" ht="34" customHeight="1">
      <x:c r="A47" s="32" t="n">
        <x:v>43</x:v>
      </x:c>
      <x:c r="B47" s="32" t="str">
        <x:v>Graven Cairns</x:v>
      </x:c>
      <x:c r="C47" s="32" t="n">
        <x:v>1</x:v>
      </x:c>
      <x:c r="D47" s="32" t="str">
        <x:v>Land</x:v>
      </x:c>
      <x:c r="E47" s="32" t="str">
        <x:v>Mana base / fora do 8×8</x:v>
      </x:c>
      <x:c r="F47" s="32" t="str">
        <x:v>Fonte de mana/fixação ou utilidade; avaliar entrada virada, cor e custo de oportunidade.</x:v>
      </x:c>
      <x:c r="G47" s="32" t="str">
        <x:v>N/A - mana</x:v>
      </x:c>
      <x:c r="H47" s="60" t="str">
        <x:v>CURRENT — congelada</x:v>
      </x:c>
    </x:row>
    <x:row r="48" ht="34" customHeight="1">
      <x:c r="A48" s="32" t="n">
        <x:v>44</x:v>
      </x:c>
      <x:c r="B48" s="32" t="str">
        <x:v>Idol of Oblivion</x:v>
      </x:c>
      <x:c r="C48" s="32" t="n">
        <x:v>1</x:v>
      </x:c>
      <x:c r="D48" s="32" t="str">
        <x:v>Nonland</x:v>
      </x:c>
      <x:c r="E48" s="32" t="str">
        <x:v>2. Compra / seleção / valor</x:v>
      </x:c>
      <x:c r="F48" s="32" t="str">
        <x:v>Compra no fim do turno se criou ficha; motor barato e relativamente persistente.</x:v>
      </x:c>
      <x:c r="G48" s="32" t="str">
        <x:v>A</x:v>
      </x:c>
      <x:c r="H48" s="60" t="str">
        <x:v>CURRENT — congelada</x:v>
      </x:c>
    </x:row>
    <x:row r="49" ht="34" customHeight="1">
      <x:c r="A49" s="32" t="n">
        <x:v>45</x:v>
      </x:c>
      <x:c r="B49" s="32" t="str">
        <x:v>Invasion of New Capenna</x:v>
      </x:c>
      <x:c r="C49" s="32" t="n">
        <x:v>1</x:v>
      </x:c>
      <x:c r="D49" s="32" t="str">
        <x:v>Nonland</x:v>
      </x:c>
      <x:c r="E49" s="32" t="str">
        <x:v>6. Remoção / interação / controle</x:v>
      </x:c>
      <x:c r="F49" s="32" t="str">
        <x:v>Exila artefato/criatura oponente sacrificando artefato/criatura próprio; verso é equipamento tribal.</x:v>
      </x:c>
      <x:c r="G49" s="32" t="str">
        <x:v>A/B - papel específico</x:v>
      </x:c>
      <x:c r="H49" s="60" t="str">
        <x:v>CURRENT — congelada</x:v>
      </x:c>
    </x:row>
    <x:row r="50" ht="34" customHeight="1">
      <x:c r="A50" s="32" t="n">
        <x:v>46</x:v>
      </x:c>
      <x:c r="B50" s="32" t="str">
        <x:v>Kindred Charge</x:v>
      </x:c>
      <x:c r="C50" s="32" t="n">
        <x:v>1</x:v>
      </x:c>
      <x:c r="D50" s="32" t="str">
        <x:v>Nonland</x:v>
      </x:c>
      <x:c r="E50" s="32" t="str">
        <x:v>8. Finalizadores / conversão em vitória</x:v>
      </x:c>
      <x:c r="F50" s="32" t="str">
        <x:v>Finalizador explosivo que copia a tribo para um turno; depende de já ter mesa.</x:v>
      </x:c>
      <x:c r="G50" s="32" t="str">
        <x:v>B - redundante com outros finalizadores</x:v>
      </x:c>
      <x:c r="H50" s="60" t="str">
        <x:v>CURRENT — congelada</x:v>
      </x:c>
    </x:row>
    <x:row r="51" ht="34" customHeight="1">
      <x:c r="A51" s="32" t="n">
        <x:v>47</x:v>
      </x:c>
      <x:c r="B51" s="32" t="str">
        <x:v>Knight of the Ebon Legion</x:v>
      </x:c>
      <x:c r="C51" s="32" t="n">
        <x:v>1</x:v>
      </x:c>
      <x:c r="D51" s="32" t="str">
        <x:v>Nonland</x:v>
      </x:c>
      <x:c r="E51" s="32" t="str">
        <x:v>1. Eminence &amp; curva</x:v>
      </x:c>
      <x:c r="F51" s="32" t="str">
        <x:v>Vampiro de custo 1 com escala e mana sink independente do comandante.</x:v>
      </x:c>
      <x:c r="G51" s="32" t="str">
        <x:v>A/B - papel específico</x:v>
      </x:c>
      <x:c r="H51" s="60" t="str">
        <x:v>CURRENT — congelada</x:v>
      </x:c>
    </x:row>
    <x:row r="52" ht="34" customHeight="1">
      <x:c r="A52" s="32" t="n">
        <x:v>48</x:v>
      </x:c>
      <x:c r="B52" s="32" t="str">
        <x:v>Legion Lieutenant</x:v>
      </x:c>
      <x:c r="C52" s="32" t="n">
        <x:v>1</x:v>
      </x:c>
      <x:c r="D52" s="32" t="str">
        <x:v>Nonland</x:v>
      </x:c>
      <x:c r="E52" s="32" t="str">
        <x:v>4. Lords / combate / evasão</x:v>
      </x:c>
      <x:c r="F52" s="32" t="str">
        <x:v>Lord barato que valoriza todo o tribal.</x:v>
      </x:c>
      <x:c r="G52" s="32" t="str">
        <x:v>A</x:v>
      </x:c>
      <x:c r="H52" s="60" t="str">
        <x:v>CURRENT — congelada</x:v>
      </x:c>
    </x:row>
    <x:row r="53" ht="34" customHeight="1">
      <x:c r="A53" s="32" t="n">
        <x:v>49</x:v>
      </x:c>
      <x:c r="B53" s="32" t="str">
        <x:v>Legion's Landing</x:v>
      </x:c>
      <x:c r="C53" s="32" t="n">
        <x:v>1</x:v>
      </x:c>
      <x:c r="D53" s="32" t="str">
        <x:v>Nonland</x:v>
      </x:c>
      <x:c r="E53" s="32" t="str">
        <x:v>3. Fichas / crescimento de mesa</x:v>
      </x:c>
      <x:c r="F53" s="32" t="str">
        <x:v>Token inicial e terreno utilitário após atacar com três criaturas.</x:v>
      </x:c>
      <x:c r="G53" s="32" t="str">
        <x:v>A/B - papel específico</x:v>
      </x:c>
      <x:c r="H53" s="60" t="str">
        <x:v>CURRENT — congelada</x:v>
      </x:c>
    </x:row>
    <x:row r="54" ht="34" customHeight="1">
      <x:c r="A54" s="32" t="n">
        <x:v>50</x:v>
      </x:c>
      <x:c r="B54" s="32" t="str">
        <x:v>Lich-Knights' Conquest</x:v>
      </x:c>
      <x:c r="C54" s="32" t="n">
        <x:v>1</x:v>
      </x:c>
      <x:c r="D54" s="32" t="str">
        <x:v>Nonland</x:v>
      </x:c>
      <x:c r="E54" s="32" t="str">
        <x:v>7. Proteção / recursão / resiliência</x:v>
      </x:c>
      <x:c r="F54" s="32" t="str">
        <x:v>Sacrifício de artefatos/criaturas para recuperar permanentes; excelente com mesa, menos útil a partir do vazio.</x:v>
      </x:c>
      <x:c r="G54" s="32" t="str">
        <x:v>A</x:v>
      </x:c>
      <x:c r="H54" s="60" t="str">
        <x:v>CURRENT — congelada</x:v>
      </x:c>
    </x:row>
    <x:row r="55" ht="34" customHeight="1">
      <x:c r="A55" s="32" t="n">
        <x:v>51</x:v>
      </x:c>
      <x:c r="B55" s="32" t="str">
        <x:v>Luxury Suite</x:v>
      </x:c>
      <x:c r="C55" s="32" t="n">
        <x:v>1</x:v>
      </x:c>
      <x:c r="D55" s="32" t="str">
        <x:v>Land</x:v>
      </x:c>
      <x:c r="E55" s="32" t="str">
        <x:v>Mana base / fora do 8×8</x:v>
      </x:c>
      <x:c r="F55" s="32" t="str">
        <x:v>Fonte de mana/fixação ou utilidade; avaliar entrada virada, cor e custo de oportunidade.</x:v>
      </x:c>
      <x:c r="G55" s="32" t="str">
        <x:v>N/A - mana</x:v>
      </x:c>
      <x:c r="H55" s="60" t="str">
        <x:v>CURRENT — congelada</x:v>
      </x:c>
    </x:row>
    <x:row r="56" ht="34" customHeight="1">
      <x:c r="A56" s="32" t="n">
        <x:v>52</x:v>
      </x:c>
      <x:c r="B56" s="32" t="str">
        <x:v>March of the Canonized</x:v>
      </x:c>
      <x:c r="C56" s="32" t="n">
        <x:v>1</x:v>
      </x:c>
      <x:c r="D56" s="32" t="str">
        <x:v>Nonland</x:v>
      </x:c>
      <x:c r="E56" s="32" t="str">
        <x:v>3. Fichas / crescimento de mesa</x:v>
      </x:c>
      <x:c r="F56" s="32" t="str">
        <x:v>Cria fichas Vampire lifelink e pode gerar token recorrente mediante devoção.</x:v>
      </x:c>
      <x:c r="G56" s="32" t="str">
        <x:v>A/B - papel específico</x:v>
      </x:c>
      <x:c r="H56" s="60" t="str">
        <x:v>CURRENT — congelada</x:v>
      </x:c>
    </x:row>
    <x:row r="57" ht="34" customHeight="1">
      <x:c r="A57" s="32" t="n">
        <x:v>53</x:v>
      </x:c>
      <x:c r="B57" s="32" t="str">
        <x:v>Markov Baron</x:v>
      </x:c>
      <x:c r="C57" s="32" t="n">
        <x:v>1</x:v>
      </x:c>
      <x:c r="D57" s="32" t="str">
        <x:v>Nonland</x:v>
      </x:c>
      <x:c r="E57" s="32" t="str">
        <x:v>4. Lords / combate / evasão</x:v>
      </x:c>
      <x:c r="F57" s="32" t="str">
        <x:v>Lord com lifelink e convoke; reduz custo efetivo numa mesa larga.</x:v>
      </x:c>
      <x:c r="G57" s="32" t="str">
        <x:v>A/B - papel específico</x:v>
      </x:c>
      <x:c r="H57" s="60" t="str">
        <x:v>CURRENT — congelada</x:v>
      </x:c>
    </x:row>
    <x:row r="58" ht="34" customHeight="1">
      <x:c r="A58" s="32" t="n">
        <x:v>54</x:v>
      </x:c>
      <x:c r="B58" s="32" t="str">
        <x:v>Mavren Fein, Dusk Apostle</x:v>
      </x:c>
      <x:c r="C58" s="32" t="n">
        <x:v>1</x:v>
      </x:c>
      <x:c r="D58" s="32" t="str">
        <x:v>Nonland</x:v>
      </x:c>
      <x:c r="E58" s="32" t="str">
        <x:v>3. Fichas / crescimento de mesa</x:v>
      </x:c>
      <x:c r="F58" s="32" t="str">
        <x:v>Cria ficha Vampiro atacante ao atacar com Vampiros não-ficha.</x:v>
      </x:c>
      <x:c r="G58" s="32" t="str">
        <x:v>A/B - papel específico</x:v>
      </x:c>
      <x:c r="H58" s="60" t="str">
        <x:v>CURRENT — congelada</x:v>
      </x:c>
    </x:row>
    <x:row r="59" ht="34" customHeight="1">
      <x:c r="A59" s="32" t="n">
        <x:v>55</x:v>
      </x:c>
      <x:c r="B59" s="32" t="str">
        <x:v>Mirror Entity</x:v>
      </x:c>
      <x:c r="C59" s="32" t="n">
        <x:v>1</x:v>
      </x:c>
      <x:c r="D59" s="32" t="str">
        <x:v>Nonland</x:v>
      </x:c>
      <x:c r="E59" s="32" t="str">
        <x:v>8. Finalizadores / conversão em vitória</x:v>
      </x:c>
      <x:c r="F59" s="32" t="str">
        <x:v>Mana sink que transforma a mesa em ameaça letal.</x:v>
      </x:c>
      <x:c r="G59" s="32" t="str">
        <x:v>A/B - papel específico</x:v>
      </x:c>
      <x:c r="H59" s="60" t="str">
        <x:v>CURRENT — congelada</x:v>
      </x:c>
    </x:row>
    <x:row r="60" ht="34" customHeight="1">
      <x:c r="A60" s="32" t="n">
        <x:v>56</x:v>
      </x:c>
      <x:c r="B60" s="32" t="str">
        <x:v>Mountain</x:v>
      </x:c>
      <x:c r="C60" s="32" t="n">
        <x:v>1</x:v>
      </x:c>
      <x:c r="D60" s="32" t="str">
        <x:v>Land</x:v>
      </x:c>
      <x:c r="E60" s="32" t="str">
        <x:v>Mana base / fora do 8×8</x:v>
      </x:c>
      <x:c r="F60" s="32" t="str">
        <x:v>Fonte de mana/fixação ou utilidade; avaliar entrada virada, cor e custo de oportunidade.</x:v>
      </x:c>
      <x:c r="G60" s="32" t="str">
        <x:v>N/A - mana</x:v>
      </x:c>
      <x:c r="H60" s="60" t="str">
        <x:v>CURRENT — congelada</x:v>
      </x:c>
    </x:row>
    <x:row r="61" ht="34" customHeight="1">
      <x:c r="A61" s="32" t="n">
        <x:v>57</x:v>
      </x:c>
      <x:c r="B61" s="32" t="str">
        <x:v>Necropotence</x:v>
      </x:c>
      <x:c r="C61" s="32" t="n">
        <x:v>1</x:v>
      </x:c>
      <x:c r="D61" s="32" t="str">
        <x:v>Nonland</x:v>
      </x:c>
      <x:c r="E61" s="32" t="str">
        <x:v>2. Compra / seleção / valor</x:v>
      </x:c>
      <x:c r="F61" s="32" t="str">
        <x:v>Motor de compra muito potente que paga vida e aumenta ameaça percebida.</x:v>
      </x:c>
      <x:c r="G61" s="32" t="str">
        <x:v>S</x:v>
      </x:c>
      <x:c r="H61" s="60" t="str">
        <x:v>CURRENT — congelada</x:v>
      </x:c>
    </x:row>
    <x:row r="62" ht="34" customHeight="1">
      <x:c r="A62" s="32" t="n">
        <x:v>58</x:v>
      </x:c>
      <x:c r="B62" s="32" t="str">
        <x:v>Needleverge Pathway</x:v>
      </x:c>
      <x:c r="C62" s="32" t="n">
        <x:v>1</x:v>
      </x:c>
      <x:c r="D62" s="32" t="str">
        <x:v>Land</x:v>
      </x:c>
      <x:c r="E62" s="32" t="str">
        <x:v>Mana base / fora do 8×8</x:v>
      </x:c>
      <x:c r="F62" s="32" t="str">
        <x:v>Fonte de mana/fixação ou utilidade; avaliar entrada virada, cor e custo de oportunidade.</x:v>
      </x:c>
      <x:c r="G62" s="32" t="str">
        <x:v>N/A - mana</x:v>
      </x:c>
      <x:c r="H62" s="60" t="str">
        <x:v>CURRENT — congelada</x:v>
      </x:c>
    </x:row>
    <x:row r="63" ht="34" customHeight="1">
      <x:c r="A63" s="32" t="n">
        <x:v>59</x:v>
      </x:c>
      <x:c r="B63" s="32" t="str">
        <x:v>New Blood</x:v>
      </x:c>
      <x:c r="C63" s="32" t="n">
        <x:v>1</x:v>
      </x:c>
      <x:c r="D63" s="32" t="str">
        <x:v>Nonland</x:v>
      </x:c>
      <x:c r="E63" s="32" t="str">
        <x:v>6. Remoção / interação / controle</x:v>
      </x:c>
      <x:c r="F63" s="32" t="str">
        <x:v>Rouba criatura e transforma seu tipo em Vampiro; interação temática de alto impacto.</x:v>
      </x:c>
      <x:c r="G63" s="32" t="str">
        <x:v>A/B - papel específico</x:v>
      </x:c>
      <x:c r="H63" s="60" t="str">
        <x:v>CURRENT — congelada</x:v>
      </x:c>
    </x:row>
    <x:row r="64" ht="34" customHeight="1">
      <x:c r="A64" s="32" t="n">
        <x:v>60</x:v>
      </x:c>
      <x:c r="B64" s="32" t="str">
        <x:v>Nighthawk Scavenger</x:v>
      </x:c>
      <x:c r="C64" s="32" t="n">
        <x:v>1</x:v>
      </x:c>
      <x:c r="D64" s="32" t="str">
        <x:v>Nonland</x:v>
      </x:c>
      <x:c r="E64" s="32" t="str">
        <x:v>1. Eminence &amp; curva</x:v>
      </x:c>
      <x:c r="F64" s="32" t="str">
        <x:v>Ameaça barata com voar/deathtouch/lifelink, cresce com tipos no cemitério.</x:v>
      </x:c>
      <x:c r="G64" s="32" t="str">
        <x:v>A/B - papel específico</x:v>
      </x:c>
      <x:c r="H64" s="60" t="str">
        <x:v>CURRENT — congelada</x:v>
      </x:c>
    </x:row>
    <x:row r="65" ht="34" customHeight="1">
      <x:c r="A65" s="32" t="n">
        <x:v>61</x:v>
      </x:c>
      <x:c r="B65" s="32" t="str">
        <x:v>Nomad Outpost</x:v>
      </x:c>
      <x:c r="C65" s="32" t="n">
        <x:v>1</x:v>
      </x:c>
      <x:c r="D65" s="32" t="str">
        <x:v>Land</x:v>
      </x:c>
      <x:c r="E65" s="32" t="str">
        <x:v>Mana base / fora do 8×8</x:v>
      </x:c>
      <x:c r="F65" s="32" t="str">
        <x:v>Fonte de mana/fixação ou utilidade; avaliar entrada virada, cor e custo de oportunidade.</x:v>
      </x:c>
      <x:c r="G65" s="32" t="str">
        <x:v>N/A - mana</x:v>
      </x:c>
      <x:c r="H65" s="60" t="str">
        <x:v>CURRENT — congelada</x:v>
      </x:c>
    </x:row>
    <x:row r="66" ht="34" customHeight="1">
      <x:c r="A66" s="32" t="n">
        <x:v>62</x:v>
      </x:c>
      <x:c r="B66" s="32" t="str">
        <x:v>Olivia Voldaren</x:v>
      </x:c>
      <x:c r="C66" s="32" t="n">
        <x:v>1</x:v>
      </x:c>
      <x:c r="D66" s="32" t="str">
        <x:v>Nonland</x:v>
      </x:c>
      <x:c r="E66" s="32" t="str">
        <x:v>6. Remoção / interação / controle</x:v>
      </x:c>
      <x:c r="F66" s="32" t="str">
        <x:v>Remoção pontual e roubo de Vampiro, mas exige grande investimento de mana.</x:v>
      </x:c>
      <x:c r="G66" s="32" t="str">
        <x:v>A/B - papel específico</x:v>
      </x:c>
      <x:c r="H66" s="60" t="str">
        <x:v>CURRENT — congelada</x:v>
      </x:c>
    </x:row>
    <x:row r="67" ht="34" customHeight="1">
      <x:c r="A67" s="32" t="n">
        <x:v>63</x:v>
      </x:c>
      <x:c r="B67" s="32" t="str">
        <x:v>Olivia's Wrath</x:v>
      </x:c>
      <x:c r="C67" s="32" t="n">
        <x:v>1</x:v>
      </x:c>
      <x:c r="D67" s="32" t="str">
        <x:v>Nonland</x:v>
      </x:c>
      <x:c r="E67" s="32" t="str">
        <x:v>6. Remoção / interação / controle</x:v>
      </x:c>
      <x:c r="F67" s="32" t="str">
        <x:v>Limpeza assimétrica que escala com número de Vampiros.</x:v>
      </x:c>
      <x:c r="G67" s="32" t="str">
        <x:v>A/B - papel específico</x:v>
      </x:c>
      <x:c r="H67" s="60" t="str">
        <x:v>CURRENT — congelada</x:v>
      </x:c>
    </x:row>
    <x:row r="68" ht="34" customHeight="1">
      <x:c r="A68" s="32" t="n">
        <x:v>64</x:v>
      </x:c>
      <x:c r="B68" s="32" t="str">
        <x:v>Olivia, Crimson Bride</x:v>
      </x:c>
      <x:c r="C68" s="32" t="n">
        <x:v>1</x:v>
      </x:c>
      <x:c r="D68" s="32" t="str">
        <x:v>Nonland</x:v>
      </x:c>
      <x:c r="E68" s="32" t="str">
        <x:v>7. Proteção / recursão / resiliência</x:v>
      </x:c>
      <x:c r="F68" s="32" t="str">
        <x:v>Recursão de criatura em ataque com haste; alto impacto, custo alto.</x:v>
      </x:c>
      <x:c r="G68" s="32" t="str">
        <x:v>A</x:v>
      </x:c>
      <x:c r="H68" s="60" t="str">
        <x:v>CURRENT — congelada</x:v>
      </x:c>
    </x:row>
    <x:row r="69" ht="34" customHeight="1">
      <x:c r="A69" s="32" t="n">
        <x:v>65</x:v>
      </x:c>
      <x:c r="B69" s="32" t="str">
        <x:v>Pact of the Serpent</x:v>
      </x:c>
      <x:c r="C69" s="32" t="n">
        <x:v>1</x:v>
      </x:c>
      <x:c r="D69" s="32" t="str">
        <x:v>Nonland</x:v>
      </x:c>
      <x:c r="E69" s="32" t="str">
        <x:v>2. Compra / seleção / valor</x:v>
      </x:c>
      <x:c r="F69" s="32" t="str">
        <x:v>Compra de massa baseada na tribo, ao custo de vida proporcional.</x:v>
      </x:c>
      <x:c r="G69" s="32" t="str">
        <x:v>A</x:v>
      </x:c>
      <x:c r="H69" s="60" t="str">
        <x:v>CURRENT — congelada</x:v>
      </x:c>
    </x:row>
    <x:row r="70" ht="34" customHeight="1">
      <x:c r="A70" s="32" t="n">
        <x:v>66</x:v>
      </x:c>
      <x:c r="B70" s="32" t="str">
        <x:v>Path of Ancestry</x:v>
      </x:c>
      <x:c r="C70" s="32" t="n">
        <x:v>1</x:v>
      </x:c>
      <x:c r="D70" s="32" t="str">
        <x:v>Land</x:v>
      </x:c>
      <x:c r="E70" s="32" t="str">
        <x:v>Mana base / fora do 8×8</x:v>
      </x:c>
      <x:c r="F70" s="32" t="str">
        <x:v>Fixação temática; entra virado e pode scry em magia tribal.</x:v>
      </x:c>
      <x:c r="G70" s="32" t="str">
        <x:v>N/A - mana</x:v>
      </x:c>
      <x:c r="H70" s="60" t="str">
        <x:v>CURRENT — congelada</x:v>
      </x:c>
    </x:row>
    <x:row r="71" ht="34" customHeight="1">
      <x:c r="A71" s="32" t="n">
        <x:v>67</x:v>
      </x:c>
      <x:c r="B71" s="32" t="str">
        <x:v>Plains</x:v>
      </x:c>
      <x:c r="C71" s="32" t="n">
        <x:v>1</x:v>
      </x:c>
      <x:c r="D71" s="32" t="str">
        <x:v>Land</x:v>
      </x:c>
      <x:c r="E71" s="32" t="str">
        <x:v>Mana base / fora do 8×8</x:v>
      </x:c>
      <x:c r="F71" s="32" t="str">
        <x:v>Fonte de mana/fixação ou utilidade; avaliar entrada virada, cor e custo de oportunidade.</x:v>
      </x:c>
      <x:c r="G71" s="32" t="str">
        <x:v>N/A - mana</x:v>
      </x:c>
      <x:c r="H71" s="60" t="str">
        <x:v>CURRENT — congelada</x:v>
      </x:c>
    </x:row>
    <x:row r="72" ht="34" customHeight="1">
      <x:c r="A72" s="32" t="n">
        <x:v>68</x:v>
      </x:c>
      <x:c r="B72" s="32" t="str">
        <x:v>Preacher of the Schism</x:v>
      </x:c>
      <x:c r="C72" s="32" t="n">
        <x:v>1</x:v>
      </x:c>
      <x:c r="D72" s="32" t="str">
        <x:v>Nonland</x:v>
      </x:c>
      <x:c r="E72" s="32" t="str">
        <x:v>2. Compra / seleção / valor</x:v>
      </x:c>
      <x:c r="F72" s="32" t="str">
        <x:v>Escolha de valor ou ficha no combate; exige tempo e decisão política.</x:v>
      </x:c>
      <x:c r="G72" s="32" t="str">
        <x:v>A/B - papel específico</x:v>
      </x:c>
      <x:c r="H72" s="60" t="str">
        <x:v>CURRENT — congelada</x:v>
      </x:c>
    </x:row>
    <x:row r="73" ht="34" customHeight="1">
      <x:c r="A73" s="32" t="n">
        <x:v>69</x:v>
      </x:c>
      <x:c r="B73" s="32" t="str">
        <x:v>Rite of Oblivion</x:v>
      </x:c>
      <x:c r="C73" s="32" t="n">
        <x:v>1</x:v>
      </x:c>
      <x:c r="D73" s="32" t="str">
        <x:v>Nonland</x:v>
      </x:c>
      <x:c r="E73" s="32" t="str">
        <x:v>6. Remoção / interação / controle</x:v>
      </x:c>
      <x:c r="F73" s="32" t="str">
        <x:v>Exílio de permanente não-terreno com sacrifício e flashback.</x:v>
      </x:c>
      <x:c r="G73" s="32" t="str">
        <x:v>A/B - papel específico</x:v>
      </x:c>
      <x:c r="H73" s="60" t="str">
        <x:v>CURRENT — congelada</x:v>
      </x:c>
    </x:row>
    <x:row r="74" ht="34" customHeight="1">
      <x:c r="A74" s="32" t="n">
        <x:v>70</x:v>
      </x:c>
      <x:c r="B74" s="32" t="str">
        <x:v>Roaming Throne</x:v>
      </x:c>
      <x:c r="C74" s="32" t="n">
        <x:v>1</x:v>
      </x:c>
      <x:c r="D74" s="32" t="str">
        <x:v>Nonland</x:v>
      </x:c>
      <x:c r="E74" s="32" t="str">
        <x:v>2. Compra / seleção / valor</x:v>
      </x:c>
      <x:c r="F74" s="32" t="str">
        <x:v>Duplica habilidade desencadeada de criatura do tipo escolhido no campo; não presumir que duplica Eminência se Edgar estiver apenas na zona de comando.</x:v>
      </x:c>
      <x:c r="G74" s="32" t="str">
        <x:v>A/B - papel específico</x:v>
      </x:c>
      <x:c r="H74" s="60" t="str">
        <x:v>CURRENT — congelada</x:v>
      </x:c>
    </x:row>
    <x:row r="75" ht="34" customHeight="1">
      <x:c r="A75" s="32" t="n">
        <x:v>71</x:v>
      </x:c>
      <x:c r="B75" s="32" t="str">
        <x:v>Rugged Prairie</x:v>
      </x:c>
      <x:c r="C75" s="32" t="n">
        <x:v>1</x:v>
      </x:c>
      <x:c r="D75" s="32" t="str">
        <x:v>Land</x:v>
      </x:c>
      <x:c r="E75" s="32" t="str">
        <x:v>Mana base / fora do 8×8</x:v>
      </x:c>
      <x:c r="F75" s="32" t="str">
        <x:v>Fonte de mana/fixação ou utilidade; avaliar entrada virada, cor e custo de oportunidade.</x:v>
      </x:c>
      <x:c r="G75" s="32" t="str">
        <x:v>N/A - mana</x:v>
      </x:c>
      <x:c r="H75" s="60" t="str">
        <x:v>CURRENT — congelada</x:v>
      </x:c>
    </x:row>
    <x:row r="76" ht="34" customHeight="1">
      <x:c r="A76" s="32" t="n">
        <x:v>72</x:v>
      </x:c>
      <x:c r="B76" s="32" t="str">
        <x:v>Ruinous Ultimatum</x:v>
      </x:c>
      <x:c r="C76" s="32" t="n">
        <x:v>1</x:v>
      </x:c>
      <x:c r="D76" s="32" t="str">
        <x:v>Nonland</x:v>
      </x:c>
      <x:c r="E76" s="32" t="str">
        <x:v>6. Remoção / interação / controle</x:v>
      </x:c>
      <x:c r="F76" s="32" t="str">
        <x:v>Limpeza assimétrica muito forte, mas cara e com requisitos de cor exigentes.</x:v>
      </x:c>
      <x:c r="G76" s="32" t="str">
        <x:v>A/B - forte, mas caro</x:v>
      </x:c>
      <x:c r="H76" s="60" t="str">
        <x:v>CURRENT — congelada</x:v>
      </x:c>
    </x:row>
    <x:row r="77" ht="34" customHeight="1">
      <x:c r="A77" s="32" t="n">
        <x:v>73</x:v>
      </x:c>
      <x:c r="B77" s="32" t="str">
        <x:v>Ruthless Lawbringer</x:v>
      </x:c>
      <x:c r="C77" s="32" t="n">
        <x:v>1</x:v>
      </x:c>
      <x:c r="D77" s="32" t="str">
        <x:v>Nonland</x:v>
      </x:c>
      <x:c r="E77" s="32" t="str">
        <x:v>6. Remoção / interação / controle</x:v>
      </x:c>
      <x:c r="F77" s="32" t="str">
        <x:v>Remoção de permanente não-terreno ao sacrificar outra criatura na entrada.</x:v>
      </x:c>
      <x:c r="G77" s="32" t="str">
        <x:v>A/B - papel específico</x:v>
      </x:c>
      <x:c r="H77" s="60" t="str">
        <x:v>CURRENT — congelada</x:v>
      </x:c>
    </x:row>
    <x:row r="78" ht="34" customHeight="1">
      <x:c r="A78" s="32" t="n">
        <x:v>74</x:v>
      </x:c>
      <x:c r="B78" s="32" t="str">
        <x:v>Savai Triome</x:v>
      </x:c>
      <x:c r="C78" s="32" t="n">
        <x:v>1</x:v>
      </x:c>
      <x:c r="D78" s="32" t="str">
        <x:v>Land</x:v>
      </x:c>
      <x:c r="E78" s="32" t="str">
        <x:v>Mana base / fora do 8×8</x:v>
      </x:c>
      <x:c r="F78" s="32" t="str">
        <x:v>Fonte de mana/fixação ou utilidade; avaliar entrada virada, cor e custo de oportunidade.</x:v>
      </x:c>
      <x:c r="G78" s="32" t="str">
        <x:v>N/A - mana</x:v>
      </x:c>
      <x:c r="H78" s="60" t="str">
        <x:v>CURRENT — congelada</x:v>
      </x:c>
    </x:row>
    <x:row r="79" ht="34" customHeight="1">
      <x:c r="A79" s="32" t="n">
        <x:v>75</x:v>
      </x:c>
      <x:c r="B79" s="32" t="str">
        <x:v>Secluded Courtyard</x:v>
      </x:c>
      <x:c r="C79" s="32" t="n">
        <x:v>1</x:v>
      </x:c>
      <x:c r="D79" s="32" t="str">
        <x:v>Land</x:v>
      </x:c>
      <x:c r="E79" s="32" t="str">
        <x:v>Mana base / fora do 8×8</x:v>
      </x:c>
      <x:c r="F79" s="32" t="str">
        <x:v>Fonte de mana/fixação ou utilidade; avaliar entrada virada, cor e custo de oportunidade.</x:v>
      </x:c>
      <x:c r="G79" s="32" t="str">
        <x:v>N/A - mana</x:v>
      </x:c>
      <x:c r="H79" s="60" t="str">
        <x:v>CURRENT — congelada</x:v>
      </x:c>
    </x:row>
    <x:row r="80" ht="34" customHeight="1">
      <x:c r="A80" s="32" t="n">
        <x:v>76</x:v>
      </x:c>
      <x:c r="B80" s="32" t="str">
        <x:v>Shared Animosity</x:v>
      </x:c>
      <x:c r="C80" s="32" t="n">
        <x:v>1</x:v>
      </x:c>
      <x:c r="D80" s="32" t="str">
        <x:v>Nonland</x:v>
      </x:c>
      <x:c r="E80" s="32" t="str">
        <x:v>8. Finalizadores / conversão em vitória</x:v>
      </x:c>
      <x:c r="F80" s="32" t="str">
        <x:v>Uma das conversões mais eficientes de uma mesa larga em dano letal.</x:v>
      </x:c>
      <x:c r="G80" s="32" t="str">
        <x:v>S</x:v>
      </x:c>
      <x:c r="H80" s="60" t="str">
        <x:v>CURRENT — congelada</x:v>
      </x:c>
    </x:row>
    <x:row r="81" ht="34" customHeight="1">
      <x:c r="A81" s="32" t="n">
        <x:v>77</x:v>
      </x:c>
      <x:c r="B81" s="32" t="str">
        <x:v>Shattered Landscape</x:v>
      </x:c>
      <x:c r="C81" s="32" t="n">
        <x:v>1</x:v>
      </x:c>
      <x:c r="D81" s="32" t="str">
        <x:v>Land</x:v>
      </x:c>
      <x:c r="E81" s="32" t="str">
        <x:v>Mana base / fora do 8×8</x:v>
      </x:c>
      <x:c r="F81" s="32" t="str">
        <x:v>Terreno utilitário de fixação tardia; entra no cálculo de fonte com custo de oportunidade.</x:v>
      </x:c>
      <x:c r="G81" s="32" t="str">
        <x:v>N/A - mana</x:v>
      </x:c>
      <x:c r="H81" s="60" t="str">
        <x:v>CURRENT — congelada</x:v>
      </x:c>
    </x:row>
    <x:row r="82" ht="34" customHeight="1">
      <x:c r="A82" s="32" t="n">
        <x:v>78</x:v>
      </x:c>
      <x:c r="B82" s="32" t="str">
        <x:v>Skullclamp</x:v>
      </x:c>
      <x:c r="C82" s="32" t="n">
        <x:v>1</x:v>
      </x:c>
      <x:c r="D82" s="32" t="str">
        <x:v>Nonland</x:v>
      </x:c>
      <x:c r="E82" s="32" t="str">
        <x:v>2. Compra / seleção / valor</x:v>
      </x:c>
      <x:c r="F82" s="32" t="str">
        <x:v>Motor de compra com fichas 1/1; sacrifício vira duas cartas.</x:v>
      </x:c>
      <x:c r="G82" s="32" t="str">
        <x:v>S</x:v>
      </x:c>
      <x:c r="H82" s="60" t="str">
        <x:v>CURRENT — congelada</x:v>
      </x:c>
    </x:row>
    <x:row r="83" ht="34" customHeight="1">
      <x:c r="A83" s="32" t="n">
        <x:v>79</x:v>
      </x:c>
      <x:c r="B83" s="32" t="str">
        <x:v>Stromkirk Captain</x:v>
      </x:c>
      <x:c r="C83" s="32" t="n">
        <x:v>1</x:v>
      </x:c>
      <x:c r="D83" s="32" t="str">
        <x:v>Nonland</x:v>
      </x:c>
      <x:c r="E83" s="32" t="str">
        <x:v>4. Lords / combate / evasão</x:v>
      </x:c>
      <x:c r="F83" s="32" t="str">
        <x:v>Lord que também fornece first strike.</x:v>
      </x:c>
      <x:c r="G83" s="32" t="str">
        <x:v>A</x:v>
      </x:c>
      <x:c r="H83" s="60" t="str">
        <x:v>CURRENT — congelada</x:v>
      </x:c>
    </x:row>
    <x:row r="84" ht="34" customHeight="1">
      <x:c r="A84" s="32" t="n">
        <x:v>80</x:v>
      </x:c>
      <x:c r="B84" s="32" t="str">
        <x:v>Swamp</x:v>
      </x:c>
      <x:c r="C84" s="32" t="n">
        <x:v>1</x:v>
      </x:c>
      <x:c r="D84" s="32" t="str">
        <x:v>Land</x:v>
      </x:c>
      <x:c r="E84" s="32" t="str">
        <x:v>Mana base / fora do 8×8</x:v>
      </x:c>
      <x:c r="F84" s="32" t="str">
        <x:v>Fonte de mana/fixação ou utilidade; avaliar entrada virada, cor e custo de oportunidade.</x:v>
      </x:c>
      <x:c r="G84" s="32" t="str">
        <x:v>N/A - mana</x:v>
      </x:c>
      <x:c r="H84" s="60" t="str">
        <x:v>CURRENT — congelada</x:v>
      </x:c>
    </x:row>
    <x:row r="85" ht="34" customHeight="1">
      <x:c r="A85" s="32" t="n">
        <x:v>81</x:v>
      </x:c>
      <x:c r="B85" s="32" t="str">
        <x:v>Swamp</x:v>
      </x:c>
      <x:c r="C85" s="32" t="n">
        <x:v>1</x:v>
      </x:c>
      <x:c r="D85" s="32" t="str">
        <x:v>Land</x:v>
      </x:c>
      <x:c r="E85" s="32" t="str">
        <x:v>Mana base / fora do 8×8</x:v>
      </x:c>
      <x:c r="F85" s="32" t="str">
        <x:v>Fonte de mana/fixação ou utilidade; avaliar entrada virada, cor e custo de oportunidade.</x:v>
      </x:c>
      <x:c r="G85" s="32" t="str">
        <x:v>N/A - mana</x:v>
      </x:c>
      <x:c r="H85" s="60" t="str">
        <x:v>CURRENT — congelada</x:v>
      </x:c>
    </x:row>
    <x:row r="86" ht="34" customHeight="1">
      <x:c r="A86" s="32" t="n">
        <x:v>82</x:v>
      </x:c>
      <x:c r="B86" s="32" t="str">
        <x:v>Teferi's Protection</x:v>
      </x:c>
      <x:c r="C86" s="32" t="n">
        <x:v>1</x:v>
      </x:c>
      <x:c r="D86" s="32" t="str">
        <x:v>Nonland</x:v>
      </x:c>
      <x:c r="E86" s="32" t="str">
        <x:v>7. Proteção / recursão / resiliência</x:v>
      </x:c>
      <x:c r="F86" s="32" t="str">
        <x:v>Proteção ampla contra remoção e dano até o próximo turno.</x:v>
      </x:c>
      <x:c r="G86" s="32" t="str">
        <x:v>S</x:v>
      </x:c>
      <x:c r="H86" s="60" t="str">
        <x:v>CURRENT — congelada</x:v>
      </x:c>
    </x:row>
    <x:row r="87" ht="34" customHeight="1">
      <x:c r="A87" s="32" t="n">
        <x:v>83</x:v>
      </x:c>
      <x:c r="B87" s="32" t="str">
        <x:v>Temple of Malice</x:v>
      </x:c>
      <x:c r="C87" s="32" t="n">
        <x:v>1</x:v>
      </x:c>
      <x:c r="D87" s="32" t="str">
        <x:v>Land</x:v>
      </x:c>
      <x:c r="E87" s="32" t="str">
        <x:v>Mana base / fora do 8×8</x:v>
      </x:c>
      <x:c r="F87" s="32" t="str">
        <x:v>Fonte de mana/fixação ou utilidade; avaliar entrada virada, cor e custo de oportunidade.</x:v>
      </x:c>
      <x:c r="G87" s="32" t="str">
        <x:v>N/A - mana</x:v>
      </x:c>
      <x:c r="H87" s="60" t="str">
        <x:v>CURRENT — congelada</x:v>
      </x:c>
    </x:row>
    <x:row r="88" ht="34" customHeight="1">
      <x:c r="A88" s="32" t="n">
        <x:v>84</x:v>
      </x:c>
      <x:c r="B88" s="32" t="str">
        <x:v>Temple of Silence</x:v>
      </x:c>
      <x:c r="C88" s="32" t="n">
        <x:v>1</x:v>
      </x:c>
      <x:c r="D88" s="32" t="str">
        <x:v>Land</x:v>
      </x:c>
      <x:c r="E88" s="32" t="str">
        <x:v>Mana base / fora do 8×8</x:v>
      </x:c>
      <x:c r="F88" s="32" t="str">
        <x:v>Fonte de mana/fixação ou utilidade; avaliar entrada virada, cor e custo de oportunidade.</x:v>
      </x:c>
      <x:c r="G88" s="32" t="str">
        <x:v>N/A - mana</x:v>
      </x:c>
      <x:c r="H88" s="60" t="str">
        <x:v>CURRENT — congelada</x:v>
      </x:c>
    </x:row>
    <x:row r="89" ht="34" customHeight="1">
      <x:c r="A89" s="32" t="n">
        <x:v>85</x:v>
      </x:c>
      <x:c r="B89" s="32" t="str">
        <x:v>Temple of Triumph</x:v>
      </x:c>
      <x:c r="C89" s="32" t="n">
        <x:v>1</x:v>
      </x:c>
      <x:c r="D89" s="32" t="str">
        <x:v>Land</x:v>
      </x:c>
      <x:c r="E89" s="32" t="str">
        <x:v>Mana base / fora do 8×8</x:v>
      </x:c>
      <x:c r="F89" s="32" t="str">
        <x:v>Fonte de mana/fixação ou utilidade; avaliar entrada virada, cor e custo de oportunidade.</x:v>
      </x:c>
      <x:c r="G89" s="32" t="str">
        <x:v>N/A - mana</x:v>
      </x:c>
      <x:c r="H89" s="60" t="str">
        <x:v>CURRENT — congelada</x:v>
      </x:c>
    </x:row>
    <x:row r="90" ht="34" customHeight="1">
      <x:c r="A90" s="32" t="n">
        <x:v>86</x:v>
      </x:c>
      <x:c r="B90" s="32" t="str">
        <x:v>Temple of the False God</x:v>
      </x:c>
      <x:c r="C90" s="32" t="n">
        <x:v>1</x:v>
      </x:c>
      <x:c r="D90" s="32" t="str">
        <x:v>Land</x:v>
      </x:c>
      <x:c r="E90" s="32" t="str">
        <x:v>Mana base / fora do 8×8</x:v>
      </x:c>
      <x:c r="F90" s="32" t="str">
        <x:v>Fonte de mana/fixação ou utilidade; avaliar entrada virada, cor e custo de oportunidade.</x:v>
      </x:c>
      <x:c r="G90" s="32" t="str">
        <x:v>C - fonte condicional</x:v>
      </x:c>
      <x:c r="H90" s="60" t="str">
        <x:v>CURRENT — congelada</x:v>
      </x:c>
    </x:row>
    <x:row r="91" ht="34" customHeight="1">
      <x:c r="A91" s="32" t="n">
        <x:v>87</x:v>
      </x:c>
      <x:c r="B91" s="32" t="str">
        <x:v>Toxic Deluge</x:v>
      </x:c>
      <x:c r="C91" s="32" t="n">
        <x:v>1</x:v>
      </x:c>
      <x:c r="D91" s="32" t="str">
        <x:v>Nonland</x:v>
      </x:c>
      <x:c r="E91" s="32" t="str">
        <x:v>6. Remoção / interação / controle</x:v>
      </x:c>
      <x:c r="F91" s="32" t="str">
        <x:v>Limpeza eficiente contra criaturas grandes/indestrutíveis, pagando vida.</x:v>
      </x:c>
      <x:c r="G91" s="32" t="str">
        <x:v>A/B - papel específico</x:v>
      </x:c>
      <x:c r="H91" s="60" t="str">
        <x:v>CURRENT — congelada</x:v>
      </x:c>
    </x:row>
    <x:row r="92" ht="34" customHeight="1">
      <x:c r="A92" s="32" t="n">
        <x:v>88</x:v>
      </x:c>
      <x:c r="B92" s="32" t="str">
        <x:v>Unclaimed Territory</x:v>
      </x:c>
      <x:c r="C92" s="32" t="n">
        <x:v>1</x:v>
      </x:c>
      <x:c r="D92" s="32" t="str">
        <x:v>Land</x:v>
      </x:c>
      <x:c r="E92" s="32" t="str">
        <x:v>Mana base / fora do 8×8</x:v>
      </x:c>
      <x:c r="F92" s="32" t="str">
        <x:v>Fixação tribal para Vampiros; atenção às mágicas não-Vampiro.</x:v>
      </x:c>
      <x:c r="G92" s="32" t="str">
        <x:v>N/A - mana</x:v>
      </x:c>
      <x:c r="H92" s="60" t="str">
        <x:v>CURRENT — congelada</x:v>
      </x:c>
    </x:row>
    <x:row r="93" ht="34" customHeight="1">
      <x:c r="A93" s="32" t="n">
        <x:v>89</x:v>
      </x:c>
      <x:c r="B93" s="32" t="str">
        <x:v>Valgavoth's Lair</x:v>
      </x:c>
      <x:c r="C93" s="32" t="n">
        <x:v>1</x:v>
      </x:c>
      <x:c r="D93" s="32" t="str">
        <x:v>Land</x:v>
      </x:c>
      <x:c r="E93" s="32" t="str">
        <x:v>Mana base / fora do 8×8</x:v>
      </x:c>
      <x:c r="F93" s="32" t="str">
        <x:v>Terreno de fixação/valor conforme texto Oracle; verificar velocidade na auditoria de mana.</x:v>
      </x:c>
      <x:c r="G93" s="32" t="str">
        <x:v>N/A - mana</x:v>
      </x:c>
      <x:c r="H93" s="60" t="str">
        <x:v>CURRENT — congelada</x:v>
      </x:c>
    </x:row>
    <x:row r="94" ht="34" customHeight="1">
      <x:c r="A94" s="32" t="n">
        <x:v>90</x:v>
      </x:c>
      <x:c r="B94" s="32" t="str">
        <x:v>Vampire Nocturnus</x:v>
      </x:c>
      <x:c r="C94" s="32" t="n">
        <x:v>1</x:v>
      </x:c>
      <x:c r="D94" s="32" t="str">
        <x:v>Nonland</x:v>
      </x:c>
      <x:c r="E94" s="32" t="str">
        <x:v>4. Lords / combate / evasão</x:v>
      </x:c>
      <x:c r="F94" s="32" t="str">
        <x:v>Payoff condicional pelo topo preto; pode dar evasão e +2/+1 ao time.</x:v>
      </x:c>
      <x:c r="G94" s="32" t="str">
        <x:v>A/B - papel específico</x:v>
      </x:c>
      <x:c r="H94" s="60" t="str">
        <x:v>CURRENT — congelada</x:v>
      </x:c>
    </x:row>
    <x:row r="95" ht="34" customHeight="1">
      <x:c r="A95" s="32" t="n">
        <x:v>91</x:v>
      </x:c>
      <x:c r="B95" s="32" t="str">
        <x:v>Vampire Socialite</x:v>
      </x:c>
      <x:c r="C95" s="32" t="n">
        <x:v>1</x:v>
      </x:c>
      <x:c r="D95" s="32" t="str">
        <x:v>Nonland</x:v>
      </x:c>
      <x:c r="E95" s="32" t="str">
        <x:v>4. Lords / combate / evasão</x:v>
      </x:c>
      <x:c r="F95" s="32" t="str">
        <x:v>Payoff barato de marcadores quando o oponente perdeu vida.</x:v>
      </x:c>
      <x:c r="G95" s="32" t="str">
        <x:v>A</x:v>
      </x:c>
      <x:c r="H95" s="60" t="str">
        <x:v>CURRENT — congelada</x:v>
      </x:c>
    </x:row>
    <x:row r="96" ht="34" customHeight="1">
      <x:c r="A96" s="32" t="n">
        <x:v>92</x:v>
      </x:c>
      <x:c r="B96" s="32" t="str">
        <x:v>Vampire of the Dire Moon</x:v>
      </x:c>
      <x:c r="C96" s="32" t="n">
        <x:v>1</x:v>
      </x:c>
      <x:c r="D96" s="32" t="str">
        <x:v>Nonland</x:v>
      </x:c>
      <x:c r="E96" s="32" t="str">
        <x:v>1. Eminence &amp; curva</x:v>
      </x:c>
      <x:c r="F96" s="32" t="str">
        <x:v>Vampiro barato com lifelink/deathtouch que ativa Eminência.</x:v>
      </x:c>
      <x:c r="G96" s="32" t="str">
        <x:v>A/B - papel específico</x:v>
      </x:c>
      <x:c r="H96" s="60" t="str">
        <x:v>CURRENT — congelada</x:v>
      </x:c>
    </x:row>
    <x:row r="97" ht="34" customHeight="1">
      <x:c r="A97" s="32" t="n">
        <x:v>93</x:v>
      </x:c>
      <x:c r="B97" s="32" t="str">
        <x:v>Vault of the Archangel</x:v>
      </x:c>
      <x:c r="C97" s="32" t="n">
        <x:v>1</x:v>
      </x:c>
      <x:c r="D97" s="32" t="str">
        <x:v>Land</x:v>
      </x:c>
      <x:c r="E97" s="32" t="str">
        <x:v>Mana base / fora do 8×8</x:v>
      </x:c>
      <x:c r="F97" s="32" t="str">
        <x:v>Terreno utilitário que transforma ataques largos em lifelink/deathtouch.</x:v>
      </x:c>
      <x:c r="G97" s="32" t="str">
        <x:v>N/A - mana</x:v>
      </x:c>
      <x:c r="H97" s="60" t="str">
        <x:v>CURRENT — congelada</x:v>
      </x:c>
    </x:row>
    <x:row r="98" ht="34" customHeight="1">
      <x:c r="A98" s="32" t="n">
        <x:v>94</x:v>
      </x:c>
      <x:c r="B98" s="32" t="str">
        <x:v>Vito, Fanatic of Aclazotz</x:v>
      </x:c>
      <x:c r="C98" s="32" t="n">
        <x:v>1</x:v>
      </x:c>
      <x:c r="D98" s="32" t="str">
        <x:v>Nonland</x:v>
      </x:c>
      <x:c r="E98" s="32" t="str">
        <x:v>5. Drenagem / aristocratas / sacrifício</x:v>
      </x:c>
      <x:c r="F98" s="32" t="str">
        <x:v>Payoff de sacrifícios escalonado no turno: vida, drenagem, depois token 4/3.</x:v>
      </x:c>
      <x:c r="G98" s="32" t="str">
        <x:v>A</x:v>
      </x:c>
      <x:c r="H98" s="60" t="str">
        <x:v>CURRENT — congelada</x:v>
      </x:c>
    </x:row>
    <x:row r="99" ht="34" customHeight="1">
      <x:c r="A99" s="32" t="n">
        <x:v>95</x:v>
      </x:c>
      <x:c r="B99" s="32" t="str">
        <x:v>Vito, Thorn of the Dusk Rose</x:v>
      </x:c>
      <x:c r="C99" s="32" t="n">
        <x:v>1</x:v>
      </x:c>
      <x:c r="D99" s="32" t="str">
        <x:v>Nonland</x:v>
      </x:c>
      <x:c r="E99" s="32" t="str">
        <x:v>5. Drenagem / aristocratas / sacrifício</x:v>
      </x:c>
      <x:c r="F99" s="32" t="str">
        <x:v>Peça de combo/drenagem; com Bloodthirsty Conqueror, cada perda de vida pode iniciar loop letal.</x:v>
      </x:c>
      <x:c r="G99" s="32" t="str">
        <x:v>S</x:v>
      </x:c>
      <x:c r="H99" s="60" t="str">
        <x:v>CURRENT — congelada</x:v>
      </x:c>
    </x:row>
    <x:row r="100" ht="34" customHeight="1">
      <x:c r="A100" s="32" t="n">
        <x:v>96</x:v>
      </x:c>
      <x:c r="B100" s="32" t="str">
        <x:v>Voldaren Estate</x:v>
      </x:c>
      <x:c r="C100" s="32" t="n">
        <x:v>1</x:v>
      </x:c>
      <x:c r="D100" s="32" t="str">
        <x:v>Land</x:v>
      </x:c>
      <x:c r="E100" s="32" t="str">
        <x:v>Mana base / fora do 8×8</x:v>
      </x:c>
      <x:c r="F100" s="32" t="str">
        <x:v>Terreno temático; pode produzir Blood ao custo apropriado.</x:v>
      </x:c>
      <x:c r="G100" s="32" t="str">
        <x:v>N/A - mana</x:v>
      </x:c>
      <x:c r="H100" s="60" t="str">
        <x:v>CURRENT — congelada</x:v>
      </x:c>
    </x:row>
    <x:row r="101" ht="34" customHeight="1">
      <x:c r="A101" s="32" t="n">
        <x:v>97</x:v>
      </x:c>
      <x:c r="B101" s="32" t="str">
        <x:v>Welcoming Vampire</x:v>
      </x:c>
      <x:c r="C101" s="32" t="n">
        <x:v>1</x:v>
      </x:c>
      <x:c r="D101" s="32" t="str">
        <x:v>Nonland</x:v>
      </x:c>
      <x:c r="E101" s="32" t="str">
        <x:v>2. Compra / seleção / valor</x:v>
      </x:c>
      <x:c r="F101" s="32" t="str">
        <x:v>Compra recorrente quando criaturas pequenas entram, limitada a uma vez por turno.</x:v>
      </x:c>
      <x:c r="G101" s="32" t="str">
        <x:v>A</x:v>
      </x:c>
      <x:c r="H101" s="60" t="str">
        <x:v>CURRENT — congelada</x:v>
      </x:c>
    </x:row>
    <x:row r="102" ht="34" customHeight="1">
      <x:c r="A102" s="32" t="n">
        <x:v>98</x:v>
      </x:c>
      <x:c r="B102" s="32" t="str">
        <x:v>Windbrisk Heights</x:v>
      </x:c>
      <x:c r="C102" s="32" t="n">
        <x:v>1</x:v>
      </x:c>
      <x:c r="D102" s="32" t="str">
        <x:v>Land</x:v>
      </x:c>
      <x:c r="E102" s="32" t="str">
        <x:v>Mana base / fora do 8×8</x:v>
      </x:c>
      <x:c r="F102" s="32" t="str">
        <x:v>Hideaway que pode lançar carta escondida após atacar com três criaturas.</x:v>
      </x:c>
      <x:c r="G102" s="32" t="str">
        <x:v>N/A - mana</x:v>
      </x:c>
      <x:c r="H102" s="60" t="str">
        <x:v>CURRENT — congelada</x:v>
      </x:c>
    </x:row>
    <x:row r="103" ht="34" customHeight="1">
      <x:c r="A103" s="32" t="n">
        <x:v>99</x:v>
      </x:c>
      <x:c r="B103" s="32" t="str">
        <x:v>Yahenni, Undying Partisan</x:v>
      </x:c>
      <x:c r="C103" s="32" t="n">
        <x:v>1</x:v>
      </x:c>
      <x:c r="D103" s="32" t="str">
        <x:v>Nonland</x:v>
      </x:c>
      <x:c r="E103" s="32" t="str">
        <x:v>5. Drenagem / aristocratas / sacrifício</x:v>
      </x:c>
      <x:c r="F103" s="32" t="str">
        <x:v>Sac outlet gratuito e pode ganhar indestrutível quando criatura adversária morre.</x:v>
      </x:c>
      <x:c r="G103" s="32" t="str">
        <x:v>A/B - papel específico</x:v>
      </x:c>
      <x:c r="H103" s="60" t="str">
        <x:v>CURRENT — congelada</x:v>
      </x:c>
    </x:row>
    <x:row r="104" ht="34" customHeight="1">
      <x:c r="A104" s="32" t="n">
        <x:v>100</x:v>
      </x:c>
      <x:c r="B104" s="32" t="str">
        <x:v>Your Temple Is Under Attack</x:v>
      </x:c>
      <x:c r="C104" s="32" t="n">
        <x:v>1</x:v>
      </x:c>
      <x:c r="D104" s="32" t="str">
        <x:v>Nonland</x:v>
      </x:c>
      <x:c r="E104" s="32" t="str">
        <x:v>7. Proteção / recursão / resiliência</x:v>
      </x:c>
      <x:c r="F104" s="32" t="str">
        <x:v>Função a validar pelo texto Oracle e pela linha de jogo; sem corte automático.</x:v>
      </x:c>
      <x:c r="G104" s="32" t="str">
        <x:v>A/B - papel específico</x:v>
      </x:c>
      <x:c r="H104" s="60" t="str">
        <x:v>CURRENT — congelada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defaultRowHeight="15"/>
  <x:cols>
    <x:col min="1" max="1" width="5" hidden="0" customWidth="1"/>
    <x:col min="2" max="2" width="29" hidden="0" customWidth="1"/>
    <x:col min="3" max="3" width="7" hidden="0" customWidth="1"/>
    <x:col min="4" max="4" width="13" hidden="0" customWidth="1"/>
    <x:col min="5" max="5" width="34" hidden="0" customWidth="1"/>
    <x:col min="6" max="6" width="68" hidden="0" customWidth="1"/>
    <x:col min="7" max="7" width="17" hidden="0" customWidth="1"/>
    <x:col min="8" max="8" width="32" hidden="0" customWidth="1"/>
  </x:cols>
  <x:sheetData>
    <x:row r="1" ht="30" customHeight="1">
      <x:c r="A1" s="81" t="str">
        <x:v>EDGAR MARKOV — PROPOSED V2 (RESEARCH DEEP REVIEW)</x:v>
      </x:c>
      <x:c r="B1" s="81"/>
      <x:c r="C1" s="81"/>
      <x:c r="D1" s="81"/>
      <x:c r="E1" s="81"/>
      <x:c r="F1" s="81"/>
      <x:c r="G1" s="81"/>
      <x:c r="H1" s="81"/>
    </x:row>
    <x:row r="2" ht="32" customHeight="1">
      <x:c r="A2" s="83" t="str">
        <x:v>Lista-alvo estrutural, ainda NÃO testada/adquirida. 16 hipóteses no total; não implementar em bloco. Sem Sol Ring, Signets ou rocks genéricos. CURRENT permanece congelada.</x:v>
      </x:c>
      <x:c r="B2" s="83"/>
      <x:c r="C2" s="83"/>
      <x:c r="D2" s="83"/>
      <x:c r="E2" s="83"/>
      <x:c r="F2" s="83"/>
      <x:c r="G2" s="83"/>
      <x:c r="H2" s="83"/>
    </x:row>
    <x:row r="3">
      <x:c r="A3"/>
      <x:c r="B3"/>
      <x:c r="C3"/>
      <x:c r="D3"/>
      <x:c r="E3"/>
      <x:c r="F3"/>
      <x:c r="G3"/>
      <x:c r="H3"/>
    </x:row>
    <x:row r="4" ht="28" customHeight="1">
      <x:c r="A4" s="86" t="str">
        <x:v>#</x:v>
      </x:c>
      <x:c r="B4" s="86" t="str">
        <x:v>Card</x:v>
      </x:c>
      <x:c r="C4" s="86" t="str">
        <x:v>Qty</x:v>
      </x:c>
      <x:c r="D4" s="86" t="str">
        <x:v>Tipo físico</x:v>
      </x:c>
      <x:c r="E4" s="86" t="str">
        <x:v>Grupo primário</x:v>
      </x:c>
      <x:c r="F4" s="86" t="str">
        <x:v>Função / papel no deck</x:v>
      </x:c>
      <x:c r="G4" s="86" t="str">
        <x:v>Tier de encaixe</x:v>
      </x:c>
      <x:c r="H4" s="86" t="str">
        <x:v>Estado</x:v>
      </x:c>
    </x:row>
    <x:row r="5" ht="24" hidden="0" customHeight="1">
      <x:c r="A5" s="85" t="n">
        <x:v>1</x:v>
      </x:c>
      <x:c r="B5" s="79" t="str">
        <x:v>Edgar Markov</x:v>
      </x:c>
      <x:c r="C5" s="85" t="n">
        <x:v>1</x:v>
      </x:c>
      <x:c r="D5" s="79" t="str">
        <x:v>Commander</x:v>
      </x:c>
      <x:c r="E5" s="79" t="str">
        <x:v>Mana base / fora do 8×8</x:v>
      </x:c>
      <x:c r="F5" s="79" t="str">
        <x:v>Comandante; Eminência gera ficha ao conjurar Vampiro e o ataque põe marcadores em todos os Vampiros.</x:v>
      </x:c>
      <x:c r="G5" s="79" t="str">
        <x:v>S</x:v>
      </x:c>
      <x:c r="H5" s="79" t="str">
        <x:v>PROPOSED V2 — comandante; sem alteração</x:v>
      </x:c>
    </x:row>
    <x:row r="6" ht="24" hidden="0" customHeight="1">
      <x:c r="A6" s="85" t="n">
        <x:v>2</x:v>
      </x:c>
      <x:c r="B6" s="79" t="str">
        <x:v>Akroma's Will</x:v>
      </x:c>
      <x:c r="C6" s="85" t="n">
        <x:v>1</x:v>
      </x:c>
      <x:c r="D6" s="79" t="str">
        <x:v>Nonland</x:v>
      </x:c>
      <x:c r="E6" s="79" t="str">
        <x:v>8. Finalizadores / conversão em vitória</x:v>
      </x:c>
      <x:c r="F6" s="79" t="str">
        <x:v>Proteção de mesa ou finalizador: combina keywords e aumento de poder conforme controla o comandante.</x:v>
      </x:c>
      <x:c r="G6" s="79" t="str">
        <x:v>S</x:v>
      </x:c>
      <x:c r="H6" s="79" t="str">
        <x:v>Retida da CURRENT</x:v>
      </x:c>
    </x:row>
    <x:row r="7" ht="15" hidden="0" customHeight="1">
      <x:c r="A7" s="85" t="n">
        <x:v>3</x:v>
      </x:c>
      <x:c r="B7" s="79" t="str">
        <x:v>Anguished Unmaking</x:v>
      </x:c>
      <x:c r="C7" s="85" t="n">
        <x:v>1</x:v>
      </x:c>
      <x:c r="D7" s="79" t="str">
        <x:v>Nonland</x:v>
      </x:c>
      <x:c r="E7" s="79" t="str">
        <x:v>6. Remoção / interação / controle</x:v>
      </x:c>
      <x:c r="F7" s="79" t="str">
        <x:v>Exílio flexível de permanente não-terreno; custo de vida.</x:v>
      </x:c>
      <x:c r="G7" s="79" t="str">
        <x:v>A/B - papel específico</x:v>
      </x:c>
      <x:c r="H7" s="79" t="str">
        <x:v>Retida da CURRENT</x:v>
      </x:c>
    </x:row>
    <x:row r="8" ht="15" hidden="0" customHeight="1">
      <x:c r="A8" s="85" t="n">
        <x:v>4</x:v>
      </x:c>
      <x:c r="B8" s="79" t="str">
        <x:v>Anointed Procession</x:v>
      </x:c>
      <x:c r="C8" s="85" t="n">
        <x:v>1</x:v>
      </x:c>
      <x:c r="D8" s="79" t="str">
        <x:v>Nonland</x:v>
      </x:c>
      <x:c r="E8" s="79" t="str">
        <x:v>3. Fichas / crescimento de mesa</x:v>
      </x:c>
      <x:c r="F8" s="79" t="str">
        <x:v>Dobra fichas criadas; multiplica Eminência e outros geradores.</x:v>
      </x:c>
      <x:c r="G8" s="79" t="str">
        <x:v>S</x:v>
      </x:c>
      <x:c r="H8" s="79" t="str">
        <x:v>Retida da CURRENT</x:v>
      </x:c>
    </x:row>
    <x:row r="9" ht="15" hidden="0" customHeight="1">
      <x:c r="A9" s="85" t="n">
        <x:v>5</x:v>
      </x:c>
      <x:c r="B9" s="79" t="str">
        <x:v>Arid Mesa</x:v>
      </x:c>
      <x:c r="C9" s="85" t="n">
        <x:v>1</x:v>
      </x:c>
      <x:c r="D9" s="79" t="str">
        <x:v>Land</x:v>
      </x:c>
      <x:c r="E9" s="79" t="str">
        <x:v>Mana base / fora do 8×8</x:v>
      </x:c>
      <x:c r="F9" s="79" t="str">
        <x:v>Fonte de mana/fixação ou utilidade; avaliar entrada virada, cor e custo de oportunidade.</x:v>
      </x:c>
      <x:c r="G9" s="79" t="str">
        <x:v>N/A - mana</x:v>
      </x:c>
      <x:c r="H9" s="79" t="str">
        <x:v>Retida da CURRENT</x:v>
      </x:c>
    </x:row>
    <x:row r="10" ht="15" hidden="0" customHeight="1">
      <x:c r="A10" s="85" t="n">
        <x:v>6</x:v>
      </x:c>
      <x:c r="B10" s="79" t="str">
        <x:v>Banner of Kinship</x:v>
      </x:c>
      <x:c r="C10" s="85" t="n">
        <x:v>1</x:v>
      </x:c>
      <x:c r="D10" s="79" t="str">
        <x:v>Nonland</x:v>
      </x:c>
      <x:c r="E10" s="79" t="str">
        <x:v>8. Finalizadores / conversão em vitória</x:v>
      </x:c>
      <x:c r="F10" s="79" t="str">
        <x:v>Payoff tribal assimétrico; cresce com o número de Vampiros controlados.</x:v>
      </x:c>
      <x:c r="G10" s="79" t="str">
        <x:v>A</x:v>
      </x:c>
      <x:c r="H10" s="79" t="str">
        <x:v>Retida da CURRENT</x:v>
      </x:c>
    </x:row>
    <x:row r="11" ht="15" hidden="0" customHeight="1">
      <x:c r="A11" s="85" t="n">
        <x:v>7</x:v>
      </x:c>
      <x:c r="B11" s="79" t="str">
        <x:v>Baron Bertram Graywater</x:v>
      </x:c>
      <x:c r="C11" s="85" t="n">
        <x:v>1</x:v>
      </x:c>
      <x:c r="D11" s="79" t="str">
        <x:v>Nonland</x:v>
      </x:c>
      <x:c r="E11" s="79" t="str">
        <x:v>2. Compra / seleção / valor</x:v>
      </x:c>
      <x:c r="F11" s="79" t="str">
        <x:v>Ao entrar ficha, gera outro Vampiro uma vez por turno; sacrifício por compra.</x:v>
      </x:c>
      <x:c r="G11" s="79" t="str">
        <x:v>A</x:v>
      </x:c>
      <x:c r="H11" s="79" t="str">
        <x:v>Retida da CURRENT</x:v>
      </x:c>
    </x:row>
    <x:row r="12" ht="36" hidden="0" customHeight="1">
      <x:c r="A12" s="85" t="n">
        <x:v>8</x:v>
      </x:c>
      <x:c r="B12" s="79" t="str">
        <x:v>Black Market Connections</x:v>
      </x:c>
      <x:c r="C12" s="85" t="n">
        <x:v>1</x:v>
      </x:c>
      <x:c r="D12" s="79" t="str">
        <x:v>Nonland</x:v>
      </x:c>
      <x:c r="E12" s="79" t="str">
        <x:v>2. Compra / seleção / valor</x:v>
      </x:c>
      <x:c r="F12" s="79" t="str">
        <x:v>No início da primeira fase principal, escolha um ou mais modos: Treasure (perde 1 vida), comprar 1 (perde 2) e/ou token Shapeshifter 3/2 com changeling (perde 3). Motor persistente e independente da mesa; não selecionar todos os modos automaticamente.</x:v>
      </x:c>
      <x:c r="G12" s="79" t="str">
        <x:v>S</x:v>
      </x:c>
      <x:c r="H12" s="79" t="str">
        <x:v>PROPOSED V2 — candidata, não testada</x:v>
      </x:c>
    </x:row>
    <x:row r="13" ht="15" hidden="0" customHeight="1">
      <x:c r="A13" s="85" t="n">
        <x:v>9</x:v>
      </x:c>
      <x:c r="B13" s="79" t="str">
        <x:v>Blightstep Pathway</x:v>
      </x:c>
      <x:c r="C13" s="85" t="n">
        <x:v>1</x:v>
      </x:c>
      <x:c r="D13" s="79" t="str">
        <x:v>Land</x:v>
      </x:c>
      <x:c r="E13" s="79" t="str">
        <x:v>Mana base / fora do 8×8</x:v>
      </x:c>
      <x:c r="F13" s="79" t="str">
        <x:v>Fonte de mana/fixação ou utilidade; avaliar entrada virada, cor e custo de oportunidade.</x:v>
      </x:c>
      <x:c r="G13" s="79" t="str">
        <x:v>N/A - mana</x:v>
      </x:c>
      <x:c r="H13" s="79" t="str">
        <x:v>Retida da CURRENT</x:v>
      </x:c>
    </x:row>
    <x:row r="14" ht="15" hidden="0" customHeight="1">
      <x:c r="A14" s="85" t="n">
        <x:v>10</x:v>
      </x:c>
      <x:c r="B14" s="79" t="str">
        <x:v>Blood Artist</x:v>
      </x:c>
      <x:c r="C14" s="85" t="n">
        <x:v>1</x:v>
      </x:c>
      <x:c r="D14" s="79" t="str">
        <x:v>Nonland</x:v>
      </x:c>
      <x:c r="E14" s="79" t="str">
        <x:v>5. Drenagem / aristocratas / sacrifício</x:v>
      </x:c>
      <x:c r="F14" s="79" t="str">
        <x:v>Drenagem por mortes de criaturas; transforma wipes/sacrifícios em alcance.</x:v>
      </x:c>
      <x:c r="G14" s="79" t="str">
        <x:v>A</x:v>
      </x:c>
      <x:c r="H14" s="79" t="str">
        <x:v>Retida da CURRENT</x:v>
      </x:c>
    </x:row>
    <x:row r="15" ht="24" hidden="0" customHeight="1">
      <x:c r="A15" s="85" t="n">
        <x:v>11</x:v>
      </x:c>
      <x:c r="B15" s="79" t="str">
        <x:v>Blood Crypt</x:v>
      </x:c>
      <x:c r="C15" s="85" t="n">
        <x:v>1</x:v>
      </x:c>
      <x:c r="D15" s="79" t="str">
        <x:v>Land</x:v>
      </x:c>
      <x:c r="E15" s="79" t="str">
        <x:v>Mana base / fora do 8×8</x:v>
      </x:c>
      <x:c r="F15" s="79" t="str">
        <x:v>Dual land Swamp/Mountain que pode entrar desvirada pagando 2 vidas; é buscável por Arid Mesa e Bloodstained Mire.</x:v>
      </x:c>
      <x:c r="G15" s="79" t="str">
        <x:v>A</x:v>
      </x:c>
      <x:c r="H15" s="79" t="str">
        <x:v>PROPOSED V2 — candidata, não testada</x:v>
      </x:c>
    </x:row>
    <x:row r="16" ht="15" hidden="0" customHeight="1">
      <x:c r="A16" s="85" t="n">
        <x:v>12</x:v>
      </x:c>
      <x:c r="B16" s="79" t="str">
        <x:v>Blood for the Blood God!</x:v>
      </x:c>
      <x:c r="C16" s="85" t="n">
        <x:v>1</x:v>
      </x:c>
      <x:c r="D16" s="79" t="str">
        <x:v>Nonland</x:v>
      </x:c>
      <x:c r="E16" s="79" t="str">
        <x:v>2. Compra / seleção / valor</x:v>
      </x:c>
      <x:c r="F16" s="79" t="str">
        <x:v>Refill grande cujo custo pode reduzir com vida perdida por oponentes no turno.</x:v>
      </x:c>
      <x:c r="G16" s="79" t="str">
        <x:v>A/B - papel específico</x:v>
      </x:c>
      <x:c r="H16" s="79" t="str">
        <x:v>Retida da CURRENT</x:v>
      </x:c>
    </x:row>
    <x:row r="17" ht="36" hidden="0" customHeight="1">
      <x:c r="A17" s="85" t="n">
        <x:v>13</x:v>
      </x:c>
      <x:c r="B17" s="79" t="str">
        <x:v>Bloodletter of Aclazotz</x:v>
      </x:c>
      <x:c r="C17" s="85" t="n">
        <x:v>1</x:v>
      </x:c>
      <x:c r="D17" s="79" t="str">
        <x:v>Nonland</x:v>
      </x:c>
      <x:c r="E17" s="79" t="str">
        <x:v>5. Drenagem / aristocratas / sacrifício</x:v>
      </x:c>
      <x:c r="F17" s="79" t="str">
        <x:v>Vampiro Demônio 2/4 voador por {1}{B}{B}{B}; dobra a perda de vida que os oponentes sofreriam durante seu turno. Amplifica drenagem e fechamento, inclusive a ameaça do combo de Vito, mas aumenta a percepção de perigo e exige triplo preto.</x:v>
      </x:c>
      <x:c r="G17" s="79" t="str">
        <x:v>S</x:v>
      </x:c>
      <x:c r="H17" s="79" t="str">
        <x:v>PROPOSED V2 — candidata, não testada</x:v>
      </x:c>
    </x:row>
    <x:row r="18" ht="36" hidden="0" customHeight="1">
      <x:c r="A18" s="85" t="n">
        <x:v>14</x:v>
      </x:c>
      <x:c r="B18" s="79" t="str">
        <x:v>Bloodline Bidding</x:v>
      </x:c>
      <x:c r="C18" s="85" t="n">
        <x:v>1</x:v>
      </x:c>
      <x:c r="D18" s="79" t="str">
        <x:v>Nonland</x:v>
      </x:c>
      <x:c r="E18" s="79" t="str">
        <x:v>7. Proteção / recursão / resiliência</x:v>
      </x:c>
      <x:c r="F18" s="79" t="str">
        <x:v>Feitiço {6}{B}{B} com convoke: escolha um tipo e devolva ao campo todas as cartas de criatura desse tipo do seu próprio cemitério. Recuperação tribal assimétrica; custa 8 no total e convoke ajuda mais quando ainda há criaturas disponíveis.</x:v>
      </x:c>
      <x:c r="G18" s="79" t="str">
        <x:v>A</x:v>
      </x:c>
      <x:c r="H18" s="79" t="str">
        <x:v>PROPOSED V2 — candidata, não testada</x:v>
      </x:c>
    </x:row>
    <x:row r="19" ht="36" hidden="0" customHeight="1">
      <x:c r="A19" s="85" t="n">
        <x:v>15</x:v>
      </x:c>
      <x:c r="B19" s="79" t="str">
        <x:v>Bloodline Recollector</x:v>
      </x:c>
      <x:c r="C19" s="85" t="n">
        <x:v>1</x:v>
      </x:c>
      <x:c r="D19" s="79" t="str">
        <x:v>Nonland</x:v>
      </x:c>
      <x:c r="E19" s="79" t="str">
        <x:v>2. Compra / seleção / valor</x:v>
      </x:c>
      <x:c r="F19" s="79" t="str">
        <x:v>Vampiro 2/2 por {1}{B}. No início de cada etapa final, se 3+ criaturas morreram neste turno, fica preparado; a cópia de Ancestral Craving custa {B}, faz um jogador comprar 3 e perder 3. Precisa sobreviver até a etapa final para preparar-se.</x:v>
      </x:c>
      <x:c r="G19" s="79" t="str">
        <x:v>A-</x:v>
      </x:c>
      <x:c r="H19" s="79" t="str">
        <x:v>PROPOSED V2 — candidata, não testada</x:v>
      </x:c>
    </x:row>
    <x:row r="20" ht="24" hidden="0" customHeight="1">
      <x:c r="A20" s="85" t="n">
        <x:v>16</x:v>
      </x:c>
      <x:c r="B20" s="79" t="str">
        <x:v>Bloodstained Mire</x:v>
      </x:c>
      <x:c r="C20" s="85" t="n">
        <x:v>1</x:v>
      </x:c>
      <x:c r="D20" s="79" t="str">
        <x:v>Land</x:v>
      </x:c>
      <x:c r="E20" s="79" t="str">
        <x:v>Mana base / fora do 8×8</x:v>
      </x:c>
      <x:c r="F20" s="79" t="str">
        <x:v>Fetch land para Swamp ou Mountain; com Blood Crypt e Sacred Foundry, melhora acesso a preto/vermelho e permite buscar shocks conforme necessário.</x:v>
      </x:c>
      <x:c r="G20" s="79" t="str">
        <x:v>N/A - mana</x:v>
      </x:c>
      <x:c r="H20" s="79" t="str">
        <x:v>PROPOSED V2 — candidata, não testada</x:v>
      </x:c>
    </x:row>
    <x:row r="21" ht="15" hidden="0" customHeight="1">
      <x:c r="A21" s="85" t="n">
        <x:v>17</x:v>
      </x:c>
      <x:c r="B21" s="79" t="str">
        <x:v>Bloodthirsty Conqueror</x:v>
      </x:c>
      <x:c r="C21" s="85" t="n">
        <x:v>1</x:v>
      </x:c>
      <x:c r="D21" s="79" t="str">
        <x:v>Nonland</x:v>
      </x:c>
      <x:c r="E21" s="79" t="str">
        <x:v>5. Drenagem / aristocratas / sacrifício</x:v>
      </x:c>
      <x:c r="F21" s="79" t="str">
        <x:v>Payoff de drenagem e peça do combo de duas cartas com Vito, Thorn of the Dusk Rose.</x:v>
      </x:c>
      <x:c r="G21" s="79" t="str">
        <x:v>S</x:v>
      </x:c>
      <x:c r="H21" s="79" t="str">
        <x:v>Retida da CURRENT</x:v>
      </x:c>
    </x:row>
    <x:row r="22" ht="15" hidden="0" customHeight="1">
      <x:c r="A22" s="85" t="n">
        <x:v>18</x:v>
      </x:c>
      <x:c r="B22" s="79" t="str">
        <x:v>Bolas's Citadel</x:v>
      </x:c>
      <x:c r="C22" s="85" t="n">
        <x:v>1</x:v>
      </x:c>
      <x:c r="D22" s="79" t="str">
        <x:v>Nonland</x:v>
      </x:c>
      <x:c r="E22" s="79" t="str">
        <x:v>2. Compra / seleção / valor</x:v>
      </x:c>
      <x:c r="F22" s="79" t="str">
        <x:v>Motor de cartas do topo, com custo de vida e fechamento por sacrifício.</x:v>
      </x:c>
      <x:c r="G22" s="79" t="str">
        <x:v>A/B - papel específico</x:v>
      </x:c>
      <x:c r="H22" s="79" t="str">
        <x:v>Retida da CURRENT</x:v>
      </x:c>
    </x:row>
    <x:row r="23" ht="15" hidden="0" customHeight="1">
      <x:c r="A23" s="85" t="n">
        <x:v>19</x:v>
      </x:c>
      <x:c r="B23" s="79" t="str">
        <x:v>Brightclimb Pathway</x:v>
      </x:c>
      <x:c r="C23" s="85" t="n">
        <x:v>1</x:v>
      </x:c>
      <x:c r="D23" s="79" t="str">
        <x:v>Land</x:v>
      </x:c>
      <x:c r="E23" s="79" t="str">
        <x:v>Mana base / fora do 8×8</x:v>
      </x:c>
      <x:c r="F23" s="79" t="str">
        <x:v>Fonte de mana/fixação ou utilidade; avaliar entrada virada, cor e custo de oportunidade.</x:v>
      </x:c>
      <x:c r="G23" s="79" t="str">
        <x:v>N/A - mana</x:v>
      </x:c>
      <x:c r="H23" s="79" t="str">
        <x:v>Retida da CURRENT</x:v>
      </x:c>
    </x:row>
    <x:row r="24" ht="15" hidden="0" customHeight="1">
      <x:c r="A24" s="85" t="n">
        <x:v>20</x:v>
      </x:c>
      <x:c r="B24" s="79" t="str">
        <x:v>Captivating Vampire</x:v>
      </x:c>
      <x:c r="C24" s="85" t="n">
        <x:v>1</x:v>
      </x:c>
      <x:c r="D24" s="79" t="str">
        <x:v>Nonland</x:v>
      </x:c>
      <x:c r="E24" s="79" t="str">
        <x:v>4. Lords / combate / evasão</x:v>
      </x:c>
      <x:c r="F24" s="79" t="str">
        <x:v>Lord tribal e controle de criatura via ativação com Vampiros.</x:v>
      </x:c>
      <x:c r="G24" s="79" t="str">
        <x:v>A</x:v>
      </x:c>
      <x:c r="H24" s="79" t="str">
        <x:v>Retida da CURRENT</x:v>
      </x:c>
    </x:row>
    <x:row r="25" ht="15" hidden="0" customHeight="1">
      <x:c r="A25" s="85" t="n">
        <x:v>21</x:v>
      </x:c>
      <x:c r="B25" s="79" t="str">
        <x:v>Carmen, Cruel Skymarcher</x:v>
      </x:c>
      <x:c r="C25" s="85" t="n">
        <x:v>1</x:v>
      </x:c>
      <x:c r="D25" s="79" t="str">
        <x:v>Nonland</x:v>
      </x:c>
      <x:c r="E25" s="79" t="str">
        <x:v>7. Proteção / recursão / resiliência</x:v>
      </x:c>
      <x:c r="F25" s="79" t="str">
        <x:v>Recursão de permanentes por ataque; cresce com sacrifícios.</x:v>
      </x:c>
      <x:c r="G25" s="79" t="str">
        <x:v>A/B - papel específico</x:v>
      </x:c>
      <x:c r="H25" s="79" t="str">
        <x:v>Retida da CURRENT</x:v>
      </x:c>
    </x:row>
    <x:row r="26" ht="24" hidden="0" customHeight="1">
      <x:c r="A26" s="85" t="n">
        <x:v>22</x:v>
      </x:c>
      <x:c r="B26" s="79" t="str">
        <x:v>Cavern of Souls</x:v>
      </x:c>
      <x:c r="C26" s="85" t="n">
        <x:v>1</x:v>
      </x:c>
      <x:c r="D26" s="79" t="str">
        <x:v>Land</x:v>
      </x:c>
      <x:c r="E26" s="79" t="str">
        <x:v>Mana base / fora do 8×8</x:v>
      </x:c>
      <x:c r="F26" s="79" t="str">
        <x:v>Escolha Vampire ao entrar; pode gerar mana colorida para conjurar Vampiros, que não podem ser anulados. Também pode gerar {C}; melhora fixação tribal sem adicionar rock.</x:v>
      </x:c>
      <x:c r="G26" s="79" t="str">
        <x:v>A</x:v>
      </x:c>
      <x:c r="H26" s="79" t="str">
        <x:v>PROPOSED V2 — candidata, não testada</x:v>
      </x:c>
    </x:row>
    <x:row r="27" ht="24" hidden="0" customHeight="1">
      <x:c r="A27" s="85" t="n">
        <x:v>23</x:v>
      </x:c>
      <x:c r="B27" s="79" t="str">
        <x:v>Champion of Dusk</x:v>
      </x:c>
      <x:c r="C27" s="85" t="n">
        <x:v>1</x:v>
      </x:c>
      <x:c r="D27" s="79" t="str">
        <x:v>Nonland</x:v>
      </x:c>
      <x:c r="E27" s="79" t="str">
        <x:v>2. Compra / seleção / valor</x:v>
      </x:c>
      <x:c r="F27" s="79" t="str">
        <x:v>ETB compra X cartas e você perde X de vida, onde X é o número de Vampiros que controla. Recarrega a mão quando a mesa existe; pode comprar pouco após um wipe.</x:v>
      </x:c>
      <x:c r="G27" s="79" t="str">
        <x:v>A</x:v>
      </x:c>
      <x:c r="H27" s="79" t="str">
        <x:v>PROPOSED V2 — candidata, não testada</x:v>
      </x:c>
    </x:row>
    <x:row r="28" ht="15" hidden="0" customHeight="1">
      <x:c r="A28" s="85" t="n">
        <x:v>24</x:v>
      </x:c>
      <x:c r="B28" s="79" t="str">
        <x:v>Chaos Warp</x:v>
      </x:c>
      <x:c r="C28" s="85" t="n">
        <x:v>1</x:v>
      </x:c>
      <x:c r="D28" s="79" t="str">
        <x:v>Nonland</x:v>
      </x:c>
      <x:c r="E28" s="79" t="str">
        <x:v>6. Remoção / interação / controle</x:v>
      </x:c>
      <x:c r="F28" s="79" t="str">
        <x:v>Resposta ampla a permanente não-terreno.</x:v>
      </x:c>
      <x:c r="G28" s="79" t="str">
        <x:v>A/B - papel específico</x:v>
      </x:c>
      <x:c r="H28" s="79" t="str">
        <x:v>Retida da CURRENT</x:v>
      </x:c>
    </x:row>
    <x:row r="29" ht="15" hidden="0" customHeight="1">
      <x:c r="A29" s="85" t="n">
        <x:v>25</x:v>
      </x:c>
      <x:c r="B29" s="79" t="str">
        <x:v>Clavileño, First of the Blessed</x:v>
      </x:c>
      <x:c r="C29" s="85" t="n">
        <x:v>1</x:v>
      </x:c>
      <x:c r="D29" s="79" t="str">
        <x:v>Nonland</x:v>
      </x:c>
      <x:c r="E29" s="79" t="str">
        <x:v>3. Fichas / crescimento de mesa</x:v>
      </x:c>
      <x:c r="F29" s="79" t="str">
        <x:v>Converte Vampiros que atacam e morrem em fichas Demon/Vampire com evasão.</x:v>
      </x:c>
      <x:c r="G29" s="79" t="str">
        <x:v>A</x:v>
      </x:c>
      <x:c r="H29" s="79" t="str">
        <x:v>Retida da CURRENT</x:v>
      </x:c>
    </x:row>
    <x:row r="30" ht="15" hidden="0" customHeight="1">
      <x:c r="A30" s="85" t="n">
        <x:v>26</x:v>
      </x:c>
      <x:c r="B30" s="79" t="str">
        <x:v>Command Tower</x:v>
      </x:c>
      <x:c r="C30" s="85" t="n">
        <x:v>1</x:v>
      </x:c>
      <x:c r="D30" s="79" t="str">
        <x:v>Land</x:v>
      </x:c>
      <x:c r="E30" s="79" t="str">
        <x:v>Mana base / fora do 8×8</x:v>
      </x:c>
      <x:c r="F30" s="79" t="str">
        <x:v>Fonte de mana/fixação ou utilidade; avaliar entrada virada, cor e custo de oportunidade.</x:v>
      </x:c>
      <x:c r="G30" s="79" t="str">
        <x:v>N/A - mana</x:v>
      </x:c>
      <x:c r="H30" s="79" t="str">
        <x:v>Retida da CURRENT</x:v>
      </x:c>
    </x:row>
    <x:row r="31" ht="15" hidden="0" customHeight="1">
      <x:c r="A31" s="85" t="n">
        <x:v>27</x:v>
      </x:c>
      <x:c r="B31" s="79" t="str">
        <x:v>Cordial Vampire</x:v>
      </x:c>
      <x:c r="C31" s="85" t="n">
        <x:v>1</x:v>
      </x:c>
      <x:c r="D31" s="79" t="str">
        <x:v>Nonland</x:v>
      </x:c>
      <x:c r="E31" s="79" t="str">
        <x:v>4. Lords / combate / evasão</x:v>
      </x:c>
      <x:c r="F31" s="79" t="str">
        <x:v>Marcadores de +1/+1 quando criaturas morrem; escala com sacrifício e combate.</x:v>
      </x:c>
      <x:c r="G31" s="79" t="str">
        <x:v>A</x:v>
      </x:c>
      <x:c r="H31" s="79" t="str">
        <x:v>Retida da CURRENT</x:v>
      </x:c>
    </x:row>
    <x:row r="32" ht="15" hidden="0" customHeight="1">
      <x:c r="A32" s="85" t="n">
        <x:v>28</x:v>
      </x:c>
      <x:c r="B32" s="79" t="str">
        <x:v>Cover of Darkness</x:v>
      </x:c>
      <x:c r="C32" s="85" t="n">
        <x:v>1</x:v>
      </x:c>
      <x:c r="D32" s="79" t="str">
        <x:v>Nonland</x:v>
      </x:c>
      <x:c r="E32" s="79" t="str">
        <x:v>4. Lords / combate / evasão</x:v>
      </x:c>
      <x:c r="F32" s="79" t="str">
        <x:v>Evasão tribal escolhida; facilita dano e gatilhos de combate.</x:v>
      </x:c>
      <x:c r="G32" s="79" t="str">
        <x:v>A/B - papel específico</x:v>
      </x:c>
      <x:c r="H32" s="79" t="str">
        <x:v>Retida da CURRENT</x:v>
      </x:c>
    </x:row>
    <x:row r="33" ht="48" hidden="0" customHeight="1">
      <x:c r="A33" s="85" t="n">
        <x:v>29</x:v>
      </x:c>
      <x:c r="B33" s="79" t="str">
        <x:v>Crossway Troublemakers</x:v>
      </x:c>
      <x:c r="C33" s="85" t="n">
        <x:v>1</x:v>
      </x:c>
      <x:c r="D33" s="79" t="str">
        <x:v>Nonland</x:v>
      </x:c>
      <x:c r="E33" s="79" t="str">
        <x:v>2. Compra / seleção / valor</x:v>
      </x:c>
      <x:c r="F33" s="79" t="str">
        <x:v>Vampiro 5/5 por {5}{B}. Vampiros atacantes têm toque mortífero e vínculo com a vida; sempre que um Vampiro seu morre, você pode pagar 2 vidas para comprar uma carta. Seus gatilhos de morte podem repor cartas durante um wipe mesmo se a fonte morrer no mesmo evento, pagando vida suficiente.</x:v>
      </x:c>
      <x:c r="G33" s="79" t="str">
        <x:v>A+</x:v>
      </x:c>
      <x:c r="H33" s="79" t="str">
        <x:v>PROPOSED V2 — candidata, não testada</x:v>
      </x:c>
    </x:row>
    <x:row r="34" ht="15" hidden="0" customHeight="1">
      <x:c r="A34" s="85" t="n">
        <x:v>30</x:v>
      </x:c>
      <x:c r="B34" s="79" t="str">
        <x:v>Cruel Celebrant</x:v>
      </x:c>
      <x:c r="C34" s="85" t="n">
        <x:v>1</x:v>
      </x:c>
      <x:c r="D34" s="79" t="str">
        <x:v>Nonland</x:v>
      </x:c>
      <x:c r="E34" s="79" t="str">
        <x:v>5. Drenagem / aristocratas / sacrifício</x:v>
      </x:c>
      <x:c r="F34" s="79" t="str">
        <x:v>Drenagem ao morrer criatura/planeswalker seu; não é Vampiro.</x:v>
      </x:c>
      <x:c r="G34" s="79" t="str">
        <x:v>A/B - papel específico</x:v>
      </x:c>
      <x:c r="H34" s="79" t="str">
        <x:v>Retida da CURRENT</x:v>
      </x:c>
    </x:row>
    <x:row r="35" ht="15" hidden="0" customHeight="1">
      <x:c r="A35" s="85" t="n">
        <x:v>31</x:v>
      </x:c>
      <x:c r="B35" s="79" t="str">
        <x:v>Damn</x:v>
      </x:c>
      <x:c r="C35" s="85" t="n">
        <x:v>1</x:v>
      </x:c>
      <x:c r="D35" s="79" t="str">
        <x:v>Nonland</x:v>
      </x:c>
      <x:c r="E35" s="79" t="str">
        <x:v>6. Remoção / interação / controle</x:v>
      </x:c>
      <x:c r="F35" s="79" t="str">
        <x:v>Remoção barata ou limpeza; flexível para curva e mesa.</x:v>
      </x:c>
      <x:c r="G35" s="79" t="str">
        <x:v>A/B - papel específico</x:v>
      </x:c>
      <x:c r="H35" s="79" t="str">
        <x:v>Retida da CURRENT</x:v>
      </x:c>
    </x:row>
    <x:row r="36" ht="15" hidden="0" customHeight="1">
      <x:c r="A36" s="85" t="n">
        <x:v>32</x:v>
      </x:c>
      <x:c r="B36" s="79" t="str">
        <x:v>Deadly Dispute</x:v>
      </x:c>
      <x:c r="C36" s="85" t="n">
        <x:v>1</x:v>
      </x:c>
      <x:c r="D36" s="79" t="str">
        <x:v>Nonland</x:v>
      </x:c>
      <x:c r="E36" s="79" t="str">
        <x:v>2. Compra / seleção / valor</x:v>
      </x:c>
      <x:c r="F36" s="79" t="str">
        <x:v>Sacrifício como custo para comprar duas cartas e gerar Tesouro.</x:v>
      </x:c>
      <x:c r="G36" s="79" t="str">
        <x:v>A/B - papel específico</x:v>
      </x:c>
      <x:c r="H36" s="79" t="str">
        <x:v>Retida da CURRENT</x:v>
      </x:c>
    </x:row>
    <x:row r="37" ht="15" hidden="0" customHeight="1">
      <x:c r="A37" s="85" t="n">
        <x:v>33</x:v>
      </x:c>
      <x:c r="B37" s="79" t="str">
        <x:v>Descendants' Fury</x:v>
      </x:c>
      <x:c r="C37" s="85" t="n">
        <x:v>1</x:v>
      </x:c>
      <x:c r="D37" s="79" t="str">
        <x:v>Nonland</x:v>
      </x:c>
      <x:c r="E37" s="79" t="str">
        <x:v>2. Compra / seleção / valor</x:v>
      </x:c>
      <x:c r="F37" s="79" t="str">
        <x:v>Transforma dano de combate em sacrifício/tutor de criatura com tipo compartilhado.</x:v>
      </x:c>
      <x:c r="G37" s="79" t="str">
        <x:v>A/B - papel específico</x:v>
      </x:c>
      <x:c r="H37" s="79" t="str">
        <x:v>Retida da CURRENT</x:v>
      </x:c>
    </x:row>
    <x:row r="38" ht="15" hidden="0" customHeight="1">
      <x:c r="A38" s="85" t="n">
        <x:v>34</x:v>
      </x:c>
      <x:c r="B38" s="79" t="str">
        <x:v>Dragonskull Summit</x:v>
      </x:c>
      <x:c r="C38" s="85" t="n">
        <x:v>1</x:v>
      </x:c>
      <x:c r="D38" s="79" t="str">
        <x:v>Land</x:v>
      </x:c>
      <x:c r="E38" s="79" t="str">
        <x:v>Mana base / fora do 8×8</x:v>
      </x:c>
      <x:c r="F38" s="79" t="str">
        <x:v>Fonte de mana/fixação ou utilidade; avaliar entrada virada, cor e custo de oportunidade.</x:v>
      </x:c>
      <x:c r="G38" s="79" t="str">
        <x:v>N/A - mana</x:v>
      </x:c>
      <x:c r="H38" s="79" t="str">
        <x:v>Retida da CURRENT</x:v>
      </x:c>
    </x:row>
    <x:row r="39" ht="15" hidden="0" customHeight="1">
      <x:c r="A39" s="85" t="n">
        <x:v>35</x:v>
      </x:c>
      <x:c r="B39" s="79" t="str">
        <x:v>Drana and Linvala</x:v>
      </x:c>
      <x:c r="C39" s="85" t="n">
        <x:v>1</x:v>
      </x:c>
      <x:c r="D39" s="79" t="str">
        <x:v>Nonland</x:v>
      </x:c>
      <x:c r="E39" s="79" t="str">
        <x:v>6. Remoção / interação / controle</x:v>
      </x:c>
      <x:c r="F39" s="79" t="str">
        <x:v>Interação baseada em habilidades ativadas de criaturas oponentes.</x:v>
      </x:c>
      <x:c r="G39" s="79" t="str">
        <x:v>A/B - papel específico</x:v>
      </x:c>
      <x:c r="H39" s="79" t="str">
        <x:v>Retida da CURRENT</x:v>
      </x:c>
    </x:row>
    <x:row r="40" ht="15" hidden="0" customHeight="1">
      <x:c r="A40" s="85" t="n">
        <x:v>36</x:v>
      </x:c>
      <x:c r="B40" s="79" t="str">
        <x:v>Dusk Legion Sergeant</x:v>
      </x:c>
      <x:c r="C40" s="85" t="n">
        <x:v>1</x:v>
      </x:c>
      <x:c r="D40" s="79" t="str">
        <x:v>Nonland</x:v>
      </x:c>
      <x:c r="E40" s="79" t="str">
        <x:v>7. Proteção / recursão / resiliência</x:v>
      </x:c>
      <x:c r="F40" s="79" t="str">
        <x:v>Pode conceder persist a Vampiros não-ficha naquele turno, sacrificando-se.</x:v>
      </x:c>
      <x:c r="G40" s="79" t="str">
        <x:v>A</x:v>
      </x:c>
      <x:c r="H40" s="79" t="str">
        <x:v>Retida da CURRENT</x:v>
      </x:c>
    </x:row>
    <x:row r="41" ht="15" hidden="0" customHeight="1">
      <x:c r="A41" s="85" t="n">
        <x:v>37</x:v>
      </x:c>
      <x:c r="B41" s="79" t="str">
        <x:v>Edgar, Charmed Groom</x:v>
      </x:c>
      <x:c r="C41" s="85" t="n">
        <x:v>1</x:v>
      </x:c>
      <x:c r="D41" s="79" t="str">
        <x:v>Nonland</x:v>
      </x:c>
      <x:c r="E41" s="79" t="str">
        <x:v>7. Proteção / recursão / resiliência</x:v>
      </x:c>
      <x:c r="F41" s="79" t="str">
        <x:v>Valor de entrada e resiliência: deixa um artefato após morrer e pode voltar.</x:v>
      </x:c>
      <x:c r="G41" s="79" t="str">
        <x:v>A/B - papel específico</x:v>
      </x:c>
      <x:c r="H41" s="79" t="str">
        <x:v>Retida da CURRENT</x:v>
      </x:c>
    </x:row>
    <x:row r="42" ht="15" hidden="0" customHeight="1">
      <x:c r="A42" s="85" t="n">
        <x:v>38</x:v>
      </x:c>
      <x:c r="B42" s="79" t="str">
        <x:v>Elenda, the Dusk Rose</x:v>
      </x:c>
      <x:c r="C42" s="85" t="n">
        <x:v>1</x:v>
      </x:c>
      <x:c r="D42" s="79" t="str">
        <x:v>Nonland</x:v>
      </x:c>
      <x:c r="E42" s="79" t="str">
        <x:v>3. Fichas / crescimento de mesa</x:v>
      </x:c>
      <x:c r="F42" s="79" t="str">
        <x:v>Cresce com mortes e deixa fichas lifelink quando morre; possível reconstrução pós-wipe.</x:v>
      </x:c>
      <x:c r="G42" s="79" t="str">
        <x:v>A</x:v>
      </x:c>
      <x:c r="H42" s="79" t="str">
        <x:v>Retida da CURRENT</x:v>
      </x:c>
    </x:row>
    <x:row r="43" ht="15" hidden="0" customHeight="1">
      <x:c r="A43" s="85" t="n">
        <x:v>39</x:v>
      </x:c>
      <x:c r="B43" s="79" t="str">
        <x:v>Exotic Orchard</x:v>
      </x:c>
      <x:c r="C43" s="85" t="n">
        <x:v>1</x:v>
      </x:c>
      <x:c r="D43" s="79" t="str">
        <x:v>Land</x:v>
      </x:c>
      <x:c r="E43" s="79" t="str">
        <x:v>Mana base / fora do 8×8</x:v>
      </x:c>
      <x:c r="F43" s="79" t="str">
        <x:v>Fonte de mana/fixação ou utilidade; avaliar entrada virada, cor e custo de oportunidade.</x:v>
      </x:c>
      <x:c r="G43" s="79" t="str">
        <x:v>N/A - mana</x:v>
      </x:c>
      <x:c r="H43" s="79" t="str">
        <x:v>Retida da CURRENT</x:v>
      </x:c>
    </x:row>
    <x:row r="44" ht="15" hidden="0" customHeight="1">
      <x:c r="A44" s="85" t="n">
        <x:v>40</x:v>
      </x:c>
      <x:c r="B44" s="79" t="str">
        <x:v>Fabled Passage</x:v>
      </x:c>
      <x:c r="C44" s="85" t="n">
        <x:v>1</x:v>
      </x:c>
      <x:c r="D44" s="79" t="str">
        <x:v>Land</x:v>
      </x:c>
      <x:c r="E44" s="79" t="str">
        <x:v>Mana base / fora do 8×8</x:v>
      </x:c>
      <x:c r="F44" s="79" t="str">
        <x:v>Fonte de mana/fixação ou utilidade; avaliar entrada virada, cor e custo de oportunidade.</x:v>
      </x:c>
      <x:c r="G44" s="79" t="str">
        <x:v>N/A - mana</x:v>
      </x:c>
      <x:c r="H44" s="79" t="str">
        <x:v>Retida da CURRENT</x:v>
      </x:c>
    </x:row>
    <x:row r="45" ht="15" hidden="0" customHeight="1">
      <x:c r="A45" s="85" t="n">
        <x:v>41</x:v>
      </x:c>
      <x:c r="B45" s="79" t="str">
        <x:v>Falkenrath Pit Fighter</x:v>
      </x:c>
      <x:c r="C45" s="85" t="n">
        <x:v>1</x:v>
      </x:c>
      <x:c r="D45" s="79" t="str">
        <x:v>Nonland</x:v>
      </x:c>
      <x:c r="E45" s="79" t="str">
        <x:v>2. Compra / seleção / valor</x:v>
      </x:c>
      <x:c r="F45" s="79" t="str">
        <x:v>Vampiro barato; filtragem com mana, tap e descarte se o oponente perdeu vida.</x:v>
      </x:c>
      <x:c r="G45" s="79" t="str">
        <x:v>B</x:v>
      </x:c>
      <x:c r="H45" s="79" t="str">
        <x:v>Retida da CURRENT</x:v>
      </x:c>
    </x:row>
    <x:row r="46" ht="15" hidden="0" customHeight="1">
      <x:c r="A46" s="85" t="n">
        <x:v>42</x:v>
      </x:c>
      <x:c r="B46" s="79" t="str">
        <x:v>Fetid Heath</x:v>
      </x:c>
      <x:c r="C46" s="85" t="n">
        <x:v>1</x:v>
      </x:c>
      <x:c r="D46" s="79" t="str">
        <x:v>Land</x:v>
      </x:c>
      <x:c r="E46" s="79" t="str">
        <x:v>Mana base / fora do 8×8</x:v>
      </x:c>
      <x:c r="F46" s="79" t="str">
        <x:v>Fonte de mana/fixação ou utilidade; avaliar entrada virada, cor e custo de oportunidade.</x:v>
      </x:c>
      <x:c r="G46" s="79" t="str">
        <x:v>N/A - mana</x:v>
      </x:c>
      <x:c r="H46" s="79" t="str">
        <x:v>Retida da CURRENT</x:v>
      </x:c>
    </x:row>
    <x:row r="47" ht="15" hidden="0" customHeight="1">
      <x:c r="A47" s="85" t="n">
        <x:v>43</x:v>
      </x:c>
      <x:c r="B47" s="79" t="str">
        <x:v>Florian, Voldaren Scion</x:v>
      </x:c>
      <x:c r="C47" s="85" t="n">
        <x:v>1</x:v>
      </x:c>
      <x:c r="D47" s="79" t="str">
        <x:v>Nonland</x:v>
      </x:c>
      <x:c r="E47" s="79" t="str">
        <x:v>2. Compra / seleção / valor</x:v>
      </x:c>
      <x:c r="F47" s="79" t="str">
        <x:v>Seleção por impulso após oponentes perderem vida no turno.</x:v>
      </x:c>
      <x:c r="G47" s="79" t="str">
        <x:v>A</x:v>
      </x:c>
      <x:c r="H47" s="79" t="str">
        <x:v>Retida da CURRENT</x:v>
      </x:c>
    </x:row>
    <x:row r="48" ht="15" hidden="0" customHeight="1">
      <x:c r="A48" s="85" t="n">
        <x:v>44</x:v>
      </x:c>
      <x:c r="B48" s="79" t="str">
        <x:v>Fountainport</x:v>
      </x:c>
      <x:c r="C48" s="85" t="n">
        <x:v>1</x:v>
      </x:c>
      <x:c r="D48" s="79" t="str">
        <x:v>Land</x:v>
      </x:c>
      <x:c r="E48" s="79" t="str">
        <x:v>Mana base / fora do 8×8</x:v>
      </x:c>
      <x:c r="F48" s="79" t="str">
        <x:v>Fonte de mana/fixação ou utilidade; avaliar entrada virada, cor e custo de oportunidade.</x:v>
      </x:c>
      <x:c r="G48" s="79" t="str">
        <x:v>N/A - mana</x:v>
      </x:c>
      <x:c r="H48" s="79" t="str">
        <x:v>Retida da CURRENT</x:v>
      </x:c>
    </x:row>
    <x:row r="49" ht="24" hidden="0" customHeight="1">
      <x:c r="A49" s="85" t="n">
        <x:v>45</x:v>
      </x:c>
      <x:c r="B49" s="79" t="str">
        <x:v>Godless Shrine</x:v>
      </x:c>
      <x:c r="C49" s="85" t="n">
        <x:v>1</x:v>
      </x:c>
      <x:c r="D49" s="79" t="str">
        <x:v>Land</x:v>
      </x:c>
      <x:c r="E49" s="79" t="str">
        <x:v>Mana base / fora do 8×8</x:v>
      </x:c>
      <x:c r="F49" s="79" t="str">
        <x:v>Dual land Plains/Swamp que pode entrar desvirada pagando 2 vidas; melhora branco/preto e é buscável por Arid Mesa.</x:v>
      </x:c>
      <x:c r="G49" s="79" t="str">
        <x:v>A</x:v>
      </x:c>
      <x:c r="H49" s="79" t="str">
        <x:v>PROPOSED V2 — candidata, não testada</x:v>
      </x:c>
    </x:row>
    <x:row r="50" ht="15" hidden="0" customHeight="1">
      <x:c r="A50" s="85" t="n">
        <x:v>46</x:v>
      </x:c>
      <x:c r="B50" s="79" t="str">
        <x:v>Graven Cairns</x:v>
      </x:c>
      <x:c r="C50" s="85" t="n">
        <x:v>1</x:v>
      </x:c>
      <x:c r="D50" s="79" t="str">
        <x:v>Land</x:v>
      </x:c>
      <x:c r="E50" s="79" t="str">
        <x:v>Mana base / fora do 8×8</x:v>
      </x:c>
      <x:c r="F50" s="79" t="str">
        <x:v>Fonte de mana/fixação ou utilidade; avaliar entrada virada, cor e custo de oportunidade.</x:v>
      </x:c>
      <x:c r="G50" s="79" t="str">
        <x:v>N/A - mana</x:v>
      </x:c>
      <x:c r="H50" s="79" t="str">
        <x:v>Retida da CURRENT</x:v>
      </x:c>
    </x:row>
    <x:row r="51" ht="15" hidden="0" customHeight="1">
      <x:c r="A51" s="85" t="n">
        <x:v>47</x:v>
      </x:c>
      <x:c r="B51" s="79" t="str">
        <x:v>Idol of Oblivion</x:v>
      </x:c>
      <x:c r="C51" s="85" t="n">
        <x:v>1</x:v>
      </x:c>
      <x:c r="D51" s="79" t="str">
        <x:v>Nonland</x:v>
      </x:c>
      <x:c r="E51" s="79" t="str">
        <x:v>2. Compra / seleção / valor</x:v>
      </x:c>
      <x:c r="F51" s="79" t="str">
        <x:v>Compra no fim do turno se criou ficha; motor barato e relativamente persistente.</x:v>
      </x:c>
      <x:c r="G51" s="79" t="str">
        <x:v>A</x:v>
      </x:c>
      <x:c r="H51" s="79" t="str">
        <x:v>Retida da CURRENT</x:v>
      </x:c>
    </x:row>
    <x:row r="52" ht="15" hidden="0" customHeight="1">
      <x:c r="A52" s="85" t="n">
        <x:v>48</x:v>
      </x:c>
      <x:c r="B52" s="79" t="str">
        <x:v>Invasion of New Capenna</x:v>
      </x:c>
      <x:c r="C52" s="85" t="n">
        <x:v>1</x:v>
      </x:c>
      <x:c r="D52" s="79" t="str">
        <x:v>Nonland</x:v>
      </x:c>
      <x:c r="E52" s="79" t="str">
        <x:v>6. Remoção / interação / controle</x:v>
      </x:c>
      <x:c r="F52" s="79" t="str">
        <x:v>Exila artefato/criatura oponente sacrificando artefato/criatura próprio; verso é equipamento tribal.</x:v>
      </x:c>
      <x:c r="G52" s="79" t="str">
        <x:v>A/B - papel específico</x:v>
      </x:c>
      <x:c r="H52" s="79" t="str">
        <x:v>Retida da CURRENT</x:v>
      </x:c>
    </x:row>
    <x:row r="53" ht="15" hidden="0" customHeight="1">
      <x:c r="A53" s="85" t="n">
        <x:v>49</x:v>
      </x:c>
      <x:c r="B53" s="79" t="str">
        <x:v>Knight of the Ebon Legion</x:v>
      </x:c>
      <x:c r="C53" s="85" t="n">
        <x:v>1</x:v>
      </x:c>
      <x:c r="D53" s="79" t="str">
        <x:v>Nonland</x:v>
      </x:c>
      <x:c r="E53" s="79" t="str">
        <x:v>1. Eminence &amp; curva</x:v>
      </x:c>
      <x:c r="F53" s="79" t="str">
        <x:v>Vampiro de custo 1 com escala e mana sink independente do comandante.</x:v>
      </x:c>
      <x:c r="G53" s="79" t="str">
        <x:v>A/B - papel específico</x:v>
      </x:c>
      <x:c r="H53" s="79" t="str">
        <x:v>Retida da CURRENT</x:v>
      </x:c>
    </x:row>
    <x:row r="54" ht="15" hidden="0" customHeight="1">
      <x:c r="A54" s="85" t="n">
        <x:v>50</x:v>
      </x:c>
      <x:c r="B54" s="79" t="str">
        <x:v>Legion Lieutenant</x:v>
      </x:c>
      <x:c r="C54" s="85" t="n">
        <x:v>1</x:v>
      </x:c>
      <x:c r="D54" s="79" t="str">
        <x:v>Nonland</x:v>
      </x:c>
      <x:c r="E54" s="79" t="str">
        <x:v>4. Lords / combate / evasão</x:v>
      </x:c>
      <x:c r="F54" s="79" t="str">
        <x:v>Lord barato que valoriza todo o tribal.</x:v>
      </x:c>
      <x:c r="G54" s="79" t="str">
        <x:v>A</x:v>
      </x:c>
      <x:c r="H54" s="79" t="str">
        <x:v>Retida da CURRENT</x:v>
      </x:c>
    </x:row>
    <x:row r="55" ht="15" hidden="0" customHeight="1">
      <x:c r="A55" s="85" t="n">
        <x:v>51</x:v>
      </x:c>
      <x:c r="B55" s="79" t="str">
        <x:v>Legion's Landing</x:v>
      </x:c>
      <x:c r="C55" s="85" t="n">
        <x:v>1</x:v>
      </x:c>
      <x:c r="D55" s="79" t="str">
        <x:v>Nonland</x:v>
      </x:c>
      <x:c r="E55" s="79" t="str">
        <x:v>3. Fichas / crescimento de mesa</x:v>
      </x:c>
      <x:c r="F55" s="79" t="str">
        <x:v>Token inicial e terreno utilitário após atacar com três criaturas.</x:v>
      </x:c>
      <x:c r="G55" s="79" t="str">
        <x:v>A/B - papel específico</x:v>
      </x:c>
      <x:c r="H55" s="79" t="str">
        <x:v>Retida da CURRENT</x:v>
      </x:c>
    </x:row>
    <x:row r="56" ht="24" hidden="0" customHeight="1">
      <x:c r="A56" s="85" t="n">
        <x:v>52</x:v>
      </x:c>
      <x:c r="B56" s="79" t="str">
        <x:v>Lich-Knights' Conquest</x:v>
      </x:c>
      <x:c r="C56" s="85" t="n">
        <x:v>1</x:v>
      </x:c>
      <x:c r="D56" s="79" t="str">
        <x:v>Nonland</x:v>
      </x:c>
      <x:c r="E56" s="79" t="str">
        <x:v>7. Proteção / recursão / resiliência</x:v>
      </x:c>
      <x:c r="F56" s="79" t="str">
        <x:v>Sacrifício de artefatos/criaturas para recuperar permanentes; excelente com mesa, menos útil a partir do vazio.</x:v>
      </x:c>
      <x:c r="G56" s="79" t="str">
        <x:v>A</x:v>
      </x:c>
      <x:c r="H56" s="79" t="str">
        <x:v>Retida da CURRENT</x:v>
      </x:c>
    </x:row>
    <x:row r="57" ht="15" hidden="0" customHeight="1">
      <x:c r="A57" s="85" t="n">
        <x:v>53</x:v>
      </x:c>
      <x:c r="B57" s="79" t="str">
        <x:v>Luxury Suite</x:v>
      </x:c>
      <x:c r="C57" s="85" t="n">
        <x:v>1</x:v>
      </x:c>
      <x:c r="D57" s="79" t="str">
        <x:v>Land</x:v>
      </x:c>
      <x:c r="E57" s="79" t="str">
        <x:v>Mana base / fora do 8×8</x:v>
      </x:c>
      <x:c r="F57" s="79" t="str">
        <x:v>Fonte de mana/fixação ou utilidade; avaliar entrada virada, cor e custo de oportunidade.</x:v>
      </x:c>
      <x:c r="G57" s="79" t="str">
        <x:v>N/A - mana</x:v>
      </x:c>
      <x:c r="H57" s="79" t="str">
        <x:v>Retida da CURRENT</x:v>
      </x:c>
    </x:row>
    <x:row r="58" ht="15" hidden="0" customHeight="1">
      <x:c r="A58" s="85" t="n">
        <x:v>54</x:v>
      </x:c>
      <x:c r="B58" s="79" t="str">
        <x:v>March of the Canonized</x:v>
      </x:c>
      <x:c r="C58" s="85" t="n">
        <x:v>1</x:v>
      </x:c>
      <x:c r="D58" s="79" t="str">
        <x:v>Nonland</x:v>
      </x:c>
      <x:c r="E58" s="79" t="str">
        <x:v>3. Fichas / crescimento de mesa</x:v>
      </x:c>
      <x:c r="F58" s="79" t="str">
        <x:v>Cria fichas Vampire lifelink e pode gerar token recorrente mediante devoção.</x:v>
      </x:c>
      <x:c r="G58" s="79" t="str">
        <x:v>A/B - papel específico</x:v>
      </x:c>
      <x:c r="H58" s="79" t="str">
        <x:v>Retida da CURRENT</x:v>
      </x:c>
    </x:row>
    <x:row r="59" ht="15" hidden="0" customHeight="1">
      <x:c r="A59" s="85" t="n">
        <x:v>55</x:v>
      </x:c>
      <x:c r="B59" s="79" t="str">
        <x:v>Markov Baron</x:v>
      </x:c>
      <x:c r="C59" s="85" t="n">
        <x:v>1</x:v>
      </x:c>
      <x:c r="D59" s="79" t="str">
        <x:v>Nonland</x:v>
      </x:c>
      <x:c r="E59" s="79" t="str">
        <x:v>4. Lords / combate / evasão</x:v>
      </x:c>
      <x:c r="F59" s="79" t="str">
        <x:v>Lord com lifelink e convoke; reduz custo efetivo numa mesa larga.</x:v>
      </x:c>
      <x:c r="G59" s="79" t="str">
        <x:v>A/B - papel específico</x:v>
      </x:c>
      <x:c r="H59" s="79" t="str">
        <x:v>Retida da CURRENT</x:v>
      </x:c>
    </x:row>
    <x:row r="60" ht="24" hidden="0" customHeight="1">
      <x:c r="A60" s="85" t="n">
        <x:v>56</x:v>
      </x:c>
      <x:c r="B60" s="79" t="str">
        <x:v>Minas Tirith</x:v>
      </x:c>
      <x:c r="C60" s="85" t="n">
        <x:v>1</x:v>
      </x:c>
      <x:c r="D60" s="79" t="str">
        <x:v>Land</x:v>
      </x:c>
      <x:c r="E60" s="79" t="str">
        <x:v>Mana base / fora do 8×8</x:v>
      </x:c>
      <x:c r="F60" s="79" t="str">
        <x:v>Fonte branca desvirada; por {1}{W} e virar, compra uma carta se você atacou com duas ou mais criaturas neste turno. Combina com o plano de atacar largo, mas exige duas manas livres.</x:v>
      </x:c>
      <x:c r="G60" s="79" t="str">
        <x:v>A-</x:v>
      </x:c>
      <x:c r="H60" s="79" t="str">
        <x:v>PROPOSED V2 — candidata, não testada</x:v>
      </x:c>
    </x:row>
    <x:row r="61" ht="15" hidden="0" customHeight="1">
      <x:c r="A61" s="85" t="n">
        <x:v>57</x:v>
      </x:c>
      <x:c r="B61" s="79" t="str">
        <x:v>Mirror Entity</x:v>
      </x:c>
      <x:c r="C61" s="85" t="n">
        <x:v>1</x:v>
      </x:c>
      <x:c r="D61" s="79" t="str">
        <x:v>Nonland</x:v>
      </x:c>
      <x:c r="E61" s="79" t="str">
        <x:v>8. Finalizadores / conversão em vitória</x:v>
      </x:c>
      <x:c r="F61" s="79" t="str">
        <x:v>Mana sink que transforma a mesa em ameaça letal.</x:v>
      </x:c>
      <x:c r="G61" s="79" t="str">
        <x:v>A/B - papel específico</x:v>
      </x:c>
      <x:c r="H61" s="79" t="str">
        <x:v>Retida da CURRENT</x:v>
      </x:c>
    </x:row>
    <x:row r="62" ht="15" hidden="0" customHeight="1">
      <x:c r="A62" s="85" t="n">
        <x:v>58</x:v>
      </x:c>
      <x:c r="B62" s="79" t="str">
        <x:v>Mountain</x:v>
      </x:c>
      <x:c r="C62" s="85" t="n">
        <x:v>1</x:v>
      </x:c>
      <x:c r="D62" s="79" t="str">
        <x:v>Land</x:v>
      </x:c>
      <x:c r="E62" s="79" t="str">
        <x:v>Mana base / fora do 8×8</x:v>
      </x:c>
      <x:c r="F62" s="79" t="str">
        <x:v>Fonte de mana/fixação ou utilidade; avaliar entrada virada, cor e custo de oportunidade.</x:v>
      </x:c>
      <x:c r="G62" s="79" t="str">
        <x:v>N/A - mana</x:v>
      </x:c>
      <x:c r="H62" s="79" t="str">
        <x:v>Retida da CURRENT</x:v>
      </x:c>
    </x:row>
    <x:row r="63" ht="15" hidden="0" customHeight="1">
      <x:c r="A63" s="85" t="n">
        <x:v>59</x:v>
      </x:c>
      <x:c r="B63" s="79" t="str">
        <x:v>Necropotence</x:v>
      </x:c>
      <x:c r="C63" s="85" t="n">
        <x:v>1</x:v>
      </x:c>
      <x:c r="D63" s="79" t="str">
        <x:v>Nonland</x:v>
      </x:c>
      <x:c r="E63" s="79" t="str">
        <x:v>2. Compra / seleção / valor</x:v>
      </x:c>
      <x:c r="F63" s="79" t="str">
        <x:v>Motor de compra muito potente que paga vida e aumenta ameaça percebida.</x:v>
      </x:c>
      <x:c r="G63" s="79" t="str">
        <x:v>S</x:v>
      </x:c>
      <x:c r="H63" s="79" t="str">
        <x:v>Retida da CURRENT</x:v>
      </x:c>
    </x:row>
    <x:row r="64" ht="15" hidden="0" customHeight="1">
      <x:c r="A64" s="85" t="n">
        <x:v>60</x:v>
      </x:c>
      <x:c r="B64" s="79" t="str">
        <x:v>Needleverge Pathway</x:v>
      </x:c>
      <x:c r="C64" s="85" t="n">
        <x:v>1</x:v>
      </x:c>
      <x:c r="D64" s="79" t="str">
        <x:v>Land</x:v>
      </x:c>
      <x:c r="E64" s="79" t="str">
        <x:v>Mana base / fora do 8×8</x:v>
      </x:c>
      <x:c r="F64" s="79" t="str">
        <x:v>Fonte de mana/fixação ou utilidade; avaliar entrada virada, cor e custo de oportunidade.</x:v>
      </x:c>
      <x:c r="G64" s="79" t="str">
        <x:v>N/A - mana</x:v>
      </x:c>
      <x:c r="H64" s="79" t="str">
        <x:v>Retida da CURRENT</x:v>
      </x:c>
    </x:row>
    <x:row r="65" ht="15" hidden="0" customHeight="1">
      <x:c r="A65" s="85" t="n">
        <x:v>61</x:v>
      </x:c>
      <x:c r="B65" s="79" t="str">
        <x:v>New Blood</x:v>
      </x:c>
      <x:c r="C65" s="85" t="n">
        <x:v>1</x:v>
      </x:c>
      <x:c r="D65" s="79" t="str">
        <x:v>Nonland</x:v>
      </x:c>
      <x:c r="E65" s="79" t="str">
        <x:v>6. Remoção / interação / controle</x:v>
      </x:c>
      <x:c r="F65" s="79" t="str">
        <x:v>Rouba criatura e transforma seu tipo em Vampiro; interação temática de alto impacto.</x:v>
      </x:c>
      <x:c r="G65" s="79" t="str">
        <x:v>A/B - papel específico</x:v>
      </x:c>
      <x:c r="H65" s="79" t="str">
        <x:v>Retida da CURRENT</x:v>
      </x:c>
    </x:row>
    <x:row r="66" ht="15" hidden="0" customHeight="1">
      <x:c r="A66" s="85" t="n">
        <x:v>62</x:v>
      </x:c>
      <x:c r="B66" s="79" t="str">
        <x:v>Nighthawk Scavenger</x:v>
      </x:c>
      <x:c r="C66" s="85" t="n">
        <x:v>1</x:v>
      </x:c>
      <x:c r="D66" s="79" t="str">
        <x:v>Nonland</x:v>
      </x:c>
      <x:c r="E66" s="79" t="str">
        <x:v>1. Eminence &amp; curva</x:v>
      </x:c>
      <x:c r="F66" s="79" t="str">
        <x:v>Ameaça barata com voar/deathtouch/lifelink, cresce com tipos no cemitério.</x:v>
      </x:c>
      <x:c r="G66" s="79" t="str">
        <x:v>A/B - papel específico</x:v>
      </x:c>
      <x:c r="H66" s="79" t="str">
        <x:v>Retida da CURRENT</x:v>
      </x:c>
    </x:row>
    <x:row r="67" ht="15" hidden="0" customHeight="1">
      <x:c r="A67" s="85" t="n">
        <x:v>63</x:v>
      </x:c>
      <x:c r="B67" s="79" t="str">
        <x:v>Nomad Outpost</x:v>
      </x:c>
      <x:c r="C67" s="85" t="n">
        <x:v>1</x:v>
      </x:c>
      <x:c r="D67" s="79" t="str">
        <x:v>Land</x:v>
      </x:c>
      <x:c r="E67" s="79" t="str">
        <x:v>Mana base / fora do 8×8</x:v>
      </x:c>
      <x:c r="F67" s="79" t="str">
        <x:v>Fonte de mana/fixação ou utilidade; avaliar entrada virada, cor e custo de oportunidade.</x:v>
      </x:c>
      <x:c r="G67" s="79" t="str">
        <x:v>N/A - mana</x:v>
      </x:c>
      <x:c r="H67" s="79" t="str">
        <x:v>Retida da CURRENT</x:v>
      </x:c>
    </x:row>
    <x:row r="68" ht="15" hidden="0" customHeight="1">
      <x:c r="A68" s="85" t="n">
        <x:v>64</x:v>
      </x:c>
      <x:c r="B68" s="79" t="str">
        <x:v>Olivia Voldaren</x:v>
      </x:c>
      <x:c r="C68" s="85" t="n">
        <x:v>1</x:v>
      </x:c>
      <x:c r="D68" s="79" t="str">
        <x:v>Nonland</x:v>
      </x:c>
      <x:c r="E68" s="79" t="str">
        <x:v>6. Remoção / interação / controle</x:v>
      </x:c>
      <x:c r="F68" s="79" t="str">
        <x:v>Remoção pontual e roubo de Vampiro, mas exige grande investimento de mana.</x:v>
      </x:c>
      <x:c r="G68" s="79" t="str">
        <x:v>A/B - papel específico</x:v>
      </x:c>
      <x:c r="H68" s="79" t="str">
        <x:v>Retida da CURRENT</x:v>
      </x:c>
    </x:row>
    <x:row r="69" ht="15" hidden="0" customHeight="1">
      <x:c r="A69" s="85" t="n">
        <x:v>65</x:v>
      </x:c>
      <x:c r="B69" s="79" t="str">
        <x:v>Olivia's Wrath</x:v>
      </x:c>
      <x:c r="C69" s="85" t="n">
        <x:v>1</x:v>
      </x:c>
      <x:c r="D69" s="79" t="str">
        <x:v>Nonland</x:v>
      </x:c>
      <x:c r="E69" s="79" t="str">
        <x:v>6. Remoção / interação / controle</x:v>
      </x:c>
      <x:c r="F69" s="79" t="str">
        <x:v>Limpeza assimétrica que escala com número de Vampiros.</x:v>
      </x:c>
      <x:c r="G69" s="79" t="str">
        <x:v>A/B - papel específico</x:v>
      </x:c>
      <x:c r="H69" s="79" t="str">
        <x:v>Retida da CURRENT</x:v>
      </x:c>
    </x:row>
    <x:row r="70" ht="15" hidden="0" customHeight="1">
      <x:c r="A70" s="85" t="n">
        <x:v>66</x:v>
      </x:c>
      <x:c r="B70" s="79" t="str">
        <x:v>Pact of the Serpent</x:v>
      </x:c>
      <x:c r="C70" s="85" t="n">
        <x:v>1</x:v>
      </x:c>
      <x:c r="D70" s="79" t="str">
        <x:v>Nonland</x:v>
      </x:c>
      <x:c r="E70" s="79" t="str">
        <x:v>2. Compra / seleção / valor</x:v>
      </x:c>
      <x:c r="F70" s="79" t="str">
        <x:v>Compra de massa baseada na tribo, ao custo de vida proporcional.</x:v>
      </x:c>
      <x:c r="G70" s="79" t="str">
        <x:v>A</x:v>
      </x:c>
      <x:c r="H70" s="79" t="str">
        <x:v>Retida da CURRENT</x:v>
      </x:c>
    </x:row>
    <x:row r="71" ht="15" hidden="0" customHeight="1">
      <x:c r="A71" s="85" t="n">
        <x:v>67</x:v>
      </x:c>
      <x:c r="B71" s="79" t="str">
        <x:v>Path of Ancestry</x:v>
      </x:c>
      <x:c r="C71" s="85" t="n">
        <x:v>1</x:v>
      </x:c>
      <x:c r="D71" s="79" t="str">
        <x:v>Land</x:v>
      </x:c>
      <x:c r="E71" s="79" t="str">
        <x:v>Mana base / fora do 8×8</x:v>
      </x:c>
      <x:c r="F71" s="79" t="str">
        <x:v>Fixação temática; entra virado e pode scry em magia tribal.</x:v>
      </x:c>
      <x:c r="G71" s="79" t="str">
        <x:v>N/A - mana</x:v>
      </x:c>
      <x:c r="H71" s="79" t="str">
        <x:v>Retida da CURRENT</x:v>
      </x:c>
    </x:row>
    <x:row r="72" ht="24" hidden="0" customHeight="1">
      <x:c r="A72" s="85" t="n">
        <x:v>68</x:v>
      </x:c>
      <x:c r="B72" s="79" t="str">
        <x:v>Phyrexian Tower</x:v>
      </x:c>
      <x:c r="C72" s="85" t="n">
        <x:v>1</x:v>
      </x:c>
      <x:c r="D72" s="79" t="str">
        <x:v>Land</x:v>
      </x:c>
      <x:c r="E72" s="79" t="str">
        <x:v>Mana base / fora do 8×8</x:v>
      </x:c>
      <x:c r="F72" s="79" t="str">
        <x:v>Produz {C} ou pode sacrificar criatura para gerar {B}{B}; transforma uma ficha de Eminência em recurso e reforça sinergias de morte/sacrifício. Não é uma pedra de mana.</x:v>
      </x:c>
      <x:c r="G72" s="79" t="str">
        <x:v>A</x:v>
      </x:c>
      <x:c r="H72" s="79" t="str">
        <x:v>PROPOSED V2 — candidata, não testada</x:v>
      </x:c>
    </x:row>
    <x:row r="73" ht="15" hidden="0" customHeight="1">
      <x:c r="A73" s="85" t="n">
        <x:v>69</x:v>
      </x:c>
      <x:c r="B73" s="79" t="str">
        <x:v>Plains</x:v>
      </x:c>
      <x:c r="C73" s="85" t="n">
        <x:v>1</x:v>
      </x:c>
      <x:c r="D73" s="79" t="str">
        <x:v>Land</x:v>
      </x:c>
      <x:c r="E73" s="79" t="str">
        <x:v>Mana base / fora do 8×8</x:v>
      </x:c>
      <x:c r="F73" s="79" t="str">
        <x:v>Fonte de mana/fixação ou utilidade; avaliar entrada virada, cor e custo de oportunidade.</x:v>
      </x:c>
      <x:c r="G73" s="79" t="str">
        <x:v>N/A - mana</x:v>
      </x:c>
      <x:c r="H73" s="79" t="str">
        <x:v>Retida da CURRENT</x:v>
      </x:c>
    </x:row>
    <x:row r="74" ht="36" hidden="0" customHeight="1">
      <x:c r="A74" s="85" t="n">
        <x:v>70</x:v>
      </x:c>
      <x:c r="B74" s="79" t="str">
        <x:v>Plumb the Forbidden</x:v>
      </x:c>
      <x:c r="C74" s="85" t="n">
        <x:v>1</x:v>
      </x:c>
      <x:c r="D74" s="79" t="str">
        <x:v>Nonland</x:v>
      </x:c>
      <x:c r="E74" s="79" t="str">
        <x:v>2. Compra / seleção / valor</x:v>
      </x:c>
      <x:c r="F74" s="79" t="str">
        <x:v>Instantâneo por {1}{B}; como custo adicional, sacrifique qualquer número de criaturas. Copie a mágica para cada criatura sacrificada; cada resolução compra uma carta e perde 1 vida. Excelente em resposta a um wipe para converter fichas em cartas, mas não salva as criaturas restantes.</x:v>
      </x:c>
      <x:c r="G74" s="79" t="str">
        <x:v>S</x:v>
      </x:c>
      <x:c r="H74" s="79" t="str">
        <x:v>PROPOSED V2 — candidata, não testada</x:v>
      </x:c>
    </x:row>
    <x:row r="75" ht="15" hidden="0" customHeight="1">
      <x:c r="A75" s="85" t="n">
        <x:v>71</x:v>
      </x:c>
      <x:c r="B75" s="79" t="str">
        <x:v>Preacher of the Schism</x:v>
      </x:c>
      <x:c r="C75" s="85" t="n">
        <x:v>1</x:v>
      </x:c>
      <x:c r="D75" s="79" t="str">
        <x:v>Nonland</x:v>
      </x:c>
      <x:c r="E75" s="79" t="str">
        <x:v>2. Compra / seleção / valor</x:v>
      </x:c>
      <x:c r="F75" s="79" t="str">
        <x:v>Escolha de valor ou ficha no combate; exige tempo e decisão política.</x:v>
      </x:c>
      <x:c r="G75" s="79" t="str">
        <x:v>A/B - papel específico</x:v>
      </x:c>
      <x:c r="H75" s="79" t="str">
        <x:v>Retida da CURRENT</x:v>
      </x:c>
    </x:row>
    <x:row r="76" ht="15" hidden="0" customHeight="1">
      <x:c r="A76" s="85" t="n">
        <x:v>72</x:v>
      </x:c>
      <x:c r="B76" s="79" t="str">
        <x:v>Rite of Oblivion</x:v>
      </x:c>
      <x:c r="C76" s="85" t="n">
        <x:v>1</x:v>
      </x:c>
      <x:c r="D76" s="79" t="str">
        <x:v>Nonland</x:v>
      </x:c>
      <x:c r="E76" s="79" t="str">
        <x:v>6. Remoção / interação / controle</x:v>
      </x:c>
      <x:c r="F76" s="79" t="str">
        <x:v>Exílio de permanente não-terreno com sacrifício e flashback.</x:v>
      </x:c>
      <x:c r="G76" s="79" t="str">
        <x:v>A/B - papel específico</x:v>
      </x:c>
      <x:c r="H76" s="79" t="str">
        <x:v>Retida da CURRENT</x:v>
      </x:c>
    </x:row>
    <x:row r="77" ht="24" hidden="0" customHeight="1">
      <x:c r="A77" s="85" t="n">
        <x:v>73</x:v>
      </x:c>
      <x:c r="B77" s="79" t="str">
        <x:v>Roaming Throne</x:v>
      </x:c>
      <x:c r="C77" s="85" t="n">
        <x:v>1</x:v>
      </x:c>
      <x:c r="D77" s="79" t="str">
        <x:v>Nonland</x:v>
      </x:c>
      <x:c r="E77" s="79" t="str">
        <x:v>2. Compra / seleção / valor</x:v>
      </x:c>
      <x:c r="F77" s="79" t="str">
        <x:v>Duplica habilidade desencadeada de criatura do tipo escolhido no campo; não presumir que duplica Eminência se Edgar estiver apenas na zona de comando.</x:v>
      </x:c>
      <x:c r="G77" s="79" t="str">
        <x:v>A/B - papel específico</x:v>
      </x:c>
      <x:c r="H77" s="79" t="str">
        <x:v>Retida da CURRENT</x:v>
      </x:c>
    </x:row>
    <x:row r="78" ht="15" hidden="0" customHeight="1">
      <x:c r="A78" s="85" t="n">
        <x:v>74</x:v>
      </x:c>
      <x:c r="B78" s="79" t="str">
        <x:v>Rugged Prairie</x:v>
      </x:c>
      <x:c r="C78" s="85" t="n">
        <x:v>1</x:v>
      </x:c>
      <x:c r="D78" s="79" t="str">
        <x:v>Land</x:v>
      </x:c>
      <x:c r="E78" s="79" t="str">
        <x:v>Mana base / fora do 8×8</x:v>
      </x:c>
      <x:c r="F78" s="79" t="str">
        <x:v>Fonte de mana/fixação ou utilidade; avaliar entrada virada, cor e custo de oportunidade.</x:v>
      </x:c>
      <x:c r="G78" s="79" t="str">
        <x:v>N/A - mana</x:v>
      </x:c>
      <x:c r="H78" s="79" t="str">
        <x:v>Retida da CURRENT</x:v>
      </x:c>
    </x:row>
    <x:row r="79" ht="15" hidden="0" customHeight="1">
      <x:c r="A79" s="85" t="n">
        <x:v>75</x:v>
      </x:c>
      <x:c r="B79" s="79" t="str">
        <x:v>Ruinous Ultimatum</x:v>
      </x:c>
      <x:c r="C79" s="85" t="n">
        <x:v>1</x:v>
      </x:c>
      <x:c r="D79" s="79" t="str">
        <x:v>Nonland</x:v>
      </x:c>
      <x:c r="E79" s="79" t="str">
        <x:v>6. Remoção / interação / controle</x:v>
      </x:c>
      <x:c r="F79" s="79" t="str">
        <x:v>Limpeza assimétrica muito forte, mas cara e com requisitos de cor exigentes.</x:v>
      </x:c>
      <x:c r="G79" s="79" t="str">
        <x:v>A/B - forte, mas caro</x:v>
      </x:c>
      <x:c r="H79" s="79" t="str">
        <x:v>Retida da CURRENT</x:v>
      </x:c>
    </x:row>
    <x:row r="80" ht="15" hidden="0" customHeight="1">
      <x:c r="A80" s="85" t="n">
        <x:v>76</x:v>
      </x:c>
      <x:c r="B80" s="79" t="str">
        <x:v>Ruthless Lawbringer</x:v>
      </x:c>
      <x:c r="C80" s="85" t="n">
        <x:v>1</x:v>
      </x:c>
      <x:c r="D80" s="79" t="str">
        <x:v>Nonland</x:v>
      </x:c>
      <x:c r="E80" s="79" t="str">
        <x:v>6. Remoção / interação / controle</x:v>
      </x:c>
      <x:c r="F80" s="79" t="str">
        <x:v>Remoção de permanente não-terreno ao sacrificar outra criatura na entrada.</x:v>
      </x:c>
      <x:c r="G80" s="79" t="str">
        <x:v>A/B - papel específico</x:v>
      </x:c>
      <x:c r="H80" s="79" t="str">
        <x:v>Retida da CURRENT</x:v>
      </x:c>
    </x:row>
    <x:row r="81" ht="24" hidden="0" customHeight="1">
      <x:c r="A81" s="85" t="n">
        <x:v>77</x:v>
      </x:c>
      <x:c r="B81" s="79" t="str">
        <x:v>Sacred Foundry</x:v>
      </x:c>
      <x:c r="C81" s="85" t="n">
        <x:v>1</x:v>
      </x:c>
      <x:c r="D81" s="79" t="str">
        <x:v>Land</x:v>
      </x:c>
      <x:c r="E81" s="79" t="str">
        <x:v>Mana base / fora do 8×8</x:v>
      </x:c>
      <x:c r="F81" s="79" t="str">
        <x:v>Dual land Mountain/Plains que pode entrar desvirada pagando 2 vidas; melhora branco/vermelho e é buscável por Arid Mesa e Bloodstained Mire.</x:v>
      </x:c>
      <x:c r="G81" s="79" t="str">
        <x:v>A</x:v>
      </x:c>
      <x:c r="H81" s="79" t="str">
        <x:v>PROPOSED V2 — candidata, não testada</x:v>
      </x:c>
    </x:row>
    <x:row r="82" ht="15" hidden="0" customHeight="1">
      <x:c r="A82" s="85" t="n">
        <x:v>78</x:v>
      </x:c>
      <x:c r="B82" s="79" t="str">
        <x:v>Savai Triome</x:v>
      </x:c>
      <x:c r="C82" s="85" t="n">
        <x:v>1</x:v>
      </x:c>
      <x:c r="D82" s="79" t="str">
        <x:v>Land</x:v>
      </x:c>
      <x:c r="E82" s="79" t="str">
        <x:v>Mana base / fora do 8×8</x:v>
      </x:c>
      <x:c r="F82" s="79" t="str">
        <x:v>Fonte de mana/fixação ou utilidade; avaliar entrada virada, cor e custo de oportunidade.</x:v>
      </x:c>
      <x:c r="G82" s="79" t="str">
        <x:v>N/A - mana</x:v>
      </x:c>
      <x:c r="H82" s="79" t="str">
        <x:v>Retida da CURRENT</x:v>
      </x:c>
    </x:row>
    <x:row r="83" ht="36" hidden="0" customHeight="1">
      <x:c r="A83" s="85" t="n">
        <x:v>79</x:v>
      </x:c>
      <x:c r="B83" s="79" t="str">
        <x:v>Scheming Silvertongue</x:v>
      </x:c>
      <x:c r="C83" s="85" t="n">
        <x:v>1</x:v>
      </x:c>
      <x:c r="D83" s="79" t="str">
        <x:v>Nonland</x:v>
      </x:c>
      <x:c r="E83" s="79" t="str">
        <x:v>2. Compra / seleção / valor</x:v>
      </x:c>
      <x:c r="F83" s="79" t="str">
        <x:v>Vampiro 1/3 voar/vínculo com a vida por {1}{B}. No início da segunda fase principal, se você ganhou 2+ vidas neste turno, fica preparado para copiar Sign in Blood por {B}{B}. O próprio lifelink de 1 dano não basta sozinho para garantir o gatilho.</x:v>
      </x:c>
      <x:c r="G83" s="79" t="str">
        <x:v>A-</x:v>
      </x:c>
      <x:c r="H83" s="79" t="str">
        <x:v>PROPOSED V2 — candidata, não testada</x:v>
      </x:c>
    </x:row>
    <x:row r="84" ht="15" hidden="0" customHeight="1">
      <x:c r="A84" s="85" t="n">
        <x:v>80</x:v>
      </x:c>
      <x:c r="B84" s="79" t="str">
        <x:v>Secluded Courtyard</x:v>
      </x:c>
      <x:c r="C84" s="85" t="n">
        <x:v>1</x:v>
      </x:c>
      <x:c r="D84" s="79" t="str">
        <x:v>Land</x:v>
      </x:c>
      <x:c r="E84" s="79" t="str">
        <x:v>Mana base / fora do 8×8</x:v>
      </x:c>
      <x:c r="F84" s="79" t="str">
        <x:v>Fonte de mana/fixação ou utilidade; avaliar entrada virada, cor e custo de oportunidade.</x:v>
      </x:c>
      <x:c r="G84" s="79" t="str">
        <x:v>N/A - mana</x:v>
      </x:c>
      <x:c r="H84" s="79" t="str">
        <x:v>Retida da CURRENT</x:v>
      </x:c>
    </x:row>
    <x:row r="85" ht="15" hidden="0" customHeight="1">
      <x:c r="A85" s="85" t="n">
        <x:v>81</x:v>
      </x:c>
      <x:c r="B85" s="79" t="str">
        <x:v>Shared Animosity</x:v>
      </x:c>
      <x:c r="C85" s="85" t="n">
        <x:v>1</x:v>
      </x:c>
      <x:c r="D85" s="79" t="str">
        <x:v>Nonland</x:v>
      </x:c>
      <x:c r="E85" s="79" t="str">
        <x:v>8. Finalizadores / conversão em vitória</x:v>
      </x:c>
      <x:c r="F85" s="79" t="str">
        <x:v>Uma das conversões mais eficientes de uma mesa larga em dano letal.</x:v>
      </x:c>
      <x:c r="G85" s="79" t="str">
        <x:v>S</x:v>
      </x:c>
      <x:c r="H85" s="79" t="str">
        <x:v>Retida da CURRENT</x:v>
      </x:c>
    </x:row>
    <x:row r="86" ht="15" hidden="0" customHeight="1">
      <x:c r="A86" s="85" t="n">
        <x:v>82</x:v>
      </x:c>
      <x:c r="B86" s="79" t="str">
        <x:v>Shattered Landscape</x:v>
      </x:c>
      <x:c r="C86" s="85" t="n">
        <x:v>1</x:v>
      </x:c>
      <x:c r="D86" s="79" t="str">
        <x:v>Land</x:v>
      </x:c>
      <x:c r="E86" s="79" t="str">
        <x:v>Mana base / fora do 8×8</x:v>
      </x:c>
      <x:c r="F86" s="79" t="str">
        <x:v>Terreno utilitário de fixação tardia; entra no cálculo de fonte com custo de oportunidade.</x:v>
      </x:c>
      <x:c r="G86" s="79" t="str">
        <x:v>N/A - mana</x:v>
      </x:c>
      <x:c r="H86" s="79" t="str">
        <x:v>Retida da CURRENT</x:v>
      </x:c>
    </x:row>
    <x:row r="87" ht="15" hidden="0" customHeight="1">
      <x:c r="A87" s="85" t="n">
        <x:v>83</x:v>
      </x:c>
      <x:c r="B87" s="79" t="str">
        <x:v>Skullclamp</x:v>
      </x:c>
      <x:c r="C87" s="85" t="n">
        <x:v>1</x:v>
      </x:c>
      <x:c r="D87" s="79" t="str">
        <x:v>Nonland</x:v>
      </x:c>
      <x:c r="E87" s="79" t="str">
        <x:v>2. Compra / seleção / valor</x:v>
      </x:c>
      <x:c r="F87" s="79" t="str">
        <x:v>Motor de compra com fichas 1/1; sacrifício vira duas cartas.</x:v>
      </x:c>
      <x:c r="G87" s="79" t="str">
        <x:v>S</x:v>
      </x:c>
      <x:c r="H87" s="79" t="str">
        <x:v>Retida da CURRENT</x:v>
      </x:c>
    </x:row>
    <x:row r="88" ht="15" hidden="0" customHeight="1">
      <x:c r="A88" s="85" t="n">
        <x:v>84</x:v>
      </x:c>
      <x:c r="B88" s="79" t="str">
        <x:v>Stromkirk Captain</x:v>
      </x:c>
      <x:c r="C88" s="85" t="n">
        <x:v>1</x:v>
      </x:c>
      <x:c r="D88" s="79" t="str">
        <x:v>Nonland</x:v>
      </x:c>
      <x:c r="E88" s="79" t="str">
        <x:v>4. Lords / combate / evasão</x:v>
      </x:c>
      <x:c r="F88" s="79" t="str">
        <x:v>Lord que também fornece first strike.</x:v>
      </x:c>
      <x:c r="G88" s="79" t="str">
        <x:v>A</x:v>
      </x:c>
      <x:c r="H88" s="79" t="str">
        <x:v>Retida da CURRENT</x:v>
      </x:c>
    </x:row>
    <x:row r="89" ht="15" hidden="0" customHeight="1">
      <x:c r="A89" s="85" t="n">
        <x:v>85</x:v>
      </x:c>
      <x:c r="B89" s="79" t="str">
        <x:v>Swamp</x:v>
      </x:c>
      <x:c r="C89" s="85" t="n">
        <x:v>1</x:v>
      </x:c>
      <x:c r="D89" s="79" t="str">
        <x:v>Land</x:v>
      </x:c>
      <x:c r="E89" s="79" t="str">
        <x:v>Mana base / fora do 8×8</x:v>
      </x:c>
      <x:c r="F89" s="79" t="str">
        <x:v>Fonte de mana/fixação ou utilidade; avaliar entrada virada, cor e custo de oportunidade.</x:v>
      </x:c>
      <x:c r="G89" s="79" t="str">
        <x:v>N/A - mana</x:v>
      </x:c>
      <x:c r="H89" s="79" t="str">
        <x:v>Retida da CURRENT</x:v>
      </x:c>
    </x:row>
    <x:row r="90" ht="15" hidden="0" customHeight="1">
      <x:c r="A90" s="85" t="n">
        <x:v>86</x:v>
      </x:c>
      <x:c r="B90" s="79" t="str">
        <x:v>Swamp</x:v>
      </x:c>
      <x:c r="C90" s="85" t="n">
        <x:v>1</x:v>
      </x:c>
      <x:c r="D90" s="79" t="str">
        <x:v>Land</x:v>
      </x:c>
      <x:c r="E90" s="79" t="str">
        <x:v>Mana base / fora do 8×8</x:v>
      </x:c>
      <x:c r="F90" s="79" t="str">
        <x:v>Fonte de mana/fixação ou utilidade; avaliar entrada virada, cor e custo de oportunidade.</x:v>
      </x:c>
      <x:c r="G90" s="79" t="str">
        <x:v>N/A - mana</x:v>
      </x:c>
      <x:c r="H90" s="79" t="str">
        <x:v>Retida da CURRENT</x:v>
      </x:c>
    </x:row>
    <x:row r="91" ht="15" hidden="0" customHeight="1">
      <x:c r="A91" s="85" t="n">
        <x:v>87</x:v>
      </x:c>
      <x:c r="B91" s="79" t="str">
        <x:v>Teferi's Protection</x:v>
      </x:c>
      <x:c r="C91" s="85" t="n">
        <x:v>1</x:v>
      </x:c>
      <x:c r="D91" s="79" t="str">
        <x:v>Nonland</x:v>
      </x:c>
      <x:c r="E91" s="79" t="str">
        <x:v>7. Proteção / recursão / resiliência</x:v>
      </x:c>
      <x:c r="F91" s="79" t="str">
        <x:v>Proteção ampla contra remoção e dano até o próximo turno.</x:v>
      </x:c>
      <x:c r="G91" s="79" t="str">
        <x:v>S</x:v>
      </x:c>
      <x:c r="H91" s="79" t="str">
        <x:v>Retida da CURRENT</x:v>
      </x:c>
    </x:row>
    <x:row r="92" ht="36" hidden="0" customHeight="1">
      <x:c r="A92" s="85" t="n">
        <x:v>88</x:v>
      </x:c>
      <x:c r="B92" s="79" t="str">
        <x:v>Three Tree City</x:v>
      </x:c>
      <x:c r="C92" s="85" t="n">
        <x:v>1</x:v>
      </x:c>
      <x:c r="D92" s="79" t="str">
        <x:v>Land</x:v>
      </x:c>
      <x:c r="E92" s="79" t="str">
        <x:v>Mana base / fora do 8×8</x:v>
      </x:c>
      <x:c r="F92" s="79" t="str">
        <x:v>Ao entrar, escolha Vampire. Produz {C} ou, por {2} e virar, gera mana de uma cor igual ao número de criaturas do tipo escolhido que você controla. Terreno tribal que escala com uma mesa larga; é limitado quando a mesa está vazia.</x:v>
      </x:c>
      <x:c r="G92" s="79" t="str">
        <x:v>A</x:v>
      </x:c>
      <x:c r="H92" s="79" t="str">
        <x:v>PROPOSED V2 — candidata, não testada</x:v>
      </x:c>
    </x:row>
    <x:row r="93" ht="15" hidden="0" customHeight="1">
      <x:c r="A93" s="85" t="n">
        <x:v>89</x:v>
      </x:c>
      <x:c r="B93" s="79" t="str">
        <x:v>Toxic Deluge</x:v>
      </x:c>
      <x:c r="C93" s="85" t="n">
        <x:v>1</x:v>
      </x:c>
      <x:c r="D93" s="79" t="str">
        <x:v>Nonland</x:v>
      </x:c>
      <x:c r="E93" s="79" t="str">
        <x:v>6. Remoção / interação / controle</x:v>
      </x:c>
      <x:c r="F93" s="79" t="str">
        <x:v>Limpeza eficiente contra criaturas grandes/indestrutíveis, pagando vida.</x:v>
      </x:c>
      <x:c r="G93" s="79" t="str">
        <x:v>A/B - papel específico</x:v>
      </x:c>
      <x:c r="H93" s="79" t="str">
        <x:v>Retida da CURRENT</x:v>
      </x:c>
    </x:row>
    <x:row r="94" ht="15" hidden="0" customHeight="1">
      <x:c r="A94" s="85" t="n">
        <x:v>90</x:v>
      </x:c>
      <x:c r="B94" s="79" t="str">
        <x:v>Unclaimed Territory</x:v>
      </x:c>
      <x:c r="C94" s="85" t="n">
        <x:v>1</x:v>
      </x:c>
      <x:c r="D94" s="79" t="str">
        <x:v>Land</x:v>
      </x:c>
      <x:c r="E94" s="79" t="str">
        <x:v>Mana base / fora do 8×8</x:v>
      </x:c>
      <x:c r="F94" s="79" t="str">
        <x:v>Fixação tribal para Vampiros; atenção às mágicas não-Vampiro.</x:v>
      </x:c>
      <x:c r="G94" s="79" t="str">
        <x:v>N/A - mana</x:v>
      </x:c>
      <x:c r="H94" s="79" t="str">
        <x:v>Retida da CURRENT</x:v>
      </x:c>
    </x:row>
    <x:row r="95" ht="15" hidden="0" customHeight="1">
      <x:c r="A95" s="85" t="n">
        <x:v>91</x:v>
      </x:c>
      <x:c r="B95" s="79" t="str">
        <x:v>Valgavoth's Lair</x:v>
      </x:c>
      <x:c r="C95" s="85" t="n">
        <x:v>1</x:v>
      </x:c>
      <x:c r="D95" s="79" t="str">
        <x:v>Land</x:v>
      </x:c>
      <x:c r="E95" s="79" t="str">
        <x:v>Mana base / fora do 8×8</x:v>
      </x:c>
      <x:c r="F95" s="79" t="str">
        <x:v>Terreno de fixação/valor conforme texto Oracle; verificar velocidade na auditoria de mana.</x:v>
      </x:c>
      <x:c r="G95" s="79" t="str">
        <x:v>N/A - mana</x:v>
      </x:c>
      <x:c r="H95" s="79" t="str">
        <x:v>Retida da CURRENT</x:v>
      </x:c>
    </x:row>
    <x:row r="96" ht="15" hidden="0" customHeight="1">
      <x:c r="A96" s="85" t="n">
        <x:v>92</x:v>
      </x:c>
      <x:c r="B96" s="79" t="str">
        <x:v>Vampire of the Dire Moon</x:v>
      </x:c>
      <x:c r="C96" s="85" t="n">
        <x:v>1</x:v>
      </x:c>
      <x:c r="D96" s="79" t="str">
        <x:v>Nonland</x:v>
      </x:c>
      <x:c r="E96" s="79" t="str">
        <x:v>1. Eminence &amp; curva</x:v>
      </x:c>
      <x:c r="F96" s="79" t="str">
        <x:v>Vampiro barato com lifelink/deathtouch que ativa Eminência.</x:v>
      </x:c>
      <x:c r="G96" s="79" t="str">
        <x:v>A/B - papel específico</x:v>
      </x:c>
      <x:c r="H96" s="79" t="str">
        <x:v>Retida da CURRENT</x:v>
      </x:c>
    </x:row>
    <x:row r="97" ht="15" hidden="0" customHeight="1">
      <x:c r="A97" s="85" t="n">
        <x:v>93</x:v>
      </x:c>
      <x:c r="B97" s="79" t="str">
        <x:v>Vault of the Archangel</x:v>
      </x:c>
      <x:c r="C97" s="85" t="n">
        <x:v>1</x:v>
      </x:c>
      <x:c r="D97" s="79" t="str">
        <x:v>Land</x:v>
      </x:c>
      <x:c r="E97" s="79" t="str">
        <x:v>Mana base / fora do 8×8</x:v>
      </x:c>
      <x:c r="F97" s="79" t="str">
        <x:v>Terreno utilitário que transforma ataques largos em lifelink/deathtouch.</x:v>
      </x:c>
      <x:c r="G97" s="79" t="str">
        <x:v>N/A - mana</x:v>
      </x:c>
      <x:c r="H97" s="79" t="str">
        <x:v>Retida da CURRENT</x:v>
      </x:c>
    </x:row>
    <x:row r="98" ht="15" hidden="0" customHeight="1">
      <x:c r="A98" s="85" t="n">
        <x:v>94</x:v>
      </x:c>
      <x:c r="B98" s="79" t="str">
        <x:v>Vito, Fanatic of Aclazotz</x:v>
      </x:c>
      <x:c r="C98" s="85" t="n">
        <x:v>1</x:v>
      </x:c>
      <x:c r="D98" s="79" t="str">
        <x:v>Nonland</x:v>
      </x:c>
      <x:c r="E98" s="79" t="str">
        <x:v>5. Drenagem / aristocratas / sacrifício</x:v>
      </x:c>
      <x:c r="F98" s="79" t="str">
        <x:v>Payoff de sacrifícios escalonado no turno: vida, drenagem, depois token 4/3.</x:v>
      </x:c>
      <x:c r="G98" s="79" t="str">
        <x:v>A</x:v>
      </x:c>
      <x:c r="H98" s="79" t="str">
        <x:v>Retida da CURRENT</x:v>
      </x:c>
    </x:row>
    <x:row r="99" ht="15" hidden="0" customHeight="1">
      <x:c r="A99" s="85" t="n">
        <x:v>95</x:v>
      </x:c>
      <x:c r="B99" s="79" t="str">
        <x:v>Vito, Thorn of the Dusk Rose</x:v>
      </x:c>
      <x:c r="C99" s="85" t="n">
        <x:v>1</x:v>
      </x:c>
      <x:c r="D99" s="79" t="str">
        <x:v>Nonland</x:v>
      </x:c>
      <x:c r="E99" s="79" t="str">
        <x:v>5. Drenagem / aristocratas / sacrifício</x:v>
      </x:c>
      <x:c r="F99" s="79" t="str">
        <x:v>Peça de combo/drenagem; com Bloodthirsty Conqueror, cada perda de vida pode iniciar loop letal.</x:v>
      </x:c>
      <x:c r="G99" s="79" t="str">
        <x:v>S</x:v>
      </x:c>
      <x:c r="H99" s="79" t="str">
        <x:v>Retida da CURRENT</x:v>
      </x:c>
    </x:row>
    <x:row r="100" ht="15" hidden="0" customHeight="1">
      <x:c r="A100" s="85" t="n">
        <x:v>96</x:v>
      </x:c>
      <x:c r="B100" s="79" t="str">
        <x:v>Voldaren Estate</x:v>
      </x:c>
      <x:c r="C100" s="85" t="n">
        <x:v>1</x:v>
      </x:c>
      <x:c r="D100" s="79" t="str">
        <x:v>Land</x:v>
      </x:c>
      <x:c r="E100" s="79" t="str">
        <x:v>Mana base / fora do 8×8</x:v>
      </x:c>
      <x:c r="F100" s="79" t="str">
        <x:v>Terreno temático; pode produzir Blood ao custo apropriado.</x:v>
      </x:c>
      <x:c r="G100" s="79" t="str">
        <x:v>N/A - mana</x:v>
      </x:c>
      <x:c r="H100" s="79" t="str">
        <x:v>Retida da CURRENT</x:v>
      </x:c>
    </x:row>
    <x:row r="101" ht="15" hidden="0" customHeight="1">
      <x:c r="A101" s="85" t="n">
        <x:v>97</x:v>
      </x:c>
      <x:c r="B101" s="79" t="str">
        <x:v>Welcoming Vampire</x:v>
      </x:c>
      <x:c r="C101" s="85" t="n">
        <x:v>1</x:v>
      </x:c>
      <x:c r="D101" s="79" t="str">
        <x:v>Nonland</x:v>
      </x:c>
      <x:c r="E101" s="79" t="str">
        <x:v>2. Compra / seleção / valor</x:v>
      </x:c>
      <x:c r="F101" s="79" t="str">
        <x:v>Compra recorrente quando criaturas pequenas entram, limitada a uma vez por turno.</x:v>
      </x:c>
      <x:c r="G101" s="79" t="str">
        <x:v>A</x:v>
      </x:c>
      <x:c r="H101" s="79" t="str">
        <x:v>Retida da CURRENT</x:v>
      </x:c>
    </x:row>
    <x:row r="102" ht="15" hidden="0" customHeight="1">
      <x:c r="A102" s="85" t="n">
        <x:v>98</x:v>
      </x:c>
      <x:c r="B102" s="79" t="str">
        <x:v>Windbrisk Heights</x:v>
      </x:c>
      <x:c r="C102" s="85" t="n">
        <x:v>1</x:v>
      </x:c>
      <x:c r="D102" s="79" t="str">
        <x:v>Land</x:v>
      </x:c>
      <x:c r="E102" s="79" t="str">
        <x:v>Mana base / fora do 8×8</x:v>
      </x:c>
      <x:c r="F102" s="79" t="str">
        <x:v>Hideaway que pode lançar carta escondida após atacar com três criaturas.</x:v>
      </x:c>
      <x:c r="G102" s="79" t="str">
        <x:v>N/A - mana</x:v>
      </x:c>
      <x:c r="H102" s="79" t="str">
        <x:v>Retida da CURRENT</x:v>
      </x:c>
    </x:row>
    <x:row r="103" ht="15" hidden="0" customHeight="1">
      <x:c r="A103" s="85" t="n">
        <x:v>99</x:v>
      </x:c>
      <x:c r="B103" s="79" t="str">
        <x:v>Yahenni, Undying Partisan</x:v>
      </x:c>
      <x:c r="C103" s="85" t="n">
        <x:v>1</x:v>
      </x:c>
      <x:c r="D103" s="79" t="str">
        <x:v>Nonland</x:v>
      </x:c>
      <x:c r="E103" s="79" t="str">
        <x:v>5. Drenagem / aristocratas / sacrifício</x:v>
      </x:c>
      <x:c r="F103" s="79" t="str">
        <x:v>Sac outlet gratuito e pode ganhar indestrutível quando criatura adversária morre.</x:v>
      </x:c>
      <x:c r="G103" s="79" t="str">
        <x:v>A/B - papel específico</x:v>
      </x:c>
      <x:c r="H103" s="79" t="str">
        <x:v>Retida da CURRENT</x:v>
      </x:c>
    </x:row>
    <x:row r="104" ht="15" hidden="0" customHeight="1">
      <x:c r="A104" s="85" t="n">
        <x:v>100</x:v>
      </x:c>
      <x:c r="B104" s="79" t="str">
        <x:v>Your Temple Is Under Attack</x:v>
      </x:c>
      <x:c r="C104" s="85" t="n">
        <x:v>1</x:v>
      </x:c>
      <x:c r="D104" s="79" t="str">
        <x:v>Nonland</x:v>
      </x:c>
      <x:c r="E104" s="79" t="str">
        <x:v>7. Proteção / recursão / resiliência</x:v>
      </x:c>
      <x:c r="F104" s="79" t="str">
        <x:v>Função a validar pelo texto Oracle e pela linha de jogo; sem corte automático.</x:v>
      </x:c>
      <x:c r="G104" s="79" t="str">
        <x:v>A/B - papel específico</x:v>
      </x:c>
      <x:c r="H104" s="79" t="str">
        <x:v>Retida da CURRENT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5" hidden="0" customWidth="1"/>
    <x:col min="2" max="2" width="27" hidden="0" customWidth="1"/>
    <x:col min="3" max="3" width="29" hidden="0" customWidth="1"/>
    <x:col min="4" max="4" width="27" hidden="0" customWidth="1"/>
    <x:col min="5" max="5" width="48" hidden="0" customWidth="1"/>
    <x:col min="6" max="6" width="52" hidden="0" customWidth="1"/>
    <x:col min="7" max="7" width="49" hidden="0" customWidth="1"/>
    <x:col min="8" max="8" width="14" hidden="0" customWidth="1"/>
    <x:col min="9" max="9" width="16" hidden="0" customWidth="1"/>
    <x:col min="10" max="10" width="52" hidden="0" customWidth="1"/>
  </x:cols>
  <x:sheetData>
    <x:row r="1" ht="30" customHeight="1">
      <x:c r="A1" s="81" t="str">
        <x:v>MATRIZ DE UPGRADES — CURRENT → PROPOSED V2 | 16 HIPÓTESES</x:v>
      </x:c>
      <x:c r="B1" s="81"/>
      <x:c r="C1" s="81"/>
      <x:c r="D1" s="81"/>
      <x:c r="E1" s="81"/>
      <x:c r="F1" s="81"/>
      <x:c r="G1" s="81"/>
      <x:c r="H1" s="81"/>
      <x:c r="I1" s="81"/>
      <x:c r="J1" s="81"/>
    </x:row>
    <x:row r="2" ht="32" customHeight="1">
      <x:c r="A2" s="83" t="str">
        <x:v>A proposta integral estima o potencial estrutural; testar em módulos. Nenhuma mudança é considerada adquirida ou validada por partidas.</x:v>
      </x:c>
      <x:c r="B2" s="83"/>
      <x:c r="C2" s="83"/>
      <x:c r="D2" s="83"/>
      <x:c r="E2" s="83"/>
      <x:c r="F2" s="83"/>
      <x:c r="G2" s="83"/>
      <x:c r="H2" s="83"/>
      <x:c r="I2" s="83"/>
      <x:c r="J2" s="83"/>
    </x:row>
    <x:row r="3">
      <x:c r="A3"/>
      <x:c r="B3"/>
      <x:c r="C3"/>
      <x:c r="D3"/>
      <x:c r="E3"/>
      <x:c r="F3"/>
      <x:c r="G3"/>
      <x:c r="H3"/>
      <x:c r="I3"/>
      <x:c r="J3"/>
    </x:row>
    <x:row r="4" ht="28" customHeight="1">
      <x:c r="A4" s="86" t="str">
        <x:v>#</x:v>
      </x:c>
      <x:c r="B4" s="86" t="str">
        <x:v>OUT</x:v>
      </x:c>
      <x:c r="C4" s="86" t="str">
        <x:v>IN</x:v>
      </x:c>
      <x:c r="D4" s="86" t="str">
        <x:v>Gargalo atacado</x:v>
      </x:c>
      <x:c r="E4" s="86" t="str">
        <x:v>Por que sai OUT</x:v>
      </x:c>
      <x:c r="F4" s="86" t="str">
        <x:v>Ganho esperado com IN</x:v>
      </x:c>
      <x:c r="G4" s="86" t="str">
        <x:v>O que se perde / risco</x:v>
      </x:c>
      <x:c r="H4" s="86" t="str">
        <x:v>Prioridade</x:v>
      </x:c>
      <x:c r="I4" s="86" t="str">
        <x:v>Confiança</x:v>
      </x:c>
      <x:c r="J4" s="86" t="str">
        <x:v>Critério de teste</x:v>
      </x:c>
    </x:row>
    <x:row r="5" ht="36" hidden="0" customHeight="1">
      <x:c r="A5" s="85" t="n">
        <x:v>1</x:v>
      </x:c>
      <x:c r="B5" s="79" t="str">
        <x:v>Bloodlord of Vaasgoth</x:v>
      </x:c>
      <x:c r="C5" s="79" t="str">
        <x:v>Champion of Dusk</x:v>
      </x:c>
      <x:c r="D5" s="79" t="str">
        <x:v>Recarga imediata</x:v>
      </x:c>
      <x:c r="E5" s="79" t="str">
        <x:v>Bloodlord é um payoff de combate de 5 manas; pode amplificar tokens depois de dano ao oponente, mas não repõe a mão.</x:v>
      </x:c>
      <x:c r="F5" s="79" t="str">
        <x:v>Champion compra com uma mesa tribal estabelecida; o custo é vida e pouca compra após wipe.</x:v>
      </x:c>
      <x:c r="G5" s="79" t="str">
        <x:v>Perde o crescimento explosivo de +3/+3 depois que um oponente perde vida; Champion pode comprar pouco se a mesa já foi limpa e cobra vida.</x:v>
      </x:c>
      <x:c r="H5" s="85" t="str">
        <x:v>Alta</x:v>
      </x:c>
      <x:c r="I5" s="85" t="str">
        <x:v>Média-alta</x:v>
      </x:c>
      <x:c r="J5" s="79" t="str">
        <x:v>Contar cartas compradas, vida paga e se a mão foi reabastecida antes do próximo wipe.</x:v>
      </x:c>
    </x:row>
    <x:row r="6" ht="24" hidden="0" customHeight="1">
      <x:c r="A6" s="85" t="n">
        <x:v>2</x:v>
      </x:c>
      <x:c r="B6" s="79" t="str">
        <x:v>Coat of Arms</x:v>
      </x:c>
      <x:c r="C6" s="79" t="str">
        <x:v>Black Market Connections</x:v>
      </x:c>
      <x:c r="D6" s="79" t="str">
        <x:v>Valor recorrente não simétrico</x:v>
      </x:c>
      <x:c r="E6" s="79" t="str">
        <x:v>Coat pode fortalecer criaturas tribais dos oponentes e não compra cartas.</x:v>
      </x:c>
      <x:c r="F6" s="79" t="str">
        <x:v>Connections pode comprar, criar token changeling e gerar Treasure opcional; os modos cobram vida.</x:v>
      </x:c>
      <x:c r="G6" s="79" t="str">
        <x:v>Perde um bônus tribal que pode produzir dano explosivo. Connections pode consumir muita vida se você escolher vários modos a cada turno.</x:v>
      </x:c>
      <x:c r="H6" s="85" t="str">
        <x:v>Alta</x:v>
      </x:c>
      <x:c r="I6" s="85" t="str">
        <x:v>Alta</x:v>
      </x:c>
      <x:c r="J6" s="79" t="str">
        <x:v>Registrar modos usados, vida paga, cartas e tokens/tesouros gerados; notar se a perda de explosão tribal fez falta.</x:v>
      </x:c>
    </x:row>
    <x:row r="7" ht="24" hidden="0" customHeight="1">
      <x:c r="A7" s="85" t="n">
        <x:v>3</x:v>
      </x:c>
      <x:c r="B7" s="79" t="str">
        <x:v>Cemetery Gatekeeper</x:v>
      </x:c>
      <x:c r="C7" s="79" t="str">
        <x:v>Bloodline Recollector</x:v>
      </x:c>
      <x:c r="D7" s="79" t="str">
        <x:v>Motor de compra novo e temático</x:v>
      </x:c>
      <x:c r="E7" s="79" t="str">
        <x:v>Gatekeeper depende do tipo exilado e do metagame; sua punição pode ser pouco relevante em algumas mesas.</x:v>
      </x:c>
      <x:c r="F7" s="79" t="str">
        <x:v>Recollector oferece uma cópia de Ancestral Craving quando 3+ criaturas morreram no turno e ele permanece vivo até a etapa final.</x:v>
      </x:c>
      <x:c r="G7" s="79" t="str">
        <x:v>Recollector é condicional: precisa que 3+ criaturas morram no turno e precisa sobreviver ao início da etapa final; não é draw garantido.</x:v>
      </x:c>
      <x:c r="H7" s="85" t="str">
        <x:v>Alta</x:v>
      </x:c>
      <x:c r="I7" s="85" t="str">
        <x:v>Média</x:v>
      </x:c>
      <x:c r="J7" s="79" t="str">
        <x:v>Anotar quantas vezes preparou, número de cartas compradas, alvos e se sobreviveu ao evento de morte.</x:v>
      </x:c>
    </x:row>
    <x:row r="8" ht="36" hidden="0" customHeight="1">
      <x:c r="A8" s="85" t="n">
        <x:v>4</x:v>
      </x:c>
      <x:c r="B8" s="79" t="str">
        <x:v>Gifted Aetherborn</x:v>
      </x:c>
      <x:c r="C8" s="79" t="str">
        <x:v>Scheming Silvertongue</x:v>
      </x:c>
      <x:c r="D8" s="79" t="str">
        <x:v>Compra condicional em Vampiro de baixo custo</x:v>
      </x:c>
      <x:c r="E8" s="79" t="str">
        <x:v>Aetherborn estabiliza cedo com deathtouch/lifelink, mas é principalmente uma peça defensiva eficiente.</x:v>
      </x:c>
      <x:c r="F8" s="79" t="str">
        <x:v>Silvertongue combina evasão/lifelink com cópia preparada de Sign in Blood após 2+ vidas ganhas.</x:v>
      </x:c>
      <x:c r="G8" s="79" t="str">
        <x:v>Perde toque mortífero e o papel de bloqueador eficiente no início. Silvertongue só prepara se você já tiver ganhado 2+ vidas antes do início da segunda fase principal.</x:v>
      </x:c>
      <x:c r="H8" s="85" t="str">
        <x:v>Média-alta</x:v>
      </x:c>
      <x:c r="I8" s="85" t="str">
        <x:v>Média</x:v>
      </x:c>
      <x:c r="J8" s="79" t="str">
        <x:v>Contar ativações; registrar se perder deathtouch/lifelink cedo fez falta e se o preparo foi consistente.</x:v>
      </x:c>
    </x:row>
    <x:row r="9" ht="36" hidden="0" customHeight="1">
      <x:c r="A9" s="85" t="n">
        <x:v>5</x:v>
      </x:c>
      <x:c r="B9" s="79" t="str">
        <x:v>Vampire Nocturnus</x:v>
      </x:c>
      <x:c r="C9" s="79" t="str">
        <x:v>Bloodletter of Aclazotz</x:v>
      </x:c>
      <x:c r="D9" s="79" t="str">
        <x:v>Fechamento menos dependente do topo</x:v>
      </x:c>
      <x:c r="E9" s="79" t="str">
        <x:v>Nocturnus precisa que o topo esteja preto para o bônus; cartas/terrenos multicoloridos e não pretos reduzem confiabilidade.</x:v>
      </x:c>
      <x:c r="F9" s="79" t="str">
        <x:v>Bloodletter dobra perda de vida de oponentes no seu turno, fortalecendo combate, drenagem e combo de contingência.</x:v>
      </x:c>
      <x:c r="G9" s="79" t="str">
        <x:v>Bloodletter exige {B}{B}{B} e vira alvo; dobra perda de vida que oponentes sofreriam durante seu turno, não dobra dano como regra geral.</x:v>
      </x:c>
      <x:c r="H9" s="85" t="str">
        <x:v>Alta</x:v>
      </x:c>
      <x:c r="I9" s="85" t="str">
        <x:v>Alta</x:v>
      </x:c>
      <x:c r="J9" s="79" t="str">
        <x:v>Registrar turnos em que Bloodletter mudou clock/letalidade e comparar com frequência do gatilho de Nocturnus.</x:v>
      </x:c>
    </x:row>
    <x:row r="10" ht="24" hidden="0" customHeight="1">
      <x:c r="A10" s="85" t="n">
        <x:v>6</x:v>
      </x:c>
      <x:c r="B10" s="79" t="str">
        <x:v>Olivia, Crimson Bride</x:v>
      </x:c>
      <x:c r="C10" s="79" t="str">
        <x:v>Crossway Troublemakers</x:v>
      </x:c>
      <x:c r="D10" s="79" t="str">
        <x:v>Cartas através de mortes + estabilidade no combate</x:v>
      </x:c>
      <x:c r="E10" s="79" t="str">
        <x:v>Olivia pode reanimar uma criatura ao atacar, mas custa 6 e depende de combate e de bom alvo no cemitério.</x:v>
      </x:c>
      <x:c r="F10" s="79" t="str">
        <x:v>Crossway dá deathtouch/lifelink a Vampiros atacantes e pode transformar cada morte de Vampiro em uma carta por 2 vidas, inclusive no wipe.</x:v>
      </x:c>
      <x:c r="G10" s="79" t="str">
        <x:v>Perde uma linha de recursão recorrente ao atacar. Crossway custa seis manas e pagar 2 vidas por carta pode ficar caro.</x:v>
      </x:c>
      <x:c r="H10" s="85" t="str">
        <x:v>Alta</x:v>
      </x:c>
      <x:c r="I10" s="85" t="str">
        <x:v>Média-alta</x:v>
      </x:c>
      <x:c r="J10" s="79" t="str">
        <x:v>Em partidas com wipe, registrar triggers/carta comprada e vida paga; medir se a recursão de Olivia faria mais diferença.</x:v>
      </x:c>
    </x:row>
    <x:row r="11" ht="24" hidden="0" customHeight="1">
      <x:c r="A11" s="85" t="n">
        <x:v>7</x:v>
      </x:c>
      <x:c r="B11" s="79" t="str">
        <x:v>Faithless Looting</x:v>
      </x:c>
      <x:c r="C11" s="79" t="str">
        <x:v>Plumb the Forbidden</x:v>
      </x:c>
      <x:c r="D11" s="79" t="str">
        <x:v>Conversão de fichas em cartas em resposta a remoção</x:v>
      </x:c>
      <x:c r="E11" s="79" t="str">
        <x:v>Looting filtra cartas, mas compra duas e descarta duas com card disadvantage inicial; não transforma a mesa em cartas.</x:v>
      </x:c>
      <x:c r="F11" s="79" t="str">
        <x:v>Plumb sacrifica qualquer quantidade de criaturas, copia-se por cada uma e compra uma por resolução; excelente com Eminência/tokens.</x:v>
      </x:c>
      <x:c r="G11" s="79" t="str">
        <x:v>Perde filtragem barata e flashback. Plumb precisa de criaturas para sacrificar e não salva os corpos que sacrifica.</x:v>
      </x:c>
      <x:c r="H11" s="85" t="str">
        <x:v>Alta</x:v>
      </x:c>
      <x:c r="I11" s="85" t="str">
        <x:v>Alta</x:v>
      </x:c>
      <x:c r="J11" s="79" t="str">
        <x:v>Registrar quantas cartas líquidas comprou quando um wipe/remoção estava na pilha e qual mão reconstruiu.</x:v>
      </x:c>
    </x:row>
    <x:row r="12" ht="36" hidden="0" customHeight="1">
      <x:c r="A12" s="85" t="n">
        <x:v>8</x:v>
      </x:c>
      <x:c r="B12" s="79" t="str">
        <x:v>Kindred Charge</x:v>
      </x:c>
      <x:c r="C12" s="79" t="str">
        <x:v>Bloodline Bidding</x:v>
      </x:c>
      <x:c r="D12" s="79" t="str">
        <x:v>Reconstrução tribal em massa</x:v>
      </x:c>
      <x:c r="E12" s="79" t="str">
        <x:v>Charge é um alfa-strike poderoso, mas exige uma mesa já montada e se sobrepõe parcialmente a Akroma's Will/Shared Animosity/Banner.</x:v>
      </x:c>
      <x:c r="F12" s="79" t="str">
        <x:v>Bloodline Bidding devolve todas as cartas de criatura Vampire do seu cemitério; convoke reduz custo se ainda houver criaturas.</x:v>
      </x:c>
      <x:c r="G12" s="79" t="str">
        <x:v>Perde um finalizador de combate potencialmente letal. Bloodline Bidding custa oito no total, convoke é fraco após wipe total e só recupera criaturas do seu cemitério.</x:v>
      </x:c>
      <x:c r="H12" s="85" t="str">
        <x:v>Alta</x:v>
      </x:c>
      <x:c r="I12" s="85" t="str">
        <x:v>Média</x:v>
      </x:c>
      <x:c r="J12" s="79" t="str">
        <x:v>Registrar custo efetivamente pago, cartas devolvidas, turnos para recuperar mesa e se a ausência de Charge reduziu letalidade.</x:v>
      </x:c>
    </x:row>
    <x:row r="13" ht="36" hidden="0" customHeight="1">
      <x:c r="A13" s="85" t="n">
        <x:v>9</x:v>
      </x:c>
      <x:c r="B13" s="79" t="str">
        <x:v>Bloodline Keeper</x:v>
      </x:c>
      <x:c r="C13" s="79" t="str">
        <x:v>Three Tree City</x:v>
      </x:c>
      <x:c r="D13" s="79" t="str">
        <x:v>Transformar um slot de token lento em mana tribal de alto teto</x:v>
      </x:c>
      <x:c r="E13" s="79" t="str">
        <x:v>Keeper faz tokens com ativação lenta, exige virar e pode exigir 5 Vampiros para transformar; a lista já tem muitas fontes de tokens.</x:v>
      </x:c>
      <x:c r="F13" s="79" t="str">
        <x:v>City escala com a mesa de Vampiros e converte uma mesa larga em mana para múltiplas mágicas/finalizadores.</x:v>
      </x:c>
      <x:c r="G13" s="79" t="str">
        <x:v>Perde gerador recorrente de fichas e a opção de transformar. Three Tree City é muito pior com mesa vazia e só adiciona mana colorida após pagar {2} e virar.</x:v>
      </x:c>
      <x:c r="H13" s="85" t="str">
        <x:v>Média-alta</x:v>
      </x:c>
      <x:c r="I13" s="85" t="str">
        <x:v>Média</x:v>
      </x:c>
      <x:c r="J13" s="79" t="str">
        <x:v>Registrar mana efetivamente produzida e jogos em que Keeper geraria tokens suficientes; City quase não ajuda sem mesa.</x:v>
      </x:c>
    </x:row>
    <x:row r="14" ht="24" hidden="0" customHeight="1">
      <x:c r="A14" s="85" t="n">
        <x:v>10</x:v>
      </x:c>
      <x:c r="B14" s="79" t="str">
        <x:v>Mavren Fein, Dusk Apostle</x:v>
      </x:c>
      <x:c r="C14" s="79" t="str">
        <x:v>Minas Tirith</x:v>
      </x:c>
      <x:c r="D14" s="79" t="str">
        <x:v>Comprar através do terreno e reduzir dependência de criatura</x:v>
      </x:c>
      <x:c r="E14" s="79" t="str">
        <x:v>Mavren só gera um token por combate elegível e requer atacar com Vampiros não-token.</x:v>
      </x:c>
      <x:c r="F14" s="79" t="str">
        <x:v>Minas Tirith pode comprar carta depois de atacar com duas ou mais criaturas e entra desvirada.</x:v>
      </x:c>
      <x:c r="G14" s="79" t="str">
        <x:v>Perde geração de fichas e sinergia com combate; Minas Tirith exige ataque com 2+ criaturas e duas manas livres para comprar.</x:v>
      </x:c>
      <x:c r="H14" s="85" t="str">
        <x:v>Média-alta</x:v>
      </x:c>
      <x:c r="I14" s="85" t="str">
        <x:v>Média</x:v>
      </x:c>
      <x:c r="J14" s="79" t="str">
        <x:v>Contar compras da land e registrar se faltaram tokens/lifelink do Mavren.</x:v>
      </x:c>
    </x:row>
    <x:row r="15" ht="36" hidden="0" customHeight="1">
      <x:c r="A15" s="85" t="n">
        <x:v>11</x:v>
      </x:c>
      <x:c r="B15" s="79" t="str">
        <x:v>Vampire Socialite</x:v>
      </x:c>
      <x:c r="C15" s="79" t="str">
        <x:v>Bloodstained Mire</x:v>
      </x:c>
      <x:c r="D15" s="79" t="str">
        <x:v>Fixação com land count de 35 e melhor acesso às cores</x:v>
      </x:c>
      <x:c r="E15" s="79" t="str">
        <x:v>Socialite é um lord barato, mas parte do papel de +1/+1 já é coberto por Legion Lieutenant, Stromkirk Captain, Cordial Vampire e Banner of Kinship.</x:v>
      </x:c>
      <x:c r="F15" s="79" t="str">
        <x:v>Fetch permite buscar Blood Crypt/Sacred Foundry e melhora a qualidade da mana sem incluir pedras genéricas.</x:v>
      </x:c>
      <x:c r="G15" s="79" t="str">
        <x:v>Perde um lord barato. Bloodstained Mire pode custar vida pela sequência de fetch/shock e é uma troca de consistência, não de pressão imediata.</x:v>
      </x:c>
      <x:c r="H15" s="85" t="str">
        <x:v>Alta</x:v>
      </x:c>
      <x:c r="I15" s="85" t="str">
        <x:v>Média-alta</x:v>
      </x:c>
      <x:c r="J15" s="79" t="str">
        <x:v>Registrar cores faltando, lands viradas e se a perda de um lord barato reduziu dano/pressão.</x:v>
      </x:c>
    </x:row>
    <x:row r="16" ht="36" hidden="0" customHeight="1">
      <x:c r="A16" s="85" t="n">
        <x:v>12</x:v>
      </x:c>
      <x:c r="B16" s="79" t="str">
        <x:v>Temple of the False God</x:v>
      </x:c>
      <x:c r="C16" s="79" t="str">
        <x:v>Phyrexian Tower</x:v>
      </x:c>
      <x:c r="D16" s="79" t="str">
        <x:v>Terreno ativo cedo e sac outlet temático</x:v>
      </x:c>
      <x:c r="E16" s="79" t="str">
        <x:v>Temple pode não produzir mana nos primeiros turnos e é incolor; com a curva sem rocks, uma land inativa atrapalha.</x:v>
      </x:c>
      <x:c r="F16" s="79" t="str">
        <x:v>Tower gera {B}{B} sacrificando criatura e ativa sinergias de morte; tem uso mesmo com poucos terrenos.</x:v>
      </x:c>
      <x:c r="G16" s="79" t="str">
        <x:v>Perde a chance de produzir duas manas incolores sem sacrificar criatura quando tiver cinco terrenos. Phyrexian Tower depende de um corpo e não corrige todas as cores.</x:v>
      </x:c>
      <x:c r="H16" s="85" t="str">
        <x:v>Alta</x:v>
      </x:c>
      <x:c r="I16" s="85" t="str">
        <x:v>Alta</x:v>
      </x:c>
      <x:c r="J16" s="79" t="str">
        <x:v>Registrar mãos em que Temple ficou morta e ocasiões em que Tower converteu token em mana útil.</x:v>
      </x:c>
    </x:row>
    <x:row r="17" ht="36" hidden="0" customHeight="1">
      <x:c r="A17" s="85" t="n">
        <x:v>13</x:v>
      </x:c>
      <x:c r="B17" s="79" t="str">
        <x:v>Crystal Grotto</x:v>
      </x:c>
      <x:c r="C17" s="79" t="str">
        <x:v>Cavern of Souls</x:v>
      </x:c>
      <x:c r="D17" s="79" t="str">
        <x:v>Fixação tribal e proteção contra counters</x:v>
      </x:c>
      <x:c r="E17" s="79" t="str">
        <x:v>Grotto entra virada e só corrige uma vez com custo/virada.</x:v>
      </x:c>
      <x:c r="F17" s="79" t="str">
        <x:v>Cavern pode gerar mana colorida para Vampiros e torna mágicas Vampiro não anuláveis.</x:v>
      </x:c>
      <x:c r="G17" s="79" t="str">
        <x:v>Perde o scry pontual e uma correção universal. Cavern só corrige cores para conjurar Vampiros do tipo escolhido, embora torne esses spells não anuláveis.</x:v>
      </x:c>
      <x:c r="H17" s="85" t="str">
        <x:v>Alta</x:v>
      </x:c>
      <x:c r="I17" s="85" t="str">
        <x:v>Alta</x:v>
      </x:c>
      <x:c r="J17" s="79" t="str">
        <x:v>Registrar erros de cor, terrenos virados e counters que Cavern teria impedido.</x:v>
      </x:c>
    </x:row>
    <x:row r="18" ht="24" hidden="0" customHeight="1">
      <x:c r="A18" s="85" t="n">
        <x:v>14</x:v>
      </x:c>
      <x:c r="B18" s="79" t="str">
        <x:v>Temple of Malice</x:v>
      </x:c>
      <x:c r="C18" s="79" t="str">
        <x:v>Blood Crypt</x:v>
      </x:c>
      <x:c r="D18" s="79" t="str">
        <x:v>Melhorar acesso a vermelho/preto e fetchability</x:v>
      </x:c>
      <x:c r="E18" s="79" t="str">
        <x:v>Temple entra virada, ainda que tenha scry.</x:v>
      </x:c>
      <x:c r="F18" s="79" t="str">
        <x:v>Shock land pode entrar desvirada e é buscável por fetches; cobra até 2 vidas.</x:v>
      </x:c>
      <x:c r="G18" s="79" t="str">
        <x:v>Perde scry; Blood Crypt pode custar 2 vidas para entrar desvirado.</x:v>
      </x:c>
      <x:c r="H18" s="85" t="str">
        <x:v>Média-alta</x:v>
      </x:c>
      <x:c r="I18" s="85" t="str">
        <x:v>Alta</x:v>
      </x:c>
      <x:c r="J18" s="79" t="str">
        <x:v>Registrar perda de vida e vezes em que entrar desvirada mudou o turno.</x:v>
      </x:c>
    </x:row>
    <x:row r="19" ht="24" hidden="0" customHeight="1">
      <x:c r="A19" s="85" t="n">
        <x:v>15</x:v>
      </x:c>
      <x:c r="B19" s="79" t="str">
        <x:v>Temple of Silence</x:v>
      </x:c>
      <x:c r="C19" s="79" t="str">
        <x:v>Godless Shrine</x:v>
      </x:c>
      <x:c r="D19" s="79" t="str">
        <x:v>Melhorar acesso a branco/preto e fetchability</x:v>
      </x:c>
      <x:c r="E19" s="79" t="str">
        <x:v>Temple entra virada.</x:v>
      </x:c>
      <x:c r="F19" s="79" t="str">
        <x:v>Shock land pode entrar desvirada e é buscável por Arid Mesa; cobra até 2 vidas.</x:v>
      </x:c>
      <x:c r="G19" s="79" t="str">
        <x:v>Perde scry; Godless Shrine pode custar 2 vidas para entrar desvirado.</x:v>
      </x:c>
      <x:c r="H19" s="85" t="str">
        <x:v>Média-alta</x:v>
      </x:c>
      <x:c r="I19" s="85" t="str">
        <x:v>Alta</x:v>
      </x:c>
      <x:c r="J19" s="79" t="str">
        <x:v>Registrar acesso a preto/branco e vida paga para entrar desvirada.</x:v>
      </x:c>
    </x:row>
    <x:row r="20" ht="24" hidden="0" customHeight="1">
      <x:c r="A20" s="85" t="n">
        <x:v>16</x:v>
      </x:c>
      <x:c r="B20" s="79" t="str">
        <x:v>Temple of Triumph</x:v>
      </x:c>
      <x:c r="C20" s="79" t="str">
        <x:v>Sacred Foundry</x:v>
      </x:c>
      <x:c r="D20" s="79" t="str">
        <x:v>Melhorar acesso a vermelho/branco e fetchability</x:v>
      </x:c>
      <x:c r="E20" s="79" t="str">
        <x:v>Temple entra virada.</x:v>
      </x:c>
      <x:c r="F20" s="79" t="str">
        <x:v>Shock land pode entrar desvirada e é buscável por Arid Mesa/Bloodstained Mire; cobra até 2 vidas.</x:v>
      </x:c>
      <x:c r="G20" s="79" t="str">
        <x:v>Perde scry; Sacred Foundry pode custar 2 vidas para entrar desvirado.</x:v>
      </x:c>
      <x:c r="H20" s="85" t="str">
        <x:v>Média-alta</x:v>
      </x:c>
      <x:c r="I20" s="85" t="str">
        <x:v>Alta</x:v>
      </x:c>
      <x:c r="J20" s="79" t="str">
        <x:v>Registrar erros de cor/turnos e vida paga para entrar desvirada.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62" hidden="0" customWidth="1"/>
    <x:col min="3" max="3" width="17" hidden="0" customWidth="1"/>
    <x:col min="4" max="4" width="20" hidden="0" customWidth="1"/>
    <x:col min="5" max="5" width="64" hidden="0" customWidth="1"/>
  </x:cols>
  <x:sheetData>
    <x:row r="1" ht="30" customHeight="1">
      <x:c r="A1" s="81" t="str">
        <x:v>AGRUPAMENTOS — TEORIA 8×8 ADAPTADA | EDGAR MARKOV</x:v>
      </x:c>
      <x:c r="B1" s="81"/>
      <x:c r="C1" s="81"/>
      <x:c r="D1" s="81"/>
      <x:c r="E1" s="81"/>
    </x:row>
    <x:row r="2" ht="32" customHeight="1">
      <x:c r="A2" s="83" t="str">
        <x:v>Comandante, terrenos físicos e MDFCs ficam fora da soma dos oito grupos. Cada carta física não-terreno tem exatamente um grupo primário; funções secundárias podem ser descritas no papel.</x:v>
      </x:c>
      <x:c r="B2" s="83"/>
      <x:c r="C2" s="83"/>
      <x:c r="D2" s="83"/>
      <x:c r="E2" s="83"/>
    </x:row>
    <x:row r="3">
      <x:c r="A3"/>
      <x:c r="B3"/>
      <x:c r="C3"/>
      <x:c r="D3"/>
      <x:c r="E3"/>
    </x:row>
    <x:row r="4" ht="28" customHeight="1">
      <x:c r="A4" s="84" t="str">
        <x:v>Grupo</x:v>
      </x:c>
      <x:c r="B4" s="84" t="str">
        <x:v>Definição estratégica</x:v>
      </x:c>
      <x:c r="C4" s="84" t="str">
        <x:v>CURRENT (contagem)</x:v>
      </x:c>
      <x:c r="D4" s="84" t="str">
        <x:v>PROPOSED V2 (contagem)</x:v>
      </x:c>
      <x:c r="E4" s="84" t="str">
        <x:v>Notas / trade-off</x:v>
      </x:c>
    </x:row>
    <x:row r="5" ht="15" hidden="0" customHeight="1">
      <x:c r="A5" s="79" t="str">
        <x:v>1. Eminence &amp; curva</x:v>
      </x:c>
      <x:c r="B5" s="79" t="str">
        <x:v>Vampiros baratos e flexíveis para conjurar várias mágicas e gerar fichas pela Eminência.</x:v>
      </x:c>
      <x:c r="C5" s="85" t="n">
        <x:v>4</x:v>
      </x:c>
      <x:c r="D5" s="85" t="n">
        <x:v>3</x:v>
      </x:c>
      <x:c r="E5" s="79" t="str">
        <x:v>Priorizar mana value baixo sem transformar o deck em corpos sem função.</x:v>
      </x:c>
    </x:row>
    <x:row r="6" ht="24" hidden="0" customHeight="1">
      <x:c r="A6" s="79" t="str">
        <x:v>2. Compra / seleção / valor</x:v>
      </x:c>
      <x:c r="B6" s="79" t="str">
        <x:v>Compra imediata ou recorrente, seleção e vantagem de cartas.</x:v>
      </x:c>
      <x:c r="C6" s="85" t="n">
        <x:v>15</x:v>
      </x:c>
      <x:c r="D6" s="85" t="n">
        <x:v>20</x:v>
      </x:c>
      <x:c r="E6" s="79" t="str">
        <x:v>Foco principal da nova pesquisa: compra de mesa, motores independentes e respostas a wipes.</x:v>
      </x:c>
    </x:row>
    <x:row r="7" ht="15" hidden="0" customHeight="1">
      <x:c r="A7" s="79" t="str">
        <x:v>3. Fichas / crescimento de mesa</x:v>
      </x:c>
      <x:c r="B7" s="79" t="str">
        <x:v>Produção, multiplicação e valorização das fichas de Vampiro.</x:v>
      </x:c>
      <x:c r="C7" s="85" t="n">
        <x:v>7</x:v>
      </x:c>
      <x:c r="D7" s="85" t="n">
        <x:v>5</x:v>
      </x:c>
      <x:c r="E7" s="79" t="str">
        <x:v>Contar cada carta uma só vez pelo papel primário.</x:v>
      </x:c>
    </x:row>
    <x:row r="8" ht="15" hidden="0" customHeight="1">
      <x:c r="A8" s="79" t="str">
        <x:v>4. Lords / combate / evasão</x:v>
      </x:c>
      <x:c r="B8" s="79" t="str">
        <x:v>Bônus tribais, marcadores, evasão e pressão por combate.</x:v>
      </x:c>
      <x:c r="C8" s="85" t="n">
        <x:v>9</x:v>
      </x:c>
      <x:c r="D8" s="85" t="n">
        <x:v>6</x:v>
      </x:c>
      <x:c r="E8" s="79" t="str">
        <x:v>O deck ainda precisa fechar por combate; não cortar todos os payoffs caros.</x:v>
      </x:c>
    </x:row>
    <x:row r="9" ht="15" hidden="0" customHeight="1">
      <x:c r="A9" s="79" t="str">
        <x:v>5. Drenagem / aristocratas / sacrifício</x:v>
      </x:c>
      <x:c r="B9" s="79" t="str">
        <x:v>Perda de vida, ganho de vida, sacrifício e conversão das mortes em valor.</x:v>
      </x:c>
      <x:c r="C9" s="85" t="n">
        <x:v>6</x:v>
      </x:c>
      <x:c r="D9" s="85" t="n">
        <x:v>7</x:v>
      </x:c>
      <x:c r="E9" s="79" t="str">
        <x:v>Vito + Bloodthirsty Conqueror fica como contingência.</x:v>
      </x:c>
    </x:row>
    <x:row r="10" ht="15" hidden="0" customHeight="1">
      <x:c r="A10" s="79" t="str">
        <x:v>6. Remoção / interação / controle</x:v>
      </x:c>
      <x:c r="B10" s="79" t="str">
        <x:v>Respostas a ameaças, habilidades e limpezas de mesa.</x:v>
      </x:c>
      <x:c r="C10" s="85" t="n">
        <x:v>13</x:v>
      </x:c>
      <x:c r="D10" s="85" t="n">
        <x:v>12</x:v>
      </x:c>
      <x:c r="E10" s="79" t="str">
        <x:v>Ruinous Ultimatum e as remoções de baixo custo permanecem na baseline.</x:v>
      </x:c>
    </x:row>
    <x:row r="11" ht="15" hidden="0" customHeight="1">
      <x:c r="A11" s="79" t="str">
        <x:v>7. Proteção / recursão / resiliência</x:v>
      </x:c>
      <x:c r="B11" s="79" t="str">
        <x:v>Proteção, recuperação do cemitério e reconstrução após respostas.</x:v>
      </x:c>
      <x:c r="C11" s="85" t="n">
        <x:v>7</x:v>
      </x:c>
      <x:c r="D11" s="85" t="n">
        <x:v>7</x:v>
      </x:c>
      <x:c r="E11" s="79" t="str">
        <x:v>Bloodline Bidding é forte quando há tempo/mana; não é instantâneo nem gratuito.</x:v>
      </x:c>
    </x:row>
    <x:row r="12" ht="15" hidden="0" customHeight="1">
      <x:c r="A12" s="79" t="str">
        <x:v>8. Finalizadores / conversão em vitória</x:v>
      </x:c>
      <x:c r="B12" s="79" t="str">
        <x:v>Transformar a mesa e os motores em vitória concreta.</x:v>
      </x:c>
      <x:c r="C12" s="85" t="n">
        <x:v>6</x:v>
      </x:c>
      <x:c r="D12" s="85" t="n">
        <x:v>4</x:v>
      </x:c>
      <x:c r="E12" s="79" t="str">
        <x:v>Manter densidade suficiente de fechamento sem aumentar demais a curva.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7" hidden="0" customWidth="1"/>
    <x:col min="2" max="2" width="12" hidden="0" customWidth="1"/>
    <x:col min="3" max="3" width="15" hidden="0" customWidth="1"/>
    <x:col min="4" max="4" width="22" hidden="0" customWidth="1"/>
    <x:col min="5" max="5" width="20" hidden="0" customWidth="1"/>
    <x:col min="6" max="6" width="20" hidden="0" customWidth="1"/>
    <x:col min="7" max="7" width="15" hidden="0" customWidth="1"/>
  </x:cols>
  <x:sheetData>
    <x:row r="1" ht="30" customHeight="1">
      <x:c r="A1" s="81" t="str">
        <x:v>RUBRICA PONDERADA — V2 DE PESQUISA | NOTA ESTRUTURAL, NÃO WIN RATE</x:v>
      </x:c>
      <x:c r="B1" s="81"/>
      <x:c r="C1" s="81"/>
      <x:c r="D1" s="81"/>
      <x:c r="E1" s="81"/>
      <x:c r="F1" s="81"/>
      <x:c r="G1" s="81"/>
    </x:row>
    <x:row r="2" ht="32" customHeight="1">
      <x:c r="A2" s="83" t="str">
        <x:v>A proposta é uma projeção para a identidade declarada e depende de playtests. O 10/10 não é prometido; mudanças metodológicas devem ser registradas.</x:v>
      </x:c>
      <x:c r="B2" s="83"/>
      <x:c r="C2" s="83"/>
      <x:c r="D2" s="83"/>
      <x:c r="E2" s="83"/>
      <x:c r="F2" s="83"/>
      <x:c r="G2" s="83"/>
    </x:row>
    <x:row r="3">
      <x:c r="A3"/>
      <x:c r="B3"/>
      <x:c r="C3"/>
      <x:c r="D3"/>
      <x:c r="E3"/>
      <x:c r="F3"/>
      <x:c r="G3"/>
    </x:row>
    <x:row r="4" ht="28" customHeight="1">
      <x:c r="A4" s="84" t="str">
        <x:v>Critério</x:v>
      </x:c>
      <x:c r="B4" s="84" t="str">
        <x:v>Peso</x:v>
      </x:c>
      <x:c r="C4" s="84" t="str">
        <x:v>CURRENT /10</x:v>
      </x:c>
      <x:c r="D4" s="84" t="str">
        <x:v>Contribuição CURRENT</x:v>
      </x:c>
      <x:c r="E4" s="84" t="str">
        <x:v>PROPOSED V2 /10</x:v>
      </x:c>
      <x:c r="F4" s="84" t="str">
        <x:v>Contribuição V2</x:v>
      </x:c>
      <x:c r="G4" s="84" t="str">
        <x:v>Mudança</x:v>
      </x:c>
    </x:row>
    <x:row r="5" ht="15" hidden="0" customHeight="1">
      <x:c r="A5" s="79" t="str">
        <x:v>Curva e aceleração</x:v>
      </x:c>
      <x:c r="B5" s="89" t="n">
        <x:v>0.15</x:v>
      </x:c>
      <x:c r="C5" s="91" t="n">
        <x:v>7.2</x:v>
      </x:c>
      <x:c r="D5" s="91" t="n">
        <x:f>B5*C5</x:f>
        <x:v>1.08</x:v>
      </x:c>
      <x:c r="E5" s="91" t="n">
        <x:v>8</x:v>
      </x:c>
      <x:c r="F5" s="91" t="n">
        <x:f>B5*E5</x:f>
        <x:v>1.2</x:v>
      </x:c>
      <x:c r="G5" s="91" t="n">
        <x:f>E5-C5</x:f>
        <x:v>0.7999999999999998</x:v>
      </x:c>
    </x:row>
    <x:row r="6" ht="15" hidden="0" customHeight="1">
      <x:c r="A6" s="79" t="str">
        <x:v>Compra / seleção / vantagem de cartas</x:v>
      </x:c>
      <x:c r="B6" s="89" t="n">
        <x:v>0.15</x:v>
      </x:c>
      <x:c r="C6" s="91" t="n">
        <x:v>7.8</x:v>
      </x:c>
      <x:c r="D6" s="91" t="n">
        <x:f>B6*C6</x:f>
        <x:v>1.17</x:v>
      </x:c>
      <x:c r="E6" s="91" t="n">
        <x:v>9.5</x:v>
      </x:c>
      <x:c r="F6" s="91" t="n">
        <x:f>B6*E6</x:f>
        <x:v>1.425</x:v>
      </x:c>
      <x:c r="G6" s="91" t="n">
        <x:f>E6-C6</x:f>
        <x:v>1.7000000000000002</x:v>
      </x:c>
    </x:row>
    <x:row r="7" ht="15" hidden="0" customHeight="1">
      <x:c r="A7" s="79" t="str">
        <x:v>Sinergia com plano tribal</x:v>
      </x:c>
      <x:c r="B7" s="89" t="n">
        <x:v>0.15</x:v>
      </x:c>
      <x:c r="C7" s="91" t="n">
        <x:v>9.3</x:v>
      </x:c>
      <x:c r="D7" s="91" t="n">
        <x:f>B7*C7</x:f>
        <x:v>1.395</x:v>
      </x:c>
      <x:c r="E7" s="91" t="n">
        <x:v>9.2</x:v>
      </x:c>
      <x:c r="F7" s="91" t="n">
        <x:f>B7*E7</x:f>
        <x:v>1.38</x:v>
      </x:c>
      <x:c r="G7" s="91" t="n">
        <x:f>E7-C7</x:f>
        <x:v>-0.10000000000000142</x:v>
      </x:c>
    </x:row>
    <x:row r="8" ht="15" hidden="0" customHeight="1">
      <x:c r="A8" s="79" t="str">
        <x:v>Interação / remoções / wipes</x:v>
      </x:c>
      <x:c r="B8" s="89" t="n">
        <x:v>0.15</x:v>
      </x:c>
      <x:c r="C8" s="91" t="n">
        <x:v>8.4</x:v>
      </x:c>
      <x:c r="D8" s="91" t="n">
        <x:f>B8*C8</x:f>
        <x:v>1.26</x:v>
      </x:c>
      <x:c r="E8" s="91" t="n">
        <x:v>8.5</x:v>
      </x:c>
      <x:c r="F8" s="91" t="n">
        <x:f>B8*E8</x:f>
        <x:v>1.275</x:v>
      </x:c>
      <x:c r="G8" s="91" t="n">
        <x:f>E8-C8</x:f>
        <x:v>0.09999999999999964</x:v>
      </x:c>
    </x:row>
    <x:row r="9" ht="15" hidden="0" customHeight="1">
      <x:c r="A9" s="79" t="str">
        <x:v>Proteção / resiliência</x:v>
      </x:c>
      <x:c r="B9" s="89" t="n">
        <x:v>0.1</x:v>
      </x:c>
      <x:c r="C9" s="91" t="n">
        <x:v>7.7</x:v>
      </x:c>
      <x:c r="D9" s="91" t="n">
        <x:f>B9*C9</x:f>
        <x:v>0.77</x:v>
      </x:c>
      <x:c r="E9" s="91" t="n">
        <x:v>9.2</x:v>
      </x:c>
      <x:c r="F9" s="91" t="n">
        <x:f>B9*E9</x:f>
        <x:v>0.9199999999999999</x:v>
      </x:c>
      <x:c r="G9" s="91" t="n">
        <x:f>E9-C9</x:f>
        <x:v>1.4999999999999991</x:v>
      </x:c>
    </x:row>
    <x:row r="10" ht="15" hidden="0" customHeight="1">
      <x:c r="A10" s="79" t="str">
        <x:v>Acesso à vitória / fechamento</x:v>
      </x:c>
      <x:c r="B10" s="89" t="n">
        <x:v>0.1</x:v>
      </x:c>
      <x:c r="C10" s="91" t="n">
        <x:v>8.7</x:v>
      </x:c>
      <x:c r="D10" s="91" t="n">
        <x:f>B10*C10</x:f>
        <x:v>0.87</x:v>
      </x:c>
      <x:c r="E10" s="91" t="n">
        <x:v>9.5</x:v>
      </x:c>
      <x:c r="F10" s="91" t="n">
        <x:f>B10*E10</x:f>
        <x:v>0.9500000000000001</x:v>
      </x:c>
      <x:c r="G10" s="91" t="n">
        <x:f>E10-C10</x:f>
        <x:v>0.8000000000000007</x:v>
      </x:c>
    </x:row>
    <x:row r="11" ht="15" hidden="0" customHeight="1">
      <x:c r="A11" s="79" t="str">
        <x:v>Base de mana</x:v>
      </x:c>
      <x:c r="B11" s="89" t="n">
        <x:v>0.05</x:v>
      </x:c>
      <x:c r="C11" s="91" t="n">
        <x:v>6.6</x:v>
      </x:c>
      <x:c r="D11" s="91" t="n">
        <x:f>B11*C11</x:f>
        <x:v>0.33</x:v>
      </x:c>
      <x:c r="E11" s="91" t="n">
        <x:v>8.9</x:v>
      </x:c>
      <x:c r="F11" s="91" t="n">
        <x:f>B11*E11</x:f>
        <x:v>0.44500000000000006</x:v>
      </x:c>
      <x:c r="G11" s="91" t="n">
        <x:f>E11-C11</x:f>
        <x:v>2.3000000000000007</x:v>
      </x:c>
    </x:row>
    <x:row r="12" ht="15" hidden="0" customHeight="1">
      <x:c r="A12" s="79" t="str">
        <x:v>Flexibilidade / dupla função</x:v>
      </x:c>
      <x:c r="B12" s="89" t="n">
        <x:v>0.05</x:v>
      </x:c>
      <x:c r="C12" s="91" t="n">
        <x:v>8.6</x:v>
      </x:c>
      <x:c r="D12" s="91" t="n">
        <x:f>B12*C12</x:f>
        <x:v>0.43</x:v>
      </x:c>
      <x:c r="E12" s="91" t="n">
        <x:v>9.4</x:v>
      </x:c>
      <x:c r="F12" s="91" t="n">
        <x:f>B12*E12</x:f>
        <x:v>0.47000000000000003</x:v>
      </x:c>
      <x:c r="G12" s="91" t="n">
        <x:f>E12-C12</x:f>
        <x:v>0.8000000000000007</x:v>
      </x:c>
    </x:row>
    <x:row r="13" ht="15" hidden="0" customHeight="1">
      <x:c r="A13" s="79" t="str">
        <x:v>Consistência do comandante</x:v>
      </x:c>
      <x:c r="B13" s="89" t="n">
        <x:v>0.05</x:v>
      </x:c>
      <x:c r="C13" s="91" t="n">
        <x:v>9.7</x:v>
      </x:c>
      <x:c r="D13" s="91" t="n">
        <x:f>B13*C13</x:f>
        <x:v>0.485</x:v>
      </x:c>
      <x:c r="E13" s="91" t="n">
        <x:v>9.7</x:v>
      </x:c>
      <x:c r="F13" s="91" t="n">
        <x:f>B13*E13</x:f>
        <x:v>0.485</x:v>
      </x:c>
      <x:c r="G13" s="91" t="n">
        <x:f>E13-C13</x:f>
        <x:v>0</x:v>
      </x:c>
    </x:row>
    <x:row r="14" ht="15" hidden="0" customHeight="1">
      <x:c r="A14" s="79" t="str">
        <x:v>Identidade / experiência desejada</x:v>
      </x:c>
      <x:c r="B14" s="89" t="n">
        <x:v>0.05</x:v>
      </x:c>
      <x:c r="C14" s="91" t="n">
        <x:v>9.4</x:v>
      </x:c>
      <x:c r="D14" s="91" t="n">
        <x:f>B14*C14</x:f>
        <x:v>0.47000000000000003</x:v>
      </x:c>
      <x:c r="E14" s="91" t="n">
        <x:v>9.8</x:v>
      </x:c>
      <x:c r="F14" s="91" t="n">
        <x:f>B14*E14</x:f>
        <x:v>0.49000000000000005</x:v>
      </x:c>
      <x:c r="G14" s="91" t="n">
        <x:f>E14-C14</x:f>
        <x:v>0.40000000000000036</x:v>
      </x:c>
    </x:row>
    <x:row r="15" ht="15" hidden="0" customHeight="1">
      <x:c r="A15" s="98" t="str">
        <x:v>TOTAL PONDERADO</x:v>
      </x:c>
      <x:c r="B15" s="103" t="n">
        <x:v>1</x:v>
      </x:c>
      <x:c r="C15" s="100"/>
      <x:c r="D15" s="100" t="n">
        <x:f>SUM(D5:D14)</x:f>
        <x:v>8.260000000000002</x:v>
      </x:c>
      <x:c r="E15" s="100" t="str">
        <x:v>V2 — ESTIMATIVA</x:v>
      </x:c>
      <x:c r="F15" s="100" t="n">
        <x:f>SUM(F5:F14)</x:f>
        <x:v>9.04</x:v>
      </x:c>
      <x:c r="G15" s="100" t="n">
        <x:f>F15-D15</x:f>
        <x:v>0.7799999999999976</x:v>
      </x:c>
    </x:row>
    <x:row r="16" ht="15" hidden="0" customHeight="1">
      <x:c r="A16" s="32"/>
      <x:c r="B16" s="32"/>
      <x:c r="C16" s="32"/>
      <x:c r="D16" s="32"/>
      <x:c r="E16" s="32"/>
      <x:c r="F16" s="32"/>
      <x:c r="G16" s="32"/>
    </x:row>
    <x:row r="17" ht="24" hidden="0" customHeight="1">
      <x:c r="A17" s="83" t="str">
        <x:v>Leitura: CURRENT 8,26/10; PROPOSED V2 9,04/10 (estimativa estrutural). +0,78 é hipótese gerada por um pacote de mudanças maior que a V1, não evidência de desempenho. Nada está TESTED. Rubrica: curva 15%; compra 15%; sinergia 15%; interação 15%; resiliência 10%; fechamento 10%; mana 5%; flexibilidade 5%; motor do comandante 5%; identidade 5%.</x:v>
      </x:c>
      <x:c r="B17" s="83"/>
      <x:c r="C17" s="83"/>
      <x:c r="D17" s="83"/>
      <x:c r="E17" s="83"/>
      <x:c r="F17" s="83"/>
      <x:c r="G17" s="83"/>
    </x:row>
    <x:row r="18" ht="15" hidden="0" customHeight="1">
      <x:c r="A18" s="83" t="str">
        <x:v>Nota de cautela: a comparação de notas só faz sentido quando pesos e escopo são iguais. A proposta não deve ser aplicada de uma vez; testes por ondas são o próximo passo.</x:v>
      </x:c>
      <x:c r="B18" s="83"/>
      <x:c r="C18" s="83"/>
      <x:c r="D18" s="83"/>
      <x:c r="E18" s="83"/>
      <x:c r="F18" s="83"/>
      <x:c r="G18" s="83"/>
    </x:row>
  </x:sheetData>
  <x:mergeCells>
    <x:mergeCell ref="A1:G1"/>
    <x:mergeCell ref="A2:G2"/>
    <x:mergeCell ref="A17:G17"/>
    <x:mergeCell ref="A18:G18"/>
  </x:mergeCells>
  <x:conditionalFormatting sqref="C5:C14">
    <x:cfRule type="colorScale" priority="1">
      <x:colorScale>
        <x:cfvo type="min"/>
        <x:cfvo type="percentile" val="50"/>
        <x:cfvo type="max"/>
        <x:color rgb="FFFCA5A5"/>
        <x:color rgb="FFFEF3C7"/>
        <x:color rgb="FFBBF7D0"/>
      </x:colorScale>
    </x:cfRule>
  </x:conditionalFormatting>
  <x:conditionalFormatting sqref="E5:E14">
    <x:cfRule type="colorScale" priority="2">
      <x:colorScale>
        <x:cfvo type="min"/>
        <x:cfvo type="percentile" val="50"/>
        <x:cfvo type="max"/>
        <x:color rgb="FFFCA5A5"/>
        <x:color rgb="FFFEF3C7"/>
        <x:color rgb="FFBBF7D0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3" hidden="0" customWidth="1"/>
    <x:col min="3" max="3" width="15" hidden="0" customWidth="1"/>
    <x:col min="4" max="4" width="19" hidden="0" customWidth="1"/>
    <x:col min="5" max="5" width="21" hidden="0" customWidth="1"/>
    <x:col min="6" max="6" width="20" hidden="0" customWidth="1"/>
    <x:col min="7" max="7" width="59" hidden="0" customWidth="1"/>
  </x:cols>
  <x:sheetData>
    <x:row r="1" ht="30" customHeight="1">
      <x:c r="A1" s="81" t="str">
        <x:v>COMPARADORES — CURRENT, V2 E TRÊS REFERÊNCIAS</x:v>
      </x:c>
      <x:c r="B1" s="81"/>
      <x:c r="C1" s="81"/>
      <x:c r="D1" s="81"/>
      <x:c r="E1" s="81"/>
      <x:c r="F1" s="81"/>
      <x:c r="G1" s="81"/>
    </x:row>
    <x:row r="2" ht="32" customHeight="1">
      <x:c r="A2" s="83" t="str">
        <x:v>Overlap mede proximidade de lista, não qualidade. Fonte externa sinaliza padrões; a escolha final depende do papel e do plano do deck.</x:v>
      </x:c>
      <x:c r="B2" s="83"/>
      <x:c r="C2" s="83"/>
      <x:c r="D2" s="83"/>
      <x:c r="E2" s="83"/>
      <x:c r="F2" s="83"/>
      <x:c r="G2" s="83"/>
    </x:row>
    <x:row r="3">
      <x:c r="A3"/>
      <x:c r="B3"/>
      <x:c r="C3"/>
      <x:c r="D3"/>
      <x:c r="E3"/>
      <x:c r="F3"/>
      <x:c r="G3"/>
    </x:row>
    <x:row r="4" ht="28" customHeight="1">
      <x:c r="A4" s="84" t="str">
        <x:v>Card</x:v>
      </x:c>
      <x:c r="B4" s="84" t="str">
        <x:v>CURRENT</x:v>
      </x:c>
      <x:c r="C4" s="84" t="str">
        <x:v>PROPOSED V2</x:v>
      </x:c>
      <x:c r="D4" s="84" t="str">
        <x:v>Archidekt JoeyDH</x:v>
      </x:c>
      <x:c r="E4" s="84" t="str">
        <x:v>Moxfield WinterDragon</x:v>
      </x:c>
      <x:c r="F4" s="84" t="str">
        <x:v>Beijo do Vampiro</x:v>
      </x:c>
      <x:c r="G4" s="84" t="str">
        <x:v>Interpretação</x:v>
      </x:c>
    </x:row>
    <x:row r="5" ht="15" hidden="0" customHeight="1">
      <x:c r="A5" s="79" t="str">
        <x:v>Abstruse Appropriation</x:v>
      </x:c>
      <x:c r="B5" s="79"/>
      <x:c r="C5" s="79"/>
      <x:c r="D5" s="79"/>
      <x:c r="E5" s="79"/>
      <x:c r="F5" s="79" t="str">
        <x:v>Sim</x:v>
      </x:c>
      <x:c r="G5" s="79" t="str">
        <x:v>Benchmark/Watchlist: presença em referência não prova superioridade.</x:v>
      </x:c>
    </x:row>
    <x:row r="6" ht="15" hidden="0" customHeight="1">
      <x:c r="A6" s="79" t="str">
        <x:v>Agadeem's Awakening</x:v>
      </x:c>
      <x:c r="B6" s="79"/>
      <x:c r="C6" s="79"/>
      <x:c r="D6" s="79"/>
      <x:c r="E6" s="79" t="str">
        <x:v>Sim</x:v>
      </x:c>
      <x:c r="F6" s="79" t="str">
        <x:v>Sim</x:v>
      </x:c>
      <x:c r="G6" s="79" t="str">
        <x:v>Benchmark/Watchlist: presença em referência não prova superioridade.</x:v>
      </x:c>
    </x:row>
    <x:row r="7" ht="15" hidden="0" customHeight="1">
      <x:c r="A7" s="79" t="str">
        <x:v>Akroma's Will</x:v>
      </x:c>
      <x:c r="B7" s="79" t="str">
        <x:v>Sim</x:v>
      </x:c>
      <x:c r="C7" s="79" t="str">
        <x:v>Sim</x:v>
      </x:c>
      <x:c r="D7" s="79"/>
      <x:c r="E7" s="79" t="str">
        <x:v>Sim</x:v>
      </x:c>
      <x:c r="F7" s="79" t="str">
        <x:v>Sim</x:v>
      </x:c>
      <x:c r="G7" s="79" t="str">
        <x:v>Retida da CURRENT; função continua relevante na V2.</x:v>
      </x:c>
    </x:row>
    <x:row r="8" ht="15" hidden="0" customHeight="1">
      <x:c r="A8" s="79" t="str">
        <x:v>Anguished Unmaking</x:v>
      </x:c>
      <x:c r="B8" s="79" t="str">
        <x:v>Sim</x:v>
      </x:c>
      <x:c r="C8" s="79" t="str">
        <x:v>Sim</x:v>
      </x:c>
      <x:c r="D8" s="79" t="str">
        <x:v>Sim</x:v>
      </x:c>
      <x:c r="E8" s="79"/>
      <x:c r="F8" s="79"/>
      <x:c r="G8" s="79" t="str">
        <x:v>Retida da CURRENT; função continua relevante na V2.</x:v>
      </x:c>
    </x:row>
    <x:row r="9" ht="15" hidden="0" customHeight="1">
      <x:c r="A9" s="79" t="str">
        <x:v>Anointed Procession</x:v>
      </x:c>
      <x:c r="B9" s="79" t="str">
        <x:v>Sim</x:v>
      </x:c>
      <x:c r="C9" s="79" t="str">
        <x:v>Sim</x:v>
      </x:c>
      <x:c r="D9" s="79" t="str">
        <x:v>Sim</x:v>
      </x:c>
      <x:c r="E9" s="79"/>
      <x:c r="F9" s="79"/>
      <x:c r="G9" s="79" t="str">
        <x:v>Retida da CURRENT; função continua relevante na V2.</x:v>
      </x:c>
    </x:row>
    <x:row r="10" ht="15" hidden="0" customHeight="1">
      <x:c r="A10" s="79" t="str">
        <x:v>Anowon, the Ruin Sage</x:v>
      </x:c>
      <x:c r="B10" s="79"/>
      <x:c r="C10" s="79"/>
      <x:c r="D10" s="79" t="str">
        <x:v>Sim</x:v>
      </x:c>
      <x:c r="E10" s="79"/>
      <x:c r="F10" s="79"/>
      <x:c r="G10" s="79" t="str">
        <x:v>Benchmark/Watchlist: presença em referência não prova superioridade.</x:v>
      </x:c>
    </x:row>
    <x:row r="11" ht="15" hidden="0" customHeight="1">
      <x:c r="A11" s="79" t="str">
        <x:v>Arcane Signet</x:v>
      </x:c>
      <x:c r="B11" s="79"/>
      <x:c r="C11" s="79"/>
      <x:c r="D11" s="79" t="str">
        <x:v>Sim</x:v>
      </x:c>
      <x:c r="E11" s="79"/>
      <x:c r="F11" s="79"/>
      <x:c r="G11" s="79" t="str">
        <x:v>Benchmark/Watchlist: presença em referência não prova superioridade.</x:v>
      </x:c>
    </x:row>
    <x:row r="12" ht="15" hidden="0" customHeight="1">
      <x:c r="A12" s="79" t="str">
        <x:v>Arid Mesa</x:v>
      </x:c>
      <x:c r="B12" s="79" t="str">
        <x:v>Sim</x:v>
      </x:c>
      <x:c r="C12" s="79" t="str">
        <x:v>Sim</x:v>
      </x:c>
      <x:c r="D12" s="79"/>
      <x:c r="E12" s="79" t="str">
        <x:v>Sim</x:v>
      </x:c>
      <x:c r="F12" s="79" t="str">
        <x:v>Sim</x:v>
      </x:c>
      <x:c r="G12" s="79" t="str">
        <x:v>Retida da CURRENT; função continua relevante na V2.</x:v>
      </x:c>
    </x:row>
    <x:row r="13" ht="15" hidden="0" customHeight="1">
      <x:c r="A13" s="79" t="str">
        <x:v>Ascend from Avernus</x:v>
      </x:c>
      <x:c r="B13" s="79"/>
      <x:c r="C13" s="79"/>
      <x:c r="D13" s="79"/>
      <x:c r="E13" s="79"/>
      <x:c r="F13" s="79" t="str">
        <x:v>Sim</x:v>
      </x:c>
      <x:c r="G13" s="79" t="str">
        <x:v>Benchmark/Watchlist: presença em referência não prova superioridade.</x:v>
      </x:c>
    </x:row>
    <x:row r="14" ht="15" hidden="0" customHeight="1">
      <x:c r="A14" s="79" t="str">
        <x:v>Astarion, the Decadent</x:v>
      </x:c>
      <x:c r="B14" s="79"/>
      <x:c r="C14" s="79"/>
      <x:c r="D14" s="79"/>
      <x:c r="E14" s="79"/>
      <x:c r="F14" s="79" t="str">
        <x:v>Sim</x:v>
      </x:c>
      <x:c r="G14" s="79" t="str">
        <x:v>Benchmark/Watchlist: presença em referência não prova superioridade.</x:v>
      </x:c>
    </x:row>
    <x:row r="15" ht="15" hidden="0" customHeight="1">
      <x:c r="A15" s="79" t="str">
        <x:v>Banner of Kinship</x:v>
      </x:c>
      <x:c r="B15" s="79" t="str">
        <x:v>Sim</x:v>
      </x:c>
      <x:c r="C15" s="79" t="str">
        <x:v>Sim</x:v>
      </x:c>
      <x:c r="D15" s="79"/>
      <x:c r="E15" s="79" t="str">
        <x:v>Sim</x:v>
      </x:c>
      <x:c r="F15" s="79"/>
      <x:c r="G15" s="79" t="str">
        <x:v>Retida da CURRENT; função continua relevante na V2.</x:v>
      </x:c>
    </x:row>
    <x:row r="16" ht="15" hidden="0" customHeight="1">
      <x:c r="A16" s="79" t="str">
        <x:v>Baron Bertram Graywater</x:v>
      </x:c>
      <x:c r="B16" s="79" t="str">
        <x:v>Sim</x:v>
      </x:c>
      <x:c r="C16" s="79" t="str">
        <x:v>Sim</x:v>
      </x:c>
      <x:c r="D16" s="79"/>
      <x:c r="E16" s="79"/>
      <x:c r="F16" s="79"/>
      <x:c r="G16" s="79" t="str">
        <x:v>Retida da CURRENT; função continua relevante na V2.</x:v>
      </x:c>
    </x:row>
    <x:row r="17" ht="15" hidden="0" customHeight="1">
      <x:c r="A17" s="79" t="str">
        <x:v>Battlefield Forge</x:v>
      </x:c>
      <x:c r="B17" s="79"/>
      <x:c r="C17" s="79"/>
      <x:c r="D17" s="79"/>
      <x:c r="E17" s="79" t="str">
        <x:v>Sim</x:v>
      </x:c>
      <x:c r="F17" s="79"/>
      <x:c r="G17" s="79" t="str">
        <x:v>Benchmark/Watchlist: presença em referência não prova superioridade.</x:v>
      </x:c>
    </x:row>
    <x:row r="18" ht="15" hidden="0" customHeight="1">
      <x:c r="A18" s="79" t="str">
        <x:v>Beseech the Mirror</x:v>
      </x:c>
      <x:c r="B18" s="79"/>
      <x:c r="C18" s="79"/>
      <x:c r="D18" s="79"/>
      <x:c r="E18" s="79"/>
      <x:c r="F18" s="79" t="str">
        <x:v>Sim</x:v>
      </x:c>
      <x:c r="G18" s="79" t="str">
        <x:v>Benchmark/Watchlist: presença em referência não prova superioridade.</x:v>
      </x:c>
    </x:row>
    <x:row r="19" ht="15" hidden="0" customHeight="1">
      <x:c r="A19" s="79" t="str">
        <x:v>Black Market Connections</x:v>
      </x:c>
      <x:c r="B19" s="79"/>
      <x:c r="C19" s="79" t="str">
        <x:v>Sim</x:v>
      </x:c>
      <x:c r="D19" s="79"/>
      <x:c r="E19" s="79" t="str">
        <x:v>Sim</x:v>
      </x:c>
      <x:c r="F19" s="79" t="str">
        <x:v>Sim</x:v>
      </x:c>
      <x:c r="G19" s="79" t="str">
        <x:v>Nova inclusão proposta; ainda não testada.</x:v>
      </x:c>
    </x:row>
    <x:row r="20" ht="15" hidden="0" customHeight="1">
      <x:c r="A20" s="79" t="str">
        <x:v>Blazemire Verge</x:v>
      </x:c>
      <x:c r="B20" s="79"/>
      <x:c r="C20" s="79"/>
      <x:c r="D20" s="79"/>
      <x:c r="E20" s="79" t="str">
        <x:v>Sim</x:v>
      </x:c>
      <x:c r="F20" s="79" t="str">
        <x:v>Sim</x:v>
      </x:c>
      <x:c r="G20" s="79" t="str">
        <x:v>Benchmark/Watchlist: presença em referência não prova superioridade.</x:v>
      </x:c>
    </x:row>
    <x:row r="21" ht="15" hidden="0" customHeight="1">
      <x:c r="A21" s="79" t="str">
        <x:v>Bleachbone Verge</x:v>
      </x:c>
      <x:c r="B21" s="79"/>
      <x:c r="C21" s="79"/>
      <x:c r="D21" s="79"/>
      <x:c r="E21" s="79" t="str">
        <x:v>Sim</x:v>
      </x:c>
      <x:c r="F21" s="79" t="str">
        <x:v>Sim</x:v>
      </x:c>
      <x:c r="G21" s="79" t="str">
        <x:v>Benchmark/Watchlist: presença em referência não prova superioridade.</x:v>
      </x:c>
    </x:row>
    <x:row r="22" ht="15" hidden="0" customHeight="1">
      <x:c r="A22" s="79" t="str">
        <x:v>Blightstep Pathway</x:v>
      </x:c>
      <x:c r="B22" s="79" t="str">
        <x:v>Sim</x:v>
      </x:c>
      <x:c r="C22" s="79" t="str">
        <x:v>Sim</x:v>
      </x:c>
      <x:c r="D22" s="79"/>
      <x:c r="E22" s="79"/>
      <x:c r="F22" s="79"/>
      <x:c r="G22" s="79" t="str">
        <x:v>Retida da CURRENT; função continua relevante na V2.</x:v>
      </x:c>
    </x:row>
    <x:row r="23" ht="15" hidden="0" customHeight="1">
      <x:c r="A23" s="79" t="str">
        <x:v>Blind Obedience</x:v>
      </x:c>
      <x:c r="B23" s="79"/>
      <x:c r="C23" s="79"/>
      <x:c r="D23" s="79"/>
      <x:c r="E23" s="79"/>
      <x:c r="F23" s="79" t="str">
        <x:v>Sim</x:v>
      </x:c>
      <x:c r="G23" s="79" t="str">
        <x:v>Benchmark/Watchlist: presença em referência não prova superioridade.</x:v>
      </x:c>
    </x:row>
    <x:row r="24" ht="15" hidden="0" customHeight="1">
      <x:c r="A24" s="79" t="str">
        <x:v>Blood Artist</x:v>
      </x:c>
      <x:c r="B24" s="79" t="str">
        <x:v>Sim</x:v>
      </x:c>
      <x:c r="C24" s="79" t="str">
        <x:v>Sim</x:v>
      </x:c>
      <x:c r="D24" s="79" t="str">
        <x:v>Sim</x:v>
      </x:c>
      <x:c r="E24" s="79" t="str">
        <x:v>Sim</x:v>
      </x:c>
      <x:c r="F24" s="79"/>
      <x:c r="G24" s="79" t="str">
        <x:v>Retida da CURRENT; função continua relevante na V2.</x:v>
      </x:c>
    </x:row>
    <x:row r="25" ht="15" hidden="0" customHeight="1">
      <x:c r="A25" s="79" t="str">
        <x:v>Blood Crypt</x:v>
      </x:c>
      <x:c r="B25" s="79"/>
      <x:c r="C25" s="79" t="str">
        <x:v>Sim</x:v>
      </x:c>
      <x:c r="D25" s="79" t="str">
        <x:v>Sim</x:v>
      </x:c>
      <x:c r="E25" s="79" t="str">
        <x:v>Sim</x:v>
      </x:c>
      <x:c r="F25" s="79" t="str">
        <x:v>Sim</x:v>
      </x:c>
      <x:c r="G25" s="79" t="str">
        <x:v>Nova inclusão proposta; ainda não testada.</x:v>
      </x:c>
    </x:row>
    <x:row r="26" ht="15" hidden="0" customHeight="1">
      <x:c r="A26" s="79" t="str">
        <x:v>Blood Seeker</x:v>
      </x:c>
      <x:c r="B26" s="79"/>
      <x:c r="C26" s="79"/>
      <x:c r="D26" s="79"/>
      <x:c r="E26" s="79" t="str">
        <x:v>Sim</x:v>
      </x:c>
      <x:c r="F26" s="79"/>
      <x:c r="G26" s="79" t="str">
        <x:v>Benchmark/Watchlist: presença em referência não prova superioridade.</x:v>
      </x:c>
    </x:row>
    <x:row r="27" ht="15" hidden="0" customHeight="1">
      <x:c r="A27" s="79" t="str">
        <x:v>Blood for the Blood God!</x:v>
      </x:c>
      <x:c r="B27" s="79" t="str">
        <x:v>Sim</x:v>
      </x:c>
      <x:c r="C27" s="79" t="str">
        <x:v>Sim</x:v>
      </x:c>
      <x:c r="D27" s="79"/>
      <x:c r="E27" s="79"/>
      <x:c r="F27" s="79"/>
      <x:c r="G27" s="79" t="str">
        <x:v>Retida da CURRENT; função continua relevante na V2.</x:v>
      </x:c>
    </x:row>
    <x:row r="28" ht="15" hidden="0" customHeight="1">
      <x:c r="A28" s="79" t="str">
        <x:v>Bloodletter of Aclazotz</x:v>
      </x:c>
      <x:c r="B28" s="79"/>
      <x:c r="C28" s="79" t="str">
        <x:v>Sim</x:v>
      </x:c>
      <x:c r="D28" s="79"/>
      <x:c r="E28" s="79" t="str">
        <x:v>Sim</x:v>
      </x:c>
      <x:c r="F28" s="79" t="str">
        <x:v>Sim</x:v>
      </x:c>
      <x:c r="G28" s="79" t="str">
        <x:v>Nova inclusão proposta; ainda não testada.</x:v>
      </x:c>
    </x:row>
    <x:row r="29" ht="15" hidden="0" customHeight="1">
      <x:c r="A29" s="79" t="str">
        <x:v>Bloodline Bidding</x:v>
      </x:c>
      <x:c r="B29" s="79"/>
      <x:c r="C29" s="79" t="str">
        <x:v>Sim</x:v>
      </x:c>
      <x:c r="D29" s="79"/>
      <x:c r="E29" s="79"/>
      <x:c r="F29" s="79"/>
      <x:c r="G29" s="79" t="str">
        <x:v>Nova inclusão proposta; ainda não testada.</x:v>
      </x:c>
    </x:row>
    <x:row r="30" ht="15" hidden="0" customHeight="1">
      <x:c r="A30" s="79" t="str">
        <x:v>Bloodline Keeper</x:v>
      </x:c>
      <x:c r="B30" s="79" t="str">
        <x:v>Sim</x:v>
      </x:c>
      <x:c r="C30" s="79"/>
      <x:c r="D30" s="79" t="str">
        <x:v>Sim</x:v>
      </x:c>
      <x:c r="E30" s="79" t="str">
        <x:v>Sim</x:v>
      </x:c>
      <x:c r="F30" s="79" t="str">
        <x:v>Sim</x:v>
      </x:c>
      <x:c r="G30" s="79" t="str">
        <x:v>Corte proposto; consultar Upgrade Matrix para ganho e custo de oportunidade.</x:v>
      </x:c>
    </x:row>
    <x:row r="31" ht="15" hidden="0" customHeight="1">
      <x:c r="A31" s="79" t="str">
        <x:v>Bloodlord of Vaasgoth</x:v>
      </x:c>
      <x:c r="B31" s="79" t="str">
        <x:v>Sim</x:v>
      </x:c>
      <x:c r="C31" s="79"/>
      <x:c r="D31" s="79"/>
      <x:c r="E31" s="79"/>
      <x:c r="F31" s="79"/>
      <x:c r="G31" s="79" t="str">
        <x:v>Corte proposto; consultar Upgrade Matrix para ganho e custo de oportunidade.</x:v>
      </x:c>
    </x:row>
    <x:row r="32" ht="15" hidden="0" customHeight="1">
      <x:c r="A32" s="79" t="str">
        <x:v>Bloodstained Mire</x:v>
      </x:c>
      <x:c r="B32" s="79"/>
      <x:c r="C32" s="79" t="str">
        <x:v>Sim</x:v>
      </x:c>
      <x:c r="D32" s="79" t="str">
        <x:v>Sim</x:v>
      </x:c>
      <x:c r="E32" s="79" t="str">
        <x:v>Sim</x:v>
      </x:c>
      <x:c r="F32" s="79" t="str">
        <x:v>Sim</x:v>
      </x:c>
      <x:c r="G32" s="79" t="str">
        <x:v>Nova inclusão proposta; ainda não testada.</x:v>
      </x:c>
    </x:row>
    <x:row r="33" ht="15" hidden="0" customHeight="1">
      <x:c r="A33" s="79" t="str">
        <x:v>Bloodthirsty Adversary</x:v>
      </x:c>
      <x:c r="B33" s="79"/>
      <x:c r="C33" s="79"/>
      <x:c r="D33" s="79"/>
      <x:c r="E33" s="79"/>
      <x:c r="F33" s="79" t="str">
        <x:v>Sim</x:v>
      </x:c>
      <x:c r="G33" s="79" t="str">
        <x:v>Benchmark/Watchlist: presença em referência não prova superioridade.</x:v>
      </x:c>
    </x:row>
    <x:row r="34" ht="15" hidden="0" customHeight="1">
      <x:c r="A34" s="79" t="str">
        <x:v>Bloodthirsty Conqueror</x:v>
      </x:c>
      <x:c r="B34" s="79" t="str">
        <x:v>Sim</x:v>
      </x:c>
      <x:c r="C34" s="79" t="str">
        <x:v>Sim</x:v>
      </x:c>
      <x:c r="D34" s="79"/>
      <x:c r="E34" s="79" t="str">
        <x:v>Sim</x:v>
      </x:c>
      <x:c r="F34" s="79" t="str">
        <x:v>Sim</x:v>
      </x:c>
      <x:c r="G34" s="79" t="str">
        <x:v>Retida da CURRENT; função continua relevante na V2.</x:v>
      </x:c>
    </x:row>
    <x:row r="35" ht="15" hidden="0" customHeight="1">
      <x:c r="A35" s="79" t="str">
        <x:v>Bojuka Bog</x:v>
      </x:c>
      <x:c r="B35" s="79"/>
      <x:c r="C35" s="79"/>
      <x:c r="D35" s="79" t="str">
        <x:v>Sim</x:v>
      </x:c>
      <x:c r="E35" s="79"/>
      <x:c r="F35" s="79"/>
      <x:c r="G35" s="79" t="str">
        <x:v>Benchmark/Watchlist: presença em referência não prova superioridade.</x:v>
      </x:c>
    </x:row>
    <x:row r="36" ht="15" hidden="0" customHeight="1">
      <x:c r="A36" s="79" t="str">
        <x:v>Bolas's Citadel</x:v>
      </x:c>
      <x:c r="B36" s="79" t="str">
        <x:v>Sim</x:v>
      </x:c>
      <x:c r="C36" s="79" t="str">
        <x:v>Sim</x:v>
      </x:c>
      <x:c r="D36" s="79"/>
      <x:c r="E36" s="79"/>
      <x:c r="F36" s="79" t="str">
        <x:v>Sim</x:v>
      </x:c>
      <x:c r="G36" s="79" t="str">
        <x:v>Retida da CURRENT; função continua relevante na V2.</x:v>
      </x:c>
    </x:row>
    <x:row r="37" ht="15" hidden="0" customHeight="1">
      <x:c r="A37" s="79" t="str">
        <x:v>Boros Charm</x:v>
      </x:c>
      <x:c r="B37" s="79"/>
      <x:c r="C37" s="79"/>
      <x:c r="D37" s="79" t="str">
        <x:v>Sim</x:v>
      </x:c>
      <x:c r="E37" s="79"/>
      <x:c r="F37" s="79"/>
      <x:c r="G37" s="79" t="str">
        <x:v>Benchmark/Watchlist: presença em referência não prova superioridade.</x:v>
      </x:c>
    </x:row>
    <x:row r="38" ht="15" hidden="0" customHeight="1">
      <x:c r="A38" s="79" t="str">
        <x:v>Boros Signet</x:v>
      </x:c>
      <x:c r="B38" s="79"/>
      <x:c r="C38" s="79"/>
      <x:c r="D38" s="79" t="str">
        <x:v>Sim</x:v>
      </x:c>
      <x:c r="E38" s="79"/>
      <x:c r="F38" s="79"/>
      <x:c r="G38" s="79" t="str">
        <x:v>Benchmark/Watchlist: presença em referência não prova superioridade.</x:v>
      </x:c>
    </x:row>
    <x:row r="39" ht="15" hidden="0" customHeight="1">
      <x:c r="A39" s="79" t="str">
        <x:v>Brightclimb Pathway</x:v>
      </x:c>
      <x:c r="B39" s="79" t="str">
        <x:v>Sim</x:v>
      </x:c>
      <x:c r="C39" s="79" t="str">
        <x:v>Sim</x:v>
      </x:c>
      <x:c r="D39" s="79"/>
      <x:c r="E39" s="79"/>
      <x:c r="F39" s="79"/>
      <x:c r="G39" s="79" t="str">
        <x:v>Retida da CURRENT; função continua relevante na V2.</x:v>
      </x:c>
    </x:row>
    <x:row r="40" ht="15" hidden="0" customHeight="1">
      <x:c r="A40" s="79" t="str">
        <x:v>Captivating Vampire</x:v>
      </x:c>
      <x:c r="B40" s="79" t="str">
        <x:v>Sim</x:v>
      </x:c>
      <x:c r="C40" s="79" t="str">
        <x:v>Sim</x:v>
      </x:c>
      <x:c r="D40" s="79" t="str">
        <x:v>Sim</x:v>
      </x:c>
      <x:c r="E40" s="79" t="str">
        <x:v>Sim</x:v>
      </x:c>
      <x:c r="F40" s="79" t="str">
        <x:v>Sim</x:v>
      </x:c>
      <x:c r="G40" s="79" t="str">
        <x:v>Retida da CURRENT; função continua relevante na V2.</x:v>
      </x:c>
    </x:row>
    <x:row r="41" ht="15" hidden="0" customHeight="1">
      <x:c r="A41" s="79" t="str">
        <x:v>Caretaker's Talent</x:v>
      </x:c>
      <x:c r="B41" s="79"/>
      <x:c r="C41" s="79"/>
      <x:c r="D41" s="79"/>
      <x:c r="E41" s="79"/>
      <x:c r="F41" s="79"/>
      <x:c r="G41" s="79" t="str">
        <x:v>Watchlist / benchmark; não é inclusão automática.</x:v>
      </x:c>
    </x:row>
    <x:row r="42" ht="15" hidden="0" customHeight="1">
      <x:c r="A42" s="79" t="str">
        <x:v>Carmen, Cruel Skymarcher</x:v>
      </x:c>
      <x:c r="B42" s="79" t="str">
        <x:v>Sim</x:v>
      </x:c>
      <x:c r="C42" s="79" t="str">
        <x:v>Sim</x:v>
      </x:c>
      <x:c r="D42" s="79"/>
      <x:c r="E42" s="79"/>
      <x:c r="F42" s="79" t="str">
        <x:v>Sim</x:v>
      </x:c>
      <x:c r="G42" s="79" t="str">
        <x:v>Retida da CURRENT; função continua relevante na V2.</x:v>
      </x:c>
    </x:row>
    <x:row r="43" ht="15" hidden="0" customHeight="1">
      <x:c r="A43" s="79" t="str">
        <x:v>Castle Dracula</x:v>
      </x:c>
      <x:c r="B43" s="79"/>
      <x:c r="C43" s="79"/>
      <x:c r="D43" s="79"/>
      <x:c r="E43" s="79" t="str">
        <x:v>Sim</x:v>
      </x:c>
      <x:c r="F43" s="79"/>
      <x:c r="G43" s="79" t="str">
        <x:v>Benchmark/Watchlist: presença em referência não prova superioridade.</x:v>
      </x:c>
    </x:row>
    <x:row r="44" ht="15" hidden="0" customHeight="1">
      <x:c r="A44" s="79" t="str">
        <x:v>Castle Locthwain</x:v>
      </x:c>
      <x:c r="B44" s="79"/>
      <x:c r="C44" s="79"/>
      <x:c r="D44" s="79"/>
      <x:c r="E44" s="79" t="str">
        <x:v>Sim</x:v>
      </x:c>
      <x:c r="F44" s="79"/>
      <x:c r="G44" s="79" t="str">
        <x:v>Benchmark/Watchlist: presença em referência não prova superioridade.</x:v>
      </x:c>
    </x:row>
    <x:row r="45" ht="15" hidden="0" customHeight="1">
      <x:c r="A45" s="79" t="str">
        <x:v>Cavern of Souls</x:v>
      </x:c>
      <x:c r="B45" s="79"/>
      <x:c r="C45" s="79" t="str">
        <x:v>Sim</x:v>
      </x:c>
      <x:c r="D45" s="79"/>
      <x:c r="E45" s="79"/>
      <x:c r="F45" s="79" t="str">
        <x:v>Sim</x:v>
      </x:c>
      <x:c r="G45" s="79" t="str">
        <x:v>Nova inclusão proposta; ainda não testada.</x:v>
      </x:c>
    </x:row>
    <x:row r="46" ht="15" hidden="0" customHeight="1">
      <x:c r="A46" s="79" t="str">
        <x:v>Caves of Koilos</x:v>
      </x:c>
      <x:c r="B46" s="79"/>
      <x:c r="C46" s="79"/>
      <x:c r="D46" s="79" t="str">
        <x:v>Sim</x:v>
      </x:c>
      <x:c r="E46" s="79" t="str">
        <x:v>Sim</x:v>
      </x:c>
      <x:c r="F46" s="79"/>
      <x:c r="G46" s="79" t="str">
        <x:v>Benchmark/Watchlist: presença em referência não prova superioridade.</x:v>
      </x:c>
    </x:row>
    <x:row r="47" ht="15" hidden="0" customHeight="1">
      <x:c r="A47" s="79" t="str">
        <x:v>Cemetery Gatekeeper</x:v>
      </x:c>
      <x:c r="B47" s="79" t="str">
        <x:v>Sim</x:v>
      </x:c>
      <x:c r="C47" s="79"/>
      <x:c r="D47" s="79"/>
      <x:c r="E47" s="79" t="str">
        <x:v>Sim</x:v>
      </x:c>
      <x:c r="F47" s="79" t="str">
        <x:v>Sim</x:v>
      </x:c>
      <x:c r="G47" s="79" t="str">
        <x:v>Corte proposto; consultar Upgrade Matrix para ganho e custo de oportunidade.</x:v>
      </x:c>
    </x:row>
    <x:row r="48" ht="15" hidden="0" customHeight="1">
      <x:c r="A48" s="79" t="str">
        <x:v>Champion of Dusk</x:v>
      </x:c>
      <x:c r="B48" s="79"/>
      <x:c r="C48" s="79" t="str">
        <x:v>Sim</x:v>
      </x:c>
      <x:c r="D48" s="79" t="str">
        <x:v>Sim</x:v>
      </x:c>
      <x:c r="E48" s="79"/>
      <x:c r="F48" s="79"/>
      <x:c r="G48" s="79" t="str">
        <x:v>Nova inclusão proposta; ainda não testada.</x:v>
      </x:c>
    </x:row>
    <x:row r="49" ht="15" hidden="0" customHeight="1">
      <x:c r="A49" s="79" t="str">
        <x:v>Changeling Outcast</x:v>
      </x:c>
      <x:c r="B49" s="79"/>
      <x:c r="C49" s="79"/>
      <x:c r="D49" s="79"/>
      <x:c r="E49" s="79" t="str">
        <x:v>Sim</x:v>
      </x:c>
      <x:c r="F49" s="79"/>
      <x:c r="G49" s="79" t="str">
        <x:v>Benchmark/Watchlist: presença em referência não prova superioridade.</x:v>
      </x:c>
    </x:row>
    <x:row r="50" ht="15" hidden="0" customHeight="1">
      <x:c r="A50" s="79" t="str">
        <x:v>Chaos Warp</x:v>
      </x:c>
      <x:c r="B50" s="79" t="str">
        <x:v>Sim</x:v>
      </x:c>
      <x:c r="C50" s="79" t="str">
        <x:v>Sim</x:v>
      </x:c>
      <x:c r="D50" s="79"/>
      <x:c r="E50" s="79"/>
      <x:c r="F50" s="79"/>
      <x:c r="G50" s="79" t="str">
        <x:v>Retida da CURRENT; função continua relevante na V2.</x:v>
      </x:c>
    </x:row>
    <x:row r="51" ht="15" hidden="0" customHeight="1">
      <x:c r="A51" s="79" t="str">
        <x:v>Charismatic Conqueror</x:v>
      </x:c>
      <x:c r="B51" s="79"/>
      <x:c r="C51" s="79"/>
      <x:c r="D51" s="79"/>
      <x:c r="E51" s="79" t="str">
        <x:v>Sim</x:v>
      </x:c>
      <x:c r="F51" s="79"/>
      <x:c r="G51" s="79" t="str">
        <x:v>Benchmark/Watchlist: presença em referência não prova superioridade.</x:v>
      </x:c>
    </x:row>
    <x:row r="52" ht="15" hidden="0" customHeight="1">
      <x:c r="A52" s="79" t="str">
        <x:v>Chronicle of Victory</x:v>
      </x:c>
      <x:c r="B52" s="79"/>
      <x:c r="C52" s="79"/>
      <x:c r="D52" s="79"/>
      <x:c r="E52" s="79"/>
      <x:c r="F52" s="79"/>
      <x:c r="G52" s="79" t="str">
        <x:v>Watchlist / benchmark; não é inclusão automática.</x:v>
      </x:c>
    </x:row>
    <x:row r="53" ht="15" hidden="0" customHeight="1">
      <x:c r="A53" s="79" t="str">
        <x:v>City of Brass</x:v>
      </x:c>
      <x:c r="B53" s="79"/>
      <x:c r="C53" s="79"/>
      <x:c r="D53" s="79"/>
      <x:c r="E53" s="79"/>
      <x:c r="F53" s="79" t="str">
        <x:v>Sim</x:v>
      </x:c>
      <x:c r="G53" s="79" t="str">
        <x:v>Benchmark/Watchlist: presença em referência não prova superioridade.</x:v>
      </x:c>
    </x:row>
    <x:row r="54" ht="15" hidden="0" customHeight="1">
      <x:c r="A54" s="79" t="str">
        <x:v>Clavileno, First of the Blessed</x:v>
      </x:c>
      <x:c r="B54" s="79" t="str">
        <x:v>Sim</x:v>
      </x:c>
      <x:c r="C54" s="79" t="str">
        <x:v>Sim</x:v>
      </x:c>
      <x:c r="D54" s="79"/>
      <x:c r="E54" s="79"/>
      <x:c r="F54" s="79" t="str">
        <x:v>Sim</x:v>
      </x:c>
      <x:c r="G54" s="79" t="str">
        <x:v>Retida da CURRENT; função continua relevante na V2.</x:v>
      </x:c>
    </x:row>
    <x:row r="55" ht="15" hidden="0" customHeight="1">
      <x:c r="A55" s="79" t="str">
        <x:v>Clavileño, First of the Blessed</x:v>
      </x:c>
      <x:c r="B55" s="79" t="str">
        <x:v>Sim</x:v>
      </x:c>
      <x:c r="C55" s="79" t="str">
        <x:v>Sim</x:v>
      </x:c>
      <x:c r="D55" s="79"/>
      <x:c r="E55" s="79"/>
      <x:c r="F55" s="79"/>
      <x:c r="G55" s="79" t="str">
        <x:v>Retida da CURRENT; função continua relevante na V2.</x:v>
      </x:c>
    </x:row>
    <x:row r="56" ht="15" hidden="0" customHeight="1">
      <x:c r="A56" s="79" t="str">
        <x:v>Clifftop Retreat</x:v>
      </x:c>
      <x:c r="B56" s="79"/>
      <x:c r="C56" s="79"/>
      <x:c r="D56" s="79" t="str">
        <x:v>Sim</x:v>
      </x:c>
      <x:c r="E56" s="79"/>
      <x:c r="F56" s="79"/>
      <x:c r="G56" s="79" t="str">
        <x:v>Benchmark/Watchlist: presença em referência não prova superioridade.</x:v>
      </x:c>
    </x:row>
    <x:row r="57" ht="15" hidden="0" customHeight="1">
      <x:c r="A57" s="79" t="str">
        <x:v>Coat of Arms</x:v>
      </x:c>
      <x:c r="B57" s="79" t="str">
        <x:v>Sim</x:v>
      </x:c>
      <x:c r="C57" s="79"/>
      <x:c r="D57" s="79"/>
      <x:c r="E57" s="79"/>
      <x:c r="F57" s="79"/>
      <x:c r="G57" s="79" t="str">
        <x:v>Corte proposto; consultar Upgrade Matrix para ganho e custo de oportunidade.</x:v>
      </x:c>
    </x:row>
    <x:row r="58" ht="15" hidden="0" customHeight="1">
      <x:c r="A58" s="79" t="str">
        <x:v>Collective Inferno</x:v>
      </x:c>
      <x:c r="B58" s="79"/>
      <x:c r="C58" s="79"/>
      <x:c r="D58" s="79"/>
      <x:c r="E58" s="79"/>
      <x:c r="F58" s="79"/>
      <x:c r="G58" s="79" t="str">
        <x:v>Watchlist / benchmark; não é inclusão automática.</x:v>
      </x:c>
    </x:row>
    <x:row r="59" ht="15" hidden="0" customHeight="1">
      <x:c r="A59" s="79" t="str">
        <x:v>Command Tower</x:v>
      </x:c>
      <x:c r="B59" s="79" t="str">
        <x:v>Sim</x:v>
      </x:c>
      <x:c r="C59" s="79" t="str">
        <x:v>Sim</x:v>
      </x:c>
      <x:c r="D59" s="79" t="str">
        <x:v>Sim</x:v>
      </x:c>
      <x:c r="E59" s="79" t="str">
        <x:v>Sim</x:v>
      </x:c>
      <x:c r="F59" s="79" t="str">
        <x:v>Sim</x:v>
      </x:c>
      <x:c r="G59" s="79" t="str">
        <x:v>Retida da CURRENT; função continua relevante na V2.</x:v>
      </x:c>
    </x:row>
    <x:row r="60" ht="15" hidden="0" customHeight="1">
      <x:c r="A60" s="79" t="str">
        <x:v>Cordial Vampire</x:v>
      </x:c>
      <x:c r="B60" s="79" t="str">
        <x:v>Sim</x:v>
      </x:c>
      <x:c r="C60" s="79" t="str">
        <x:v>Sim</x:v>
      </x:c>
      <x:c r="D60" s="79" t="str">
        <x:v>Sim</x:v>
      </x:c>
      <x:c r="E60" s="79" t="str">
        <x:v>Sim</x:v>
      </x:c>
      <x:c r="F60" s="79" t="str">
        <x:v>Sim</x:v>
      </x:c>
      <x:c r="G60" s="79" t="str">
        <x:v>Retida da CURRENT; função continua relevante na V2.</x:v>
      </x:c>
    </x:row>
    <x:row r="61" ht="15" hidden="0" customHeight="1">
      <x:c r="A61" s="79" t="str">
        <x:v>Cori Mountain Monastery</x:v>
      </x:c>
      <x:c r="B61" s="79"/>
      <x:c r="C61" s="79"/>
      <x:c r="D61" s="79"/>
      <x:c r="E61" s="79" t="str">
        <x:v>Sim</x:v>
      </x:c>
      <x:c r="F61" s="79"/>
      <x:c r="G61" s="79" t="str">
        <x:v>Benchmark/Watchlist: presença em referência não prova superioridade.</x:v>
      </x:c>
    </x:row>
    <x:row r="62" ht="15" hidden="0" customHeight="1">
      <x:c r="A62" s="79" t="str">
        <x:v>Cover of Darkness</x:v>
      </x:c>
      <x:c r="B62" s="79" t="str">
        <x:v>Sim</x:v>
      </x:c>
      <x:c r="C62" s="79" t="str">
        <x:v>Sim</x:v>
      </x:c>
      <x:c r="D62" s="79"/>
      <x:c r="E62" s="79" t="str">
        <x:v>Sim</x:v>
      </x:c>
      <x:c r="F62" s="79"/>
      <x:c r="G62" s="79" t="str">
        <x:v>Retida da CURRENT; função continua relevante na V2.</x:v>
      </x:c>
    </x:row>
    <x:row r="63" ht="15" hidden="0" customHeight="1">
      <x:c r="A63" s="79" t="str">
        <x:v>Crackling Doom</x:v>
      </x:c>
      <x:c r="B63" s="79"/>
      <x:c r="C63" s="79"/>
      <x:c r="D63" s="79" t="str">
        <x:v>Sim</x:v>
      </x:c>
      <x:c r="E63" s="79"/>
      <x:c r="F63" s="79"/>
      <x:c r="G63" s="79" t="str">
        <x:v>Benchmark/Watchlist: presença em referência não prova superioridade.</x:v>
      </x:c>
    </x:row>
    <x:row r="64" ht="15" hidden="0" customHeight="1">
      <x:c r="A64" s="79" t="str">
        <x:v>Creeping Bloodsucker</x:v>
      </x:c>
      <x:c r="B64" s="79"/>
      <x:c r="C64" s="79"/>
      <x:c r="D64" s="79"/>
      <x:c r="E64" s="79" t="str">
        <x:v>Sim</x:v>
      </x:c>
      <x:c r="F64" s="79"/>
      <x:c r="G64" s="79" t="str">
        <x:v>Benchmark/Watchlist: presença em referência não prova superioridade.</x:v>
      </x:c>
    </x:row>
    <x:row r="65" ht="15" hidden="0" customHeight="1">
      <x:c r="A65" s="79" t="str">
        <x:v>Crippling Fear</x:v>
      </x:c>
      <x:c r="B65" s="79"/>
      <x:c r="C65" s="79"/>
      <x:c r="D65" s="79"/>
      <x:c r="E65" s="79" t="str">
        <x:v>Sim</x:v>
      </x:c>
      <x:c r="F65" s="79"/>
      <x:c r="G65" s="79" t="str">
        <x:v>Benchmark/Watchlist: presença em referência não prova superioridade.</x:v>
      </x:c>
    </x:row>
    <x:row r="66" ht="15" hidden="0" customHeight="1">
      <x:c r="A66" s="79" t="str">
        <x:v>Cruel Celebrant</x:v>
      </x:c>
      <x:c r="B66" s="79" t="str">
        <x:v>Sim</x:v>
      </x:c>
      <x:c r="C66" s="79" t="str">
        <x:v>Sim</x:v>
      </x:c>
      <x:c r="D66" s="79" t="str">
        <x:v>Sim</x:v>
      </x:c>
      <x:c r="E66" s="79" t="str">
        <x:v>Sim</x:v>
      </x:c>
      <x:c r="F66" s="79"/>
      <x:c r="G66" s="79" t="str">
        <x:v>Retida da CURRENT; função continua relevante na V2.</x:v>
      </x:c>
    </x:row>
    <x:row r="67" ht="15" hidden="0" customHeight="1">
      <x:c r="A67" s="79" t="str">
        <x:v>Crystal Grotto</x:v>
      </x:c>
      <x:c r="B67" s="79" t="str">
        <x:v>Sim</x:v>
      </x:c>
      <x:c r="C67" s="79"/>
      <x:c r="D67" s="79"/>
      <x:c r="E67" s="79"/>
      <x:c r="F67" s="79"/>
      <x:c r="G67" s="79" t="str">
        <x:v>Corte proposto; consultar Upgrade Matrix para ganho e custo de oportunidade.</x:v>
      </x:c>
    </x:row>
    <x:row r="68" ht="15" hidden="0" customHeight="1">
      <x:c r="A68" s="79" t="str">
        <x:v>Damn</x:v>
      </x:c>
      <x:c r="B68" s="79" t="str">
        <x:v>Sim</x:v>
      </x:c>
      <x:c r="C68" s="79" t="str">
        <x:v>Sim</x:v>
      </x:c>
      <x:c r="D68" s="79" t="str">
        <x:v>Sim</x:v>
      </x:c>
      <x:c r="E68" s="79"/>
      <x:c r="F68" s="79"/>
      <x:c r="G68" s="79" t="str">
        <x:v>Retida da CURRENT; função continua relevante na V2.</x:v>
      </x:c>
    </x:row>
    <x:row r="69" ht="15" hidden="0" customHeight="1">
      <x:c r="A69" s="79" t="str">
        <x:v>Dawn's Truce</x:v>
      </x:c>
      <x:c r="B69" s="79"/>
      <x:c r="C69" s="79"/>
      <x:c r="D69" s="79"/>
      <x:c r="E69" s="79"/>
      <x:c r="F69" s="79" t="str">
        <x:v>Sim</x:v>
      </x:c>
      <x:c r="G69" s="79" t="str">
        <x:v>Benchmark/Watchlist: presença em referência não prova superioridade.</x:v>
      </x:c>
    </x:row>
    <x:row r="70" ht="15" hidden="0" customHeight="1">
      <x:c r="A70" s="79" t="str">
        <x:v>Deadly Dispute</x:v>
      </x:c>
      <x:c r="B70" s="79" t="str">
        <x:v>Sim</x:v>
      </x:c>
      <x:c r="C70" s="79" t="str">
        <x:v>Sim</x:v>
      </x:c>
      <x:c r="D70" s="79"/>
      <x:c r="E70" s="79"/>
      <x:c r="F70" s="79"/>
      <x:c r="G70" s="79" t="str">
        <x:v>Retida da CURRENT; função continua relevante na V2.</x:v>
      </x:c>
    </x:row>
    <x:row r="71" ht="15" hidden="0" customHeight="1">
      <x:c r="A71" s="79" t="str">
        <x:v>Demonic Tutor</x:v>
      </x:c>
      <x:c r="B71" s="79"/>
      <x:c r="C71" s="79"/>
      <x:c r="D71" s="79" t="str">
        <x:v>Sim</x:v>
      </x:c>
      <x:c r="E71" s="79" t="str">
        <x:v>Sim</x:v>
      </x:c>
      <x:c r="F71" s="79" t="str">
        <x:v>Sim</x:v>
      </x:c>
      <x:c r="G71" s="79" t="str">
        <x:v>Benchmark/Watchlist: presença em referência não prova superioridade.</x:v>
      </x:c>
    </x:row>
    <x:row r="72" ht="15" hidden="0" customHeight="1">
      <x:c r="A72" s="79" t="str">
        <x:v>Descendants' Fury</x:v>
      </x:c>
      <x:c r="B72" s="79" t="str">
        <x:v>Sim</x:v>
      </x:c>
      <x:c r="C72" s="79" t="str">
        <x:v>Sim</x:v>
      </x:c>
      <x:c r="D72" s="79"/>
      <x:c r="E72" s="79"/>
      <x:c r="F72" s="79"/>
      <x:c r="G72" s="79" t="str">
        <x:v>Retida da CURRENT; função continua relevante na V2.</x:v>
      </x:c>
    </x:row>
    <x:row r="73" ht="15" hidden="0" customHeight="1">
      <x:c r="A73" s="79" t="str">
        <x:v>Despark</x:v>
      </x:c>
      <x:c r="B73" s="79"/>
      <x:c r="C73" s="79"/>
      <x:c r="D73" s="79"/>
      <x:c r="E73" s="79" t="str">
        <x:v>Sim</x:v>
      </x:c>
      <x:c r="F73" s="79" t="str">
        <x:v>Sim</x:v>
      </x:c>
      <x:c r="G73" s="79" t="str">
        <x:v>Benchmark/Watchlist: presença em referência não prova superioridade.</x:v>
      </x:c>
    </x:row>
    <x:row r="74" ht="15" hidden="0" customHeight="1">
      <x:c r="A74" s="79" t="str">
        <x:v>Diabolic Intent</x:v>
      </x:c>
      <x:c r="B74" s="79"/>
      <x:c r="C74" s="79"/>
      <x:c r="D74" s="79"/>
      <x:c r="E74" s="79" t="str">
        <x:v>Sim</x:v>
      </x:c>
      <x:c r="F74" s="79" t="str">
        <x:v>Sim</x:v>
      </x:c>
      <x:c r="G74" s="79" t="str">
        <x:v>Benchmark/Watchlist: presença em referência não prova superioridade.</x:v>
      </x:c>
    </x:row>
    <x:row r="75" ht="15" hidden="0" customHeight="1">
      <x:c r="A75" s="79" t="str">
        <x:v>Door of Destinies</x:v>
      </x:c>
      <x:c r="B75" s="79"/>
      <x:c r="C75" s="79"/>
      <x:c r="D75" s="79" t="str">
        <x:v>Sim</x:v>
      </x:c>
      <x:c r="E75" s="79"/>
      <x:c r="F75" s="79"/>
      <x:c r="G75" s="79" t="str">
        <x:v>Benchmark/Watchlist: presença em referência não prova superioridade.</x:v>
      </x:c>
    </x:row>
    <x:row r="76" ht="15" hidden="0" customHeight="1">
      <x:c r="A76" s="79" t="str">
        <x:v>Dragonskull Summit</x:v>
      </x:c>
      <x:c r="B76" s="79" t="str">
        <x:v>Sim</x:v>
      </x:c>
      <x:c r="C76" s="79" t="str">
        <x:v>Sim</x:v>
      </x:c>
      <x:c r="D76" s="79" t="str">
        <x:v>Sim</x:v>
      </x:c>
      <x:c r="E76" s="79"/>
      <x:c r="F76" s="79"/>
      <x:c r="G76" s="79" t="str">
        <x:v>Retida da CURRENT; função continua relevante na V2.</x:v>
      </x:c>
    </x:row>
    <x:row r="77" ht="15" hidden="0" customHeight="1">
      <x:c r="A77" s="79" t="str">
        <x:v>Drana and Linvala</x:v>
      </x:c>
      <x:c r="B77" s="79" t="str">
        <x:v>Sim</x:v>
      </x:c>
      <x:c r="C77" s="79" t="str">
        <x:v>Sim</x:v>
      </x:c>
      <x:c r="D77" s="79"/>
      <x:c r="E77" s="79"/>
      <x:c r="F77" s="79" t="str">
        <x:v>Sim</x:v>
      </x:c>
      <x:c r="G77" s="79" t="str">
        <x:v>Retida da CURRENT; função continua relevante na V2.</x:v>
      </x:c>
    </x:row>
    <x:row r="78" ht="15" hidden="0" customHeight="1">
      <x:c r="A78" s="79" t="str">
        <x:v>Drana, Liberator of Malakir</x:v>
      </x:c>
      <x:c r="B78" s="79"/>
      <x:c r="C78" s="79"/>
      <x:c r="D78" s="79" t="str">
        <x:v>Sim</x:v>
      </x:c>
      <x:c r="E78" s="79"/>
      <x:c r="F78" s="79"/>
      <x:c r="G78" s="79" t="str">
        <x:v>Benchmark/Watchlist: presença em referência não prova superioridade.</x:v>
      </x:c>
    </x:row>
    <x:row r="79" ht="15" hidden="0" customHeight="1">
      <x:c r="A79" s="79" t="str">
        <x:v>Dusk Legion Sergeant</x:v>
      </x:c>
      <x:c r="B79" s="79" t="str">
        <x:v>Sim</x:v>
      </x:c>
      <x:c r="C79" s="79" t="str">
        <x:v>Sim</x:v>
      </x:c>
      <x:c r="D79" s="79"/>
      <x:c r="E79" s="79"/>
      <x:c r="F79" s="79"/>
      <x:c r="G79" s="79" t="str">
        <x:v>Retida da CURRENT; função continua relevante na V2.</x:v>
      </x:c>
    </x:row>
    <x:row r="80" ht="15" hidden="0" customHeight="1">
      <x:c r="A80" s="79" t="str">
        <x:v>Dusk Legion Zealot</x:v>
      </x:c>
      <x:c r="B80" s="79"/>
      <x:c r="C80" s="79"/>
      <x:c r="D80" s="79"/>
      <x:c r="E80" s="79" t="str">
        <x:v>Sim</x:v>
      </x:c>
      <x:c r="F80" s="79"/>
      <x:c r="G80" s="79" t="str">
        <x:v>Benchmark/Watchlist: presença em referência não prova superioridade.</x:v>
      </x:c>
    </x:row>
    <x:row r="81" ht="15" hidden="0" customHeight="1">
      <x:c r="A81" s="79" t="str">
        <x:v>Edgar Markov</x:v>
      </x:c>
      <x:c r="B81" s="79" t="str">
        <x:v>Sim</x:v>
      </x:c>
      <x:c r="C81" s="79" t="str">
        <x:v>Sim</x:v>
      </x:c>
      <x:c r="D81" s="79" t="str">
        <x:v>Sim</x:v>
      </x:c>
      <x:c r="E81" s="79" t="str">
        <x:v>Sim</x:v>
      </x:c>
      <x:c r="F81" s="79" t="str">
        <x:v>Sim</x:v>
      </x:c>
      <x:c r="G81" s="79" t="str">
        <x:v>Retida da CURRENT; função continua relevante na V2.</x:v>
      </x:c>
    </x:row>
    <x:row r="82" ht="15" hidden="0" customHeight="1">
      <x:c r="A82" s="79" t="str">
        <x:v>Edgar, Charmed Groom</x:v>
      </x:c>
      <x:c r="B82" s="79" t="str">
        <x:v>Sim</x:v>
      </x:c>
      <x:c r="C82" s="79" t="str">
        <x:v>Sim</x:v>
      </x:c>
      <x:c r="D82" s="79" t="str">
        <x:v>Sim</x:v>
      </x:c>
      <x:c r="E82" s="79"/>
      <x:c r="F82" s="79" t="str">
        <x:v>Sim</x:v>
      </x:c>
      <x:c r="G82" s="79" t="str">
        <x:v>Retida da CURRENT; função continua relevante na V2.</x:v>
      </x:c>
    </x:row>
    <x:row r="83" ht="15" hidden="0" customHeight="1">
      <x:c r="A83" s="79" t="str">
        <x:v>Elenda, the Dusk Rose</x:v>
      </x:c>
      <x:c r="B83" s="79" t="str">
        <x:v>Sim</x:v>
      </x:c>
      <x:c r="C83" s="79" t="str">
        <x:v>Sim</x:v>
      </x:c>
      <x:c r="D83" s="79" t="str">
        <x:v>Sim</x:v>
      </x:c>
      <x:c r="E83" s="79"/>
      <x:c r="F83" s="79" t="str">
        <x:v>Sim</x:v>
      </x:c>
      <x:c r="G83" s="79" t="str">
        <x:v>Retida da CURRENT; função continua relevante na V2.</x:v>
      </x:c>
    </x:row>
    <x:row r="84" ht="15" hidden="0" customHeight="1">
      <x:c r="A84" s="79" t="str">
        <x:v>Everything Comes to Dust</x:v>
      </x:c>
      <x:c r="B84" s="79"/>
      <x:c r="C84" s="79"/>
      <x:c r="D84" s="79"/>
      <x:c r="E84" s="79" t="str">
        <x:v>Sim</x:v>
      </x:c>
      <x:c r="F84" s="79" t="str">
        <x:v>Sim</x:v>
      </x:c>
      <x:c r="G84" s="79" t="str">
        <x:v>Benchmark/Watchlist: presença em referência não prova superioridade.</x:v>
      </x:c>
    </x:row>
    <x:row r="85" ht="15" hidden="0" customHeight="1">
      <x:c r="A85" s="79" t="str">
        <x:v>Evolving Wilds</x:v>
      </x:c>
      <x:c r="B85" s="79"/>
      <x:c r="C85" s="79"/>
      <x:c r="D85" s="79" t="str">
        <x:v>Sim</x:v>
      </x:c>
      <x:c r="E85" s="79"/>
      <x:c r="F85" s="79"/>
      <x:c r="G85" s="79" t="str">
        <x:v>Benchmark/Watchlist: presença em referência não prova superioridade.</x:v>
      </x:c>
    </x:row>
    <x:row r="86" ht="15" hidden="0" customHeight="1">
      <x:c r="A86" s="79" t="str">
        <x:v>Exotic Orchard</x:v>
      </x:c>
      <x:c r="B86" s="79" t="str">
        <x:v>Sim</x:v>
      </x:c>
      <x:c r="C86" s="79" t="str">
        <x:v>Sim</x:v>
      </x:c>
      <x:c r="D86" s="79"/>
      <x:c r="E86" s="79" t="str">
        <x:v>Sim</x:v>
      </x:c>
      <x:c r="F86" s="79"/>
      <x:c r="G86" s="79" t="str">
        <x:v>Retida da CURRENT; função continua relevante na V2.</x:v>
      </x:c>
    </x:row>
    <x:row r="87" ht="15" hidden="0" customHeight="1">
      <x:c r="A87" s="79" t="str">
        <x:v>Exquisite Blood</x:v>
      </x:c>
      <x:c r="B87" s="79"/>
      <x:c r="C87" s="79"/>
      <x:c r="D87" s="79"/>
      <x:c r="E87" s="79" t="str">
        <x:v>Sim</x:v>
      </x:c>
      <x:c r="F87" s="79"/>
      <x:c r="G87" s="79" t="str">
        <x:v>Benchmark/Watchlist: presença em referência não prova superioridade.</x:v>
      </x:c>
    </x:row>
    <x:row r="88" ht="15" hidden="0" customHeight="1">
      <x:c r="A88" s="79" t="str">
        <x:v>Fabled Passage</x:v>
      </x:c>
      <x:c r="B88" s="79" t="str">
        <x:v>Sim</x:v>
      </x:c>
      <x:c r="C88" s="79" t="str">
        <x:v>Sim</x:v>
      </x:c>
      <x:c r="D88" s="79"/>
      <x:c r="E88" s="79"/>
      <x:c r="F88" s="79"/>
      <x:c r="G88" s="79" t="str">
        <x:v>Retida da CURRENT; função continua relevante na V2.</x:v>
      </x:c>
    </x:row>
    <x:row r="89" ht="15" hidden="0" customHeight="1">
      <x:c r="A89" s="79" t="str">
        <x:v>Faithless Looting</x:v>
      </x:c>
      <x:c r="B89" s="79" t="str">
        <x:v>Sim</x:v>
      </x:c>
      <x:c r="C89" s="79"/>
      <x:c r="D89" s="79"/>
      <x:c r="E89" s="79"/>
      <x:c r="F89" s="79"/>
      <x:c r="G89" s="79" t="str">
        <x:v>Corte proposto; consultar Upgrade Matrix para ganho e custo de oportunidade.</x:v>
      </x:c>
    </x:row>
    <x:row r="90" ht="15" hidden="0" customHeight="1">
      <x:c r="A90" s="79" t="str">
        <x:v>Falkenrath Pit Fighter</x:v>
      </x:c>
      <x:c r="B90" s="79" t="str">
        <x:v>Sim</x:v>
      </x:c>
      <x:c r="C90" s="79" t="str">
        <x:v>Sim</x:v>
      </x:c>
      <x:c r="D90" s="79" t="str">
        <x:v>Sim</x:v>
      </x:c>
      <x:c r="E90" s="79" t="str">
        <x:v>Sim</x:v>
      </x:c>
      <x:c r="F90" s="79" t="str">
        <x:v>Sim</x:v>
      </x:c>
      <x:c r="G90" s="79" t="str">
        <x:v>Retida da CURRENT; função continua relevante na V2.</x:v>
      </x:c>
    </x:row>
    <x:row r="91" ht="15" hidden="0" customHeight="1">
      <x:c r="A91" s="79" t="str">
        <x:v>Fell the Profane</x:v>
      </x:c>
      <x:c r="B91" s="79"/>
      <x:c r="C91" s="79"/>
      <x:c r="D91" s="79"/>
      <x:c r="E91" s="79"/>
      <x:c r="F91" s="79" t="str">
        <x:v>Sim</x:v>
      </x:c>
      <x:c r="G91" s="79" t="str">
        <x:v>Benchmark/Watchlist: presença em referência não prova superioridade.</x:v>
      </x:c>
    </x:row>
    <x:row r="92" ht="15" hidden="0" customHeight="1">
      <x:c r="A92" s="79" t="str">
        <x:v>Fetid Heath</x:v>
      </x:c>
      <x:c r="B92" s="79" t="str">
        <x:v>Sim</x:v>
      </x:c>
      <x:c r="C92" s="79" t="str">
        <x:v>Sim</x:v>
      </x:c>
      <x:c r="D92" s="79"/>
      <x:c r="E92" s="79"/>
      <x:c r="F92" s="79"/>
      <x:c r="G92" s="79" t="str">
        <x:v>Retida da CURRENT; função continua relevante na V2.</x:v>
      </x:c>
    </x:row>
    <x:row r="93" ht="15" hidden="0" customHeight="1">
      <x:c r="A93" s="79" t="str">
        <x:v>Florian, Voldaren Scion</x:v>
      </x:c>
      <x:c r="B93" s="79" t="str">
        <x:v>Sim</x:v>
      </x:c>
      <x:c r="C93" s="79" t="str">
        <x:v>Sim</x:v>
      </x:c>
      <x:c r="D93" s="79" t="str">
        <x:v>Sim</x:v>
      </x:c>
      <x:c r="E93" s="79" t="str">
        <x:v>Sim</x:v>
      </x:c>
      <x:c r="F93" s="79" t="str">
        <x:v>Sim</x:v>
      </x:c>
      <x:c r="G93" s="79" t="str">
        <x:v>Retida da CURRENT; função continua relevante na V2.</x:v>
      </x:c>
    </x:row>
    <x:row r="94" ht="15" hidden="0" customHeight="1">
      <x:c r="A94" s="79" t="str">
        <x:v>Forerunner of the Legion</x:v>
      </x:c>
      <x:c r="B94" s="79"/>
      <x:c r="C94" s="79"/>
      <x:c r="D94" s="79" t="str">
        <x:v>Sim</x:v>
      </x:c>
      <x:c r="E94" s="79" t="str">
        <x:v>Sim</x:v>
      </x:c>
      <x:c r="F94" s="79"/>
      <x:c r="G94" s="79" t="str">
        <x:v>Benchmark/Watchlist: presença em referência não prova superioridade.</x:v>
      </x:c>
    </x:row>
    <x:row r="95" ht="15" hidden="0" customHeight="1">
      <x:c r="A95" s="79" t="str">
        <x:v>Fountainport</x:v>
      </x:c>
      <x:c r="B95" s="79" t="str">
        <x:v>Sim</x:v>
      </x:c>
      <x:c r="C95" s="79" t="str">
        <x:v>Sim</x:v>
      </x:c>
      <x:c r="D95" s="79"/>
      <x:c r="E95" s="79"/>
      <x:c r="F95" s="79"/>
      <x:c r="G95" s="79" t="str">
        <x:v>Retida da CURRENT; função continua relevante na V2.</x:v>
      </x:c>
    </x:row>
    <x:row r="96" ht="15" hidden="0" customHeight="1">
      <x:c r="A96" s="79" t="str">
        <x:v>Fracture</x:v>
      </x:c>
      <x:c r="B96" s="79"/>
      <x:c r="C96" s="79"/>
      <x:c r="D96" s="79"/>
      <x:c r="E96" s="79" t="str">
        <x:v>Sim</x:v>
      </x:c>
      <x:c r="F96" s="79"/>
      <x:c r="G96" s="79" t="str">
        <x:v>Benchmark/Watchlist: presença em referência não prova superioridade.</x:v>
      </x:c>
    </x:row>
    <x:row r="97" ht="15" hidden="0" customHeight="1">
      <x:c r="A97" s="79" t="str">
        <x:v>Funeral Room</x:v>
      </x:c>
      <x:c r="B97" s="79"/>
      <x:c r="C97" s="79"/>
      <x:c r="D97" s="79"/>
      <x:c r="E97" s="79"/>
      <x:c r="F97" s="79" t="str">
        <x:v>Sim</x:v>
      </x:c>
      <x:c r="G97" s="79" t="str">
        <x:v>Benchmark/Watchlist: presença em referência não prova superioridade.</x:v>
      </x:c>
    </x:row>
    <x:row r="98" ht="15" hidden="0" customHeight="1">
      <x:c r="A98" s="79" t="str">
        <x:v>Galadriel's Dismissal</x:v>
      </x:c>
      <x:c r="B98" s="79"/>
      <x:c r="C98" s="79"/>
      <x:c r="D98" s="79"/>
      <x:c r="E98" s="79"/>
      <x:c r="F98" s="79" t="str">
        <x:v>Sim</x:v>
      </x:c>
      <x:c r="G98" s="79" t="str">
        <x:v>Benchmark/Watchlist: presença em referência não prova superioridade.</x:v>
      </x:c>
    </x:row>
    <x:row r="99" ht="15" hidden="0" customHeight="1">
      <x:c r="A99" s="79" t="str">
        <x:v>Gas Guzzler</x:v>
      </x:c>
      <x:c r="B99" s="79"/>
      <x:c r="C99" s="79"/>
      <x:c r="D99" s="79"/>
      <x:c r="E99" s="79"/>
      <x:c r="F99" s="79" t="str">
        <x:v>Sim</x:v>
      </x:c>
      <x:c r="G99" s="79" t="str">
        <x:v>Benchmark/Watchlist: presença em referência não prova superioridade.</x:v>
      </x:c>
    </x:row>
    <x:row r="100" ht="15" hidden="0" customHeight="1">
      <x:c r="A100" s="79" t="str">
        <x:v>Gathering Stone</x:v>
      </x:c>
      <x:c r="B100" s="79"/>
      <x:c r="C100" s="79"/>
      <x:c r="D100" s="79"/>
      <x:c r="E100" s="79"/>
      <x:c r="F100" s="79"/>
      <x:c r="G100" s="79" t="str">
        <x:v>Watchlist / benchmark; não é inclusão automática.</x:v>
      </x:c>
    </x:row>
    <x:row r="101" ht="15" hidden="0" customHeight="1">
      <x:c r="A101" s="79" t="str">
        <x:v>Gifted Aetherborn</x:v>
      </x:c>
      <x:c r="B101" s="79" t="str">
        <x:v>Sim</x:v>
      </x:c>
      <x:c r="C101" s="79"/>
      <x:c r="D101" s="79" t="str">
        <x:v>Sim</x:v>
      </x:c>
      <x:c r="E101" s="79" t="str">
        <x:v>Sim</x:v>
      </x:c>
      <x:c r="F101" s="79"/>
      <x:c r="G101" s="79" t="str">
        <x:v>Corte proposto; consultar Upgrade Matrix para ganho e custo de oportunidade.</x:v>
      </x:c>
    </x:row>
    <x:row r="102" ht="15" hidden="0" customHeight="1">
      <x:c r="A102" s="79" t="str">
        <x:v>Godless Shrine</x:v>
      </x:c>
      <x:c r="B102" s="79"/>
      <x:c r="C102" s="79" t="str">
        <x:v>Sim</x:v>
      </x:c>
      <x:c r="D102" s="79" t="str">
        <x:v>Sim</x:v>
      </x:c>
      <x:c r="E102" s="79" t="str">
        <x:v>Sim</x:v>
      </x:c>
      <x:c r="F102" s="79" t="str">
        <x:v>Sim</x:v>
      </x:c>
      <x:c r="G102" s="79" t="str">
        <x:v>Nova inclusão proposta; ainda não testada.</x:v>
      </x:c>
    </x:row>
    <x:row r="103" ht="15" hidden="0" customHeight="1">
      <x:c r="A103" s="79" t="str">
        <x:v>Graven Cairns</x:v>
      </x:c>
      <x:c r="B103" s="79" t="str">
        <x:v>Sim</x:v>
      </x:c>
      <x:c r="C103" s="79" t="str">
        <x:v>Sim</x:v>
      </x:c>
      <x:c r="D103" s="79"/>
      <x:c r="E103" s="79"/>
      <x:c r="F103" s="79"/>
      <x:c r="G103" s="79" t="str">
        <x:v>Retida da CURRENT; função continua relevante na V2.</x:v>
      </x:c>
    </x:row>
    <x:row r="104" ht="15" hidden="0" customHeight="1">
      <x:c r="A104" s="79" t="str">
        <x:v>Haunted Ridge</x:v>
      </x:c>
      <x:c r="B104" s="79"/>
      <x:c r="C104" s="79"/>
      <x:c r="D104" s="79"/>
      <x:c r="E104" s="79" t="str">
        <x:v>Sim</x:v>
      </x:c>
      <x:c r="F104" s="79" t="str">
        <x:v>Sim</x:v>
      </x:c>
      <x:c r="G104" s="79" t="str">
        <x:v>Benchmark/Watchlist: presença em referência não prova superioridade.</x:v>
      </x:c>
    </x:row>
    <x:row r="105" ht="15" hidden="0" customHeight="1">
      <x:c r="A105" s="79" t="str">
        <x:v>Herald's Horn</x:v>
      </x:c>
      <x:c r="B105" s="79"/>
      <x:c r="C105" s="79"/>
      <x:c r="D105" s="79" t="str">
        <x:v>Sim</x:v>
      </x:c>
      <x:c r="E105" s="79"/>
      <x:c r="F105" s="79"/>
      <x:c r="G105" s="79" t="str">
        <x:v>Benchmark/Watchlist: presença em referência não prova superioridade.</x:v>
      </x:c>
    </x:row>
    <x:row r="106" ht="15" hidden="0" customHeight="1">
      <x:c r="A106" s="79" t="str">
        <x:v>Idol of Oblivion</x:v>
      </x:c>
      <x:c r="B106" s="79" t="str">
        <x:v>Sim</x:v>
      </x:c>
      <x:c r="C106" s="79" t="str">
        <x:v>Sim</x:v>
      </x:c>
      <x:c r="D106" s="79"/>
      <x:c r="E106" s="79"/>
      <x:c r="F106" s="79"/>
      <x:c r="G106" s="79" t="str">
        <x:v>Retida da CURRENT; função continua relevante na V2.</x:v>
      </x:c>
    </x:row>
    <x:row r="107" ht="15" hidden="0" customHeight="1">
      <x:c r="A107" s="79" t="str">
        <x:v>Imperial Seal</x:v>
      </x:c>
      <x:c r="B107" s="79"/>
      <x:c r="C107" s="79"/>
      <x:c r="D107" s="79"/>
      <x:c r="E107" s="79"/>
      <x:c r="F107" s="79" t="str">
        <x:v>Sim</x:v>
      </x:c>
      <x:c r="G107" s="79" t="str">
        <x:v>Benchmark/Watchlist: presença em referência não prova superioridade.</x:v>
      </x:c>
    </x:row>
    <x:row r="108" ht="15" hidden="0" customHeight="1">
      <x:c r="A108" s="79" t="str">
        <x:v>Indulgent Aristocrat</x:v>
      </x:c>
      <x:c r="B108" s="79"/>
      <x:c r="C108" s="79"/>
      <x:c r="D108" s="79" t="str">
        <x:v>Sim</x:v>
      </x:c>
      <x:c r="E108" s="79" t="str">
        <x:v>Sim</x:v>
      </x:c>
      <x:c r="F108" s="79" t="str">
        <x:v>Sim</x:v>
      </x:c>
      <x:c r="G108" s="79" t="str">
        <x:v>Benchmark/Watchlist: presença em referência não prova superioridade.</x:v>
      </x:c>
    </x:row>
    <x:row r="109" ht="15" hidden="0" customHeight="1">
      <x:c r="A109" s="79" t="str">
        <x:v>Insatiable Avarice</x:v>
      </x:c>
      <x:c r="B109" s="79"/>
      <x:c r="C109" s="79"/>
      <x:c r="D109" s="79"/>
      <x:c r="E109" s="79" t="str">
        <x:v>Sim</x:v>
      </x:c>
      <x:c r="F109" s="79" t="str">
        <x:v>Sim</x:v>
      </x:c>
      <x:c r="G109" s="79" t="str">
        <x:v>Benchmark/Watchlist: presença em referência não prova superioridade.</x:v>
      </x:c>
    </x:row>
    <x:row r="110" ht="15" hidden="0" customHeight="1">
      <x:c r="A110" s="79" t="str">
        <x:v>Invasion of Gobakhan</x:v>
      </x:c>
      <x:c r="B110" s="79"/>
      <x:c r="C110" s="79"/>
      <x:c r="D110" s="79"/>
      <x:c r="E110" s="79"/>
      <x:c r="F110" s="79" t="str">
        <x:v>Sim</x:v>
      </x:c>
      <x:c r="G110" s="79" t="str">
        <x:v>Benchmark/Watchlist: presença em referência não prova superioridade.</x:v>
      </x:c>
    </x:row>
    <x:row r="111" ht="15" hidden="0" customHeight="1">
      <x:c r="A111" s="79" t="str">
        <x:v>Invasion of New Capenna</x:v>
      </x:c>
      <x:c r="B111" s="79" t="str">
        <x:v>Sim</x:v>
      </x:c>
      <x:c r="C111" s="79" t="str">
        <x:v>Sim</x:v>
      </x:c>
      <x:c r="D111" s="79"/>
      <x:c r="E111" s="79"/>
      <x:c r="F111" s="79"/>
      <x:c r="G111" s="79" t="str">
        <x:v>Retida da CURRENT; função continua relevante na V2.</x:v>
      </x:c>
    </x:row>
    <x:row r="112" ht="15" hidden="0" customHeight="1">
      <x:c r="A112" s="79" t="str">
        <x:v>Isolated Chapel</x:v>
      </x:c>
      <x:c r="B112" s="79"/>
      <x:c r="C112" s="79"/>
      <x:c r="D112" s="79" t="str">
        <x:v>Sim</x:v>
      </x:c>
      <x:c r="E112" s="79"/>
      <x:c r="F112" s="79"/>
      <x:c r="G112" s="79" t="str">
        <x:v>Benchmark/Watchlist: presença em referência não prova superioridade.</x:v>
      </x:c>
    </x:row>
    <x:row r="113" ht="15" hidden="0" customHeight="1">
      <x:c r="A113" s="79" t="str">
        <x:v>Ivora, Insatiable Heir</x:v>
      </x:c>
      <x:c r="B113" s="79"/>
      <x:c r="C113" s="79"/>
      <x:c r="D113" s="79"/>
      <x:c r="E113" s="79" t="str">
        <x:v>Sim</x:v>
      </x:c>
      <x:c r="F113" s="79"/>
      <x:c r="G113" s="79" t="str">
        <x:v>Benchmark/Watchlist: presença em referência não prova superioridade.</x:v>
      </x:c>
    </x:row>
    <x:row r="114" ht="15" hidden="0" customHeight="1">
      <x:c r="A114" s="79" t="str">
        <x:v>Kalitas, Traitor of Ghet</x:v>
      </x:c>
      <x:c r="B114" s="79"/>
      <x:c r="C114" s="79"/>
      <x:c r="D114" s="79"/>
      <x:c r="E114" s="79"/>
      <x:c r="F114" s="79" t="str">
        <x:v>Sim</x:v>
      </x:c>
      <x:c r="G114" s="79" t="str">
        <x:v>Benchmark/Watchlist: presença em referência não prova superioridade.</x:v>
      </x:c>
    </x:row>
    <x:row r="115" ht="15" hidden="0" customHeight="1">
      <x:c r="A115" s="79" t="str">
        <x:v>Kindred Charge</x:v>
      </x:c>
      <x:c r="B115" s="79" t="str">
        <x:v>Sim</x:v>
      </x:c>
      <x:c r="C115" s="79"/>
      <x:c r="D115" s="79"/>
      <x:c r="E115" s="79"/>
      <x:c r="F115" s="79"/>
      <x:c r="G115" s="79" t="str">
        <x:v>Corte proposto; consultar Upgrade Matrix para ganho e custo de oportunidade.</x:v>
      </x:c>
    </x:row>
    <x:row r="116" ht="15" hidden="0" customHeight="1">
      <x:c r="A116" s="79" t="str">
        <x:v>Knight of the Ebon Legion</x:v>
      </x:c>
      <x:c r="B116" s="79" t="str">
        <x:v>Sim</x:v>
      </x:c>
      <x:c r="C116" s="79" t="str">
        <x:v>Sim</x:v>
      </x:c>
      <x:c r="D116" s="79"/>
      <x:c r="E116" s="79"/>
      <x:c r="F116" s="79"/>
      <x:c r="G116" s="79" t="str">
        <x:v>Retida da CURRENT; função continua relevante na V2.</x:v>
      </x:c>
    </x:row>
    <x:row r="117" ht="15" hidden="0" customHeight="1">
      <x:c r="A117" s="79" t="str">
        <x:v>Legion Lieutenant</x:v>
      </x:c>
      <x:c r="B117" s="79" t="str">
        <x:v>Sim</x:v>
      </x:c>
      <x:c r="C117" s="79" t="str">
        <x:v>Sim</x:v>
      </x:c>
      <x:c r="D117" s="79" t="str">
        <x:v>Sim</x:v>
      </x:c>
      <x:c r="E117" s="79" t="str">
        <x:v>Sim</x:v>
      </x:c>
      <x:c r="F117" s="79" t="str">
        <x:v>Sim</x:v>
      </x:c>
      <x:c r="G117" s="79" t="str">
        <x:v>Retida da CURRENT; função continua relevante na V2.</x:v>
      </x:c>
    </x:row>
    <x:row r="118" ht="15" hidden="0" customHeight="1">
      <x:c r="A118" s="79" t="str">
        <x:v>Legion's Landing</x:v>
      </x:c>
      <x:c r="B118" s="79" t="str">
        <x:v>Sim</x:v>
      </x:c>
      <x:c r="C118" s="79" t="str">
        <x:v>Sim</x:v>
      </x:c>
      <x:c r="D118" s="79" t="str">
        <x:v>Sim</x:v>
      </x:c>
      <x:c r="E118" s="79"/>
      <x:c r="F118" s="79"/>
      <x:c r="G118" s="79" t="str">
        <x:v>Retida da CURRENT; função continua relevante na V2.</x:v>
      </x:c>
    </x:row>
    <x:row r="119" ht="15" hidden="0" customHeight="1">
      <x:c r="A119" s="79" t="str">
        <x:v>Lethal Scheme</x:v>
      </x:c>
      <x:c r="B119" s="79"/>
      <x:c r="C119" s="79"/>
      <x:c r="D119" s="79"/>
      <x:c r="E119" s="79" t="str">
        <x:v>Sim</x:v>
      </x:c>
      <x:c r="F119" s="79"/>
      <x:c r="G119" s="79" t="str">
        <x:v>Benchmark/Watchlist: presença em referência não prova superioridade.</x:v>
      </x:c>
    </x:row>
    <x:row r="120" ht="15" hidden="0" customHeight="1">
      <x:c r="A120" s="79" t="str">
        <x:v>Lich-Knights' Conquest</x:v>
      </x:c>
      <x:c r="B120" s="79" t="str">
        <x:v>Sim</x:v>
      </x:c>
      <x:c r="C120" s="79" t="str">
        <x:v>Sim</x:v>
      </x:c>
      <x:c r="D120" s="79"/>
      <x:c r="E120" s="79"/>
      <x:c r="F120" s="79"/>
      <x:c r="G120" s="79" t="str">
        <x:v>Retida da CURRENT; função continua relevante na V2.</x:v>
      </x:c>
    </x:row>
    <x:row r="121" ht="15" hidden="0" customHeight="1">
      <x:c r="A121" s="79" t="str">
        <x:v>Luxury Suite</x:v>
      </x:c>
      <x:c r="B121" s="79" t="str">
        <x:v>Sim</x:v>
      </x:c>
      <x:c r="C121" s="79" t="str">
        <x:v>Sim</x:v>
      </x:c>
      <x:c r="D121" s="79"/>
      <x:c r="E121" s="79" t="str">
        <x:v>Sim</x:v>
      </x:c>
      <x:c r="F121" s="79" t="str">
        <x:v>Sim</x:v>
      </x:c>
      <x:c r="G121" s="79" t="str">
        <x:v>Retida da CURRENT; função continua relevante na V2.</x:v>
      </x:c>
    </x:row>
    <x:row r="122" ht="15" hidden="0" customHeight="1">
      <x:c r="A122" s="79" t="str">
        <x:v>Malakir Bloodwitch</x:v>
      </x:c>
      <x:c r="B122" s="79"/>
      <x:c r="C122" s="79"/>
      <x:c r="D122" s="79" t="str">
        <x:v>Sim</x:v>
      </x:c>
      <x:c r="E122" s="79"/>
      <x:c r="F122" s="79" t="str">
        <x:v>Sim</x:v>
      </x:c>
      <x:c r="G122" s="79" t="str">
        <x:v>Benchmark/Watchlist: presença em referência não prova superioridade.</x:v>
      </x:c>
    </x:row>
    <x:row r="123" ht="15" hidden="0" customHeight="1">
      <x:c r="A123" s="79" t="str">
        <x:v>Malakir Rebirth</x:v>
      </x:c>
      <x:c r="B123" s="79"/>
      <x:c r="C123" s="79"/>
      <x:c r="D123" s="79"/>
      <x:c r="E123" s="79"/>
      <x:c r="F123" s="79"/>
      <x:c r="G123" s="79" t="str">
        <x:v>Watchlist / benchmark; não é inclusão automática.</x:v>
      </x:c>
    </x:row>
    <x:row r="124" ht="15" hidden="0" customHeight="1">
      <x:c r="A124" s="79" t="str">
        <x:v>Mana Confluence</x:v>
      </x:c>
      <x:c r="B124" s="79"/>
      <x:c r="C124" s="79"/>
      <x:c r="D124" s="79"/>
      <x:c r="E124" s="79" t="str">
        <x:v>Sim</x:v>
      </x:c>
      <x:c r="F124" s="79" t="str">
        <x:v>Sim</x:v>
      </x:c>
      <x:c r="G124" s="79" t="str">
        <x:v>Benchmark/Watchlist: presença em referência não prova superioridade.</x:v>
      </x:c>
    </x:row>
    <x:row r="125" ht="15" hidden="0" customHeight="1">
      <x:c r="A125" s="79" t="str">
        <x:v>Marauding Blight-Priest</x:v>
      </x:c>
      <x:c r="B125" s="79"/>
      <x:c r="C125" s="79"/>
      <x:c r="D125" s="79"/>
      <x:c r="E125" s="79" t="str">
        <x:v>Sim</x:v>
      </x:c>
      <x:c r="F125" s="79"/>
      <x:c r="G125" s="79" t="str">
        <x:v>Benchmark/Watchlist: presença em referência não prova superioridade.</x:v>
      </x:c>
    </x:row>
    <x:row r="126" ht="15" hidden="0" customHeight="1">
      <x:c r="A126" s="79" t="str">
        <x:v>March of the Canonized</x:v>
      </x:c>
      <x:c r="B126" s="79" t="str">
        <x:v>Sim</x:v>
      </x:c>
      <x:c r="C126" s="79" t="str">
        <x:v>Sim</x:v>
      </x:c>
      <x:c r="D126" s="79"/>
      <x:c r="E126" s="79"/>
      <x:c r="F126" s="79"/>
      <x:c r="G126" s="79" t="str">
        <x:v>Retida da CURRENT; função continua relevante na V2.</x:v>
      </x:c>
    </x:row>
    <x:row r="127" ht="15" hidden="0" customHeight="1">
      <x:c r="A127" s="79" t="str">
        <x:v>Markov Baron</x:v>
      </x:c>
      <x:c r="B127" s="79" t="str">
        <x:v>Sim</x:v>
      </x:c>
      <x:c r="C127" s="79" t="str">
        <x:v>Sim</x:v>
      </x:c>
      <x:c r="D127" s="79"/>
      <x:c r="E127" s="79" t="str">
        <x:v>Sim</x:v>
      </x:c>
      <x:c r="F127" s="79" t="str">
        <x:v>Sim</x:v>
      </x:c>
      <x:c r="G127" s="79" t="str">
        <x:v>Retida da CURRENT; função continua relevante na V2.</x:v>
      </x:c>
    </x:row>
    <x:row r="128" ht="15" hidden="0" customHeight="1">
      <x:c r="A128" s="79" t="str">
        <x:v>Marsh Flats</x:v>
      </x:c>
      <x:c r="B128" s="79"/>
      <x:c r="C128" s="79"/>
      <x:c r="D128" s="79"/>
      <x:c r="E128" s="79" t="str">
        <x:v>Sim</x:v>
      </x:c>
      <x:c r="F128" s="79" t="str">
        <x:v>Sim</x:v>
      </x:c>
      <x:c r="G128" s="79" t="str">
        <x:v>Benchmark/Watchlist: presença em referência não prova superioridade.</x:v>
      </x:c>
    </x:row>
    <x:row r="129" ht="15" hidden="0" customHeight="1">
      <x:c r="A129" s="79" t="str">
        <x:v>Master of Dark Rites</x:v>
      </x:c>
      <x:c r="B129" s="79"/>
      <x:c r="C129" s="79"/>
      <x:c r="D129" s="79"/>
      <x:c r="E129" s="79" t="str">
        <x:v>Sim</x:v>
      </x:c>
      <x:c r="F129" s="79"/>
      <x:c r="G129" s="79" t="str">
        <x:v>Benchmark/Watchlist: presença em referência não prova superioridade.</x:v>
      </x:c>
    </x:row>
    <x:row r="130" ht="15" hidden="0" customHeight="1">
      <x:c r="A130" s="79" t="str">
        <x:v>Mavren Fein, Dusk Apostle</x:v>
      </x:c>
      <x:c r="B130" s="79" t="str">
        <x:v>Sim</x:v>
      </x:c>
      <x:c r="C130" s="79"/>
      <x:c r="D130" s="79" t="str">
        <x:v>Sim</x:v>
      </x:c>
      <x:c r="E130" s="79"/>
      <x:c r="F130" s="79"/>
      <x:c r="G130" s="79" t="str">
        <x:v>Corte proposto; consultar Upgrade Matrix para ganho e custo de oportunidade.</x:v>
      </x:c>
    </x:row>
    <x:row r="131" ht="15" hidden="0" customHeight="1">
      <x:c r="A131" s="79" t="str">
        <x:v>Mercadia's Downfall</x:v>
      </x:c>
      <x:c r="B131" s="79"/>
      <x:c r="C131" s="79"/>
      <x:c r="D131" s="79" t="str">
        <x:v>Sim</x:v>
      </x:c>
      <x:c r="E131" s="79"/>
      <x:c r="F131" s="79"/>
      <x:c r="G131" s="79" t="str">
        <x:v>Benchmark/Watchlist: presença em referência não prova superioridade.</x:v>
      </x:c>
    </x:row>
    <x:row r="132" ht="15" hidden="0" customHeight="1">
      <x:c r="A132" s="79" t="str">
        <x:v>Merciless Eviction</x:v>
      </x:c>
      <x:c r="B132" s="79"/>
      <x:c r="C132" s="79"/>
      <x:c r="D132" s="79" t="str">
        <x:v>Sim</x:v>
      </x:c>
      <x:c r="E132" s="79"/>
      <x:c r="F132" s="79"/>
      <x:c r="G132" s="79" t="str">
        <x:v>Benchmark/Watchlist: presença em referência não prova superioridade.</x:v>
      </x:c>
    </x:row>
    <x:row r="133" ht="15" hidden="0" customHeight="1">
      <x:c r="A133" s="79" t="str">
        <x:v>Midgar, City of Mako</x:v>
      </x:c>
      <x:c r="B133" s="79"/>
      <x:c r="C133" s="79"/>
      <x:c r="D133" s="79"/>
      <x:c r="E133" s="79" t="str">
        <x:v>Sim</x:v>
      </x:c>
      <x:c r="F133" s="79"/>
      <x:c r="G133" s="79" t="str">
        <x:v>Benchmark/Watchlist: presença em referência não prova superioridade.</x:v>
      </x:c>
    </x:row>
    <x:row r="134" ht="15" hidden="0" customHeight="1">
      <x:c r="A134" s="79" t="str">
        <x:v>Minas Tirith</x:v>
      </x:c>
      <x:c r="B134" s="79"/>
      <x:c r="C134" s="79" t="str">
        <x:v>Sim</x:v>
      </x:c>
      <x:c r="D134" s="79"/>
      <x:c r="E134" s="79" t="str">
        <x:v>Sim</x:v>
      </x:c>
      <x:c r="F134" s="79"/>
      <x:c r="G134" s="79" t="str">
        <x:v>Nova inclusão proposta; ainda não testada.</x:v>
      </x:c>
    </x:row>
    <x:row r="135" ht="15" hidden="0" customHeight="1">
      <x:c r="A135" s="79" t="str">
        <x:v>Minions' Murmurs</x:v>
      </x:c>
      <x:c r="B135" s="79"/>
      <x:c r="C135" s="79"/>
      <x:c r="D135" s="79" t="str">
        <x:v>Sim</x:v>
      </x:c>
      <x:c r="E135" s="79"/>
      <x:c r="F135" s="79"/>
      <x:c r="G135" s="79" t="str">
        <x:v>Benchmark/Watchlist: presença em referência não prova superioridade.</x:v>
      </x:c>
    </x:row>
    <x:row r="136" ht="15" hidden="0" customHeight="1">
      <x:c r="A136" s="79" t="str">
        <x:v>Mirror Entity</x:v>
      </x:c>
      <x:c r="B136" s="79" t="str">
        <x:v>Sim</x:v>
      </x:c>
      <x:c r="C136" s="79" t="str">
        <x:v>Sim</x:v>
      </x:c>
      <x:c r="D136" s="79" t="str">
        <x:v>Sim</x:v>
      </x:c>
      <x:c r="E136" s="79"/>
      <x:c r="F136" s="79"/>
      <x:c r="G136" s="79" t="str">
        <x:v>Retida da CURRENT; função continua relevante na V2.</x:v>
      </x:c>
    </x:row>
    <x:row r="137" ht="15" hidden="0" customHeight="1">
      <x:c r="A137" s="79" t="str">
        <x:v>Morlun, Devourer of Spiders</x:v>
      </x:c>
      <x:c r="B137" s="79"/>
      <x:c r="C137" s="79"/>
      <x:c r="D137" s="79"/>
      <x:c r="E137" s="79"/>
      <x:c r="F137" s="79" t="str">
        <x:v>Sim</x:v>
      </x:c>
      <x:c r="G137" s="79" t="str">
        <x:v>Benchmark/Watchlist: presença em referência não prova superioridade.</x:v>
      </x:c>
    </x:row>
    <x:row r="138" ht="15" hidden="0" customHeight="1">
      <x:c r="A138" s="79" t="str">
        <x:v>Mount Doom</x:v>
      </x:c>
      <x:c r="B138" s="79"/>
      <x:c r="C138" s="79"/>
      <x:c r="D138" s="79"/>
      <x:c r="E138" s="79"/>
      <x:c r="F138" s="79" t="str">
        <x:v>Sim</x:v>
      </x:c>
      <x:c r="G138" s="79" t="str">
        <x:v>Benchmark/Watchlist: presença em referência não prova superioridade.</x:v>
      </x:c>
    </x:row>
    <x:row r="139" ht="15" hidden="0" customHeight="1">
      <x:c r="A139" s="79" t="str">
        <x:v>Mountain</x:v>
      </x:c>
      <x:c r="B139" s="79" t="str">
        <x:v>Sim</x:v>
      </x:c>
      <x:c r="C139" s="79" t="str">
        <x:v>Sim</x:v>
      </x:c>
      <x:c r="D139" s="79" t="str">
        <x:v>Sim</x:v>
      </x:c>
      <x:c r="E139" s="79" t="str">
        <x:v>Sim</x:v>
      </x:c>
      <x:c r="F139" s="79" t="str">
        <x:v>Sim</x:v>
      </x:c>
      <x:c r="G139" s="79" t="str">
        <x:v>Retida da CURRENT; função continua relevante na V2.</x:v>
      </x:c>
    </x:row>
    <x:row r="140" ht="15" hidden="0" customHeight="1">
      <x:c r="A140" s="79" t="str">
        <x:v>Mythos of Snapdax</x:v>
      </x:c>
      <x:c r="B140" s="79"/>
      <x:c r="C140" s="79"/>
      <x:c r="D140" s="79"/>
      <x:c r="E140" s="79"/>
      <x:c r="F140" s="79" t="str">
        <x:v>Sim</x:v>
      </x:c>
      <x:c r="G140" s="79" t="str">
        <x:v>Benchmark/Watchlist: presença em referência não prova superioridade.</x:v>
      </x:c>
    </x:row>
    <x:row r="141" ht="15" hidden="0" customHeight="1">
      <x:c r="A141" s="79" t="str">
        <x:v>Necropotence</x:v>
      </x:c>
      <x:c r="B141" s="79" t="str">
        <x:v>Sim</x:v>
      </x:c>
      <x:c r="C141" s="79" t="str">
        <x:v>Sim</x:v>
      </x:c>
      <x:c r="D141" s="79"/>
      <x:c r="E141" s="79" t="str">
        <x:v>Sim</x:v>
      </x:c>
      <x:c r="F141" s="79" t="str">
        <x:v>Sim</x:v>
      </x:c>
      <x:c r="G141" s="79" t="str">
        <x:v>Retida da CURRENT; função continua relevante na V2.</x:v>
      </x:c>
    </x:row>
    <x:row r="142" ht="15" hidden="0" customHeight="1">
      <x:c r="A142" s="79" t="str">
        <x:v>Needleverge Pathway</x:v>
      </x:c>
      <x:c r="B142" s="79" t="str">
        <x:v>Sim</x:v>
      </x:c>
      <x:c r="C142" s="79" t="str">
        <x:v>Sim</x:v>
      </x:c>
      <x:c r="D142" s="79"/>
      <x:c r="E142" s="79"/>
      <x:c r="F142" s="79"/>
      <x:c r="G142" s="79" t="str">
        <x:v>Retida da CURRENT; função continua relevante na V2.</x:v>
      </x:c>
    </x:row>
    <x:row r="143" ht="15" hidden="0" customHeight="1">
      <x:c r="A143" s="79" t="str">
        <x:v>New Blood</x:v>
      </x:c>
      <x:c r="B143" s="79" t="str">
        <x:v>Sim</x:v>
      </x:c>
      <x:c r="C143" s="79" t="str">
        <x:v>Sim</x:v>
      </x:c>
      <x:c r="D143" s="79" t="str">
        <x:v>Sim</x:v>
      </x:c>
      <x:c r="E143" s="79"/>
      <x:c r="F143" s="79"/>
      <x:c r="G143" s="79" t="str">
        <x:v>Retida da CURRENT; função continua relevante na V2.</x:v>
      </x:c>
    </x:row>
    <x:row r="144" ht="15" hidden="0" customHeight="1">
      <x:c r="A144" s="79" t="str">
        <x:v>Night's Whisper</x:v>
      </x:c>
      <x:c r="B144" s="79"/>
      <x:c r="C144" s="79"/>
      <x:c r="D144" s="79" t="str">
        <x:v>Sim</x:v>
      </x:c>
      <x:c r="E144" s="79" t="str">
        <x:v>Sim</x:v>
      </x:c>
      <x:c r="F144" s="79"/>
      <x:c r="G144" s="79" t="str">
        <x:v>Benchmark/Watchlist: presença em referência não prova superioridade.</x:v>
      </x:c>
    </x:row>
    <x:row r="145" ht="15" hidden="0" customHeight="1">
      <x:c r="A145" s="79" t="str">
        <x:v>Nighthawk Scavenger</x:v>
      </x:c>
      <x:c r="B145" s="79" t="str">
        <x:v>Sim</x:v>
      </x:c>
      <x:c r="C145" s="79" t="str">
        <x:v>Sim</x:v>
      </x:c>
      <x:c r="D145" s="79" t="str">
        <x:v>Sim</x:v>
      </x:c>
      <x:c r="E145" s="79"/>
      <x:c r="F145" s="79"/>
      <x:c r="G145" s="79" t="str">
        <x:v>Retida da CURRENT; função continua relevante na V2.</x:v>
      </x:c>
    </x:row>
    <x:row r="146" ht="15" hidden="0" customHeight="1">
      <x:c r="A146" s="79" t="str">
        <x:v>Nomad Outpost</x:v>
      </x:c>
      <x:c r="B146" s="79" t="str">
        <x:v>Sim</x:v>
      </x:c>
      <x:c r="C146" s="79" t="str">
        <x:v>Sim</x:v>
      </x:c>
      <x:c r="D146" s="79" t="str">
        <x:v>Sim</x:v>
      </x:c>
      <x:c r="E146" s="79"/>
      <x:c r="F146" s="79"/>
      <x:c r="G146" s="79" t="str">
        <x:v>Retida da CURRENT; função continua relevante na V2.</x:v>
      </x:c>
    </x:row>
    <x:row r="147" ht="15" hidden="0" customHeight="1">
      <x:c r="A147" s="79" t="str">
        <x:v>Nullpriest of Oblivion</x:v>
      </x:c>
      <x:c r="B147" s="79"/>
      <x:c r="C147" s="79"/>
      <x:c r="D147" s="79" t="str">
        <x:v>Sim</x:v>
      </x:c>
      <x:c r="E147" s="79"/>
      <x:c r="F147" s="79"/>
      <x:c r="G147" s="79" t="str">
        <x:v>Benchmark/Watchlist: presença em referência não prova superioridade.</x:v>
      </x:c>
    </x:row>
    <x:row r="148" ht="15" hidden="0" customHeight="1">
      <x:c r="A148" s="79" t="str">
        <x:v>Olivia Voldaren</x:v>
      </x:c>
      <x:c r="B148" s="79" t="str">
        <x:v>Sim</x:v>
      </x:c>
      <x:c r="C148" s="79" t="str">
        <x:v>Sim</x:v>
      </x:c>
      <x:c r="D148" s="79" t="str">
        <x:v>Sim</x:v>
      </x:c>
      <x:c r="E148" s="79"/>
      <x:c r="F148" s="79" t="str">
        <x:v>Sim</x:v>
      </x:c>
      <x:c r="G148" s="79" t="str">
        <x:v>Retida da CURRENT; função continua relevante na V2.</x:v>
      </x:c>
    </x:row>
    <x:row r="149" ht="15" hidden="0" customHeight="1">
      <x:c r="A149" s="79" t="str">
        <x:v>Olivia's Wrath</x:v>
      </x:c>
      <x:c r="B149" s="79" t="str">
        <x:v>Sim</x:v>
      </x:c>
      <x:c r="C149" s="79" t="str">
        <x:v>Sim</x:v>
      </x:c>
      <x:c r="D149" s="79"/>
      <x:c r="E149" s="79" t="str">
        <x:v>Sim</x:v>
      </x:c>
      <x:c r="F149" s="79"/>
      <x:c r="G149" s="79" t="str">
        <x:v>Retida da CURRENT; função continua relevante na V2.</x:v>
      </x:c>
    </x:row>
    <x:row r="150" ht="15" hidden="0" customHeight="1">
      <x:c r="A150" s="79" t="str">
        <x:v>Olivia, Crimson Bride</x:v>
      </x:c>
      <x:c r="B150" s="79" t="str">
        <x:v>Sim</x:v>
      </x:c>
      <x:c r="C150" s="79"/>
      <x:c r="D150" s="79"/>
      <x:c r="E150" s="79"/>
      <x:c r="F150" s="79" t="str">
        <x:v>Sim</x:v>
      </x:c>
      <x:c r="G150" s="79" t="str">
        <x:v>Corte proposto; consultar Upgrade Matrix para ganho e custo de oportunidade.</x:v>
      </x:c>
    </x:row>
    <x:row r="151" ht="15" hidden="0" customHeight="1">
      <x:c r="A151" s="79" t="str">
        <x:v>Orzhov Basilica</x:v>
      </x:c>
      <x:c r="B151" s="79"/>
      <x:c r="C151" s="79"/>
      <x:c r="D151" s="79" t="str">
        <x:v>Sim</x:v>
      </x:c>
      <x:c r="E151" s="79"/>
      <x:c r="F151" s="79"/>
      <x:c r="G151" s="79" t="str">
        <x:v>Benchmark/Watchlist: presença em referência não prova superioridade.</x:v>
      </x:c>
    </x:row>
    <x:row r="152" ht="15" hidden="0" customHeight="1">
      <x:c r="A152" s="79" t="str">
        <x:v>Orzhov Signet</x:v>
      </x:c>
      <x:c r="B152" s="79"/>
      <x:c r="C152" s="79"/>
      <x:c r="D152" s="79" t="str">
        <x:v>Sim</x:v>
      </x:c>
      <x:c r="E152" s="79"/>
      <x:c r="F152" s="79"/>
      <x:c r="G152" s="79" t="str">
        <x:v>Benchmark/Watchlist: presença em referência não prova superioridade.</x:v>
      </x:c>
    </x:row>
    <x:row r="153" ht="15" hidden="0" customHeight="1">
      <x:c r="A153" s="79" t="str">
        <x:v>Pact of the Serpent</x:v>
      </x:c>
      <x:c r="B153" s="79" t="str">
        <x:v>Sim</x:v>
      </x:c>
      <x:c r="C153" s="79" t="str">
        <x:v>Sim</x:v>
      </x:c>
      <x:c r="D153" s="79" t="str">
        <x:v>Sim</x:v>
      </x:c>
      <x:c r="E153" s="79"/>
      <x:c r="F153" s="79"/>
      <x:c r="G153" s="79" t="str">
        <x:v>Retida da CURRENT; função continua relevante na V2.</x:v>
      </x:c>
    </x:row>
    <x:row r="154" ht="15" hidden="0" customHeight="1">
      <x:c r="A154" s="79" t="str">
        <x:v>Painful Truths</x:v>
      </x:c>
      <x:c r="B154" s="79"/>
      <x:c r="C154" s="79"/>
      <x:c r="D154" s="79" t="str">
        <x:v>Sim</x:v>
      </x:c>
      <x:c r="E154" s="79"/>
      <x:c r="F154" s="79"/>
      <x:c r="G154" s="79" t="str">
        <x:v>Benchmark/Watchlist: presença em referência não prova superioridade.</x:v>
      </x:c>
    </x:row>
    <x:row r="155" ht="15" hidden="0" customHeight="1">
      <x:c r="A155" s="79" t="str">
        <x:v>Path of Ancestry</x:v>
      </x:c>
      <x:c r="B155" s="79" t="str">
        <x:v>Sim</x:v>
      </x:c>
      <x:c r="C155" s="79" t="str">
        <x:v>Sim</x:v>
      </x:c>
      <x:c r="D155" s="79" t="str">
        <x:v>Sim</x:v>
      </x:c>
      <x:c r="E155" s="79"/>
      <x:c r="F155" s="79" t="str">
        <x:v>Sim</x:v>
      </x:c>
      <x:c r="G155" s="79" t="str">
        <x:v>Retida da CURRENT; função continua relevante na V2.</x:v>
      </x:c>
    </x:row>
    <x:row r="156" ht="15" hidden="0" customHeight="1">
      <x:c r="A156" s="79" t="str">
        <x:v>Path to Exile</x:v>
      </x:c>
      <x:c r="B156" s="79"/>
      <x:c r="C156" s="79"/>
      <x:c r="D156" s="79" t="str">
        <x:v>Sim</x:v>
      </x:c>
      <x:c r="E156" s="79" t="str">
        <x:v>Sim</x:v>
      </x:c>
      <x:c r="F156" s="79"/>
      <x:c r="G156" s="79" t="str">
        <x:v>Benchmark/Watchlist: presença em referência não prova superioridade.</x:v>
      </x:c>
    </x:row>
    <x:row r="157" ht="15" hidden="0" customHeight="1">
      <x:c r="A157" s="79" t="str">
        <x:v>Patriarch's Bidding</x:v>
      </x:c>
      <x:c r="B157" s="79"/>
      <x:c r="C157" s="79"/>
      <x:c r="D157" s="79"/>
      <x:c r="E157" s="79"/>
      <x:c r="F157" s="79"/>
      <x:c r="G157" s="79" t="str">
        <x:v>Watchlist / benchmark; não é inclusão automática.</x:v>
      </x:c>
    </x:row>
    <x:row r="158" ht="15" hidden="0" customHeight="1">
      <x:c r="A158" s="79" t="str">
        <x:v>Patron of the Vein</x:v>
      </x:c>
      <x:c r="B158" s="79"/>
      <x:c r="C158" s="79"/>
      <x:c r="D158" s="79" t="str">
        <x:v>Sim</x:v>
      </x:c>
      <x:c r="E158" s="79"/>
      <x:c r="F158" s="79"/>
      <x:c r="G158" s="79" t="str">
        <x:v>Benchmark/Watchlist: presença em referência não prova superioridade.</x:v>
      </x:c>
    </x:row>
    <x:row r="159" ht="15" hidden="0" customHeight="1">
      <x:c r="A159" s="79" t="str">
        <x:v>Phyrexian Arena</x:v>
      </x:c>
      <x:c r="B159" s="79"/>
      <x:c r="C159" s="79"/>
      <x:c r="D159" s="79" t="str">
        <x:v>Sim</x:v>
      </x:c>
      <x:c r="E159" s="79"/>
      <x:c r="F159" s="79"/>
      <x:c r="G159" s="79" t="str">
        <x:v>Benchmark/Watchlist: presença em referência não prova superioridade.</x:v>
      </x:c>
    </x:row>
    <x:row r="160" ht="15" hidden="0" customHeight="1">
      <x:c r="A160" s="79" t="str">
        <x:v>Phyrexian Tower</x:v>
      </x:c>
      <x:c r="B160" s="79"/>
      <x:c r="C160" s="79" t="str">
        <x:v>Sim</x:v>
      </x:c>
      <x:c r="D160" s="79"/>
      <x:c r="E160" s="79"/>
      <x:c r="F160" s="79" t="str">
        <x:v>Sim</x:v>
      </x:c>
      <x:c r="G160" s="79" t="str">
        <x:v>Nova inclusão proposta; ainda não testada.</x:v>
      </x:c>
    </x:row>
    <x:row r="161" ht="15" hidden="0" customHeight="1">
      <x:c r="A161" s="79" t="str">
        <x:v>Plains</x:v>
      </x:c>
      <x:c r="B161" s="79" t="str">
        <x:v>Sim</x:v>
      </x:c>
      <x:c r="C161" s="79" t="str">
        <x:v>Sim</x:v>
      </x:c>
      <x:c r="D161" s="79" t="str">
        <x:v>Sim</x:v>
      </x:c>
      <x:c r="E161" s="79" t="str">
        <x:v>Sim</x:v>
      </x:c>
      <x:c r="F161" s="79" t="str">
        <x:v>Sim</x:v>
      </x:c>
      <x:c r="G161" s="79" t="str">
        <x:v>Retida da CURRENT; função continua relevante na V2.</x:v>
      </x:c>
    </x:row>
    <x:row r="162" ht="15" hidden="0" customHeight="1">
      <x:c r="A162" s="79" t="str">
        <x:v>Preacher of the Schism</x:v>
      </x:c>
      <x:c r="B162" s="79" t="str">
        <x:v>Sim</x:v>
      </x:c>
      <x:c r="C162" s="79" t="str">
        <x:v>Sim</x:v>
      </x:c>
      <x:c r="D162" s="79"/>
      <x:c r="E162" s="79" t="str">
        <x:v>Sim</x:v>
      </x:c>
      <x:c r="F162" s="79" t="str">
        <x:v>Sim</x:v>
      </x:c>
      <x:c r="G162" s="79" t="str">
        <x:v>Retida da CURRENT; função continua relevante na V2.</x:v>
      </x:c>
    </x:row>
    <x:row r="163" ht="15" hidden="0" customHeight="1">
      <x:c r="A163" s="79" t="str">
        <x:v>Prismatic Vista</x:v>
      </x:c>
      <x:c r="B163" s="79"/>
      <x:c r="C163" s="79"/>
      <x:c r="D163" s="79"/>
      <x:c r="E163" s="79" t="str">
        <x:v>Sim</x:v>
      </x:c>
      <x:c r="F163" s="79"/>
      <x:c r="G163" s="79" t="str">
        <x:v>Benchmark/Watchlist: presença em referência não prova superioridade.</x:v>
      </x:c>
    </x:row>
    <x:row r="164" ht="15" hidden="0" customHeight="1">
      <x:c r="A164" s="79" t="str">
        <x:v>Qarsi Revenant</x:v>
      </x:c>
      <x:c r="B164" s="79"/>
      <x:c r="C164" s="79"/>
      <x:c r="D164" s="79"/>
      <x:c r="E164" s="79"/>
      <x:c r="F164" s="79" t="str">
        <x:v>Sim</x:v>
      </x:c>
      <x:c r="G164" s="79" t="str">
        <x:v>Benchmark/Watchlist: presença em referência não prova superioridade.</x:v>
      </x:c>
    </x:row>
    <x:row r="165" ht="15" hidden="0" customHeight="1">
      <x:c r="A165" s="79" t="str">
        <x:v>Rakdos Signet</x:v>
      </x:c>
      <x:c r="B165" s="79"/>
      <x:c r="C165" s="79"/>
      <x:c r="D165" s="79" t="str">
        <x:v>Sim</x:v>
      </x:c>
      <x:c r="E165" s="79"/>
      <x:c r="F165" s="79"/>
      <x:c r="G165" s="79" t="str">
        <x:v>Benchmark/Watchlist: presença em referência não prova superioridade.</x:v>
      </x:c>
    </x:row>
    <x:row r="166" ht="15" hidden="0" customHeight="1">
      <x:c r="A166" s="79" t="str">
        <x:v>Rakish Heir</x:v>
      </x:c>
      <x:c r="B166" s="79"/>
      <x:c r="C166" s="79"/>
      <x:c r="D166" s="79" t="str">
        <x:v>Sim</x:v>
      </x:c>
      <x:c r="E166" s="79"/>
      <x:c r="F166" s="79"/>
      <x:c r="G166" s="79" t="str">
        <x:v>Benchmark/Watchlist: presença em referência não prova superioridade.</x:v>
      </x:c>
    </x:row>
    <x:row r="167" ht="15" hidden="0" customHeight="1">
      <x:c r="A167" s="79" t="str">
        <x:v>Read the Bones</x:v>
      </x:c>
      <x:c r="B167" s="79"/>
      <x:c r="C167" s="79"/>
      <x:c r="D167" s="79" t="str">
        <x:v>Sim</x:v>
      </x:c>
      <x:c r="E167" s="79"/>
      <x:c r="F167" s="79"/>
      <x:c r="G167" s="79" t="str">
        <x:v>Benchmark/Watchlist: presença em referência não prova superioridade.</x:v>
      </x:c>
    </x:row>
    <x:row r="168" ht="15" hidden="0" customHeight="1">
      <x:c r="A168" s="79" t="str">
        <x:v>Reflecting Pool</x:v>
      </x:c>
      <x:c r="B168" s="79"/>
      <x:c r="C168" s="79"/>
      <x:c r="D168" s="79"/>
      <x:c r="E168" s="79" t="str">
        <x:v>Sim</x:v>
      </x:c>
      <x:c r="F168" s="79" t="str">
        <x:v>Sim</x:v>
      </x:c>
      <x:c r="G168" s="79" t="str">
        <x:v>Benchmark/Watchlist: presença em referência não prova superioridade.</x:v>
      </x:c>
    </x:row>
    <x:row r="169" ht="15" hidden="0" customHeight="1">
      <x:c r="A169" s="79" t="str">
        <x:v>Rite of Oblivion</x:v>
      </x:c>
      <x:c r="B169" s="79" t="str">
        <x:v>Sim</x:v>
      </x:c>
      <x:c r="C169" s="79" t="str">
        <x:v>Sim</x:v>
      </x:c>
      <x:c r="D169" s="79"/>
      <x:c r="E169" s="79" t="str">
        <x:v>Sim</x:v>
      </x:c>
      <x:c r="F169" s="79"/>
      <x:c r="G169" s="79" t="str">
        <x:v>Retida da CURRENT; função continua relevante na V2.</x:v>
      </x:c>
    </x:row>
    <x:row r="170" ht="15" hidden="0" customHeight="1">
      <x:c r="A170" s="79" t="str">
        <x:v>Roaming Throne</x:v>
      </x:c>
      <x:c r="B170" s="79" t="str">
        <x:v>Sim</x:v>
      </x:c>
      <x:c r="C170" s="79" t="str">
        <x:v>Sim</x:v>
      </x:c>
      <x:c r="D170" s="79"/>
      <x:c r="E170" s="79"/>
      <x:c r="F170" s="79"/>
      <x:c r="G170" s="79" t="str">
        <x:v>Retida da CURRENT; função continua relevante na V2.</x:v>
      </x:c>
    </x:row>
    <x:row r="171" ht="15" hidden="0" customHeight="1">
      <x:c r="A171" s="79" t="str">
        <x:v>Rugged Prairie</x:v>
      </x:c>
      <x:c r="B171" s="79" t="str">
        <x:v>Sim</x:v>
      </x:c>
      <x:c r="C171" s="79" t="str">
        <x:v>Sim</x:v>
      </x:c>
      <x:c r="D171" s="79"/>
      <x:c r="E171" s="79"/>
      <x:c r="F171" s="79"/>
      <x:c r="G171" s="79" t="str">
        <x:v>Retida da CURRENT; função continua relevante na V2.</x:v>
      </x:c>
    </x:row>
    <x:row r="172" ht="15" hidden="0" customHeight="1">
      <x:c r="A172" s="79" t="str">
        <x:v>Ruinous Ultimatum</x:v>
      </x:c>
      <x:c r="B172" s="79" t="str">
        <x:v>Sim</x:v>
      </x:c>
      <x:c r="C172" s="79" t="str">
        <x:v>Sim</x:v>
      </x:c>
      <x:c r="D172" s="79" t="str">
        <x:v>Sim</x:v>
      </x:c>
      <x:c r="E172" s="79"/>
      <x:c r="F172" s="79" t="str">
        <x:v>Sim</x:v>
      </x:c>
      <x:c r="G172" s="79" t="str">
        <x:v>Retida da CURRENT; função continua relevante na V2.</x:v>
      </x:c>
    </x:row>
    <x:row r="173" ht="15" hidden="0" customHeight="1">
      <x:c r="A173" s="79" t="str">
        <x:v>Ruthless Lawbringer</x:v>
      </x:c>
      <x:c r="B173" s="79" t="str">
        <x:v>Sim</x:v>
      </x:c>
      <x:c r="C173" s="79" t="str">
        <x:v>Sim</x:v>
      </x:c>
      <x:c r="D173" s="79"/>
      <x:c r="E173" s="79" t="str">
        <x:v>Sim</x:v>
      </x:c>
      <x:c r="F173" s="79"/>
      <x:c r="G173" s="79" t="str">
        <x:v>Retida da CURRENT; função continua relevante na V2.</x:v>
      </x:c>
    </x:row>
    <x:row r="174" ht="15" hidden="0" customHeight="1">
      <x:c r="A174" s="79" t="str">
        <x:v>Sacred Foundry</x:v>
      </x:c>
      <x:c r="B174" s="79"/>
      <x:c r="C174" s="79" t="str">
        <x:v>Sim</x:v>
      </x:c>
      <x:c r="D174" s="79" t="str">
        <x:v>Sim</x:v>
      </x:c>
      <x:c r="E174" s="79" t="str">
        <x:v>Sim</x:v>
      </x:c>
      <x:c r="F174" s="79" t="str">
        <x:v>Sim</x:v>
      </x:c>
      <x:c r="G174" s="79" t="str">
        <x:v>Nova inclusão proposta; ainda não testada.</x:v>
      </x:c>
    </x:row>
    <x:row r="175" ht="15" hidden="0" customHeight="1">
      <x:c r="A175" s="79" t="str">
        <x:v>Sanctum Seeker</x:v>
      </x:c>
      <x:c r="B175" s="79"/>
      <x:c r="C175" s="79"/>
      <x:c r="D175" s="79" t="str">
        <x:v>Sim</x:v>
      </x:c>
      <x:c r="E175" s="79" t="str">
        <x:v>Sim</x:v>
      </x:c>
      <x:c r="F175" s="79" t="str">
        <x:v>Sim</x:v>
      </x:c>
      <x:c r="G175" s="79" t="str">
        <x:v>Benchmark/Watchlist: presença em referência não prova superioridade.</x:v>
      </x:c>
    </x:row>
    <x:row r="176" ht="15" hidden="0" customHeight="1">
      <x:c r="A176" s="79" t="str">
        <x:v>Savai Triome</x:v>
      </x:c>
      <x:c r="B176" s="79" t="str">
        <x:v>Sim</x:v>
      </x:c>
      <x:c r="C176" s="79" t="str">
        <x:v>Sim</x:v>
      </x:c>
      <x:c r="D176" s="79" t="str">
        <x:v>Sim</x:v>
      </x:c>
      <x:c r="E176" s="79" t="str">
        <x:v>Sim</x:v>
      </x:c>
      <x:c r="F176" s="79" t="str">
        <x:v>Sim</x:v>
      </x:c>
      <x:c r="G176" s="79" t="str">
        <x:v>Retida da CURRENT; função continua relevante na V2.</x:v>
      </x:c>
    </x:row>
    <x:row r="177" ht="15" hidden="0" customHeight="1">
      <x:c r="A177" s="79" t="str">
        <x:v>Secluded Courtyard</x:v>
      </x:c>
      <x:c r="B177" s="79" t="str">
        <x:v>Sim</x:v>
      </x:c>
      <x:c r="C177" s="79" t="str">
        <x:v>Sim</x:v>
      </x:c>
      <x:c r="D177" s="79"/>
      <x:c r="E177" s="79"/>
      <x:c r="F177" s="79"/>
      <x:c r="G177" s="79" t="str">
        <x:v>Retida da CURRENT; função continua relevante na V2.</x:v>
      </x:c>
    </x:row>
    <x:row r="178" ht="15" hidden="0" customHeight="1">
      <x:c r="A178" s="79" t="str">
        <x:v>Shadow Alley Denizen</x:v>
      </x:c>
      <x:c r="B178" s="79"/>
      <x:c r="C178" s="79"/>
      <x:c r="D178" s="79" t="str">
        <x:v>Sim</x:v>
      </x:c>
      <x:c r="E178" s="79" t="str">
        <x:v>Sim</x:v>
      </x:c>
      <x:c r="F178" s="79"/>
      <x:c r="G178" s="79" t="str">
        <x:v>Benchmark/Watchlist: presença em referência não prova superioridade.</x:v>
      </x:c>
    </x:row>
    <x:row r="179" ht="15" hidden="0" customHeight="1">
      <x:c r="A179" s="79" t="str">
        <x:v>Shared Animosity</x:v>
      </x:c>
      <x:c r="B179" s="79" t="str">
        <x:v>Sim</x:v>
      </x:c>
      <x:c r="C179" s="79" t="str">
        <x:v>Sim</x:v>
      </x:c>
      <x:c r="D179" s="79" t="str">
        <x:v>Sim</x:v>
      </x:c>
      <x:c r="E179" s="79" t="str">
        <x:v>Sim</x:v>
      </x:c>
      <x:c r="F179" s="79" t="str">
        <x:v>Sim</x:v>
      </x:c>
      <x:c r="G179" s="79" t="str">
        <x:v>Retida da CURRENT; função continua relevante na V2.</x:v>
      </x:c>
    </x:row>
    <x:row r="180" ht="15" hidden="0" customHeight="1">
      <x:c r="A180" s="79" t="str">
        <x:v>Shattered Landscape</x:v>
      </x:c>
      <x:c r="B180" s="79" t="str">
        <x:v>Sim</x:v>
      </x:c>
      <x:c r="C180" s="79" t="str">
        <x:v>Sim</x:v>
      </x:c>
      <x:c r="D180" s="79"/>
      <x:c r="E180" s="79"/>
      <x:c r="F180" s="79"/>
      <x:c r="G180" s="79" t="str">
        <x:v>Retida da CURRENT; função continua relevante na V2.</x:v>
      </x:c>
    </x:row>
    <x:row r="181" ht="15" hidden="0" customHeight="1">
      <x:c r="A181" s="79" t="str">
        <x:v>Shattered Sanctum</x:v>
      </x:c>
      <x:c r="B181" s="79"/>
      <x:c r="C181" s="79"/>
      <x:c r="D181" s="79"/>
      <x:c r="E181" s="79" t="str">
        <x:v>Sim</x:v>
      </x:c>
      <x:c r="F181" s="79" t="str">
        <x:v>Sim</x:v>
      </x:c>
      <x:c r="G181" s="79" t="str">
        <x:v>Benchmark/Watchlist: presença em referência não prova superioridade.</x:v>
      </x:c>
    </x:row>
    <x:row r="182" ht="15" hidden="0" customHeight="1">
      <x:c r="A182" s="79" t="str">
        <x:v>Silent Clearing</x:v>
      </x:c>
      <x:c r="B182" s="79"/>
      <x:c r="C182" s="79"/>
      <x:c r="D182" s="79"/>
      <x:c r="E182" s="79" t="str">
        <x:v>Sim</x:v>
      </x:c>
      <x:c r="F182" s="79" t="str">
        <x:v>Sim</x:v>
      </x:c>
      <x:c r="G182" s="79" t="str">
        <x:v>Benchmark/Watchlist: presença em referência não prova superioridade.</x:v>
      </x:c>
    </x:row>
    <x:row r="183" ht="15" hidden="0" customHeight="1">
      <x:c r="A183" s="79" t="str">
        <x:v>Skullclamp</x:v>
      </x:c>
      <x:c r="B183" s="79" t="str">
        <x:v>Sim</x:v>
      </x:c>
      <x:c r="C183" s="79" t="str">
        <x:v>Sim</x:v>
      </x:c>
      <x:c r="D183" s="79" t="str">
        <x:v>Sim</x:v>
      </x:c>
      <x:c r="E183" s="79" t="str">
        <x:v>Sim</x:v>
      </x:c>
      <x:c r="F183" s="79" t="str">
        <x:v>Sim</x:v>
      </x:c>
      <x:c r="G183" s="79" t="str">
        <x:v>Retida da CURRENT; função continua relevante na V2.</x:v>
      </x:c>
    </x:row>
    <x:row r="184" ht="15" hidden="0" customHeight="1">
      <x:c r="A184" s="79" t="str">
        <x:v>Sol Ring</x:v>
      </x:c>
      <x:c r="B184" s="79"/>
      <x:c r="C184" s="79"/>
      <x:c r="D184" s="79" t="str">
        <x:v>Sim</x:v>
      </x:c>
      <x:c r="E184" s="79" t="str">
        <x:v>Sim</x:v>
      </x:c>
      <x:c r="F184" s="79"/>
      <x:c r="G184" s="79" t="str">
        <x:v>Benchmark/Watchlist: presença em referência não prova superioridade.</x:v>
      </x:c>
    </x:row>
    <x:row r="185" ht="15" hidden="0" customHeight="1">
      <x:c r="A185" s="79" t="str">
        <x:v>Sorin, Imperious Bloodlord</x:v>
      </x:c>
      <x:c r="B185" s="79"/>
      <x:c r="C185" s="79"/>
      <x:c r="D185" s="79"/>
      <x:c r="E185" s="79"/>
      <x:c r="F185" s="79" t="str">
        <x:v>Sim</x:v>
      </x:c>
      <x:c r="G185" s="79" t="str">
        <x:v>Benchmark/Watchlist: presença em referência não prova superioridade.</x:v>
      </x:c>
    </x:row>
    <x:row r="186" ht="15" hidden="0" customHeight="1">
      <x:c r="A186" s="79" t="str">
        <x:v>Spectator Seating</x:v>
      </x:c>
      <x:c r="B186" s="79"/>
      <x:c r="C186" s="79"/>
      <x:c r="D186" s="79" t="str">
        <x:v>Sim</x:v>
      </x:c>
      <x:c r="E186" s="79" t="str">
        <x:v>Sim</x:v>
      </x:c>
      <x:c r="F186" s="79" t="str">
        <x:v>Sim</x:v>
      </x:c>
      <x:c r="G186" s="79" t="str">
        <x:v>Benchmark/Watchlist: presença em referência não prova superioridade.</x:v>
      </x:c>
    </x:row>
    <x:row r="187" ht="15" hidden="0" customHeight="1">
      <x:c r="A187" s="79" t="str">
        <x:v>Stromkirk Captain</x:v>
      </x:c>
      <x:c r="B187" s="79" t="str">
        <x:v>Sim</x:v>
      </x:c>
      <x:c r="C187" s="79" t="str">
        <x:v>Sim</x:v>
      </x:c>
      <x:c r="D187" s="79" t="str">
        <x:v>Sim</x:v>
      </x:c>
      <x:c r="E187" s="79"/>
      <x:c r="F187" s="79" t="str">
        <x:v>Sim</x:v>
      </x:c>
      <x:c r="G187" s="79" t="str">
        <x:v>Retida da CURRENT; função continua relevante na V2.</x:v>
      </x:c>
    </x:row>
    <x:row r="188" ht="15" hidden="0" customHeight="1">
      <x:c r="A188" s="79" t="str">
        <x:v>Sulfurous Springs</x:v>
      </x:c>
      <x:c r="B188" s="79"/>
      <x:c r="C188" s="79"/>
      <x:c r="D188" s="79"/>
      <x:c r="E188" s="79" t="str">
        <x:v>Sim</x:v>
      </x:c>
      <x:c r="F188" s="79"/>
      <x:c r="G188" s="79" t="str">
        <x:v>Benchmark/Watchlist: presença em referência não prova superioridade.</x:v>
      </x:c>
    </x:row>
    <x:row r="189" ht="15" hidden="0" customHeight="1">
      <x:c r="A189" s="79" t="str">
        <x:v>Sunbaked Canyon</x:v>
      </x:c>
      <x:c r="B189" s="79"/>
      <x:c r="C189" s="79"/>
      <x:c r="D189" s="79"/>
      <x:c r="E189" s="79" t="str">
        <x:v>Sim</x:v>
      </x:c>
      <x:c r="F189" s="79" t="str">
        <x:v>Sim</x:v>
      </x:c>
      <x:c r="G189" s="79" t="str">
        <x:v>Benchmark/Watchlist: presença em referência não prova superioridade.</x:v>
      </x:c>
    </x:row>
    <x:row r="190" ht="15" hidden="0" customHeight="1">
      <x:c r="A190" s="79" t="str">
        <x:v>Sunbillow Verge</x:v>
      </x:c>
      <x:c r="B190" s="79"/>
      <x:c r="C190" s="79"/>
      <x:c r="D190" s="79"/>
      <x:c r="E190" s="79" t="str">
        <x:v>Sim</x:v>
      </x:c>
      <x:c r="F190" s="79" t="str">
        <x:v>Sim</x:v>
      </x:c>
      <x:c r="G190" s="79" t="str">
        <x:v>Benchmark/Watchlist: presença em referência não prova superioridade.</x:v>
      </x:c>
    </x:row>
    <x:row r="191" ht="15" hidden="0" customHeight="1">
      <x:c r="A191" s="79" t="str">
        <x:v>Sundering Eruption</x:v>
      </x:c>
      <x:c r="B191" s="79"/>
      <x:c r="C191" s="79"/>
      <x:c r="D191" s="79"/>
      <x:c r="E191" s="79"/>
      <x:c r="F191" s="79" t="str">
        <x:v>Sim</x:v>
      </x:c>
      <x:c r="G191" s="79" t="str">
        <x:v>Benchmark/Watchlist: presença em referência não prova superioridade.</x:v>
      </x:c>
    </x:row>
    <x:row r="192" ht="15" hidden="0" customHeight="1">
      <x:c r="A192" s="79" t="str">
        <x:v>Sundown Pass</x:v>
      </x:c>
      <x:c r="B192" s="79"/>
      <x:c r="C192" s="79"/>
      <x:c r="D192" s="79"/>
      <x:c r="E192" s="79" t="str">
        <x:v>Sim</x:v>
      </x:c>
      <x:c r="F192" s="79" t="str">
        <x:v>Sim</x:v>
      </x:c>
      <x:c r="G192" s="79" t="str">
        <x:v>Benchmark/Watchlist: presença em referência não prova superioridade.</x:v>
      </x:c>
    </x:row>
    <x:row r="193" ht="15" hidden="0" customHeight="1">
      <x:c r="A193" s="79" t="str">
        <x:v>Swamp</x:v>
      </x:c>
      <x:c r="B193" s="79" t="str">
        <x:v>Sim</x:v>
      </x:c>
      <x:c r="C193" s="79" t="str">
        <x:v>Sim</x:v>
      </x:c>
      <x:c r="D193" s="79" t="str">
        <x:v>Sim</x:v>
      </x:c>
      <x:c r="E193" s="79" t="str">
        <x:v>Sim</x:v>
      </x:c>
      <x:c r="F193" s="79" t="str">
        <x:v>Sim</x:v>
      </x:c>
      <x:c r="G193" s="79" t="str">
        <x:v>Retida da CURRENT; função continua relevante na V2.</x:v>
      </x:c>
    </x:row>
    <x:row r="194" ht="15" hidden="0" customHeight="1">
      <x:c r="A194" s="79" t="str">
        <x:v>Swords to Plowshares</x:v>
      </x:c>
      <x:c r="B194" s="79"/>
      <x:c r="C194" s="79"/>
      <x:c r="D194" s="79" t="str">
        <x:v>Sim</x:v>
      </x:c>
      <x:c r="E194" s="79" t="str">
        <x:v>Sim</x:v>
      </x:c>
      <x:c r="F194" s="79" t="str">
        <x:v>Sim</x:v>
      </x:c>
      <x:c r="G194" s="79" t="str">
        <x:v>Benchmark/Watchlist: presença em referência não prova superioridade.</x:v>
      </x:c>
    </x:row>
    <x:row r="195" ht="15" hidden="0" customHeight="1">
      <x:c r="A195" s="79" t="str">
        <x:v>Takenuma, Abandoned Mire</x:v>
      </x:c>
      <x:c r="B195" s="79"/>
      <x:c r="C195" s="79"/>
      <x:c r="D195" s="79"/>
      <x:c r="E195" s="79" t="str">
        <x:v>Sim</x:v>
      </x:c>
      <x:c r="F195" s="79"/>
      <x:c r="G195" s="79" t="str">
        <x:v>Benchmark/Watchlist: presença em referência não prova superioridade.</x:v>
      </x:c>
    </x:row>
    <x:row r="196" ht="15" hidden="0" customHeight="1">
      <x:c r="A196" s="79" t="str">
        <x:v>Taunt from the Rampart</x:v>
      </x:c>
      <x:c r="B196" s="79"/>
      <x:c r="C196" s="79"/>
      <x:c r="D196" s="79"/>
      <x:c r="E196" s="79" t="str">
        <x:v>Sim</x:v>
      </x:c>
      <x:c r="F196" s="79"/>
      <x:c r="G196" s="79" t="str">
        <x:v>Benchmark/Watchlist: presença em referência não prova superioridade.</x:v>
      </x:c>
    </x:row>
    <x:row r="197" ht="15" hidden="0" customHeight="1">
      <x:c r="A197" s="79" t="str">
        <x:v>Teferi's Protection</x:v>
      </x:c>
      <x:c r="B197" s="79" t="str">
        <x:v>Sim</x:v>
      </x:c>
      <x:c r="C197" s="79" t="str">
        <x:v>Sim</x:v>
      </x:c>
      <x:c r="D197" s="79" t="str">
        <x:v>Sim</x:v>
      </x:c>
      <x:c r="E197" s="79"/>
      <x:c r="F197" s="79" t="str">
        <x:v>Sim</x:v>
      </x:c>
      <x:c r="G197" s="79" t="str">
        <x:v>Retida da CURRENT; função continua relevante na V2.</x:v>
      </x:c>
    </x:row>
    <x:row r="198" ht="15" hidden="0" customHeight="1">
      <x:c r="A198" s="79" t="str">
        <x:v>Temple of Malice</x:v>
      </x:c>
      <x:c r="B198" s="79" t="str">
        <x:v>Sim</x:v>
      </x:c>
      <x:c r="C198" s="79"/>
      <x:c r="D198" s="79"/>
      <x:c r="E198" s="79"/>
      <x:c r="F198" s="79"/>
      <x:c r="G198" s="79" t="str">
        <x:v>Corte proposto; consultar Upgrade Matrix para ganho e custo de oportunidade.</x:v>
      </x:c>
    </x:row>
    <x:row r="199" ht="15" hidden="0" customHeight="1">
      <x:c r="A199" s="79" t="str">
        <x:v>Temple of Silence</x:v>
      </x:c>
      <x:c r="B199" s="79" t="str">
        <x:v>Sim</x:v>
      </x:c>
      <x:c r="C199" s="79"/>
      <x:c r="D199" s="79"/>
      <x:c r="E199" s="79"/>
      <x:c r="F199" s="79"/>
      <x:c r="G199" s="79" t="str">
        <x:v>Corte proposto; consultar Upgrade Matrix para ganho e custo de oportunidade.</x:v>
      </x:c>
    </x:row>
    <x:row r="200" ht="15" hidden="0" customHeight="1">
      <x:c r="A200" s="79" t="str">
        <x:v>Temple of Triumph</x:v>
      </x:c>
      <x:c r="B200" s="79" t="str">
        <x:v>Sim</x:v>
      </x:c>
      <x:c r="C200" s="79"/>
      <x:c r="D200" s="79"/>
      <x:c r="E200" s="79"/>
      <x:c r="F200" s="79"/>
      <x:c r="G200" s="79" t="str">
        <x:v>Corte proposto; consultar Upgrade Matrix para ganho e custo de oportunidade.</x:v>
      </x:c>
    </x:row>
    <x:row r="201" ht="15" hidden="0" customHeight="1">
      <x:c r="A201" s="79" t="str">
        <x:v>Temple of the False God</x:v>
      </x:c>
      <x:c r="B201" s="79" t="str">
        <x:v>Sim</x:v>
      </x:c>
      <x:c r="C201" s="79"/>
      <x:c r="D201" s="79"/>
      <x:c r="E201" s="79"/>
      <x:c r="F201" s="79"/>
      <x:c r="G201" s="79" t="str">
        <x:v>Corte proposto; consultar Upgrade Matrix para ganho e custo de oportunidade.</x:v>
      </x:c>
    </x:row>
    <x:row r="202" ht="15" hidden="0" customHeight="1">
      <x:c r="A202" s="79" t="str">
        <x:v>Terramorphic Expanse</x:v>
      </x:c>
      <x:c r="B202" s="79"/>
      <x:c r="C202" s="79"/>
      <x:c r="D202" s="79" t="str">
        <x:v>Sim</x:v>
      </x:c>
      <x:c r="E202" s="79"/>
      <x:c r="F202" s="79"/>
      <x:c r="G202" s="79" t="str">
        <x:v>Benchmark/Watchlist: presença em referência não prova superioridade.</x:v>
      </x:c>
    </x:row>
    <x:row r="203" ht="15" hidden="0" customHeight="1">
      <x:c r="A203" s="79" t="str">
        <x:v>The Meathook Massacre</x:v>
      </x:c>
      <x:c r="B203" s="79"/>
      <x:c r="C203" s="79"/>
      <x:c r="D203" s="79"/>
      <x:c r="E203" s="79"/>
      <x:c r="F203" s="79" t="str">
        <x:v>Sim</x:v>
      </x:c>
      <x:c r="G203" s="79" t="str">
        <x:v>Benchmark/Watchlist: presença em referência não prova superioridade.</x:v>
      </x:c>
    </x:row>
    <x:row r="204" ht="15" hidden="0" customHeight="1">
      <x:c r="A204" s="79" t="str">
        <x:v>The One Ring</x:v>
      </x:c>
      <x:c r="B204" s="79"/>
      <x:c r="C204" s="79"/>
      <x:c r="D204" s="79"/>
      <x:c r="E204" s="79"/>
      <x:c r="F204" s="79" t="str">
        <x:v>Sim</x:v>
      </x:c>
      <x:c r="G204" s="79" t="str">
        <x:v>Benchmark/Watchlist: presença em referência não prova superioridade.</x:v>
      </x:c>
    </x:row>
    <x:row r="205" ht="15" hidden="0" customHeight="1">
      <x:c r="A205" s="79" t="str">
        <x:v>Thirsting Bloodlord</x:v>
      </x:c>
      <x:c r="B205" s="79"/>
      <x:c r="C205" s="79"/>
      <x:c r="D205" s="79" t="str">
        <x:v>Sim</x:v>
      </x:c>
      <x:c r="E205" s="79"/>
      <x:c r="F205" s="79"/>
      <x:c r="G205" s="79" t="str">
        <x:v>Benchmark/Watchlist: presença em referência não prova superioridade.</x:v>
      </x:c>
    </x:row>
    <x:row r="206" ht="15" hidden="0" customHeight="1">
      <x:c r="A206" s="79" t="str">
        <x:v>Three Tree City</x:v>
      </x:c>
      <x:c r="B206" s="79"/>
      <x:c r="C206" s="79" t="str">
        <x:v>Sim</x:v>
      </x:c>
      <x:c r="D206" s="79"/>
      <x:c r="E206" s="79" t="str">
        <x:v>Sim</x:v>
      </x:c>
      <x:c r="F206" s="79" t="str">
        <x:v>Sim</x:v>
      </x:c>
      <x:c r="G206" s="79" t="str">
        <x:v>Nova inclusão proposta; ainda não testada.</x:v>
      </x:c>
    </x:row>
    <x:row r="207" ht="15" hidden="0" customHeight="1">
      <x:c r="A207" s="79" t="str">
        <x:v>Toxic Deluge</x:v>
      </x:c>
      <x:c r="B207" s="79" t="str">
        <x:v>Sim</x:v>
      </x:c>
      <x:c r="C207" s="79" t="str">
        <x:v>Sim</x:v>
      </x:c>
      <x:c r="D207" s="79"/>
      <x:c r="E207" s="79"/>
      <x:c r="F207" s="79" t="str">
        <x:v>Sim</x:v>
      </x:c>
      <x:c r="G207" s="79" t="str">
        <x:v>Retida da CURRENT; função continua relevante na V2.</x:v>
      </x:c>
    </x:row>
    <x:row r="208" ht="15" hidden="0" customHeight="1">
      <x:c r="A208" s="79" t="str">
        <x:v>Twilight Prophet</x:v>
      </x:c>
      <x:c r="B208" s="79"/>
      <x:c r="C208" s="79"/>
      <x:c r="D208" s="79" t="str">
        <x:v>Sim</x:v>
      </x:c>
      <x:c r="E208" s="79" t="str">
        <x:v>Sim</x:v>
      </x:c>
      <x:c r="F208" s="79" t="str">
        <x:v>Sim</x:v>
      </x:c>
      <x:c r="G208" s="79" t="str">
        <x:v>Benchmark/Watchlist: presença em referência não prova superioridade.</x:v>
      </x:c>
    </x:row>
    <x:row r="209" ht="15" hidden="0" customHeight="1">
      <x:c r="A209" s="79" t="str">
        <x:v>Unclaimed Territory</x:v>
      </x:c>
      <x:c r="B209" s="79" t="str">
        <x:v>Sim</x:v>
      </x:c>
      <x:c r="C209" s="79" t="str">
        <x:v>Sim</x:v>
      </x:c>
      <x:c r="D209" s="79" t="str">
        <x:v>Sim</x:v>
      </x:c>
      <x:c r="E209" s="79"/>
      <x:c r="F209" s="79"/>
      <x:c r="G209" s="79" t="str">
        <x:v>Retida da CURRENT; função continua relevante na V2.</x:v>
      </x:c>
    </x:row>
    <x:row r="210" ht="15" hidden="0" customHeight="1">
      <x:c r="A210" s="79" t="str">
        <x:v>Urborg, Tomb of Yawgmoth</x:v>
      </x:c>
      <x:c r="B210" s="79"/>
      <x:c r="C210" s="79"/>
      <x:c r="D210" s="79" t="str">
        <x:v>Sim</x:v>
      </x:c>
      <x:c r="E210" s="79" t="str">
        <x:v>Sim</x:v>
      </x:c>
      <x:c r="F210" s="79" t="str">
        <x:v>Sim</x:v>
      </x:c>
      <x:c r="G210" s="79" t="str">
        <x:v>Benchmark/Watchlist: presença em referência não prova superioridade.</x:v>
      </x:c>
    </x:row>
    <x:row r="211" ht="15" hidden="0" customHeight="1">
      <x:c r="A211" s="79" t="str">
        <x:v>Valgavoth's Lair</x:v>
      </x:c>
      <x:c r="B211" s="79" t="str">
        <x:v>Sim</x:v>
      </x:c>
      <x:c r="C211" s="79" t="str">
        <x:v>Sim</x:v>
      </x:c>
      <x:c r="D211" s="79"/>
      <x:c r="E211" s="79"/>
      <x:c r="F211" s="79"/>
      <x:c r="G211" s="79" t="str">
        <x:v>Retida da CURRENT; função continua relevante na V2.</x:v>
      </x:c>
    </x:row>
    <x:row r="212" ht="15" hidden="0" customHeight="1">
      <x:c r="A212" s="79" t="str">
        <x:v>Vampire Gourmand</x:v>
      </x:c>
      <x:c r="B212" s="79"/>
      <x:c r="C212" s="79"/>
      <x:c r="D212" s="79"/>
      <x:c r="E212" s="79" t="str">
        <x:v>Sim</x:v>
      </x:c>
      <x:c r="F212" s="79" t="str">
        <x:v>Sim</x:v>
      </x:c>
      <x:c r="G212" s="79" t="str">
        <x:v>Benchmark/Watchlist: presença em referência não prova superioridade.</x:v>
      </x:c>
    </x:row>
    <x:row r="213" ht="15" hidden="0" customHeight="1">
      <x:c r="A213" s="79" t="str">
        <x:v>Vampire Nighthawk</x:v>
      </x:c>
      <x:c r="B213" s="79"/>
      <x:c r="C213" s="79"/>
      <x:c r="D213" s="79" t="str">
        <x:v>Sim</x:v>
      </x:c>
      <x:c r="E213" s="79"/>
      <x:c r="F213" s="79"/>
      <x:c r="G213" s="79" t="str">
        <x:v>Benchmark/Watchlist: presença em referência não prova superioridade.</x:v>
      </x:c>
    </x:row>
    <x:row r="214" ht="15" hidden="0" customHeight="1">
      <x:c r="A214" s="79" t="str">
        <x:v>Vampire Nocturnus</x:v>
      </x:c>
      <x:c r="B214" s="79" t="str">
        <x:v>Sim</x:v>
      </x:c>
      <x:c r="C214" s="79"/>
      <x:c r="D214" s="79"/>
      <x:c r="E214" s="79" t="str">
        <x:v>Sim</x:v>
      </x:c>
      <x:c r="F214" s="79" t="str">
        <x:v>Sim</x:v>
      </x:c>
      <x:c r="G214" s="79" t="str">
        <x:v>Corte proposto; consultar Upgrade Matrix para ganho e custo de oportunidade.</x:v>
      </x:c>
    </x:row>
    <x:row r="215" ht="15" hidden="0" customHeight="1">
      <x:c r="A215" s="79" t="str">
        <x:v>Vampire Socialite</x:v>
      </x:c>
      <x:c r="B215" s="79" t="str">
        <x:v>Sim</x:v>
      </x:c>
      <x:c r="C215" s="79"/>
      <x:c r="D215" s="79" t="str">
        <x:v>Sim</x:v>
      </x:c>
      <x:c r="E215" s="79" t="str">
        <x:v>Sim</x:v>
      </x:c>
      <x:c r="F215" s="79"/>
      <x:c r="G215" s="79" t="str">
        <x:v>Corte proposto; consultar Upgrade Matrix para ganho e custo de oportunidade.</x:v>
      </x:c>
    </x:row>
    <x:row r="216" ht="15" hidden="0" customHeight="1">
      <x:c r="A216" s="79" t="str">
        <x:v>Vampire of the Dire Moon</x:v>
      </x:c>
      <x:c r="B216" s="79" t="str">
        <x:v>Sim</x:v>
      </x:c>
      <x:c r="C216" s="79" t="str">
        <x:v>Sim</x:v>
      </x:c>
      <x:c r="D216" s="79" t="str">
        <x:v>Sim</x:v>
      </x:c>
      <x:c r="E216" s="79" t="str">
        <x:v>Sim</x:v>
      </x:c>
      <x:c r="F216" s="79" t="str">
        <x:v>Sim</x:v>
      </x:c>
      <x:c r="G216" s="79" t="str">
        <x:v>Retida da CURRENT; função continua relevante na V2.</x:v>
      </x:c>
    </x:row>
    <x:row r="217" ht="15" hidden="0" customHeight="1">
      <x:c r="A217" s="79" t="str">
        <x:v>Vampiric Tutor</x:v>
      </x:c>
      <x:c r="B217" s="79"/>
      <x:c r="C217" s="79"/>
      <x:c r="D217" s="79"/>
      <x:c r="E217" s="79" t="str">
        <x:v>Sim</x:v>
      </x:c>
      <x:c r="F217" s="79" t="str">
        <x:v>Sim</x:v>
      </x:c>
      <x:c r="G217" s="79" t="str">
        <x:v>Benchmark/Watchlist: presença em referência não prova superioridade.</x:v>
      </x:c>
    </x:row>
    <x:row r="218" ht="15" hidden="0" customHeight="1">
      <x:c r="A218" s="79" t="str">
        <x:v>Vanquisher's Banner</x:v>
      </x:c>
      <x:c r="B218" s="79"/>
      <x:c r="C218" s="79"/>
      <x:c r="D218" s="79" t="str">
        <x:v>Sim</x:v>
      </x:c>
      <x:c r="E218" s="79"/>
      <x:c r="F218" s="79"/>
      <x:c r="G218" s="79" t="str">
        <x:v>Benchmark/Watchlist: presença em referência não prova superioridade.</x:v>
      </x:c>
    </x:row>
    <x:row r="219" ht="15" hidden="0" customHeight="1">
      <x:c r="A219" s="79" t="str">
        <x:v>Vault of Champions</x:v>
      </x:c>
      <x:c r="B219" s="79"/>
      <x:c r="C219" s="79"/>
      <x:c r="D219" s="79" t="str">
        <x:v>Sim</x:v>
      </x:c>
      <x:c r="E219" s="79" t="str">
        <x:v>Sim</x:v>
      </x:c>
      <x:c r="F219" s="79" t="str">
        <x:v>Sim</x:v>
      </x:c>
      <x:c r="G219" s="79" t="str">
        <x:v>Benchmark/Watchlist: presença em referência não prova superioridade.</x:v>
      </x:c>
    </x:row>
    <x:row r="220" ht="15" hidden="0" customHeight="1">
      <x:c r="A220" s="79" t="str">
        <x:v>Vault of the Archangel</x:v>
      </x:c>
      <x:c r="B220" s="79" t="str">
        <x:v>Sim</x:v>
      </x:c>
      <x:c r="C220" s="79" t="str">
        <x:v>Sim</x:v>
      </x:c>
      <x:c r="D220" s="79"/>
      <x:c r="E220" s="79"/>
      <x:c r="F220" s="79"/>
      <x:c r="G220" s="79" t="str">
        <x:v>Retida da CURRENT; função continua relevante na V2.</x:v>
      </x:c>
    </x:row>
    <x:row r="221" ht="15" hidden="0" customHeight="1">
      <x:c r="A221" s="79" t="str">
        <x:v>Vein Ripper</x:v>
      </x:c>
      <x:c r="B221" s="79"/>
      <x:c r="C221" s="79"/>
      <x:c r="D221" s="79"/>
      <x:c r="E221" s="79"/>
      <x:c r="F221" s="79" t="str">
        <x:v>Sim</x:v>
      </x:c>
      <x:c r="G221" s="79" t="str">
        <x:v>Benchmark/Watchlist: presença em referência não prova superioridade.</x:v>
      </x:c>
    </x:row>
    <x:row r="222" ht="15" hidden="0" customHeight="1">
      <x:c r="A222" s="79" t="str">
        <x:v>Vengeful Bloodwitch</x:v>
      </x:c>
      <x:c r="B222" s="79"/>
      <x:c r="C222" s="79"/>
      <x:c r="D222" s="79"/>
      <x:c r="E222" s="79"/>
      <x:c r="F222" s="79"/>
      <x:c r="G222" s="79" t="str">
        <x:v>Watchlist / benchmark; não é inclusão automática.</x:v>
      </x:c>
    </x:row>
    <x:row r="223" ht="15" hidden="0" customHeight="1">
      <x:c r="A223" s="79" t="str">
        <x:v>Virtue of Loyalty</x:v>
      </x:c>
      <x:c r="B223" s="79"/>
      <x:c r="C223" s="79"/>
      <x:c r="D223" s="79"/>
      <x:c r="E223" s="79"/>
      <x:c r="F223" s="79" t="str">
        <x:v>Sim</x:v>
      </x:c>
      <x:c r="G223" s="79" t="str">
        <x:v>Benchmark/Watchlist: presença em referência não prova superioridade.</x:v>
      </x:c>
    </x:row>
    <x:row r="224" ht="15" hidden="0" customHeight="1">
      <x:c r="A224" s="79" t="str">
        <x:v>Viscera Seer</x:v>
      </x:c>
      <x:c r="B224" s="79"/>
      <x:c r="C224" s="79"/>
      <x:c r="D224" s="79" t="str">
        <x:v>Sim</x:v>
      </x:c>
      <x:c r="E224" s="79"/>
      <x:c r="F224" s="79"/>
      <x:c r="G224" s="79" t="str">
        <x:v>Benchmark/Watchlist: presença em referência não prova superioridade.</x:v>
      </x:c>
    </x:row>
    <x:row r="225" ht="15" hidden="0" customHeight="1">
      <x:c r="A225" s="79" t="str">
        <x:v>Vito, Fanatic of Aclazotz</x:v>
      </x:c>
      <x:c r="B225" s="79" t="str">
        <x:v>Sim</x:v>
      </x:c>
      <x:c r="C225" s="79" t="str">
        <x:v>Sim</x:v>
      </x:c>
      <x:c r="D225" s="79"/>
      <x:c r="E225" s="79"/>
      <x:c r="F225" s="79"/>
      <x:c r="G225" s="79" t="str">
        <x:v>Retida da CURRENT; função continua relevante na V2.</x:v>
      </x:c>
    </x:row>
    <x:row r="226" ht="15" hidden="0" customHeight="1">
      <x:c r="A226" s="79" t="str">
        <x:v>Vito, Thorn of the Dusk Rose</x:v>
      </x:c>
      <x:c r="B226" s="79" t="str">
        <x:v>Sim</x:v>
      </x:c>
      <x:c r="C226" s="79" t="str">
        <x:v>Sim</x:v>
      </x:c>
      <x:c r="D226" s="79" t="str">
        <x:v>Sim</x:v>
      </x:c>
      <x:c r="E226" s="79" t="str">
        <x:v>Sim</x:v>
      </x:c>
      <x:c r="F226" s="79" t="str">
        <x:v>Sim</x:v>
      </x:c>
      <x:c r="G226" s="79" t="str">
        <x:v>Retida da CURRENT; função continua relevante na V2.</x:v>
      </x:c>
    </x:row>
    <x:row r="227" ht="15" hidden="0" customHeight="1">
      <x:c r="A227" s="79" t="str">
        <x:v>Voldaren Estate</x:v>
      </x:c>
      <x:c r="B227" s="79" t="str">
        <x:v>Sim</x:v>
      </x:c>
      <x:c r="C227" s="79" t="str">
        <x:v>Sim</x:v>
      </x:c>
      <x:c r="D227" s="79" t="str">
        <x:v>Sim</x:v>
      </x:c>
      <x:c r="E227" s="79"/>
      <x:c r="F227" s="79"/>
      <x:c r="G227" s="79" t="str">
        <x:v>Retida da CURRENT; função continua relevante na V2.</x:v>
      </x:c>
    </x:row>
    <x:row r="228" ht="15" hidden="0" customHeight="1">
      <x:c r="A228" s="79" t="str">
        <x:v>Welcoming Vampire</x:v>
      </x:c>
      <x:c r="B228" s="79" t="str">
        <x:v>Sim</x:v>
      </x:c>
      <x:c r="C228" s="79" t="str">
        <x:v>Sim</x:v>
      </x:c>
      <x:c r="D228" s="79" t="str">
        <x:v>Sim</x:v>
      </x:c>
      <x:c r="E228" s="79" t="str">
        <x:v>Sim</x:v>
      </x:c>
      <x:c r="F228" s="79" t="str">
        <x:v>Sim</x:v>
      </x:c>
      <x:c r="G228" s="79" t="str">
        <x:v>Retida da CURRENT; função continua relevante na V2.</x:v>
      </x:c>
    </x:row>
    <x:row r="229" ht="15" hidden="0" customHeight="1">
      <x:c r="A229" s="79" t="str">
        <x:v>Windbrisk Heights</x:v>
      </x:c>
      <x:c r="B229" s="79" t="str">
        <x:v>Sim</x:v>
      </x:c>
      <x:c r="C229" s="79" t="str">
        <x:v>Sim</x:v>
      </x:c>
      <x:c r="D229" s="79"/>
      <x:c r="E229" s="79"/>
      <x:c r="F229" s="79"/>
      <x:c r="G229" s="79" t="str">
        <x:v>Retida da CURRENT; função continua relevante na V2.</x:v>
      </x:c>
    </x:row>
    <x:row r="230" ht="15" hidden="0" customHeight="1">
      <x:c r="A230" s="79" t="str">
        <x:v>Winds of Abandon</x:v>
      </x:c>
      <x:c r="B230" s="79"/>
      <x:c r="C230" s="79"/>
      <x:c r="D230" s="79"/>
      <x:c r="E230" s="79" t="str">
        <x:v>Sim</x:v>
      </x:c>
      <x:c r="F230" s="79"/>
      <x:c r="G230" s="79" t="str">
        <x:v>Benchmark/Watchlist: presença em referência não prova superioridade.</x:v>
      </x:c>
    </x:row>
    <x:row r="231" ht="15" hidden="0" customHeight="1">
      <x:c r="A231" s="79" t="str">
        <x:v>Yahenni, Undying Partisan</x:v>
      </x:c>
      <x:c r="B231" s="79" t="str">
        <x:v>Sim</x:v>
      </x:c>
      <x:c r="C231" s="79" t="str">
        <x:v>Sim</x:v>
      </x:c>
      <x:c r="D231" s="79" t="str">
        <x:v>Sim</x:v>
      </x:c>
      <x:c r="E231" s="79"/>
      <x:c r="F231" s="79"/>
      <x:c r="G231" s="79" t="str">
        <x:v>Retida da CURRENT; função continua relevante na V2.</x:v>
      </x:c>
    </x:row>
    <x:row r="232" ht="15" hidden="0" customHeight="1">
      <x:c r="A232" s="79" t="str">
        <x:v>Your Temple Is Under Attack</x:v>
      </x:c>
      <x:c r="B232" s="79" t="str">
        <x:v>Sim</x:v>
      </x:c>
      <x:c r="C232" s="79" t="str">
        <x:v>Sim</x:v>
      </x:c>
      <x:c r="D232" s="79"/>
      <x:c r="E232" s="79"/>
      <x:c r="F232" s="79"/>
      <x:c r="G232" s="79" t="str">
        <x:v>Retida da CURRENT; função continua relevante na V2.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19" hidden="0" customWidth="1"/>
    <x:col min="3" max="3" width="18" hidden="0" customWidth="1"/>
    <x:col min="4" max="4" width="33" hidden="0" customWidth="1"/>
    <x:col min="5" max="5" width="54" hidden="0" customWidth="1"/>
    <x:col min="6" max="6" width="54" hidden="0" customWidth="1"/>
    <x:col min="7" max="7" width="55" hidden="0" customWidth="1"/>
  </x:cols>
  <x:sheetData>
    <x:row r="1" ht="30" customHeight="1">
      <x:c r="A1" s="81" t="str">
        <x:v>TIER LIST — ENCAIXE NO EDGAR | TIER ≠ POPULARIDADE</x:v>
      </x:c>
      <x:c r="B1" s="81"/>
      <x:c r="C1" s="81"/>
      <x:c r="D1" s="81"/>
      <x:c r="E1" s="81"/>
      <x:c r="F1" s="81"/>
      <x:c r="G1" s="81"/>
    </x:row>
    <x:row r="2" ht="32" customHeight="1">
      <x:c r="A2" s="83" t="str">
        <x:v>S = peça estrutural excepcional para este plano; A = muito forte/eficiente; B = condicional/contextual; C = corte provável. Watchlist não é inclusão automática.</x:v>
      </x:c>
      <x:c r="B2" s="83"/>
      <x:c r="C2" s="83"/>
      <x:c r="D2" s="83"/>
      <x:c r="E2" s="83"/>
      <x:c r="F2" s="83"/>
      <x:c r="G2" s="83"/>
    </x:row>
    <x:row r="3">
      <x:c r="A3"/>
      <x:c r="B3"/>
      <x:c r="C3"/>
      <x:c r="D3"/>
      <x:c r="E3"/>
      <x:c r="F3"/>
      <x:c r="G3"/>
    </x:row>
    <x:row r="4" ht="28" customHeight="1">
      <x:c r="A4" s="86" t="str">
        <x:v>Carta</x:v>
      </x:c>
      <x:c r="B4" s="86" t="str">
        <x:v>Estado</x:v>
      </x:c>
      <x:c r="C4" s="86" t="str">
        <x:v>Tier de encaixe</x:v>
      </x:c>
      <x:c r="D4" s="86" t="str">
        <x:v>Papel estratégico</x:v>
      </x:c>
      <x:c r="E4" s="86" t="str">
        <x:v>Por que merece atenção</x:v>
      </x:c>
      <x:c r="F4" s="86" t="str">
        <x:v>Melhor argumento contra</x:v>
      </x:c>
      <x:c r="G4" s="86" t="str">
        <x:v>Ação / prioridade</x:v>
      </x:c>
    </x:row>
    <x:row r="5" ht="24" hidden="0" customHeight="1">
      <x:c r="A5" s="79" t="str">
        <x:v>Edgar Markov</x:v>
      </x:c>
      <x:c r="B5" s="79" t="str">
        <x:v>CURRENT</x:v>
      </x:c>
      <x:c r="C5" s="79" t="str">
        <x:v>S</x:v>
      </x:c>
      <x:c r="D5" s="79" t="str">
        <x:v>Motor principal</x:v>
      </x:c>
      <x:c r="E5" s="79" t="str">
        <x:v>Eminência produz um Vampiro 1/1 quando você conjura outro Vampiro; ataque põe marcadores em todos os seus Vampiros.</x:v>
      </x:c>
      <x:c r="F5" s="79" t="str">
        <x:v>Gera ameaça política e tokens não são cartas por si sós.</x:v>
      </x:c>
      <x:c r="G5" s="79" t="str">
        <x:v>Preservar identidade; não mudar.</x:v>
      </x:c>
    </x:row>
    <x:row r="6" ht="24" hidden="0" customHeight="1">
      <x:c r="A6" s="79" t="str">
        <x:v>Skullclamp</x:v>
      </x:c>
      <x:c r="B6" s="79" t="str">
        <x:v>CURRENT</x:v>
      </x:c>
      <x:c r="C6" s="79" t="str">
        <x:v>S</x:v>
      </x:c>
      <x:c r="D6" s="79" t="str">
        <x:v>Compra com tokens</x:v>
      </x:c>
      <x:c r="E6" s="79" t="str">
        <x:v>Fichas de Eminência 1/1 podem virar duas cartas por equipar e morrer por resistência 0.</x:v>
      </x:c>
      <x:c r="F6" s="79" t="str">
        <x:v>Depende de corpos e pode chamar atenção.</x:v>
      </x:c>
      <x:c r="G6" s="79" t="str">
        <x:v>Manter; medir cartas líquidas por jogo.</x:v>
      </x:c>
    </x:row>
    <x:row r="7" ht="15" hidden="0" customHeight="1">
      <x:c r="A7" s="79" t="str">
        <x:v>Necropotence</x:v>
      </x:c>
      <x:c r="B7" s="79" t="str">
        <x:v>CURRENT</x:v>
      </x:c>
      <x:c r="C7" s="79" t="str">
        <x:v>S</x:v>
      </x:c>
      <x:c r="D7" s="79" t="str">
        <x:v>Motor de cartas independente da mesa</x:v>
      </x:c>
      <x:c r="E7" s="79" t="str">
        <x:v>Pode reconstruir a mão sem precisar de criatura no campo.</x:v>
      </x:c>
      <x:c r="F7" s="79" t="str">
        <x:v>Paga vida, não compra no sentido normal e amplia ameaça percebida.</x:v>
      </x:c>
      <x:c r="G7" s="79" t="str">
        <x:v>Manter; medir vida e cards realmente usados.</x:v>
      </x:c>
    </x:row>
    <x:row r="8" ht="24" hidden="0" customHeight="1">
      <x:c r="A8" s="79" t="str">
        <x:v>Bolas's Citadel</x:v>
      </x:c>
      <x:c r="B8" s="79" t="str">
        <x:v>CURRENT</x:v>
      </x:c>
      <x:c r="C8" s="79" t="str">
        <x:v>S</x:v>
      </x:c>
      <x:c r="D8" s="79" t="str">
        <x:v>Recursos e explosão de fim de jogo</x:v>
      </x:c>
      <x:c r="E8" s="79" t="str">
        <x:v>Converte topo do deck em mágicas e tem potencial de turno explosivo.</x:v>
      </x:c>
      <x:c r="F8" s="79" t="str">
        <x:v>Se a vida/topo/mesa não permitirem, pode ficar cara; divide função com outros motores.</x:v>
      </x:c>
      <x:c r="G8" s="79" t="str">
        <x:v>Manter por ora; observar se o custo vital sobrecarrega.</x:v>
      </x:c>
    </x:row>
    <x:row r="9" ht="15" hidden="0" customHeight="1">
      <x:c r="A9" s="79" t="str">
        <x:v>Anointed Procession</x:v>
      </x:c>
      <x:c r="B9" s="79" t="str">
        <x:v>CURRENT</x:v>
      </x:c>
      <x:c r="C9" s="79" t="str">
        <x:v>S</x:v>
      </x:c>
      <x:c r="D9" s="79" t="str">
        <x:v>Multiplicador de fichas</x:v>
      </x:c>
      <x:c r="E9" s="79" t="str">
        <x:v>Dobra fichas de Eminência e de geradores de token.</x:v>
      </x:c>
      <x:c r="F9" s="79" t="str">
        <x:v>Quatro manas e fraca sem geradores; é sinergia, não recarga.</x:v>
      </x:c>
      <x:c r="G9" s="79" t="str">
        <x:v>Manter como peça estrutural.</x:v>
      </x:c>
    </x:row>
    <x:row r="10" ht="15" hidden="0" customHeight="1">
      <x:c r="A10" s="79" t="str">
        <x:v>Shared Animosity</x:v>
      </x:c>
      <x:c r="B10" s="79" t="str">
        <x:v>CURRENT</x:v>
      </x:c>
      <x:c r="C10" s="79" t="str">
        <x:v>S</x:v>
      </x:c>
      <x:c r="D10" s="79" t="str">
        <x:v>Fechamento de combate</x:v>
      </x:c>
      <x:c r="E10" s="79" t="str">
        <x:v>Converte largura tribal em dano letal muito rapidamente.</x:v>
      </x:c>
      <x:c r="F10" s="79" t="str">
        <x:v>Não estabiliza uma mesa vazia.</x:v>
      </x:c>
      <x:c r="G10" s="79" t="str">
        <x:v>Manter como um dos fechamentos centrais.</x:v>
      </x:c>
    </x:row>
    <x:row r="11" ht="24" hidden="0" customHeight="1">
      <x:c r="A11" s="79" t="str">
        <x:v>Vito + Bloodthirsty Conqueror</x:v>
      </x:c>
      <x:c r="B11" s="79" t="str">
        <x:v>CURRENT</x:v>
      </x:c>
      <x:c r="C11" s="79" t="str">
        <x:v>S</x:v>
      </x:c>
      <x:c r="D11" s="79" t="str">
        <x:v>Combo secundário confirmado</x:v>
      </x:c>
      <x:c r="E11" s="79" t="str">
        <x:v>Drenagem/ganho de vida pode gerar loop de perda/ganho repetido e matar oponentes.</x:v>
      </x:c>
      <x:c r="F11" s="79" t="str">
        <x:v>A mesa pode passar a priorizar remoção preventiva contra as peças.</x:v>
      </x:c>
      <x:c r="G11" s="79" t="str">
        <x:v>Manter por escolha do usuário; plano de contingência.</x:v>
      </x:c>
    </x:row>
    <x:row r="12" ht="15" hidden="0" customHeight="1">
      <x:c r="A12" s="79" t="str">
        <x:v>Welcoming Vampire</x:v>
      </x:c>
      <x:c r="B12" s="79" t="str">
        <x:v>CURRENT</x:v>
      </x:c>
      <x:c r="C12" s="79" t="str">
        <x:v>A</x:v>
      </x:c>
      <x:c r="D12" s="79" t="str">
        <x:v>Compra recorrente por fichas pequenas</x:v>
      </x:c>
      <x:c r="E12" s="79" t="str">
        <x:v>Fichas 1/1 entram com frequência; draw uma vez por turno.</x:v>
      </x:c>
      <x:c r="F12" s="79" t="str">
        <x:v>Limitado a uma vez por turno e depende da entrada de criaturas pequenas.</x:v>
      </x:c>
      <x:c r="G12" s="79" t="str">
        <x:v>Manter e contar triggers por jogo.</x:v>
      </x:c>
    </x:row>
    <x:row r="13" ht="24" hidden="0" customHeight="1">
      <x:c r="A13" s="79" t="str">
        <x:v>Baron Bertram Graywater</x:v>
      </x:c>
      <x:c r="B13" s="79" t="str">
        <x:v>CURRENT</x:v>
      </x:c>
      <x:c r="C13" s="79" t="str">
        <x:v>A</x:v>
      </x:c>
      <x:c r="D13" s="79" t="str">
        <x:v>Tokens + sac outlet + compra</x:v>
      </x:c>
      <x:c r="E13" s="79" t="str">
        <x:v>Gera fichas em turnos com entrada de tokens e pode converter criatura/artefato em compra.</x:v>
      </x:c>
      <x:c r="F13" s="79" t="str">
        <x:v>Custa quatro; seu trigger não vê a ficha que a Eminência cria antes de Baron entrar.</x:v>
      </x:c>
      <x:c r="G13" s="79" t="str">
        <x:v>Manter como motor multi-função.</x:v>
      </x:c>
    </x:row>
    <x:row r="14" ht="24" hidden="0" customHeight="1">
      <x:c r="A14" s="79" t="str">
        <x:v>Dusk Legion Sergeant</x:v>
      </x:c>
      <x:c r="B14" s="79" t="str">
        <x:v>CURRENT</x:v>
      </x:c>
      <x:c r="C14" s="79" t="str">
        <x:v>A</x:v>
      </x:c>
      <x:c r="D14" s="79" t="str">
        <x:v>Resiliência específica</x:v>
      </x:c>
      <x:c r="E14" s="79" t="str">
        <x:v>Persistência temporária para Vampiros não-ficha quando ativado antes de destruição.</x:v>
      </x:c>
      <x:c r="F14" s="79" t="str">
        <x:v>Não protege de exílio, bounce ou -X/-X; custa mana e sacrifício.</x:v>
      </x:c>
      <x:c r="G14" s="79" t="str">
        <x:v>Manter; testar contra wipes destrutivos.</x:v>
      </x:c>
    </x:row>
    <x:row r="15" ht="24" hidden="0" customHeight="1">
      <x:c r="A15" s="79" t="str">
        <x:v>Descendants' Fury</x:v>
      </x:c>
      <x:c r="B15" s="79" t="str">
        <x:v>CURRENT</x:v>
      </x:c>
      <x:c r="C15" s="79" t="str">
        <x:v>A</x:v>
      </x:c>
      <x:c r="D15" s="79" t="str">
        <x:v>Seleção/tutor por dano de combate</x:v>
      </x:c>
      <x:c r="E15" s="79" t="str">
        <x:v>Troca dano de combate por acesso a criatura de tipo compartilhado, com escolha e timing.</x:v>
      </x:c>
      <x:c r="F15" s="79" t="str">
        <x:v>Requer atacante causar dano e sacrifício de atacante; não é tutor incondicional.</x:v>
      </x:c>
      <x:c r="G15" s="79" t="str">
        <x:v>Manter como opção não convencional; rastrear targets.</x:v>
      </x:c>
    </x:row>
    <x:row r="16" ht="24" hidden="0" customHeight="1">
      <x:c r="A16" s="79" t="str">
        <x:v>Champion of Dusk</x:v>
      </x:c>
      <x:c r="B16" s="79" t="str">
        <x:v>PROPOSED V2</x:v>
      </x:c>
      <x:c r="C16" s="79" t="str">
        <x:v>A</x:v>
      </x:c>
      <x:c r="D16" s="79" t="str">
        <x:v>Refill por ETB</x:v>
      </x:c>
      <x:c r="E16" s="79" t="str">
        <x:v>Compra X cartas conforme o número de Vampiros controlados; Eminência facilita uma mesa larga.</x:v>
      </x:c>
      <x:c r="F16" s="79" t="str">
        <x:v>Compra pouco quando o campo foi limpo e pode custar vida significativa.</x:v>
      </x:c>
      <x:c r="G16" s="79" t="str">
        <x:v>Onda 1; comparar com Bloodlord of Vaasgoth.</x:v>
      </x:c>
    </x:row>
    <x:row r="17" ht="24" hidden="0" customHeight="1">
      <x:c r="A17" s="79" t="str">
        <x:v>Black Market Connections</x:v>
      </x:c>
      <x:c r="B17" s="79" t="str">
        <x:v>PROPOSED V2</x:v>
      </x:c>
      <x:c r="C17" s="79" t="str">
        <x:v>S</x:v>
      </x:c>
      <x:c r="D17" s="79" t="str">
        <x:v>Compra + corpo + Tesouro opcionais</x:v>
      </x:c>
      <x:c r="E17" s="79" t="str">
        <x:v>No início da primeira fase principal, permite escolher os modos de carta, ficha changeling e/ou Tesouro.</x:v>
      </x:c>
      <x:c r="F17" s="79" t="str">
        <x:v>Até 6 vidas se escolher os três modos; atenção a Necropotence/Citadel e ao foco político.</x:v>
      </x:c>
      <x:c r="G17" s="79" t="str">
        <x:v>Onda 1; escolher modos seletivamente e registrar retorno.</x:v>
      </x:c>
    </x:row>
    <x:row r="18" ht="24" hidden="0" customHeight="1">
      <x:c r="A18" s="79" t="str">
        <x:v>Plumb the Forbidden</x:v>
      </x:c>
      <x:c r="B18" s="79" t="str">
        <x:v>PROPOSED V2</x:v>
      </x:c>
      <x:c r="C18" s="79" t="str">
        <x:v>S</x:v>
      </x:c>
      <x:c r="D18" s="79" t="str">
        <x:v>Compra em resposta a wipe</x:v>
      </x:c>
      <x:c r="E18" s="79" t="str">
        <x:v>Sacrifica criaturas como custo, copia-se por cada uma e compra uma carta por resolução; converte tokens ameaçados em cartas.</x:v>
      </x:c>
      <x:c r="F18" s="79" t="str">
        <x:v>Não salva corpos; card advantage depende de haver criaturas sacrificáveis e de pagar vida.</x:v>
      </x:c>
      <x:c r="G18" s="79" t="str">
        <x:v>Onda 1; testar em resposta a remoções reais.</x:v>
      </x:c>
    </x:row>
    <x:row r="19" ht="24" hidden="0" customHeight="1">
      <x:c r="A19" s="79" t="str">
        <x:v>Bloodletter of Aclazotz</x:v>
      </x:c>
      <x:c r="B19" s="79" t="str">
        <x:v>PROPOSED V2</x:v>
      </x:c>
      <x:c r="C19" s="79" t="str">
        <x:v>S</x:v>
      </x:c>
      <x:c r="D19" s="79" t="str">
        <x:v>Amplificador de drenagem/fechamento</x:v>
      </x:c>
      <x:c r="E19" s="79" t="str">
        <x:v>Dobra a perda de vida que oponentes sofreriam durante seu turno; reforça ataques, drains e o combo como plano B.</x:v>
      </x:c>
      <x:c r="F19" s="79" t="str">
        <x:v>{B}{B}{B}, ameaça elevada; dobra life loss, não dano em geral.</x:v>
      </x:c>
      <x:c r="G19" s="79" t="str">
        <x:v>Onda 1; observar se muda clocks ou só atrai remoção.</x:v>
      </x:c>
    </x:row>
    <x:row r="20" ht="24" hidden="0" customHeight="1">
      <x:c r="A20" s="79" t="str">
        <x:v>Bloodline Recollector</x:v>
      </x:c>
      <x:c r="B20" s="79" t="str">
        <x:v>PROPOSED V2</x:v>
      </x:c>
      <x:c r="C20" s="79" t="str">
        <x:v>A-</x:v>
      </x:c>
      <x:c r="D20" s="79" t="str">
        <x:v>Draw temático condicional</x:v>
      </x:c>
      <x:c r="E20" s="79" t="str">
        <x:v>Vampiro de 2 manas que prepara Ancestral Craving após 3+ mortes no turno.</x:v>
      </x:c>
      <x:c r="F20" s="79" t="str">
        <x:v>Precisa sobreviver ao início da etapa final; o gatilho não é garantido em toda wipe.</x:v>
      </x:c>
      <x:c r="G20" s="79" t="str">
        <x:v>Onda 2; contar ativações reais e quantas cartas converte.</x:v>
      </x:c>
    </x:row>
    <x:row r="21" ht="24" hidden="0" customHeight="1">
      <x:c r="A21" s="79" t="str">
        <x:v>Scheming Silvertongue</x:v>
      </x:c>
      <x:c r="B21" s="79" t="str">
        <x:v>PROPOSED V2</x:v>
      </x:c>
      <x:c r="C21" s="79" t="str">
        <x:v>A-</x:v>
      </x:c>
      <x:c r="D21" s="79" t="str">
        <x:v>Draw temático condicional</x:v>
      </x:c>
      <x:c r="E21" s="79" t="str">
        <x:v>Vampiro 2 manas com voar/vínculo com a vida que prepara Sign in Blood se ganhou 2+ vidas antes da segunda fase principal.</x:v>
      </x:c>
      <x:c r="F21" s="79" t="str">
        <x:v>Ganho de 1 vida via lifelink não basta sozinho; não pode ganhar a vida depois que a fase começou e ainda ativar o gatilho.</x:v>
      </x:c>
      <x:c r="G21" s="79" t="str">
        <x:v>Onda 2; medir gatilhos por partida.</x:v>
      </x:c>
    </x:row>
    <x:row r="22" ht="24" hidden="0" customHeight="1">
      <x:c r="A22" s="79" t="str">
        <x:v>Crossway Troublemakers</x:v>
      </x:c>
      <x:c r="B22" s="79" t="str">
        <x:v>PROPOSED V2</x:v>
      </x:c>
      <x:c r="C22" s="79" t="str">
        <x:v>A+</x:v>
      </x:c>
      <x:c r="D22" s="79" t="str">
        <x:v>Draw em mortes + combate resiliente</x:v>
      </x:c>
      <x:c r="E22" s="79" t="str">
        <x:v>Seus Vampiros atacantes têm toque mortífero/vínculo com a vida; cada Vampiro que morre permite pagar 2 vidas e comprar.</x:v>
      </x:c>
      <x:c r="F22" s="79" t="str">
        <x:v>Seis manas e a compra consome vida; pode competir com Olivia's Crimson Bride em recursão.</x:v>
      </x:c>
      <x:c r="G22" s="79" t="str">
        <x:v>Onda 2; testar especificamente contra wipes.</x:v>
      </x:c>
    </x:row>
    <x:row r="23" ht="24" hidden="0" customHeight="1">
      <x:c r="A23" s="79" t="str">
        <x:v>Bloodline Bidding</x:v>
      </x:c>
      <x:c r="B23" s="79" t="str">
        <x:v>PROPOSED V2</x:v>
      </x:c>
      <x:c r="C23" s="79" t="str">
        <x:v>A</x:v>
      </x:c>
      <x:c r="D23" s="79" t="str">
        <x:v>Recuperação tribal em massa</x:v>
      </x:c>
      <x:c r="E23" s="79" t="str">
        <x:v>Escolhe um tipo e devolve todas as criaturas daquele tipo do seu próprio cemitério; assimétrica vs Patriarch's Bidding.</x:v>
      </x:c>
      <x:c r="F23" s="79" t="str">
        <x:v>Custa {6}{B}{B}; convoke não resolve o pós-wipe se não sobrarem corpos.</x:v>
      </x:c>
      <x:c r="G23" s="79" t="str">
        <x:v>Onda 2; anotar custo pago e mesa efetivamente reconstruída.</x:v>
      </x:c>
    </x:row>
    <x:row r="24" ht="24" hidden="0" customHeight="1">
      <x:c r="A24" s="79" t="str">
        <x:v>Three Tree City</x:v>
      </x:c>
      <x:c r="B24" s="79" t="str">
        <x:v>PROPOSED V2</x:v>
      </x:c>
      <x:c r="C24" s="79" t="str">
        <x:v>A</x:v>
      </x:c>
      <x:c r="D24" s="79" t="str">
        <x:v>Mana tribal por land slot</x:v>
      </x:c>
      <x:c r="E24" s="79" t="str">
        <x:v>Escolhe Vampire ao entrar e pode gerar mana colorida igual ao número de Vampiros depois de pagar {2} e virar.</x:v>
      </x:c>
      <x:c r="F24" s="79" t="str">
        <x:v>Teto alto, mas produz só incolor sem ativação e é fraca com mesa vazia.</x:v>
      </x:c>
      <x:c r="G24" s="79" t="str">
        <x:v>Onda 3; registrar mana útil gerada.</x:v>
      </x:c>
    </x:row>
    <x:row r="25" ht="24" hidden="0" customHeight="1">
      <x:c r="A25" s="79" t="str">
        <x:v>Cavern of Souls</x:v>
      </x:c>
      <x:c r="B25" s="79" t="str">
        <x:v>PROPOSED V2</x:v>
      </x:c>
      <x:c r="C25" s="79" t="str">
        <x:v>A</x:v>
      </x:c>
      <x:c r="D25" s="79" t="str">
        <x:v>Fixação tribal + anti-counter</x:v>
      </x:c>
      <x:c r="E25" s="79" t="str">
        <x:v>Escolhe Vampire, corrige mana para mágicas Vampiro e as torna não anuláveis.</x:v>
      </x:c>
      <x:c r="F25" s="79" t="str">
        <x:v>Cores escolhidas só ajudam Vampiros; feitiços/remoções não-Vampiro precisam de outras fontes.</x:v>
      </x:c>
      <x:c r="G25" s="79" t="str">
        <x:v>Onda 3; rastrear erros de mana e counters.</x:v>
      </x:c>
    </x:row>
    <x:row r="26" ht="24" hidden="0" customHeight="1">
      <x:c r="A26" s="79" t="str">
        <x:v>Phyrexian Tower</x:v>
      </x:c>
      <x:c r="B26" s="79" t="str">
        <x:v>PROPOSED V2</x:v>
      </x:c>
      <x:c r="C26" s="79" t="str">
        <x:v>A</x:v>
      </x:c>
      <x:c r="D26" s="79" t="str">
        <x:v>Terreno-sac outlet / mana preta</x:v>
      </x:c>
      <x:c r="E26" s="79" t="str">
        <x:v>Sacrifica criatura para gerar {B}{B}; converte token em recurso e favorece plano aristocrats.</x:v>
      </x:c>
      <x:c r="F26" s="79" t="str">
        <x:v>Só gera duas manas sacrificando uma criatura e não é correção geral de cores.</x:v>
      </x:c>
      <x:c r="G26" s="79" t="str">
        <x:v>Onda 3; medir se o custo do token compensou.</x:v>
      </x:c>
    </x:row>
    <x:row r="27" ht="24" hidden="0" customHeight="1">
      <x:c r="A27" s="79" t="str">
        <x:v>Minas Tirith</x:v>
      </x:c>
      <x:c r="B27" s="79" t="str">
        <x:v>PROPOSED V2</x:v>
      </x:c>
      <x:c r="C27" s="79" t="str">
        <x:v>B+</x:v>
      </x:c>
      <x:c r="D27" s="79" t="str">
        <x:v>Card draw na base de mana</x:v>
      </x:c>
      <x:c r="E27" s="79" t="str">
        <x:v>Terreno branco que pode comprar depois de atacar com 2+ criaturas; não exige lendária.</x:v>
      </x:c>
      <x:c r="F27" s="79" t="str">
        <x:v>A compra custa {1}{W} + virar e depende de atacar.</x:v>
      </x:c>
      <x:c r="G27" s="79" t="str">
        <x:v>Onda 3; comparar com land de scry/fonte incolor atual.</x:v>
      </x:c>
    </x:row>
    <x:row r="28" ht="24" hidden="0" customHeight="1">
      <x:c r="A28" s="79" t="str">
        <x:v>Bloodstained Mire / shocks</x:v>
      </x:c>
      <x:c r="B28" s="79" t="str">
        <x:v>PROPOSED V2</x:v>
      </x:c>
      <x:c r="C28" s="79" t="str">
        <x:v>A</x:v>
      </x:c>
      <x:c r="D28" s="79" t="str">
        <x:v>Fixação Mardu e terrenos desvirados</x:v>
      </x:c>
      <x:c r="E28" s="79" t="str">
        <x:v>Fetches/shocklands melhoram acesso a cores e permitem jogar mágicas cedo se pagar vida.</x:v>
      </x:c>
      <x:c r="F28" s="79" t="str">
        <x:v>Choques e fetches têm custo de vida; a base não terá sempre três cores perfeitas.</x:v>
      </x:c>
      <x:c r="G28" s="79" t="str">
        <x:v>Onda 3; medir land drops e cores até T4.</x:v>
      </x:c>
    </x:row>
    <x:row r="29" ht="24" hidden="0" customHeight="1">
      <x:c r="A29" s="79" t="str">
        <x:v>Emeritus of Woe</x:v>
      </x:c>
      <x:c r="B29" s="79" t="str">
        <x:v>WATCHLIST</x:v>
      </x:c>
      <x:c r="C29" s="79" t="str">
        <x:v>S — teto muito alto</x:v>
      </x:c>
      <x:c r="D29" s="79" t="str">
        <x:v>Tutor repetível por Prepare</x:v>
      </x:c>
      <x:c r="E29" s="79" t="str">
        <x:v>Entra preparado com cópia de Demonic Tutor por {1}{B}; prepara novamente no início da etapa final se 2+ criaturas morreram naquele turno.</x:v>
      </x:c>
      <x:c r="F29" s="79" t="str">
        <x:v>Faz o deck parecer combo/tutor-heavy; oponente pode removê-lo antes de gerar valor e chama foco político.</x:v>
      </x:c>
      <x:c r="G29" s="79" t="str">
        <x:v>Teste opcional posterior, somente se o grupo tolera tutores repetidos.</x:v>
      </x:c>
    </x:row>
    <x:row r="30" ht="24" hidden="0" customHeight="1">
      <x:c r="A30" s="79" t="str">
        <x:v>Master of Dark Rites</x:v>
      </x:c>
      <x:c r="B30" s="79" t="str">
        <x:v>WATCHLIST</x:v>
      </x:c>
      <x:c r="C30" s="79" t="str">
        <x:v>A</x:v>
      </x:c>
      <x:c r="D30" s="79" t="str">
        <x:v>Aceleração tribal condicional</x:v>
      </x:c>
      <x:c r="E30" s="79" t="str">
        <x:v>Vampiro de {B}; pode virar e sacrificar outra criatura para adicionar {B}{B}{B}, gasto apenas em Vampiro/Clérigo/Demônio.</x:v>
      </x:c>
      <x:c r="F30" s="79" t="str">
        <x:v>Exige summoning sickness/mesa e sacrifica recurso; não é ramp independente de criaturas.</x:v>
      </x:c>
      <x:c r="G30" s="79" t="str">
        <x:v>Investigar se os testes mostrarem curva lenta; respeita tema ao contrário de rocks.</x:v>
      </x:c>
    </x:row>
    <x:row r="31" ht="24" hidden="0" customHeight="1">
      <x:c r="A31" s="79" t="str">
        <x:v>Indulgent Aristocrat</x:v>
      </x:c>
      <x:c r="B31" s="79" t="str">
        <x:v>WATCHLIST</x:v>
      </x:c>
      <x:c r="C31" s="79" t="str">
        <x:v>A</x:v>
      </x:c>
      <x:c r="D31" s="79" t="str">
        <x:v>Sac outlet + lord distribuído</x:v>
      </x:c>
      <x:c r="E31" s="79" t="str">
        <x:v>Um dos vampiros baratos mais usados; converte ficha em marcador para todos os Vampiros.</x:v>
      </x:c>
      <x:c r="F31" s="79" t="str">
        <x:v>Já há outros sac outlets e buffs; é familiar e não compra cartas.</x:v>
      </x:c>
      <x:c r="G31" s="79" t="str">
        <x:v>Comparar com Vampire Socialite e funções de marcadores.</x:v>
      </x:c>
    </x:row>
    <x:row r="32" ht="24" hidden="0" customHeight="1">
      <x:c r="A32" s="79" t="str">
        <x:v>Sanctum Seeker</x:v>
      </x:c>
      <x:c r="B32" s="79" t="str">
        <x:v>WATCHLIST</x:v>
      </x:c>
      <x:c r="C32" s="79" t="str">
        <x:v>A</x:v>
      </x:c>
      <x:c r="D32" s="79" t="str">
        <x:v>Drenagem por ataques</x:v>
      </x:c>
      <x:c r="E32" s="79" t="str">
        <x:v>Cada Vampire atacante drena vida e você ganha vida; escala com Eminência e token.</x:v>
      </x:c>
      <x:c r="F32" s="79" t="str">
        <x:v>Quatro manas e depende de atacar; pode sobrepor Blood Artist/celebrants e despertar ameaça.</x:v>
      </x:c>
      <x:c r="G32" s="79" t="str">
        <x:v>Alternativa para intensificar combate/drain se falta fechamento.</x:v>
      </x:c>
    </x:row>
    <x:row r="33" ht="24" hidden="0" customHeight="1">
      <x:c r="A33" s="79" t="str">
        <x:v>Vampire Gourmand</x:v>
      </x:c>
      <x:c r="B33" s="79" t="str">
        <x:v>WATCHLIST</x:v>
      </x:c>
      <x:c r="C33" s="79" t="str">
        <x:v>A-</x:v>
      </x:c>
      <x:c r="D33" s="79" t="str">
        <x:v>Compra via ataque/sacrifício</x:v>
      </x:c>
      <x:c r="E33" s="79" t="str">
        <x:v>Permite sacrificar outra criatura ao atacar para comprar e ganhar evasão; liga fichas à reposição.</x:v>
      </x:c>
      <x:c r="F33" s="79" t="str">
        <x:v>Precisa atacar com ele e ter um corpo extra; não compra quando travado.</x:v>
      </x:c>
      <x:c r="G33" s="79" t="str">
        <x:v>Opção criativa para uma vaga barata, se o grupo 2 ainda estiver fraco.</x:v>
      </x:c>
    </x:row>
    <x:row r="34" ht="24" hidden="0" customHeight="1">
      <x:c r="A34" s="79" t="str">
        <x:v>Bloodghast</x:v>
      </x:c>
      <x:c r="B34" s="79" t="str">
        <x:v>WATCHLIST</x:v>
      </x:c>
      <x:c r="C34" s="79" t="str">
        <x:v>A-</x:v>
      </x:c>
      <x:c r="D34" s="79" t="str">
        <x:v>Fodder recorrente pós-wipe</x:v>
      </x:c>
      <x:c r="E34" s="79" t="str">
        <x:v>Pode voltar do cemitério quando terreno entra sob seu controle, com landfall; bom para sac outlets.</x:v>
      </x:c>
      <x:c r="F34" s="79" t="str">
        <x:v>Não bloqueia e não volta sem landfall; pouco impacto isolado no combate.</x:v>
      </x:c>
      <x:c r="G34" s="79" t="str">
        <x:v>Teste posterior se a falta de fodder persistente for registrada.</x:v>
      </x:c>
    </x:row>
    <x:row r="35" ht="24" hidden="0" customHeight="1">
      <x:c r="A35" s="79" t="str">
        <x:v>Oathsworn Vampire</x:v>
      </x:c>
      <x:c r="B35" s="79" t="str">
        <x:v>WATCHLIST</x:v>
      </x:c>
      <x:c r="C35" s="79" t="str">
        <x:v>B+/A-</x:v>
      </x:c>
      <x:c r="D35" s="79" t="str">
        <x:v>Fodder recursivo com vida ganha</x:v>
      </x:c>
      <x:c r="E35" s="79" t="str">
        <x:v>Pode ser conjurado do cemitério se você ganhou vida neste turno; sinergiza com lifelink/drain.</x:v>
      </x:c>
      <x:c r="F35" s="79" t="str">
        <x:v>Exige mana e condição de ganho de vida; não volta gratuitamente.</x:v>
      </x:c>
      <x:c r="G35" s="79" t="str">
        <x:v>Teste posterior para sustentar sacrifícios e reconstrução.</x:v>
      </x:c>
    </x:row>
    <x:row r="36" ht="24" hidden="0" customHeight="1">
      <x:c r="A36" s="79" t="str">
        <x:v>Sorin, Imperious Bloodlord</x:v>
      </x:c>
      <x:c r="B36" s="79" t="str">
        <x:v>WATCHLIST</x:v>
      </x:c>
      <x:c r="C36" s="79" t="str">
        <x:v>A</x:v>
      </x:c>
      <x:c r="D36" s="79" t="str">
        <x:v>Suporte tribal multi-função</x:v>
      </x:c>
      <x:c r="E36" s="79" t="str">
        <x:v>Gera Vampire, dá valor em combate/vida e pode pôr um Vampire da mão no campo.</x:v>
      </x:c>
      <x:c r="F36" s="79" t="str">
        <x:v>Não é Vampiro e pôr a criatura no campo não dispara Eminência; ameaça e compete por slot não-criatura.</x:v>
      </x:c>
      <x:c r="G36" s="79" t="str">
        <x:v>Comparar apenas se a V2 ainda tiver problemas de tempo/impacto.</x:v>
      </x:c>
    </x:row>
    <x:row r="37" ht="24" hidden="0" customHeight="1">
      <x:c r="A37" s="79" t="str">
        <x:v>Dark Prophecy</x:v>
      </x:c>
      <x:c r="B37" s="79" t="str">
        <x:v>WATCHLIST</x:v>
      </x:c>
      <x:c r="C37" s="79" t="str">
        <x:v>B+</x:v>
      </x:c>
      <x:c r="D37" s="79" t="str">
        <x:v>Draw em mortes</x:v>
      </x:c>
      <x:c r="E37" s="79" t="str">
        <x:v>Transforma cada criatura sua que morre em carta; excelente com fichas e sacrifícios.</x:v>
      </x:c>
      <x:c r="F37" s="79" t="str">
        <x:v>Custa {B}{B}{B} e perde 1 vida por morte; risco real junto a Citadel, Necropotence, Champion e Connections.</x:v>
      </x:c>
      <x:c r="G37" s="79" t="str">
        <x:v>Não incluir sem playtests indicarem falta de draw por mortes.</x:v>
      </x:c>
    </x:row>
    <x:row r="38" ht="24" hidden="0" customHeight="1">
      <x:c r="A38" s="79" t="str">
        <x:v>Patriarch's Bidding</x:v>
      </x:c>
      <x:c r="B38" s="79" t="str">
        <x:v>WATCHLIST</x:v>
      </x:c>
      <x:c r="C38" s="79" t="str">
        <x:v>B+</x:v>
      </x:c>
      <x:c r="D38" s="79" t="str">
        <x:v>Recuperação tribal de baixo custo</x:v>
      </x:c>
      <x:c r="E38" s="79" t="str">
        <x:v>Cinco manas por recuperação tribal de criatura do tipo escolhido de todos os cemitérios.</x:v>
      </x:c>
      <x:c r="F38" s="79" t="str">
        <x:v>Simétrica: também ressuscita Vampiros de oponentes; Bloodline Bidding é mais cara, mas assimétrica.</x:v>
      </x:c>
      <x:c r="G38" s="79" t="str">
        <x:v>Manter como comparação direta de custo/risco.</x:v>
      </x:c>
    </x:row>
    <x:row r="39" ht="24" hidden="0" customHeight="1">
      <x:c r="A39" s="79" t="str">
        <x:v>The One Ring</x:v>
      </x:c>
      <x:c r="B39" s="79" t="str">
        <x:v>WATCHLIST</x:v>
      </x:c>
      <x:c r="C39" s="79" t="str">
        <x:v>S — potência bruta</x:v>
      </x:c>
      <x:c r="D39" s="79" t="str">
        <x:v>Compra e proteção temporária</x:v>
      </x:c>
      <x:c r="E39" s="79" t="str">
        <x:v>Excelente motor genérico; aumenta muito a capacidade de cavar cartas.</x:v>
      </x:c>
      <x:c r="F39" s="79" t="str">
        <x:v>Não é Vampiro, atrai ameaça política e compete com motores já existentes; não é baseline temática.</x:v>
      </x:c>
      <x:c r="G39" s="79" t="str">
        <x:v>Só testar se card advantage for insuficiente após as ondas.</x:v>
      </x:c>
    </x:row>
    <x:row r="40" ht="24" hidden="0" customHeight="1">
      <x:c r="A40" s="79" t="str">
        <x:v>Vanquisher's Banner</x:v>
      </x:c>
      <x:c r="B40" s="79" t="str">
        <x:v>WATCHLIST</x:v>
      </x:c>
      <x:c r="C40" s="79" t="str">
        <x:v>A-/B+</x:v>
      </x:c>
      <x:c r="D40" s="79" t="str">
        <x:v>Lord + compra ao conjurar tribal</x:v>
      </x:c>
      <x:c r="E40" s="79" t="str">
        <x:v>Compra quando conjura Vampire e dá +1/+1 ao tipo escolhido.</x:v>
      </x:c>
      <x:c r="F40" s="79" t="str">
        <x:v>Cinco manas e entra sem repor cartas imediatamente; Banner of Kinship é payoff mais explosivo.</x:v>
      </x:c>
      <x:c r="G40" s="79" t="str">
        <x:v>Não entra no núcleo; comparar se a lista precisar de draw por conjuração.</x:v>
      </x:c>
    </x:row>
    <x:row r="41" ht="15" hidden="0" customHeight="1">
      <x:c r="A41" t="str">
        <x:v>Agadeem's Awakening</x:v>
      </x:c>
      <x:c r="B41" t="str">
        <x:v>WATCHLIST</x:v>
      </x:c>
      <x:c r="C41" t="str">
        <x:v>A-</x:v>
      </x:c>
      <x:c r="D41" t="str">
        <x:v>MDFC / recursão flexível</x:v>
      </x:c>
      <x:c r="E41" t="str">
        <x:v>Pode ser land ou reanimar criaturas de diferentes valores de mana.</x:v>
      </x:c>
      <x:c r="F41" t="str">
        <x:v>{X}{B}{B}{B}; não recupera vários Vampiros de mesmo mana value. A V2 já tem Bloodline Bidding.</x:v>
      </x:c>
      <x:c r="G41" t="str">
        <x:v>Alternativa à Bidding, não adicionar sem comparar slots e mana.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47" hidden="0" customWidth="1"/>
    <x:col min="3" max="3" width="52" hidden="0" customWidth="1"/>
    <x:col min="4" max="4" width="66" hidden="0" customWidth="1"/>
    <x:col min="5" max="5" width="22" hidden="0" customWidth="1"/>
    <x:col min="6" max="6" width="14" hidden="0" customWidth="1"/>
  </x:cols>
  <x:sheetData>
    <x:row r="1" ht="30" customHeight="1">
      <x:c r="A1" s="81" t="str">
        <x:v>AUDITORIA ESTRUTURAL — CURRENT VS PROPOSED V2</x:v>
      </x:c>
      <x:c r="B1" s="81"/>
      <x:c r="C1" s="81"/>
      <x:c r="D1" s="81"/>
      <x:c r="E1" s="81"/>
      <x:c r="F1" s="81"/>
    </x:row>
    <x:row r="2" ht="32" customHeight="1">
      <x:c r="A2" s="83" t="str">
        <x:v>Contagens verificadas a partir das duas listas; notas funcionais são hipóteses. Não confundir proposta com aquisição/inclusão ou teste.</x:v>
      </x:c>
      <x:c r="B2" s="83"/>
      <x:c r="C2" s="83"/>
      <x:c r="D2" s="83"/>
      <x:c r="E2" s="83"/>
      <x:c r="F2" s="83"/>
    </x:row>
    <x:row r="3">
      <x:c r="A3"/>
      <x:c r="B3"/>
      <x:c r="C3"/>
      <x:c r="D3"/>
      <x:c r="E3"/>
      <x:c r="F3"/>
    </x:row>
    <x:row r="4" ht="28" customHeight="1">
      <x:c r="A4" s="84" t="str">
        <x:v>Métrica</x:v>
      </x:c>
      <x:c r="B4" s="84" t="str">
        <x:v>CURRENT</x:v>
      </x:c>
      <x:c r="C4" s="84" t="str">
        <x:v>PROPOSED V2</x:v>
      </x:c>
      <x:c r="D4" s="84" t="str">
        <x:v>Critério / interpretação</x:v>
      </x:c>
      <x:c r="E4" s="84" t="str">
        <x:v>Status</x:v>
      </x:c>
      <x:c r="F4" s="84" t="str">
        <x:v>Prioridade</x:v>
      </x:c>
    </x:row>
    <x:row r="5" ht="24" hidden="0" customHeight="1">
      <x:c r="A5" s="79" t="str">
        <x:v>Total físico de cartas</x:v>
      </x:c>
      <x:c r="B5" s="79" t="n">
        <x:v>100</x:v>
      </x:c>
      <x:c r="C5" s="79" t="n">
        <x:v>100</x:v>
      </x:c>
      <x:c r="D5" s="79" t="str">
        <x:v>Commander deck = 100 cartas incluindo comandante. Singleton verificado com exceção de básico repetido.</x:v>
      </x:c>
      <x:c r="E5" s="79" t="str">
        <x:v>Contagem conferida</x:v>
      </x:c>
      <x:c r="F5" s="79" t="str">
        <x:v>Alta</x:v>
      </x:c>
    </x:row>
    <x:row r="6" ht="15" hidden="0" customHeight="1">
      <x:c r="A6" s="79" t="str">
        <x:v>Comandante</x:v>
      </x:c>
      <x:c r="B6" s="79" t="n">
        <x:v>1</x:v>
      </x:c>
      <x:c r="C6" s="79" t="n">
        <x:v>1</x:v>
      </x:c>
      <x:c r="D6" s="79" t="str">
        <x:v>Edgar Markov; fica inalterado.</x:v>
      </x:c>
      <x:c r="E6" s="79" t="str">
        <x:v>Verificado</x:v>
      </x:c>
      <x:c r="F6" s="79" t="str">
        <x:v>Alta</x:v>
      </x:c>
    </x:row>
    <x:row r="7" ht="15" hidden="0" customHeight="1">
      <x:c r="A7" s="79" t="str">
        <x:v>Terrenos físicos</x:v>
      </x:c>
      <x:c r="B7" s="79" t="n">
        <x:v>32</x:v>
      </x:c>
      <x:c r="C7" s="79" t="n">
        <x:v>35</x:v>
      </x:c>
      <x:c r="D7" s="79" t="str">
        <x:v>V2 aumenta a contagem de terrenos físicos para sustentar a curva sem pedras genéricas.</x:v>
      </x:c>
      <x:c r="E7" s="79" t="str">
        <x:v>Contagem conferida</x:v>
      </x:c>
      <x:c r="F7" s="79" t="str">
        <x:v>Alta</x:v>
      </x:c>
    </x:row>
    <x:row r="8" ht="15" hidden="0" customHeight="1">
      <x:c r="A8" s="79" t="str">
        <x:v>MDFC / face-terreno</x:v>
      </x:c>
      <x:c r="B8" s="79" t="n">
        <x:v>0</x:v>
      </x:c>
      <x:c r="C8" s="79" t="n">
        <x:v>0</x:v>
      </x:c>
      <x:c r="D8" s="79" t="str">
        <x:v>Nenhuma MDFC adicionada na V2-alvo; conta física e funcional não se misturam.</x:v>
      </x:c>
      <x:c r="E8" s="79" t="str">
        <x:v>Contagem conferida</x:v>
      </x:c>
      <x:c r="F8" s="79" t="str">
        <x:v>Média</x:v>
      </x:c>
    </x:row>
    <x:row r="9" ht="15" hidden="0" customHeight="1">
      <x:c r="A9" s="79" t="str">
        <x:v>Não-terrenos fora do comandante</x:v>
      </x:c>
      <x:c r="B9" s="79" t="n">
        <x:v>67</x:v>
      </x:c>
      <x:c r="C9" s="79" t="n">
        <x:v>64</x:v>
      </x:c>
      <x:c r="D9" s="79" t="str">
        <x:v>O 8×8 usa apenas estas cartas não-terreno; Commander e terrenos ficam fora.</x:v>
      </x:c>
      <x:c r="E9" s="79" t="str">
        <x:v>Contagem conferida</x:v>
      </x:c>
      <x:c r="F9" s="79" t="str">
        <x:v>Alta</x:v>
      </x:c>
    </x:row>
    <x:row r="10" ht="24" hidden="0" customHeight="1">
      <x:c r="A10" s="79" t="str">
        <x:v>Rocks genéricos (Sol Ring/Signets etc.)</x:v>
      </x:c>
      <x:c r="B10" s="79" t="n">
        <x:v>0</x:v>
      </x:c>
      <x:c r="C10" s="79" t="n">
        <x:v>0</x:v>
      </x:c>
      <x:c r="D10" s="79" t="str">
        <x:v>Restrição explícita do usuário. Phyrexian Tower e Three Tree City são terrenos; Master of Dark Rites fica apenas na Watchlist.</x:v>
      </x:c>
      <x:c r="E10" s="79" t="str">
        <x:v>Preservado</x:v>
      </x:c>
      <x:c r="F10" s="79" t="str">
        <x:v>Alta</x:v>
      </x:c>
    </x:row>
    <x:row r="11" ht="15" hidden="0" customHeight="1">
      <x:c r="A11" s="79" t="str">
        <x:v>Fontes funcionais de terreno</x:v>
      </x:c>
      <x:c r="B11" s="79" t="n">
        <x:v>32</x:v>
      </x:c>
      <x:c r="C11" s="79" t="n">
        <x:v>35</x:v>
      </x:c>
      <x:c r="D11" s="79" t="str">
        <x:v>Número bruto; não mede fontes desviradas/timing ou fixing de cores.</x:v>
      </x:c>
      <x:c r="E11" s="79" t="str">
        <x:v>Indicador estrutural</x:v>
      </x:c>
      <x:c r="F11" s="79" t="str">
        <x:v>Alta</x:v>
      </x:c>
    </x:row>
    <x:row r="12" ht="24" hidden="0" customHeight="1">
      <x:c r="A12" s="79" t="str">
        <x:v>Motor Eminência</x:v>
      </x:c>
      <x:c r="B12" s="79" t="str">
        <x:v>Presente</x:v>
      </x:c>
      <x:c r="C12" s="79" t="str">
        <x:v>Presente</x:v>
      </x:c>
      <x:c r="D12" s="79" t="str">
        <x:v>Cada Vampiro conjurado cria ficha 1/1 por Eminência; tokens não são conjurados e não disparam a própria Eminência.</x:v>
      </x:c>
      <x:c r="E12" s="79" t="str">
        <x:v>Plano preservado</x:v>
      </x:c>
      <x:c r="F12" s="79" t="str">
        <x:v>Alta</x:v>
      </x:c>
    </x:row>
    <x:row r="13" ht="36" hidden="0" customHeight="1">
      <x:c r="A13" s="79" t="str">
        <x:v>Motores de compra atuais</x:v>
      </x:c>
      <x:c r="B13" s="79" t="str">
        <x:v>Necropotence; Bolas's Citadel; Skullclamp; Welcoming Vampire; Pact of the Serpent; Deadly Dispute; Pit Fighter; Idol; Preacher; Baron; Florian</x:v>
      </x:c>
      <x:c r="C13" s="79" t="str">
        <x:v>Mantém os atuais + BMC; Champion; Plumb; Recollector; Silvertongue; Crossway; Minas Tirith</x:v>
      </x:c>
      <x:c r="D13" s="79" t="str">
        <x:v>O gargalo não é ausência absoluta de draw, mas dependência de mesa/condições e reposição em resposta a wipe.</x:v>
      </x:c>
      <x:c r="E13" s="79" t="str">
        <x:v>Hipótese a testar</x:v>
      </x:c>
      <x:c r="F13" s="79" t="str">
        <x:v>Alta</x:v>
      </x:c>
    </x:row>
    <x:row r="14" ht="24" hidden="0" customHeight="1">
      <x:c r="A14" s="79" t="str">
        <x:v>Resiliência</x:v>
      </x:c>
      <x:c r="B14" s="79" t="str">
        <x:v>Dusk Legion Sergeant; Teferi's Protection; Lich-Knights' Conquest; Edgar, Charmed Groom; Elenda/Olivia; sac outlets</x:v>
      </x:c>
      <x:c r="C14" s="79" t="str">
        <x:v>Mantém plano e adiciona Bloodline Bidding + Plumb como saída de recursos ameaçados</x:v>
      </x:c>
      <x:c r="D14" s="79" t="str">
        <x:v>Bloodline Bidding não é instantâneo e exige custo; Plumb converte corpos em cartas, mas não salva corpos sacrificados.</x:v>
      </x:c>
      <x:c r="E14" s="79" t="str">
        <x:v>Melhora projetada</x:v>
      </x:c>
      <x:c r="F14" s="79" t="str">
        <x:v>Alta</x:v>
      </x:c>
    </x:row>
    <x:row r="15" ht="24" hidden="0" customHeight="1">
      <x:c r="A15" s="79" t="str">
        <x:v>Base de mana</x:v>
      </x:c>
      <x:c r="B15" s="79" t="str">
        <x:v>32 terrenos; vários Temples; Temple of the False God; Crystal Grotto</x:v>
      </x:c>
      <x:c r="C15" s="79" t="str">
        <x:v>35 físicos; troca 3 nonlands por lands; Tower/Cavern/Three Tree City + shocks/fetch</x:v>
      </x:c>
      <x:c r="D15" s="79" t="str">
        <x:v>A V2 abre mão de alguns triggers de Vampiro para reduzir flood/tempo de mana apenas se a base passar nos testes de cores.</x:v>
      </x:c>
      <x:c r="E15" s="79" t="str">
        <x:v>Requer playtest</x:v>
      </x:c>
      <x:c r="F15" s="79" t="str">
        <x:v>Alta</x:v>
      </x:c>
    </x:row>
    <x:row r="16" ht="24" hidden="0" customHeight="1">
      <x:c r="A16" s="79" t="str">
        <x:v>Fechamento</x:v>
      </x:c>
      <x:c r="B16" s="79" t="str">
        <x:v>Shared Animosity; Akroma's Will; Coat of Arms; Kindred Charge; drain/combo</x:v>
      </x:c>
      <x:c r="C16" s="79" t="str">
        <x:v>Mantém Akroma's Will/Shared Animosity/Banner of Kinship; adiciona Bloodletter</x:v>
      </x:c>
      <x:c r="D16" s="79" t="str">
        <x:v>Sai Coat (simétrico) e Kindred Charge (alfa strike); a proposta perde explosão em troca de recarga/resiliência.</x:v>
      </x:c>
      <x:c r="E16" s="79" t="str">
        <x:v>Trade-off explícito</x:v>
      </x:c>
      <x:c r="F16" s="79" t="str">
        <x:v>Alta</x:v>
      </x:c>
    </x:row>
    <x:row r="17" ht="15" hidden="0" customHeight="1">
      <x:c r="A17" s="79" t="str">
        <x:v>Combo Vito + Bloodthirsty Conqueror</x:v>
      </x:c>
      <x:c r="B17" s="79" t="str">
        <x:v>Presente</x:v>
      </x:c>
      <x:c r="C17" s="79" t="str">
        <x:v>Preservado</x:v>
      </x:c>
      <x:c r="D17" s="79" t="str">
        <x:v>Usuário confirmou que o combo deve permanecer, sem se tornar o plano principal.</x:v>
      </x:c>
      <x:c r="E17" s="79" t="str">
        <x:v>Preferência confirmada</x:v>
      </x:c>
      <x:c r="F17" s="79" t="str">
        <x:v>Alta</x:v>
      </x:c>
    </x:row>
    <x:row r="18" ht="24" hidden="0" customHeight="1">
      <x:c r="A18" s="79" t="str">
        <x:v>Legalidade Commander / banlist</x:v>
      </x:c>
      <x:c r="B18" s="79" t="str">
        <x:v>A confirmar na auditoria final carta a carta</x:v>
      </x:c>
      <x:c r="C18" s="79" t="str">
        <x:v>Principais candidatas consultadas; rever antes do lock</x:v>
      </x:c>
      <x:c r="D18" s="79" t="str">
        <x:v>A página oficial dinâmica foi consultada; a validação final de legalidade/cor e singleton deve ocorrer ao congelar a versão final.</x:v>
      </x:c>
      <x:c r="E18" s="79" t="str">
        <x:v>Revisão ainda aberta</x:v>
      </x:c>
      <x:c r="F18" s="79" t="str">
        <x:v>Média</x:v>
      </x:c>
    </x:row>
    <x:row r="19" ht="15" hidden="0" customHeight="1">
      <x:c r="A19" s="79" t="str">
        <x:v>Estado das cartas propostas</x:v>
      </x:c>
      <x:c r="B19" s="79" t="str">
        <x:v>Sem status de compra/teste presumido</x:v>
      </x:c>
      <x:c r="C19" s="79" t="str">
        <x:v>Todos os upgrades PROPOSED, não testados</x:v>
      </x:c>
      <x:c r="D19" s="79" t="str">
        <x:v>Não converter recomendação em ACQUIRED/INCLUDED/TESTED sem confirmação do usuário.</x:v>
      </x:c>
      <x:c r="E19" s="79" t="str">
        <x:v>Regra de estado</x:v>
      </x:c>
      <x:c r="F19" s="79" t="str">
        <x:v>Alta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73" hidden="0" customWidth="1"/>
    <x:col min="3" max="3" width="54" hidden="0" customWidth="1"/>
    <x:col min="4" max="4" width="64" hidden="0" customWidth="1"/>
  </x:cols>
  <x:sheetData>
    <x:row r="1" ht="30" customHeight="1">
      <x:c r="A1" s="81" t="str">
        <x:v>FONTES, REGRAS E LIMITES — RESEARCH DEEP REVIEW</x:v>
      </x:c>
      <x:c r="B1" s="81"/>
      <x:c r="C1" s="81"/>
      <x:c r="D1" s="81"/>
    </x:row>
    <x:row r="2" ht="32" customHeight="1">
      <x:c r="A2" s="83" t="str">
        <x:v>URLs em texto simples para revisão posterior. EDHREC é benchmark de uso, não autoridade de regras; texto Oracle e regras devem ser validados em Scryfall/Wizards.</x:v>
      </x:c>
      <x:c r="B2" s="83"/>
      <x:c r="C2" s="83"/>
      <x:c r="D2" s="83"/>
    </x:row>
    <x:row r="3">
      <x:c r="A3"/>
      <x:c r="B3"/>
      <x:c r="C3"/>
      <x:c r="D3"/>
    </x:row>
    <x:row r="4" ht="28" customHeight="1">
      <x:c r="A4" s="84" t="str">
        <x:v>Fonte / tema</x:v>
      </x:c>
      <x:c r="B4" s="84" t="str">
        <x:v>URL</x:v>
      </x:c>
      <x:c r="C4" s="84" t="str">
        <x:v>Uso nesta revisão</x:v>
      </x:c>
      <x:c r="D4" s="84" t="str">
        <x:v>Limite / observação</x:v>
      </x:c>
    </x:row>
    <x:row r="5" ht="15" hidden="0" customHeight="1">
      <x:c r="A5" s="79" t="str">
        <x:v>EDHREC — Edgar Markov</x:v>
      </x:c>
      <x:c r="B5" s="79" t="str">
        <x:v>https://edhrec.com/commanders/edgar-markov</x:v>
      </x:c>
      <x:c r="C5" s="79" t="str">
        <x:v>Benchmark amplo de popularidade e inclusões.</x:v>
      </x:c>
      <x:c r="D5" s="79" t="str">
        <x:v>Popularidade não prova melhor encaixe para esta lista.</x:v>
      </x:c>
    </x:row>
    <x:row r="6" ht="15" hidden="0" customHeight="1">
      <x:c r="A6" s="79" t="str">
        <x:v>EDHREC — Edgar Markov upgraded</x:v>
      </x:c>
      <x:c r="B6" s="79" t="str">
        <x:v>https://edhrec.com/commanders/edgar-markov/upgraded</x:v>
      </x:c>
      <x:c r="C6" s="79" t="str">
        <x:v>Recorte upgraded geral; cartas comuns.</x:v>
      </x:c>
      <x:c r="D6" s="79" t="str">
        <x:v>Não mistura só decks com user-set brackets na página.</x:v>
      </x:c>
    </x:row>
    <x:row r="7" ht="24" hidden="0" customHeight="1">
      <x:c r="A7" s="79" t="str">
        <x:v>EDHREC — upgraded tokens</x:v>
      </x:c>
      <x:c r="B7" s="79" t="str">
        <x:v>https://edhrec.com/commanders/edgar-markov/upgraded/tokens</x:v>
      </x:c>
      <x:c r="C7" s="79" t="str">
        <x:v>Dados consultados em 12/10/2026 para Bloodline Recollector, Scheming Silvertongue, Emeritus, Bloodline Bidding, Crossway e cartas usuais.</x:v>
      </x:c>
      <x:c r="D7" s="79" t="str">
        <x:v>Percentuais se referem ao recorte de decklists dessa página, não a todas as listas de Edgar.</x:v>
      </x:c>
    </x:row>
    <x:row r="8" ht="24" hidden="0" customHeight="1">
      <x:c r="A8" s="79" t="str">
        <x:v>Wizards — Secrets of Strixhaven Release Notes</x:v>
      </x:c>
      <x:c r="B8" s="79" t="str">
        <x:v>https://magic.wizards.com/en/news/feature/secrets-of-strixhaven-release-notes</x:v>
      </x:c>
      <x:c r="C8" s="79" t="str">
        <x:v>Texto oficial e regra de Prepare para Emeritus of Woe e Scheming Silvertongue.</x:v>
      </x:c>
      <x:c r="D8" s="79" t="str">
        <x:v>Gatilho de Emeritus checa no começo da etapa final; Silvertongue checa ao começar a segunda fase principal.</x:v>
      </x:c>
    </x:row>
    <x:row r="9" ht="24" hidden="0" customHeight="1">
      <x:c r="A9" s="79" t="str">
        <x:v>Wizards — Reality Fracture Release Notes</x:v>
      </x:c>
      <x:c r="B9" s="79" t="str">
        <x:v>https://magic.wizards.com/en/news/feature/reality-fracture-release-notes</x:v>
      </x:c>
      <x:c r="C9" s="79" t="str">
        <x:v>Texto oficial de Bloodline Recollector e regra do Prepare.</x:v>
      </x:c>
      <x:c r="D9" s="79" t="str">
        <x:v>Recollector só prepara se 3+ criaturas morreram antes do início da etapa final e a criatura precisa existir para receber trigger/resolver.</x:v>
      </x:c>
    </x:row>
    <x:row r="10" ht="15" hidden="0" customHeight="1">
      <x:c r="A10" s="79" t="str">
        <x:v>Wizards — banlist Commander (PT)</x:v>
      </x:c>
      <x:c r="B10" s="79" t="str">
        <x:v>https://magic.wizards.com/pt-br/banned-restricted-list</x:v>
      </x:c>
      <x:c r="C10" s="79" t="str">
        <x:v>Consulta da lista oficial Commander.</x:v>
      </x:c>
      <x:c r="D10" s="79" t="str">
        <x:v>Lista é dinâmica; fazer nova auditoria carta a carta antes de congelar versão final.</x:v>
      </x:c>
    </x:row>
    <x:row r="11" ht="15" hidden="0" customHeight="1">
      <x:c r="A11" s="79" t="str">
        <x:v>Scryfall — Edgar Markov (INR)</x:v>
      </x:c>
      <x:c r="B11" s="79" t="str">
        <x:v>https://scryfall.com/card/inr/234/edgar-markov</x:v>
      </x:c>
      <x:c r="C11" s="79" t="str">
        <x:v>Texto Oracle/identidade do comandante informado pelo usuário.</x:v>
      </x:c>
      <x:c r="D11" s="79" t="str">
        <x:v>Texto Oracle e rules governam, não artes ou popularidade.</x:v>
      </x:c>
    </x:row>
    <x:row r="12" ht="15" hidden="0" customHeight="1">
      <x:c r="A12" s="79" t="str">
        <x:v>Scryfall — Champion of Dusk</x:v>
      </x:c>
      <x:c r="B12" s="79" t="str">
        <x:v>https://scryfall.com/card/rix/64/champion-of-dusk</x:v>
      </x:c>
      <x:c r="C12" s="79" t="str">
        <x:v>Compra por ETB baseada no número de Vampiros.</x:v>
      </x:c>
      <x:c r="D12" s="79" t="str">
        <x:v>Depende da mesa e envolve perda de vida.</x:v>
      </x:c>
    </x:row>
    <x:row r="13" ht="15" hidden="0" customHeight="1">
      <x:c r="A13" s="79" t="str">
        <x:v>Scryfall — Black Market Connections</x:v>
      </x:c>
      <x:c r="B13" s="79" t="str">
        <x:v>https://scryfall.com/search?q=%21%22Black+Market+Connections%22</x:v>
      </x:c>
      <x:c r="C13" s="79" t="str">
        <x:v>Modos de card draw, token e Treasure opcionais.</x:v>
      </x:c>
      <x:c r="D13" s="79" t="str">
        <x:v>Custo em vida alto se usar todos os modos todo turno.</x:v>
      </x:c>
    </x:row>
    <x:row r="14" ht="15" hidden="0" customHeight="1">
      <x:c r="A14" s="79" t="str">
        <x:v>Scryfall — Plumb the Forbidden</x:v>
      </x:c>
      <x:c r="B14" s="79" t="str">
        <x:v>https://scryfall.com/card/stx/81/plumb-the-forbidden</x:v>
      </x:c>
      <x:c r="C14" s="79" t="str">
        <x:v>Instant para converter criaturas ameaçadas em cartas.</x:v>
      </x:c>
      <x:c r="D14" s="79" t="str">
        <x:v>Sacrifícios são custo adicional; não salva as criaturas sacrificadas.</x:v>
      </x:c>
    </x:row>
    <x:row r="15" ht="15" hidden="0" customHeight="1">
      <x:c r="A15" s="79" t="str">
        <x:v>Scryfall — Crossway Troublemakers</x:v>
      </x:c>
      <x:c r="B15" s="79" t="str">
        <x:v>https://scryfall.com/search?q=%21%22Crossway+Troublemakers%22</x:v>
      </x:c>
      <x:c r="C15" s="79" t="str">
        <x:v>Drenagem no combate e draw por morte de Vampiro.</x:v>
      </x:c>
      <x:c r="D15" s="79" t="str">
        <x:v>2 vidas pagas por carta; CMC 6.</x:v>
      </x:c>
    </x:row>
    <x:row r="16" ht="15" hidden="0" customHeight="1">
      <x:c r="A16" s="79" t="str">
        <x:v>Scryfall — Bloodletter of Aclazotz</x:v>
      </x:c>
      <x:c r="B16" s="79" t="str">
        <x:v>https://scryfall.com/search?q=%21%22Bloodletter+of+Aclazotz%22</x:v>
      </x:c>
      <x:c r="C16" s="79" t="str">
        <x:v>Multiplicador de perda de vida de oponentes durante seu turno.</x:v>
      </x:c>
      <x:c r="D16" s="79" t="str">
        <x:v>Não dobra dano genericamente; exige {B}{B}{B}.</x:v>
      </x:c>
    </x:row>
    <x:row r="17" ht="15" hidden="0" customHeight="1">
      <x:c r="A17" s="79" t="str">
        <x:v>Scryfall — Bloodline Bidding</x:v>
      </x:c>
      <x:c r="B17" s="79" t="str">
        <x:v>https://scryfall.com/search?q=%21%22Bloodline+Bidding%22</x:v>
      </x:c>
      <x:c r="C17" s="79" t="str">
        <x:v>Recuperação tribal só do cemitério do controlador.</x:v>
      </x:c>
      <x:c r="D17" s="79" t="str">
        <x:v>Custa oito com convoke; não é proteção contra wipe na pilha.</x:v>
      </x:c>
    </x:row>
    <x:row r="18" ht="15" hidden="0" customHeight="1">
      <x:c r="A18" s="79" t="str">
        <x:v>Scryfall — Cavern of Souls</x:v>
      </x:c>
      <x:c r="B18" s="79" t="str">
        <x:v>https://scryfall.com/search?q=%21%22Cavern+of+Souls%22</x:v>
      </x:c>
      <x:c r="C18" s="79" t="str">
        <x:v>Fixação tribal e resistência a counters.</x:v>
      </x:c>
      <x:c r="D18" s="79" t="str">
        <x:v>Correção de cor para Vampiros nomeados.</x:v>
      </x:c>
    </x:row>
    <x:row r="19" ht="15" hidden="0" customHeight="1">
      <x:c r="A19" s="79" t="str">
        <x:v>Scryfall — Three Tree City</x:v>
      </x:c>
      <x:c r="B19" s="79" t="str">
        <x:v>https://scryfall.com/search?q=%21%22Three+Tree+City%22</x:v>
      </x:c>
      <x:c r="C19" s="79" t="str">
        <x:v>Terreno de mana tribal de alto teto.</x:v>
      </x:c>
      <x:c r="D19" s="79" t="str">
        <x:v>Produz só incolor no modo simples; ativação custa 2 + virar.</x:v>
      </x:c>
    </x:row>
    <x:row r="20" ht="15" hidden="0" customHeight="1">
      <x:c r="A20" s="79" t="str">
        <x:v>Scryfall — Phyrexian Tower</x:v>
      </x:c>
      <x:c r="B20" s="79" t="str">
        <x:v>https://scryfall.com/search?q=%21%22Phyrexian+Tower%22</x:v>
      </x:c>
      <x:c r="C20" s="79" t="str">
        <x:v>Terreno e sac outlet para gerar {B}{B}.</x:v>
      </x:c>
      <x:c r="D20" s="79" t="str">
        <x:v>Não é mana incondicional nem fixing geral.</x:v>
      </x:c>
    </x:row>
    <x:row r="21" ht="15" hidden="0" customHeight="1">
      <x:c r="A21" s="79" t="str">
        <x:v>Scryfall — Minas Tirith</x:v>
      </x:c>
      <x:c r="B21" s="79" t="str">
        <x:v>https://scryfall.com/card/ltr/256/minas-tirith</x:v>
      </x:c>
      <x:c r="C21" s="79" t="str">
        <x:v>Compra de carta no land slot após atacar com duas criaturas.</x:v>
      </x:c>
      <x:c r="D21" s="79" t="str">
        <x:v>Exige {1}{W} e virar; não exige lendária.</x:v>
      </x:c>
    </x:row>
    <x:row r="22" ht="15" hidden="0" customHeight="1">
      <x:c r="A22" s="79" t="str">
        <x:v>Scryfall — Master of Dark Rites</x:v>
      </x:c>
      <x:c r="B22" s="79" t="str">
        <x:v>https://scryfall.com/search?q=%21%22Master+of+Dark+Rites%22</x:v>
      </x:c>
      <x:c r="C22" s="79" t="str">
        <x:v>Acelerador condicional de Vampiro/Clérigo/Demônio na watchlist.</x:v>
      </x:c>
      <x:c r="D22" s="79" t="str">
        <x:v>Exige virar e sacrificar outra criatura; não é rock genérico.</x:v>
      </x:c>
    </x:row>
    <x:row r="23" ht="15" hidden="0" customHeight="1">
      <x:c r="A23" s="79" t="str">
        <x:v>EDHREC — artigo Edgar/novas cartas</x:v>
      </x:c>
      <x:c r="B23" s="79" t="str">
        <x:v>https://edhrec.com/articles/giving-edgar-markov-commander-decks-some-new-bite</x:v>
      </x:c>
      <x:c r="C23" s="79" t="str">
        <x:v>Discussão de cartas e funções novas para Edgar.</x:v>
      </x:c>
      <x:c r="D23" s="79" t="str">
        <x:v>Artigo de inspiração, validar cada texto e trade-off antes de incluir.</x:v>
      </x:c>
    </x:row>
    <x:row r="24" ht="24" hidden="0" customHeight="1">
      <x:c r="A24" s="79" t="str">
        <x:v>Archidekt — JoeyDH</x:v>
      </x:c>
      <x:c r="B24" s="79" t="str">
        <x:v>https://archidekt.com/decks/2073351/upping_the_average_edgar_markov_redux</x:v>
      </x:c>
      <x:c r="C24" s="79" t="str">
        <x:v>Benchmark fornecido pelo usuário; 33 terrenos, média ~2,96 reportados no snapshot.</x:v>
      </x:c>
      <x:c r="D24" s="79" t="str">
        <x:v>Lista atualizada em 2021 segundo o arquivo/metadata compartilhados; contém rocks que o usuário rejeita.</x:v>
      </x:c>
    </x:row>
    <x:row r="25" ht="24" hidden="0" customHeight="1">
      <x:c r="A25" s="79" t="str">
        <x:v>Moxfield — WinterDragon</x:v>
      </x:c>
      <x:c r="B25" s="79" t="str">
        <x:v>https://moxfield.com/decks/Vv7rGWqkHkaAa8U5o0H1qQ</x:v>
      </x:c>
      <x:c r="C25" s="79" t="str">
        <x:v>Benchmark fornecido pelo usuário; 32 terrenos + Agadeem's Awakening e média ~2,53 conforme captura.</x:v>
      </x:c>
      <x:c r="D25" s="79" t="str">
        <x:v>Lista reportada como atualizada há mais de um ano; considering não disponível no arquivo.</x:v>
      </x:c>
    </x:row>
    <x:row r="26" ht="15" hidden="0" customHeight="1">
      <x:c r="A26" s="79" t="str">
        <x:v>Markov — Beijo do Vampiro</x:v>
      </x:c>
      <x:c r="B26" s="79" t="str">
        <x:v>(arquivo fornecido pelo usuário)</x:v>
      </x:c>
      <x:c r="C26" s="79" t="str">
        <x:v>Referência histórica de decklist.</x:v>
      </x:c>
      <x:c r="D26" s="79" t="str">
        <x:v>Sem primer/curva; não inferir notas ou teste.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9" hidden="0" customWidth="1"/>
    <x:col min="3" max="3" width="17" hidden="0" customWidth="1"/>
    <x:col min="4" max="4" width="12" hidden="0" customWidth="1"/>
    <x:col min="5" max="5" width="14" hidden="0" customWidth="1"/>
    <x:col min="6" max="6" width="21" hidden="0" customWidth="1"/>
    <x:col min="7" max="7" width="18" hidden="0" customWidth="1"/>
    <x:col min="8" max="8" width="33" hidden="0" customWidth="1"/>
    <x:col min="9" max="9" width="43" hidden="0" customWidth="1"/>
    <x:col min="10" max="10" width="37" hidden="0" customWidth="1"/>
    <x:col min="11" max="11" width="43" hidden="0" customWidth="1"/>
  </x:cols>
  <x:sheetData>
    <x:row r="1" ht="30" customHeight="1">
      <x:c r="A1" s="81" t="str">
        <x:v>PLAYTEST LOG — V2 RESEARCH | EVIDÊNCIA ANTES DE REBASELINE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</x:row>
    <x:row r="2" ht="32" customHeight="1">
      <x:c r="A2" s="83" t="str">
        <x:v>As propostas são hipóteses. Ideal: 5+ partidas comparáveis por onda. Não atribuir causalidade a uma única partida; não marcar TESTED sem registrar versão e resultados.</x:v>
      </x:c>
      <x:c r="B2" s="83"/>
      <x:c r="C2" s="83"/>
      <x:c r="D2" s="83"/>
      <x:c r="E2" s="83"/>
      <x:c r="F2" s="83"/>
      <x:c r="G2" s="83"/>
      <x:c r="H2" s="83"/>
      <x:c r="I2" s="83"/>
      <x:c r="J2" s="83"/>
      <x:c r="K2" s="83"/>
    </x:row>
    <x:row r="3">
      <x:c r="A3"/>
      <x:c r="B3"/>
      <x:c r="C3"/>
      <x:c r="D3"/>
      <x:c r="E3"/>
      <x:c r="F3"/>
      <x:c r="G3"/>
      <x:c r="H3"/>
      <x:c r="I3"/>
      <x:c r="J3"/>
      <x:c r="K3"/>
    </x:row>
    <x:row r="4" ht="28" customHeight="1">
      <x:c r="A4" s="84" t="str">
        <x:v>Data</x:v>
      </x:c>
      <x:c r="B4" s="84" t="str">
        <x:v>Versão</x:v>
      </x:c>
      <x:c r="C4" s="84" t="str">
        <x:v>Pod (jogadores)</x:v>
      </x:c>
      <x:c r="D4" s="84" t="str">
        <x:v>Ordem</x:v>
      </x:c>
      <x:c r="E4" s="84" t="str">
        <x:v>Mulligans</x:v>
      </x:c>
      <x:c r="F4" s="84" t="str">
        <x:v>Turno de 1º impacto</x:v>
      </x:c>
      <x:c r="G4" s="84" t="str">
        <x:v>Terrenos até T4</x:v>
      </x:c>
      <x:c r="H4" s="84" t="str">
        <x:v>Compra relevante</x:v>
      </x:c>
      <x:c r="I4" s="84" t="str">
        <x:v>Wipe? / recuperação</x:v>
      </x:c>
      <x:c r="J4" s="84" t="str">
        <x:v>Cartas mortas / travadas</x:v>
      </x:c>
      <x:c r="K4" s="84" t="str">
        <x:v>Resultado + turno / notas</x:v>
      </x:c>
    </x:row>
    <x:row r="5" ht="15" hidden="0" customHeight="1">
      <x:c r="A5" s="120" t="str"/>
      <x:c r="B5" s="120" t="str">
        <x:v>CURRENT ou V2</x:v>
      </x:c>
      <x:c r="C5" s="120" t="str"/>
      <x:c r="D5" s="120" t="str"/>
      <x:c r="E5" s="120" t="str"/>
      <x:c r="F5" s="120" t="str"/>
      <x:c r="G5" s="120" t="str"/>
      <x:c r="H5" s="120" t="str"/>
      <x:c r="I5" s="120" t="str"/>
      <x:c r="J5" s="120" t="str"/>
      <x:c r="K5" s="120" t="str"/>
    </x:row>
    <x:row r="6" ht="15" hidden="0" customHeight="1">
      <x:c r="A6" s="120" t="str"/>
      <x:c r="B6" s="120" t="str">
        <x:v>CURRENT ou V2</x:v>
      </x:c>
      <x:c r="C6" s="120" t="str"/>
      <x:c r="D6" s="120" t="str"/>
      <x:c r="E6" s="120" t="str"/>
      <x:c r="F6" s="120" t="str"/>
      <x:c r="G6" s="120" t="str"/>
      <x:c r="H6" s="120" t="str"/>
      <x:c r="I6" s="120" t="str"/>
      <x:c r="J6" s="120" t="str"/>
      <x:c r="K6" s="120" t="str"/>
    </x:row>
    <x:row r="7" ht="15" hidden="0" customHeight="1">
      <x:c r="A7" s="120" t="str"/>
      <x:c r="B7" s="120" t="str">
        <x:v>CURRENT ou V2</x:v>
      </x:c>
      <x:c r="C7" s="120" t="str"/>
      <x:c r="D7" s="120" t="str"/>
      <x:c r="E7" s="120" t="str"/>
      <x:c r="F7" s="120" t="str"/>
      <x:c r="G7" s="120" t="str"/>
      <x:c r="H7" s="120" t="str"/>
      <x:c r="I7" s="120" t="str"/>
      <x:c r="J7" s="120" t="str"/>
      <x:c r="K7" s="120" t="str"/>
    </x:row>
    <x:row r="8" ht="15" hidden="0" customHeight="1">
      <x:c r="A8" s="120" t="str"/>
      <x:c r="B8" s="120" t="str">
        <x:v>CURRENT ou V2</x:v>
      </x:c>
      <x:c r="C8" s="120" t="str"/>
      <x:c r="D8" s="120" t="str"/>
      <x:c r="E8" s="120" t="str"/>
      <x:c r="F8" s="120" t="str"/>
      <x:c r="G8" s="120" t="str"/>
      <x:c r="H8" s="120" t="str"/>
      <x:c r="I8" s="120" t="str"/>
      <x:c r="J8" s="120" t="str"/>
      <x:c r="K8" s="120" t="str"/>
    </x:row>
    <x:row r="9" ht="15" hidden="0" customHeight="1">
      <x:c r="A9" s="120" t="str"/>
      <x:c r="B9" s="120" t="str">
        <x:v>CURRENT ou V2</x:v>
      </x:c>
      <x:c r="C9" s="120" t="str"/>
      <x:c r="D9" s="120" t="str"/>
      <x:c r="E9" s="120" t="str"/>
      <x:c r="F9" s="120" t="str"/>
      <x:c r="G9" s="120" t="str"/>
      <x:c r="H9" s="120" t="str"/>
      <x:c r="I9" s="120" t="str"/>
      <x:c r="J9" s="120" t="str"/>
      <x:c r="K9" s="120" t="str"/>
    </x:row>
    <x:row r="10" ht="15" hidden="0" customHeight="1">
      <x:c r="A10" s="120" t="str"/>
      <x:c r="B10" s="120" t="str">
        <x:v>CURRENT ou V2</x:v>
      </x:c>
      <x:c r="C10" s="120" t="str"/>
      <x:c r="D10" s="120" t="str"/>
      <x:c r="E10" s="120" t="str"/>
      <x:c r="F10" s="120" t="str"/>
      <x:c r="G10" s="120" t="str"/>
      <x:c r="H10" s="120" t="str"/>
      <x:c r="I10" s="120" t="str"/>
      <x:c r="J10" s="120" t="str"/>
      <x:c r="K10" s="120" t="str"/>
    </x:row>
    <x:row r="11" ht="15" hidden="0" customHeight="1">
      <x:c r="A11" s="120" t="str"/>
      <x:c r="B11" s="120" t="str">
        <x:v>CURRENT ou V2</x:v>
      </x:c>
      <x:c r="C11" s="120" t="str"/>
      <x:c r="D11" s="120" t="str"/>
      <x:c r="E11" s="120" t="str"/>
      <x:c r="F11" s="120" t="str"/>
      <x:c r="G11" s="120" t="str"/>
      <x:c r="H11" s="120" t="str"/>
      <x:c r="I11" s="120" t="str"/>
      <x:c r="J11" s="120" t="str"/>
      <x:c r="K11" s="120" t="str"/>
    </x:row>
    <x:row r="12" ht="15" hidden="0" customHeight="1">
      <x:c r="A12" s="120" t="str"/>
      <x:c r="B12" s="120" t="str">
        <x:v>CURRENT ou V2</x:v>
      </x:c>
      <x:c r="C12" s="120" t="str"/>
      <x:c r="D12" s="120" t="str"/>
      <x:c r="E12" s="120" t="str"/>
      <x:c r="F12" s="120" t="str"/>
      <x:c r="G12" s="120" t="str"/>
      <x:c r="H12" s="120" t="str"/>
      <x:c r="I12" s="120" t="str"/>
      <x:c r="J12" s="120" t="str"/>
      <x:c r="K12" s="120" t="str"/>
    </x:row>
    <x:row r="13" ht="15" hidden="0" customHeight="1">
      <x:c r="A13" s="120" t="str"/>
      <x:c r="B13" s="120" t="str">
        <x:v>CURRENT ou V2</x:v>
      </x:c>
      <x:c r="C13" s="120" t="str"/>
      <x:c r="D13" s="120" t="str"/>
      <x:c r="E13" s="120" t="str"/>
      <x:c r="F13" s="120" t="str"/>
      <x:c r="G13" s="120" t="str"/>
      <x:c r="H13" s="120" t="str"/>
      <x:c r="I13" s="120" t="str"/>
      <x:c r="J13" s="120" t="str"/>
      <x:c r="K13" s="120" t="str"/>
    </x:row>
    <x:row r="14" ht="15" hidden="0" customHeight="1">
      <x:c r="A14" s="120" t="str"/>
      <x:c r="B14" s="120" t="str">
        <x:v>CURRENT ou V2</x:v>
      </x:c>
      <x:c r="C14" s="120" t="str"/>
      <x:c r="D14" s="120" t="str"/>
      <x:c r="E14" s="120" t="str"/>
      <x:c r="F14" s="120" t="str"/>
      <x:c r="G14" s="120" t="str"/>
      <x:c r="H14" s="120" t="str"/>
      <x:c r="I14" s="120" t="str"/>
      <x:c r="J14" s="120" t="str"/>
      <x:c r="K14" s="120" t="str"/>
    </x:row>
    <x:row r="15" ht="15" hidden="0" customHeight="1">
      <x:c r="A15" s="120" t="str"/>
      <x:c r="B15" s="120" t="str">
        <x:v>CURRENT ou V2</x:v>
      </x:c>
      <x:c r="C15" s="120" t="str"/>
      <x:c r="D15" s="120" t="str"/>
      <x:c r="E15" s="120" t="str"/>
      <x:c r="F15" s="120" t="str"/>
      <x:c r="G15" s="120" t="str"/>
      <x:c r="H15" s="120" t="str"/>
      <x:c r="I15" s="120" t="str"/>
      <x:c r="J15" s="120" t="str"/>
      <x:c r="K15" s="120" t="str"/>
    </x:row>
    <x:row r="16" ht="15" hidden="0" customHeight="1">
      <x:c r="A16" s="120" t="str"/>
      <x:c r="B16" s="120" t="str">
        <x:v>CURRENT ou V2</x:v>
      </x:c>
      <x:c r="C16" s="120" t="str"/>
      <x:c r="D16" s="120" t="str"/>
      <x:c r="E16" s="120" t="str"/>
      <x:c r="F16" s="120" t="str"/>
      <x:c r="G16" s="120" t="str"/>
      <x:c r="H16" s="120" t="str"/>
      <x:c r="I16" s="120" t="str"/>
      <x:c r="J16" s="120" t="str"/>
      <x:c r="K16" s="120" t="str"/>
    </x:row>
    <x:row r="17" ht="15" hidden="0" customHeight="1">
      <x:c r="A17" s="120" t="str"/>
      <x:c r="B17" s="120" t="str">
        <x:v>CURRENT ou V2</x:v>
      </x:c>
      <x:c r="C17" s="120" t="str"/>
      <x:c r="D17" s="120" t="str"/>
      <x:c r="E17" s="120" t="str"/>
      <x:c r="F17" s="120" t="str"/>
      <x:c r="G17" s="120" t="str"/>
      <x:c r="H17" s="120" t="str"/>
      <x:c r="I17" s="120" t="str"/>
      <x:c r="J17" s="120" t="str"/>
      <x:c r="K17" s="120" t="str"/>
    </x:row>
    <x:row r="18" ht="15" hidden="0" customHeight="1">
      <x:c r="A18" s="120" t="str"/>
      <x:c r="B18" s="120" t="str">
        <x:v>CURRENT ou V2</x:v>
      </x:c>
      <x:c r="C18" s="120" t="str"/>
      <x:c r="D18" s="120" t="str"/>
      <x:c r="E18" s="120" t="str"/>
      <x:c r="F18" s="120" t="str"/>
      <x:c r="G18" s="120" t="str"/>
      <x:c r="H18" s="120" t="str"/>
      <x:c r="I18" s="120" t="str"/>
      <x:c r="J18" s="120" t="str"/>
      <x:c r="K18" s="120" t="str"/>
    </x:row>
    <x:row r="19" ht="15" hidden="0" customHeight="1">
      <x:c r="A19" s="120" t="str"/>
      <x:c r="B19" s="120" t="str">
        <x:v>CURRENT ou V2</x:v>
      </x:c>
      <x:c r="C19" s="120" t="str"/>
      <x:c r="D19" s="120" t="str"/>
      <x:c r="E19" s="120" t="str"/>
      <x:c r="F19" s="120" t="str"/>
      <x:c r="G19" s="120" t="str"/>
      <x:c r="H19" s="120" t="str"/>
      <x:c r="I19" s="120" t="str"/>
      <x:c r="J19" s="120" t="str"/>
      <x:c r="K19" s="120" t="str"/>
    </x:row>
    <x:row r="20" ht="15" hidden="0" customHeight="1">
      <x:c r="A20" s="79"/>
      <x:c r="B20" s="79"/>
      <x:c r="C20" s="79"/>
      <x:c r="D20" s="79"/>
      <x:c r="E20" s="79"/>
      <x:c r="F20" s="79"/>
      <x:c r="G20" s="79"/>
      <x:c r="H20" s="79"/>
      <x:c r="I20" s="79"/>
      <x:c r="J20" s="79"/>
      <x:c r="K20" s="79"/>
    </x:row>
    <x:row r="21" ht="156" hidden="0" customHeight="1">
      <x:c r="A21" s="79" t="str">
        <x:v>Métricas úteis: número de cartas compradas antes do primeiro wipe; turnos sem land drop; capacidade de recomeçar sem Edgar; quantas vezes Champion/Gourmand/Banner/Agadeem geraram valor real.</x:v>
      </x:c>
      <x:c r="B21" s="79"/>
      <x:c r="C21" s="79"/>
      <x:c r="D21" s="79"/>
      <x:c r="E21" s="79"/>
      <x:c r="F21" s="79"/>
      <x:c r="G21" s="79"/>
      <x:c r="H21" s="79"/>
      <x:c r="I21" s="79"/>
      <x:c r="J21" s="79"/>
      <x:c r="K21" s="79"/>
    </x:row>
  </x:sheetData>
  <x:mergeCells>
    <x:mergeCell ref="A1:K1"/>
    <x:mergeCell ref="A2:K2"/>
  </x:mergeCells>
  <x:dataValidations count="3">
    <x:dataValidation type="list" sqref="B5:B19">
      <x:formula1>"CURRENT,PROPOSED V2"</x:formula1>
    </x:dataValidation>
    <x:dataValidation type="list" sqref="C5:C19">
      <x:formula1>"3,4,5,6+"</x:formula1>
    </x:dataValidation>
    <x:dataValidation type="list" sqref="I5:I19">
      <x:formula1>"Sim,Não"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24" hidden="0" customWidth="1"/>
    <x:col min="3" max="3" width="24" hidden="0" customWidth="1"/>
    <x:col min="4" max="4" width="48" hidden="0" customWidth="1"/>
    <x:col min="5" max="5" width="54" hidden="0" customWidth="1"/>
    <x:col min="6" max="6" width="56" hidden="0" customWidth="1"/>
    <x:col min="7" max="7" width="28" hidden="0" customWidth="1"/>
    <x:col min="8" max="8" width="58" hidden="0" customWidth="1"/>
  </x:cols>
  <x:sheetData>
    <x:row r="1">
      <x:c r="A1" s="81" t="str">
        <x:v>RESEARCH &amp; CANDIDATES — HIGH TIER, NOVAS CARTAS E ALTERNATIVAS CRIATIVAS</x:v>
      </x:c>
      <x:c r="B1" s="81"/>
      <x:c r="C1" s="81"/>
      <x:c r="D1" s="81"/>
      <x:c r="E1" s="81"/>
      <x:c r="F1" s="81"/>
      <x:c r="G1" s="81"/>
      <x:c r="H1" s="81"/>
    </x:row>
    <x:row r="2">
      <x:c r="A2" s="83" t="str">
        <x:v>Pesquisa em 14/10/2026. Popularidade é benchmark; Tier descreve encaixe e prioridade é experimental. Fontes oficiais para texto/regras; EDHREC para padrões de adoção.</x:v>
      </x:c>
      <x:c r="B2" s="83"/>
      <x:c r="C2" s="83"/>
      <x:c r="D2" s="83"/>
      <x:c r="E2" s="83"/>
      <x:c r="F2" s="83"/>
      <x:c r="G2" s="83"/>
      <x:c r="H2" s="83"/>
    </x:row>
    <x:row r="4">
      <x:c r="A4" s="84" t="str">
        <x:v>Carta</x:v>
      </x:c>
      <x:c r="B4" s="84" t="str">
        <x:v>Status</x:v>
      </x:c>
      <x:c r="C4" s="84" t="str">
        <x:v>Tier/ideia</x:v>
      </x:c>
      <x:c r="D4" s="84" t="str">
        <x:v>Função no plano</x:v>
      </x:c>
      <x:c r="E4" s="84" t="str">
        <x:v>Evidência / dado de benchmark</x:v>
      </x:c>
      <x:c r="F4" s="84" t="str">
        <x:v>Custo de oportunidade / condição</x:v>
      </x:c>
      <x:c r="G4" s="84" t="str">
        <x:v>Prioridade de teste</x:v>
      </x:c>
      <x:c r="H4" s="84" t="str">
        <x:v>Fonte</x:v>
      </x:c>
    </x:row>
    <x:row r="5" ht="24" hidden="0" customHeight="1">
      <x:c r="A5" s="79" t="str">
        <x:v>Champion of Dusk</x:v>
      </x:c>
      <x:c r="B5" s="79" t="str">
        <x:v>PROPOSED V2</x:v>
      </x:c>
      <x:c r="C5" s="79" t="str">
        <x:v>A — refill tribal</x:v>
      </x:c>
      <x:c r="D5" s="79" t="str">
        <x:v>ETB compra X, X = Vampiros controlados; pode recarregar muito a mão.</x:v>
      </x:c>
      <x:c r="E5" s="79" t="str">
        <x:v>EDHREC: ~40% em recortes otimizados recentes; amplamente reconhecida no arquétipo.</x:v>
      </x:c>
      <x:c r="F5" s="79" t="str">
        <x:v>Compra pouco em board vazio; perda de vida proporcional às cartas compradas.</x:v>
      </x:c>
      <x:c r="G5" s="79" t="str">
        <x:v>Onda 1</x:v>
      </x:c>
      <x:c r="H5" s="79" t="str">
        <x:v>https://scryfall.com/card/rix/64/champion-of-dusk</x:v>
      </x:c>
    </x:row>
    <x:row r="6" ht="24" hidden="0" customHeight="1">
      <x:c r="A6" s="79" t="str">
        <x:v>Black Market Connections</x:v>
      </x:c>
      <x:c r="B6" s="79" t="str">
        <x:v>PROPOSED V2</x:v>
      </x:c>
      <x:c r="C6" s="79" t="str">
        <x:v>S — motor de recursos</x:v>
      </x:c>
      <x:c r="D6" s="79" t="str">
        <x:v>Escolhas flexíveis de comprar carta, token changeling e Treasure; permanece funcionando sem mesa de criaturas.</x:v>
      </x:c>
      <x:c r="E6" s="79" t="str">
        <x:v>Presença em listas otimizadas e opção não-Vampire com altíssima densidade funcional.</x:v>
      </x:c>
      <x:c r="F6" s="79" t="str">
        <x:v>Até 6 vidas/turno se escolher os três modos; pode atrair foco e somar-se a Necropotence/Citadel.</x:v>
      </x:c>
      <x:c r="G6" s="79" t="str">
        <x:v>Onda 1</x:v>
      </x:c>
      <x:c r="H6" s="79" t="str">
        <x:v>https://scryfall.com/search?q=%21%22Black+Market+Connections%22</x:v>
      </x:c>
    </x:row>
    <x:row r="7" ht="24" hidden="0" customHeight="1">
      <x:c r="A7" s="79" t="str">
        <x:v>Plumb the Forbidden</x:v>
      </x:c>
      <x:c r="B7" s="79" t="str">
        <x:v>PROPOSED V2</x:v>
      </x:c>
      <x:c r="C7" s="79" t="str">
        <x:v>S — anti-wipe/card conversion</x:v>
      </x:c>
      <x:c r="D7" s="79" t="str">
        <x:v>Em resposta, converte tokens/corpos ameaçados em cópias de compra.</x:v>
      </x:c>
      <x:c r="E7" s="79" t="str">
        <x:v>A mecânica escala diretamente com o volume que Eminência produz.</x:v>
      </x:c>
      <x:c r="F7" s="79" t="str">
        <x:v>Sacrifica as criaturas como custo; precisa haver wipe/remoção ou corpos sobrando; perde seleção/flashback de Looting.</x:v>
      </x:c>
      <x:c r="G7" s="79" t="str">
        <x:v>Onda 1</x:v>
      </x:c>
      <x:c r="H7" s="79" t="str">
        <x:v>https://scryfall.com/card/stx/81/plumb-the-forbidden</x:v>
      </x:c>
    </x:row>
    <x:row r="8" ht="24" hidden="0" customHeight="1">
      <x:c r="A8" s="79" t="str">
        <x:v>Bloodletter of Aclazotz</x:v>
      </x:c>
      <x:c r="B8" s="79" t="str">
        <x:v>PROPOSED V2</x:v>
      </x:c>
      <x:c r="C8" s="79" t="str">
        <x:v>S — fechamento/drain</x:v>
      </x:c>
      <x:c r="D8" s="79" t="str">
        <x:v>Dobra a perda de vida de oponentes no seu turno; amplifica ataques e efeitos de drain.</x:v>
      </x:c>
      <x:c r="E8" s="79" t="str">
        <x:v>EDHREC upgraded/optimized: presença forte, ~56–62% em subcategorias otimizadas consultadas.</x:v>
      </x:c>
      <x:c r="F8" s="79" t="str">
        <x:v>Triplo preto, aumenta ameaça; dobra perda de vida de oponentes, não dano genericamente.</x:v>
      </x:c>
      <x:c r="G8" s="79" t="str">
        <x:v>Onda 1</x:v>
      </x:c>
      <x:c r="H8" s="79" t="str">
        <x:v>https://scryfall.com/search?q=%21%22Bloodletter+of+Aclazotz%22</x:v>
      </x:c>
    </x:row>
    <x:row r="9" ht="24" hidden="0" customHeight="1">
      <x:c r="A9" s="79" t="str">
        <x:v>Bloodline Recollector</x:v>
      </x:c>
      <x:c r="B9" s="79" t="str">
        <x:v>PROPOSED V2 · nova carta</x:v>
      </x:c>
      <x:c r="C9" s="79" t="str">
        <x:v>A- — draw temático condicionado</x:v>
      </x:c>
      <x:c r="D9" s="79" t="str">
        <x:v>Ao início da etapa final, se 3+ criaturas morreram no turno, fica preparada para Ancestral Craving {B}: alvo compra 3, perde 3.</x:v>
      </x:c>
      <x:c r="E9" s="79" t="str">
        <x:v>EDHREC upgraded tokens (12/10/2026): ~7,6% de inclusão em 636 decks daquele recorte; novidade com uptake ainda modesto.</x:v>
      </x:c>
      <x:c r="F9" s="79" t="str">
        <x:v>Tem que sobreviver até o início da etapa final; não prepara no meio do wipe se ele morreu antes do trigger.</x:v>
      </x:c>
      <x:c r="G9" s="79" t="str">
        <x:v>Onda 2</x:v>
      </x:c>
      <x:c r="H9" s="79" t="str">
        <x:v>https://magic.wizards.com/en/news/feature/reality-fracture-release-notes</x:v>
      </x:c>
    </x:row>
    <x:row r="10" ht="24" hidden="0" customHeight="1">
      <x:c r="A10" s="79" t="str">
        <x:v>Scheming Silvertongue</x:v>
      </x:c>
      <x:c r="B10" s="79" t="str">
        <x:v>PROPOSED V2 · nova carta</x:v>
      </x:c>
      <x:c r="C10" s="79" t="str">
        <x:v>A- — draw temático condicionado</x:v>
      </x:c>
      <x:c r="D10" s="79" t="str">
        <x:v>Vampiro 1/3 voar/lifelink; prepara Sign in Blood se ganhou 2+ vidas antes do início da segunda fase principal.</x:v>
      </x:c>
      <x:c r="E10" s="79" t="str">
        <x:v>EDHREC upgraded tokens (12/10/2026): ~36% dos decks no recorte consultado.</x:v>
      </x:c>
      <x:c r="F10" s="79" t="str">
        <x:v>Seu próprio lifelink de 1 não garante condição de 2; condição checada ao começar a segunda fase, não pode ser reparada depois.</x:v>
      </x:c>
      <x:c r="G10" s="79" t="str">
        <x:v>Onda 2</x:v>
      </x:c>
      <x:c r="H10" s="79" t="str">
        <x:v>https://magic.wizards.com/en/news/feature/secrets-of-strixhaven-release-notes</x:v>
      </x:c>
    </x:row>
    <x:row r="11" ht="24" hidden="0" customHeight="1">
      <x:c r="A11" s="79" t="str">
        <x:v>Crossway Troublemakers</x:v>
      </x:c>
      <x:c r="B11" s="79" t="str">
        <x:v>PROPOSED V2</x:v>
      </x:c>
      <x:c r="C11" s="79" t="str">
        <x:v>A+ — draw por morte</x:v>
      </x:c>
      <x:c r="D11" s="79" t="str">
        <x:v>Vampiros atacantes ganham deathtouch/lifelink; cada Vampire seu que morre permite pagar 2 vidas para comprar.</x:v>
      </x:c>
      <x:c r="E11" s="79" t="str">
        <x:v>EDHREC upgraded tokens (12/10/2026): ~26% do recorte de 636 decks.</x:v>
      </x:c>
      <x:c r="F11" s="79" t="str">
        <x:v>Seis manas; card draw depende de pagar vida. Gatilhos de morte são especialmente relevantes durante um wipe.</x:v>
      </x:c>
      <x:c r="G11" s="79" t="str">
        <x:v>Onda 2</x:v>
      </x:c>
      <x:c r="H11" s="79" t="str">
        <x:v>https://www.metamox.com/cards/crossway-troublemakers</x:v>
      </x:c>
    </x:row>
    <x:row r="12" ht="24" hidden="0" customHeight="1">
      <x:c r="A12" s="79" t="str">
        <x:v>Bloodline Bidding</x:v>
      </x:c>
      <x:c r="B12" s="79" t="str">
        <x:v>PROPOSED V2 · nova carta</x:v>
      </x:c>
      <x:c r="C12" s="79" t="str">
        <x:v>A — recuperação assimétrica</x:v>
      </x:c>
      <x:c r="D12" s="79" t="str">
        <x:v>{6}{B}{B}, convoke: escolhe tipo; retorna todas as cartas de criatura daquele tipo do seu próprio cemitério.</x:v>
      </x:c>
      <x:c r="E12" s="79" t="str">
        <x:v>EDHREC upgraded tokens (12/10/2026): ~14% no recorte de 402 listas que a página indica para a carta.</x:v>
      </x:c>
      <x:c r="F12" s="79" t="str">
        <x:v>Convoke exige corpos; total cost 8 e fraca se você não tiver mesa depois de um wipe total. Assimétrica versus Patriarch's Bidding.</x:v>
      </x:c>
      <x:c r="G12" s="79" t="str">
        <x:v>Onda 2</x:v>
      </x:c>
      <x:c r="H12" s="79" t="str">
        <x:v>https://scryfall.com/search?q=%21%22Bloodline+Bidding%22</x:v>
      </x:c>
    </x:row>
    <x:row r="13" ht="24" hidden="0" customHeight="1">
      <x:c r="A13" s="79" t="str">
        <x:v>Three Tree City</x:v>
      </x:c>
      <x:c r="B13" s="79" t="str">
        <x:v>PROPOSED V2 · land</x:v>
      </x:c>
      <x:c r="C13" s="79" t="str">
        <x:v>A — mana tribal</x:v>
      </x:c>
      <x:c r="D13" s="79" t="str">
        <x:v>Terrain slot gera mana colorida baseada no número de Vampiros após custo {2} + virar.</x:v>
      </x:c>
      <x:c r="E13" s="79" t="str">
        <x:v>Densidade tribal faz o terreno escalar sem ocupar slot de rock.</x:v>
      </x:c>
      <x:c r="F13" s="79" t="str">
        <x:v>Com mesa vazia gera apenas {C}; não substitui fixação colorida.</x:v>
      </x:c>
      <x:c r="G13" s="79" t="str">
        <x:v>Onda 3</x:v>
      </x:c>
      <x:c r="H13" s="79" t="str">
        <x:v>https://scryfall.com/search?q=%21%22Three+Tree+City%22</x:v>
      </x:c>
    </x:row>
    <x:row r="14" ht="24" hidden="0" customHeight="1">
      <x:c r="A14" s="79" t="str">
        <x:v>Cavern of Souls</x:v>
      </x:c>
      <x:c r="B14" s="79" t="str">
        <x:v>PROPOSED V2 · land</x:v>
      </x:c>
      <x:c r="C14" s="79" t="str">
        <x:v>A — fixing tribal</x:v>
      </x:c>
      <x:c r="D14" s="79" t="str">
        <x:v>Escolhe Vampire; pode corrigir mana para Vampiros e torná-los não anuláveis.</x:v>
      </x:c>
      <x:c r="E14" s="79" t="str">
        <x:v>Benchmark premium em tribais; não aparece no CURRENT.</x:v>
      </x:c>
      <x:c r="F14" s="79" t="str">
        <x:v>Sua correção de cor é restrita a criatura do tipo escolhido, e não conjura removals com essas cores.</x:v>
      </x:c>
      <x:c r="G14" s="79" t="str">
        <x:v>Onda 3</x:v>
      </x:c>
      <x:c r="H14" s="79" t="str">
        <x:v>https://scryfall.com/search?q=%21%22Cavern+of+Souls%22</x:v>
      </x:c>
    </x:row>
    <x:row r="15" ht="24" hidden="0" customHeight="1">
      <x:c r="A15" s="79" t="str">
        <x:v>Phyrexian Tower</x:v>
      </x:c>
      <x:c r="B15" s="79" t="str">
        <x:v>PROPOSED V2 · land</x:v>
      </x:c>
      <x:c r="C15" s="79" t="str">
        <x:v>A — sac outlet + mana</x:v>
      </x:c>
      <x:c r="D15" s="79" t="str">
        <x:v>Sacrifica criatura para gerar {B}{B}; converte token de Eminência em mana e interage com aristocrats.</x:v>
      </x:c>
      <x:c r="E15" s="79" t="str">
        <x:v>Land slot que resolve parte do sac outlet/ramp sem contrariar regra de não usar pedras genéricas.</x:v>
      </x:c>
      <x:c r="F15" s="79" t="str">
        <x:v>Precisa de criatura para o modo de duas manas e não corrige todas as cores.</x:v>
      </x:c>
      <x:c r="G15" s="79" t="str">
        <x:v>Onda 3</x:v>
      </x:c>
      <x:c r="H15" s="79" t="str">
        <x:v>https://scryfall.com/search?q=%21%22Phyrexian+Tower%22</x:v>
      </x:c>
    </x:row>
    <x:row r="16" ht="24" hidden="0" customHeight="1">
      <x:c r="A16" s="79" t="str">
        <x:v>Minas Tirith</x:v>
      </x:c>
      <x:c r="B16" s="79" t="str">
        <x:v>PROPOSED V2 · land</x:v>
      </x:c>
      <x:c r="C16" s="79" t="str">
        <x:v>B+ — draw land</x:v>
      </x:c>
      <x:c r="D16" s="79" t="str">
        <x:v>Compra uma carta quando atacou com 2+ criaturas no turno; não exige lendária.</x:v>
      </x:c>
      <x:c r="E16" s="79" t="str">
        <x:v>Sinergiza com mesa larga e coloca draw num land slot.</x:v>
      </x:c>
      <x:c r="F16" s="79" t="str">
        <x:v>Custa {1}{W}, virar, e depende de atacar; troca scry de Temple.</x:v>
      </x:c>
      <x:c r="G16" s="79" t="str">
        <x:v>Onda 3</x:v>
      </x:c>
      <x:c r="H16" s="79" t="str">
        <x:v>https://scryfall.com/card/ltr/256/minas-tirith</x:v>
      </x:c>
    </x:row>
    <x:row r="17" ht="24" hidden="0" customHeight="1">
      <x:c r="A17" s="79" t="str">
        <x:v>Bloodstained Mire + shocklands</x:v>
      </x:c>
      <x:c r="B17" s="79" t="str">
        <x:v>PROPOSED V2 · mana</x:v>
      </x:c>
      <x:c r="C17" s="79" t="str">
        <x:v>A — consistência de cores</x:v>
      </x:c>
      <x:c r="D17" s="79" t="str">
        <x:v>Fetch/shocks permitem fontes Mardu que entram desviradas se necessário e corrigem cores.</x:v>
      </x:c>
      <x:c r="E17" s="79" t="str">
        <x:v>A referência WinterDragon reportava 32 lands + MDFC e mana base mais eficiente.</x:v>
      </x:c>
      <x:c r="F17" s="79" t="str">
        <x:v>Custo de vida e decisões de entrar virada; melhora estrutural precisa ser medida em jogos.</x:v>
      </x:c>
      <x:c r="G17" s="79" t="str">
        <x:v>Onda 3</x:v>
      </x:c>
      <x:c r="H17" s="79" t="str">
        <x:v>https://scryfall.com/search?q=%21%22Bloodstained+Mire%22</x:v>
      </x:c>
    </x:row>
    <x:row r="18" ht="24" hidden="0" customHeight="1">
      <x:c r="A18" s="79" t="str">
        <x:v>Emeritus of Woe</x:v>
      </x:c>
      <x:c r="B18" s="79" t="str">
        <x:v>WATCHLIST · nova carta</x:v>
      </x:c>
      <x:c r="C18" s="79" t="str">
        <x:v>S ceiling / risco social alto</x:v>
      </x:c>
      <x:c r="D18" s="79" t="str">
        <x:v>Entra preparada; copia Demonic Tutor por {1}{B}; volta a preparar no início da etapa final se 2+ criaturas morreram no turno.</x:v>
      </x:c>
      <x:c r="E18" s="79" t="str">
        <x:v>EDHREC upgraded tokens (12/10/2026): ~30% em 328 decks daquele recorte que usam/consideram a carta.</x:v>
      </x:c>
      <x:c r="F18" s="79" t="str">
        <x:v>Tutor recorrente cria foco e muda a percepção da lista; gatilho é checado quando a etapa final começa.</x:v>
      </x:c>
      <x:c r="G18" s="79" t="str">
        <x:v>Onda opcional</x:v>
      </x:c>
      <x:c r="H18" s="79" t="str">
        <x:v>https://magic.wizards.com/en/news/feature/secrets-of-strixhaven-release-notes</x:v>
      </x:c>
    </x:row>
    <x:row r="19" ht="24" hidden="0" customHeight="1">
      <x:c r="A19" s="79" t="str">
        <x:v>Master of Dark Rites</x:v>
      </x:c>
      <x:c r="B19" s="79" t="str">
        <x:v>WATCHLIST</x:v>
      </x:c>
      <x:c r="C19" s="79" t="str">
        <x:v>A — ramp de tribo</x:v>
      </x:c>
      <x:c r="D19" s="79" t="str">
        <x:v>{B} Vampire; vira e sacrifica outra criatura para adicionar {B}{B}{B}, gasto em Vampiro/Clérigo/Demônio.</x:v>
      </x:c>
      <x:c r="E19" s="79" t="str">
        <x:v>Aceleração restrita e temática, em vez de rock genérico.</x:v>
      </x:c>
      <x:c r="F19" s="79" t="str">
        <x:v>Depende de criatura e de sobreviver/tirar summoning sickness; não é acelerador sempre disponível.</x:v>
      </x:c>
      <x:c r="G19" s="79" t="str">
        <x:v>Onda opcional se curva lenta</x:v>
      </x:c>
      <x:c r="H19" s="79" t="str">
        <x:v>https://scryfall.com/search?q=%21%22Master+of+Dark+Rites%22</x:v>
      </x:c>
    </x:row>
    <x:row r="20" ht="24" hidden="0" customHeight="1">
      <x:c r="A20" s="79" t="str">
        <x:v>Indulgent Aristocrat</x:v>
      </x:c>
      <x:c r="B20" s="79" t="str">
        <x:v>WATCHLIST</x:v>
      </x:c>
      <x:c r="C20" s="79" t="str">
        <x:v>A — sac outlet/lord</x:v>
      </x:c>
      <x:c r="D20" s="79" t="str">
        <x:v>Sacrifica outra criatura por {2} para pôr marcador +1/+1 em cada Vampiro controlado.</x:v>
      </x:c>
      <x:c r="E20" s="79" t="str">
        <x:v>EDHREC upgraded: ~76% em Edgar upgraded geral; referência popular do plano tokens/counters.</x:v>
      </x:c>
      <x:c r="F20" s="79" t="str">
        <x:v>Escolha familiar; função de buff pode estar coberta por Cordial/Captain/Lieutenant/Banner.</x:v>
      </x:c>
      <x:c r="G20" s="79" t="str">
        <x:v>Comparar com Vampire Socialite</x:v>
      </x:c>
      <x:c r="H20" s="79" t="str">
        <x:v>https://scryfall.com/search?q=%21%22Indulgent+Aristocrat%22</x:v>
      </x:c>
    </x:row>
    <x:row r="21" ht="24" hidden="0" customHeight="1">
      <x:c r="A21" s="79" t="str">
        <x:v>Sanctum Seeker</x:v>
      </x:c>
      <x:c r="B21" s="79" t="str">
        <x:v>WATCHLIST</x:v>
      </x:c>
      <x:c r="C21" s="79" t="str">
        <x:v>A — drain de ataque</x:v>
      </x:c>
      <x:c r="D21" s="79" t="str">
        <x:v>Cada Vampire atacante drena 1 e você ganha 1; Eminência cria atacantes adicionais ao longo do jogo.</x:v>
      </x:c>
      <x:c r="E21" s="79" t="str">
        <x:v>Carta tribal de fechamento amplamente usada em Edgar e decks de Vampires.</x:v>
      </x:c>
      <x:c r="F21" s="79" t="str">
        <x:v>Quatro manas e exige atacar; pode duplicar papel de Blood Artist/Cruel Celebrant.</x:v>
      </x:c>
      <x:c r="G21" s="79" t="str">
        <x:v>Se combate/drain precisar de densidade</x:v>
      </x:c>
      <x:c r="H21" s="79" t="str">
        <x:v>https://scryfall.com/search?q=%21%22Sanctum+Seeker%22</x:v>
      </x:c>
    </x:row>
    <x:row r="22" ht="24" hidden="0" customHeight="1">
      <x:c r="A22" s="79" t="str">
        <x:v>Vampire Gourmand</x:v>
      </x:c>
      <x:c r="B22" s="79" t="str">
        <x:v>WATCHLIST</x:v>
      </x:c>
      <x:c r="C22" s="79" t="str">
        <x:v>A- — card draw criativo</x:v>
      </x:c>
      <x:c r="D22" s="79" t="str">
        <x:v>Ataque pode sacrificar outra criatura para comprar e dar evasão temporária.</x:v>
      </x:c>
      <x:c r="E22" s="79" t="str">
        <x:v>EDHREC upgraded tokens: ~26–27% no recorte observado.</x:v>
      </x:c>
      <x:c r="F22" s="79" t="str">
        <x:v>Precisa atacar com outro corpo disponível; não compra contra mesa travada/sem mesa.</x:v>
      </x:c>
      <x:c r="G22" s="79" t="str">
        <x:v>Onda 3 se persistir falta de cartas</x:v>
      </x:c>
      <x:c r="H22" s="79" t="str">
        <x:v>https://scryfall.com/search?q=%21%22Vampire+Gourmand%22</x:v>
      </x:c>
    </x:row>
    <x:row r="23" ht="24" hidden="0" customHeight="1">
      <x:c r="A23" s="79" t="str">
        <x:v>Bloodghast</x:v>
      </x:c>
      <x:c r="B23" s="79" t="str">
        <x:v>WATCHLIST</x:v>
      </x:c>
      <x:c r="C23" s="79" t="str">
        <x:v>A- — fodder recursivo</x:v>
      </x:c>
      <x:c r="D23" s="79" t="str">
        <x:v>Retorna do cemitério quando terreno entra sob seu controle; bom corpo para sac outlets.</x:v>
      </x:c>
      <x:c r="E23" s="79" t="str">
        <x:v>Aparece em múltiplas listas tribais recentes; ajuda após wipe se ainda houver land drops.</x:v>
      </x:c>
      <x:c r="F23" s="79" t="str">
        <x:v>Não bloqueia e depende de landfall; é fodder sem impacto de entrada de Vampire cast não dispara Eminência.</x:v>
      </x:c>
      <x:c r="G23" s="79" t="str">
        <x:v>Se testes confirmarem falta de fodder</x:v>
      </x:c>
      <x:c r="H23" s="79" t="str">
        <x:v>https://scryfall.com/search?q=%21%22Bloodghast%22</x:v>
      </x:c>
    </x:row>
    <x:row r="24" ht="15" hidden="0" customHeight="1">
      <x:c r="A24" s="79" t="str">
        <x:v>Oathsworn Vampire</x:v>
      </x:c>
      <x:c r="B24" s="79" t="str">
        <x:v>WATCHLIST</x:v>
      </x:c>
      <x:c r="C24" s="79" t="str">
        <x:v>B+/A- — fodder recursivo</x:v>
      </x:c>
      <x:c r="D24" s="79" t="str">
        <x:v>Pode ser conjurado do cemitério se ganhou vida nesse turno.</x:v>
      </x:c>
      <x:c r="E24" s="79" t="str">
        <x:v>EDHREC upgraded tokens ~22% no recorte consultado.</x:v>
      </x:c>
      <x:c r="F24" s="79" t="str">
        <x:v>Precisa pagar mana e ativar condição de ganho de vida; não é retorno gratuito.</x:v>
      </x:c>
      <x:c r="G24" s="79" t="str">
        <x:v>Se sac outlets precisarem de recorrência</x:v>
      </x:c>
      <x:c r="H24" s="79" t="str">
        <x:v>https://scryfall.com/search?q=%21%22Oathsworn+Vampire%22</x:v>
      </x:c>
    </x:row>
    <x:row r="25" ht="24" hidden="0" customHeight="1">
      <x:c r="A25" s="79" t="str">
        <x:v>Sorin, Imperious Bloodlord</x:v>
      </x:c>
      <x:c r="B25" s="79" t="str">
        <x:v>WATCHLIST</x:v>
      </x:c>
      <x:c r="C25" s="79" t="str">
        <x:v>A — flexibilidade Vampire</x:v>
      </x:c>
      <x:c r="D25" s="79" t="str">
        <x:v>Gera ficha, aumenta ameaça e pode pôr um Vampiro da mão no campo.</x:v>
      </x:c>
      <x:c r="E25" s="79" t="str">
        <x:v>Escolha recorrente em listas de Vampiros competitivas/otimizadas.</x:v>
      </x:c>
      <x:c r="F25" s="79" t="str">
        <x:v>Não é Vampire cast; pôr creature no campo não dispara Eminência. Atrai remoção/ameaça.</x:v>
      </x:c>
      <x:c r="G25" s="79" t="str">
        <x:v>Considerar só se ritmo/impacto precisar</x:v>
      </x:c>
      <x:c r="H25" s="79" t="str">
        <x:v>https://scryfall.com/search?q=%21%22Sorin,+Imperious+Bloodlord%22</x:v>
      </x:c>
    </x:row>
    <x:row r="26" ht="24" hidden="0" customHeight="1">
      <x:c r="A26" s="79" t="str">
        <x:v>Dark Prophecy</x:v>
      </x:c>
      <x:c r="B26" s="79" t="str">
        <x:v>WATCHLIST</x:v>
      </x:c>
      <x:c r="C26" s="79" t="str">
        <x:v>B+ — draw por morte</x:v>
      </x:c>
      <x:c r="D26" s="79" t="str">
        <x:v>Compra carta sempre que criatura sua morre.</x:v>
      </x:c>
      <x:c r="E26" s="79" t="str">
        <x:v>Alta sinergia teórica com Eminência, tokens e sacrifício.</x:v>
      </x:c>
      <x:c r="F26" s="79" t="str">
        <x:v>BBB e perde 1 vida por morte; pode ser perigosíssima junto a Necropotence, Citadel, Connections e Champion.</x:v>
      </x:c>
      <x:c r="G26" s="79" t="str">
        <x:v>Não incluir sem dado de playtest</x:v>
      </x:c>
      <x:c r="H26" s="79" t="str">
        <x:v>https://scryfall.com/search?q=%21%22Dark+Prophecy%22</x:v>
      </x:c>
    </x:row>
    <x:row r="27" ht="24" hidden="0" customHeight="1">
      <x:c r="A27" s="79" t="str">
        <x:v>Patriarch's Bidding</x:v>
      </x:c>
      <x:c r="B27" s="79" t="str">
        <x:v>WATCHLIST</x:v>
      </x:c>
      <x:c r="C27" s="79" t="str">
        <x:v>B+ — benchmark de recursão</x:v>
      </x:c>
      <x:c r="D27" s="79" t="str">
        <x:v>Menor custo ({3}{B}{B}) para recuperar criaturas tribais.</x:v>
      </x:c>
      <x:c r="E27" s="79" t="str">
        <x:v>É referência histórica tradicional para tribais.</x:v>
      </x:c>
      <x:c r="F27" s="79" t="str">
        <x:v>Simétrica: devolve criaturas do tipo escolhido de TODOS os cemitérios; Bloodline Bidding é mais cara, porém só para você.</x:v>
      </x:c>
      <x:c r="G27" s="79" t="str">
        <x:v>Comparação custo x simetria</x:v>
      </x:c>
      <x:c r="H27" s="79" t="str">
        <x:v>https://scryfall.com/search?q=%21%22Patriarch%27s+Bidding%22</x:v>
      </x:c>
    </x:row>
    <x:row r="28" ht="24" hidden="0" customHeight="1">
      <x:c r="A28" s="79" t="str">
        <x:v>The One Ring</x:v>
      </x:c>
      <x:c r="B28" s="79" t="str">
        <x:v>WATCHLIST</x:v>
      </x:c>
      <x:c r="C28" s="79" t="str">
        <x:v>S — potência bruta</x:v>
      </x:c>
      <x:c r="D28" s="79" t="str">
        <x:v>Motor genérico de compra/proteção que funciona sem mesa tribal.</x:v>
      </x:c>
      <x:c r="E28" s="79" t="str">
        <x:v>Bom benchmark para comparar cards de draw absolutos.</x:v>
      </x:c>
      <x:c r="F28" s="79" t="str">
        <x:v>Não é Vampire, gera muita ameaça política e compete com Necropotence/Citadel; não é parte da linha temática inicial.</x:v>
      </x:c>
      <x:c r="G28" s="79" t="str">
        <x:v>Só testar se engines do deck não derem gás</x:v>
      </x:c>
      <x:c r="H28" s="79" t="str">
        <x:v>https://scryfall.com/search?q=%21%22The+One+Ring%22</x:v>
      </x:c>
    </x:row>
    <x:row r="29" ht="24" hidden="0" customHeight="1">
      <x:c r="A29" s="79" t="str">
        <x:v>Vanquisher's Banner</x:v>
      </x:c>
      <x:c r="B29" s="79" t="str">
        <x:v>WATCHLIST</x:v>
      </x:c>
      <x:c r="C29" s="79" t="str">
        <x:v>A-/B+ — tribal draw</x:v>
      </x:c>
      <x:c r="D29" s="79" t="str">
        <x:v>Lord e compra ao conjurar criaturas do tipo escolhido.</x:v>
      </x:c>
      <x:c r="E29" s="79" t="str">
        <x:v>Popular em tribais, mas não foi escolhida para a V2 principal.</x:v>
      </x:c>
      <x:c r="F29" s="79" t="str">
        <x:v>Custa cinco e demora a dar valor; Banner of Kinship é payoff de mesa mais alto.</x:v>
      </x:c>
      <x:c r="G29" s="79" t="str">
        <x:v>Opção se for preciso draw de cast em vez de draw por wipe</x:v>
      </x:c>
      <x:c r="H29" s="79" t="str">
        <x:v>https://scryfall.com/search?q=%21%22Vanquisher%27s+Banner%22</x:v>
      </x:c>
    </x:row>
    <x:row r="30" ht="24" hidden="0" customHeight="1">
      <x:c r="A30" s="79" t="str">
        <x:v>Agadeem's Awakening</x:v>
      </x:c>
      <x:c r="B30" s="79" t="str">
        <x:v>WATCHLIST</x:v>
      </x:c>
      <x:c r="C30" s="79" t="str">
        <x:v>A- — MDFC/recursão</x:v>
      </x:c>
      <x:c r="D30" s="79" t="str">
        <x:v>Land ou reanima criaturas com valores de mana distintos.</x:v>
      </x:c>
      <x:c r="E30" s="79" t="str">
        <x:v>Já aparece na referência WinterDragon e no Beijo do Vampiro.</x:v>
      </x:c>
      <x:c r="F30" s="79" t="str">
        <x:v>Triplo preto no modo reanimate e não pode retornar várias criaturas de mesmo mana value; comparar com Bidding.</x:v>
      </x:c>
      <x:c r="G30" s="79" t="str">
        <x:v>Alternativa a Bloodline Bidding</x:v>
      </x:c>
      <x:c r="H30" s="79" t="str">
        <x:v>https://scryfall.com/search?q=%21%22Agadeem%27s+Awakening%22</x:v>
      </x:c>
    </x:row>
  </x:sheetData>
  <x:mergeCells>
    <x:mergeCell ref="A1:H1"/>
    <x:mergeCell ref="A2:H2"/>
  </x:mergeCells>
  <x:pageMargins left="0.7" right="0.7" top="0.75" bottom="0.75" header="0.3" footer="0.3"/>
</x:worksheet>
</file>