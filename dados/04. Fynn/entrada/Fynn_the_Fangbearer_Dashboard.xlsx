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2ea44da2e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17e7a61558da4eaf"/>
    <x:sheet xmlns:r="http://schemas.openxmlformats.org/officeDocument/2006/relationships" name="02_Card Matrix" sheetId="2" r:id="Rb3003885c6ef4bcf"/>
    <x:sheet xmlns:r="http://schemas.openxmlformats.org/officeDocument/2006/relationships" name="03_Tier List" sheetId="3" r:id="R43a4a188f0ec4bb0"/>
    <x:sheet xmlns:r="http://schemas.openxmlformats.org/officeDocument/2006/relationships" name="04_Analysis" sheetId="4" r:id="R862520f298024dff"/>
    <x:sheet xmlns:r="http://schemas.openxmlformats.org/officeDocument/2006/relationships" name="05_Control Panel" sheetId="5" r:id="R4032079393dd40ee"/>
    <x:sheet xmlns:r="http://schemas.openxmlformats.org/officeDocument/2006/relationships" name="06_Watchlist" sheetId="6" r:id="R0b6cb2d34a97430d"/>
    <x:sheet xmlns:r="http://schemas.openxmlformats.org/officeDocument/2006/relationships" name="07_Upgrade Matrix" sheetId="7" r:id="R907ca6e663fc41c6"/>
    <x:sheet xmlns:r="http://schemas.openxmlformats.org/officeDocument/2006/relationships" name="08_V2 Final" sheetId="8" r:id="R036840a648c94fc3"/>
    <x:sheet xmlns:r="http://schemas.openxmlformats.org/officeDocument/2006/relationships" name="09_Sources" sheetId="9" r:id="Rdadfb2f243994cbd"/>
    <x:sheet xmlns:r="http://schemas.openxmlformats.org/officeDocument/2006/relationships" name="10_Read Me" sheetId="10" r:id="R6a8b9202e7b943a3"/>
    <x:sheet xmlns:r="http://schemas.openxmlformats.org/officeDocument/2006/relationships" name="11_Handover Compliance" sheetId="11" r:id="Rcd4bbd754e704e6f"/>
    <x:sheet xmlns:r="http://schemas.openxmlformats.org/officeDocument/2006/relationships" name="12_Rules Interactions" sheetId="12" r:id="Rfc2b275ebfbb44ac"/>
    <x:sheet xmlns:r="http://schemas.openxmlformats.org/officeDocument/2006/relationships" name="13_Playtest Log" sheetId="13" r:id="R6e51a3e9efd541ab"/>
    <x:sheet xmlns:r="http://schemas.openxmlformats.org/officeDocument/2006/relationships" name="14_Current List" sheetId="14" r:id="Red7996d4d28a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127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23B2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28"/>
      </x:patternFill>
    </x:fill>
    <x:fill>
      <x:patternFill patternType="solid">
        <x:fgColor rgb="FFE2F0D9"/>
      </x:patternFill>
    </x:fill>
    <x:fill>
      <x:patternFill patternType="solid">
        <x:fgColor rgb="FF1F5D3A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f8fe38e7b404c" /><Relationship Type="http://schemas.openxmlformats.org/officeDocument/2006/relationships/theme" Target="/xl/theme/theme1.xml" Id="Rbea8568d68dd4f05" /><Relationship Type="http://schemas.microsoft.com/office/2022/11/relationships/FeaturePropertyBag" Target="/xl/featurePropertyBag/featurePropertyBag.xml" Id="R414e01e3bbed4944" /><Relationship Type="http://schemas.openxmlformats.org/officeDocument/2006/relationships/sharedStrings" Target="/xl/sharedStrings.xml" Id="R862eeb85b10e4dd4" /><Relationship Type="http://schemas.openxmlformats.org/officeDocument/2006/relationships/worksheet" Target="/xl/worksheets/sheet1.xml" Id="R17e7a61558da4eaf" /><Relationship Type="http://schemas.openxmlformats.org/officeDocument/2006/relationships/worksheet" Target="/xl/worksheets/sheet2.xml" Id="Rb3003885c6ef4bcf" /><Relationship Type="http://schemas.openxmlformats.org/officeDocument/2006/relationships/worksheet" Target="/xl/worksheets/sheet3.xml" Id="R43a4a188f0ec4bb0" /><Relationship Type="http://schemas.openxmlformats.org/officeDocument/2006/relationships/worksheet" Target="/xl/worksheets/sheet4.xml" Id="R862520f298024dff" /><Relationship Type="http://schemas.openxmlformats.org/officeDocument/2006/relationships/worksheet" Target="/xl/worksheets/sheet5.xml" Id="R4032079393dd40ee" /><Relationship Type="http://schemas.openxmlformats.org/officeDocument/2006/relationships/worksheet" Target="/xl/worksheets/sheet6.xml" Id="R0b6cb2d34a97430d" /><Relationship Type="http://schemas.openxmlformats.org/officeDocument/2006/relationships/worksheet" Target="/xl/worksheets/sheet7.xml" Id="R907ca6e663fc41c6" /><Relationship Type="http://schemas.openxmlformats.org/officeDocument/2006/relationships/worksheet" Target="/xl/worksheets/sheet8.xml" Id="R036840a648c94fc3" /><Relationship Type="http://schemas.openxmlformats.org/officeDocument/2006/relationships/worksheet" Target="/xl/worksheets/sheet9.xml" Id="Rdadfb2f243994cbd" /><Relationship Type="http://schemas.openxmlformats.org/officeDocument/2006/relationships/worksheet" Target="/xl/worksheets/sheet10.xml" Id="R6a8b9202e7b943a3" /><Relationship Type="http://schemas.openxmlformats.org/officeDocument/2006/relationships/worksheet" Target="/xl/worksheets/sheet11.xml" Id="Rcd4bbd754e704e6f" /><Relationship Type="http://schemas.openxmlformats.org/officeDocument/2006/relationships/worksheet" Target="/xl/worksheets/sheet12.xml" Id="Rfc2b275ebfbb44ac" /><Relationship Type="http://schemas.openxmlformats.org/officeDocument/2006/relationships/worksheet" Target="/xl/worksheets/sheet13.xml" Id="R6e51a3e9efd541ab" /><Relationship Type="http://schemas.openxmlformats.org/officeDocument/2006/relationships/worksheet" Target="/xl/worksheets/sheet14.xml" Id="Red7996d4d28a41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c97757a6d049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Primary functional slots — Current vs V2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slots</c:v>
          </c:tx>
          <c:cat>
            <c:strRef>
              <c:f>'01_Dashboard'!$A$31:$A$38</c:f>
              <c:strCache>
                <c:ptCount val="0"/>
              </c:strCache>
            </c:strRef>
          </c:cat>
          <c:val>
            <c:numRef>
              <c:f>'01_Dashboard'!$B$31:$B$38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Projected V2 slots</c:v>
          </c:tx>
          <c:cat>
            <c:strRef>
              <c:f>'01_Dashboard'!$A$31:$A$38</c:f>
              <c:strCache>
                <c:ptCount val="0"/>
              </c:strCache>
            </c:strRef>
          </c:cat>
          <c:val>
            <c:numRef>
              <c:f>'01_Dashboard'!$C$31:$C$38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28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c97757a6d049b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rdMatrixTable" displayName="CardMatrixTable" ref="A4:Q94" headerRowCount="1" totalsRowCount="0" totalsRowShown="0">
  <x:tableColumns count="17">
    <x:tableColumn id="1" name="Card"/>
    <x:tableColumn id="2" name="Current Qty"/>
    <x:tableColumn id="3" name="Projected Qty"/>
    <x:tableColumn id="4" name="Zone"/>
    <x:tableColumn id="5" name="MV"/>
    <x:tableColumn id="6" name="Current Print"/>
    <x:tableColumn id="7" name="Current Primary Group"/>
    <x:tableColumn id="8" name="Projected Primary Group"/>
    <x:tableColumn id="9" name="Current Score"/>
    <x:tableColumn id="10" name="Current Tier"/>
    <x:tableColumn id="11" name="Projected Score"/>
    <x:tableColumn id="12" name="Projected Tier"/>
    <x:tableColumn id="13" name="Status"/>
    <x:tableColumn id="14" name="Secondary Roles"/>
    <x:tableColumn id="15" name="Diagnosis / Fit"/>
    <x:tableColumn id="16" name="Action"/>
    <x:tableColumn id="17" name="Scryfall Sear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erListTable" displayName="TierListTable" ref="A4:I94" headerRowCount="1" totalsRowCount="0" totalsRowShown="0">
  <x:tableColumns count="9">
    <x:tableColumn id="1" name="Tier"/>
    <x:tableColumn id="2" name="Card"/>
    <x:tableColumn id="3" name="Current Score"/>
    <x:tableColumn id="4" name="Projected Score"/>
    <x:tableColumn id="5" name="MV"/>
    <x:tableColumn id="6" name="Current Group"/>
    <x:tableColumn id="7" name="V2 Group"/>
    <x:tableColumn id="8" name="Status"/>
    <x:tableColumn id="9" name="Why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PanelTable" displayName="ControlPanelTable" ref="A4:D19" headerRowCount="1" totalsRowCount="0" totalsRowShown="0">
  <x:tableColumns count="4">
    <x:tableColumn id="1" name="Panel"/>
    <x:tableColumn id="2" name="Item"/>
    <x:tableColumn id="3" name="Decision / Why"/>
    <x:tableColumn id="4" name="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pgradeMatrixTable" displayName="UpgradeMatrixTable" ref="A4:G24" headerRowCount="1" totalsRowCount="0" totalsRowShown="0">
  <x:tableColumns count="7">
    <x:tableColumn id="1" name="OUT"/>
    <x:tableColumn id="2" name="IN"/>
    <x:tableColumn id="3" name="Priority"/>
    <x:tableColumn id="4" name="OUT → IN rationale"/>
    <x:tableColumn id="5" name="Expected impact"/>
    <x:tableColumn id="6" name="Status"/>
    <x:tableColumn id="7" name="Conf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2DecklistTable" displayName="V2DecklistTable" ref="A4:G74" headerRowCount="1" totalsRowCount="0" totalsRowShown="0">
  <x:tableColumns count="7">
    <x:tableColumn id="1" name="Card"/>
    <x:tableColumn id="2" name="Qty"/>
    <x:tableColumn id="3" name="Zone"/>
    <x:tableColumn id="4" name="MV"/>
    <x:tableColumn id="5" name="Primary Group"/>
    <x:tableColumn id="6" name="Tier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rrentDecklistTable" displayName="CurrentDecklistTable" ref="A4:F75" headerRowCount="1" totalsRowCount="0" totalsRowShown="0">
  <x:tableColumns count="6">
    <x:tableColumn id="1" name="Card"/>
    <x:tableColumn id="2" name="Qty"/>
    <x:tableColumn id="3" name="Set / Collector"/>
    <x:tableColumn id="4" name="Original note"/>
    <x:tableColumn id="5" name="Zone"/>
    <x:tableColumn id="6" name="Oracle M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32c21c560441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57f3fe90964c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869531263841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8b2237e071547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0a1fec0a1b240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55fff939b343436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7a77fd4d8b2246bd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4" hidden="0" customWidth="1"/>
    <x:col min="4" max="4" width="22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54" t="str">
        <x:v>FYNN, THE FANGBEARER — DECK DASHBOARD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26"/>
      <x:c r="N1" s="26"/>
      <x:c r="O1" s="26"/>
      <x:c r="P1" s="26"/>
      <x:c r="Q1" s="26"/>
    </x:row>
    <x:row r="2" ht="30" customHeight="1">
      <x:c r="A2" s="11" t="str">
        <x:v>Mono-Green Poison Aggro | Analysis date: 2026-10-09 | V2 = proposal, not playtested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KPI</x:v>
      </x:c>
      <x:c r="B4" s="20" t="str">
        <x:v>CURRENT</x:v>
      </x:c>
      <x:c r="C4" s="20" t="str">
        <x:v>PROJECTED V2</x:v>
      </x:c>
    </x:row>
    <x:row r="5">
      <x:c r="A5" s="28" t="str">
        <x:v>Total cards</x:v>
      </x:c>
      <x:c r="B5" s="28" t="n">
        <x:f>SUM('02_Card Matrix'!B5:B94)</x:f>
        <x:v>100</x:v>
      </x:c>
      <x:c r="C5" s="28" t="n">
        <x:f>SUM('02_Card Matrix'!C5:C94)</x:f>
        <x:v>100</x:v>
      </x:c>
    </x:row>
    <x:row r="6">
      <x:c r="A6" s="28" t="str">
        <x:v>Commander count</x:v>
      </x:c>
      <x:c r="B6" s="28" t="n">
        <x:v>1</x:v>
      </x:c>
      <x:c r="C6" s="28" t="n">
        <x:v>1</x:v>
      </x:c>
    </x:row>
    <x:row r="7">
      <x:c r="A7" s="28" t="str">
        <x:v>Physical lands</x:v>
      </x:c>
      <x:c r="B7" s="28" t="n">
        <x:f>SUMIF('02_Card Matrix'!D5:D94,"Land",'02_Card Matrix'!B5:B94)</x:f>
        <x:v>35</x:v>
      </x:c>
      <x:c r="C7" s="28" t="n">
        <x:f>SUMIF('02_Card Matrix'!D5:D94,"Land",'02_Card Matrix'!C5:C94)</x:f>
        <x:v>35</x:v>
      </x:c>
    </x:row>
    <x:row r="8">
      <x:c r="A8" s="28" t="str">
        <x:v>Functional slots</x:v>
      </x:c>
      <x:c r="B8" s="28" t="n">
        <x:v>64</x:v>
      </x:c>
      <x:c r="C8" s="28" t="n">
        <x:v>64</x:v>
      </x:c>
    </x:row>
    <x:row r="9">
      <x:c r="A9" s="28" t="str">
        <x:v>Functional average MV</x:v>
      </x:c>
      <x:c r="B9" s="28" t="n">
        <x:v>2.94</x:v>
      </x:c>
      <x:c r="C9" s="28" t="n">
        <x:v>2.34</x:v>
      </x:c>
    </x:row>
    <x:row r="10">
      <x:c r="A10" s="28" t="str">
        <x:v>Low-cost deathtouch sources (excluding commander)</x:v>
      </x:c>
      <x:c r="B10" s="28" t="n">
        <x:v>8</x:v>
      </x:c>
      <x:c r="C10" s="28" t="n">
        <x:v>12</x:v>
      </x:c>
    </x:row>
    <x:row r="11">
      <x:c r="A11" s="28" t="str">
        <x:v>Primary win plan</x:v>
      </x:c>
      <x:c r="B11" s="28" t="str">
        <x:v>Fynn triggers + poison</x:v>
      </x:c>
      <x:c r="C11" s="28" t="str">
        <x:v>Cheap deathtouch + poison; infect finisher</x:v>
      </x:c>
    </x:row>
    <x:row r="12">
      <x:c r="A12" s="28" t="str">
        <x:v>Card advantage diagnosis</x:v>
      </x:c>
      <x:c r="B12" s="28" t="str">
        <x:v>Mostly conditional/high MV</x:v>
      </x:c>
      <x:c r="C12" s="28" t="str">
        <x:v>More repeatable combat draw + selection</x:v>
      </x:c>
    </x:row>
    <x:row r="13">
      <x:c r="A13" s="28" t="str">
        <x:v>Playtest status</x:v>
      </x:c>
      <x:c r="B13" s="28" t="str">
        <x:v>NOT TESTED</x:v>
      </x:c>
      <x:c r="C13" s="28" t="str">
        <x:v>PROJECTION — NOT VALIDATED BY PLAYTEST</x:v>
      </x:c>
    </x:row>
    <x:row r="15">
      <x:c r="A15" s="34" t="str">
        <x:v>Strategic score (subjective fit assessment)</x:v>
      </x:c>
      <x:c r="B15" s="34" t="str">
        <x:v>Current</x:v>
      </x:c>
      <x:c r="C15" s="34" t="str">
        <x:v>Projected V2</x:v>
      </x:c>
      <x:c r="D15" s="34" t="str">
        <x:v>Status</x:v>
      </x:c>
    </x:row>
    <x:row r="16">
      <x:c r="A16" s="26" t="str">
        <x:v>Deck execution vs. stated plan</x:v>
      </x:c>
      <x:c r="B16" s="38" t="n">
        <x:v>5.9</x:v>
      </x:c>
      <x:c r="C16" s="38" t="n">
        <x:v>8.6</x:v>
      </x:c>
      <x:c r="D16" s="26" t="str">
        <x:v>Projected, not playtested</x:v>
      </x:c>
    </x:row>
    <x:row r="18">
      <x:c r="A18" s="34" t="str">
        <x:v>Key diagnosis</x:v>
      </x:c>
      <x:c r="B18" s="34" t="str">
        <x:v>Finding</x:v>
      </x:c>
      <x:c r="C18" s="34" t="str">
        <x:v>Impact</x:v>
      </x:c>
      <x:c r="D18" s="34" t="str">
        <x:v>Priority</x:v>
      </x:c>
      <x:c r="E18" s="34" t="str">
        <x:v>Confidence</x:v>
      </x:c>
      <x:c r="F18" s="34" t="str">
        <x:v>Status</x:v>
      </x:c>
    </x:row>
    <x:row r="19">
      <x:c r="A19" s="26" t="str">
        <x:v>Threat density</x:v>
      </x:c>
      <x:c r="B19" s="26" t="str">
        <x:v>Current list has a workable core of deathtouch bodies, but several 5–8 mana cards slow the first poison clock.</x:v>
      </x:c>
      <x:c r="C19" s="26" t="str">
        <x:v>High</x:v>
      </x:c>
      <x:c r="D19" s="26" t="str">
        <x:v>S — Structural</x:v>
      </x:c>
      <x:c r="E19" s="26" t="str">
        <x:v>High</x:v>
      </x:c>
      <x:c r="F19" s="26" t="str">
        <x:v>Addressed in V2</x:v>
      </x:c>
    </x:row>
    <x:row r="20">
      <x:c r="A20" s="26" t="str">
        <x:v>Infect vs. Toxic</x:v>
      </x:c>
      <x:c r="B20" s="26" t="str">
        <x:v>Only Plague Myr is an actual Infect card among the key poison creatures; Toxic cards still add poison but work differently.</x:v>
      </x:c>
      <x:c r="C20" s="26" t="str">
        <x:v>High</x:v>
      </x:c>
      <x:c r="D20" s="26" t="str">
        <x:v>S — Structural</x:v>
      </x:c>
      <x:c r="E20" s="26" t="str">
        <x:v>High</x:v>
      </x:c>
      <x:c r="F20" s="26" t="str">
        <x:v>Clarified</x:v>
      </x:c>
    </x:row>
    <x:row r="21">
      <x:c r="A21" s="26" t="str">
        <x:v>Card advantage</x:v>
      </x:c>
      <x:c r="B21" s="26" t="str">
        <x:v>Font of Mythos fuels every opponent; many draw spells are 4–5 mana or depend on a large target.</x:v>
      </x:c>
      <x:c r="C21" s="26" t="str">
        <x:v>High</x:v>
      </x:c>
      <x:c r="D21" s="26" t="str">
        <x:v>A — Major</x:v>
      </x:c>
      <x:c r="E21" s="26" t="str">
        <x:v>High</x:v>
      </x:c>
      <x:c r="F21" s="26" t="str">
        <x:v>Toski / Frostfang / Library</x:v>
      </x:c>
    </x:row>
    <x:row r="22">
      <x:c r="A22" s="26" t="str">
        <x:v>Evasion</x:v>
      </x:c>
      <x:c r="B22" s="26" t="str">
        <x:v>Fynn rewards a creature connecting, not dealing large damage; cheap trample/evasion has high value.</x:v>
      </x:c>
      <x:c r="C22" s="26" t="str">
        <x:v>High</x:v>
      </x:c>
      <x:c r="D22" s="26" t="str">
        <x:v>A — Major</x:v>
      </x:c>
      <x:c r="E22" s="26" t="str">
        <x:v>High</x:v>
      </x:c>
      <x:c r="F22" s="26" t="str">
        <x:v>Rancor / Trailblazer's Boots</x:v>
      </x:c>
    </x:row>
    <x:row r="23">
      <x:c r="A23" s="26" t="str">
        <x:v>Proliferate</x:v>
      </x:c>
      <x:c r="B23" s="26" t="str">
        <x:v>Best after a poison counter is already on each target; prioritize repeatable low-cost engines.</x:v>
      </x:c>
      <x:c r="C23" s="26" t="str">
        <x:v>Medium</x:v>
      </x:c>
      <x:c r="D23" s="26" t="str">
        <x:v>A — Major</x:v>
      </x:c>
      <x:c r="E23" s="26" t="str">
        <x:v>High</x:v>
      </x:c>
      <x:c r="F23" s="26" t="str">
        <x:v>Evolution Sage / Clasp / Cankerbloom</x:v>
      </x:c>
    </x:row>
    <x:row r="24">
      <x:c r="A24" s="26" t="str">
        <x:v>Mana base</x:v>
      </x:c>
      <x:c r="B24" s="26" t="str">
        <x:v>35 land slots are structurally reasonable; Temple of the False God is risky in early turns.</x:v>
      </x:c>
      <x:c r="C24" s="26" t="str">
        <x:v>Medium</x:v>
      </x:c>
      <x:c r="D24" s="26" t="str">
        <x:v>B — Incremental</x:v>
      </x:c>
      <x:c r="E24" s="26" t="str">
        <x:v>High</x:v>
      </x:c>
      <x:c r="F24" s="26" t="str">
        <x:v>Forest / Inkmoth Nexus</x:v>
      </x:c>
    </x:row>
    <x:row r="27" ht="48" customHeight="1">
      <x:c r="A27" s="42" t="str">
        <x:v>Strategy sentence: Mono-Green Fynn Poison Aggro — deploy cheap deathtouch attackers early, force combat damage through, use proliferate to close once poison is established, and protect the decisive attack.</x:v>
      </x:c>
      <x:c r="B27" s="42"/>
      <x:c r="C27" s="42"/>
      <x:c r="D27" s="42"/>
      <x:c r="E27" s="42"/>
      <x:c r="F27" s="42"/>
    </x:row>
    <x:row r="30">
      <x:c r="A30" s="34" t="str">
        <x:v>Primary group</x:v>
      </x:c>
      <x:c r="B30" s="34" t="str">
        <x:v>Current slots</x:v>
      </x:c>
      <x:c r="C30" s="34" t="str">
        <x:v>Projected V2 slots</x:v>
      </x:c>
    </x:row>
    <x:row r="31">
      <x:c r="A31" s="26" t="str">
        <x:v>Ramp</x:v>
      </x:c>
      <x:c r="B31" s="26" t="n">
        <x:v>11</x:v>
      </x:c>
      <x:c r="C31" s="26" t="n">
        <x:v>10</x:v>
      </x:c>
    </x:row>
    <x:row r="32">
      <x:c r="A32" s="26" t="str">
        <x:v>Draw</x:v>
      </x:c>
      <x:c r="B32" s="26" t="n">
        <x:v>7</x:v>
      </x:c>
      <x:c r="C32" s="26" t="n">
        <x:v>8</x:v>
      </x:c>
    </x:row>
    <x:row r="33">
      <x:c r="A33" s="26" t="str">
        <x:v>Removal</x:v>
      </x:c>
      <x:c r="B33" s="26" t="n">
        <x:v>11</x:v>
      </x:c>
      <x:c r="C33" s="26" t="n">
        <x:v>7</x:v>
      </x:c>
    </x:row>
    <x:row r="34">
      <x:c r="A34" s="26" t="str">
        <x:v>Synergy</x:v>
      </x:c>
      <x:c r="B34" s="26" t="n">
        <x:v>9</x:v>
      </x:c>
      <x:c r="C34" s="26" t="n">
        <x:v>12</x:v>
      </x:c>
    </x:row>
    <x:row r="35">
      <x:c r="A35" s="26" t="str">
        <x:v>Protection</x:v>
      </x:c>
      <x:c r="B35" s="26" t="n">
        <x:v>6</x:v>
      </x:c>
      <x:c r="C35" s="26" t="n">
        <x:v>7</x:v>
      </x:c>
    </x:row>
    <x:row r="36">
      <x:c r="A36" s="26" t="str">
        <x:v>Buff + WinCon</x:v>
      </x:c>
      <x:c r="B36" s="26" t="n">
        <x:v>9</x:v>
      </x:c>
      <x:c r="C36" s="26" t="n">
        <x:v>6</x:v>
      </x:c>
    </x:row>
    <x:row r="37">
      <x:c r="A37" s="26" t="str">
        <x:v>Proliferate</x:v>
      </x:c>
      <x:c r="B37" s="26" t="n">
        <x:v>4</x:v>
      </x:c>
      <x:c r="C37" s="26" t="n">
        <x:v>6</x:v>
      </x:c>
    </x:row>
    <x:row r="38">
      <x:c r="A38" s="26" t="str">
        <x:v>Dupla Função</x:v>
      </x:c>
      <x:c r="B38" s="26" t="n">
        <x:v>7</x:v>
      </x:c>
      <x:c r="C38" s="26" t="n">
        <x:v>8</x:v>
      </x:c>
    </x:row>
  </x:sheetData>
  <x:mergeCells>
    <x:mergeCell ref="A1:L1"/>
    <x:mergeCell ref="A2:L2"/>
    <x:mergeCell ref="A27:F27"/>
  </x:mergeCells>
  <x:pageMargins left="0.7" right="0.7" top="0.75" bottom="0.75" header="0.3" footer="0.3"/>
  <x:drawing xmlns:r="http://schemas.openxmlformats.org/officeDocument/2006/relationships" r:id="R6832c21c560441c4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13" hidden="0" customWidth="1"/>
    <x:col min="4" max="4" width="14" hidden="0" customWidth="1"/>
    <x:col min="5" max="5" width="8" hidden="0" customWidth="1"/>
    <x:col min="6" max="6" width="18" hidden="0" customWidth="1"/>
    <x:col min="7" max="7" width="20" hidden="0" customWidth="1"/>
    <x:col min="8" max="8" width="22" hidden="0" customWidth="1"/>
    <x:col min="9" max="9" width="13" hidden="0" customWidth="1"/>
    <x:col min="10" max="10" width="12" hidden="0" customWidth="1"/>
    <x:col min="11" max="11" width="14" hidden="0" customWidth="1"/>
    <x:col min="12" max="12" width="13" hidden="0" customWidth="1"/>
    <x:col min="13" max="13" width="16" hidden="0" customWidth="1"/>
    <x:col min="14" max="14" width="32" hidden="0" customWidth="1"/>
    <x:col min="15" max="15" width="58" hidden="0" customWidth="1"/>
    <x:col min="16" max="16" width="14" hidden="0" customWidth="1"/>
    <x:col min="17" max="17" width="40" hidden="0" customWidth="1"/>
  </x:cols>
  <x:sheetData>
    <x:row r="1" ht="32" customHeight="1">
      <x:c r="A1" s="54" t="str">
        <x:v>CARD MATRIX — CURRENT × PROJECTED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</x:row>
    <x:row r="2" ht="30" customHeight="1">
      <x:c r="A2" s="11" t="str">
        <x:v>Uma linha por nome de carta; quantidades Current e Projected são separadas. Scores são avaliação de fit, não playtest.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Card</x:v>
      </x:c>
      <x:c r="B4" s="20" t="str">
        <x:v>Current Qty</x:v>
      </x:c>
      <x:c r="C4" s="20" t="str">
        <x:v>Projected Qty</x:v>
      </x:c>
      <x:c r="D4" s="20" t="str">
        <x:v>Zone</x:v>
      </x:c>
      <x:c r="E4" s="20" t="str">
        <x:v>MV</x:v>
      </x:c>
      <x:c r="F4" s="20" t="str">
        <x:v>Current Print</x:v>
      </x:c>
      <x:c r="G4" s="20" t="str">
        <x:v>Current Primary Group</x:v>
      </x:c>
      <x:c r="H4" s="20" t="str">
        <x:v>Projected Primary Group</x:v>
      </x:c>
      <x:c r="I4" s="20" t="str">
        <x:v>Current Score</x:v>
      </x:c>
      <x:c r="J4" s="20" t="str">
        <x:v>Current Tier</x:v>
      </x:c>
      <x:c r="K4" s="20" t="str">
        <x:v>Projected Score</x:v>
      </x:c>
      <x:c r="L4" s="20" t="str">
        <x:v>Projected Tier</x:v>
      </x:c>
      <x:c r="M4" s="20" t="str">
        <x:v>Status</x:v>
      </x:c>
      <x:c r="N4" s="20" t="str">
        <x:v>Secondary Roles</x:v>
      </x:c>
      <x:c r="O4" s="20" t="str">
        <x:v>Diagnosis / Fit</x:v>
      </x:c>
      <x:c r="P4" s="20" t="str">
        <x:v>Action</x:v>
      </x:c>
      <x:c r="Q4" s="20" t="str">
        <x:v>Scryfall Search</x:v>
      </x:c>
    </x:row>
    <x:row r="5">
      <x:c r="A5" s="28" t="str">
        <x:v>Fynn, the Fangbearer</x:v>
      </x:c>
      <x:c r="B5" s="28" t="n">
        <x:v>1</x:v>
      </x:c>
      <x:c r="C5" s="28" t="n">
        <x:v>1</x:v>
      </x:c>
      <x:c r="D5" s="28" t="str">
        <x:v>Commander</x:v>
      </x:c>
      <x:c r="E5" s="28" t="n">
        <x:v>2</x:v>
      </x:c>
      <x:c r="F5" s="28" t="str">
        <x:v>KHM 170</x:v>
      </x:c>
      <x:c r="G5" s="28" t="str">
        <x:v>Commander</x:v>
      </x:c>
      <x:c r="H5" s="28" t="str">
        <x:v>Commander</x:v>
      </x:c>
      <x:c r="I5" s="30" t="n">
        <x:v>10</x:v>
      </x:c>
      <x:c r="J5" s="28" t="str">
        <x:v>S</x:v>
      </x:c>
      <x:c r="K5" s="30" t="n">
        <x:v>10</x:v>
      </x:c>
      <x:c r="L5" s="28" t="str">
        <x:v>S</x:v>
      </x:c>
      <x:c r="M5" s="28" t="str">
        <x:v>LOCK / CORE</x:v>
      </x:c>
      <x:c r="N5" s="28" t="str">
        <x:v>Commander; deathtouch; poison-counter engine</x:v>
      </x:c>
      <x:c r="O5" s="28" t="str">
        <x:v>Commander is the engine, not an infect-granting lord: each deathtouch creature that connects gives 2 poison counters.</x:v>
      </x:c>
      <x:c r="P5" s="28" t="str">
        <x:v>Keep</x:v>
      </x:c>
      <x:c r="Q5" s="28" t="str">
        <x:v>https://scryfall.com/search?q=%21Fynn%2C%20the%20Fangbearer</x:v>
      </x:c>
    </x:row>
    <x:row r="6">
      <x:c r="A6" s="28" t="str">
        <x:v>Blighted Woodland</x:v>
      </x:c>
      <x:c r="B6" s="28" t="n">
        <x:v>1</x:v>
      </x:c>
      <x:c r="C6" s="28" t="n">
        <x:v>1</x:v>
      </x:c>
      <x:c r="D6" s="28" t="str">
        <x:v>Land</x:v>
      </x:c>
      <x:c r="E6" s="28" t="n">
        <x:v>0</x:v>
      </x:c>
      <x:c r="F6" s="28" t="str">
        <x:v>CLB 881</x:v>
      </x:c>
      <x:c r="G6" s="28" t="str">
        <x:v>Land</x:v>
      </x:c>
      <x:c r="H6" s="28" t="str">
        <x:v>Land</x:v>
      </x:c>
      <x:c r="I6" s="30" t="n">
        <x:v>6</x:v>
      </x:c>
      <x:c r="J6" s="28" t="str">
        <x:v>D</x:v>
      </x:c>
      <x:c r="K6" s="30" t="n">
        <x:v>6.1</x:v>
      </x:c>
      <x:c r="L6" s="28" t="str">
        <x:v>D</x:v>
      </x:c>
      <x:c r="M6" s="28" t="str">
        <x:v>LAND CORE</x:v>
      </x:c>
      <x:c r="N6" s="28" t="str">
        <x:v>—</x:v>
      </x:c>
      <x:c r="O6" s="28" t="str">
        <x:v>Fit assessed by Land; see the group-level diagnosis and source record.</x:v>
      </x:c>
      <x:c r="P6" s="28" t="str">
        <x:v>Keep</x:v>
      </x:c>
      <x:c r="Q6" s="28" t="str">
        <x:v>https://scryfall.com/search?q=%21Blighted%20Woodland</x:v>
      </x:c>
    </x:row>
    <x:row r="7">
      <x:c r="A7" s="28" t="str">
        <x:v>Forest</x:v>
      </x:c>
      <x:c r="B7" s="28" t="n">
        <x:v>30</x:v>
      </x:c>
      <x:c r="C7" s="28" t="n">
        <x:v>31</x:v>
      </x:c>
      <x:c r="D7" s="28" t="str">
        <x:v>Land</x:v>
      </x:c>
      <x:c r="E7" s="28" t="n">
        <x:v>0</x:v>
      </x:c>
      <x:c r="F7" s="28" t="str">
        <x:v>DSK 276</x:v>
      </x:c>
      <x:c r="G7" s="28" t="str">
        <x:v>Land</x:v>
      </x:c>
      <x:c r="H7" s="28" t="str">
        <x:v>Land</x:v>
      </x:c>
      <x:c r="I7" s="30" t="n">
        <x:v>6</x:v>
      </x:c>
      <x:c r="J7" s="28" t="str">
        <x:v>D</x:v>
      </x:c>
      <x:c r="K7" s="30" t="n">
        <x:v>6.1</x:v>
      </x:c>
      <x:c r="L7" s="28" t="str">
        <x:v>D</x:v>
      </x:c>
      <x:c r="M7" s="28" t="str">
        <x:v>LAND CORE</x:v>
      </x:c>
      <x:c r="N7" s="28" t="str">
        <x:v>—</x:v>
      </x:c>
      <x:c r="O7" s="28" t="str">
        <x:v>Fit assessed by Land; see the group-level diagnosis and source record.</x:v>
      </x:c>
      <x:c r="P7" s="28" t="str">
        <x:v>Keep</x:v>
      </x:c>
      <x:c r="Q7" s="28" t="str">
        <x:v>https://scryfall.com/search?q=%21Forest</x:v>
      </x:c>
    </x:row>
    <x:row r="8">
      <x:c r="A8" s="28" t="str">
        <x:v>Inkmoth Nexus</x:v>
      </x:c>
      <x:c r="B8" s="28" t="n">
        <x:v>0</x:v>
      </x:c>
      <x:c r="C8" s="28" t="n">
        <x:v>1</x:v>
      </x:c>
      <x:c r="D8" s="28" t="str">
        <x:v>Land</x:v>
      </x:c>
      <x:c r="E8" s="28" t="n">
        <x:v>0</x:v>
      </x:c>
      <x:c r="F8" s="28" t="str">
        <x:v>—</x:v>
      </x:c>
      <x:c r="G8" s="28" t="str">
        <x:v>Land</x:v>
      </x:c>
      <x:c r="H8" s="28" t="str">
        <x:v>Land</x:v>
      </x:c>
      <x:c r="I8" s="30"/>
      <x:c r="J8" s="28" t="str"/>
      <x:c r="K8" s="30" t="n">
        <x:v>8.2</x:v>
      </x:c>
      <x:c r="L8" s="28" t="str">
        <x:v>B</x:v>
      </x:c>
      <x:c r="M8" s="28" t="str">
        <x:v>LAND CORE</x:v>
      </x:c>
      <x:c r="N8" s="28" t="str">
        <x:v>—</x:v>
      </x:c>
      <x:c r="O8" s="28" t="str">
        <x:v>Fit assessed by Land; see the group-level diagnosis and source record.</x:v>
      </x:c>
      <x:c r="P8" s="28" t="str">
        <x:v>Add</x:v>
      </x:c>
      <x:c r="Q8" s="28" t="str">
        <x:v>https://scryfall.com/search?q=%21Inkmoth%20Nexus</x:v>
      </x:c>
    </x:row>
    <x:row r="9">
      <x:c r="A9" s="28" t="str">
        <x:v>Karn's Bastion</x:v>
      </x:c>
      <x:c r="B9" s="28" t="n">
        <x:v>1</x:v>
      </x:c>
      <x:c r="C9" s="28" t="n">
        <x:v>1</x:v>
      </x:c>
      <x:c r="D9" s="28" t="str">
        <x:v>Land</x:v>
      </x:c>
      <x:c r="E9" s="28" t="n">
        <x:v>0</x:v>
      </x:c>
      <x:c r="F9" s="28" t="str">
        <x:v>PWAR 248</x:v>
      </x:c>
      <x:c r="G9" s="28" t="str">
        <x:v>Land</x:v>
      </x:c>
      <x:c r="H9" s="28" t="str">
        <x:v>Land</x:v>
      </x:c>
      <x:c r="I9" s="30" t="n">
        <x:v>6</x:v>
      </x:c>
      <x:c r="J9" s="28" t="str">
        <x:v>D</x:v>
      </x:c>
      <x:c r="K9" s="30" t="n">
        <x:v>6.1</x:v>
      </x:c>
      <x:c r="L9" s="28" t="str">
        <x:v>D</x:v>
      </x:c>
      <x:c r="M9" s="28" t="str">
        <x:v>LAND CORE</x:v>
      </x:c>
      <x:c r="N9" s="28" t="str">
        <x:v>—</x:v>
      </x:c>
      <x:c r="O9" s="28" t="str">
        <x:v>Land-slot proliferate is valuable once poison counters exist; activation is expensive and the land is colorless.</x:v>
      </x:c>
      <x:c r="P9" s="28" t="str">
        <x:v>Keep</x:v>
      </x:c>
      <x:c r="Q9" s="28" t="str">
        <x:v>https://scryfall.com/search?q=%21Karn%27s%20Bastion</x:v>
      </x:c>
    </x:row>
    <x:row r="10">
      <x:c r="A10" s="28" t="str">
        <x:v>Myriad Landscape</x:v>
      </x:c>
      <x:c r="B10" s="28" t="n">
        <x:v>1</x:v>
      </x:c>
      <x:c r="C10" s="28" t="n">
        <x:v>1</x:v>
      </x:c>
      <x:c r="D10" s="28" t="str">
        <x:v>Land</x:v>
      </x:c>
      <x:c r="E10" s="28" t="n">
        <x:v>0</x:v>
      </x:c>
      <x:c r="F10" s="28" t="str">
        <x:v>CLB 904</x:v>
      </x:c>
      <x:c r="G10" s="28" t="str">
        <x:v>Land</x:v>
      </x:c>
      <x:c r="H10" s="28" t="str">
        <x:v>Land</x:v>
      </x:c>
      <x:c r="I10" s="30" t="n">
        <x:v>6</x:v>
      </x:c>
      <x:c r="J10" s="28" t="str">
        <x:v>D</x:v>
      </x:c>
      <x:c r="K10" s="30" t="n">
        <x:v>6.1</x:v>
      </x:c>
      <x:c r="L10" s="28" t="str">
        <x:v>D</x:v>
      </x:c>
      <x:c r="M10" s="28" t="str">
        <x:v>LAND CORE</x:v>
      </x:c>
      <x:c r="N10" s="28" t="str">
        <x:v>—</x:v>
      </x:c>
      <x:c r="O10" s="28" t="str">
        <x:v>Land ramp is slow (enters tapped and needs activation) but can provide a late land pair.</x:v>
      </x:c>
      <x:c r="P10" s="28" t="str">
        <x:v>Keep</x:v>
      </x:c>
      <x:c r="Q10" s="28" t="str">
        <x:v>https://scryfall.com/search?q=%21Myriad%20Landscape</x:v>
      </x:c>
    </x:row>
    <x:row r="11">
      <x:c r="A11" s="28" t="str">
        <x:v>Temple of the False God</x:v>
      </x:c>
      <x:c r="B11" s="28" t="n">
        <x:v>1</x:v>
      </x:c>
      <x:c r="C11" s="28" t="n">
        <x:v>0</x:v>
      </x:c>
      <x:c r="D11" s="28" t="str">
        <x:v>Land</x:v>
      </x:c>
      <x:c r="E11" s="28" t="n">
        <x:v>0</x:v>
      </x:c>
      <x:c r="F11" s="28" t="str">
        <x:v>CLB 925</x:v>
      </x:c>
      <x:c r="G11" s="28" t="str">
        <x:v>Land</x:v>
      </x:c>
      <x:c r="H11" s="28" t="str">
        <x:v>Land</x:v>
      </x:c>
      <x:c r="I11" s="30" t="n">
        <x:v>6</x:v>
      </x:c>
      <x:c r="J11" s="28" t="str">
        <x:v>D</x:v>
      </x:c>
      <x:c r="K11" s="30"/>
      <x:c r="L11" s="28" t="str"/>
      <x:c r="M11" s="28" t="str">
        <x:v>OUT (V2)</x:v>
      </x:c>
      <x:c r="N11" s="28" t="str">
        <x:v>—</x:v>
      </x:c>
      <x:c r="O11" s="28" t="str">
        <x:v>A land that can fail to produce mana early; replace with a basic Forest for aggro consistency.</x:v>
      </x:c>
      <x:c r="P11" s="28" t="str">
        <x:v>Cut</x:v>
      </x:c>
      <x:c r="Q11" s="28" t="str">
        <x:v>https://scryfall.com/search?q=%21Temple%20of%20the%20False%20God</x:v>
      </x:c>
    </x:row>
    <x:row r="12">
      <x:c r="A12" s="28" t="str">
        <x:v>Throne of the High City</x:v>
      </x:c>
      <x:c r="B12" s="28" t="n">
        <x:v>1</x:v>
      </x:c>
      <x:c r="C12" s="28" t="n">
        <x:v>0</x:v>
      </x:c>
      <x:c r="D12" s="28" t="str">
        <x:v>Land</x:v>
      </x:c>
      <x:c r="E12" s="28" t="n">
        <x:v>0</x:v>
      </x:c>
      <x:c r="F12" s="28" t="str">
        <x:v>MKC 307</x:v>
      </x:c>
      <x:c r="G12" s="28" t="str">
        <x:v>Land</x:v>
      </x:c>
      <x:c r="H12" s="28" t="str">
        <x:v>Land</x:v>
      </x:c>
      <x:c r="I12" s="30" t="n">
        <x:v>6</x:v>
      </x:c>
      <x:c r="J12" s="28" t="str">
        <x:v>D</x:v>
      </x:c>
      <x:c r="K12" s="30"/>
      <x:c r="L12" s="28" t="str"/>
      <x:c r="M12" s="28" t="str">
        <x:v>OUT (V2)</x:v>
      </x:c>
      <x:c r="N12" s="28" t="str">
        <x:v>—</x:v>
      </x:c>
      <x:c r="O12" s="28" t="str">
        <x:v>Monarch is a side quest and exposes a land slot without supporting poison or green mana.</x:v>
      </x:c>
      <x:c r="P12" s="28" t="str">
        <x:v>Cut</x:v>
      </x:c>
      <x:c r="Q12" s="28" t="str">
        <x:v>https://scryfall.com/search?q=%21Throne%20of%20the%20High%20City</x:v>
      </x:c>
    </x:row>
    <x:row r="13">
      <x:c r="A13" s="28" t="str">
        <x:v>Acidic Slime</x:v>
      </x:c>
      <x:c r="B13" s="28" t="n">
        <x:v>1</x:v>
      </x:c>
      <x:c r="C13" s="28" t="n">
        <x:v>1</x:v>
      </x:c>
      <x:c r="D13" s="28" t="str">
        <x:v>Functional</x:v>
      </x:c>
      <x:c r="E13" s="28" t="n">
        <x:v>5</x:v>
      </x:c>
      <x:c r="F13" s="28" t="str">
        <x:v>CMR 421</x:v>
      </x:c>
      <x:c r="G13" s="28" t="str">
        <x:v>Removal</x:v>
      </x:c>
      <x:c r="H13" s="28" t="str">
        <x:v>Removal</x:v>
      </x:c>
      <x:c r="I13" s="30" t="n">
        <x:v>6.7</x:v>
      </x:c>
      <x:c r="J13" s="28" t="str">
        <x:v>C</x:v>
      </x:c>
      <x:c r="K13" s="30" t="n">
        <x:v>6.8</x:v>
      </x:c>
      <x:c r="L13" s="28" t="str">
        <x:v>C</x:v>
      </x:c>
      <x:c r="M13" s="28" t="str">
        <x:v>KEEP / TUNE</x:v>
      </x:c>
      <x:c r="N13" s="28" t="str">
        <x:v>—</x:v>
      </x:c>
      <x:c r="O13" s="28" t="str">
        <x:v>Useful flexible artifact/enchantment/land removal attached to deathtouch, but five mana is expensive for the aggro plan.</x:v>
      </x:c>
      <x:c r="P13" s="28" t="str">
        <x:v>Keep</x:v>
      </x:c>
      <x:c r="Q13" s="28" t="str">
        <x:v>https://scryfall.com/search?q=%21Acidic%20Slime</x:v>
      </x:c>
    </x:row>
    <x:row r="14">
      <x:c r="A14" s="28" t="str">
        <x:v>Adaptive Sporesinger</x:v>
      </x:c>
      <x:c r="B14" s="28" t="n">
        <x:v>1</x:v>
      </x:c>
      <x:c r="C14" s="28" t="n">
        <x:v>1</x:v>
      </x:c>
      <x:c r="D14" s="28" t="str">
        <x:v>Functional</x:v>
      </x:c>
      <x:c r="E14" s="28" t="n">
        <x:v>3</x:v>
      </x:c>
      <x:c r="F14" s="28" t="str">
        <x:v>ONE 157</x:v>
      </x:c>
      <x:c r="G14" s="28" t="str">
        <x:v>Proliferate</x:v>
      </x:c>
      <x:c r="H14" s="28" t="str">
        <x:v>Proliferate</x:v>
      </x:c>
      <x:c r="I14" s="30" t="n">
        <x:v>6.6</x:v>
      </x:c>
      <x:c r="J14" s="28" t="str">
        <x:v>C</x:v>
      </x:c>
      <x:c r="K14" s="30" t="n">
        <x:v>6.699999999999999</x:v>
      </x:c>
      <x:c r="L14" s="28" t="str">
        <x:v>C</x:v>
      </x:c>
      <x:c r="M14" s="28" t="str">
        <x:v>KEEP / TUNE</x:v>
      </x:c>
      <x:c r="N14" s="28" t="str">
        <x:v>Proliferate; pump/vigilance</x:v>
      </x:c>
      <x:c r="O14" s="28" t="str">
        <x:v>Three-mana 2/2 with vigilance; ETB chooses +2/+2 and vigilance or proliferate. Flexible but modest body.</x:v>
      </x:c>
      <x:c r="P14" s="28" t="str">
        <x:v>Keep</x:v>
      </x:c>
      <x:c r="Q14" s="28" t="str">
        <x:v>https://scryfall.com/search?q=%21Adaptive%20Sporesinger</x:v>
      </x:c>
    </x:row>
    <x:row r="15">
      <x:c r="A15" s="28" t="str">
        <x:v>Ambush Viper</x:v>
      </x:c>
      <x:c r="B15" s="28" t="n">
        <x:v>1</x:v>
      </x:c>
      <x:c r="C15" s="28" t="n">
        <x:v>1</x:v>
      </x:c>
      <x:c r="D15" s="28" t="str">
        <x:v>Functional</x:v>
      </x:c>
      <x:c r="E15" s="28" t="n">
        <x:v>2</x:v>
      </x:c>
      <x:c r="F15" s="28" t="str">
        <x:v>CMR 213</x:v>
      </x:c>
      <x:c r="G15" s="28" t="str">
        <x:v>Synergy</x:v>
      </x:c>
      <x:c r="H15" s="28" t="str">
        <x:v>Synergy</x:v>
      </x:c>
      <x:c r="I15" s="30" t="n">
        <x:v>8.6</x:v>
      </x:c>
      <x:c r="J15" s="28" t="str">
        <x:v>A</x:v>
      </x:c>
      <x:c r="K15" s="30" t="n">
        <x:v>8.9</x:v>
      </x:c>
      <x:c r="L15" s="28" t="str">
        <x:v>A</x:v>
      </x:c>
      <x:c r="M15" s="28" t="str">
        <x:v>KEEP / TUNE</x:v>
      </x:c>
      <x:c r="N15" s="28" t="str">
        <x:v>—</x:v>
      </x:c>
      <x:c r="O15" s="28" t="str">
        <x:v>Flash plus deathtouch creates surprise blocks and a cheap Fynn trigger source; solid at two mana.</x:v>
      </x:c>
      <x:c r="P15" s="28" t="str">
        <x:v>Keep</x:v>
      </x:c>
      <x:c r="Q15" s="28" t="str">
        <x:v>https://scryfall.com/search?q=%21Ambush%20Viper</x:v>
      </x:c>
    </x:row>
    <x:row r="16">
      <x:c r="A16" s="28" t="str">
        <x:v>Ankle Biter</x:v>
      </x:c>
      <x:c r="B16" s="28" t="n">
        <x:v>1</x:v>
      </x:c>
      <x:c r="C16" s="28" t="n">
        <x:v>1</x:v>
      </x:c>
      <x:c r="D16" s="28" t="str">
        <x:v>Functional</x:v>
      </x:c>
      <x:c r="E16" s="28" t="n">
        <x:v>1</x:v>
      </x:c>
      <x:c r="F16" s="28" t="str">
        <x:v>OTJ 153</x:v>
      </x:c>
      <x:c r="G16" s="28" t="str">
        <x:v>Synergy</x:v>
      </x:c>
      <x:c r="H16" s="28" t="str">
        <x:v>Synergy</x:v>
      </x:c>
      <x:c r="I16" s="30" t="n">
        <x:v>9.1</x:v>
      </x:c>
      <x:c r="J16" s="28" t="str">
        <x:v>A</x:v>
      </x:c>
      <x:c r="K16" s="30" t="n">
        <x:v>9.4</x:v>
      </x:c>
      <x:c r="L16" s="28" t="str">
        <x:v>A</x:v>
      </x:c>
      <x:c r="M16" s="28" t="str">
        <x:v>KEEP / TUNE</x:v>
      </x:c>
      <x:c r="N16" s="28" t="str">
        <x:v>—</x:v>
      </x:c>
      <x:c r="O16" s="28" t="str">
        <x:v>One-mana deathtouch body; excellent early density for Fynn.</x:v>
      </x:c>
      <x:c r="P16" s="28" t="str">
        <x:v>Keep</x:v>
      </x:c>
      <x:c r="Q16" s="28" t="str">
        <x:v>https://scryfall.com/search?q=%21Ankle%20Biter</x:v>
      </x:c>
    </x:row>
    <x:row r="17">
      <x:c r="A17" s="28" t="str">
        <x:v>Arcane Signet</x:v>
      </x:c>
      <x:c r="B17" s="28" t="n">
        <x:v>1</x:v>
      </x:c>
      <x:c r="C17" s="28" t="n">
        <x:v>1</x:v>
      </x:c>
      <x:c r="D17" s="28" t="str">
        <x:v>Functional</x:v>
      </x:c>
      <x:c r="E17" s="28" t="n">
        <x:v>2</x:v>
      </x:c>
      <x:c r="F17" s="28" t="str">
        <x:v>CLB 298</x:v>
      </x:c>
      <x:c r="G17" s="28" t="str">
        <x:v>Ramp</x:v>
      </x:c>
      <x:c r="H17" s="28" t="str">
        <x:v>Ramp</x:v>
      </x:c>
      <x:c r="I17" s="30" t="n">
        <x:v>7.2</x:v>
      </x:c>
      <x:c r="J17" s="28" t="str">
        <x:v>C</x:v>
      </x:c>
      <x:c r="K17" s="30" t="n">
        <x:v>7.3</x:v>
      </x:c>
      <x:c r="L17" s="28" t="str">
        <x:v>C</x:v>
      </x:c>
      <x:c r="M17" s="28" t="str">
        <x:v>KEEP / TUNE</x:v>
      </x:c>
      <x:c r="N17" s="28" t="str">
        <x:v>Ramp</x:v>
      </x:c>
      <x:c r="O17" s="28" t="str">
        <x:v>Fit assessed by Ramp; see the group-level diagnosis and source record.</x:v>
      </x:c>
      <x:c r="P17" s="28" t="str">
        <x:v>Keep</x:v>
      </x:c>
      <x:c r="Q17" s="28" t="str">
        <x:v>https://scryfall.com/search?q=%21Arcane%20Signet</x:v>
      </x:c>
    </x:row>
    <x:row r="18">
      <x:c r="A18" s="28" t="str">
        <x:v>Aspect of Hydra</x:v>
      </x:c>
      <x:c r="B18" s="28" t="n">
        <x:v>1</x:v>
      </x:c>
      <x:c r="C18" s="28" t="n">
        <x:v>1</x:v>
      </x:c>
      <x:c r="D18" s="28" t="str">
        <x:v>Functional</x:v>
      </x:c>
      <x:c r="E18" s="28" t="n">
        <x:v>1</x:v>
      </x:c>
      <x:c r="F18" s="28" t="str">
        <x:v>BNG 117</x:v>
      </x:c>
      <x:c r="G18" s="28" t="str">
        <x:v>Buff + WinCon</x:v>
      </x:c>
      <x:c r="H18" s="28" t="str">
        <x:v>Buff + WinCon</x:v>
      </x:c>
      <x:c r="I18" s="30" t="n">
        <x:v>6</x:v>
      </x:c>
      <x:c r="J18" s="28" t="str">
        <x:v>D</x:v>
      </x:c>
      <x:c r="K18" s="30" t="n">
        <x:v>6.1</x:v>
      </x:c>
      <x:c r="L18" s="28" t="str">
        <x:v>D</x:v>
      </x:c>
      <x:c r="M18" s="28" t="str">
        <x:v>KEEP / TUNE</x:v>
      </x:c>
      <x:c r="N18" s="28" t="str">
        <x:v>—</x:v>
      </x:c>
      <x:c r="O18" s="28" t="str">
        <x:v>Cheap pump spell; only adds poison if it helps an infect creature connect, otherwise the extra power does not scale Fynn's fixed +2 counters.</x:v>
      </x:c>
      <x:c r="P18" s="28" t="str">
        <x:v>Keep</x:v>
      </x:c>
      <x:c r="Q18" s="28" t="str">
        <x:v>https://scryfall.com/search?q=%21Aspect%20of%20Hydra</x:v>
      </x:c>
    </x:row>
    <x:row r="19">
      <x:c r="A19" s="28" t="str">
        <x:v>Basilisk Collar</x:v>
      </x:c>
      <x:c r="B19" s="28" t="n">
        <x:v>1</x:v>
      </x:c>
      <x:c r="C19" s="28" t="n">
        <x:v>1</x:v>
      </x:c>
      <x:c r="D19" s="28" t="str">
        <x:v>Functional</x:v>
      </x:c>
      <x:c r="E19" s="28" t="n">
        <x:v>1</x:v>
      </x:c>
      <x:c r="F19" s="28" t="str">
        <x:v>2XM 233</x:v>
      </x:c>
      <x:c r="G19" s="28" t="str">
        <x:v>Dupla Função</x:v>
      </x:c>
      <x:c r="H19" s="28" t="str">
        <x:v>Dupla Função</x:v>
      </x:c>
      <x:c r="I19" s="30" t="n">
        <x:v>7.2</x:v>
      </x:c>
      <x:c r="J19" s="28" t="str">
        <x:v>C</x:v>
      </x:c>
      <x:c r="K19" s="30" t="n">
        <x:v>7.3</x:v>
      </x:c>
      <x:c r="L19" s="28" t="str">
        <x:v>C</x:v>
      </x:c>
      <x:c r="M19" s="28" t="str">
        <x:v>KEEP / TUNE</x:v>
      </x:c>
      <x:c r="N19" s="28" t="str">
        <x:v>Grants deathtouch; lifelink</x:v>
      </x:c>
      <x:c r="O19" s="28" t="str">
        <x:v>Grants deathtouch to creatures that lack it and lifelink; the deathtouch half can unlock Fynn triggers.</x:v>
      </x:c>
      <x:c r="P19" s="28" t="str">
        <x:v>Keep</x:v>
      </x:c>
      <x:c r="Q19" s="28" t="str">
        <x:v>https://scryfall.com/search?q=%21Basilisk%20Collar</x:v>
      </x:c>
    </x:row>
    <x:row r="20">
      <x:c r="A20" s="28" t="str">
        <x:v>Beanstalk Giant</x:v>
      </x:c>
      <x:c r="B20" s="28" t="n">
        <x:v>1</x:v>
      </x:c>
      <x:c r="C20" s="28" t="n">
        <x:v>1</x:v>
      </x:c>
      <x:c r="D20" s="28" t="str">
        <x:v>Functional</x:v>
      </x:c>
      <x:c r="E20" s="28" t="n">
        <x:v>7</x:v>
      </x:c>
      <x:c r="F20" s="28" t="str">
        <x:v>CMM 275</x:v>
      </x:c>
      <x:c r="G20" s="28" t="str">
        <x:v>Ramp</x:v>
      </x:c>
      <x:c r="H20" s="28" t="str">
        <x:v>Ramp</x:v>
      </x:c>
      <x:c r="I20" s="30" t="n">
        <x:v>6</x:v>
      </x:c>
      <x:c r="J20" s="28" t="str">
        <x:v>D</x:v>
      </x:c>
      <x:c r="K20" s="30" t="n">
        <x:v>6.1</x:v>
      </x:c>
      <x:c r="L20" s="28" t="str">
        <x:v>D</x:v>
      </x:c>
      <x:c r="M20" s="28" t="str">
        <x:v>KEEP / TUNE</x:v>
      </x:c>
      <x:c r="N20" s="28" t="str">
        <x:v>—</x:v>
      </x:c>
      <x:c r="O20" s="28" t="str">
        <x:v>Adventure side ramps, but the creature side is a seven-mana top end; flexible but slow.</x:v>
      </x:c>
      <x:c r="P20" s="28" t="str">
        <x:v>Keep</x:v>
      </x:c>
      <x:c r="Q20" s="28" t="str">
        <x:v>https://scryfall.com/search?q=%21Beanstalk%20Giant</x:v>
      </x:c>
    </x:row>
    <x:row r="21">
      <x:c r="A21" s="28" t="str">
        <x:v>Beast Within</x:v>
      </x:c>
      <x:c r="B21" s="28" t="n">
        <x:v>1</x:v>
      </x:c>
      <x:c r="C21" s="28" t="n">
        <x:v>1</x:v>
      </x:c>
      <x:c r="D21" s="28" t="str">
        <x:v>Functional</x:v>
      </x:c>
      <x:c r="E21" s="28" t="n">
        <x:v>3</x:v>
      </x:c>
      <x:c r="F21" s="28" t="str">
        <x:v>CLB 820</x:v>
      </x:c>
      <x:c r="G21" s="28" t="str">
        <x:v>Removal</x:v>
      </x:c>
      <x:c r="H21" s="28" t="str">
        <x:v>Removal</x:v>
      </x:c>
      <x:c r="I21" s="30" t="n">
        <x:v>8.4</x:v>
      </x:c>
      <x:c r="J21" s="28" t="str">
        <x:v>B</x:v>
      </x:c>
      <x:c r="K21" s="30" t="n">
        <x:v>8.5</x:v>
      </x:c>
      <x:c r="L21" s="28" t="str">
        <x:v>A</x:v>
      </x:c>
      <x:c r="M21" s="28" t="str">
        <x:v>KEEP / TUNE</x:v>
      </x:c>
      <x:c r="N21" s="28" t="str">
        <x:v>—</x:v>
      </x:c>
      <x:c r="O21" s="28" t="str">
        <x:v>Broad instant-speed answer to almost any permanent; efficient interaction despite giving a 3/3.</x:v>
      </x:c>
      <x:c r="P21" s="28" t="str">
        <x:v>Keep</x:v>
      </x:c>
      <x:c r="Q21" s="28" t="str">
        <x:v>https://scryfall.com/search?q=%21Beast%20Within</x:v>
      </x:c>
    </x:row>
    <x:row r="22">
      <x:c r="A22" s="28" t="str">
        <x:v>Blackblade Reforged</x:v>
      </x:c>
      <x:c r="B22" s="28" t="n">
        <x:v>1</x:v>
      </x:c>
      <x:c r="C22" s="28" t="n">
        <x:v>0</x:v>
      </x:c>
      <x:c r="D22" s="28" t="str">
        <x:v>Functional</x:v>
      </x:c>
      <x:c r="E22" s="28" t="n">
        <x:v>2</x:v>
      </x:c>
      <x:c r="F22" s="28" t="str">
        <x:v>DMC 178</x:v>
      </x:c>
      <x:c r="G22" s="28" t="str">
        <x:v>Buff + WinCon</x:v>
      </x:c>
      <x:c r="H22" s="28" t="str">
        <x:v>OUT / NOT IN V2</x:v>
      </x:c>
      <x:c r="I22" s="30" t="n">
        <x:v>4</x:v>
      </x:c>
      <x:c r="J22" s="28" t="str">
        <x:v>D</x:v>
      </x:c>
      <x:c r="K22" s="30"/>
      <x:c r="L22" s="28" t="str"/>
      <x:c r="M22" s="28" t="str">
        <x:v>OUT (V2)</x:v>
      </x:c>
      <x:c r="N22" s="28" t="str">
        <x:v>—</x:v>
      </x:c>
      <x:c r="O22" s="28" t="str">
        <x:v>Power scaling and equip costs are not the deck's core need; poison cares more about connecting than raw power unless the attacker has infect.</x:v>
      </x:c>
      <x:c r="P22" s="28" t="str">
        <x:v>Cut</x:v>
      </x:c>
      <x:c r="Q22" s="28" t="str">
        <x:v>https://scryfall.com/search?q=%21Blackblade%20Reforged</x:v>
      </x:c>
    </x:row>
    <x:row r="23">
      <x:c r="A23" s="28" t="str">
        <x:v>Bloated Contaminator</x:v>
      </x:c>
      <x:c r="B23" s="28" t="n">
        <x:v>1</x:v>
      </x:c>
      <x:c r="C23" s="28" t="n">
        <x:v>1</x:v>
      </x:c>
      <x:c r="D23" s="28" t="str">
        <x:v>Functional</x:v>
      </x:c>
      <x:c r="E23" s="28" t="n">
        <x:v>3</x:v>
      </x:c>
      <x:c r="F23" s="28" t="str">
        <x:v>ONE 159</x:v>
      </x:c>
      <x:c r="G23" s="28" t="str">
        <x:v>Dupla Função</x:v>
      </x:c>
      <x:c r="H23" s="28" t="str">
        <x:v>Buff + WinCon</x:v>
      </x:c>
      <x:c r="I23" s="30" t="n">
        <x:v>8.3</x:v>
      </x:c>
      <x:c r="J23" s="28" t="str">
        <x:v>B</x:v>
      </x:c>
      <x:c r="K23" s="30" t="n">
        <x:v>8.600000000000001</x:v>
      </x:c>
      <x:c r="L23" s="28" t="str">
        <x:v>A</x:v>
      </x:c>
      <x:c r="M23" s="28" t="str">
        <x:v>KEEP / TUNE</x:v>
      </x:c>
      <x:c r="N23" s="28" t="str">
        <x:v>Toxic 1; trample; proliferate</x:v>
      </x:c>
      <x:c r="O23" s="28" t="str">
        <x:v>Toxic 1 (not infect), trample, and proliferate on player damage make it an excellent pressure/proliferation bridge.</x:v>
      </x:c>
      <x:c r="P23" s="28" t="str">
        <x:v>Keep</x:v>
      </x:c>
      <x:c r="Q23" s="28" t="str">
        <x:v>https://scryfall.com/search?q=%21Bloated%20Contaminator</x:v>
      </x:c>
    </x:row>
    <x:row r="24">
      <x:c r="A24" s="28" t="str">
        <x:v>Branchblight Stalker</x:v>
      </x:c>
      <x:c r="B24" s="28" t="n">
        <x:v>1</x:v>
      </x:c>
      <x:c r="C24" s="28" t="n">
        <x:v>1</x:v>
      </x:c>
      <x:c r="D24" s="28" t="str">
        <x:v>Functional</x:v>
      </x:c>
      <x:c r="E24" s="28" t="n">
        <x:v>2</x:v>
      </x:c>
      <x:c r="F24" s="28" t="str">
        <x:v>ONE 160</x:v>
      </x:c>
      <x:c r="G24" s="28" t="str">
        <x:v>Synergy</x:v>
      </x:c>
      <x:c r="H24" s="28" t="str">
        <x:v>Buff + WinCon</x:v>
      </x:c>
      <x:c r="I24" s="30" t="n">
        <x:v>7.8</x:v>
      </x:c>
      <x:c r="J24" s="28" t="str">
        <x:v>B</x:v>
      </x:c>
      <x:c r="K24" s="30" t="n">
        <x:v>7.8999999999999995</x:v>
      </x:c>
      <x:c r="L24" s="28" t="str">
        <x:v>B</x:v>
      </x:c>
      <x:c r="M24" s="28" t="str">
        <x:v>KEEP / TUNE</x:v>
      </x:c>
      <x:c r="N24" s="28" t="str">
        <x:v>Toxic 2; early pressure</x:v>
      </x:c>
      <x:c r="O24" s="28" t="str">
        <x:v>Toxic 2 pressure at two mana, but it does not have deathtouch and therefore does not trigger Fynn by itself.</x:v>
      </x:c>
      <x:c r="P24" s="28" t="str">
        <x:v>Keep</x:v>
      </x:c>
      <x:c r="Q24" s="28" t="str">
        <x:v>https://scryfall.com/search?q=%21Branchblight%20Stalker</x:v>
      </x:c>
    </x:row>
    <x:row r="25">
      <x:c r="A25" s="28" t="str">
        <x:v>Bushwhack</x:v>
      </x:c>
      <x:c r="B25" s="28" t="n">
        <x:v>1</x:v>
      </x:c>
      <x:c r="C25" s="28" t="n">
        <x:v>1</x:v>
      </x:c>
      <x:c r="D25" s="28" t="str">
        <x:v>Functional</x:v>
      </x:c>
      <x:c r="E25" s="28" t="n">
        <x:v>1</x:v>
      </x:c>
      <x:c r="F25" s="28" t="str">
        <x:v>FDN 215</x:v>
      </x:c>
      <x:c r="G25" s="28" t="str">
        <x:v>Removal</x:v>
      </x:c>
      <x:c r="H25" s="28" t="str">
        <x:v>Removal</x:v>
      </x:c>
      <x:c r="I25" s="30" t="n">
        <x:v>6.7</x:v>
      </x:c>
      <x:c r="J25" s="28" t="str">
        <x:v>C</x:v>
      </x:c>
      <x:c r="K25" s="30" t="n">
        <x:v>6.8</x:v>
      </x:c>
      <x:c r="L25" s="28" t="str">
        <x:v>C</x:v>
      </x:c>
      <x:c r="M25" s="28" t="str">
        <x:v>KEEP / TUNE</x:v>
      </x:c>
      <x:c r="N25" s="28" t="str">
        <x:v>—</x:v>
      </x:c>
      <x:c r="O25" s="28" t="str">
        <x:v>One mana for basic-land selection or conditional fight removal; role compression helps.</x:v>
      </x:c>
      <x:c r="P25" s="28" t="str">
        <x:v>Keep</x:v>
      </x:c>
      <x:c r="Q25" s="28" t="str">
        <x:v>https://scryfall.com/search?q=%21Bushwhack</x:v>
      </x:c>
    </x:row>
    <x:row r="26">
      <x:c r="A26" s="28" t="str">
        <x:v>Caged Sun</x:v>
      </x:c>
      <x:c r="B26" s="28" t="n">
        <x:v>1</x:v>
      </x:c>
      <x:c r="C26" s="28" t="n">
        <x:v>0</x:v>
      </x:c>
      <x:c r="D26" s="28" t="str">
        <x:v>Functional</x:v>
      </x:c>
      <x:c r="E26" s="28" t="n">
        <x:v>6</x:v>
      </x:c>
      <x:c r="F26" s="28" t="str">
        <x:v>CM2 178</x:v>
      </x:c>
      <x:c r="G26" s="28" t="str">
        <x:v>Ramp</x:v>
      </x:c>
      <x:c r="H26" s="28" t="str">
        <x:v>OUT / NOT IN V2</x:v>
      </x:c>
      <x:c r="I26" s="30" t="n">
        <x:v>4.5</x:v>
      </x:c>
      <x:c r="J26" s="28" t="str">
        <x:v>D</x:v>
      </x:c>
      <x:c r="K26" s="30"/>
      <x:c r="L26" s="28" t="str"/>
      <x:c r="M26" s="28" t="str">
        <x:v>OUT (V2)</x:v>
      </x:c>
      <x:c r="N26" s="28" t="str">
        <x:v>—</x:v>
      </x:c>
      <x:c r="O26" s="28" t="str">
        <x:v>Six-mana ramp is too slow for the stated fast-aggro objective.</x:v>
      </x:c>
      <x:c r="P26" s="28" t="str">
        <x:v>Cut</x:v>
      </x:c>
      <x:c r="Q26" s="28" t="str">
        <x:v>https://scryfall.com/search?q=%21Caged%20Sun</x:v>
      </x:c>
    </x:row>
    <x:row r="27">
      <x:c r="A27" s="28" t="str">
        <x:v>Cankerbloom</x:v>
      </x:c>
      <x:c r="B27" s="28" t="n">
        <x:v>1</x:v>
      </x:c>
      <x:c r="C27" s="28" t="n">
        <x:v>1</x:v>
      </x:c>
      <x:c r="D27" s="28" t="str">
        <x:v>Functional</x:v>
      </x:c>
      <x:c r="E27" s="28" t="n">
        <x:v>2</x:v>
      </x:c>
      <x:c r="F27" s="28" t="str">
        <x:v>ONE 161</x:v>
      </x:c>
      <x:c r="G27" s="28" t="str">
        <x:v>Removal</x:v>
      </x:c>
      <x:c r="H27" s="28" t="str">
        <x:v>Proliferate</x:v>
      </x:c>
      <x:c r="I27" s="30" t="n">
        <x:v>8.4</x:v>
      </x:c>
      <x:c r="J27" s="28" t="str">
        <x:v>B</x:v>
      </x:c>
      <x:c r="K27" s="30" t="n">
        <x:v>8.700000000000001</x:v>
      </x:c>
      <x:c r="L27" s="28" t="str">
        <x:v>A</x:v>
      </x:c>
      <x:c r="M27" s="28" t="str">
        <x:v>KEEP / TUNE</x:v>
      </x:c>
      <x:c r="N27" s="28" t="str">
        <x:v>Artifact removal; enchantment removal; proliferate</x:v>
      </x:c>
      <x:c r="O27" s="28" t="str">
        <x:v>Low-cost creature that can sacrifice for artifact/enchantment removal or proliferate; genuine two-in-one flexibility.</x:v>
      </x:c>
      <x:c r="P27" s="28" t="str">
        <x:v>Keep</x:v>
      </x:c>
      <x:c r="Q27" s="28" t="str">
        <x:v>https://scryfall.com/search?q=%21Cankerbloom</x:v>
      </x:c>
    </x:row>
    <x:row r="28">
      <x:c r="A28" s="28" t="str">
        <x:v>Collective Resistance</x:v>
      </x:c>
      <x:c r="B28" s="28" t="n">
        <x:v>1</x:v>
      </x:c>
      <x:c r="C28" s="28" t="n">
        <x:v>1</x:v>
      </x:c>
      <x:c r="D28" s="28" t="str">
        <x:v>Functional</x:v>
      </x:c>
      <x:c r="E28" s="28" t="n">
        <x:v>2</x:v>
      </x:c>
      <x:c r="F28" s="28" t="str">
        <x:v>MH3 147</x:v>
      </x:c>
      <x:c r="G28" s="28" t="str">
        <x:v>Protection</x:v>
      </x:c>
      <x:c r="H28" s="28" t="str">
        <x:v>Protection</x:v>
      </x:c>
      <x:c r="I28" s="30" t="n">
        <x:v>7.1</x:v>
      </x:c>
      <x:c r="J28" s="28" t="str">
        <x:v>C</x:v>
      </x:c>
      <x:c r="K28" s="30" t="n">
        <x:v>7.199999999999999</x:v>
      </x:c>
      <x:c r="L28" s="28" t="str">
        <x:v>C</x:v>
      </x:c>
      <x:c r="M28" s="28" t="str">
        <x:v>KEEP / TUNE</x:v>
      </x:c>
      <x:c r="N28" s="28" t="str">
        <x:v>Protection; modal interaction</x:v>
      </x:c>
      <x:c r="O28" s="28" t="str">
        <x:v>Modal protection/removal utility; retain as flexible interaction, but evaluate against the exact modes used in games.</x:v>
      </x:c>
      <x:c r="P28" s="28" t="str">
        <x:v>Keep</x:v>
      </x:c>
      <x:c r="Q28" s="28" t="str">
        <x:v>https://scryfall.com/search?q=%21Collective%20Resistance</x:v>
      </x:c>
    </x:row>
    <x:row r="29">
      <x:c r="A29" s="28" t="str">
        <x:v>Colossification</x:v>
      </x:c>
      <x:c r="B29" s="28" t="n">
        <x:v>1</x:v>
      </x:c>
      <x:c r="C29" s="28" t="n">
        <x:v>0</x:v>
      </x:c>
      <x:c r="D29" s="28" t="str">
        <x:v>Functional</x:v>
      </x:c>
      <x:c r="E29" s="28" t="n">
        <x:v>7</x:v>
      </x:c>
      <x:c r="F29" s="28" t="str">
        <x:v>IKO 364</x:v>
      </x:c>
      <x:c r="G29" s="28" t="str">
        <x:v>Buff + WinCon</x:v>
      </x:c>
      <x:c r="H29" s="28" t="str">
        <x:v>OUT / NOT IN V2</x:v>
      </x:c>
      <x:c r="I29" s="30" t="n">
        <x:v>2.7</x:v>
      </x:c>
      <x:c r="J29" s="28" t="str">
        <x:v>D</x:v>
      </x:c>
      <x:c r="K29" s="30"/>
      <x:c r="L29" s="28" t="str"/>
      <x:c r="M29" s="28" t="str">
        <x:v>OUT (V2)</x:v>
      </x:c>
      <x:c r="N29" s="28" t="str">
        <x:v>—</x:v>
      </x:c>
      <x:c r="O29" s="28" t="str">
        <x:v>Seven-mana aura that taps its target on entry; +20/+20 rarely matters to Fynn's fixed poison trigger and exposes a two-for-one.</x:v>
      </x:c>
      <x:c r="P29" s="28" t="str">
        <x:v>Cut</x:v>
      </x:c>
      <x:c r="Q29" s="28" t="str">
        <x:v>https://scryfall.com/search?q=%21Colossification</x:v>
      </x:c>
    </x:row>
    <x:row r="30">
      <x:c r="A30" s="28" t="str">
        <x:v>Contagion Clasp</x:v>
      </x:c>
      <x:c r="B30" s="28" t="n">
        <x:v>0</x:v>
      </x:c>
      <x:c r="C30" s="28" t="n">
        <x:v>1</x:v>
      </x:c>
      <x:c r="D30" s="28" t="str">
        <x:v>Functional</x:v>
      </x:c>
      <x:c r="E30" s="28" t="n">
        <x:v>2</x:v>
      </x:c>
      <x:c r="F30" s="28" t="str">
        <x:v>—</x:v>
      </x:c>
      <x:c r="G30" s="28" t="str">
        <x:v>NOT IN CURRENT</x:v>
      </x:c>
      <x:c r="H30" s="28" t="str">
        <x:v>Proliferate</x:v>
      </x:c>
      <x:c r="I30" s="30"/>
      <x:c r="J30" s="28" t="str"/>
      <x:c r="K30" s="30" t="n">
        <x:v>7.6</x:v>
      </x:c>
      <x:c r="L30" s="28" t="str">
        <x:v>B</x:v>
      </x:c>
      <x:c r="M30" s="28" t="str">
        <x:v>IN (V2)</x:v>
      </x:c>
      <x:c r="N30" s="28" t="str">
        <x:v>—</x:v>
      </x:c>
      <x:c r="O30" s="28" t="str">
        <x:v>Two-mana proliferate artifact with an optional later activation; cheaper entry than Contagion Engine.</x:v>
      </x:c>
      <x:c r="P30" s="28" t="str">
        <x:v>Add</x:v>
      </x:c>
      <x:c r="Q30" s="28" t="str">
        <x:v>https://scryfall.com/search?q=%21Contagion%20Clasp</x:v>
      </x:c>
    </x:row>
    <x:row r="31">
      <x:c r="A31" s="28" t="str">
        <x:v>Contagion Engine</x:v>
      </x:c>
      <x:c r="B31" s="28" t="n">
        <x:v>1</x:v>
      </x:c>
      <x:c r="C31" s="28" t="n">
        <x:v>0</x:v>
      </x:c>
      <x:c r="D31" s="28" t="str">
        <x:v>Functional</x:v>
      </x:c>
      <x:c r="E31" s="28" t="n">
        <x:v>6</x:v>
      </x:c>
      <x:c r="F31" s="28" t="str">
        <x:v>PLST SOM-145</x:v>
      </x:c>
      <x:c r="G31" s="28" t="str">
        <x:v>Proliferate</x:v>
      </x:c>
      <x:c r="H31" s="28" t="str">
        <x:v>OUT / NOT IN V2</x:v>
      </x:c>
      <x:c r="I31" s="30" t="n">
        <x:v>5</x:v>
      </x:c>
      <x:c r="J31" s="28" t="str">
        <x:v>D</x:v>
      </x:c>
      <x:c r="K31" s="30"/>
      <x:c r="L31" s="28" t="str"/>
      <x:c r="M31" s="28" t="str">
        <x:v>OUT (V2)</x:v>
      </x:c>
      <x:c r="N31" s="28" t="str">
        <x:v>—</x:v>
      </x:c>
      <x:c r="O31" s="28" t="str">
        <x:v>Powerful repeatable proliferate, but six-mana entry plus a four-mana activation is too slow as an early game plan.</x:v>
      </x:c>
      <x:c r="P31" s="28" t="str">
        <x:v>Cut</x:v>
      </x:c>
      <x:c r="Q31" s="28" t="str">
        <x:v>https://scryfall.com/search?q=%21Contagion%20Engine</x:v>
      </x:c>
    </x:row>
    <x:row r="32">
      <x:c r="A32" s="28" t="str">
        <x:v>Courage in Crisis</x:v>
      </x:c>
      <x:c r="B32" s="28" t="n">
        <x:v>1</x:v>
      </x:c>
      <x:c r="C32" s="28" t="n">
        <x:v>0</x:v>
      </x:c>
      <x:c r="D32" s="28" t="str">
        <x:v>Functional</x:v>
      </x:c>
      <x:c r="E32" s="28" t="n">
        <x:v>3</x:v>
      </x:c>
      <x:c r="F32" s="28" t="str">
        <x:v>CMM 278</x:v>
      </x:c>
      <x:c r="G32" s="28" t="str">
        <x:v>Proliferate</x:v>
      </x:c>
      <x:c r="H32" s="28" t="str">
        <x:v>OUT / NOT IN V2</x:v>
      </x:c>
      <x:c r="I32" s="30" t="n">
        <x:v>4.8</x:v>
      </x:c>
      <x:c r="J32" s="28" t="str">
        <x:v>D</x:v>
      </x:c>
      <x:c r="K32" s="30"/>
      <x:c r="L32" s="28" t="str"/>
      <x:c r="M32" s="28" t="str">
        <x:v>OUT (V2)</x:v>
      </x:c>
      <x:c r="N32" s="28" t="str">
        <x:v>—</x:v>
      </x:c>
      <x:c r="O32" s="28" t="str">
        <x:v>One-shot +1/+1 counter plus proliferate; too low-impact at three mana compared with repeatable engines.</x:v>
      </x:c>
      <x:c r="P32" s="28" t="str">
        <x:v>Cut</x:v>
      </x:c>
      <x:c r="Q32" s="28" t="str">
        <x:v>https://scryfall.com/search?q=%21Courage%20in%20Crisis</x:v>
      </x:c>
    </x:row>
    <x:row r="33">
      <x:c r="A33" s="28" t="str">
        <x:v>Deadly Recluse</x:v>
      </x:c>
      <x:c r="B33" s="28" t="n">
        <x:v>1</x:v>
      </x:c>
      <x:c r="C33" s="28" t="n">
        <x:v>1</x:v>
      </x:c>
      <x:c r="D33" s="28" t="str">
        <x:v>Functional</x:v>
      </x:c>
      <x:c r="E33" s="28" t="n">
        <x:v>2</x:v>
      </x:c>
      <x:c r="F33" s="28" t="str">
        <x:v>CMM 282</x:v>
      </x:c>
      <x:c r="G33" s="28" t="str">
        <x:v>Synergy</x:v>
      </x:c>
      <x:c r="H33" s="28" t="str">
        <x:v>Synergy</x:v>
      </x:c>
      <x:c r="I33" s="30" t="n">
        <x:v>8</x:v>
      </x:c>
      <x:c r="J33" s="28" t="str">
        <x:v>B</x:v>
      </x:c>
      <x:c r="K33" s="30" t="n">
        <x:v>8.3</x:v>
      </x:c>
      <x:c r="L33" s="28" t="str">
        <x:v>B</x:v>
      </x:c>
      <x:c r="M33" s="28" t="str">
        <x:v>KEEP / TUNE</x:v>
      </x:c>
      <x:c r="N33" s="28" t="str">
        <x:v>—</x:v>
      </x:c>
      <x:c r="O33" s="28" t="str">
        <x:v>Two-mana deathtouch/reach body; solid, although mostly defensive if the table can keep flyers away.</x:v>
      </x:c>
      <x:c r="P33" s="28" t="str">
        <x:v>Keep</x:v>
      </x:c>
      <x:c r="Q33" s="28" t="str">
        <x:v>https://scryfall.com/search?q=%21Deadly%20Recluse</x:v>
      </x:c>
    </x:row>
    <x:row r="34">
      <x:c r="A34" s="28" t="str">
        <x:v>Disorienting Choice</x:v>
      </x:c>
      <x:c r="B34" s="28" t="n">
        <x:v>1</x:v>
      </x:c>
      <x:c r="C34" s="28" t="n">
        <x:v>1</x:v>
      </x:c>
      <x:c r="D34" s="28" t="str">
        <x:v>Functional</x:v>
      </x:c>
      <x:c r="E34" s="28" t="n">
        <x:v>4</x:v>
      </x:c>
      <x:c r="F34" s="28" t="str">
        <x:v>DSC 60</x:v>
      </x:c>
      <x:c r="G34" s="28" t="str">
        <x:v>Removal</x:v>
      </x:c>
      <x:c r="H34" s="28" t="str">
        <x:v>Removal</x:v>
      </x:c>
      <x:c r="I34" s="30" t="n">
        <x:v>6.4</x:v>
      </x:c>
      <x:c r="J34" s="28" t="str">
        <x:v>D</x:v>
      </x:c>
      <x:c r="K34" s="30" t="n">
        <x:v>6.5</x:v>
      </x:c>
      <x:c r="L34" s="28" t="str">
        <x:v>C</x:v>
      </x:c>
      <x:c r="M34" s="28" t="str">
        <x:v>KEEP / TUNE</x:v>
      </x:c>
      <x:c r="N34" s="28" t="str">
        <x:v>Removal-adjacent; land ramp if permanents remain</x:v>
      </x:c>
      <x:c r="O34" s="28" t="str">
        <x:v>Four-mana removal-adjacent ramp spell dependent on opponents' artifacts/enchantments and their choices; high variance.</x:v>
      </x:c>
      <x:c r="P34" s="28" t="str">
        <x:v>Keep</x:v>
      </x:c>
      <x:c r="Q34" s="28" t="str">
        <x:v>https://scryfall.com/search?q=%21Disorienting%20Choice</x:v>
      </x:c>
    </x:row>
    <x:row r="35">
      <x:c r="A35" s="28" t="str">
        <x:v>End-Raze Forerunners</x:v>
      </x:c>
      <x:c r="B35" s="28" t="n">
        <x:v>1</x:v>
      </x:c>
      <x:c r="C35" s="28" t="n">
        <x:v>0</x:v>
      </x:c>
      <x:c r="D35" s="28" t="str">
        <x:v>Functional</x:v>
      </x:c>
      <x:c r="E35" s="28" t="n">
        <x:v>8</x:v>
      </x:c>
      <x:c r="F35" s="28" t="str">
        <x:v>BLC 214</x:v>
      </x:c>
      <x:c r="G35" s="28" t="str">
        <x:v>Buff + WinCon</x:v>
      </x:c>
      <x:c r="H35" s="28" t="str">
        <x:v>OUT / NOT IN V2</x:v>
      </x:c>
      <x:c r="I35" s="30" t="n">
        <x:v>4.7</x:v>
      </x:c>
      <x:c r="J35" s="28" t="str">
        <x:v>D</x:v>
      </x:c>
      <x:c r="K35" s="30"/>
      <x:c r="L35" s="28" t="str"/>
      <x:c r="M35" s="28" t="str">
        <x:v>OUT (V2)</x:v>
      </x:c>
      <x:c r="N35" s="28" t="str">
        <x:v>—</x:v>
      </x:c>
      <x:c r="O35" s="28" t="str">
        <x:v>Eight mana for a conventional combat finisher; not aligned with a poison-first plan.</x:v>
      </x:c>
      <x:c r="P35" s="28" t="str">
        <x:v>Cut</x:v>
      </x:c>
      <x:c r="Q35" s="28" t="str">
        <x:v>https://scryfall.com/search?q=%21End-Raze%20Forerunners</x:v>
      </x:c>
    </x:row>
    <x:row r="36">
      <x:c r="A36" s="28" t="str">
        <x:v>Endless Atlas</x:v>
      </x:c>
      <x:c r="B36" s="28" t="n">
        <x:v>1</x:v>
      </x:c>
      <x:c r="C36" s="28" t="n">
        <x:v>1</x:v>
      </x:c>
      <x:c r="D36" s="28" t="str">
        <x:v>Functional</x:v>
      </x:c>
      <x:c r="E36" s="28" t="n">
        <x:v>2</x:v>
      </x:c>
      <x:c r="F36" s="28" t="str">
        <x:v>C18 55</x:v>
      </x:c>
      <x:c r="G36" s="28" t="str">
        <x:v>Draw</x:v>
      </x:c>
      <x:c r="H36" s="28" t="str">
        <x:v>Draw</x:v>
      </x:c>
      <x:c r="I36" s="30" t="n">
        <x:v>6.8</x:v>
      </x:c>
      <x:c r="J36" s="28" t="str">
        <x:v>C</x:v>
      </x:c>
      <x:c r="K36" s="30" t="n">
        <x:v>6.8999999999999995</x:v>
      </x:c>
      <x:c r="L36" s="28" t="str">
        <x:v>C</x:v>
      </x:c>
      <x:c r="M36" s="28" t="str">
        <x:v>KEEP / TUNE</x:v>
      </x:c>
      <x:c r="N36" s="28" t="str">
        <x:v>—</x:v>
      </x:c>
      <x:c r="O36" s="28" t="str">
        <x:v>Repeatable draw is enabled by the heavy basic-Forest base; keep as slow but reliable gas.</x:v>
      </x:c>
      <x:c r="P36" s="28" t="str">
        <x:v>Keep</x:v>
      </x:c>
      <x:c r="Q36" s="28" t="str">
        <x:v>https://scryfall.com/search?q=%21Endless%20Atlas</x:v>
      </x:c>
    </x:row>
    <x:row r="37">
      <x:c r="A37" s="28" t="str">
        <x:v>Enduring Vitality</x:v>
      </x:c>
      <x:c r="B37" s="28" t="n">
        <x:v>1</x:v>
      </x:c>
      <x:c r="C37" s="28" t="n">
        <x:v>1</x:v>
      </x:c>
      <x:c r="D37" s="28" t="str">
        <x:v>Functional</x:v>
      </x:c>
      <x:c r="E37" s="28" t="n">
        <x:v>3</x:v>
      </x:c>
      <x:c r="F37" s="28" t="str">
        <x:v>DSK 176</x:v>
      </x:c>
      <x:c r="G37" s="28" t="str">
        <x:v>Ramp</x:v>
      </x:c>
      <x:c r="H37" s="28" t="str">
        <x:v>Ramp</x:v>
      </x:c>
      <x:c r="I37" s="30" t="n">
        <x:v>7.3</x:v>
      </x:c>
      <x:c r="J37" s="28" t="str">
        <x:v>C</x:v>
      </x:c>
      <x:c r="K37" s="30" t="n">
        <x:v>7.3999999999999995</x:v>
      </x:c>
      <x:c r="L37" s="28" t="str">
        <x:v>C</x:v>
      </x:c>
      <x:c r="M37" s="28" t="str">
        <x:v>KEEP / TUNE</x:v>
      </x:c>
      <x:c r="N37" s="28" t="str">
        <x:v>Mana engine; resilient creature/enchantment</x:v>
      </x:c>
      <x:c r="O37" s="28" t="str">
        <x:v>Ramp engine with resilience, but using creatures for mana can compete with attacking; still a strong three-mana engine.</x:v>
      </x:c>
      <x:c r="P37" s="28" t="str">
        <x:v>Keep</x:v>
      </x:c>
      <x:c r="Q37" s="28" t="str">
        <x:v>https://scryfall.com/search?q=%21Enduring%20Vitality</x:v>
      </x:c>
    </x:row>
    <x:row r="38">
      <x:c r="A38" s="28" t="str">
        <x:v>Evolution Sage</x:v>
      </x:c>
      <x:c r="B38" s="28" t="n">
        <x:v>0</x:v>
      </x:c>
      <x:c r="C38" s="28" t="n">
        <x:v>1</x:v>
      </x:c>
      <x:c r="D38" s="28" t="str">
        <x:v>Functional</x:v>
      </x:c>
      <x:c r="E38" s="28" t="n">
        <x:v>3</x:v>
      </x:c>
      <x:c r="F38" s="28" t="str">
        <x:v>—</x:v>
      </x:c>
      <x:c r="G38" s="28" t="str">
        <x:v>NOT IN CURRENT</x:v>
      </x:c>
      <x:c r="H38" s="28" t="str">
        <x:v>Proliferate</x:v>
      </x:c>
      <x:c r="I38" s="30"/>
      <x:c r="J38" s="28" t="str"/>
      <x:c r="K38" s="30" t="n">
        <x:v>9</x:v>
      </x:c>
      <x:c r="L38" s="28" t="str">
        <x:v>A</x:v>
      </x:c>
      <x:c r="M38" s="28" t="str">
        <x:v>IN (V2)</x:v>
      </x:c>
      <x:c r="N38" s="28" t="str">
        <x:v>Landfall; proliferate</x:v>
      </x:c>
      <x:c r="O38" s="28" t="str">
        <x:v>Landfall proliferate repeatedly converts future land drops/ramp into additional poison counters.</x:v>
      </x:c>
      <x:c r="P38" s="28" t="str">
        <x:v>Add</x:v>
      </x:c>
      <x:c r="Q38" s="28" t="str">
        <x:v>https://scryfall.com/search?q=%21Evolution%20Sage</x:v>
      </x:c>
    </x:row>
    <x:row r="39">
      <x:c r="A39" s="28" t="str">
        <x:v>Expand the Sphere</x:v>
      </x:c>
      <x:c r="B39" s="28" t="n">
        <x:v>1</x:v>
      </x:c>
      <x:c r="C39" s="28" t="n">
        <x:v>1</x:v>
      </x:c>
      <x:c r="D39" s="28" t="str">
        <x:v>Functional</x:v>
      </x:c>
      <x:c r="E39" s="28" t="n">
        <x:v>3</x:v>
      </x:c>
      <x:c r="F39" s="28" t="str">
        <x:v>ONE 168</x:v>
      </x:c>
      <x:c r="G39" s="28" t="str">
        <x:v>Ramp</x:v>
      </x:c>
      <x:c r="H39" s="28" t="str">
        <x:v>Proliferate</x:v>
      </x:c>
      <x:c r="I39" s="30" t="n">
        <x:v>8</x:v>
      </x:c>
      <x:c r="J39" s="28" t="str">
        <x:v>B</x:v>
      </x:c>
      <x:c r="K39" s="30" t="n">
        <x:v>8.3</x:v>
      </x:c>
      <x:c r="L39" s="28" t="str">
        <x:v>B</x:v>
      </x:c>
      <x:c r="M39" s="28" t="str">
        <x:v>KEEP / TUNE</x:v>
      </x:c>
      <x:c r="N39" s="28" t="str">
        <x:v>Land ramp; proliferate</x:v>
      </x:c>
      <x:c r="O39" s="28" t="str">
        <x:v>Ramp plus proliferate is valuable role compression; helps the deck develop and push existing poison totals.</x:v>
      </x:c>
      <x:c r="P39" s="28" t="str">
        <x:v>Keep</x:v>
      </x:c>
      <x:c r="Q39" s="28" t="str">
        <x:v>https://scryfall.com/search?q=%21Expand%20the%20Sphere</x:v>
      </x:c>
    </x:row>
    <x:row r="40">
      <x:c r="A40" s="28" t="str">
        <x:v>Explore</x:v>
      </x:c>
      <x:c r="B40" s="28" t="n">
        <x:v>1</x:v>
      </x:c>
      <x:c r="C40" s="28" t="n">
        <x:v>1</x:v>
      </x:c>
      <x:c r="D40" s="28" t="str">
        <x:v>Functional</x:v>
      </x:c>
      <x:c r="E40" s="28" t="n">
        <x:v>2</x:v>
      </x:c>
      <x:c r="F40" s="28" t="str">
        <x:v>CLB 823</x:v>
      </x:c>
      <x:c r="G40" s="28" t="str">
        <x:v>Ramp</x:v>
      </x:c>
      <x:c r="H40" s="28" t="str">
        <x:v>Ramp</x:v>
      </x:c>
      <x:c r="I40" s="30" t="n">
        <x:v>8</x:v>
      </x:c>
      <x:c r="J40" s="28" t="str">
        <x:v>B</x:v>
      </x:c>
      <x:c r="K40" s="30" t="n">
        <x:v>8.1</x:v>
      </x:c>
      <x:c r="L40" s="28" t="str">
        <x:v>B</x:v>
      </x:c>
      <x:c r="M40" s="28" t="str">
        <x:v>KEEP / TUNE</x:v>
      </x:c>
      <x:c r="N40" s="28" t="str">
        <x:v>Ramp; cantrip</x:v>
      </x:c>
      <x:c r="O40" s="28" t="str">
        <x:v>Cheap ramp plus a card; good tempo and smooths land drops.</x:v>
      </x:c>
      <x:c r="P40" s="28" t="str">
        <x:v>Keep</x:v>
      </x:c>
      <x:c r="Q40" s="28" t="str">
        <x:v>https://scryfall.com/search?q=%21Explore</x:v>
      </x:c>
    </x:row>
    <x:row r="41">
      <x:c r="A41" s="28" t="str">
        <x:v>Ezuri's Predation</x:v>
      </x:c>
      <x:c r="B41" s="28" t="n">
        <x:v>1</x:v>
      </x:c>
      <x:c r="C41" s="28" t="n">
        <x:v>0</x:v>
      </x:c>
      <x:c r="D41" s="28" t="str">
        <x:v>Functional</x:v>
      </x:c>
      <x:c r="E41" s="28" t="n">
        <x:v>8</x:v>
      </x:c>
      <x:c r="F41" s="28" t="str">
        <x:v>CLB 824</x:v>
      </x:c>
      <x:c r="G41" s="28" t="str">
        <x:v>Removal</x:v>
      </x:c>
      <x:c r="H41" s="28" t="str">
        <x:v>OUT / NOT IN V2</x:v>
      </x:c>
      <x:c r="I41" s="30" t="n">
        <x:v>4</x:v>
      </x:c>
      <x:c r="J41" s="28" t="str">
        <x:v>D</x:v>
      </x:c>
      <x:c r="K41" s="30"/>
      <x:c r="L41" s="28" t="str"/>
      <x:c r="M41" s="28" t="str">
        <x:v>OUT (V2)</x:v>
      </x:c>
      <x:c r="N41" s="28" t="str">
        <x:v>—</x:v>
      </x:c>
      <x:c r="O41" s="28" t="str">
        <x:v>Eight mana and a high variance board effect make it too slow for an aggressive strategy.</x:v>
      </x:c>
      <x:c r="P41" s="28" t="str">
        <x:v>Cut</x:v>
      </x:c>
      <x:c r="Q41" s="28" t="str">
        <x:v>https://scryfall.com/search?q=%21Ezuri%27s%20Predation</x:v>
      </x:c>
    </x:row>
    <x:row r="42">
      <x:c r="A42" s="28" t="str">
        <x:v>Fang of Shigeki</x:v>
      </x:c>
      <x:c r="B42" s="28" t="n">
        <x:v>1</x:v>
      </x:c>
      <x:c r="C42" s="28" t="n">
        <x:v>1</x:v>
      </x:c>
      <x:c r="D42" s="28" t="str">
        <x:v>Functional</x:v>
      </x:c>
      <x:c r="E42" s="28" t="n">
        <x:v>1</x:v>
      </x:c>
      <x:c r="F42" s="28" t="str">
        <x:v>NEO 347</x:v>
      </x:c>
      <x:c r="G42" s="28" t="str">
        <x:v>Synergy</x:v>
      </x:c>
      <x:c r="H42" s="28" t="str">
        <x:v>Synergy</x:v>
      </x:c>
      <x:c r="I42" s="30" t="n">
        <x:v>8.9</x:v>
      </x:c>
      <x:c r="J42" s="28" t="str">
        <x:v>A</x:v>
      </x:c>
      <x:c r="K42" s="30" t="n">
        <x:v>9.200000000000001</x:v>
      </x:c>
      <x:c r="L42" s="28" t="str">
        <x:v>A</x:v>
      </x:c>
      <x:c r="M42" s="28" t="str">
        <x:v>KEEP / TUNE</x:v>
      </x:c>
      <x:c r="N42" s="28" t="str">
        <x:v>—</x:v>
      </x:c>
      <x:c r="O42" s="28" t="str">
        <x:v>One-mana deathtouch creature and enchantment type; excellent early Fynn density.</x:v>
      </x:c>
      <x:c r="P42" s="28" t="str">
        <x:v>Keep</x:v>
      </x:c>
      <x:c r="Q42" s="28" t="str">
        <x:v>https://scryfall.com/search?q=%21Fang%20of%20Shigeki</x:v>
      </x:c>
    </x:row>
    <x:row r="43">
      <x:c r="A43" s="28" t="str">
        <x:v>Flesh Burrower</x:v>
      </x:c>
      <x:c r="B43" s="28" t="n">
        <x:v>1</x:v>
      </x:c>
      <x:c r="C43" s="28" t="n">
        <x:v>1</x:v>
      </x:c>
      <x:c r="D43" s="28" t="str">
        <x:v>Functional</x:v>
      </x:c>
      <x:c r="E43" s="28" t="n">
        <x:v>2</x:v>
      </x:c>
      <x:c r="F43" s="28" t="str">
        <x:v>DSK 178</x:v>
      </x:c>
      <x:c r="G43" s="28" t="str">
        <x:v>Synergy</x:v>
      </x:c>
      <x:c r="H43" s="28" t="str">
        <x:v>Synergy</x:v>
      </x:c>
      <x:c r="I43" s="30" t="n">
        <x:v>8.6</x:v>
      </x:c>
      <x:c r="J43" s="28" t="str">
        <x:v>A</x:v>
      </x:c>
      <x:c r="K43" s="30" t="n">
        <x:v>8.9</x:v>
      </x:c>
      <x:c r="L43" s="28" t="str">
        <x:v>A</x:v>
      </x:c>
      <x:c r="M43" s="28" t="str">
        <x:v>KEEP / TUNE</x:v>
      </x:c>
      <x:c r="N43" s="28" t="str">
        <x:v>Deathtouch; grants deathtouch on attack</x:v>
      </x:c>
      <x:c r="O43" s="28" t="str">
        <x:v>Two-mana deathtouch creature that can grant deathtouch to another attacker; unusually good synergy compression.</x:v>
      </x:c>
      <x:c r="P43" s="28" t="str">
        <x:v>Keep</x:v>
      </x:c>
      <x:c r="Q43" s="28" t="str">
        <x:v>https://scryfall.com/search?q=%21Flesh%20Burrower</x:v>
      </x:c>
    </x:row>
    <x:row r="44">
      <x:c r="A44" s="28" t="str">
        <x:v>Font of Mythos</x:v>
      </x:c>
      <x:c r="B44" s="28" t="n">
        <x:v>1</x:v>
      </x:c>
      <x:c r="C44" s="28" t="n">
        <x:v>0</x:v>
      </x:c>
      <x:c r="D44" s="28" t="str">
        <x:v>Functional</x:v>
      </x:c>
      <x:c r="E44" s="28" t="n">
        <x:v>4</x:v>
      </x:c>
      <x:c r="F44" s="28" t="str">
        <x:v>PLST CON-136</x:v>
      </x:c>
      <x:c r="G44" s="28" t="str">
        <x:v>Draw</x:v>
      </x:c>
      <x:c r="H44" s="28" t="str">
        <x:v>OUT / NOT IN V2</x:v>
      </x:c>
      <x:c r="I44" s="30" t="n">
        <x:v>3</x:v>
      </x:c>
      <x:c r="J44" s="28" t="str">
        <x:v>D</x:v>
      </x:c>
      <x:c r="K44" s="30"/>
      <x:c r="L44" s="28" t="str"/>
      <x:c r="M44" s="28" t="str">
        <x:v>OUT (V2)</x:v>
      </x:c>
      <x:c r="N44" s="28" t="str">
        <x:v>—</x:v>
      </x:c>
      <x:c r="O44" s="28" t="str">
        <x:v>Global draw lets opponents reload along with you, undermining the plan to race them.</x:v>
      </x:c>
      <x:c r="P44" s="28" t="str">
        <x:v>Cut</x:v>
      </x:c>
      <x:c r="Q44" s="28" t="str">
        <x:v>https://scryfall.com/search?q=%21Font%20of%20Mythos</x:v>
      </x:c>
    </x:row>
    <x:row r="45">
      <x:c r="A45" s="28" t="str">
        <x:v>Genesis Wave</x:v>
      </x:c>
      <x:c r="B45" s="28" t="n">
        <x:v>1</x:v>
      </x:c>
      <x:c r="C45" s="28" t="n">
        <x:v>0</x:v>
      </x:c>
      <x:c r="D45" s="28" t="str">
        <x:v>Functional</x:v>
      </x:c>
      <x:c r="E45" s="28" t="n">
        <x:v>1</x:v>
      </x:c>
      <x:c r="F45" s="28" t="str">
        <x:v>FDN 221</x:v>
      </x:c>
      <x:c r="G45" s="28" t="str">
        <x:v>Dupla Função</x:v>
      </x:c>
      <x:c r="H45" s="28" t="str">
        <x:v>OUT / NOT IN V2</x:v>
      </x:c>
      <x:c r="I45" s="30" t="n">
        <x:v>5.4</x:v>
      </x:c>
      <x:c r="J45" s="28" t="str">
        <x:v>D</x:v>
      </x:c>
      <x:c r="K45" s="30"/>
      <x:c r="L45" s="28" t="str"/>
      <x:c r="M45" s="28" t="str">
        <x:v>OUT (V2)</x:v>
      </x:c>
      <x:c r="N45" s="28" t="str">
        <x:v>—</x:v>
      </x:c>
      <x:c r="O45" s="28" t="str">
        <x:v>Variable-cost top-end value spell; too slow and less reliable than direct combat/poison finishers.</x:v>
      </x:c>
      <x:c r="P45" s="28" t="str">
        <x:v>Cut</x:v>
      </x:c>
      <x:c r="Q45" s="28" t="str">
        <x:v>https://scryfall.com/search?q=%21Genesis%20Wave</x:v>
      </x:c>
    </x:row>
    <x:row r="46">
      <x:c r="A46" s="28" t="str">
        <x:v>Glistening Sphere</x:v>
      </x:c>
      <x:c r="B46" s="28" t="n">
        <x:v>1</x:v>
      </x:c>
      <x:c r="C46" s="28" t="n">
        <x:v>1</x:v>
      </x:c>
      <x:c r="D46" s="28" t="str">
        <x:v>Functional</x:v>
      </x:c>
      <x:c r="E46" s="28" t="n">
        <x:v>3</x:v>
      </x:c>
      <x:c r="F46" s="28" t="str">
        <x:v>ONC 20</x:v>
      </x:c>
      <x:c r="G46" s="28" t="str">
        <x:v>Ramp</x:v>
      </x:c>
      <x:c r="H46" s="28" t="str">
        <x:v>Dupla Função</x:v>
      </x:c>
      <x:c r="I46" s="30" t="n">
        <x:v>7.2</x:v>
      </x:c>
      <x:c r="J46" s="28" t="str">
        <x:v>C</x:v>
      </x:c>
      <x:c r="K46" s="30" t="n">
        <x:v>7.3</x:v>
      </x:c>
      <x:c r="L46" s="28" t="str">
        <x:v>C</x:v>
      </x:c>
      <x:c r="M46" s="28" t="str">
        <x:v>KEEP / TUNE</x:v>
      </x:c>
      <x:c r="N46" s="28" t="str">
        <x:v>Mana rock; proliferate</x:v>
      </x:c>
      <x:c r="O46" s="28" t="str">
        <x:v>Three-mana ramp plus ETB proliferate; useful dual function but a little slow for an aggro curve.</x:v>
      </x:c>
      <x:c r="P46" s="28" t="str">
        <x:v>Keep</x:v>
      </x:c>
      <x:c r="Q46" s="28" t="str">
        <x:v>https://scryfall.com/search?q=%21Glistening%20Sphere</x:v>
      </x:c>
    </x:row>
    <x:row r="47">
      <x:c r="A47" s="28" t="str">
        <x:v>Gnarlwood Dryad</x:v>
      </x:c>
      <x:c r="B47" s="28" t="n">
        <x:v>0</x:v>
      </x:c>
      <x:c r="C47" s="28" t="n">
        <x:v>1</x:v>
      </x:c>
      <x:c r="D47" s="28" t="str">
        <x:v>Functional</x:v>
      </x:c>
      <x:c r="E47" s="28" t="n">
        <x:v>1</x:v>
      </x:c>
      <x:c r="F47" s="28" t="str">
        <x:v>—</x:v>
      </x:c>
      <x:c r="G47" s="28" t="str">
        <x:v>NOT IN CURRENT</x:v>
      </x:c>
      <x:c r="H47" s="28" t="str">
        <x:v>Synergy</x:v>
      </x:c>
      <x:c r="I47" s="30"/>
      <x:c r="J47" s="28" t="str"/>
      <x:c r="K47" s="30" t="n">
        <x:v>8.5</x:v>
      </x:c>
      <x:c r="L47" s="28" t="str">
        <x:v>A</x:v>
      </x:c>
      <x:c r="M47" s="28" t="str">
        <x:v>IN (V2)</x:v>
      </x:c>
      <x:c r="N47" s="28" t="str">
        <x:v>—</x:v>
      </x:c>
      <x:c r="O47" s="28" t="str">
        <x:v>One-mana deathtouch body with a delirium ceiling; prioritizes early pressure over large late plays.</x:v>
      </x:c>
      <x:c r="P47" s="28" t="str">
        <x:v>Add</x:v>
      </x:c>
      <x:c r="Q47" s="28" t="str">
        <x:v>https://scryfall.com/search?q=%21Gnarlwood%20Dryad</x:v>
      </x:c>
    </x:row>
    <x:row r="48">
      <x:c r="A48" s="28" t="str">
        <x:v>Harmonize</x:v>
      </x:c>
      <x:c r="B48" s="28" t="n">
        <x:v>1</x:v>
      </x:c>
      <x:c r="C48" s="28" t="n">
        <x:v>1</x:v>
      </x:c>
      <x:c r="D48" s="28" t="str">
        <x:v>Functional</x:v>
      </x:c>
      <x:c r="E48" s="28" t="n">
        <x:v>4</x:v>
      </x:c>
      <x:c r="F48" s="28" t="str">
        <x:v>CMR 427</x:v>
      </x:c>
      <x:c r="G48" s="28" t="str">
        <x:v>Draw</x:v>
      </x:c>
      <x:c r="H48" s="28" t="str">
        <x:v>Draw</x:v>
      </x:c>
      <x:c r="I48" s="30" t="n">
        <x:v>7</x:v>
      </x:c>
      <x:c r="J48" s="28" t="str">
        <x:v>C</x:v>
      </x:c>
      <x:c r="K48" s="30" t="n">
        <x:v>7.1</x:v>
      </x:c>
      <x:c r="L48" s="28" t="str">
        <x:v>C</x:v>
      </x:c>
      <x:c r="M48" s="28" t="str">
        <x:v>KEEP / TUNE</x:v>
      </x:c>
      <x:c r="N48" s="28" t="str">
        <x:v>—</x:v>
      </x:c>
      <x:c r="O48" s="28" t="str">
        <x:v>Four mana for three cards is dependable, though sorcery-speed and not synergistic with combat.</x:v>
      </x:c>
      <x:c r="P48" s="28" t="str">
        <x:v>Keep</x:v>
      </x:c>
      <x:c r="Q48" s="28" t="str">
        <x:v>https://scryfall.com/search?q=%21Harmonize</x:v>
      </x:c>
    </x:row>
    <x:row r="49">
      <x:c r="A49" s="28" t="str">
        <x:v>Heroic Intervention</x:v>
      </x:c>
      <x:c r="B49" s="28" t="n">
        <x:v>0</x:v>
      </x:c>
      <x:c r="C49" s="28" t="n">
        <x:v>1</x:v>
      </x:c>
      <x:c r="D49" s="28" t="str">
        <x:v>Functional</x:v>
      </x:c>
      <x:c r="E49" s="28" t="n">
        <x:v>2</x:v>
      </x:c>
      <x:c r="F49" s="28" t="str">
        <x:v>—</x:v>
      </x:c>
      <x:c r="G49" s="28" t="str">
        <x:v>NOT IN CURRENT</x:v>
      </x:c>
      <x:c r="H49" s="28" t="str">
        <x:v>Protection</x:v>
      </x:c>
      <x:c r="I49" s="30"/>
      <x:c r="J49" s="28" t="str"/>
      <x:c r="K49" s="30" t="n">
        <x:v>9.1</x:v>
      </x:c>
      <x:c r="L49" s="28" t="str">
        <x:v>A</x:v>
      </x:c>
      <x:c r="M49" s="28" t="str">
        <x:v>IN (V2)</x:v>
      </x:c>
      <x:c r="N49" s="28" t="str">
        <x:v>—</x:v>
      </x:c>
      <x:c r="O49" s="28" t="str">
        <x:v>Protects the whole board from many wipes and targeted effects; keeps the poison clock alive.</x:v>
      </x:c>
      <x:c r="P49" s="28" t="str">
        <x:v>Add</x:v>
      </x:c>
      <x:c r="Q49" s="28" t="str">
        <x:v>https://scryfall.com/search?q=%21Heroic%20Intervention</x:v>
      </x:c>
    </x:row>
    <x:row r="50">
      <x:c r="A50" s="28" t="str">
        <x:v>Hornet Queen</x:v>
      </x:c>
      <x:c r="B50" s="28" t="n">
        <x:v>1</x:v>
      </x:c>
      <x:c r="C50" s="28" t="n">
        <x:v>1</x:v>
      </x:c>
      <x:c r="D50" s="28" t="str">
        <x:v>Functional</x:v>
      </x:c>
      <x:c r="E50" s="28" t="n">
        <x:v>7</x:v>
      </x:c>
      <x:c r="F50" s="28" t="str">
        <x:v>CLB 825</x:v>
      </x:c>
      <x:c r="G50" s="28" t="str">
        <x:v>Dupla Função</x:v>
      </x:c>
      <x:c r="H50" s="28" t="str">
        <x:v>Dupla Função</x:v>
      </x:c>
      <x:c r="I50" s="30" t="n">
        <x:v>7.7</x:v>
      </x:c>
      <x:c r="J50" s="28" t="str">
        <x:v>B</x:v>
      </x:c>
      <x:c r="K50" s="30" t="n">
        <x:v>7.8</x:v>
      </x:c>
      <x:c r="L50" s="28" t="str">
        <x:v>B</x:v>
      </x:c>
      <x:c r="M50" s="28" t="str">
        <x:v>KEEP / TUNE</x:v>
      </x:c>
      <x:c r="N50" s="28" t="str">
        <x:v>Creates flying deathtouch tokens; stabilizes board</x:v>
      </x:c>
      <x:c r="O50" s="28" t="str">
        <x:v>Seven mana but creates four flying deathtouch bodies, providing evasive Fynn triggers and a resilient top end; keep as the one expensive exception for now.</x:v>
      </x:c>
      <x:c r="P50" s="28" t="str">
        <x:v>Keep</x:v>
      </x:c>
      <x:c r="Q50" s="28" t="str">
        <x:v>https://scryfall.com/search?q=%21Hornet%20Queen</x:v>
      </x:c>
    </x:row>
    <x:row r="51">
      <x:c r="A51" s="28" t="str">
        <x:v>Horrid Vigor</x:v>
      </x:c>
      <x:c r="B51" s="28" t="n">
        <x:v>1</x:v>
      </x:c>
      <x:c r="C51" s="28" t="n">
        <x:v>1</x:v>
      </x:c>
      <x:c r="D51" s="28" t="str">
        <x:v>Functional</x:v>
      </x:c>
      <x:c r="E51" s="28" t="n">
        <x:v>2</x:v>
      </x:c>
      <x:c r="F51" s="28" t="str">
        <x:v>DSK 184</x:v>
      </x:c>
      <x:c r="G51" s="28" t="str">
        <x:v>Protection</x:v>
      </x:c>
      <x:c r="H51" s="28" t="str">
        <x:v>Protection</x:v>
      </x:c>
      <x:c r="I51" s="30" t="n">
        <x:v>7.5</x:v>
      </x:c>
      <x:c r="J51" s="28" t="str">
        <x:v>B</x:v>
      </x:c>
      <x:c r="K51" s="30" t="n">
        <x:v>7.8</x:v>
      </x:c>
      <x:c r="L51" s="28" t="str">
        <x:v>B</x:v>
      </x:c>
      <x:c r="M51" s="28" t="str">
        <x:v>KEEP / TUNE</x:v>
      </x:c>
      <x:c r="N51" s="28" t="str">
        <x:v>—</x:v>
      </x:c>
      <x:c r="O51" s="28" t="str">
        <x:v>Two-mana targeted deathtouch plus indestructible; protects a key creature and can enable Fynn when needed.</x:v>
      </x:c>
      <x:c r="P51" s="28" t="str">
        <x:v>Keep</x:v>
      </x:c>
      <x:c r="Q51" s="28" t="str">
        <x:v>https://scryfall.com/search?q=%21Horrid%20Vigor</x:v>
      </x:c>
    </x:row>
    <x:row r="52">
      <x:c r="A52" s="28" t="str">
        <x:v>Infectious Bite</x:v>
      </x:c>
      <x:c r="B52" s="28" t="n">
        <x:v>0</x:v>
      </x:c>
      <x:c r="C52" s="28" t="n">
        <x:v>1</x:v>
      </x:c>
      <x:c r="D52" s="28" t="str">
        <x:v>Functional</x:v>
      </x:c>
      <x:c r="E52" s="28" t="n">
        <x:v>2</x:v>
      </x:c>
      <x:c r="F52" s="28" t="str">
        <x:v>—</x:v>
      </x:c>
      <x:c r="G52" s="28" t="str">
        <x:v>NOT IN CURRENT</x:v>
      </x:c>
      <x:c r="H52" s="28" t="str">
        <x:v>Dupla Função</x:v>
      </x:c>
      <x:c r="I52" s="30"/>
      <x:c r="J52" s="28" t="str"/>
      <x:c r="K52" s="30" t="n">
        <x:v>8.6</x:v>
      </x:c>
      <x:c r="L52" s="28" t="str">
        <x:v>A</x:v>
      </x:c>
      <x:c r="M52" s="28" t="str">
        <x:v>IN (V2)</x:v>
      </x:c>
      <x:c r="N52" s="28" t="str">
        <x:v>Creature removal; poison</x:v>
      </x:c>
      <x:c r="O52" s="28" t="str">
        <x:v>Cheap removal plus one poison counter to each opponent; the poison clause is valuable even when the fight is modest.</x:v>
      </x:c>
      <x:c r="P52" s="28" t="str">
        <x:v>Add</x:v>
      </x:c>
      <x:c r="Q52" s="28" t="str">
        <x:v>https://scryfall.com/search?q=%21Infectious%20Bite</x:v>
      </x:c>
    </x:row>
    <x:row r="53">
      <x:c r="A53" s="28" t="str">
        <x:v>Insidious Fungus</x:v>
      </x:c>
      <x:c r="B53" s="28" t="n">
        <x:v>1</x:v>
      </x:c>
      <x:c r="C53" s="28" t="n">
        <x:v>1</x:v>
      </x:c>
      <x:c r="D53" s="28" t="str">
        <x:v>Functional</x:v>
      </x:c>
      <x:c r="E53" s="28" t="n">
        <x:v>2</x:v>
      </x:c>
      <x:c r="F53" s="28" t="str">
        <x:v>DSK 186</x:v>
      </x:c>
      <x:c r="G53" s="28" t="str">
        <x:v>Dupla Função</x:v>
      </x:c>
      <x:c r="H53" s="28" t="str">
        <x:v>Removal</x:v>
      </x:c>
      <x:c r="I53" s="30" t="n">
        <x:v>7.4</x:v>
      </x:c>
      <x:c r="J53" s="28" t="str">
        <x:v>C</x:v>
      </x:c>
      <x:c r="K53" s="30" t="n">
        <x:v>7.5</x:v>
      </x:c>
      <x:c r="L53" s="28" t="str">
        <x:v>B</x:v>
      </x:c>
      <x:c r="M53" s="28" t="str">
        <x:v>KEEP / TUNE</x:v>
      </x:c>
      <x:c r="N53" s="28" t="str">
        <x:v>Modal utility; removal/value</x:v>
      </x:c>
      <x:c r="O53" s="28" t="str">
        <x:v>Low-cost modal utility with a useful body; excellent flexibility, though not every mode directly advances poison.</x:v>
      </x:c>
      <x:c r="P53" s="28" t="str">
        <x:v>Keep</x:v>
      </x:c>
      <x:c r="Q53" s="28" t="str">
        <x:v>https://scryfall.com/search?q=%21Insidious%20Fungus</x:v>
      </x:c>
    </x:row>
    <x:row r="54">
      <x:c r="A54" s="28" t="str">
        <x:v>Karametra's Acolyte</x:v>
      </x:c>
      <x:c r="B54" s="28" t="n">
        <x:v>1</x:v>
      </x:c>
      <x:c r="C54" s="28" t="n">
        <x:v>1</x:v>
      </x:c>
      <x:c r="D54" s="28" t="str">
        <x:v>Functional</x:v>
      </x:c>
      <x:c r="E54" s="28" t="n">
        <x:v>4</x:v>
      </x:c>
      <x:c r="F54" s="28" t="str">
        <x:v>THS 160</x:v>
      </x:c>
      <x:c r="G54" s="28" t="str">
        <x:v>Ramp</x:v>
      </x:c>
      <x:c r="H54" s="28" t="str">
        <x:v>Ramp</x:v>
      </x:c>
      <x:c r="I54" s="30" t="n">
        <x:v>6</x:v>
      </x:c>
      <x:c r="J54" s="28" t="str">
        <x:v>D</x:v>
      </x:c>
      <x:c r="K54" s="30" t="n">
        <x:v>6.1</x:v>
      </x:c>
      <x:c r="L54" s="28" t="str">
        <x:v>D</x:v>
      </x:c>
      <x:c r="M54" s="28" t="str">
        <x:v>KEEP / TUNE</x:v>
      </x:c>
      <x:c r="N54" s="28" t="str">
        <x:v>—</x:v>
      </x:c>
      <x:c r="O54" s="28" t="str">
        <x:v>Can generate substantial mana in mono-green, but four mana is slow and devotion depends on board state.</x:v>
      </x:c>
      <x:c r="P54" s="28" t="str">
        <x:v>Keep</x:v>
      </x:c>
      <x:c r="Q54" s="28" t="str">
        <x:v>https://scryfall.com/search?q=%21Karametra%27s%20Acolyte</x:v>
      </x:c>
    </x:row>
    <x:row r="55">
      <x:c r="A55" s="28" t="str">
        <x:v>Kodama's Reach</x:v>
      </x:c>
      <x:c r="B55" s="28" t="n">
        <x:v>1</x:v>
      </x:c>
      <x:c r="C55" s="28" t="n">
        <x:v>1</x:v>
      </x:c>
      <x:c r="D55" s="28" t="str">
        <x:v>Functional</x:v>
      </x:c>
      <x:c r="E55" s="28" t="n">
        <x:v>3</x:v>
      </x:c>
      <x:c r="F55" s="28" t="str">
        <x:v>CLB 826</x:v>
      </x:c>
      <x:c r="G55" s="28" t="str">
        <x:v>Ramp</x:v>
      </x:c>
      <x:c r="H55" s="28" t="str">
        <x:v>Ramp</x:v>
      </x:c>
      <x:c r="I55" s="30" t="n">
        <x:v>7.5</x:v>
      </x:c>
      <x:c r="J55" s="28" t="str">
        <x:v>B</x:v>
      </x:c>
      <x:c r="K55" s="30" t="n">
        <x:v>7.6</x:v>
      </x:c>
      <x:c r="L55" s="28" t="str">
        <x:v>B</x:v>
      </x:c>
      <x:c r="M55" s="28" t="str">
        <x:v>KEEP / TUNE</x:v>
      </x:c>
      <x:c r="N55" s="28" t="str">
        <x:v>—</x:v>
      </x:c>
      <x:c r="O55" s="28" t="str">
        <x:v>Reliable land ramp, but the three-mana sorcery is slower than one- and two-mana options.</x:v>
      </x:c>
      <x:c r="P55" s="28" t="str">
        <x:v>Keep</x:v>
      </x:c>
      <x:c r="Q55" s="28" t="str">
        <x:v>https://scryfall.com/search?q=%21Kodama%27s%20Reach</x:v>
      </x:c>
    </x:row>
    <x:row r="56">
      <x:c r="A56" s="28" t="str">
        <x:v>Lifecrafter's Bestiary</x:v>
      </x:c>
      <x:c r="B56" s="28" t="n">
        <x:v>1</x:v>
      </x:c>
      <x:c r="C56" s="28" t="n">
        <x:v>1</x:v>
      </x:c>
      <x:c r="D56" s="28" t="str">
        <x:v>Functional</x:v>
      </x:c>
      <x:c r="E56" s="28" t="n">
        <x:v>3</x:v>
      </x:c>
      <x:c r="F56" s="28" t="str">
        <x:v>MKC 231</x:v>
      </x:c>
      <x:c r="G56" s="28" t="str">
        <x:v>Draw</x:v>
      </x:c>
      <x:c r="H56" s="28" t="str">
        <x:v>Draw</x:v>
      </x:c>
      <x:c r="I56" s="30" t="n">
        <x:v>7.8</x:v>
      </x:c>
      <x:c r="J56" s="28" t="str">
        <x:v>B</x:v>
      </x:c>
      <x:c r="K56" s="30" t="n">
        <x:v>7.8999999999999995</x:v>
      </x:c>
      <x:c r="L56" s="28" t="str">
        <x:v>B</x:v>
      </x:c>
      <x:c r="M56" s="28" t="str">
        <x:v>KEEP / TUNE</x:v>
      </x:c>
      <x:c r="N56" s="28" t="str">
        <x:v>—</x:v>
      </x:c>
      <x:c r="O56" s="28" t="str">
        <x:v>Repeatable selection and conditional draw; helps avoid running out of gas in creature-heavy games.</x:v>
      </x:c>
      <x:c r="P56" s="28" t="str">
        <x:v>Keep</x:v>
      </x:c>
      <x:c r="Q56" s="28" t="str">
        <x:v>https://scryfall.com/search?q=%21Lifecrafter%27s%20Bestiary</x:v>
      </x:c>
    </x:row>
    <x:row r="57">
      <x:c r="A57" s="28" t="str">
        <x:v>Lightning Greaves</x:v>
      </x:c>
      <x:c r="B57" s="28" t="n">
        <x:v>1</x:v>
      </x:c>
      <x:c r="C57" s="28" t="n">
        <x:v>1</x:v>
      </x:c>
      <x:c r="D57" s="28" t="str">
        <x:v>Functional</x:v>
      </x:c>
      <x:c r="E57" s="28" t="n">
        <x:v>2</x:v>
      </x:c>
      <x:c r="F57" s="28" t="str">
        <x:v>CLB 864</x:v>
      </x:c>
      <x:c r="G57" s="28" t="str">
        <x:v>Protection</x:v>
      </x:c>
      <x:c r="H57" s="28" t="str">
        <x:v>Protection</x:v>
      </x:c>
      <x:c r="I57" s="30" t="n">
        <x:v>8.7</x:v>
      </x:c>
      <x:c r="J57" s="28" t="str">
        <x:v>A</x:v>
      </x:c>
      <x:c r="K57" s="30" t="n">
        <x:v>8.799999999999999</x:v>
      </x:c>
      <x:c r="L57" s="28" t="str">
        <x:v>A</x:v>
      </x:c>
      <x:c r="M57" s="28" t="str">
        <x:v>KEEP / TUNE</x:v>
      </x:c>
      <x:c r="N57" s="28" t="str">
        <x:v>—</x:v>
      </x:c>
      <x:c r="O57" s="28" t="str">
        <x:v>Zero-equip haste/protection is excellent for deploying Fynn or an evasive poison threat immediately.</x:v>
      </x:c>
      <x:c r="P57" s="28" t="str">
        <x:v>Keep</x:v>
      </x:c>
      <x:c r="Q57" s="28" t="str">
        <x:v>https://scryfall.com/search?q=%21Lightning%20Greaves</x:v>
      </x:c>
    </x:row>
    <x:row r="58">
      <x:c r="A58" s="28" t="str">
        <x:v>Llanowar Elves</x:v>
      </x:c>
      <x:c r="B58" s="28" t="n">
        <x:v>0</x:v>
      </x:c>
      <x:c r="C58" s="28" t="n">
        <x:v>1</x:v>
      </x:c>
      <x:c r="D58" s="28" t="str">
        <x:v>Functional</x:v>
      </x:c>
      <x:c r="E58" s="28" t="n">
        <x:v>1</x:v>
      </x:c>
      <x:c r="F58" s="28" t="str">
        <x:v>—</x:v>
      </x:c>
      <x:c r="G58" s="28" t="str">
        <x:v>NOT IN CURRENT</x:v>
      </x:c>
      <x:c r="H58" s="28" t="str">
        <x:v>Ramp</x:v>
      </x:c>
      <x:c r="I58" s="30"/>
      <x:c r="J58" s="28" t="str"/>
      <x:c r="K58" s="30" t="n">
        <x:v>8.8</x:v>
      </x:c>
      <x:c r="L58" s="28" t="str">
        <x:v>A</x:v>
      </x:c>
      <x:c r="M58" s="28" t="str">
        <x:v>IN (V2)</x:v>
      </x:c>
      <x:c r="N58" s="28" t="str">
        <x:v>—</x:v>
      </x:c>
      <x:c r="O58" s="28" t="str">
        <x:v>Turn-one ramp increases the chance of Fynn on turn two alongside another one-drop.</x:v>
      </x:c>
      <x:c r="P58" s="28" t="str">
        <x:v>Add</x:v>
      </x:c>
      <x:c r="Q58" s="28" t="str">
        <x:v>https://scryfall.com/search?q=%21Llanowar%20Elves</x:v>
      </x:c>
    </x:row>
    <x:row r="59">
      <x:c r="A59" s="28" t="str">
        <x:v>Loxodon Warhammer</x:v>
      </x:c>
      <x:c r="B59" s="28" t="n">
        <x:v>1</x:v>
      </x:c>
      <x:c r="C59" s="28" t="n">
        <x:v>0</x:v>
      </x:c>
      <x:c r="D59" s="28" t="str">
        <x:v>Functional</x:v>
      </x:c>
      <x:c r="E59" s="28" t="n">
        <x:v>3</x:v>
      </x:c>
      <x:c r="F59" s="28" t="str">
        <x:v>ONC 135</x:v>
      </x:c>
      <x:c r="G59" s="28" t="str">
        <x:v>Buff + WinCon</x:v>
      </x:c>
      <x:c r="H59" s="28" t="str">
        <x:v>OUT / NOT IN V2</x:v>
      </x:c>
      <x:c r="I59" s="30" t="n">
        <x:v>4.8</x:v>
      </x:c>
      <x:c r="J59" s="28" t="str">
        <x:v>D</x:v>
      </x:c>
      <x:c r="K59" s="30"/>
      <x:c r="L59" s="28" t="str"/>
      <x:c r="M59" s="28" t="str">
        <x:v>OUT (V2)</x:v>
      </x:c>
      <x:c r="N59" s="28" t="str">
        <x:v>—</x:v>
      </x:c>
      <x:c r="O59" s="28" t="str">
        <x:v>Trample is relevant, but the total cast/equip investment is slow and lifelink/large power do not directly progress poison.</x:v>
      </x:c>
      <x:c r="P59" s="28" t="str">
        <x:v>Cut</x:v>
      </x:c>
      <x:c r="Q59" s="28" t="str">
        <x:v>https://scryfall.com/search?q=%21Loxodon%20Warhammer</x:v>
      </x:c>
    </x:row>
    <x:row r="60">
      <x:c r="A60" s="28" t="str">
        <x:v>Mask of Avacyn</x:v>
      </x:c>
      <x:c r="B60" s="28" t="n">
        <x:v>1</x:v>
      </x:c>
      <x:c r="C60" s="28" t="n">
        <x:v>0</x:v>
      </x:c>
      <x:c r="D60" s="28" t="str">
        <x:v>Functional</x:v>
      </x:c>
      <x:c r="E60" s="28" t="n">
        <x:v>2</x:v>
      </x:c>
      <x:c r="F60" s="28" t="str">
        <x:v>ISD 229</x:v>
      </x:c>
      <x:c r="G60" s="28" t="str">
        <x:v>Protection</x:v>
      </x:c>
      <x:c r="H60" s="28" t="str">
        <x:v>OUT / NOT IN V2</x:v>
      </x:c>
      <x:c r="I60" s="30" t="n">
        <x:v>7</x:v>
      </x:c>
      <x:c r="J60" s="28" t="str">
        <x:v>C</x:v>
      </x:c>
      <x:c r="K60" s="30"/>
      <x:c r="L60" s="28" t="str"/>
      <x:c r="M60" s="28" t="str">
        <x:v>OUT (V2)</x:v>
      </x:c>
      <x:c r="N60" s="28" t="str">
        <x:v>—</x:v>
      </x:c>
      <x:c r="O60" s="28" t="str">
        <x:v>Useful hexproof, but equip tempo is worse than one-mana protection spells.</x:v>
      </x:c>
      <x:c r="P60" s="28" t="str">
        <x:v>Cut</x:v>
      </x:c>
      <x:c r="Q60" s="28" t="str">
        <x:v>https://scryfall.com/search?q=%21Mask%20of%20Avacyn</x:v>
      </x:c>
    </x:row>
    <x:row r="61">
      <x:c r="A61" s="28" t="str">
        <x:v>Moss Viper</x:v>
      </x:c>
      <x:c r="B61" s="28" t="n">
        <x:v>0</x:v>
      </x:c>
      <x:c r="C61" s="28" t="n">
        <x:v>1</x:v>
      </x:c>
      <x:c r="D61" s="28" t="str">
        <x:v>Functional</x:v>
      </x:c>
      <x:c r="E61" s="28" t="n">
        <x:v>1</x:v>
      </x:c>
      <x:c r="F61" s="28" t="str">
        <x:v>—</x:v>
      </x:c>
      <x:c r="G61" s="28" t="str">
        <x:v>NOT IN CURRENT</x:v>
      </x:c>
      <x:c r="H61" s="28" t="str">
        <x:v>Synergy</x:v>
      </x:c>
      <x:c r="I61" s="30"/>
      <x:c r="J61" s="28" t="str"/>
      <x:c r="K61" s="30" t="n">
        <x:v>8.6</x:v>
      </x:c>
      <x:c r="L61" s="28" t="str">
        <x:v>A</x:v>
      </x:c>
      <x:c r="M61" s="28" t="str">
        <x:v>IN (V2)</x:v>
      </x:c>
      <x:c r="N61" s="28" t="str">
        <x:v>—</x:v>
      </x:c>
      <x:c r="O61" s="28" t="str">
        <x:v>One-mana deathtouch/reach body that improves early Fynn consistency.</x:v>
      </x:c>
      <x:c r="P61" s="28" t="str">
        <x:v>Add</x:v>
      </x:c>
      <x:c r="Q61" s="28" t="str">
        <x:v>https://scryfall.com/search?q=%21Moss%20Viper</x:v>
      </x:c>
    </x:row>
    <x:row r="62">
      <x:c r="A62" s="28" t="str">
        <x:v>Narnam Renegade</x:v>
      </x:c>
      <x:c r="B62" s="28" t="n">
        <x:v>0</x:v>
      </x:c>
      <x:c r="C62" s="28" t="n">
        <x:v>1</x:v>
      </x:c>
      <x:c r="D62" s="28" t="str">
        <x:v>Functional</x:v>
      </x:c>
      <x:c r="E62" s="28" t="n">
        <x:v>1</x:v>
      </x:c>
      <x:c r="F62" s="28" t="str">
        <x:v>—</x:v>
      </x:c>
      <x:c r="G62" s="28" t="str">
        <x:v>NOT IN CURRENT</x:v>
      </x:c>
      <x:c r="H62" s="28" t="str">
        <x:v>Synergy</x:v>
      </x:c>
      <x:c r="I62" s="30"/>
      <x:c r="J62" s="28" t="str"/>
      <x:c r="K62" s="30" t="n">
        <x:v>8.6</x:v>
      </x:c>
      <x:c r="L62" s="28" t="str">
        <x:v>A</x:v>
      </x:c>
      <x:c r="M62" s="28" t="str">
        <x:v>IN (V2)</x:v>
      </x:c>
      <x:c r="N62" s="28" t="str">
        <x:v>—</x:v>
      </x:c>
      <x:c r="O62" s="28" t="str">
        <x:v>One-mana deathtouch creature; revolt can make it a larger early threat.</x:v>
      </x:c>
      <x:c r="P62" s="28" t="str">
        <x:v>Add</x:v>
      </x:c>
      <x:c r="Q62" s="28" t="str">
        <x:v>https://scryfall.com/search?q=%21Narnam%20Renegade</x:v>
      </x:c>
    </x:row>
    <x:row r="63">
      <x:c r="A63" s="28" t="str">
        <x:v>Natural Reclamation</x:v>
      </x:c>
      <x:c r="B63" s="28" t="n">
        <x:v>1</x:v>
      </x:c>
      <x:c r="C63" s="28" t="n">
        <x:v>1</x:v>
      </x:c>
      <x:c r="D63" s="28" t="str">
        <x:v>Functional</x:v>
      </x:c>
      <x:c r="E63" s="28" t="n">
        <x:v>4</x:v>
      </x:c>
      <x:c r="F63" s="28" t="str">
        <x:v>CLB 829</x:v>
      </x:c>
      <x:c r="G63" s="28" t="str">
        <x:v>Removal</x:v>
      </x:c>
      <x:c r="H63" s="28" t="str">
        <x:v>Removal</x:v>
      </x:c>
      <x:c r="I63" s="30" t="n">
        <x:v>6.7</x:v>
      </x:c>
      <x:c r="J63" s="28" t="str">
        <x:v>C</x:v>
      </x:c>
      <x:c r="K63" s="30" t="n">
        <x:v>6.8</x:v>
      </x:c>
      <x:c r="L63" s="28" t="str">
        <x:v>C</x:v>
      </x:c>
      <x:c r="M63" s="28" t="str">
        <x:v>KEEP / TUNE</x:v>
      </x:c>
      <x:c r="N63" s="28" t="str">
        <x:v>—</x:v>
      </x:c>
      <x:c r="O63" s="28" t="str">
        <x:v>Flexible artifact/enchantment interaction with cascade; four mana makes it a flexible but slower answer.</x:v>
      </x:c>
      <x:c r="P63" s="28" t="str">
        <x:v>Keep</x:v>
      </x:c>
      <x:c r="Q63" s="28" t="str">
        <x:v>https://scryfall.com/search?q=%21Natural%20Reclamation</x:v>
      </x:c>
    </x:row>
    <x:row r="64">
      <x:c r="A64" s="28" t="str">
        <x:v>Nature's Lore</x:v>
      </x:c>
      <x:c r="B64" s="28" t="n">
        <x:v>0</x:v>
      </x:c>
      <x:c r="C64" s="28" t="n">
        <x:v>1</x:v>
      </x:c>
      <x:c r="D64" s="28" t="str">
        <x:v>Functional</x:v>
      </x:c>
      <x:c r="E64" s="28" t="n">
        <x:v>2</x:v>
      </x:c>
      <x:c r="F64" s="28" t="str">
        <x:v>—</x:v>
      </x:c>
      <x:c r="G64" s="28" t="str">
        <x:v>NOT IN CURRENT</x:v>
      </x:c>
      <x:c r="H64" s="28" t="str">
        <x:v>Ramp</x:v>
      </x:c>
      <x:c r="I64" s="30"/>
      <x:c r="J64" s="28" t="str"/>
      <x:c r="K64" s="30" t="n">
        <x:v>8.5</x:v>
      </x:c>
      <x:c r="L64" s="28" t="str">
        <x:v>A</x:v>
      </x:c>
      <x:c r="M64" s="28" t="str">
        <x:v>IN (V2)</x:v>
      </x:c>
      <x:c r="N64" s="28" t="str">
        <x:v>Land ramp</x:v>
      </x:c>
      <x:c r="O64" s="28" t="str">
        <x:v>Two-mana Forest ramp; faster and cleaner than several existing high-MV ramp pieces.</x:v>
      </x:c>
      <x:c r="P64" s="28" t="str">
        <x:v>Add</x:v>
      </x:c>
      <x:c r="Q64" s="28" t="str">
        <x:v>https://scryfall.com/search?q=%21Nature%27s%20Lore</x:v>
      </x:c>
    </x:row>
    <x:row r="65">
      <x:c r="A65" s="28" t="str">
        <x:v>Ohran Frostfang</x:v>
      </x:c>
      <x:c r="B65" s="28" t="n">
        <x:v>0</x:v>
      </x:c>
      <x:c r="C65" s="28" t="n">
        <x:v>1</x:v>
      </x:c>
      <x:c r="D65" s="28" t="str">
        <x:v>Functional</x:v>
      </x:c>
      <x:c r="E65" s="28" t="n">
        <x:v>5</x:v>
      </x:c>
      <x:c r="F65" s="28" t="str">
        <x:v>—</x:v>
      </x:c>
      <x:c r="G65" s="28" t="str">
        <x:v>NOT IN CURRENT</x:v>
      </x:c>
      <x:c r="H65" s="28" t="str">
        <x:v>Draw</x:v>
      </x:c>
      <x:c r="I65" s="30"/>
      <x:c r="J65" s="28" t="str"/>
      <x:c r="K65" s="30" t="n">
        <x:v>9.2</x:v>
      </x:c>
      <x:c r="L65" s="28" t="str">
        <x:v>A</x:v>
      </x:c>
      <x:c r="M65" s="28" t="str">
        <x:v>IN (V2)</x:v>
      </x:c>
      <x:c r="N65" s="28" t="str">
        <x:v>—</x:v>
      </x:c>
      <x:c r="O65" s="28" t="str">
        <x:v>Team-wide deathtouch plus attack-based card draw; the strongest dual-function refill/payoff in this proposal.</x:v>
      </x:c>
      <x:c r="P65" s="28" t="str">
        <x:v>Add</x:v>
      </x:c>
      <x:c r="Q65" s="28" t="str">
        <x:v>https://scryfall.com/search?q=%21Ohran%20Frostfang</x:v>
      </x:c>
    </x:row>
    <x:row r="66">
      <x:c r="A66" s="28" t="str">
        <x:v>Pick Your Poison</x:v>
      </x:c>
      <x:c r="B66" s="28" t="n">
        <x:v>1</x:v>
      </x:c>
      <x:c r="C66" s="28" t="n">
        <x:v>1</x:v>
      </x:c>
      <x:c r="D66" s="28" t="str">
        <x:v>Functional</x:v>
      </x:c>
      <x:c r="E66" s="28" t="n">
        <x:v>1</x:v>
      </x:c>
      <x:c r="F66" s="28" t="str">
        <x:v>MKM 170</x:v>
      </x:c>
      <x:c r="G66" s="28" t="str">
        <x:v>Removal</x:v>
      </x:c>
      <x:c r="H66" s="28" t="str">
        <x:v>Removal</x:v>
      </x:c>
      <x:c r="I66" s="30" t="n">
        <x:v>6.7</x:v>
      </x:c>
      <x:c r="J66" s="28" t="str">
        <x:v>C</x:v>
      </x:c>
      <x:c r="K66" s="30" t="n">
        <x:v>6.8</x:v>
      </x:c>
      <x:c r="L66" s="28" t="str">
        <x:v>C</x:v>
      </x:c>
      <x:c r="M66" s="28" t="str">
        <x:v>KEEP / TUNE</x:v>
      </x:c>
      <x:c r="N66" s="28" t="str">
        <x:v>Conditional removal</x:v>
      </x:c>
      <x:c r="O66" s="28" t="str">
        <x:v>One-mana choice-based answer is efficient, especially against flyers or enchantments; matchup-dependent.</x:v>
      </x:c>
      <x:c r="P66" s="28" t="str">
        <x:v>Keep</x:v>
      </x:c>
      <x:c r="Q66" s="28" t="str">
        <x:v>https://scryfall.com/search?q=%21Pick%20Your%20Poison</x:v>
      </x:c>
    </x:row>
    <x:row r="67">
      <x:c r="A67" s="28" t="str">
        <x:v>Plague Myr</x:v>
      </x:c>
      <x:c r="B67" s="28" t="n">
        <x:v>1</x:v>
      </x:c>
      <x:c r="C67" s="28" t="n">
        <x:v>1</x:v>
      </x:c>
      <x:c r="D67" s="28" t="str">
        <x:v>Functional</x:v>
      </x:c>
      <x:c r="E67" s="28" t="n">
        <x:v>2</x:v>
      </x:c>
      <x:c r="F67" s="28" t="str">
        <x:v>MBS 125</x:v>
      </x:c>
      <x:c r="G67" s="28" t="str">
        <x:v>Dupla Função</x:v>
      </x:c>
      <x:c r="H67" s="28" t="str">
        <x:v>Dupla Função</x:v>
      </x:c>
      <x:c r="I67" s="30" t="n">
        <x:v>8.1</x:v>
      </x:c>
      <x:c r="J67" s="28" t="str">
        <x:v>B</x:v>
      </x:c>
      <x:c r="K67" s="30" t="n">
        <x:v>8.4</x:v>
      </x:c>
      <x:c r="L67" s="28" t="str">
        <x:v>B</x:v>
      </x:c>
      <x:c r="M67" s="28" t="str">
        <x:v>KEEP / TUNE</x:v>
      </x:c>
      <x:c r="N67" s="28" t="str">
        <x:v>Infect; mana dork</x:v>
      </x:c>
      <x:c r="O67" s="28" t="str">
        <x:v>Infect plus mana production is true role compression; it is an actual infect card, unlike toxic creatures.</x:v>
      </x:c>
      <x:c r="P67" s="28" t="str">
        <x:v>Keep</x:v>
      </x:c>
      <x:c r="Q67" s="28" t="str">
        <x:v>https://scryfall.com/search?q=%21Plague%20Myr</x:v>
      </x:c>
    </x:row>
    <x:row r="68">
      <x:c r="A68" s="28" t="str">
        <x:v>Pollenbright Druid</x:v>
      </x:c>
      <x:c r="B68" s="28" t="n">
        <x:v>1</x:v>
      </x:c>
      <x:c r="C68" s="28" t="n">
        <x:v>1</x:v>
      </x:c>
      <x:c r="D68" s="28" t="str">
        <x:v>Functional</x:v>
      </x:c>
      <x:c r="E68" s="28" t="n">
        <x:v>2</x:v>
      </x:c>
      <x:c r="F68" s="28" t="str">
        <x:v>CMM 312</x:v>
      </x:c>
      <x:c r="G68" s="28" t="str">
        <x:v>Proliferate</x:v>
      </x:c>
      <x:c r="H68" s="28" t="str">
        <x:v>Proliferate</x:v>
      </x:c>
      <x:c r="I68" s="30" t="n">
        <x:v>6.7</x:v>
      </x:c>
      <x:c r="J68" s="28" t="str">
        <x:v>C</x:v>
      </x:c>
      <x:c r="K68" s="30" t="n">
        <x:v>7</x:v>
      </x:c>
      <x:c r="L68" s="28" t="str">
        <x:v>C</x:v>
      </x:c>
      <x:c r="M68" s="28" t="str">
        <x:v>KEEP / TUNE</x:v>
      </x:c>
      <x:c r="N68" s="28" t="str">
        <x:v>Proliferate; +1/+1 counter</x:v>
      </x:c>
      <x:c r="O68" s="28" t="str">
        <x:v>Two-mana ETB may add a +1/+1 counter or proliferate; flexible, but low raw impact.</x:v>
      </x:c>
      <x:c r="P68" s="28" t="str">
        <x:v>Keep</x:v>
      </x:c>
      <x:c r="Q68" s="28" t="str">
        <x:v>https://scryfall.com/search?q=%21Pollenbright%20Druid</x:v>
      </x:c>
    </x:row>
    <x:row r="69">
      <x:c r="A69" s="28" t="str">
        <x:v>Preposterous Proportions</x:v>
      </x:c>
      <x:c r="B69" s="28" t="n">
        <x:v>1</x:v>
      </x:c>
      <x:c r="C69" s="28" t="n">
        <x:v>0</x:v>
      </x:c>
      <x:c r="D69" s="28" t="str">
        <x:v>Functional</x:v>
      </x:c>
      <x:c r="E69" s="28" t="n">
        <x:v>6</x:v>
      </x:c>
      <x:c r="F69" s="28" t="str">
        <x:v>FDN 109</x:v>
      </x:c>
      <x:c r="G69" s="28" t="str">
        <x:v>Buff + WinCon</x:v>
      </x:c>
      <x:c r="H69" s="28" t="str">
        <x:v>OUT / NOT IN V2</x:v>
      </x:c>
      <x:c r="I69" s="30" t="n">
        <x:v>4</x:v>
      </x:c>
      <x:c r="J69" s="28" t="str">
        <x:v>D</x:v>
      </x:c>
      <x:c r="K69" s="30"/>
      <x:c r="L69" s="28" t="str"/>
      <x:c r="M69" s="28" t="str">
        <x:v>OUT (V2)</x:v>
      </x:c>
      <x:c r="N69" s="28" t="str">
        <x:v>—</x:v>
      </x:c>
      <x:c r="O69" s="28" t="str">
        <x:v>Six mana for broad power/trample setup is expensive compared with a dedicated cheap poison finisher.</x:v>
      </x:c>
      <x:c r="P69" s="28" t="str">
        <x:v>Cut</x:v>
      </x:c>
      <x:c r="Q69" s="28" t="str">
        <x:v>https://scryfall.com/search?q=%21Preposterous%20Proportions</x:v>
      </x:c>
    </x:row>
    <x:row r="70">
      <x:c r="A70" s="28" t="str">
        <x:v>Quietus Spike</x:v>
      </x:c>
      <x:c r="B70" s="28" t="n">
        <x:v>1</x:v>
      </x:c>
      <x:c r="C70" s="28" t="n">
        <x:v>0</x:v>
      </x:c>
      <x:c r="D70" s="28" t="str">
        <x:v>Functional</x:v>
      </x:c>
      <x:c r="E70" s="28" t="n">
        <x:v>3</x:v>
      </x:c>
      <x:c r="F70" s="28" t="str">
        <x:v>PCA 112</x:v>
      </x:c>
      <x:c r="G70" s="28" t="str">
        <x:v>Buff + WinCon</x:v>
      </x:c>
      <x:c r="H70" s="28" t="str">
        <x:v>OUT / NOT IN V2</x:v>
      </x:c>
      <x:c r="I70" s="30" t="n">
        <x:v>4.2</x:v>
      </x:c>
      <x:c r="J70" s="28" t="str">
        <x:v>D</x:v>
      </x:c>
      <x:c r="K70" s="30"/>
      <x:c r="L70" s="28" t="str"/>
      <x:c r="M70" s="28" t="str">
        <x:v>OUT (V2)</x:v>
      </x:c>
      <x:c r="N70" s="28" t="str">
        <x:v>—</x:v>
      </x:c>
      <x:c r="O70" s="28" t="str">
        <x:v>Deathtouch/equipment is relevant, but halving life totals does not help a poison victory and equip costs are high.</x:v>
      </x:c>
      <x:c r="P70" s="28" t="str">
        <x:v>Cut</x:v>
      </x:c>
      <x:c r="Q70" s="28" t="str">
        <x:v>https://scryfall.com/search?q=%21Quietus%20Spike</x:v>
      </x:c>
    </x:row>
    <x:row r="71">
      <x:c r="A71" s="28" t="str">
        <x:v>Rancor</x:v>
      </x:c>
      <x:c r="B71" s="28" t="n">
        <x:v>0</x:v>
      </x:c>
      <x:c r="C71" s="28" t="n">
        <x:v>1</x:v>
      </x:c>
      <x:c r="D71" s="28" t="str">
        <x:v>Functional</x:v>
      </x:c>
      <x:c r="E71" s="28" t="n">
        <x:v>1</x:v>
      </x:c>
      <x:c r="F71" s="28" t="str">
        <x:v>—</x:v>
      </x:c>
      <x:c r="G71" s="28" t="str">
        <x:v>NOT IN CURRENT</x:v>
      </x:c>
      <x:c r="H71" s="28" t="str">
        <x:v>Buff + WinCon</x:v>
      </x:c>
      <x:c r="I71" s="30"/>
      <x:c r="J71" s="28" t="str"/>
      <x:c r="K71" s="30" t="n">
        <x:v>8.9</x:v>
      </x:c>
      <x:c r="L71" s="28" t="str">
        <x:v>A</x:v>
      </x:c>
      <x:c r="M71" s="28" t="str">
        <x:v>IN (V2)</x:v>
      </x:c>
      <x:c r="N71" s="28" t="str">
        <x:v>Trample; recursion</x:v>
      </x:c>
      <x:c r="O71" s="28" t="str">
        <x:v>One mana for recurring trample; deathtouch + trample is excellent at getting at least some damage through blockers.</x:v>
      </x:c>
      <x:c r="P71" s="28" t="str">
        <x:v>Add</x:v>
      </x:c>
      <x:c r="Q71" s="28" t="str">
        <x:v>https://scryfall.com/search?q=%21Rancor</x:v>
      </x:c>
    </x:row>
    <x:row r="72">
      <x:c r="A72" s="28" t="str">
        <x:v>Return of the Wildspeaker</x:v>
      </x:c>
      <x:c r="B72" s="28" t="n">
        <x:v>1</x:v>
      </x:c>
      <x:c r="C72" s="28" t="n">
        <x:v>1</x:v>
      </x:c>
      <x:c r="D72" s="28" t="str">
        <x:v>Functional</x:v>
      </x:c>
      <x:c r="E72" s="28" t="n">
        <x:v>5</x:v>
      </x:c>
      <x:c r="F72" s="28" t="str">
        <x:v>CLB 831</x:v>
      </x:c>
      <x:c r="G72" s="28" t="str">
        <x:v>Draw</x:v>
      </x:c>
      <x:c r="H72" s="28" t="str">
        <x:v>Draw</x:v>
      </x:c>
      <x:c r="I72" s="30" t="n">
        <x:v>7.5</x:v>
      </x:c>
      <x:c r="J72" s="28" t="str">
        <x:v>B</x:v>
      </x:c>
      <x:c r="K72" s="30" t="n">
        <x:v>7.6</x:v>
      </x:c>
      <x:c r="L72" s="28" t="str">
        <x:v>B</x:v>
      </x:c>
      <x:c r="M72" s="28" t="str">
        <x:v>KEEP / TUNE</x:v>
      </x:c>
      <x:c r="N72" s="28" t="str">
        <x:v>Draw; board buff</x:v>
      </x:c>
      <x:c r="O72" s="28" t="str">
        <x:v>Can refill based on the biggest non-Human creature or act as a board buff; good flexibility but five mana.</x:v>
      </x:c>
      <x:c r="P72" s="28" t="str">
        <x:v>Keep</x:v>
      </x:c>
      <x:c r="Q72" s="28" t="str">
        <x:v>https://scryfall.com/search?q=%21Return%20of%20the%20Wildspeaker</x:v>
      </x:c>
    </x:row>
    <x:row r="73">
      <x:c r="A73" s="28" t="str">
        <x:v>Scytheclaw</x:v>
      </x:c>
      <x:c r="B73" s="28" t="n">
        <x:v>1</x:v>
      </x:c>
      <x:c r="C73" s="28" t="n">
        <x:v>0</x:v>
      </x:c>
      <x:c r="D73" s="28" t="str">
        <x:v>Functional</x:v>
      </x:c>
      <x:c r="E73" s="28" t="n">
        <x:v>3</x:v>
      </x:c>
      <x:c r="F73" s="28" t="str">
        <x:v>CMM 408</x:v>
      </x:c>
      <x:c r="G73" s="28" t="str">
        <x:v>Buff + WinCon</x:v>
      </x:c>
      <x:c r="H73" s="28" t="str">
        <x:v>OUT / NOT IN V2</x:v>
      </x:c>
      <x:c r="I73" s="30" t="n">
        <x:v>3</x:v>
      </x:c>
      <x:c r="J73" s="28" t="str">
        <x:v>D</x:v>
      </x:c>
      <x:c r="K73" s="30"/>
      <x:c r="L73" s="28" t="str"/>
      <x:c r="M73" s="28" t="str">
        <x:v>OUT (V2)</x:v>
      </x:c>
      <x:c r="N73" s="28" t="str">
        <x:v>—</x:v>
      </x:c>
      <x:c r="O73" s="28" t="str">
        <x:v>Equipment that halves life is disconnected from poison and costs too much time to deploy.</x:v>
      </x:c>
      <x:c r="P73" s="28" t="str">
        <x:v>Cut</x:v>
      </x:c>
      <x:c r="Q73" s="28" t="str">
        <x:v>https://scryfall.com/search?q=%21Scytheclaw</x:v>
      </x:c>
    </x:row>
    <x:row r="74">
      <x:c r="A74" s="28" t="str">
        <x:v>Sedge Scorpion</x:v>
      </x:c>
      <x:c r="B74" s="28" t="n">
        <x:v>1</x:v>
      </x:c>
      <x:c r="C74" s="28" t="n">
        <x:v>1</x:v>
      </x:c>
      <x:c r="D74" s="28" t="str">
        <x:v>Functional</x:v>
      </x:c>
      <x:c r="E74" s="28" t="n">
        <x:v>1</x:v>
      </x:c>
      <x:c r="F74" s="28" t="str">
        <x:v>M20 192</x:v>
      </x:c>
      <x:c r="G74" s="28" t="str">
        <x:v>Synergy</x:v>
      </x:c>
      <x:c r="H74" s="28" t="str">
        <x:v>Synergy</x:v>
      </x:c>
      <x:c r="I74" s="30" t="n">
        <x:v>8.7</x:v>
      </x:c>
      <x:c r="J74" s="28" t="str">
        <x:v>A</x:v>
      </x:c>
      <x:c r="K74" s="30" t="n">
        <x:v>9</x:v>
      </x:c>
      <x:c r="L74" s="28" t="str">
        <x:v>A</x:v>
      </x:c>
      <x:c r="M74" s="28" t="str">
        <x:v>KEEP / TUNE</x:v>
      </x:c>
      <x:c r="N74" s="28" t="str">
        <x:v>—</x:v>
      </x:c>
      <x:c r="O74" s="28" t="str">
        <x:v>One-mana deathtouch body; excellent curve piece for Fynn.</x:v>
      </x:c>
      <x:c r="P74" s="28" t="str">
        <x:v>Keep</x:v>
      </x:c>
      <x:c r="Q74" s="28" t="str">
        <x:v>https://scryfall.com/search?q=%21Sedge%20Scorpion</x:v>
      </x:c>
    </x:row>
    <x:row r="75">
      <x:c r="A75" s="28" t="str">
        <x:v>Silklash Spider</x:v>
      </x:c>
      <x:c r="B75" s="28" t="n">
        <x:v>1</x:v>
      </x:c>
      <x:c r="C75" s="28" t="n">
        <x:v>0</x:v>
      </x:c>
      <x:c r="D75" s="28" t="str">
        <x:v>Functional</x:v>
      </x:c>
      <x:c r="E75" s="28" t="n">
        <x:v>5</x:v>
      </x:c>
      <x:c r="F75" s="28" t="str">
        <x:v>9ED 271</x:v>
      </x:c>
      <x:c r="G75" s="28" t="str">
        <x:v>Removal</x:v>
      </x:c>
      <x:c r="H75" s="28" t="str">
        <x:v>OUT / NOT IN V2</x:v>
      </x:c>
      <x:c r="I75" s="30" t="n">
        <x:v>5</x:v>
      </x:c>
      <x:c r="J75" s="28" t="str">
        <x:v>D</x:v>
      </x:c>
      <x:c r="K75" s="30"/>
      <x:c r="L75" s="28" t="str"/>
      <x:c r="M75" s="28" t="str">
        <x:v>OUT (V2)</x:v>
      </x:c>
      <x:c r="N75" s="28" t="str">
        <x:v>—</x:v>
      </x:c>
      <x:c r="O75" s="28" t="str">
        <x:v>Five-mana anti-flyer tool; valuable in a flyer-heavy meta, but otherwise an expensive defensive slot.</x:v>
      </x:c>
      <x:c r="P75" s="28" t="str">
        <x:v>Cut</x:v>
      </x:c>
      <x:c r="Q75" s="28" t="str">
        <x:v>https://scryfall.com/search?q=%21Silklash%20Spider</x:v>
      </x:c>
    </x:row>
    <x:row r="76">
      <x:c r="A76" s="28" t="str">
        <x:v>Skyreaping</x:v>
      </x:c>
      <x:c r="B76" s="28" t="n">
        <x:v>1</x:v>
      </x:c>
      <x:c r="C76" s="28" t="n">
        <x:v>0</x:v>
      </x:c>
      <x:c r="D76" s="28" t="str">
        <x:v>Functional</x:v>
      </x:c>
      <x:c r="E76" s="28" t="n">
        <x:v>2</x:v>
      </x:c>
      <x:c r="F76" s="28" t="str">
        <x:v>BNG 140</x:v>
      </x:c>
      <x:c r="G76" s="28" t="str">
        <x:v>Removal</x:v>
      </x:c>
      <x:c r="H76" s="28" t="str">
        <x:v>OUT / NOT IN V2</x:v>
      </x:c>
      <x:c r="I76" s="30" t="n">
        <x:v>4.5</x:v>
      </x:c>
      <x:c r="J76" s="28" t="str">
        <x:v>D</x:v>
      </x:c>
      <x:c r="K76" s="30"/>
      <x:c r="L76" s="28" t="str"/>
      <x:c r="M76" s="28" t="str">
        <x:v>OUT (V2)</x:v>
      </x:c>
      <x:c r="N76" s="28" t="str">
        <x:v>—</x:v>
      </x:c>
      <x:c r="O76" s="28" t="str">
        <x:v>Cheapish but narrow flying-creature sweep; meta-dependent and can conflict with flying insects from Hornet Queen.</x:v>
      </x:c>
      <x:c r="P76" s="28" t="str">
        <x:v>Cut</x:v>
      </x:c>
      <x:c r="Q76" s="28" t="str">
        <x:v>https://scryfall.com/search?q=%21Skyreaping</x:v>
      </x:c>
    </x:row>
    <x:row r="77">
      <x:c r="A77" s="28" t="str">
        <x:v>Snakeskin Veil</x:v>
      </x:c>
      <x:c r="B77" s="28" t="n">
        <x:v>1</x:v>
      </x:c>
      <x:c r="C77" s="28" t="n">
        <x:v>1</x:v>
      </x:c>
      <x:c r="D77" s="28" t="str">
        <x:v>Functional</x:v>
      </x:c>
      <x:c r="E77" s="28" t="n">
        <x:v>1</x:v>
      </x:c>
      <x:c r="F77" s="28" t="str">
        <x:v>FDN 233</x:v>
      </x:c>
      <x:c r="G77" s="28" t="str">
        <x:v>Protection</x:v>
      </x:c>
      <x:c r="H77" s="28" t="str">
        <x:v>Protection</x:v>
      </x:c>
      <x:c r="I77" s="30" t="n">
        <x:v>8.1</x:v>
      </x:c>
      <x:c r="J77" s="28" t="str">
        <x:v>B</x:v>
      </x:c>
      <x:c r="K77" s="30" t="n">
        <x:v>8.2</x:v>
      </x:c>
      <x:c r="L77" s="28" t="str">
        <x:v>B</x:v>
      </x:c>
      <x:c r="M77" s="28" t="str">
        <x:v>KEEP / TUNE</x:v>
      </x:c>
      <x:c r="N77" s="28" t="str">
        <x:v>—</x:v>
      </x:c>
      <x:c r="O77" s="28" t="str">
        <x:v>One-mana protection that can also add a counter; efficient, preserves the turn's attack.</x:v>
      </x:c>
      <x:c r="P77" s="28" t="str">
        <x:v>Keep</x:v>
      </x:c>
      <x:c r="Q77" s="28" t="str">
        <x:v>https://scryfall.com/search?q=%21Snakeskin%20Veil</x:v>
      </x:c>
    </x:row>
    <x:row r="78">
      <x:c r="A78" s="28" t="str">
        <x:v>Sol Ring</x:v>
      </x:c>
      <x:c r="B78" s="28" t="n">
        <x:v>1</x:v>
      </x:c>
      <x:c r="C78" s="28" t="n">
        <x:v>1</x:v>
      </x:c>
      <x:c r="D78" s="28" t="str">
        <x:v>Functional</x:v>
      </x:c>
      <x:c r="E78" s="28" t="n">
        <x:v>1</x:v>
      </x:c>
      <x:c r="F78" s="28" t="str">
        <x:v>CMM 410</x:v>
      </x:c>
      <x:c r="G78" s="28" t="str">
        <x:v>Ramp</x:v>
      </x:c>
      <x:c r="H78" s="28" t="str">
        <x:v>Ramp</x:v>
      </x:c>
      <x:c r="I78" s="30" t="n">
        <x:v>8.7</x:v>
      </x:c>
      <x:c r="J78" s="28" t="str">
        <x:v>A</x:v>
      </x:c>
      <x:c r="K78" s="30" t="n">
        <x:v>8.799999999999999</x:v>
      </x:c>
      <x:c r="L78" s="28" t="str">
        <x:v>A</x:v>
      </x:c>
      <x:c r="M78" s="28" t="str">
        <x:v>KEEP / TUNE</x:v>
      </x:c>
      <x:c r="N78" s="28" t="str">
        <x:v>—</x:v>
      </x:c>
      <x:c r="O78" s="28" t="str">
        <x:v>Efficient acceleration and a staple here because it makes early double-spells possible.</x:v>
      </x:c>
      <x:c r="P78" s="28" t="str">
        <x:v>Keep</x:v>
      </x:c>
      <x:c r="Q78" s="28" t="str">
        <x:v>https://scryfall.com/search?q=%21Sol%20Ring</x:v>
      </x:c>
    </x:row>
    <x:row r="79">
      <x:c r="A79" s="28" t="str">
        <x:v>Soul's Majesty</x:v>
      </x:c>
      <x:c r="B79" s="28" t="n">
        <x:v>1</x:v>
      </x:c>
      <x:c r="C79" s="28" t="n">
        <x:v>0</x:v>
      </x:c>
      <x:c r="D79" s="28" t="str">
        <x:v>Functional</x:v>
      </x:c>
      <x:c r="E79" s="28" t="n">
        <x:v>5</x:v>
      </x:c>
      <x:c r="F79" s="28" t="str">
        <x:v>NEC 131</x:v>
      </x:c>
      <x:c r="G79" s="28" t="str">
        <x:v>Draw</x:v>
      </x:c>
      <x:c r="H79" s="28" t="str">
        <x:v>OUT / NOT IN V2</x:v>
      </x:c>
      <x:c r="I79" s="30" t="n">
        <x:v>5.4</x:v>
      </x:c>
      <x:c r="J79" s="28" t="str">
        <x:v>D</x:v>
      </x:c>
      <x:c r="K79" s="30"/>
      <x:c r="L79" s="28" t="str"/>
      <x:c r="M79" s="28" t="str">
        <x:v>OUT (V2)</x:v>
      </x:c>
      <x:c r="N79" s="28" t="str">
        <x:v>—</x:v>
      </x:c>
      <x:c r="O79" s="28" t="str">
        <x:v>Draws based on one creature's power, so it can be underwhelming when the board is made of 1/1–2/2 attackers.</x:v>
      </x:c>
      <x:c r="P79" s="28" t="str">
        <x:v>Cut</x:v>
      </x:c>
      <x:c r="Q79" s="28" t="str">
        <x:v>https://scryfall.com/search?q=%21Soul%27s%20Majesty</x:v>
      </x:c>
    </x:row>
    <x:row r="80">
      <x:c r="A80" s="28" t="str">
        <x:v>Strength in Numbers</x:v>
      </x:c>
      <x:c r="B80" s="28" t="n">
        <x:v>1</x:v>
      </x:c>
      <x:c r="C80" s="28" t="n">
        <x:v>1</x:v>
      </x:c>
      <x:c r="D80" s="28" t="str">
        <x:v>Functional</x:v>
      </x:c>
      <x:c r="E80" s="28" t="n">
        <x:v>1</x:v>
      </x:c>
      <x:c r="F80" s="28" t="str">
        <x:v>TSR 233</x:v>
      </x:c>
      <x:c r="G80" s="28" t="str">
        <x:v>Buff + WinCon</x:v>
      </x:c>
      <x:c r="H80" s="28" t="str">
        <x:v>Buff + WinCon</x:v>
      </x:c>
      <x:c r="I80" s="30" t="n">
        <x:v>6.6</x:v>
      </x:c>
      <x:c r="J80" s="28" t="str">
        <x:v>C</x:v>
      </x:c>
      <x:c r="K80" s="30" t="n">
        <x:v>6.699999999999999</x:v>
      </x:c>
      <x:c r="L80" s="28" t="str">
        <x:v>C</x:v>
      </x:c>
      <x:c r="M80" s="28" t="str">
        <x:v>KEEP / TUNE</x:v>
      </x:c>
      <x:c r="N80" s="28" t="str">
        <x:v>Pump; trample</x:v>
      </x:c>
      <x:c r="O80" s="28" t="str">
        <x:v>Cheap combat trick with trample scaling by attackers; can help deathtouch creatures assign lethal to blockers and push poison through.</x:v>
      </x:c>
      <x:c r="P80" s="28" t="str">
        <x:v>Keep</x:v>
      </x:c>
      <x:c r="Q80" s="28" t="str">
        <x:v>https://scryfall.com/search?q=%21Strength%20in%20Numbers</x:v>
      </x:c>
    </x:row>
    <x:row r="81">
      <x:c r="A81" s="28" t="str">
        <x:v>Swiftfoot Boots</x:v>
      </x:c>
      <x:c r="B81" s="28" t="n">
        <x:v>1</x:v>
      </x:c>
      <x:c r="C81" s="28" t="n">
        <x:v>1</x:v>
      </x:c>
      <x:c r="D81" s="28" t="str">
        <x:v>Functional</x:v>
      </x:c>
      <x:c r="E81" s="28" t="n">
        <x:v>2</x:v>
      </x:c>
      <x:c r="F81" s="28" t="str">
        <x:v>LCC 314</x:v>
      </x:c>
      <x:c r="G81" s="28" t="str">
        <x:v>Protection</x:v>
      </x:c>
      <x:c r="H81" s="28" t="str">
        <x:v>Protection</x:v>
      </x:c>
      <x:c r="I81" s="30" t="n">
        <x:v>7.6</x:v>
      </x:c>
      <x:c r="J81" s="28" t="str">
        <x:v>B</x:v>
      </x:c>
      <x:c r="K81" s="30" t="n">
        <x:v>7.699999999999999</x:v>
      </x:c>
      <x:c r="L81" s="28" t="str">
        <x:v>B</x:v>
      </x:c>
      <x:c r="M81" s="28" t="str">
        <x:v>KEEP / TUNE</x:v>
      </x:c>
      <x:c r="N81" s="28" t="str">
        <x:v>—</x:v>
      </x:c>
      <x:c r="O81" s="28" t="str">
        <x:v>Haste/protection equipment; keep as protection redundancy, though equip 1 is slower than Greaves.</x:v>
      </x:c>
      <x:c r="P81" s="28" t="str">
        <x:v>Keep</x:v>
      </x:c>
      <x:c r="Q81" s="28" t="str">
        <x:v>https://scryfall.com/search?q=%21Swiftfoot%20Boots</x:v>
      </x:c>
    </x:row>
    <x:row r="82">
      <x:c r="A82" s="28" t="str">
        <x:v>Sylvan Library</x:v>
      </x:c>
      <x:c r="B82" s="28" t="n">
        <x:v>0</x:v>
      </x:c>
      <x:c r="C82" s="28" t="n">
        <x:v>1</x:v>
      </x:c>
      <x:c r="D82" s="28" t="str">
        <x:v>Functional</x:v>
      </x:c>
      <x:c r="E82" s="28" t="n">
        <x:v>2</x:v>
      </x:c>
      <x:c r="F82" s="28" t="str">
        <x:v>—</x:v>
      </x:c>
      <x:c r="G82" s="28" t="str">
        <x:v>NOT IN CURRENT</x:v>
      </x:c>
      <x:c r="H82" s="28" t="str">
        <x:v>Draw</x:v>
      </x:c>
      <x:c r="I82" s="30"/>
      <x:c r="J82" s="28" t="str"/>
      <x:c r="K82" s="30" t="n">
        <x:v>9</x:v>
      </x:c>
      <x:c r="L82" s="28" t="str">
        <x:v>A</x:v>
      </x:c>
      <x:c r="M82" s="28" t="str">
        <x:v>IN (V2)</x:v>
      </x:c>
      <x:c r="N82" s="28" t="str">
        <x:v>—</x:v>
      </x:c>
      <x:c r="O82" s="28" t="str">
        <x:v>Early selection improves consistency and helps find threats/protection; life-payment draw is optional.</x:v>
      </x:c>
      <x:c r="P82" s="28" t="str">
        <x:v>Add</x:v>
      </x:c>
      <x:c r="Q82" s="28" t="str">
        <x:v>https://scryfall.com/search?q=%21Sylvan%20Library</x:v>
      </x:c>
    </x:row>
    <x:row r="83">
      <x:c r="A83" s="28" t="str">
        <x:v>Tajuru Blightblade</x:v>
      </x:c>
      <x:c r="B83" s="28" t="n">
        <x:v>1</x:v>
      </x:c>
      <x:c r="C83" s="28" t="n">
        <x:v>1</x:v>
      </x:c>
      <x:c r="D83" s="28" t="str">
        <x:v>Functional</x:v>
      </x:c>
      <x:c r="E83" s="28" t="n">
        <x:v>1</x:v>
      </x:c>
      <x:c r="F83" s="28" t="str">
        <x:v>ZNR 208</x:v>
      </x:c>
      <x:c r="G83" s="28" t="str">
        <x:v>Synergy</x:v>
      </x:c>
      <x:c r="H83" s="28" t="str">
        <x:v>Synergy</x:v>
      </x:c>
      <x:c r="I83" s="30" t="n">
        <x:v>9</x:v>
      </x:c>
      <x:c r="J83" s="28" t="str">
        <x:v>A</x:v>
      </x:c>
      <x:c r="K83" s="30" t="n">
        <x:v>9.3</x:v>
      </x:c>
      <x:c r="L83" s="28" t="str">
        <x:v>A</x:v>
      </x:c>
      <x:c r="M83" s="28" t="str">
        <x:v>KEEP / TUNE</x:v>
      </x:c>
      <x:c r="N83" s="28" t="str">
        <x:v>—</x:v>
      </x:c>
      <x:c r="O83" s="28" t="str">
        <x:v>One-mana deathtouch body; core density for the commander.</x:v>
      </x:c>
      <x:c r="P83" s="28" t="str">
        <x:v>Keep</x:v>
      </x:c>
      <x:c r="Q83" s="28" t="str">
        <x:v>https://scryfall.com/search?q=%21Tajuru%20Blightblade</x:v>
      </x:c>
    </x:row>
    <x:row r="84">
      <x:c r="A84" s="28" t="str">
        <x:v>Thornweald Archer</x:v>
      </x:c>
      <x:c r="B84" s="28" t="n">
        <x:v>1</x:v>
      </x:c>
      <x:c r="C84" s="28" t="n">
        <x:v>1</x:v>
      </x:c>
      <x:c r="D84" s="28" t="str">
        <x:v>Functional</x:v>
      </x:c>
      <x:c r="E84" s="28" t="n">
        <x:v>2</x:v>
      </x:c>
      <x:c r="F84" s="28" t="str">
        <x:v>FUT 154</x:v>
      </x:c>
      <x:c r="G84" s="28" t="str">
        <x:v>Synergy</x:v>
      </x:c>
      <x:c r="H84" s="28" t="str">
        <x:v>Synergy</x:v>
      </x:c>
      <x:c r="I84" s="30" t="n">
        <x:v>8.1</x:v>
      </x:c>
      <x:c r="J84" s="28" t="str">
        <x:v>B</x:v>
      </x:c>
      <x:c r="K84" s="30" t="n">
        <x:v>8.4</x:v>
      </x:c>
      <x:c r="L84" s="28" t="str">
        <x:v>B</x:v>
      </x:c>
      <x:c r="M84" s="28" t="str">
        <x:v>KEEP / TUNE</x:v>
      </x:c>
      <x:c r="N84" s="28" t="str">
        <x:v>—</x:v>
      </x:c>
      <x:c r="O84" s="28" t="str">
        <x:v>Two-mana reach/deathtouch body; good role fit and two useful keywords.</x:v>
      </x:c>
      <x:c r="P84" s="28" t="str">
        <x:v>Keep</x:v>
      </x:c>
      <x:c r="Q84" s="28" t="str">
        <x:v>https://scryfall.com/search?q=%21Thornweald%20Archer</x:v>
      </x:c>
    </x:row>
    <x:row r="85">
      <x:c r="A85" s="28" t="str">
        <x:v>Tome of Legends</x:v>
      </x:c>
      <x:c r="B85" s="28" t="n">
        <x:v>1</x:v>
      </x:c>
      <x:c r="C85" s="28" t="n">
        <x:v>1</x:v>
      </x:c>
      <x:c r="D85" s="28" t="str">
        <x:v>Functional</x:v>
      </x:c>
      <x:c r="E85" s="28" t="n">
        <x:v>2</x:v>
      </x:c>
      <x:c r="F85" s="28" t="str">
        <x:v>ELD 332</x:v>
      </x:c>
      <x:c r="G85" s="28" t="str">
        <x:v>Draw</x:v>
      </x:c>
      <x:c r="H85" s="28" t="str">
        <x:v>Draw</x:v>
      </x:c>
      <x:c r="I85" s="30" t="n">
        <x:v>7.5</x:v>
      </x:c>
      <x:c r="J85" s="28" t="str">
        <x:v>B</x:v>
      </x:c>
      <x:c r="K85" s="30" t="n">
        <x:v>7.6</x:v>
      </x:c>
      <x:c r="L85" s="28" t="str">
        <x:v>B</x:v>
      </x:c>
      <x:c r="M85" s="28" t="str">
        <x:v>KEEP / TUNE</x:v>
      </x:c>
      <x:c r="N85" s="28" t="str">
        <x:v>—</x:v>
      </x:c>
      <x:c r="O85" s="28" t="str">
        <x:v>Low-cost repeatable card draw in a commander that can attack early.</x:v>
      </x:c>
      <x:c r="P85" s="28" t="str">
        <x:v>Keep</x:v>
      </x:c>
      <x:c r="Q85" s="28" t="str">
        <x:v>https://scryfall.com/search?q=%21Tome%20of%20Legends</x:v>
      </x:c>
    </x:row>
    <x:row r="86">
      <x:c r="A86" s="28" t="str">
        <x:v>Toski, Bearer of Secrets</x:v>
      </x:c>
      <x:c r="B86" s="28" t="n">
        <x:v>0</x:v>
      </x:c>
      <x:c r="C86" s="28" t="n">
        <x:v>1</x:v>
      </x:c>
      <x:c r="D86" s="28" t="str">
        <x:v>Functional</x:v>
      </x:c>
      <x:c r="E86" s="28" t="n">
        <x:v>4</x:v>
      </x:c>
      <x:c r="F86" s="28" t="str">
        <x:v>—</x:v>
      </x:c>
      <x:c r="G86" s="28" t="str">
        <x:v>NOT IN CURRENT</x:v>
      </x:c>
      <x:c r="H86" s="28" t="str">
        <x:v>Draw</x:v>
      </x:c>
      <x:c r="I86" s="30"/>
      <x:c r="J86" s="28" t="str"/>
      <x:c r="K86" s="30" t="n">
        <x:v>8.9</x:v>
      </x:c>
      <x:c r="L86" s="28" t="str">
        <x:v>A</x:v>
      </x:c>
      <x:c r="M86" s="28" t="str">
        <x:v>IN (V2)</x:v>
      </x:c>
      <x:c r="N86" s="28" t="str">
        <x:v>—</x:v>
      </x:c>
      <x:c r="O86" s="28" t="str">
        <x:v>Indestructible attack-based draw engine; excellent at sustaining the go-wide pressure.</x:v>
      </x:c>
      <x:c r="P86" s="28" t="str">
        <x:v>Add</x:v>
      </x:c>
      <x:c r="Q86" s="28" t="str">
        <x:v>https://scryfall.com/search?q=%21Toski%2C%20Bearer%20of%20Secrets</x:v>
      </x:c>
    </x:row>
    <x:row r="87">
      <x:c r="A87" s="28" t="str">
        <x:v>Trailblazer's Boots</x:v>
      </x:c>
      <x:c r="B87" s="28" t="n">
        <x:v>0</x:v>
      </x:c>
      <x:c r="C87" s="28" t="n">
        <x:v>1</x:v>
      </x:c>
      <x:c r="D87" s="28" t="str">
        <x:v>Functional</x:v>
      </x:c>
      <x:c r="E87" s="28" t="n">
        <x:v>2</x:v>
      </x:c>
      <x:c r="F87" s="28" t="str">
        <x:v>—</x:v>
      </x:c>
      <x:c r="G87" s="28" t="str">
        <x:v>NOT IN CURRENT</x:v>
      </x:c>
      <x:c r="H87" s="28" t="str">
        <x:v>Dupla Função</x:v>
      </x:c>
      <x:c r="I87" s="30"/>
      <x:c r="J87" s="28" t="str"/>
      <x:c r="K87" s="30" t="n">
        <x:v>7.2</x:v>
      </x:c>
      <x:c r="L87" s="28" t="str">
        <x:v>C</x:v>
      </x:c>
      <x:c r="M87" s="28" t="str">
        <x:v>IN (V2)</x:v>
      </x:c>
      <x:c r="N87" s="28" t="str">
        <x:v>Evasion</x:v>
      </x:c>
      <x:c r="O87" s="28" t="str">
        <x:v>Equipment-based nonbasic landwalk offers a way for a small deathtouch creature to connect; table-dependent but useful evasion.</x:v>
      </x:c>
      <x:c r="P87" s="28" t="str">
        <x:v>Add</x:v>
      </x:c>
      <x:c r="Q87" s="28" t="str">
        <x:v>https://scryfall.com/search?q=%21Trailblazer%27s%20Boots</x:v>
      </x:c>
    </x:row>
    <x:row r="88">
      <x:c r="A88" s="28" t="str">
        <x:v>Triumph of the Hordes</x:v>
      </x:c>
      <x:c r="B88" s="28" t="n">
        <x:v>0</x:v>
      </x:c>
      <x:c r="C88" s="28" t="n">
        <x:v>1</x:v>
      </x:c>
      <x:c r="D88" s="28" t="str">
        <x:v>Functional</x:v>
      </x:c>
      <x:c r="E88" s="28" t="n">
        <x:v>4</x:v>
      </x:c>
      <x:c r="F88" s="28" t="str">
        <x:v>—</x:v>
      </x:c>
      <x:c r="G88" s="28" t="str">
        <x:v>NOT IN CURRENT</x:v>
      </x:c>
      <x:c r="H88" s="28" t="str">
        <x:v>Buff + WinCon</x:v>
      </x:c>
      <x:c r="I88" s="30"/>
      <x:c r="J88" s="28" t="str"/>
      <x:c r="K88" s="30" t="n">
        <x:v>9.4</x:v>
      </x:c>
      <x:c r="L88" s="28" t="str">
        <x:v>A</x:v>
      </x:c>
      <x:c r="M88" s="28" t="str">
        <x:v>IN (V2)</x:v>
      </x:c>
      <x:c r="N88" s="28" t="str">
        <x:v>Infect; trample; team buff</x:v>
      </x:c>
      <x:c r="O88" s="28" t="str">
        <x:v>Four-mana team finisher granting infect, +1/+1 and trample; deathtouch attackers can deliver both infect damage and Fynn's extra poison trigger.</x:v>
      </x:c>
      <x:c r="P88" s="28" t="str">
        <x:v>Add</x:v>
      </x:c>
      <x:c r="Q88" s="28" t="str">
        <x:v>https://scryfall.com/search?q=%21Triumph%20of%20the%20Hordes</x:v>
      </x:c>
    </x:row>
    <x:row r="89">
      <x:c r="A89" s="28" t="str">
        <x:v>Tyvar's Stand</x:v>
      </x:c>
      <x:c r="B89" s="28" t="n">
        <x:v>0</x:v>
      </x:c>
      <x:c r="C89" s="28" t="n">
        <x:v>1</x:v>
      </x:c>
      <x:c r="D89" s="28" t="str">
        <x:v>Functional</x:v>
      </x:c>
      <x:c r="E89" s="28" t="n">
        <x:v>1</x:v>
      </x:c>
      <x:c r="F89" s="28" t="str">
        <x:v>—</x:v>
      </x:c>
      <x:c r="G89" s="28" t="str">
        <x:v>NOT IN CURRENT</x:v>
      </x:c>
      <x:c r="H89" s="28" t="str">
        <x:v>Protection</x:v>
      </x:c>
      <x:c r="I89" s="30"/>
      <x:c r="J89" s="28" t="str"/>
      <x:c r="K89" s="30" t="n">
        <x:v>8.8</x:v>
      </x:c>
      <x:c r="L89" s="28" t="str">
        <x:v>A</x:v>
      </x:c>
      <x:c r="M89" s="28" t="str">
        <x:v>IN (V2)</x:v>
      </x:c>
      <x:c r="N89" s="28" t="str">
        <x:v>—</x:v>
      </x:c>
      <x:c r="O89" s="28" t="str">
        <x:v>One-mana protection and a scalable pump; particularly efficient on the critical attack step.</x:v>
      </x:c>
      <x:c r="P89" s="28" t="str">
        <x:v>Add</x:v>
      </x:c>
      <x:c r="Q89" s="28" t="str">
        <x:v>https://scryfall.com/search?q=%21Tyvar%27s%20Stand</x:v>
      </x:c>
    </x:row>
    <x:row r="90">
      <x:c r="A90" s="28" t="str">
        <x:v>Venerated Rotpriest</x:v>
      </x:c>
      <x:c r="B90" s="28" t="n">
        <x:v>0</x:v>
      </x:c>
      <x:c r="C90" s="28" t="n">
        <x:v>1</x:v>
      </x:c>
      <x:c r="D90" s="28" t="str">
        <x:v>Functional</x:v>
      </x:c>
      <x:c r="E90" s="28" t="n">
        <x:v>2</x:v>
      </x:c>
      <x:c r="F90" s="28" t="str">
        <x:v>—</x:v>
      </x:c>
      <x:c r="G90" s="28" t="str">
        <x:v>NOT IN CURRENT</x:v>
      </x:c>
      <x:c r="H90" s="28" t="str">
        <x:v>Dupla Função</x:v>
      </x:c>
      <x:c r="I90" s="30"/>
      <x:c r="J90" s="28" t="str"/>
      <x:c r="K90" s="30" t="n">
        <x:v>8.3</x:v>
      </x:c>
      <x:c r="L90" s="28" t="str">
        <x:v>B</x:v>
      </x:c>
      <x:c r="M90" s="28" t="str">
        <x:v>IN (V2)</x:v>
      </x:c>
      <x:c r="N90" s="28" t="str">
        <x:v>Poison on targeted creatures</x:v>
      </x:c>
      <x:c r="O90" s="28" t="str">
        <x:v>Poison engine that rewards targeting your creatures; becomes more valuable with protection and pump spells.</x:v>
      </x:c>
      <x:c r="P90" s="28" t="str">
        <x:v>Add</x:v>
      </x:c>
      <x:c r="Q90" s="28" t="str">
        <x:v>https://scryfall.com/search?q=%21Venerated%20Rotpriest</x:v>
      </x:c>
    </x:row>
    <x:row r="91">
      <x:c r="A91" s="28" t="str">
        <x:v>Wasteland Viper</x:v>
      </x:c>
      <x:c r="B91" s="28" t="n">
        <x:v>0</x:v>
      </x:c>
      <x:c r="C91" s="28" t="n">
        <x:v>1</x:v>
      </x:c>
      <x:c r="D91" s="28" t="str">
        <x:v>Functional</x:v>
      </x:c>
      <x:c r="E91" s="28" t="n">
        <x:v>1</x:v>
      </x:c>
      <x:c r="F91" s="28" t="str">
        <x:v>—</x:v>
      </x:c>
      <x:c r="G91" s="28" t="str">
        <x:v>NOT IN CURRENT</x:v>
      </x:c>
      <x:c r="H91" s="28" t="str">
        <x:v>Synergy</x:v>
      </x:c>
      <x:c r="I91" s="30"/>
      <x:c r="J91" s="28" t="str"/>
      <x:c r="K91" s="30" t="n">
        <x:v>8.8</x:v>
      </x:c>
      <x:c r="L91" s="28" t="str">
        <x:v>A</x:v>
      </x:c>
      <x:c r="M91" s="28" t="str">
        <x:v>IN (V2)</x:v>
      </x:c>
      <x:c r="N91" s="28" t="str">
        <x:v>—</x:v>
      </x:c>
      <x:c r="O91" s="28" t="str">
        <x:v>One-mana deathtouch creature with a bloodrush mode; useful on board or as a combat trick from hand.</x:v>
      </x:c>
      <x:c r="P91" s="28" t="str">
        <x:v>Add</x:v>
      </x:c>
      <x:c r="Q91" s="28" t="str">
        <x:v>https://scryfall.com/search?q=%21Wasteland%20Viper</x:v>
      </x:c>
    </x:row>
    <x:row r="92">
      <x:c r="A92" s="28" t="str">
        <x:v>Wild Growth</x:v>
      </x:c>
      <x:c r="B92" s="28" t="n">
        <x:v>1</x:v>
      </x:c>
      <x:c r="C92" s="28" t="n">
        <x:v>1</x:v>
      </x:c>
      <x:c r="D92" s="28" t="str">
        <x:v>Functional</x:v>
      </x:c>
      <x:c r="E92" s="28" t="n">
        <x:v>1</x:v>
      </x:c>
      <x:c r="F92" s="28" t="str">
        <x:v>DMR 352</x:v>
      </x:c>
      <x:c r="G92" s="28" t="str">
        <x:v>Ramp</x:v>
      </x:c>
      <x:c r="H92" s="28" t="str">
        <x:v>Ramp</x:v>
      </x:c>
      <x:c r="I92" s="30" t="n">
        <x:v>9</x:v>
      </x:c>
      <x:c r="J92" s="28" t="str">
        <x:v>A</x:v>
      </x:c>
      <x:c r="K92" s="30" t="n">
        <x:v>9.1</x:v>
      </x:c>
      <x:c r="L92" s="28" t="str">
        <x:v>A</x:v>
      </x:c>
      <x:c r="M92" s="28" t="str">
        <x:v>KEEP / TUNE</x:v>
      </x:c>
      <x:c r="N92" s="28" t="str">
        <x:v>Ramp</x:v>
      </x:c>
      <x:c r="O92" s="28" t="str">
        <x:v>One-mana ramp that accelerates the commander/early attacks with minimal tempo loss.</x:v>
      </x:c>
      <x:c r="P92" s="28" t="str">
        <x:v>Keep</x:v>
      </x:c>
      <x:c r="Q92" s="28" t="str">
        <x:v>https://scryfall.com/search?q=%21Wild%20Growth</x:v>
      </x:c>
    </x:row>
    <x:row r="93">
      <x:c r="A93" s="28" t="str">
        <x:v>Windstorm</x:v>
      </x:c>
      <x:c r="B93" s="28" t="n">
        <x:v>1</x:v>
      </x:c>
      <x:c r="C93" s="28" t="n">
        <x:v>0</x:v>
      </x:c>
      <x:c r="D93" s="28" t="str">
        <x:v>Functional</x:v>
      </x:c>
      <x:c r="E93" s="28" t="n">
        <x:v>1</x:v>
      </x:c>
      <x:c r="F93" s="28" t="str">
        <x:v>M14 201</x:v>
      </x:c>
      <x:c r="G93" s="28" t="str">
        <x:v>Removal</x:v>
      </x:c>
      <x:c r="H93" s="28" t="str">
        <x:v>OUT / NOT IN V2</x:v>
      </x:c>
      <x:c r="I93" s="30" t="n">
        <x:v>5</x:v>
      </x:c>
      <x:c r="J93" s="28" t="str">
        <x:v>D</x:v>
      </x:c>
      <x:c r="K93" s="30"/>
      <x:c r="L93" s="28" t="str"/>
      <x:c r="M93" s="28" t="str">
        <x:v>OUT (V2)</x:v>
      </x:c>
      <x:c r="N93" s="28" t="str">
        <x:v>—</x:v>
      </x:c>
      <x:c r="O93" s="28" t="str">
        <x:v>Variable-cost anti-flyer instant; keep only if flyers are a consistent metagame issue.</x:v>
      </x:c>
      <x:c r="P93" s="28" t="str">
        <x:v>Cut</x:v>
      </x:c>
      <x:c r="Q93" s="28" t="str">
        <x:v>https://scryfall.com/search?q=%21Windstorm</x:v>
      </x:c>
    </x:row>
    <x:row r="94">
      <x:c r="A94" s="28" t="str">
        <x:v>Yavimaya Elder</x:v>
      </x:c>
      <x:c r="B94" s="28" t="n">
        <x:v>1</x:v>
      </x:c>
      <x:c r="C94" s="28" t="n">
        <x:v>1</x:v>
      </x:c>
      <x:c r="D94" s="28" t="str">
        <x:v>Functional</x:v>
      </x:c>
      <x:c r="E94" s="28" t="n">
        <x:v>3</x:v>
      </x:c>
      <x:c r="F94" s="28" t="str">
        <x:v>CMR 441</x:v>
      </x:c>
      <x:c r="G94" s="28" t="str">
        <x:v>Dupla Função</x:v>
      </x:c>
      <x:c r="H94" s="28" t="str">
        <x:v>Dupla Função</x:v>
      </x:c>
      <x:c r="I94" s="30" t="n">
        <x:v>7.2</x:v>
      </x:c>
      <x:c r="J94" s="28" t="str">
        <x:v>C</x:v>
      </x:c>
      <x:c r="K94" s="30" t="n">
        <x:v>7.3</x:v>
      </x:c>
      <x:c r="L94" s="28" t="str">
        <x:v>C</x:v>
      </x:c>
      <x:c r="M94" s="28" t="str">
        <x:v>KEEP / TUNE</x:v>
      </x:c>
      <x:c r="N94" s="28" t="str">
        <x:v>Land search; draw</x:v>
      </x:c>
      <x:c r="O94" s="28" t="str">
        <x:v>Land-finding plus cards on death is useful role compression but slow.</x:v>
      </x:c>
      <x:c r="P94" s="28" t="str">
        <x:v>Keep</x:v>
      </x:c>
      <x:c r="Q94" s="28" t="str">
        <x:v>https://scryfall.com/search?q=%21Yavimaya%20Elder</x:v>
      </x:c>
    </x:row>
  </x:sheetData>
  <x:mergeCells>
    <x:mergeCell ref="A1:Q1"/>
    <x:mergeCell ref="A2:Q2"/>
  </x:mergeCells>
  <x:conditionalFormatting sqref="I5:I9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5:K9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b57f3fe90964c6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0" hidden="0" customWidth="1"/>
    <x:col min="3" max="3" width="14" hidden="0" customWidth="1"/>
    <x:col min="4" max="4" width="15" hidden="0" customWidth="1"/>
    <x:col min="5" max="5" width="8" hidden="0" customWidth="1"/>
    <x:col min="6" max="6" width="20" hidden="0" customWidth="1"/>
    <x:col min="7" max="7" width="22" hidden="0" customWidth="1"/>
    <x:col min="8" max="8" width="18" hidden="0" customWidth="1"/>
    <x:col min="9" max="9" width="62" hidden="0" customWidth="1"/>
  </x:cols>
  <x:sheetData>
    <x:row r="1" ht="32" customHeight="1">
      <x:c r="A1" s="54" t="str">
        <x:v>TIER LIST</x:v>
      </x:c>
      <x:c r="B1" s="54"/>
      <x:c r="C1" s="54"/>
      <x:c r="D1" s="54"/>
      <x:c r="E1" s="54"/>
      <x:c r="F1" s="54"/>
      <x:c r="G1" s="54"/>
      <x:c r="H1" s="54"/>
      <x:c r="I1" s="54"/>
      <x:c r="J1" s="26"/>
      <x:c r="K1" s="26"/>
      <x:c r="L1" s="26"/>
      <x:c r="M1" s="26"/>
      <x:c r="N1" s="26"/>
      <x:c r="O1" s="26"/>
      <x:c r="P1" s="26"/>
      <x:c r="Q1" s="26"/>
    </x:row>
    <x:row r="2" ht="30" customHeight="1">
      <x:c r="A2" s="11" t="str">
        <x:v>Scores representam fit estratégico neste deck. V2 permanece PROJETADA — NÃO VALIDADA POR PLAYTEST.</x:v>
      </x:c>
      <x:c r="B2" s="11"/>
      <x:c r="C2" s="11"/>
      <x:c r="D2" s="11"/>
      <x:c r="E2" s="11"/>
      <x:c r="F2" s="11"/>
      <x:c r="G2" s="11"/>
      <x:c r="H2" s="11"/>
      <x:c r="I2" s="11"/>
      <x:c r="J2" s="26"/>
      <x:c r="K2" s="26"/>
      <x:c r="L2" s="26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Tier</x:v>
      </x:c>
      <x:c r="B4" s="20" t="str">
        <x:v>Card</x:v>
      </x:c>
      <x:c r="C4" s="20" t="str">
        <x:v>Current Score</x:v>
      </x:c>
      <x:c r="D4" s="20" t="str">
        <x:v>Projected Score</x:v>
      </x:c>
      <x:c r="E4" s="20" t="str">
        <x:v>MV</x:v>
      </x:c>
      <x:c r="F4" s="20" t="str">
        <x:v>Current Group</x:v>
      </x:c>
      <x:c r="G4" s="20" t="str">
        <x:v>V2 Group</x:v>
      </x:c>
      <x:c r="H4" s="20" t="str">
        <x:v>Status</x:v>
      </x:c>
      <x:c r="I4" s="20" t="str">
        <x:v>Why / Notes</x:v>
      </x:c>
    </x:row>
    <x:row r="5">
      <x:c r="A5" s="28" t="str">
        <x:v>S</x:v>
      </x:c>
      <x:c r="B5" s="28" t="str">
        <x:v>Fynn, the Fangbearer</x:v>
      </x:c>
      <x:c r="C5" s="30" t="n">
        <x:v>10</x:v>
      </x:c>
      <x:c r="D5" s="30" t="n">
        <x:v>10</x:v>
      </x:c>
      <x:c r="E5" s="28" t="n">
        <x:v>2</x:v>
      </x:c>
      <x:c r="F5" s="28" t="str">
        <x:v>Commander</x:v>
      </x:c>
      <x:c r="G5" s="28" t="str">
        <x:v>Commander</x:v>
      </x:c>
      <x:c r="H5" s="28" t="str">
        <x:v>LOCK / CORE</x:v>
      </x:c>
      <x:c r="I5" s="28" t="str">
        <x:v>Commander is the engine, not an infect-granting lord: each deathtouch creature that connects gives 2 poison counters.</x:v>
      </x:c>
    </x:row>
    <x:row r="6">
      <x:c r="A6" s="28" t="str">
        <x:v>A</x:v>
      </x:c>
      <x:c r="B6" s="28" t="str">
        <x:v>Ankle Biter</x:v>
      </x:c>
      <x:c r="C6" s="30" t="n">
        <x:v>9.1</x:v>
      </x:c>
      <x:c r="D6" s="30" t="n">
        <x:v>9.4</x:v>
      </x:c>
      <x:c r="E6" s="28" t="n">
        <x:v>1</x:v>
      </x:c>
      <x:c r="F6" s="28" t="str">
        <x:v>Synergy</x:v>
      </x:c>
      <x:c r="G6" s="28" t="str">
        <x:v>Synergy</x:v>
      </x:c>
      <x:c r="H6" s="28" t="str">
        <x:v>KEEP / TUNE</x:v>
      </x:c>
      <x:c r="I6" s="28" t="str">
        <x:v>One-mana deathtouch body; excellent early density for Fynn.</x:v>
      </x:c>
    </x:row>
    <x:row r="7">
      <x:c r="A7" s="28" t="str">
        <x:v>A</x:v>
      </x:c>
      <x:c r="B7" s="28" t="str">
        <x:v>Triumph of the Hordes</x:v>
      </x:c>
      <x:c r="C7" s="30" t="str"/>
      <x:c r="D7" s="30" t="n">
        <x:v>9.4</x:v>
      </x:c>
      <x:c r="E7" s="28" t="n">
        <x:v>4</x:v>
      </x:c>
      <x:c r="F7" s="28" t="str">
        <x:v>NOT IN CURRENT</x:v>
      </x:c>
      <x:c r="G7" s="28" t="str">
        <x:v>Buff + WinCon</x:v>
      </x:c>
      <x:c r="H7" s="28" t="str">
        <x:v>IN (V2)</x:v>
      </x:c>
      <x:c r="I7" s="28" t="str">
        <x:v>Four-mana team finisher granting infect, +1/+1 and trample; deathtouch attackers can deliver both infect damage and Fynn's extra poison trigger.</x:v>
      </x:c>
    </x:row>
    <x:row r="8">
      <x:c r="A8" s="28" t="str">
        <x:v>A</x:v>
      </x:c>
      <x:c r="B8" s="28" t="str">
        <x:v>Tajuru Blightblade</x:v>
      </x:c>
      <x:c r="C8" s="30" t="n">
        <x:v>9</x:v>
      </x:c>
      <x:c r="D8" s="30" t="n">
        <x:v>9.3</x:v>
      </x:c>
      <x:c r="E8" s="28" t="n">
        <x:v>1</x:v>
      </x:c>
      <x:c r="F8" s="28" t="str">
        <x:v>Synergy</x:v>
      </x:c>
      <x:c r="G8" s="28" t="str">
        <x:v>Synergy</x:v>
      </x:c>
      <x:c r="H8" s="28" t="str">
        <x:v>KEEP / TUNE</x:v>
      </x:c>
      <x:c r="I8" s="28" t="str">
        <x:v>One-mana deathtouch body; core density for the commander.</x:v>
      </x:c>
    </x:row>
    <x:row r="9">
      <x:c r="A9" s="28" t="str">
        <x:v>A</x:v>
      </x:c>
      <x:c r="B9" s="28" t="str">
        <x:v>Fang of Shigeki</x:v>
      </x:c>
      <x:c r="C9" s="30" t="n">
        <x:v>8.9</x:v>
      </x:c>
      <x:c r="D9" s="30" t="n">
        <x:v>9.200000000000001</x:v>
      </x:c>
      <x:c r="E9" s="28" t="n">
        <x:v>1</x:v>
      </x:c>
      <x:c r="F9" s="28" t="str">
        <x:v>Synergy</x:v>
      </x:c>
      <x:c r="G9" s="28" t="str">
        <x:v>Synergy</x:v>
      </x:c>
      <x:c r="H9" s="28" t="str">
        <x:v>KEEP / TUNE</x:v>
      </x:c>
      <x:c r="I9" s="28" t="str">
        <x:v>One-mana deathtouch creature and enchantment type; excellent early Fynn density.</x:v>
      </x:c>
    </x:row>
    <x:row r="10">
      <x:c r="A10" s="28" t="str">
        <x:v>A</x:v>
      </x:c>
      <x:c r="B10" s="28" t="str">
        <x:v>Ohran Frostfang</x:v>
      </x:c>
      <x:c r="C10" s="30" t="str"/>
      <x:c r="D10" s="30" t="n">
        <x:v>9.2</x:v>
      </x:c>
      <x:c r="E10" s="28" t="n">
        <x:v>5</x:v>
      </x:c>
      <x:c r="F10" s="28" t="str">
        <x:v>NOT IN CURRENT</x:v>
      </x:c>
      <x:c r="G10" s="28" t="str">
        <x:v>Draw</x:v>
      </x:c>
      <x:c r="H10" s="28" t="str">
        <x:v>IN (V2)</x:v>
      </x:c>
      <x:c r="I10" s="28" t="str">
        <x:v>Team-wide deathtouch plus attack-based card draw; the strongest dual-function refill/payoff in this proposal.</x:v>
      </x:c>
    </x:row>
    <x:row r="11">
      <x:c r="A11" s="28" t="str">
        <x:v>A</x:v>
      </x:c>
      <x:c r="B11" s="28" t="str">
        <x:v>Heroic Intervention</x:v>
      </x:c>
      <x:c r="C11" s="30" t="str"/>
      <x:c r="D11" s="30" t="n">
        <x:v>9.1</x:v>
      </x:c>
      <x:c r="E11" s="28" t="n">
        <x:v>2</x:v>
      </x:c>
      <x:c r="F11" s="28" t="str">
        <x:v>NOT IN CURRENT</x:v>
      </x:c>
      <x:c r="G11" s="28" t="str">
        <x:v>Protection</x:v>
      </x:c>
      <x:c r="H11" s="28" t="str">
        <x:v>IN (V2)</x:v>
      </x:c>
      <x:c r="I11" s="28" t="str">
        <x:v>Protects the whole board from many wipes and targeted effects; keeps the poison clock alive.</x:v>
      </x:c>
    </x:row>
    <x:row r="12">
      <x:c r="A12" s="28" t="str">
        <x:v>A</x:v>
      </x:c>
      <x:c r="B12" s="28" t="str">
        <x:v>Wild Growth</x:v>
      </x:c>
      <x:c r="C12" s="30" t="n">
        <x:v>9</x:v>
      </x:c>
      <x:c r="D12" s="30" t="n">
        <x:v>9.1</x:v>
      </x:c>
      <x:c r="E12" s="28" t="n">
        <x:v>1</x:v>
      </x:c>
      <x:c r="F12" s="28" t="str">
        <x:v>Ramp</x:v>
      </x:c>
      <x:c r="G12" s="28" t="str">
        <x:v>Ramp</x:v>
      </x:c>
      <x:c r="H12" s="28" t="str">
        <x:v>KEEP / TUNE</x:v>
      </x:c>
      <x:c r="I12" s="28" t="str">
        <x:v>One-mana ramp that accelerates the commander/early attacks with minimal tempo loss.</x:v>
      </x:c>
    </x:row>
    <x:row r="13">
      <x:c r="A13" s="28" t="str">
        <x:v>A</x:v>
      </x:c>
      <x:c r="B13" s="28" t="str">
        <x:v>Evolution Sage</x:v>
      </x:c>
      <x:c r="C13" s="30" t="str"/>
      <x:c r="D13" s="30" t="n">
        <x:v>9</x:v>
      </x:c>
      <x:c r="E13" s="28" t="n">
        <x:v>3</x:v>
      </x:c>
      <x:c r="F13" s="28" t="str">
        <x:v>NOT IN CURRENT</x:v>
      </x:c>
      <x:c r="G13" s="28" t="str">
        <x:v>Proliferate</x:v>
      </x:c>
      <x:c r="H13" s="28" t="str">
        <x:v>IN (V2)</x:v>
      </x:c>
      <x:c r="I13" s="28" t="str">
        <x:v>Landfall proliferate repeatedly converts future land drops/ramp into additional poison counters.</x:v>
      </x:c>
    </x:row>
    <x:row r="14">
      <x:c r="A14" s="28" t="str">
        <x:v>A</x:v>
      </x:c>
      <x:c r="B14" s="28" t="str">
        <x:v>Sedge Scorpion</x:v>
      </x:c>
      <x:c r="C14" s="30" t="n">
        <x:v>8.7</x:v>
      </x:c>
      <x:c r="D14" s="30" t="n">
        <x:v>9</x:v>
      </x:c>
      <x:c r="E14" s="28" t="n">
        <x:v>1</x:v>
      </x:c>
      <x:c r="F14" s="28" t="str">
        <x:v>Synergy</x:v>
      </x:c>
      <x:c r="G14" s="28" t="str">
        <x:v>Synergy</x:v>
      </x:c>
      <x:c r="H14" s="28" t="str">
        <x:v>KEEP / TUNE</x:v>
      </x:c>
      <x:c r="I14" s="28" t="str">
        <x:v>One-mana deathtouch body; excellent curve piece for Fynn.</x:v>
      </x:c>
    </x:row>
    <x:row r="15">
      <x:c r="A15" s="28" t="str">
        <x:v>A</x:v>
      </x:c>
      <x:c r="B15" s="28" t="str">
        <x:v>Sylvan Library</x:v>
      </x:c>
      <x:c r="C15" s="30" t="str"/>
      <x:c r="D15" s="30" t="n">
        <x:v>9</x:v>
      </x:c>
      <x:c r="E15" s="28" t="n">
        <x:v>2</x:v>
      </x:c>
      <x:c r="F15" s="28" t="str">
        <x:v>NOT IN CURRENT</x:v>
      </x:c>
      <x:c r="G15" s="28" t="str">
        <x:v>Draw</x:v>
      </x:c>
      <x:c r="H15" s="28" t="str">
        <x:v>IN (V2)</x:v>
      </x:c>
      <x:c r="I15" s="28" t="str">
        <x:v>Early selection improves consistency and helps find threats/protection; life-payment draw is optional.</x:v>
      </x:c>
    </x:row>
    <x:row r="16">
      <x:c r="A16" s="28" t="str">
        <x:v>A</x:v>
      </x:c>
      <x:c r="B16" s="28" t="str">
        <x:v>Ambush Viper</x:v>
      </x:c>
      <x:c r="C16" s="30" t="n">
        <x:v>8.6</x:v>
      </x:c>
      <x:c r="D16" s="30" t="n">
        <x:v>8.9</x:v>
      </x:c>
      <x:c r="E16" s="28" t="n">
        <x:v>2</x:v>
      </x:c>
      <x:c r="F16" s="28" t="str">
        <x:v>Synergy</x:v>
      </x:c>
      <x:c r="G16" s="28" t="str">
        <x:v>Synergy</x:v>
      </x:c>
      <x:c r="H16" s="28" t="str">
        <x:v>KEEP / TUNE</x:v>
      </x:c>
      <x:c r="I16" s="28" t="str">
        <x:v>Flash plus deathtouch creates surprise blocks and a cheap Fynn trigger source; solid at two mana.</x:v>
      </x:c>
    </x:row>
    <x:row r="17">
      <x:c r="A17" s="28" t="str">
        <x:v>A</x:v>
      </x:c>
      <x:c r="B17" s="28" t="str">
        <x:v>Flesh Burrower</x:v>
      </x:c>
      <x:c r="C17" s="30" t="n">
        <x:v>8.6</x:v>
      </x:c>
      <x:c r="D17" s="30" t="n">
        <x:v>8.9</x:v>
      </x:c>
      <x:c r="E17" s="28" t="n">
        <x:v>2</x:v>
      </x:c>
      <x:c r="F17" s="28" t="str">
        <x:v>Synergy</x:v>
      </x:c>
      <x:c r="G17" s="28" t="str">
        <x:v>Synergy</x:v>
      </x:c>
      <x:c r="H17" s="28" t="str">
        <x:v>KEEP / TUNE</x:v>
      </x:c>
      <x:c r="I17" s="28" t="str">
        <x:v>Two-mana deathtouch creature that can grant deathtouch to another attacker; unusually good synergy compression.</x:v>
      </x:c>
    </x:row>
    <x:row r="18">
      <x:c r="A18" s="28" t="str">
        <x:v>A</x:v>
      </x:c>
      <x:c r="B18" s="28" t="str">
        <x:v>Rancor</x:v>
      </x:c>
      <x:c r="C18" s="30" t="str"/>
      <x:c r="D18" s="30" t="n">
        <x:v>8.9</x:v>
      </x:c>
      <x:c r="E18" s="28" t="n">
        <x:v>1</x:v>
      </x:c>
      <x:c r="F18" s="28" t="str">
        <x:v>NOT IN CURRENT</x:v>
      </x:c>
      <x:c r="G18" s="28" t="str">
        <x:v>Buff + WinCon</x:v>
      </x:c>
      <x:c r="H18" s="28" t="str">
        <x:v>IN (V2)</x:v>
      </x:c>
      <x:c r="I18" s="28" t="str">
        <x:v>One mana for recurring trample; deathtouch + trample is excellent at getting at least some damage through blockers.</x:v>
      </x:c>
    </x:row>
    <x:row r="19">
      <x:c r="A19" s="28" t="str">
        <x:v>A</x:v>
      </x:c>
      <x:c r="B19" s="28" t="str">
        <x:v>Toski, Bearer of Secrets</x:v>
      </x:c>
      <x:c r="C19" s="30" t="str"/>
      <x:c r="D19" s="30" t="n">
        <x:v>8.9</x:v>
      </x:c>
      <x:c r="E19" s="28" t="n">
        <x:v>4</x:v>
      </x:c>
      <x:c r="F19" s="28" t="str">
        <x:v>NOT IN CURRENT</x:v>
      </x:c>
      <x:c r="G19" s="28" t="str">
        <x:v>Draw</x:v>
      </x:c>
      <x:c r="H19" s="28" t="str">
        <x:v>IN (V2)</x:v>
      </x:c>
      <x:c r="I19" s="28" t="str">
        <x:v>Indestructible attack-based draw engine; excellent at sustaining the go-wide pressure.</x:v>
      </x:c>
    </x:row>
    <x:row r="20">
      <x:c r="A20" s="28" t="str">
        <x:v>A</x:v>
      </x:c>
      <x:c r="B20" s="28" t="str">
        <x:v>Llanowar Elves</x:v>
      </x:c>
      <x:c r="C20" s="30" t="str"/>
      <x:c r="D20" s="30" t="n">
        <x:v>8.8</x:v>
      </x:c>
      <x:c r="E20" s="28" t="n">
        <x:v>1</x:v>
      </x:c>
      <x:c r="F20" s="28" t="str">
        <x:v>NOT IN CURRENT</x:v>
      </x:c>
      <x:c r="G20" s="28" t="str">
        <x:v>Ramp</x:v>
      </x:c>
      <x:c r="H20" s="28" t="str">
        <x:v>IN (V2)</x:v>
      </x:c>
      <x:c r="I20" s="28" t="str">
        <x:v>Turn-one ramp increases the chance of Fynn on turn two alongside another one-drop.</x:v>
      </x:c>
    </x:row>
    <x:row r="21">
      <x:c r="A21" s="28" t="str">
        <x:v>A</x:v>
      </x:c>
      <x:c r="B21" s="28" t="str">
        <x:v>Tyvar's Stand</x:v>
      </x:c>
      <x:c r="C21" s="30" t="str"/>
      <x:c r="D21" s="30" t="n">
        <x:v>8.8</x:v>
      </x:c>
      <x:c r="E21" s="28" t="n">
        <x:v>1</x:v>
      </x:c>
      <x:c r="F21" s="28" t="str">
        <x:v>NOT IN CURRENT</x:v>
      </x:c>
      <x:c r="G21" s="28" t="str">
        <x:v>Protection</x:v>
      </x:c>
      <x:c r="H21" s="28" t="str">
        <x:v>IN (V2)</x:v>
      </x:c>
      <x:c r="I21" s="28" t="str">
        <x:v>One-mana protection and a scalable pump; particularly efficient on the critical attack step.</x:v>
      </x:c>
    </x:row>
    <x:row r="22">
      <x:c r="A22" s="28" t="str">
        <x:v>A</x:v>
      </x:c>
      <x:c r="B22" s="28" t="str">
        <x:v>Wasteland Viper</x:v>
      </x:c>
      <x:c r="C22" s="30" t="str"/>
      <x:c r="D22" s="30" t="n">
        <x:v>8.8</x:v>
      </x:c>
      <x:c r="E22" s="28" t="n">
        <x:v>1</x:v>
      </x:c>
      <x:c r="F22" s="28" t="str">
        <x:v>NOT IN CURRENT</x:v>
      </x:c>
      <x:c r="G22" s="28" t="str">
        <x:v>Synergy</x:v>
      </x:c>
      <x:c r="H22" s="28" t="str">
        <x:v>IN (V2)</x:v>
      </x:c>
      <x:c r="I22" s="28" t="str">
        <x:v>One-mana deathtouch creature with a bloodrush mode; useful on board or as a combat trick from hand.</x:v>
      </x:c>
    </x:row>
    <x:row r="23">
      <x:c r="A23" s="28" t="str">
        <x:v>A</x:v>
      </x:c>
      <x:c r="B23" s="28" t="str">
        <x:v>Lightning Greaves</x:v>
      </x:c>
      <x:c r="C23" s="30" t="n">
        <x:v>8.7</x:v>
      </x:c>
      <x:c r="D23" s="30" t="n">
        <x:v>8.799999999999999</x:v>
      </x:c>
      <x:c r="E23" s="28" t="n">
        <x:v>2</x:v>
      </x:c>
      <x:c r="F23" s="28" t="str">
        <x:v>Protection</x:v>
      </x:c>
      <x:c r="G23" s="28" t="str">
        <x:v>Protection</x:v>
      </x:c>
      <x:c r="H23" s="28" t="str">
        <x:v>KEEP / TUNE</x:v>
      </x:c>
      <x:c r="I23" s="28" t="str">
        <x:v>Zero-equip haste/protection is excellent for deploying Fynn or an evasive poison threat immediately.</x:v>
      </x:c>
    </x:row>
    <x:row r="24">
      <x:c r="A24" s="28" t="str">
        <x:v>A</x:v>
      </x:c>
      <x:c r="B24" s="28" t="str">
        <x:v>Sol Ring</x:v>
      </x:c>
      <x:c r="C24" s="30" t="n">
        <x:v>8.7</x:v>
      </x:c>
      <x:c r="D24" s="30" t="n">
        <x:v>8.799999999999999</x:v>
      </x:c>
      <x:c r="E24" s="28" t="n">
        <x:v>1</x:v>
      </x:c>
      <x:c r="F24" s="28" t="str">
        <x:v>Ramp</x:v>
      </x:c>
      <x:c r="G24" s="28" t="str">
        <x:v>Ramp</x:v>
      </x:c>
      <x:c r="H24" s="28" t="str">
        <x:v>KEEP / TUNE</x:v>
      </x:c>
      <x:c r="I24" s="28" t="str">
        <x:v>Efficient acceleration and a staple here because it makes early double-spells possible.</x:v>
      </x:c>
    </x:row>
    <x:row r="25">
      <x:c r="A25" s="28" t="str">
        <x:v>A</x:v>
      </x:c>
      <x:c r="B25" s="28" t="str">
        <x:v>Cankerbloom</x:v>
      </x:c>
      <x:c r="C25" s="30" t="n">
        <x:v>8.4</x:v>
      </x:c>
      <x:c r="D25" s="30" t="n">
        <x:v>8.700000000000001</x:v>
      </x:c>
      <x:c r="E25" s="28" t="n">
        <x:v>2</x:v>
      </x:c>
      <x:c r="F25" s="28" t="str">
        <x:v>Removal</x:v>
      </x:c>
      <x:c r="G25" s="28" t="str">
        <x:v>Proliferate</x:v>
      </x:c>
      <x:c r="H25" s="28" t="str">
        <x:v>KEEP / TUNE</x:v>
      </x:c>
      <x:c r="I25" s="28" t="str">
        <x:v>Low-cost creature that can sacrifice for artifact/enchantment removal or proliferate; genuine two-in-one flexibility.</x:v>
      </x:c>
    </x:row>
    <x:row r="26">
      <x:c r="A26" s="28" t="str">
        <x:v>A</x:v>
      </x:c>
      <x:c r="B26" s="28" t="str">
        <x:v>Bloated Contaminator</x:v>
      </x:c>
      <x:c r="C26" s="30" t="n">
        <x:v>8.3</x:v>
      </x:c>
      <x:c r="D26" s="30" t="n">
        <x:v>8.600000000000001</x:v>
      </x:c>
      <x:c r="E26" s="28" t="n">
        <x:v>3</x:v>
      </x:c>
      <x:c r="F26" s="28" t="str">
        <x:v>Dupla Função</x:v>
      </x:c>
      <x:c r="G26" s="28" t="str">
        <x:v>Buff + WinCon</x:v>
      </x:c>
      <x:c r="H26" s="28" t="str">
        <x:v>KEEP / TUNE</x:v>
      </x:c>
      <x:c r="I26" s="28" t="str">
        <x:v>Toxic 1 (not infect), trample, and proliferate on player damage make it an excellent pressure/proliferation bridge.</x:v>
      </x:c>
    </x:row>
    <x:row r="27">
      <x:c r="A27" s="28" t="str">
        <x:v>A</x:v>
      </x:c>
      <x:c r="B27" s="28" t="str">
        <x:v>Infectious Bite</x:v>
      </x:c>
      <x:c r="C27" s="30" t="str"/>
      <x:c r="D27" s="30" t="n">
        <x:v>8.6</x:v>
      </x:c>
      <x:c r="E27" s="28" t="n">
        <x:v>2</x:v>
      </x:c>
      <x:c r="F27" s="28" t="str">
        <x:v>NOT IN CURRENT</x:v>
      </x:c>
      <x:c r="G27" s="28" t="str">
        <x:v>Dupla Função</x:v>
      </x:c>
      <x:c r="H27" s="28" t="str">
        <x:v>IN (V2)</x:v>
      </x:c>
      <x:c r="I27" s="28" t="str">
        <x:v>Cheap removal plus one poison counter to each opponent; the poison clause is valuable even when the fight is modest.</x:v>
      </x:c>
    </x:row>
    <x:row r="28">
      <x:c r="A28" s="28" t="str">
        <x:v>A</x:v>
      </x:c>
      <x:c r="B28" s="28" t="str">
        <x:v>Moss Viper</x:v>
      </x:c>
      <x:c r="C28" s="30" t="str"/>
      <x:c r="D28" s="30" t="n">
        <x:v>8.6</x:v>
      </x:c>
      <x:c r="E28" s="28" t="n">
        <x:v>1</x:v>
      </x:c>
      <x:c r="F28" s="28" t="str">
        <x:v>NOT IN CURRENT</x:v>
      </x:c>
      <x:c r="G28" s="28" t="str">
        <x:v>Synergy</x:v>
      </x:c>
      <x:c r="H28" s="28" t="str">
        <x:v>IN (V2)</x:v>
      </x:c>
      <x:c r="I28" s="28" t="str">
        <x:v>One-mana deathtouch/reach body that improves early Fynn consistency.</x:v>
      </x:c>
    </x:row>
    <x:row r="29">
      <x:c r="A29" s="28" t="str">
        <x:v>A</x:v>
      </x:c>
      <x:c r="B29" s="28" t="str">
        <x:v>Narnam Renegade</x:v>
      </x:c>
      <x:c r="C29" s="30" t="str"/>
      <x:c r="D29" s="30" t="n">
        <x:v>8.6</x:v>
      </x:c>
      <x:c r="E29" s="28" t="n">
        <x:v>1</x:v>
      </x:c>
      <x:c r="F29" s="28" t="str">
        <x:v>NOT IN CURRENT</x:v>
      </x:c>
      <x:c r="G29" s="28" t="str">
        <x:v>Synergy</x:v>
      </x:c>
      <x:c r="H29" s="28" t="str">
        <x:v>IN (V2)</x:v>
      </x:c>
      <x:c r="I29" s="28" t="str">
        <x:v>One-mana deathtouch creature; revolt can make it a larger early threat.</x:v>
      </x:c>
    </x:row>
    <x:row r="30">
      <x:c r="A30" s="28" t="str">
        <x:v>A</x:v>
      </x:c>
      <x:c r="B30" s="28" t="str">
        <x:v>Beast Within</x:v>
      </x:c>
      <x:c r="C30" s="30" t="n">
        <x:v>8.4</x:v>
      </x:c>
      <x:c r="D30" s="30" t="n">
        <x:v>8.5</x:v>
      </x:c>
      <x:c r="E30" s="28" t="n">
        <x:v>3</x:v>
      </x:c>
      <x:c r="F30" s="28" t="str">
        <x:v>Removal</x:v>
      </x:c>
      <x:c r="G30" s="28" t="str">
        <x:v>Removal</x:v>
      </x:c>
      <x:c r="H30" s="28" t="str">
        <x:v>KEEP / TUNE</x:v>
      </x:c>
      <x:c r="I30" s="28" t="str">
        <x:v>Broad instant-speed answer to almost any permanent; efficient interaction despite giving a 3/3.</x:v>
      </x:c>
    </x:row>
    <x:row r="31">
      <x:c r="A31" s="28" t="str">
        <x:v>A</x:v>
      </x:c>
      <x:c r="B31" s="28" t="str">
        <x:v>Gnarlwood Dryad</x:v>
      </x:c>
      <x:c r="C31" s="30" t="str"/>
      <x:c r="D31" s="30" t="n">
        <x:v>8.5</x:v>
      </x:c>
      <x:c r="E31" s="28" t="n">
        <x:v>1</x:v>
      </x:c>
      <x:c r="F31" s="28" t="str">
        <x:v>NOT IN CURRENT</x:v>
      </x:c>
      <x:c r="G31" s="28" t="str">
        <x:v>Synergy</x:v>
      </x:c>
      <x:c r="H31" s="28" t="str">
        <x:v>IN (V2)</x:v>
      </x:c>
      <x:c r="I31" s="28" t="str">
        <x:v>One-mana deathtouch body with a delirium ceiling; prioritizes early pressure over large late plays.</x:v>
      </x:c>
    </x:row>
    <x:row r="32">
      <x:c r="A32" s="28" t="str">
        <x:v>A</x:v>
      </x:c>
      <x:c r="B32" s="28" t="str">
        <x:v>Nature's Lore</x:v>
      </x:c>
      <x:c r="C32" s="30" t="str"/>
      <x:c r="D32" s="30" t="n">
        <x:v>8.5</x:v>
      </x:c>
      <x:c r="E32" s="28" t="n">
        <x:v>2</x:v>
      </x:c>
      <x:c r="F32" s="28" t="str">
        <x:v>NOT IN CURRENT</x:v>
      </x:c>
      <x:c r="G32" s="28" t="str">
        <x:v>Ramp</x:v>
      </x:c>
      <x:c r="H32" s="28" t="str">
        <x:v>IN (V2)</x:v>
      </x:c>
      <x:c r="I32" s="28" t="str">
        <x:v>Two-mana Forest ramp; faster and cleaner than several existing high-MV ramp pieces.</x:v>
      </x:c>
    </x:row>
    <x:row r="33">
      <x:c r="A33" s="28" t="str">
        <x:v>B</x:v>
      </x:c>
      <x:c r="B33" s="28" t="str">
        <x:v>Plague Myr</x:v>
      </x:c>
      <x:c r="C33" s="30" t="n">
        <x:v>8.1</x:v>
      </x:c>
      <x:c r="D33" s="30" t="n">
        <x:v>8.4</x:v>
      </x:c>
      <x:c r="E33" s="28" t="n">
        <x:v>2</x:v>
      </x:c>
      <x:c r="F33" s="28" t="str">
        <x:v>Dupla Função</x:v>
      </x:c>
      <x:c r="G33" s="28" t="str">
        <x:v>Dupla Função</x:v>
      </x:c>
      <x:c r="H33" s="28" t="str">
        <x:v>KEEP / TUNE</x:v>
      </x:c>
      <x:c r="I33" s="28" t="str">
        <x:v>Infect plus mana production is true role compression; it is an actual infect card, unlike toxic creatures.</x:v>
      </x:c>
    </x:row>
    <x:row r="34">
      <x:c r="A34" s="28" t="str">
        <x:v>B</x:v>
      </x:c>
      <x:c r="B34" s="28" t="str">
        <x:v>Thornweald Archer</x:v>
      </x:c>
      <x:c r="C34" s="30" t="n">
        <x:v>8.1</x:v>
      </x:c>
      <x:c r="D34" s="30" t="n">
        <x:v>8.4</x:v>
      </x:c>
      <x:c r="E34" s="28" t="n">
        <x:v>2</x:v>
      </x:c>
      <x:c r="F34" s="28" t="str">
        <x:v>Synergy</x:v>
      </x:c>
      <x:c r="G34" s="28" t="str">
        <x:v>Synergy</x:v>
      </x:c>
      <x:c r="H34" s="28" t="str">
        <x:v>KEEP / TUNE</x:v>
      </x:c>
      <x:c r="I34" s="28" t="str">
        <x:v>Two-mana reach/deathtouch body; good role fit and two useful keywords.</x:v>
      </x:c>
    </x:row>
    <x:row r="35">
      <x:c r="A35" s="28" t="str">
        <x:v>B</x:v>
      </x:c>
      <x:c r="B35" s="28" t="str">
        <x:v>Deadly Recluse</x:v>
      </x:c>
      <x:c r="C35" s="30" t="n">
        <x:v>8</x:v>
      </x:c>
      <x:c r="D35" s="30" t="n">
        <x:v>8.3</x:v>
      </x:c>
      <x:c r="E35" s="28" t="n">
        <x:v>2</x:v>
      </x:c>
      <x:c r="F35" s="28" t="str">
        <x:v>Synergy</x:v>
      </x:c>
      <x:c r="G35" s="28" t="str">
        <x:v>Synergy</x:v>
      </x:c>
      <x:c r="H35" s="28" t="str">
        <x:v>KEEP / TUNE</x:v>
      </x:c>
      <x:c r="I35" s="28" t="str">
        <x:v>Two-mana deathtouch/reach body; solid, although mostly defensive if the table can keep flyers away.</x:v>
      </x:c>
    </x:row>
    <x:row r="36">
      <x:c r="A36" s="28" t="str">
        <x:v>B</x:v>
      </x:c>
      <x:c r="B36" s="28" t="str">
        <x:v>Expand the Sphere</x:v>
      </x:c>
      <x:c r="C36" s="30" t="n">
        <x:v>8</x:v>
      </x:c>
      <x:c r="D36" s="30" t="n">
        <x:v>8.3</x:v>
      </x:c>
      <x:c r="E36" s="28" t="n">
        <x:v>3</x:v>
      </x:c>
      <x:c r="F36" s="28" t="str">
        <x:v>Ramp</x:v>
      </x:c>
      <x:c r="G36" s="28" t="str">
        <x:v>Proliferate</x:v>
      </x:c>
      <x:c r="H36" s="28" t="str">
        <x:v>KEEP / TUNE</x:v>
      </x:c>
      <x:c r="I36" s="28" t="str">
        <x:v>Ramp plus proliferate is valuable role compression; helps the deck develop and push existing poison totals.</x:v>
      </x:c>
    </x:row>
    <x:row r="37">
      <x:c r="A37" s="28" t="str">
        <x:v>B</x:v>
      </x:c>
      <x:c r="B37" s="28" t="str">
        <x:v>Venerated Rotpriest</x:v>
      </x:c>
      <x:c r="C37" s="30" t="str"/>
      <x:c r="D37" s="30" t="n">
        <x:v>8.3</x:v>
      </x:c>
      <x:c r="E37" s="28" t="n">
        <x:v>2</x:v>
      </x:c>
      <x:c r="F37" s="28" t="str">
        <x:v>NOT IN CURRENT</x:v>
      </x:c>
      <x:c r="G37" s="28" t="str">
        <x:v>Dupla Função</x:v>
      </x:c>
      <x:c r="H37" s="28" t="str">
        <x:v>IN (V2)</x:v>
      </x:c>
      <x:c r="I37" s="28" t="str">
        <x:v>Poison engine that rewards targeting your creatures; becomes more valuable with protection and pump spells.</x:v>
      </x:c>
    </x:row>
    <x:row r="38">
      <x:c r="A38" s="28" t="str">
        <x:v>B</x:v>
      </x:c>
      <x:c r="B38" s="28" t="str">
        <x:v>Inkmoth Nexus</x:v>
      </x:c>
      <x:c r="C38" s="30" t="str"/>
      <x:c r="D38" s="30" t="n">
        <x:v>8.2</x:v>
      </x:c>
      <x:c r="E38" s="28" t="n">
        <x:v>0</x:v>
      </x:c>
      <x:c r="F38" s="28" t="str">
        <x:v>Land</x:v>
      </x:c>
      <x:c r="G38" s="28" t="str">
        <x:v>Land</x:v>
      </x:c>
      <x:c r="H38" s="28" t="str">
        <x:v>LAND CORE</x:v>
      </x:c>
      <x:c r="I38" s="28" t="str">
        <x:v>Fit assessed by Land; see the group-level diagnosis and source record.</x:v>
      </x:c>
    </x:row>
    <x:row r="39">
      <x:c r="A39" s="28" t="str">
        <x:v>B</x:v>
      </x:c>
      <x:c r="B39" s="28" t="str">
        <x:v>Snakeskin Veil</x:v>
      </x:c>
      <x:c r="C39" s="30" t="n">
        <x:v>8.1</x:v>
      </x:c>
      <x:c r="D39" s="30" t="n">
        <x:v>8.2</x:v>
      </x:c>
      <x:c r="E39" s="28" t="n">
        <x:v>1</x:v>
      </x:c>
      <x:c r="F39" s="28" t="str">
        <x:v>Protection</x:v>
      </x:c>
      <x:c r="G39" s="28" t="str">
        <x:v>Protection</x:v>
      </x:c>
      <x:c r="H39" s="28" t="str">
        <x:v>KEEP / TUNE</x:v>
      </x:c>
      <x:c r="I39" s="28" t="str">
        <x:v>One-mana protection that can also add a counter; efficient, preserves the turn's attack.</x:v>
      </x:c>
    </x:row>
    <x:row r="40">
      <x:c r="A40" s="28" t="str">
        <x:v>B</x:v>
      </x:c>
      <x:c r="B40" s="28" t="str">
        <x:v>Explore</x:v>
      </x:c>
      <x:c r="C40" s="30" t="n">
        <x:v>8</x:v>
      </x:c>
      <x:c r="D40" s="30" t="n">
        <x:v>8.1</x:v>
      </x:c>
      <x:c r="E40" s="28" t="n">
        <x:v>2</x:v>
      </x:c>
      <x:c r="F40" s="28" t="str">
        <x:v>Ramp</x:v>
      </x:c>
      <x:c r="G40" s="28" t="str">
        <x:v>Ramp</x:v>
      </x:c>
      <x:c r="H40" s="28" t="str">
        <x:v>KEEP / TUNE</x:v>
      </x:c>
      <x:c r="I40" s="28" t="str">
        <x:v>Cheap ramp plus a card; good tempo and smooths land drops.</x:v>
      </x:c>
    </x:row>
    <x:row r="41">
      <x:c r="A41" s="28" t="str">
        <x:v>B</x:v>
      </x:c>
      <x:c r="B41" s="28" t="str">
        <x:v>Branchblight Stalker</x:v>
      </x:c>
      <x:c r="C41" s="30" t="n">
        <x:v>7.8</x:v>
      </x:c>
      <x:c r="D41" s="30" t="n">
        <x:v>7.8999999999999995</x:v>
      </x:c>
      <x:c r="E41" s="28" t="n">
        <x:v>2</x:v>
      </x:c>
      <x:c r="F41" s="28" t="str">
        <x:v>Synergy</x:v>
      </x:c>
      <x:c r="G41" s="28" t="str">
        <x:v>Buff + WinCon</x:v>
      </x:c>
      <x:c r="H41" s="28" t="str">
        <x:v>KEEP / TUNE</x:v>
      </x:c>
      <x:c r="I41" s="28" t="str">
        <x:v>Toxic 2 pressure at two mana, but it does not have deathtouch and therefore does not trigger Fynn by itself.</x:v>
      </x:c>
    </x:row>
    <x:row r="42">
      <x:c r="A42" s="28" t="str">
        <x:v>B</x:v>
      </x:c>
      <x:c r="B42" s="28" t="str">
        <x:v>Lifecrafter's Bestiary</x:v>
      </x:c>
      <x:c r="C42" s="30" t="n">
        <x:v>7.8</x:v>
      </x:c>
      <x:c r="D42" s="30" t="n">
        <x:v>7.8999999999999995</x:v>
      </x:c>
      <x:c r="E42" s="28" t="n">
        <x:v>3</x:v>
      </x:c>
      <x:c r="F42" s="28" t="str">
        <x:v>Draw</x:v>
      </x:c>
      <x:c r="G42" s="28" t="str">
        <x:v>Draw</x:v>
      </x:c>
      <x:c r="H42" s="28" t="str">
        <x:v>KEEP / TUNE</x:v>
      </x:c>
      <x:c r="I42" s="28" t="str">
        <x:v>Repeatable selection and conditional draw; helps avoid running out of gas in creature-heavy games.</x:v>
      </x:c>
    </x:row>
    <x:row r="43">
      <x:c r="A43" s="28" t="str">
        <x:v>B</x:v>
      </x:c>
      <x:c r="B43" s="28" t="str">
        <x:v>Hornet Queen</x:v>
      </x:c>
      <x:c r="C43" s="30" t="n">
        <x:v>7.7</x:v>
      </x:c>
      <x:c r="D43" s="30" t="n">
        <x:v>7.8</x:v>
      </x:c>
      <x:c r="E43" s="28" t="n">
        <x:v>7</x:v>
      </x:c>
      <x:c r="F43" s="28" t="str">
        <x:v>Dupla Função</x:v>
      </x:c>
      <x:c r="G43" s="28" t="str">
        <x:v>Dupla Função</x:v>
      </x:c>
      <x:c r="H43" s="28" t="str">
        <x:v>KEEP / TUNE</x:v>
      </x:c>
      <x:c r="I43" s="28" t="str">
        <x:v>Seven mana but creates four flying deathtouch bodies, providing evasive Fynn triggers and a resilient top end; keep as the one expensive exception for now.</x:v>
      </x:c>
    </x:row>
    <x:row r="44">
      <x:c r="A44" s="28" t="str">
        <x:v>B</x:v>
      </x:c>
      <x:c r="B44" s="28" t="str">
        <x:v>Horrid Vigor</x:v>
      </x:c>
      <x:c r="C44" s="30" t="n">
        <x:v>7.5</x:v>
      </x:c>
      <x:c r="D44" s="30" t="n">
        <x:v>7.8</x:v>
      </x:c>
      <x:c r="E44" s="28" t="n">
        <x:v>2</x:v>
      </x:c>
      <x:c r="F44" s="28" t="str">
        <x:v>Protection</x:v>
      </x:c>
      <x:c r="G44" s="28" t="str">
        <x:v>Protection</x:v>
      </x:c>
      <x:c r="H44" s="28" t="str">
        <x:v>KEEP / TUNE</x:v>
      </x:c>
      <x:c r="I44" s="28" t="str">
        <x:v>Two-mana targeted deathtouch plus indestructible; protects a key creature and can enable Fynn when needed.</x:v>
      </x:c>
    </x:row>
    <x:row r="45">
      <x:c r="A45" s="28" t="str">
        <x:v>B</x:v>
      </x:c>
      <x:c r="B45" s="28" t="str">
        <x:v>Swiftfoot Boots</x:v>
      </x:c>
      <x:c r="C45" s="30" t="n">
        <x:v>7.6</x:v>
      </x:c>
      <x:c r="D45" s="30" t="n">
        <x:v>7.699999999999999</x:v>
      </x:c>
      <x:c r="E45" s="28" t="n">
        <x:v>2</x:v>
      </x:c>
      <x:c r="F45" s="28" t="str">
        <x:v>Protection</x:v>
      </x:c>
      <x:c r="G45" s="28" t="str">
        <x:v>Protection</x:v>
      </x:c>
      <x:c r="H45" s="28" t="str">
        <x:v>KEEP / TUNE</x:v>
      </x:c>
      <x:c r="I45" s="28" t="str">
        <x:v>Haste/protection equipment; keep as protection redundancy, though equip 1 is slower than Greaves.</x:v>
      </x:c>
    </x:row>
    <x:row r="46">
      <x:c r="A46" s="28" t="str">
        <x:v>B</x:v>
      </x:c>
      <x:c r="B46" s="28" t="str">
        <x:v>Contagion Clasp</x:v>
      </x:c>
      <x:c r="C46" s="30" t="str"/>
      <x:c r="D46" s="30" t="n">
        <x:v>7.6</x:v>
      </x:c>
      <x:c r="E46" s="28" t="n">
        <x:v>2</x:v>
      </x:c>
      <x:c r="F46" s="28" t="str">
        <x:v>NOT IN CURRENT</x:v>
      </x:c>
      <x:c r="G46" s="28" t="str">
        <x:v>Proliferate</x:v>
      </x:c>
      <x:c r="H46" s="28" t="str">
        <x:v>IN (V2)</x:v>
      </x:c>
      <x:c r="I46" s="28" t="str">
        <x:v>Two-mana proliferate artifact with an optional later activation; cheaper entry than Contagion Engine.</x:v>
      </x:c>
    </x:row>
    <x:row r="47">
      <x:c r="A47" s="28" t="str">
        <x:v>B</x:v>
      </x:c>
      <x:c r="B47" s="28" t="str">
        <x:v>Kodama's Reach</x:v>
      </x:c>
      <x:c r="C47" s="30" t="n">
        <x:v>7.5</x:v>
      </x:c>
      <x:c r="D47" s="30" t="n">
        <x:v>7.6</x:v>
      </x:c>
      <x:c r="E47" s="28" t="n">
        <x:v>3</x:v>
      </x:c>
      <x:c r="F47" s="28" t="str">
        <x:v>Ramp</x:v>
      </x:c>
      <x:c r="G47" s="28" t="str">
        <x:v>Ramp</x:v>
      </x:c>
      <x:c r="H47" s="28" t="str">
        <x:v>KEEP / TUNE</x:v>
      </x:c>
      <x:c r="I47" s="28" t="str">
        <x:v>Reliable land ramp, but the three-mana sorcery is slower than one- and two-mana options.</x:v>
      </x:c>
    </x:row>
    <x:row r="48">
      <x:c r="A48" s="28" t="str">
        <x:v>B</x:v>
      </x:c>
      <x:c r="B48" s="28" t="str">
        <x:v>Return of the Wildspeaker</x:v>
      </x:c>
      <x:c r="C48" s="30" t="n">
        <x:v>7.5</x:v>
      </x:c>
      <x:c r="D48" s="30" t="n">
        <x:v>7.6</x:v>
      </x:c>
      <x:c r="E48" s="28" t="n">
        <x:v>5</x:v>
      </x:c>
      <x:c r="F48" s="28" t="str">
        <x:v>Draw</x:v>
      </x:c>
      <x:c r="G48" s="28" t="str">
        <x:v>Draw</x:v>
      </x:c>
      <x:c r="H48" s="28" t="str">
        <x:v>KEEP / TUNE</x:v>
      </x:c>
      <x:c r="I48" s="28" t="str">
        <x:v>Can refill based on the biggest non-Human creature or act as a board buff; good flexibility but five mana.</x:v>
      </x:c>
    </x:row>
    <x:row r="49">
      <x:c r="A49" s="28" t="str">
        <x:v>B</x:v>
      </x:c>
      <x:c r="B49" s="28" t="str">
        <x:v>Tome of Legends</x:v>
      </x:c>
      <x:c r="C49" s="30" t="n">
        <x:v>7.5</x:v>
      </x:c>
      <x:c r="D49" s="30" t="n">
        <x:v>7.6</x:v>
      </x:c>
      <x:c r="E49" s="28" t="n">
        <x:v>2</x:v>
      </x:c>
      <x:c r="F49" s="28" t="str">
        <x:v>Draw</x:v>
      </x:c>
      <x:c r="G49" s="28" t="str">
        <x:v>Draw</x:v>
      </x:c>
      <x:c r="H49" s="28" t="str">
        <x:v>KEEP / TUNE</x:v>
      </x:c>
      <x:c r="I49" s="28" t="str">
        <x:v>Low-cost repeatable card draw in a commander that can attack early.</x:v>
      </x:c>
    </x:row>
    <x:row r="50">
      <x:c r="A50" s="28" t="str">
        <x:v>B</x:v>
      </x:c>
      <x:c r="B50" s="28" t="str">
        <x:v>Insidious Fungus</x:v>
      </x:c>
      <x:c r="C50" s="30" t="n">
        <x:v>7.4</x:v>
      </x:c>
      <x:c r="D50" s="30" t="n">
        <x:v>7.5</x:v>
      </x:c>
      <x:c r="E50" s="28" t="n">
        <x:v>2</x:v>
      </x:c>
      <x:c r="F50" s="28" t="str">
        <x:v>Dupla Função</x:v>
      </x:c>
      <x:c r="G50" s="28" t="str">
        <x:v>Removal</x:v>
      </x:c>
      <x:c r="H50" s="28" t="str">
        <x:v>KEEP / TUNE</x:v>
      </x:c>
      <x:c r="I50" s="28" t="str">
        <x:v>Low-cost modal utility with a useful body; excellent flexibility, though not every mode directly advances poison.</x:v>
      </x:c>
    </x:row>
    <x:row r="51">
      <x:c r="A51" s="28" t="str">
        <x:v>C</x:v>
      </x:c>
      <x:c r="B51" s="28" t="str">
        <x:v>Enduring Vitality</x:v>
      </x:c>
      <x:c r="C51" s="30" t="n">
        <x:v>7.3</x:v>
      </x:c>
      <x:c r="D51" s="30" t="n">
        <x:v>7.3999999999999995</x:v>
      </x:c>
      <x:c r="E51" s="28" t="n">
        <x:v>3</x:v>
      </x:c>
      <x:c r="F51" s="28" t="str">
        <x:v>Ramp</x:v>
      </x:c>
      <x:c r="G51" s="28" t="str">
        <x:v>Ramp</x:v>
      </x:c>
      <x:c r="H51" s="28" t="str">
        <x:v>KEEP / TUNE</x:v>
      </x:c>
      <x:c r="I51" s="28" t="str">
        <x:v>Ramp engine with resilience, but using creatures for mana can compete with attacking; still a strong three-mana engine.</x:v>
      </x:c>
    </x:row>
    <x:row r="52">
      <x:c r="A52" s="28" t="str">
        <x:v>C</x:v>
      </x:c>
      <x:c r="B52" s="28" t="str">
        <x:v>Arcane Signet</x:v>
      </x:c>
      <x:c r="C52" s="30" t="n">
        <x:v>7.2</x:v>
      </x:c>
      <x:c r="D52" s="30" t="n">
        <x:v>7.3</x:v>
      </x:c>
      <x:c r="E52" s="28" t="n">
        <x:v>2</x:v>
      </x:c>
      <x:c r="F52" s="28" t="str">
        <x:v>Ramp</x:v>
      </x:c>
      <x:c r="G52" s="28" t="str">
        <x:v>Ramp</x:v>
      </x:c>
      <x:c r="H52" s="28" t="str">
        <x:v>KEEP / TUNE</x:v>
      </x:c>
      <x:c r="I52" s="28" t="str">
        <x:v>Fit assessed by Ramp; see the group-level diagnosis and source record.</x:v>
      </x:c>
    </x:row>
    <x:row r="53">
      <x:c r="A53" s="28" t="str">
        <x:v>C</x:v>
      </x:c>
      <x:c r="B53" s="28" t="str">
        <x:v>Basilisk Collar</x:v>
      </x:c>
      <x:c r="C53" s="30" t="n">
        <x:v>7.2</x:v>
      </x:c>
      <x:c r="D53" s="30" t="n">
        <x:v>7.3</x:v>
      </x:c>
      <x:c r="E53" s="28" t="n">
        <x:v>1</x:v>
      </x:c>
      <x:c r="F53" s="28" t="str">
        <x:v>Dupla Função</x:v>
      </x:c>
      <x:c r="G53" s="28" t="str">
        <x:v>Dupla Função</x:v>
      </x:c>
      <x:c r="H53" s="28" t="str">
        <x:v>KEEP / TUNE</x:v>
      </x:c>
      <x:c r="I53" s="28" t="str">
        <x:v>Grants deathtouch to creatures that lack it and lifelink; the deathtouch half can unlock Fynn triggers.</x:v>
      </x:c>
    </x:row>
    <x:row r="54">
      <x:c r="A54" s="28" t="str">
        <x:v>C</x:v>
      </x:c>
      <x:c r="B54" s="28" t="str">
        <x:v>Glistening Sphere</x:v>
      </x:c>
      <x:c r="C54" s="30" t="n">
        <x:v>7.2</x:v>
      </x:c>
      <x:c r="D54" s="30" t="n">
        <x:v>7.3</x:v>
      </x:c>
      <x:c r="E54" s="28" t="n">
        <x:v>3</x:v>
      </x:c>
      <x:c r="F54" s="28" t="str">
        <x:v>Ramp</x:v>
      </x:c>
      <x:c r="G54" s="28" t="str">
        <x:v>Dupla Função</x:v>
      </x:c>
      <x:c r="H54" s="28" t="str">
        <x:v>KEEP / TUNE</x:v>
      </x:c>
      <x:c r="I54" s="28" t="str">
        <x:v>Three-mana ramp plus ETB proliferate; useful dual function but a little slow for an aggro curve.</x:v>
      </x:c>
    </x:row>
    <x:row r="55">
      <x:c r="A55" s="28" t="str">
        <x:v>C</x:v>
      </x:c>
      <x:c r="B55" s="28" t="str">
        <x:v>Yavimaya Elder</x:v>
      </x:c>
      <x:c r="C55" s="30" t="n">
        <x:v>7.2</x:v>
      </x:c>
      <x:c r="D55" s="30" t="n">
        <x:v>7.3</x:v>
      </x:c>
      <x:c r="E55" s="28" t="n">
        <x:v>3</x:v>
      </x:c>
      <x:c r="F55" s="28" t="str">
        <x:v>Dupla Função</x:v>
      </x:c>
      <x:c r="G55" s="28" t="str">
        <x:v>Dupla Função</x:v>
      </x:c>
      <x:c r="H55" s="28" t="str">
        <x:v>KEEP / TUNE</x:v>
      </x:c>
      <x:c r="I55" s="28" t="str">
        <x:v>Land-finding plus cards on death is useful role compression but slow.</x:v>
      </x:c>
    </x:row>
    <x:row r="56">
      <x:c r="A56" s="28" t="str">
        <x:v>C</x:v>
      </x:c>
      <x:c r="B56" s="28" t="str">
        <x:v>Trailblazer's Boots</x:v>
      </x:c>
      <x:c r="C56" s="30" t="str"/>
      <x:c r="D56" s="30" t="n">
        <x:v>7.2</x:v>
      </x:c>
      <x:c r="E56" s="28" t="n">
        <x:v>2</x:v>
      </x:c>
      <x:c r="F56" s="28" t="str">
        <x:v>NOT IN CURRENT</x:v>
      </x:c>
      <x:c r="G56" s="28" t="str">
        <x:v>Dupla Função</x:v>
      </x:c>
      <x:c r="H56" s="28" t="str">
        <x:v>IN (V2)</x:v>
      </x:c>
      <x:c r="I56" s="28" t="str">
        <x:v>Equipment-based nonbasic landwalk offers a way for a small deathtouch creature to connect; table-dependent but useful evasion.</x:v>
      </x:c>
    </x:row>
    <x:row r="57">
      <x:c r="A57" s="28" t="str">
        <x:v>C</x:v>
      </x:c>
      <x:c r="B57" s="28" t="str">
        <x:v>Collective Resistance</x:v>
      </x:c>
      <x:c r="C57" s="30" t="n">
        <x:v>7.1</x:v>
      </x:c>
      <x:c r="D57" s="30" t="n">
        <x:v>7.199999999999999</x:v>
      </x:c>
      <x:c r="E57" s="28" t="n">
        <x:v>2</x:v>
      </x:c>
      <x:c r="F57" s="28" t="str">
        <x:v>Protection</x:v>
      </x:c>
      <x:c r="G57" s="28" t="str">
        <x:v>Protection</x:v>
      </x:c>
      <x:c r="H57" s="28" t="str">
        <x:v>KEEP / TUNE</x:v>
      </x:c>
      <x:c r="I57" s="28" t="str">
        <x:v>Modal protection/removal utility; retain as flexible interaction, but evaluate against the exact modes used in games.</x:v>
      </x:c>
    </x:row>
    <x:row r="58">
      <x:c r="A58" s="28" t="str">
        <x:v>C</x:v>
      </x:c>
      <x:c r="B58" s="28" t="str">
        <x:v>Harmonize</x:v>
      </x:c>
      <x:c r="C58" s="30" t="n">
        <x:v>7</x:v>
      </x:c>
      <x:c r="D58" s="30" t="n">
        <x:v>7.1</x:v>
      </x:c>
      <x:c r="E58" s="28" t="n">
        <x:v>4</x:v>
      </x:c>
      <x:c r="F58" s="28" t="str">
        <x:v>Draw</x:v>
      </x:c>
      <x:c r="G58" s="28" t="str">
        <x:v>Draw</x:v>
      </x:c>
      <x:c r="H58" s="28" t="str">
        <x:v>KEEP / TUNE</x:v>
      </x:c>
      <x:c r="I58" s="28" t="str">
        <x:v>Four mana for three cards is dependable, though sorcery-speed and not synergistic with combat.</x:v>
      </x:c>
    </x:row>
    <x:row r="59">
      <x:c r="A59" s="28" t="str">
        <x:v>C</x:v>
      </x:c>
      <x:c r="B59" s="28" t="str">
        <x:v>Pollenbright Druid</x:v>
      </x:c>
      <x:c r="C59" s="30" t="n">
        <x:v>6.7</x:v>
      </x:c>
      <x:c r="D59" s="30" t="n">
        <x:v>7</x:v>
      </x:c>
      <x:c r="E59" s="28" t="n">
        <x:v>2</x:v>
      </x:c>
      <x:c r="F59" s="28" t="str">
        <x:v>Proliferate</x:v>
      </x:c>
      <x:c r="G59" s="28" t="str">
        <x:v>Proliferate</x:v>
      </x:c>
      <x:c r="H59" s="28" t="str">
        <x:v>KEEP / TUNE</x:v>
      </x:c>
      <x:c r="I59" s="28" t="str">
        <x:v>Two-mana ETB may add a +1/+1 counter or proliferate; flexible, but low raw impact.</x:v>
      </x:c>
    </x:row>
    <x:row r="60">
      <x:c r="A60" s="28" t="str">
        <x:v>C</x:v>
      </x:c>
      <x:c r="B60" s="28" t="str">
        <x:v>Endless Atlas</x:v>
      </x:c>
      <x:c r="C60" s="30" t="n">
        <x:v>6.8</x:v>
      </x:c>
      <x:c r="D60" s="30" t="n">
        <x:v>6.8999999999999995</x:v>
      </x:c>
      <x:c r="E60" s="28" t="n">
        <x:v>2</x:v>
      </x:c>
      <x:c r="F60" s="28" t="str">
        <x:v>Draw</x:v>
      </x:c>
      <x:c r="G60" s="28" t="str">
        <x:v>Draw</x:v>
      </x:c>
      <x:c r="H60" s="28" t="str">
        <x:v>KEEP / TUNE</x:v>
      </x:c>
      <x:c r="I60" s="28" t="str">
        <x:v>Repeatable draw is enabled by the heavy basic-Forest base; keep as slow but reliable gas.</x:v>
      </x:c>
    </x:row>
    <x:row r="61">
      <x:c r="A61" s="28" t="str">
        <x:v>C</x:v>
      </x:c>
      <x:c r="B61" s="28" t="str">
        <x:v>Acidic Slime</x:v>
      </x:c>
      <x:c r="C61" s="30" t="n">
        <x:v>6.7</x:v>
      </x:c>
      <x:c r="D61" s="30" t="n">
        <x:v>6.8</x:v>
      </x:c>
      <x:c r="E61" s="28" t="n">
        <x:v>5</x:v>
      </x:c>
      <x:c r="F61" s="28" t="str">
        <x:v>Removal</x:v>
      </x:c>
      <x:c r="G61" s="28" t="str">
        <x:v>Removal</x:v>
      </x:c>
      <x:c r="H61" s="28" t="str">
        <x:v>KEEP / TUNE</x:v>
      </x:c>
      <x:c r="I61" s="28" t="str">
        <x:v>Useful flexible artifact/enchantment/land removal attached to deathtouch, but five mana is expensive for the aggro plan.</x:v>
      </x:c>
    </x:row>
    <x:row r="62">
      <x:c r="A62" s="28" t="str">
        <x:v>C</x:v>
      </x:c>
      <x:c r="B62" s="28" t="str">
        <x:v>Bushwhack</x:v>
      </x:c>
      <x:c r="C62" s="30" t="n">
        <x:v>6.7</x:v>
      </x:c>
      <x:c r="D62" s="30" t="n">
        <x:v>6.8</x:v>
      </x:c>
      <x:c r="E62" s="28" t="n">
        <x:v>1</x:v>
      </x:c>
      <x:c r="F62" s="28" t="str">
        <x:v>Removal</x:v>
      </x:c>
      <x:c r="G62" s="28" t="str">
        <x:v>Removal</x:v>
      </x:c>
      <x:c r="H62" s="28" t="str">
        <x:v>KEEP / TUNE</x:v>
      </x:c>
      <x:c r="I62" s="28" t="str">
        <x:v>One mana for basic-land selection or conditional fight removal; role compression helps.</x:v>
      </x:c>
    </x:row>
    <x:row r="63">
      <x:c r="A63" s="28" t="str">
        <x:v>C</x:v>
      </x:c>
      <x:c r="B63" s="28" t="str">
        <x:v>Natural Reclamation</x:v>
      </x:c>
      <x:c r="C63" s="30" t="n">
        <x:v>6.7</x:v>
      </x:c>
      <x:c r="D63" s="30" t="n">
        <x:v>6.8</x:v>
      </x:c>
      <x:c r="E63" s="28" t="n">
        <x:v>4</x:v>
      </x:c>
      <x:c r="F63" s="28" t="str">
        <x:v>Removal</x:v>
      </x:c>
      <x:c r="G63" s="28" t="str">
        <x:v>Removal</x:v>
      </x:c>
      <x:c r="H63" s="28" t="str">
        <x:v>KEEP / TUNE</x:v>
      </x:c>
      <x:c r="I63" s="28" t="str">
        <x:v>Flexible artifact/enchantment interaction with cascade; four mana makes it a flexible but slower answer.</x:v>
      </x:c>
    </x:row>
    <x:row r="64">
      <x:c r="A64" s="28" t="str">
        <x:v>C</x:v>
      </x:c>
      <x:c r="B64" s="28" t="str">
        <x:v>Pick Your Poison</x:v>
      </x:c>
      <x:c r="C64" s="30" t="n">
        <x:v>6.7</x:v>
      </x:c>
      <x:c r="D64" s="30" t="n">
        <x:v>6.8</x:v>
      </x:c>
      <x:c r="E64" s="28" t="n">
        <x:v>1</x:v>
      </x:c>
      <x:c r="F64" s="28" t="str">
        <x:v>Removal</x:v>
      </x:c>
      <x:c r="G64" s="28" t="str">
        <x:v>Removal</x:v>
      </x:c>
      <x:c r="H64" s="28" t="str">
        <x:v>KEEP / TUNE</x:v>
      </x:c>
      <x:c r="I64" s="28" t="str">
        <x:v>One-mana choice-based answer is efficient, especially against flyers or enchantments; matchup-dependent.</x:v>
      </x:c>
    </x:row>
    <x:row r="65">
      <x:c r="A65" s="28" t="str">
        <x:v>C</x:v>
      </x:c>
      <x:c r="B65" s="28" t="str">
        <x:v>Adaptive Sporesinger</x:v>
      </x:c>
      <x:c r="C65" s="30" t="n">
        <x:v>6.6</x:v>
      </x:c>
      <x:c r="D65" s="30" t="n">
        <x:v>6.699999999999999</x:v>
      </x:c>
      <x:c r="E65" s="28" t="n">
        <x:v>3</x:v>
      </x:c>
      <x:c r="F65" s="28" t="str">
        <x:v>Proliferate</x:v>
      </x:c>
      <x:c r="G65" s="28" t="str">
        <x:v>Proliferate</x:v>
      </x:c>
      <x:c r="H65" s="28" t="str">
        <x:v>KEEP / TUNE</x:v>
      </x:c>
      <x:c r="I65" s="28" t="str">
        <x:v>Three-mana 2/2 with vigilance; ETB chooses +2/+2 and vigilance or proliferate. Flexible but modest body.</x:v>
      </x:c>
    </x:row>
    <x:row r="66">
      <x:c r="A66" s="28" t="str">
        <x:v>C</x:v>
      </x:c>
      <x:c r="B66" s="28" t="str">
        <x:v>Strength in Numbers</x:v>
      </x:c>
      <x:c r="C66" s="30" t="n">
        <x:v>6.6</x:v>
      </x:c>
      <x:c r="D66" s="30" t="n">
        <x:v>6.699999999999999</x:v>
      </x:c>
      <x:c r="E66" s="28" t="n">
        <x:v>1</x:v>
      </x:c>
      <x:c r="F66" s="28" t="str">
        <x:v>Buff + WinCon</x:v>
      </x:c>
      <x:c r="G66" s="28" t="str">
        <x:v>Buff + WinCon</x:v>
      </x:c>
      <x:c r="H66" s="28" t="str">
        <x:v>KEEP / TUNE</x:v>
      </x:c>
      <x:c r="I66" s="28" t="str">
        <x:v>Cheap combat trick with trample scaling by attackers; can help deathtouch creatures assign lethal to blockers and push poison through.</x:v>
      </x:c>
    </x:row>
    <x:row r="67">
      <x:c r="A67" s="28" t="str">
        <x:v>C</x:v>
      </x:c>
      <x:c r="B67" s="28" t="str">
        <x:v>Disorienting Choice</x:v>
      </x:c>
      <x:c r="C67" s="30" t="n">
        <x:v>6.4</x:v>
      </x:c>
      <x:c r="D67" s="30" t="n">
        <x:v>6.5</x:v>
      </x:c>
      <x:c r="E67" s="28" t="n">
        <x:v>4</x:v>
      </x:c>
      <x:c r="F67" s="28" t="str">
        <x:v>Removal</x:v>
      </x:c>
      <x:c r="G67" s="28" t="str">
        <x:v>Removal</x:v>
      </x:c>
      <x:c r="H67" s="28" t="str">
        <x:v>KEEP / TUNE</x:v>
      </x:c>
      <x:c r="I67" s="28" t="str">
        <x:v>Four-mana removal-adjacent ramp spell dependent on opponents' artifacts/enchantments and their choices; high variance.</x:v>
      </x:c>
    </x:row>
    <x:row r="68">
      <x:c r="A68" s="28" t="str">
        <x:v>C</x:v>
      </x:c>
      <x:c r="B68" s="28" t="str">
        <x:v>Mask of Avacyn</x:v>
      </x:c>
      <x:c r="C68" s="30" t="n">
        <x:v>7</x:v>
      </x:c>
      <x:c r="D68" s="30" t="str"/>
      <x:c r="E68" s="28" t="n">
        <x:v>2</x:v>
      </x:c>
      <x:c r="F68" s="28" t="str">
        <x:v>Protection</x:v>
      </x:c>
      <x:c r="G68" s="28" t="str">
        <x:v>OUT / NOT IN V2</x:v>
      </x:c>
      <x:c r="H68" s="28" t="str">
        <x:v>OUT (V2)</x:v>
      </x:c>
      <x:c r="I68" s="28" t="str">
        <x:v>Useful hexproof, but equip tempo is worse than one-mana protection spells.</x:v>
      </x:c>
    </x:row>
    <x:row r="69">
      <x:c r="A69" s="28" t="str">
        <x:v>D</x:v>
      </x:c>
      <x:c r="B69" s="28" t="str">
        <x:v>Aspect of Hydra</x:v>
      </x:c>
      <x:c r="C69" s="30" t="n">
        <x:v>6</x:v>
      </x:c>
      <x:c r="D69" s="30" t="n">
        <x:v>6.1</x:v>
      </x:c>
      <x:c r="E69" s="28" t="n">
        <x:v>1</x:v>
      </x:c>
      <x:c r="F69" s="28" t="str">
        <x:v>Buff + WinCon</x:v>
      </x:c>
      <x:c r="G69" s="28" t="str">
        <x:v>Buff + WinCon</x:v>
      </x:c>
      <x:c r="H69" s="28" t="str">
        <x:v>KEEP / TUNE</x:v>
      </x:c>
      <x:c r="I69" s="28" t="str">
        <x:v>Cheap pump spell; only adds poison if it helps an infect creature connect, otherwise the extra power does not scale Fynn's fixed +2 counters.</x:v>
      </x:c>
    </x:row>
    <x:row r="70">
      <x:c r="A70" s="28" t="str">
        <x:v>D</x:v>
      </x:c>
      <x:c r="B70" s="28" t="str">
        <x:v>Beanstalk Giant</x:v>
      </x:c>
      <x:c r="C70" s="30" t="n">
        <x:v>6</x:v>
      </x:c>
      <x:c r="D70" s="30" t="n">
        <x:v>6.1</x:v>
      </x:c>
      <x:c r="E70" s="28" t="n">
        <x:v>7</x:v>
      </x:c>
      <x:c r="F70" s="28" t="str">
        <x:v>Ramp</x:v>
      </x:c>
      <x:c r="G70" s="28" t="str">
        <x:v>Ramp</x:v>
      </x:c>
      <x:c r="H70" s="28" t="str">
        <x:v>KEEP / TUNE</x:v>
      </x:c>
      <x:c r="I70" s="28" t="str">
        <x:v>Adventure side ramps, but the creature side is a seven-mana top end; flexible but slow.</x:v>
      </x:c>
    </x:row>
    <x:row r="71">
      <x:c r="A71" s="28" t="str">
        <x:v>D</x:v>
      </x:c>
      <x:c r="B71" s="28" t="str">
        <x:v>Blighted Woodland</x:v>
      </x:c>
      <x:c r="C71" s="30" t="n">
        <x:v>6</x:v>
      </x:c>
      <x:c r="D71" s="30" t="n">
        <x:v>6.1</x:v>
      </x:c>
      <x:c r="E71" s="28" t="n">
        <x:v>0</x:v>
      </x:c>
      <x:c r="F71" s="28" t="str">
        <x:v>Land</x:v>
      </x:c>
      <x:c r="G71" s="28" t="str">
        <x:v>Land</x:v>
      </x:c>
      <x:c r="H71" s="28" t="str">
        <x:v>LAND CORE</x:v>
      </x:c>
      <x:c r="I71" s="28" t="str">
        <x:v>Fit assessed by Land; see the group-level diagnosis and source record.</x:v>
      </x:c>
    </x:row>
    <x:row r="72">
      <x:c r="A72" s="28" t="str">
        <x:v>D</x:v>
      </x:c>
      <x:c r="B72" s="28" t="str">
        <x:v>Forest</x:v>
      </x:c>
      <x:c r="C72" s="30" t="n">
        <x:v>6</x:v>
      </x:c>
      <x:c r="D72" s="30" t="n">
        <x:v>6.1</x:v>
      </x:c>
      <x:c r="E72" s="28" t="n">
        <x:v>0</x:v>
      </x:c>
      <x:c r="F72" s="28" t="str">
        <x:v>Land</x:v>
      </x:c>
      <x:c r="G72" s="28" t="str">
        <x:v>Land</x:v>
      </x:c>
      <x:c r="H72" s="28" t="str">
        <x:v>LAND CORE</x:v>
      </x:c>
      <x:c r="I72" s="28" t="str">
        <x:v>Fit assessed by Land; see the group-level diagnosis and source record.</x:v>
      </x:c>
    </x:row>
    <x:row r="73">
      <x:c r="A73" s="28" t="str">
        <x:v>D</x:v>
      </x:c>
      <x:c r="B73" s="28" t="str">
        <x:v>Karametra's Acolyte</x:v>
      </x:c>
      <x:c r="C73" s="30" t="n">
        <x:v>6</x:v>
      </x:c>
      <x:c r="D73" s="30" t="n">
        <x:v>6.1</x:v>
      </x:c>
      <x:c r="E73" s="28" t="n">
        <x:v>4</x:v>
      </x:c>
      <x:c r="F73" s="28" t="str">
        <x:v>Ramp</x:v>
      </x:c>
      <x:c r="G73" s="28" t="str">
        <x:v>Ramp</x:v>
      </x:c>
      <x:c r="H73" s="28" t="str">
        <x:v>KEEP / TUNE</x:v>
      </x:c>
      <x:c r="I73" s="28" t="str">
        <x:v>Can generate substantial mana in mono-green, but four mana is slow and devotion depends on board state.</x:v>
      </x:c>
    </x:row>
    <x:row r="74">
      <x:c r="A74" s="28" t="str">
        <x:v>D</x:v>
      </x:c>
      <x:c r="B74" s="28" t="str">
        <x:v>Karn's Bastion</x:v>
      </x:c>
      <x:c r="C74" s="30" t="n">
        <x:v>6</x:v>
      </x:c>
      <x:c r="D74" s="30" t="n">
        <x:v>6.1</x:v>
      </x:c>
      <x:c r="E74" s="28" t="n">
        <x:v>0</x:v>
      </x:c>
      <x:c r="F74" s="28" t="str">
        <x:v>Land</x:v>
      </x:c>
      <x:c r="G74" s="28" t="str">
        <x:v>Land</x:v>
      </x:c>
      <x:c r="H74" s="28" t="str">
        <x:v>LAND CORE</x:v>
      </x:c>
      <x:c r="I74" s="28" t="str">
        <x:v>Land-slot proliferate is valuable once poison counters exist; activation is expensive and the land is colorless.</x:v>
      </x:c>
    </x:row>
    <x:row r="75">
      <x:c r="A75" s="28" t="str">
        <x:v>D</x:v>
      </x:c>
      <x:c r="B75" s="28" t="str">
        <x:v>Myriad Landscape</x:v>
      </x:c>
      <x:c r="C75" s="30" t="n">
        <x:v>6</x:v>
      </x:c>
      <x:c r="D75" s="30" t="n">
        <x:v>6.1</x:v>
      </x:c>
      <x:c r="E75" s="28" t="n">
        <x:v>0</x:v>
      </x:c>
      <x:c r="F75" s="28" t="str">
        <x:v>Land</x:v>
      </x:c>
      <x:c r="G75" s="28" t="str">
        <x:v>Land</x:v>
      </x:c>
      <x:c r="H75" s="28" t="str">
        <x:v>LAND CORE</x:v>
      </x:c>
      <x:c r="I75" s="28" t="str">
        <x:v>Land ramp is slow (enters tapped and needs activation) but can provide a late land pair.</x:v>
      </x:c>
    </x:row>
    <x:row r="76">
      <x:c r="A76" s="28" t="str">
        <x:v>D</x:v>
      </x:c>
      <x:c r="B76" s="28" t="str">
        <x:v>Blackblade Reforged</x:v>
      </x:c>
      <x:c r="C76" s="30" t="n">
        <x:v>4</x:v>
      </x:c>
      <x:c r="D76" s="30" t="str"/>
      <x:c r="E76" s="28" t="n">
        <x:v>2</x:v>
      </x:c>
      <x:c r="F76" s="28" t="str">
        <x:v>Buff + WinCon</x:v>
      </x:c>
      <x:c r="G76" s="28" t="str">
        <x:v>OUT / NOT IN V2</x:v>
      </x:c>
      <x:c r="H76" s="28" t="str">
        <x:v>OUT (V2)</x:v>
      </x:c>
      <x:c r="I76" s="28" t="str">
        <x:v>Power scaling and equip costs are not the deck's core need; poison cares more about connecting than raw power unless the attacker has infect.</x:v>
      </x:c>
    </x:row>
    <x:row r="77">
      <x:c r="A77" s="28" t="str">
        <x:v>D</x:v>
      </x:c>
      <x:c r="B77" s="28" t="str">
        <x:v>Caged Sun</x:v>
      </x:c>
      <x:c r="C77" s="30" t="n">
        <x:v>4.5</x:v>
      </x:c>
      <x:c r="D77" s="30" t="str"/>
      <x:c r="E77" s="28" t="n">
        <x:v>6</x:v>
      </x:c>
      <x:c r="F77" s="28" t="str">
        <x:v>Ramp</x:v>
      </x:c>
      <x:c r="G77" s="28" t="str">
        <x:v>OUT / NOT IN V2</x:v>
      </x:c>
      <x:c r="H77" s="28" t="str">
        <x:v>OUT (V2)</x:v>
      </x:c>
      <x:c r="I77" s="28" t="str">
        <x:v>Six-mana ramp is too slow for the stated fast-aggro objective.</x:v>
      </x:c>
    </x:row>
    <x:row r="78">
      <x:c r="A78" s="28" t="str">
        <x:v>D</x:v>
      </x:c>
      <x:c r="B78" s="28" t="str">
        <x:v>Colossification</x:v>
      </x:c>
      <x:c r="C78" s="30" t="n">
        <x:v>2.7</x:v>
      </x:c>
      <x:c r="D78" s="30" t="str"/>
      <x:c r="E78" s="28" t="n">
        <x:v>7</x:v>
      </x:c>
      <x:c r="F78" s="28" t="str">
        <x:v>Buff + WinCon</x:v>
      </x:c>
      <x:c r="G78" s="28" t="str">
        <x:v>OUT / NOT IN V2</x:v>
      </x:c>
      <x:c r="H78" s="28" t="str">
        <x:v>OUT (V2)</x:v>
      </x:c>
      <x:c r="I78" s="28" t="str">
        <x:v>Seven-mana aura that taps its target on entry; +20/+20 rarely matters to Fynn's fixed poison trigger and exposes a two-for-one.</x:v>
      </x:c>
    </x:row>
    <x:row r="79">
      <x:c r="A79" s="28" t="str">
        <x:v>D</x:v>
      </x:c>
      <x:c r="B79" s="28" t="str">
        <x:v>Contagion Engine</x:v>
      </x:c>
      <x:c r="C79" s="30" t="n">
        <x:v>5</x:v>
      </x:c>
      <x:c r="D79" s="30" t="str"/>
      <x:c r="E79" s="28" t="n">
        <x:v>6</x:v>
      </x:c>
      <x:c r="F79" s="28" t="str">
        <x:v>Proliferate</x:v>
      </x:c>
      <x:c r="G79" s="28" t="str">
        <x:v>OUT / NOT IN V2</x:v>
      </x:c>
      <x:c r="H79" s="28" t="str">
        <x:v>OUT (V2)</x:v>
      </x:c>
      <x:c r="I79" s="28" t="str">
        <x:v>Powerful repeatable proliferate, but six-mana entry plus a four-mana activation is too slow as an early game plan.</x:v>
      </x:c>
    </x:row>
    <x:row r="80">
      <x:c r="A80" s="28" t="str">
        <x:v>D</x:v>
      </x:c>
      <x:c r="B80" s="28" t="str">
        <x:v>Courage in Crisis</x:v>
      </x:c>
      <x:c r="C80" s="30" t="n">
        <x:v>4.8</x:v>
      </x:c>
      <x:c r="D80" s="30" t="str"/>
      <x:c r="E80" s="28" t="n">
        <x:v>3</x:v>
      </x:c>
      <x:c r="F80" s="28" t="str">
        <x:v>Proliferate</x:v>
      </x:c>
      <x:c r="G80" s="28" t="str">
        <x:v>OUT / NOT IN V2</x:v>
      </x:c>
      <x:c r="H80" s="28" t="str">
        <x:v>OUT (V2)</x:v>
      </x:c>
      <x:c r="I80" s="28" t="str">
        <x:v>One-shot +1/+1 counter plus proliferate; too low-impact at three mana compared with repeatable engines.</x:v>
      </x:c>
    </x:row>
    <x:row r="81">
      <x:c r="A81" s="28" t="str">
        <x:v>D</x:v>
      </x:c>
      <x:c r="B81" s="28" t="str">
        <x:v>End-Raze Forerunners</x:v>
      </x:c>
      <x:c r="C81" s="30" t="n">
        <x:v>4.7</x:v>
      </x:c>
      <x:c r="D81" s="30" t="str"/>
      <x:c r="E81" s="28" t="n">
        <x:v>8</x:v>
      </x:c>
      <x:c r="F81" s="28" t="str">
        <x:v>Buff + WinCon</x:v>
      </x:c>
      <x:c r="G81" s="28" t="str">
        <x:v>OUT / NOT IN V2</x:v>
      </x:c>
      <x:c r="H81" s="28" t="str">
        <x:v>OUT (V2)</x:v>
      </x:c>
      <x:c r="I81" s="28" t="str">
        <x:v>Eight mana for a conventional combat finisher; not aligned with a poison-first plan.</x:v>
      </x:c>
    </x:row>
    <x:row r="82">
      <x:c r="A82" s="28" t="str">
        <x:v>D</x:v>
      </x:c>
      <x:c r="B82" s="28" t="str">
        <x:v>Ezuri's Predation</x:v>
      </x:c>
      <x:c r="C82" s="30" t="n">
        <x:v>4</x:v>
      </x:c>
      <x:c r="D82" s="30" t="str"/>
      <x:c r="E82" s="28" t="n">
        <x:v>8</x:v>
      </x:c>
      <x:c r="F82" s="28" t="str">
        <x:v>Removal</x:v>
      </x:c>
      <x:c r="G82" s="28" t="str">
        <x:v>OUT / NOT IN V2</x:v>
      </x:c>
      <x:c r="H82" s="28" t="str">
        <x:v>OUT (V2)</x:v>
      </x:c>
      <x:c r="I82" s="28" t="str">
        <x:v>Eight mana and a high variance board effect make it too slow for an aggressive strategy.</x:v>
      </x:c>
    </x:row>
    <x:row r="83">
      <x:c r="A83" s="28" t="str">
        <x:v>D</x:v>
      </x:c>
      <x:c r="B83" s="28" t="str">
        <x:v>Font of Mythos</x:v>
      </x:c>
      <x:c r="C83" s="30" t="n">
        <x:v>3</x:v>
      </x:c>
      <x:c r="D83" s="30" t="str"/>
      <x:c r="E83" s="28" t="n">
        <x:v>4</x:v>
      </x:c>
      <x:c r="F83" s="28" t="str">
        <x:v>Draw</x:v>
      </x:c>
      <x:c r="G83" s="28" t="str">
        <x:v>OUT / NOT IN V2</x:v>
      </x:c>
      <x:c r="H83" s="28" t="str">
        <x:v>OUT (V2)</x:v>
      </x:c>
      <x:c r="I83" s="28" t="str">
        <x:v>Global draw lets opponents reload along with you, undermining the plan to race them.</x:v>
      </x:c>
    </x:row>
    <x:row r="84">
      <x:c r="A84" s="28" t="str">
        <x:v>D</x:v>
      </x:c>
      <x:c r="B84" s="28" t="str">
        <x:v>Genesis Wave</x:v>
      </x:c>
      <x:c r="C84" s="30" t="n">
        <x:v>5.4</x:v>
      </x:c>
      <x:c r="D84" s="30" t="str"/>
      <x:c r="E84" s="28" t="n">
        <x:v>1</x:v>
      </x:c>
      <x:c r="F84" s="28" t="str">
        <x:v>Dupla Função</x:v>
      </x:c>
      <x:c r="G84" s="28" t="str">
        <x:v>OUT / NOT IN V2</x:v>
      </x:c>
      <x:c r="H84" s="28" t="str">
        <x:v>OUT (V2)</x:v>
      </x:c>
      <x:c r="I84" s="28" t="str">
        <x:v>Variable-cost top-end value spell; too slow and less reliable than direct combat/poison finishers.</x:v>
      </x:c>
    </x:row>
    <x:row r="85">
      <x:c r="A85" s="28" t="str">
        <x:v>D</x:v>
      </x:c>
      <x:c r="B85" s="28" t="str">
        <x:v>Loxodon Warhammer</x:v>
      </x:c>
      <x:c r="C85" s="30" t="n">
        <x:v>4.8</x:v>
      </x:c>
      <x:c r="D85" s="30" t="str"/>
      <x:c r="E85" s="28" t="n">
        <x:v>3</x:v>
      </x:c>
      <x:c r="F85" s="28" t="str">
        <x:v>Buff + WinCon</x:v>
      </x:c>
      <x:c r="G85" s="28" t="str">
        <x:v>OUT / NOT IN V2</x:v>
      </x:c>
      <x:c r="H85" s="28" t="str">
        <x:v>OUT (V2)</x:v>
      </x:c>
      <x:c r="I85" s="28" t="str">
        <x:v>Trample is relevant, but the total cast/equip investment is slow and lifelink/large power do not directly progress poison.</x:v>
      </x:c>
    </x:row>
    <x:row r="86">
      <x:c r="A86" s="28" t="str">
        <x:v>D</x:v>
      </x:c>
      <x:c r="B86" s="28" t="str">
        <x:v>Preposterous Proportions</x:v>
      </x:c>
      <x:c r="C86" s="30" t="n">
        <x:v>4</x:v>
      </x:c>
      <x:c r="D86" s="30" t="str"/>
      <x:c r="E86" s="28" t="n">
        <x:v>6</x:v>
      </x:c>
      <x:c r="F86" s="28" t="str">
        <x:v>Buff + WinCon</x:v>
      </x:c>
      <x:c r="G86" s="28" t="str">
        <x:v>OUT / NOT IN V2</x:v>
      </x:c>
      <x:c r="H86" s="28" t="str">
        <x:v>OUT (V2)</x:v>
      </x:c>
      <x:c r="I86" s="28" t="str">
        <x:v>Six mana for broad power/trample setup is expensive compared with a dedicated cheap poison finisher.</x:v>
      </x:c>
    </x:row>
    <x:row r="87">
      <x:c r="A87" s="28" t="str">
        <x:v>D</x:v>
      </x:c>
      <x:c r="B87" s="28" t="str">
        <x:v>Quietus Spike</x:v>
      </x:c>
      <x:c r="C87" s="30" t="n">
        <x:v>4.2</x:v>
      </x:c>
      <x:c r="D87" s="30" t="str"/>
      <x:c r="E87" s="28" t="n">
        <x:v>3</x:v>
      </x:c>
      <x:c r="F87" s="28" t="str">
        <x:v>Buff + WinCon</x:v>
      </x:c>
      <x:c r="G87" s="28" t="str">
        <x:v>OUT / NOT IN V2</x:v>
      </x:c>
      <x:c r="H87" s="28" t="str">
        <x:v>OUT (V2)</x:v>
      </x:c>
      <x:c r="I87" s="28" t="str">
        <x:v>Deathtouch/equipment is relevant, but halving life totals does not help a poison victory and equip costs are high.</x:v>
      </x:c>
    </x:row>
    <x:row r="88">
      <x:c r="A88" s="28" t="str">
        <x:v>D</x:v>
      </x:c>
      <x:c r="B88" s="28" t="str">
        <x:v>Scytheclaw</x:v>
      </x:c>
      <x:c r="C88" s="30" t="n">
        <x:v>3</x:v>
      </x:c>
      <x:c r="D88" s="30" t="str"/>
      <x:c r="E88" s="28" t="n">
        <x:v>3</x:v>
      </x:c>
      <x:c r="F88" s="28" t="str">
        <x:v>Buff + WinCon</x:v>
      </x:c>
      <x:c r="G88" s="28" t="str">
        <x:v>OUT / NOT IN V2</x:v>
      </x:c>
      <x:c r="H88" s="28" t="str">
        <x:v>OUT (V2)</x:v>
      </x:c>
      <x:c r="I88" s="28" t="str">
        <x:v>Equipment that halves life is disconnected from poison and costs too much time to deploy.</x:v>
      </x:c>
    </x:row>
    <x:row r="89">
      <x:c r="A89" s="28" t="str">
        <x:v>D</x:v>
      </x:c>
      <x:c r="B89" s="28" t="str">
        <x:v>Silklash Spider</x:v>
      </x:c>
      <x:c r="C89" s="30" t="n">
        <x:v>5</x:v>
      </x:c>
      <x:c r="D89" s="30" t="str"/>
      <x:c r="E89" s="28" t="n">
        <x:v>5</x:v>
      </x:c>
      <x:c r="F89" s="28" t="str">
        <x:v>Removal</x:v>
      </x:c>
      <x:c r="G89" s="28" t="str">
        <x:v>OUT / NOT IN V2</x:v>
      </x:c>
      <x:c r="H89" s="28" t="str">
        <x:v>OUT (V2)</x:v>
      </x:c>
      <x:c r="I89" s="28" t="str">
        <x:v>Five-mana anti-flyer tool; valuable in a flyer-heavy meta, but otherwise an expensive defensive slot.</x:v>
      </x:c>
    </x:row>
    <x:row r="90">
      <x:c r="A90" s="28" t="str">
        <x:v>D</x:v>
      </x:c>
      <x:c r="B90" s="28" t="str">
        <x:v>Skyreaping</x:v>
      </x:c>
      <x:c r="C90" s="30" t="n">
        <x:v>4.5</x:v>
      </x:c>
      <x:c r="D90" s="30" t="str"/>
      <x:c r="E90" s="28" t="n">
        <x:v>2</x:v>
      </x:c>
      <x:c r="F90" s="28" t="str">
        <x:v>Removal</x:v>
      </x:c>
      <x:c r="G90" s="28" t="str">
        <x:v>OUT / NOT IN V2</x:v>
      </x:c>
      <x:c r="H90" s="28" t="str">
        <x:v>OUT (V2)</x:v>
      </x:c>
      <x:c r="I90" s="28" t="str">
        <x:v>Cheapish but narrow flying-creature sweep; meta-dependent and can conflict with flying insects from Hornet Queen.</x:v>
      </x:c>
    </x:row>
    <x:row r="91">
      <x:c r="A91" s="28" t="str">
        <x:v>D</x:v>
      </x:c>
      <x:c r="B91" s="28" t="str">
        <x:v>Soul's Majesty</x:v>
      </x:c>
      <x:c r="C91" s="30" t="n">
        <x:v>5.4</x:v>
      </x:c>
      <x:c r="D91" s="30" t="str"/>
      <x:c r="E91" s="28" t="n">
        <x:v>5</x:v>
      </x:c>
      <x:c r="F91" s="28" t="str">
        <x:v>Draw</x:v>
      </x:c>
      <x:c r="G91" s="28" t="str">
        <x:v>OUT / NOT IN V2</x:v>
      </x:c>
      <x:c r="H91" s="28" t="str">
        <x:v>OUT (V2)</x:v>
      </x:c>
      <x:c r="I91" s="28" t="str">
        <x:v>Draws based on one creature's power, so it can be underwhelming when the board is made of 1/1–2/2 attackers.</x:v>
      </x:c>
    </x:row>
    <x:row r="92">
      <x:c r="A92" s="28" t="str">
        <x:v>D</x:v>
      </x:c>
      <x:c r="B92" s="28" t="str">
        <x:v>Temple of the False God</x:v>
      </x:c>
      <x:c r="C92" s="30" t="n">
        <x:v>6</x:v>
      </x:c>
      <x:c r="D92" s="30" t="str"/>
      <x:c r="E92" s="28" t="n">
        <x:v>0</x:v>
      </x:c>
      <x:c r="F92" s="28" t="str">
        <x:v>Land</x:v>
      </x:c>
      <x:c r="G92" s="28" t="str">
        <x:v>Land</x:v>
      </x:c>
      <x:c r="H92" s="28" t="str">
        <x:v>OUT (V2)</x:v>
      </x:c>
      <x:c r="I92" s="28" t="str">
        <x:v>A land that can fail to produce mana early; replace with a basic Forest for aggro consistency.</x:v>
      </x:c>
    </x:row>
    <x:row r="93">
      <x:c r="A93" s="28" t="str">
        <x:v>D</x:v>
      </x:c>
      <x:c r="B93" s="28" t="str">
        <x:v>Throne of the High City</x:v>
      </x:c>
      <x:c r="C93" s="30" t="n">
        <x:v>6</x:v>
      </x:c>
      <x:c r="D93" s="30" t="str"/>
      <x:c r="E93" s="28" t="n">
        <x:v>0</x:v>
      </x:c>
      <x:c r="F93" s="28" t="str">
        <x:v>Land</x:v>
      </x:c>
      <x:c r="G93" s="28" t="str">
        <x:v>Land</x:v>
      </x:c>
      <x:c r="H93" s="28" t="str">
        <x:v>OUT (V2)</x:v>
      </x:c>
      <x:c r="I93" s="28" t="str">
        <x:v>Monarch is a side quest and exposes a land slot without supporting poison or green mana.</x:v>
      </x:c>
    </x:row>
    <x:row r="94">
      <x:c r="A94" s="28" t="str">
        <x:v>D</x:v>
      </x:c>
      <x:c r="B94" s="28" t="str">
        <x:v>Windstorm</x:v>
      </x:c>
      <x:c r="C94" s="30" t="n">
        <x:v>5</x:v>
      </x:c>
      <x:c r="D94" s="30" t="str"/>
      <x:c r="E94" s="28" t="n">
        <x:v>1</x:v>
      </x:c>
      <x:c r="F94" s="28" t="str">
        <x:v>Removal</x:v>
      </x:c>
      <x:c r="G94" s="28" t="str">
        <x:v>OUT / NOT IN V2</x:v>
      </x:c>
      <x:c r="H94" s="28" t="str">
        <x:v>OUT (V2)</x:v>
      </x:c>
      <x:c r="I94" s="28" t="str">
        <x:v>Variable-cost anti-flyer instant; keep only if flyers are a consistent metagame issue.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c869531263841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14" hidden="0" customWidth="1"/>
  </x:cols>
  <x:sheetData>
    <x:row r="1" ht="32" customHeight="1">
      <x:c r="A1" s="54" t="str">
        <x:v>STRUCTURAL ANALYSIS</x:v>
      </x:c>
      <x:c r="B1" s="54"/>
      <x:c r="C1" s="54"/>
      <x:c r="D1" s="54"/>
      <x:c r="E1" s="54"/>
      <x:c r="F1" s="54"/>
      <x:c r="G1" s="54"/>
      <x:c r="H1" s="54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30" customHeight="1">
      <x:c r="A2" s="11" t="str">
        <x:v>Counts use a single primary group per functional card to avoid double-counting. Secondary roles are captured in the Card Matrix.</x:v>
      </x:c>
      <x:c r="B2" s="11"/>
      <x:c r="C2" s="11"/>
      <x:c r="D2" s="11"/>
      <x:c r="E2" s="11"/>
      <x:c r="F2" s="11"/>
      <x:c r="G2" s="11"/>
      <x:c r="H2" s="11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Metric</x:v>
      </x:c>
      <x:c r="B4" s="20" t="str">
        <x:v>Current</x:v>
      </x:c>
      <x:c r="C4" s="20" t="str">
        <x:v>Projected V2</x:v>
      </x:c>
      <x:c r="D4" s="20" t="str">
        <x:v>Diagnosis / Interpretation</x:v>
      </x:c>
    </x:row>
    <x:row r="5">
      <x:c r="A5" s="28" t="str">
        <x:v>Commander</x:v>
      </x:c>
      <x:c r="B5" s="28" t="n">
        <x:v>1</x:v>
      </x:c>
      <x:c r="C5" s="28" t="n">
        <x:v>1</x:v>
      </x:c>
      <x:c r="D5" s="28" t="str">
        <x:v>Fynn costs 1G and has deathtouch; the deck can operate with a low curve.</x:v>
      </x:c>
    </x:row>
    <x:row r="6">
      <x:c r="A6" s="28" t="str">
        <x:v>Total cards</x:v>
      </x:c>
      <x:c r="B6" s="28" t="n">
        <x:v>100</x:v>
      </x:c>
      <x:c r="C6" s="28" t="n">
        <x:v>100</x:v>
      </x:c>
      <x:c r="D6" s="28" t="str">
        <x:v>Both versions must reconcile to exactly 100.</x:v>
      </x:c>
    </x:row>
    <x:row r="7">
      <x:c r="A7" s="28" t="str">
        <x:v>Physical lands</x:v>
      </x:c>
      <x:c r="B7" s="28" t="n">
        <x:v>35</x:v>
      </x:c>
      <x:c r="C7" s="28" t="n">
        <x:v>35</x:v>
      </x:c>
      <x:c r="D7" s="28" t="str">
        <x:v>35 lands retained; mana-base swaps replace a slow land and monarch sidequest.</x:v>
      </x:c>
    </x:row>
    <x:row r="8">
      <x:c r="A8" s="28" t="str">
        <x:v>MDFC/modal land cards</x:v>
      </x:c>
      <x:c r="B8" s="28" t="n">
        <x:v>0</x:v>
      </x:c>
      <x:c r="C8" s="28" t="n">
        <x:v>0</x:v>
      </x:c>
      <x:c r="D8" s="28" t="str">
        <x:v>No MDFCs in this list.</x:v>
      </x:c>
    </x:row>
    <x:row r="9">
      <x:c r="A9" s="28" t="str">
        <x:v>Functional slots</x:v>
      </x:c>
      <x:c r="B9" s="28" t="n">
        <x:v>64</x:v>
      </x:c>
      <x:c r="C9" s="28" t="n">
        <x:v>64</x:v>
      </x:c>
      <x:c r="D9" s="28" t="str">
        <x:v>64 spells + 35 land slots + 1 commander = 100.</x:v>
      </x:c>
    </x:row>
    <x:row r="10">
      <x:c r="A10" s="28" t="str">
        <x:v>Functional average MV</x:v>
      </x:c>
      <x:c r="B10" s="28" t="n">
        <x:v>2.94</x:v>
      </x:c>
      <x:c r="C10" s="28" t="n">
        <x:v>2.34</x:v>
      </x:c>
      <x:c r="D10" s="28" t="str">
        <x:v>Oracle MV; X spells counted as MV 1, with variable casting cost noted separately.</x:v>
      </x:c>
    </x:row>
    <x:row r="11">
      <x:c r="A11" s="28" t="str">
        <x:v>Cheap deathtouch bodies incl. Fynn</x:v>
      </x:c>
      <x:c r="B11" s="28" t="n">
        <x:v>10</x:v>
      </x:c>
      <x:c r="C11" s="28" t="n">
        <x:v>15</x:v>
      </x:c>
      <x:c r="D11" s="28" t="str">
        <x:v>Includes Fynn and listed direct deathtouch carriers; V2 adds one-mana sources.</x:v>
      </x:c>
    </x:row>
    <x:row r="12">
      <x:c r="A12" s="28" t="str">
        <x:v>Main poison closers</x:v>
      </x:c>
      <x:c r="B12" s="28" t="n">
        <x:v>1</x:v>
      </x:c>
      <x:c r="C12" s="28" t="n">
        <x:v>3</x:v>
      </x:c>
      <x:c r="D12" s="28" t="str">
        <x:v>Current: Fynn triggers/limited infect; V2 adds Triumph, more carrier density and repeatable proliferate.</x:v>
      </x:c>
    </x:row>
    <x:row r="13">
      <x:c r="A13" s="28" t="str">
        <x:v>Repeatable/recurring draw engines</x:v>
      </x:c>
      <x:c r="B13" s="28" t="n">
        <x:v>3</x:v>
      </x:c>
      <x:c r="C13" s="28" t="n">
        <x:v>5</x:v>
      </x:c>
      <x:c r="D13" s="28" t="str">
        <x:v>Approximate role count; V2 includes Toski, Ohran Frostfang and Sylvan Library.</x:v>
      </x:c>
    </x:row>
    <x:row r="14">
      <x:c r="A14" s="28" t="str">
        <x:v>Protection pieces</x:v>
      </x:c>
      <x:c r="B14" s="28" t="n">
        <x:v>6</x:v>
      </x:c>
      <x:c r="C14" s="28" t="n">
        <x:v>7</x:v>
      </x:c>
      <x:c r="D14" s="28" t="str">
        <x:v>V2 prioritizes protection for the attack that closes the game.</x:v>
      </x:c>
    </x:row>
    <x:row r="17" ht="30" customHeight="1">
      <x:c r="A17" s="20" t="str">
        <x:v>Primary group</x:v>
      </x:c>
      <x:c r="B17" s="20" t="str">
        <x:v>Current slots</x:v>
      </x:c>
      <x:c r="C17" s="20" t="str">
        <x:v>Projected V2 slots</x:v>
      </x:c>
      <x:c r="D17" s="20" t="str">
        <x:v>Shift</x:v>
      </x:c>
    </x:row>
    <x:row r="18">
      <x:c r="A18" s="28" t="str">
        <x:v>Ramp</x:v>
      </x:c>
      <x:c r="B18" s="28" t="n">
        <x:v>11</x:v>
      </x:c>
      <x:c r="C18" s="28" t="n">
        <x:v>10</x:v>
      </x:c>
      <x:c r="D18" s="28" t="n">
        <x:v>-1</x:v>
      </x:c>
    </x:row>
    <x:row r="19">
      <x:c r="A19" s="28" t="str">
        <x:v>Draw</x:v>
      </x:c>
      <x:c r="B19" s="28" t="n">
        <x:v>7</x:v>
      </x:c>
      <x:c r="C19" s="28" t="n">
        <x:v>8</x:v>
      </x:c>
      <x:c r="D19" s="28" t="n">
        <x:v>1</x:v>
      </x:c>
    </x:row>
    <x:row r="20">
      <x:c r="A20" s="28" t="str">
        <x:v>Removal</x:v>
      </x:c>
      <x:c r="B20" s="28" t="n">
        <x:v>11</x:v>
      </x:c>
      <x:c r="C20" s="28" t="n">
        <x:v>7</x:v>
      </x:c>
      <x:c r="D20" s="28" t="n">
        <x:v>-4</x:v>
      </x:c>
    </x:row>
    <x:row r="21">
      <x:c r="A21" s="28" t="str">
        <x:v>Synergy</x:v>
      </x:c>
      <x:c r="B21" s="28" t="n">
        <x:v>9</x:v>
      </x:c>
      <x:c r="C21" s="28" t="n">
        <x:v>12</x:v>
      </x:c>
      <x:c r="D21" s="28" t="n">
        <x:v>3</x:v>
      </x:c>
    </x:row>
    <x:row r="22">
      <x:c r="A22" s="28" t="str">
        <x:v>Protection</x:v>
      </x:c>
      <x:c r="B22" s="28" t="n">
        <x:v>6</x:v>
      </x:c>
      <x:c r="C22" s="28" t="n">
        <x:v>7</x:v>
      </x:c>
      <x:c r="D22" s="28" t="n">
        <x:v>1</x:v>
      </x:c>
    </x:row>
    <x:row r="23">
      <x:c r="A23" s="28" t="str">
        <x:v>Buff + WinCon</x:v>
      </x:c>
      <x:c r="B23" s="28" t="n">
        <x:v>9</x:v>
      </x:c>
      <x:c r="C23" s="28" t="n">
        <x:v>6</x:v>
      </x:c>
      <x:c r="D23" s="28" t="n">
        <x:v>-3</x:v>
      </x:c>
    </x:row>
    <x:row r="24">
      <x:c r="A24" s="28" t="str">
        <x:v>Proliferate</x:v>
      </x:c>
      <x:c r="B24" s="28" t="n">
        <x:v>4</x:v>
      </x:c>
      <x:c r="C24" s="28" t="n">
        <x:v>6</x:v>
      </x:c>
      <x:c r="D24" s="28" t="n">
        <x:v>2</x:v>
      </x:c>
    </x:row>
    <x:row r="25">
      <x:c r="A25" s="28" t="str">
        <x:v>Dupla Função</x:v>
      </x:c>
      <x:c r="B25" s="28" t="n">
        <x:v>7</x:v>
      </x:c>
      <x:c r="C25" s="28" t="n">
        <x:v>8</x:v>
      </x:c>
      <x:c r="D25" s="28" t="n">
        <x:v>1</x:v>
      </x:c>
    </x:row>
    <x:row r="28" ht="42" customHeight="1">
      <x:c r="A28" s="42" t="str">
        <x:v>8×8 adaptation: the 35-slot mana base is retained, and the 64 functional cards are redistributed across the user's own eight roles. The list does not force eight cards into every role; role counts are allowed to reflect the aggressive Fynn plan.</x:v>
      </x:c>
      <x:c r="B28" s="42"/>
      <x:c r="C28" s="42"/>
      <x:c r="D28" s="42"/>
    </x:row>
  </x:sheetData>
  <x:mergeCells>
    <x:mergeCell ref="A1:H1"/>
    <x:mergeCell ref="A2:H2"/>
    <x:mergeCell ref="A28:D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90" hidden="0" customWidth="1"/>
    <x:col min="4" max="4" width="20" hidden="0" customWidth="1"/>
  </x:cols>
  <x:sheetData>
    <x:row r="1" ht="32" customHeight="1">
      <x:c r="A1" s="54" t="str">
        <x:v>CONTROL PANEL</x:v>
      </x:c>
      <x:c r="B1" s="54"/>
      <x:c r="C1" s="54"/>
      <x:c r="D1" s="54"/>
      <x:c r="E1" s="54"/>
      <x:c r="F1" s="54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30" customHeight="1">
      <x:c r="A2" s="11" t="str">
        <x:v>Operating decisions that should survive future revisions.</x:v>
      </x:c>
      <x:c r="B2" s="11"/>
      <x:c r="C2" s="11"/>
      <x:c r="D2" s="11"/>
      <x:c r="E2" s="11"/>
      <x:c r="F2" s="11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Panel</x:v>
      </x:c>
      <x:c r="B4" s="20" t="str">
        <x:v>Item</x:v>
      </x:c>
      <x:c r="C4" s="20" t="str">
        <x:v>Decision / Why</x:v>
      </x:c>
      <x:c r="D4" s="20" t="str">
        <x:v>State</x:v>
      </x:c>
    </x:row>
    <x:row r="5">
      <x:c r="A5" s="28" t="str">
        <x:v>LOCKED CORE</x:v>
      </x:c>
      <x:c r="B5" s="28" t="str">
        <x:v>Fynn, the Fangbearer</x:v>
      </x:c>
      <x:c r="C5" s="28" t="str">
        <x:v>Commander identity and poison trigger are the deck's foundation.</x:v>
      </x:c>
      <x:c r="D5" s="28" t="str">
        <x:v>Never cut</x:v>
      </x:c>
    </x:row>
    <x:row r="6">
      <x:c r="A6" s="28" t="str">
        <x:v>LOCKED CORE</x:v>
      </x:c>
      <x:c r="B6" s="28" t="str">
        <x:v>Cheap deathtouch package</x:v>
      </x:c>
      <x:c r="C6" s="28" t="str">
        <x:v>Fang of Shigeki, Ankle Biter, Tajuru Blightblade, Sedge Scorpion, Flesh Burrower, Ambush Viper, Deadly Recluse, Thornweald Archer.</x:v>
      </x:c>
      <x:c r="D6" s="28" t="str">
        <x:v>Retain high density</x:v>
      </x:c>
    </x:row>
    <x:row r="7">
      <x:c r="A7" s="28" t="str">
        <x:v>LOCKED CORE</x:v>
      </x:c>
      <x:c r="B7" s="28" t="str">
        <x:v>Bloated Contaminator</x:v>
      </x:c>
      <x:c r="C7" s="28" t="str">
        <x:v>Toxic + trample + proliferate; bridges poison and proliferate lines.</x:v>
      </x:c>
      <x:c r="D7" s="28" t="str">
        <x:v>Keep</x:v>
      </x:c>
    </x:row>
    <x:row r="8">
      <x:c r="A8" s="28" t="str">
        <x:v>LOCKED CORE</x:v>
      </x:c>
      <x:c r="B8" s="28" t="str">
        <x:v>Cankerbloom</x:v>
      </x:c>
      <x:c r="C8" s="28" t="str">
        <x:v>Creature body plus artifact/enchantment removal or proliferate.</x:v>
      </x:c>
      <x:c r="D8" s="28" t="str">
        <x:v>Keep</x:v>
      </x:c>
    </x:row>
    <x:row r="9">
      <x:c r="A9" s="28" t="str">
        <x:v>LOCKED CORE</x:v>
      </x:c>
      <x:c r="B9" s="28" t="str">
        <x:v>Expand the Sphere</x:v>
      </x:c>
      <x:c r="C9" s="28" t="str">
        <x:v>Ramp plus proliferate; role compression for the chosen plan.</x:v>
      </x:c>
      <x:c r="D9" s="28" t="str">
        <x:v>Keep</x:v>
      </x:c>
    </x:row>
    <x:row r="10">
      <x:c r="A10" s="28" t="str">
        <x:v>PET LOCK</x:v>
      </x:c>
      <x:c r="B10" s="28" t="str">
        <x:v>None declared</x:v>
      </x:c>
      <x:c r="C10" s="28" t="str">
        <x:v>No special card was marked uncuttable in the briefing.</x:v>
      </x:c>
      <x:c r="D10" s="28" t="str">
        <x:v>User may add later</x:v>
      </x:c>
    </x:row>
    <x:row r="11">
      <x:c r="A11" s="28" t="str">
        <x:v>FIRST CUTS</x:v>
      </x:c>
      <x:c r="B11" s="28" t="str">
        <x:v>High-cost conventional damage package</x:v>
      </x:c>
      <x:c r="C11" s="28" t="str">
        <x:v>Caged Sun, Colossification, End-Raze Forerunners, Ezuri's Predation, Preposterous Proportions, Scytheclaw.</x:v>
      </x:c>
      <x:c r="D11" s="28" t="str">
        <x:v>Cuts in V2</x:v>
      </x:c>
    </x:row>
    <x:row r="12">
      <x:c r="A12" s="28" t="str">
        <x:v>PRIORITY</x:v>
      </x:c>
      <x:c r="B12" s="28" t="str">
        <x:v>Poison carriers / evasion</x:v>
      </x:c>
      <x:c r="C12" s="28" t="str">
        <x:v>Increase one-mana deathtouch density and enable consistent combat connections.</x:v>
      </x:c>
      <x:c r="D12" s="28" t="str">
        <x:v>Structural</x:v>
      </x:c>
    </x:row>
    <x:row r="13">
      <x:c r="A13" s="28" t="str">
        <x:v>PRIORITY</x:v>
      </x:c>
      <x:c r="B13" s="28" t="str">
        <x:v>Card advantage</x:v>
      </x:c>
      <x:c r="C13" s="28" t="str">
        <x:v>Prefer repeatable combat draw and selection over symmetrical draw.</x:v>
      </x:c>
      <x:c r="D13" s="28" t="str">
        <x:v>Structural</x:v>
      </x:c>
    </x:row>
    <x:row r="14">
      <x:c r="A14" s="28" t="str">
        <x:v>PRIORITY</x:v>
      </x:c>
      <x:c r="B14" s="28" t="str">
        <x:v>Protection</x:v>
      </x:c>
      <x:c r="C14" s="28" t="str">
        <x:v>Protect a wide attack turn and preserve the poison clock.</x:v>
      </x:c>
      <x:c r="D14" s="28" t="str">
        <x:v>Major</x:v>
      </x:c>
    </x:row>
    <x:row r="15">
      <x:c r="A15" s="28" t="str">
        <x:v>MUST TEST</x:v>
      </x:c>
      <x:c r="B15" s="28" t="str">
        <x:v>How many attacks connect?</x:v>
      </x:c>
      <x:c r="C15" s="28" t="str">
        <x:v>Track first poison turn, poison per combat, and whether evasion is sufficient.</x:v>
      </x:c>
      <x:c r="D15" s="28" t="str">
        <x:v>Playtest</x:v>
      </x:c>
    </x:row>
    <x:row r="16">
      <x:c r="A16" s="28" t="str">
        <x:v>MUST TEST</x:v>
      </x:c>
      <x:c r="B16" s="28" t="str">
        <x:v>Gas after removal</x:v>
      </x:c>
      <x:c r="C16" s="28" t="str">
        <x:v>Track hand size on turns 4–6, not only raw cards seen.</x:v>
      </x:c>
      <x:c r="D16" s="28" t="str">
        <x:v>Playtest</x:v>
      </x:c>
    </x:row>
    <x:row r="17">
      <x:c r="A17" s="28" t="str">
        <x:v>MUST TEST</x:v>
      </x:c>
      <x:c r="B17" s="28" t="str">
        <x:v>Proliferate timing</x:v>
      </x:c>
      <x:c r="C17" s="28" t="str">
        <x:v>Check whether proliferate is live because opponents already have poison counters.</x:v>
      </x:c>
      <x:c r="D17" s="28" t="str">
        <x:v>Playtest</x:v>
      </x:c>
    </x:row>
    <x:row r="18">
      <x:c r="A18" s="28" t="str">
        <x:v>PRINCIPLE</x:v>
      </x:c>
      <x:c r="B18" s="28" t="str">
        <x:v>Aggro above green goodstuff</x:v>
      </x:c>
      <x:c r="C18" s="28" t="str">
        <x:v>Cards that are generically strong but cost 5–8 mana need to justify the slot.</x:v>
      </x:c>
      <x:c r="D18" s="28" t="str">
        <x:v>Permanent</x:v>
      </x:c>
    </x:row>
    <x:row r="19">
      <x:c r="A19" s="28" t="str">
        <x:v>OPEN QUESTION</x:v>
      </x:c>
      <x:c r="B19" s="28" t="str">
        <x:v>Local meta</x:v>
      </x:c>
      <x:c r="C19" s="28" t="str">
        <x:v>Flyer-heavy pods may justify retaining Windstorm or Silklash Spider instead of a lower-priority slot.</x:v>
      </x:c>
      <x:c r="D19" s="28" t="str">
        <x:v>Meta-dependent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8b2237e0715475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36" hidden="0" customWidth="1"/>
    <x:col min="5" max="5" width="18" hidden="0" customWidth="1"/>
    <x:col min="6" max="6" width="62" hidden="0" customWidth="1"/>
  </x:cols>
  <x:sheetData>
    <x:row r="1" ht="32" customHeight="1">
      <x:c r="A1" s="54" t="str">
        <x:v>WATCHLIST</x:v>
      </x:c>
      <x:c r="B1" s="54"/>
      <x:c r="C1" s="54"/>
      <x:c r="D1" s="54"/>
      <x:c r="E1" s="54"/>
      <x:c r="F1" s="54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30" customHeight="1">
      <x:c r="A2" s="11" t="str">
        <x:v>Slots requiring testing or meta-specific decisions; recommendations remain reversible.</x:v>
      </x:c>
      <x:c r="B2" s="11"/>
      <x:c r="C2" s="11"/>
      <x:c r="D2" s="11"/>
      <x:c r="E2" s="11"/>
      <x:c r="F2" s="11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Card</x:v>
      </x:c>
      <x:c r="B4" s="20" t="str">
        <x:v>Reason</x:v>
      </x:c>
      <x:c r="C4" s="20" t="str">
        <x:v>Priority</x:v>
      </x:c>
      <x:c r="D4" s="20" t="str">
        <x:v>Alternative / Option</x:v>
      </x:c>
      <x:c r="E4" s="20" t="str">
        <x:v>Current V2 Status</x:v>
      </x:c>
      <x:c r="F4" s="20" t="str">
        <x:v>Testing Note</x:v>
      </x:c>
    </x:row>
    <x:row r="5">
      <x:c r="A5" s="28" t="str">
        <x:v>Windstorm</x:v>
      </x:c>
      <x:c r="B5" s="28" t="str">
        <x:v>Meta-dependent</x:v>
      </x:c>
      <x:c r="C5" s="28" t="str">
        <x:v>High if flyers common</x:v>
      </x:c>
      <x:c r="D5" s="28" t="str">
        <x:v>Trailblazer's Boots / one-mana deathtouch body</x:v>
      </x:c>
      <x:c r="E5" s="28" t="str">
        <x:v>OUT in V2</x:v>
      </x:c>
      <x:c r="F5" s="28" t="str">
        <x:v>Re-add if flyers regularly create a hard stop.</x:v>
      </x:c>
    </x:row>
    <x:row r="6">
      <x:c r="A6" s="28" t="str">
        <x:v>Silklash Spider</x:v>
      </x:c>
      <x:c r="B6" s="28" t="str">
        <x:v>Meta-dependent</x:v>
      </x:c>
      <x:c r="C6" s="28" t="str">
        <x:v>High if flyers common</x:v>
      </x:c>
      <x:c r="D6" s="28" t="str">
        <x:v>Cheap deathtouch carrier</x:v>
      </x:c>
      <x:c r="E6" s="28" t="str">
        <x:v>OUT in V2</x:v>
      </x:c>
      <x:c r="F6" s="28" t="str">
        <x:v>Only five mana and can sweep flyers; too reactive by default.</x:v>
      </x:c>
    </x:row>
    <x:row r="7">
      <x:c r="A7" s="28" t="str">
        <x:v>Hornet Queen</x:v>
      </x:c>
      <x:c r="B7" s="28" t="str">
        <x:v>Curve watch</x:v>
      </x:c>
      <x:c r="C7" s="28" t="str">
        <x:v>Medium</x:v>
      </x:c>
      <x:c r="D7" s="28" t="str">
        <x:v>Keep as top-end token engine</x:v>
      </x:c>
      <x:c r="E7" s="28" t="str">
        <x:v>KEEP</x:v>
      </x:c>
      <x:c r="F7" s="28" t="str">
        <x:v>Seven mana is high, but four flying deathtouch tokens can generate multiple Fynn triggers.</x:v>
      </x:c>
    </x:row>
    <x:row r="8">
      <x:c r="A8" s="28" t="str">
        <x:v>Glistening Sphere</x:v>
      </x:c>
      <x:c r="B8" s="28" t="str">
        <x:v>Ramp curve</x:v>
      </x:c>
      <x:c r="C8" s="28" t="str">
        <x:v>Medium</x:v>
      </x:c>
      <x:c r="D8" s="28" t="str">
        <x:v>Nature's Lore / cheaper ramp</x:v>
      </x:c>
      <x:c r="E8" s="28" t="str">
        <x:v>KEEP</x:v>
      </x:c>
      <x:c r="F8" s="28" t="str">
        <x:v>Ramp + proliferate is useful, but test whether three mana is too slow.</x:v>
      </x:c>
    </x:row>
    <x:row r="9">
      <x:c r="A9" s="28" t="str">
        <x:v>Karametra's Acolyte</x:v>
      </x:c>
      <x:c r="B9" s="28" t="str">
        <x:v>Ramp curve</x:v>
      </x:c>
      <x:c r="C9" s="28" t="str">
        <x:v>Medium</x:v>
      </x:c>
      <x:c r="D9" s="28" t="str">
        <x:v>Llanowar Elves / Nature's Lore</x:v>
      </x:c>
      <x:c r="E9" s="28" t="str">
        <x:v>KEEP for now</x:v>
      </x:c>
      <x:c r="F9" s="28" t="str">
        <x:v>Devotion can make lots of mana, but it is a four-mana setup card.</x:v>
      </x:c>
    </x:row>
    <x:row r="10">
      <x:c r="A10" s="28" t="str">
        <x:v>Disorienting Choice</x:v>
      </x:c>
      <x:c r="B10" s="28" t="str">
        <x:v>Opponent dependent</x:v>
      </x:c>
      <x:c r="C10" s="28" t="str">
        <x:v>Medium</x:v>
      </x:c>
      <x:c r="D10" s="28" t="str">
        <x:v>Beast Within / cheaper flexible answer</x:v>
      </x:c>
      <x:c r="E10" s="28" t="str">
        <x:v>KEEP for now</x:v>
      </x:c>
      <x:c r="F10" s="28" t="str">
        <x:v>Opponents choose whether to exile; ramp clause needs a chosen permanent to remain.</x:v>
      </x:c>
    </x:row>
    <x:row r="11">
      <x:c r="A11" s="28" t="str">
        <x:v>Branchblight Stalker</x:v>
      </x:c>
      <x:c r="B11" s="28" t="str">
        <x:v>Toxic vs Fynn</x:v>
      </x:c>
      <x:c r="C11" s="28" t="str">
        <x:v>Medium</x:v>
      </x:c>
      <x:c r="D11" s="28" t="str">
        <x:v>Cheap deathtouch attacker</x:v>
      </x:c>
      <x:c r="E11" s="28" t="str">
        <x:v>KEEP</x:v>
      </x:c>
      <x:c r="F11" s="28" t="str">
        <x:v>Toxic 2 helps poison clock, but it doesn't trigger Fynn unless it gains deathtouch.</x:v>
      </x:c>
    </x:row>
    <x:row r="12">
      <x:c r="A12" s="28" t="str">
        <x:v>Font of Mythos</x:v>
      </x:c>
      <x:c r="B12" s="28" t="str">
        <x:v>Draw symmetry</x:v>
      </x:c>
      <x:c r="C12" s="28" t="str">
        <x:v>High</x:v>
      </x:c>
      <x:c r="D12" s="28" t="str">
        <x:v>Sylvan Library / Ohran Frostfang</x:v>
      </x:c>
      <x:c r="E12" s="28" t="str">
        <x:v>OUT in V2</x:v>
      </x:c>
      <x:c r="F12" s="28" t="str">
        <x:v>Opponents receive two extra cards each turn cycle.</x:v>
      </x:c>
    </x:row>
    <x:row r="13">
      <x:c r="A13" s="28" t="str">
        <x:v>Colossification</x:v>
      </x:c>
      <x:c r="B13" s="28" t="str">
        <x:v>Win-more / risk</x:v>
      </x:c>
      <x:c r="C13" s="28" t="str">
        <x:v>High</x:v>
      </x:c>
      <x:c r="D13" s="28" t="str">
        <x:v>Triumph of the Hordes</x:v>
      </x:c>
      <x:c r="E13" s="28" t="str">
        <x:v>OUT in V2</x:v>
      </x:c>
      <x:c r="F13" s="28" t="str">
        <x:v>A 7-mana aura is clunky and its power increase doesn't scale Fynn's trigger.</x:v>
      </x:c>
    </x:row>
    <x:row r="14">
      <x:c r="A14" s="28" t="str">
        <x:v>Temple of the False God</x:v>
      </x:c>
      <x:c r="B14" s="28" t="str">
        <x:v>Early mana</x:v>
      </x:c>
      <x:c r="C14" s="28" t="str">
        <x:v>High</x:v>
      </x:c>
      <x:c r="D14" s="28" t="str">
        <x:v>Forest</x:v>
      </x:c>
      <x:c r="E14" s="28" t="str">
        <x:v>OUT in V2</x:v>
      </x:c>
      <x:c r="F14" s="28" t="str">
        <x:v>Can fail to tap for mana before five lands.</x:v>
      </x:c>
    </x:row>
    <x:row r="15">
      <x:c r="A15" s="28" t="str">
        <x:v>Throne of the High City</x:v>
      </x:c>
      <x:c r="B15" s="28" t="str">
        <x:v>Off-plan land</x:v>
      </x:c>
      <x:c r="C15" s="28" t="str">
        <x:v>Medium</x:v>
      </x:c>
      <x:c r="D15" s="28" t="str">
        <x:v>Inkmoth Nexus</x:v>
      </x:c>
      <x:c r="E15" s="28" t="str">
        <x:v>OUT in V2</x:v>
      </x:c>
      <x:c r="F15" s="28" t="str">
        <x:v>Monarch is not part of the poison-aggro plan.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2" hidden="0" customWidth="1"/>
    <x:col min="4" max="4" width="90" hidden="0" customWidth="1"/>
    <x:col min="5" max="5" width="48" hidden="0" customWidth="1"/>
    <x:col min="6" max="6" width="24" hidden="0" customWidth="1"/>
    <x:col min="7" max="7" width="14" hidden="0" customWidth="1"/>
  </x:cols>
  <x:sheetData>
    <x:row r="1" ht="32" customHeight="1">
      <x:c r="A1" s="54" t="str">
        <x:v>UPGRADE MATRIX — OUT → IN</x:v>
      </x:c>
      <x:c r="B1" s="54"/>
      <x:c r="C1" s="54"/>
      <x:c r="D1" s="54"/>
      <x:c r="E1" s="54"/>
      <x:c r="F1" s="54"/>
      <x:c r="G1" s="54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30" customHeight="1">
      <x:c r="A2" s="11" t="str">
        <x:v>20 card changes total: 18 functional slots + 2 land-slot changes. Priority A/S are structural; B is incremental/meta.</x:v>
      </x:c>
      <x:c r="B2" s="11"/>
      <x:c r="C2" s="11"/>
      <x:c r="D2" s="11"/>
      <x:c r="E2" s="11"/>
      <x:c r="F2" s="11"/>
      <x:c r="G2" s="11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OUT</x:v>
      </x:c>
      <x:c r="B4" s="20" t="str">
        <x:v>IN</x:v>
      </x:c>
      <x:c r="C4" s="20" t="str">
        <x:v>Priority</x:v>
      </x:c>
      <x:c r="D4" s="20" t="str">
        <x:v>OUT → IN rationale</x:v>
      </x:c>
      <x:c r="E4" s="20" t="str">
        <x:v>Expected impact</x:v>
      </x:c>
      <x:c r="F4" s="20" t="str">
        <x:v>Status</x:v>
      </x:c>
      <x:c r="G4" s="20" t="str">
        <x:v>Confidence</x:v>
      </x:c>
    </x:row>
    <x:row r="5">
      <x:c r="A5" s="28" t="str">
        <x:v>Blackblade Reforged</x:v>
      </x:c>
      <x:c r="B5" s="28" t="str">
        <x:v>Rancor</x:v>
      </x:c>
      <x:c r="C5" s="28" t="str">
        <x:v>B</x:v>
      </x:c>
      <x:c r="D5" s="28" t="str">
        <x:v>Replace large power-scaling equipment with 1-mana recurring trample; helps deathtouch connect and keeps the curve low.</x:v>
      </x:c>
      <x:c r="E5" s="28" t="str">
        <x:v>Curve/role compression; preserve 64 spells</x:v>
      </x:c>
      <x:c r="F5" s="28" t="str">
        <x:v>Projected — not playtested</x:v>
      </x:c>
      <x:c r="G5" s="28" t="str">
        <x:v>High</x:v>
      </x:c>
    </x:row>
    <x:row r="6">
      <x:c r="A6" s="28" t="str">
        <x:v>Caged Sun</x:v>
      </x:c>
      <x:c r="B6" s="28" t="str">
        <x:v>Toski, Bearer of Secrets</x:v>
      </x:c>
      <x:c r="C6" s="28" t="str">
        <x:v>A</x:v>
      </x:c>
      <x:c r="D6" s="28" t="str">
        <x:v>A 6-mana mana doubler is slow for aggro; Toski creates repeatable card advantage from successful attacks.</x:v>
      </x:c>
      <x:c r="E6" s="28" t="str">
        <x:v>Curve/role compression; preserve 64 spells</x:v>
      </x:c>
      <x:c r="F6" s="28" t="str">
        <x:v>Projected — not playtested</x:v>
      </x:c>
      <x:c r="G6" s="28" t="str">
        <x:v>High</x:v>
      </x:c>
    </x:row>
    <x:row r="7">
      <x:c r="A7" s="28" t="str">
        <x:v>Colossification</x:v>
      </x:c>
      <x:c r="B7" s="28" t="str">
        <x:v>Triumph of the Hordes</x:v>
      </x:c>
      <x:c r="C7" s="28" t="str">
        <x:v>S</x:v>
      </x:c>
      <x:c r="D7" s="28" t="str">
        <x:v>Replace a 7-mana aura that taps its target with a 4-mana overrun/infect finisher that can convert a board into lethal poison.</x:v>
      </x:c>
      <x:c r="E7" s="28" t="str">
        <x:v>Curve/role compression; preserve 64 spells</x:v>
      </x:c>
      <x:c r="F7" s="28" t="str">
        <x:v>Projected — not playtested</x:v>
      </x:c>
      <x:c r="G7" s="28" t="str">
        <x:v>High</x:v>
      </x:c>
    </x:row>
    <x:row r="8">
      <x:c r="A8" s="28" t="str">
        <x:v>Contagion Engine</x:v>
      </x:c>
      <x:c r="B8" s="28" t="str">
        <x:v>Contagion Clasp</x:v>
      </x:c>
      <x:c r="C8" s="28" t="str">
        <x:v>A</x:v>
      </x:c>
      <x:c r="D8" s="28" t="str">
        <x:v>Keep proliferate support, but lower the entry cost from six mana to two; the activation remains a late-game mana sink.</x:v>
      </x:c>
      <x:c r="E8" s="28" t="str">
        <x:v>Curve/role compression; preserve 64 spells</x:v>
      </x:c>
      <x:c r="F8" s="28" t="str">
        <x:v>Projected — not playtested</x:v>
      </x:c>
      <x:c r="G8" s="28" t="str">
        <x:v>High</x:v>
      </x:c>
    </x:row>
    <x:row r="9">
      <x:c r="A9" s="28" t="str">
        <x:v>Courage in Crisis</x:v>
      </x:c>
      <x:c r="B9" s="28" t="str">
        <x:v>Evolution Sage</x:v>
      </x:c>
      <x:c r="C9" s="28" t="str">
        <x:v>S</x:v>
      </x:c>
      <x:c r="D9" s="28" t="str">
        <x:v>Replace a one-shot 3-mana proliferate effect with repeatable landfall proliferate, naturally supported by the land base and ramp.</x:v>
      </x:c>
      <x:c r="E9" s="28" t="str">
        <x:v>Curve/role compression; preserve 64 spells</x:v>
      </x:c>
      <x:c r="F9" s="28" t="str">
        <x:v>Projected — not playtested</x:v>
      </x:c>
      <x:c r="G9" s="28" t="str">
        <x:v>High</x:v>
      </x:c>
    </x:row>
    <x:row r="10">
      <x:c r="A10" s="28" t="str">
        <x:v>End-Raze Forerunners</x:v>
      </x:c>
      <x:c r="B10" s="28" t="str">
        <x:v>Ohran Frostfang</x:v>
      </x:c>
      <x:c r="C10" s="28" t="str">
        <x:v>A</x:v>
      </x:c>
      <x:c r="D10" s="28" t="str">
        <x:v>Frostfang grants team-wide deathtouch and draws cards on combat damage, advancing both Fynn triggers and the gas problem.</x:v>
      </x:c>
      <x:c r="E10" s="28" t="str">
        <x:v>Curve/role compression; preserve 64 spells</x:v>
      </x:c>
      <x:c r="F10" s="28" t="str">
        <x:v>Projected — not playtested</x:v>
      </x:c>
      <x:c r="G10" s="28" t="str">
        <x:v>High</x:v>
      </x:c>
    </x:row>
    <x:row r="11">
      <x:c r="A11" s="28" t="str">
        <x:v>Ezuri's Predation</x:v>
      </x:c>
      <x:c r="B11" s="28" t="str">
        <x:v>Heroic Intervention</x:v>
      </x:c>
      <x:c r="C11" s="28" t="str">
        <x:v>A</x:v>
      </x:c>
      <x:c r="D11" s="28" t="str">
        <x:v>Eight mana for a reactive board effect is slow; global protection preserves the attack/poison board against wipes and targeted interaction.</x:v>
      </x:c>
      <x:c r="E11" s="28" t="str">
        <x:v>Curve/role compression; preserve 64 spells</x:v>
      </x:c>
      <x:c r="F11" s="28" t="str">
        <x:v>Projected — not playtested</x:v>
      </x:c>
      <x:c r="G11" s="28" t="str">
        <x:v>High</x:v>
      </x:c>
    </x:row>
    <x:row r="12">
      <x:c r="A12" s="28" t="str">
        <x:v>Font of Mythos</x:v>
      </x:c>
      <x:c r="B12" s="28" t="str">
        <x:v>Sylvan Library</x:v>
      </x:c>
      <x:c r="C12" s="28" t="str">
        <x:v>S</x:v>
      </x:c>
      <x:c r="D12" s="28" t="str">
        <x:v>Group draw gives opponents the same advantage; Library improves your own selection and helps find early creatures, protection and finishers.</x:v>
      </x:c>
      <x:c r="E12" s="28" t="str">
        <x:v>Curve/role compression; preserve 64 spells</x:v>
      </x:c>
      <x:c r="F12" s="28" t="str">
        <x:v>Projected — not playtested</x:v>
      </x:c>
      <x:c r="G12" s="28" t="str">
        <x:v>High</x:v>
      </x:c>
    </x:row>
    <x:row r="13">
      <x:c r="A13" s="28" t="str">
        <x:v>Genesis Wave</x:v>
      </x:c>
      <x:c r="B13" s="28" t="str">
        <x:v>Llanowar Elves</x:v>
      </x:c>
      <x:c r="C13" s="28" t="str">
        <x:v>A</x:v>
      </x:c>
      <x:c r="D13" s="28" t="str">
        <x:v>Trade a slow, highly mana-dependent top end for turn-one acceleration that can enable Fynn plus another one-drop on turn two.</x:v>
      </x:c>
      <x:c r="E13" s="28" t="str">
        <x:v>Curve/role compression; preserve 64 spells</x:v>
      </x:c>
      <x:c r="F13" s="28" t="str">
        <x:v>Projected — not playtested</x:v>
      </x:c>
      <x:c r="G13" s="28" t="str">
        <x:v>High</x:v>
      </x:c>
    </x:row>
    <x:row r="14">
      <x:c r="A14" s="28" t="str">
        <x:v>Loxodon Warhammer</x:v>
      </x:c>
      <x:c r="B14" s="28" t="str">
        <x:v>Wasteland Viper</x:v>
      </x:c>
      <x:c r="C14" s="28" t="str">
        <x:v>A</x:v>
      </x:c>
      <x:c r="D14" s="28" t="str">
        <x:v>Wasteland Viper is a one-mana deathtouch body and can act as a combat trick from hand; better early pressure and role compression.</x:v>
      </x:c>
      <x:c r="E14" s="28" t="str">
        <x:v>Curve/role compression; preserve 64 spells</x:v>
      </x:c>
      <x:c r="F14" s="28" t="str">
        <x:v>Projected — not playtested</x:v>
      </x:c>
      <x:c r="G14" s="28" t="str">
        <x:v>High</x:v>
      </x:c>
    </x:row>
    <x:row r="15">
      <x:c r="A15" s="28" t="str">
        <x:v>Mask of Avacyn</x:v>
      </x:c>
      <x:c r="B15" s="28" t="str">
        <x:v>Tyvar's Stand</x:v>
      </x:c>
      <x:c r="C15" s="28" t="str">
        <x:v>A</x:v>
      </x:c>
      <x:c r="D15" s="28" t="str">
        <x:v>One-mana protection that scales into a pump spell is more flexible and cheaper than casting/equipping the Mask.</x:v>
      </x:c>
      <x:c r="E15" s="28" t="str">
        <x:v>Curve/role compression; preserve 64 spells</x:v>
      </x:c>
      <x:c r="F15" s="28" t="str">
        <x:v>Projected — not playtested</x:v>
      </x:c>
      <x:c r="G15" s="28" t="str">
        <x:v>High</x:v>
      </x:c>
    </x:row>
    <x:row r="16">
      <x:c r="A16" s="28" t="str">
        <x:v>Preposterous Proportions</x:v>
      </x:c>
      <x:c r="B16" s="28" t="str">
        <x:v>Infectious Bite</x:v>
      </x:c>
      <x:c r="C16" s="28" t="str">
        <x:v>S</x:v>
      </x:c>
      <x:c r="D16" s="28" t="str">
        <x:v>Convert a 6-mana generic pump/draw effect into cheap creature removal that also seeds poison on each opponent.</x:v>
      </x:c>
      <x:c r="E16" s="28" t="str">
        <x:v>Curve/role compression; preserve 64 spells</x:v>
      </x:c>
      <x:c r="F16" s="28" t="str">
        <x:v>Projected — not playtested</x:v>
      </x:c>
      <x:c r="G16" s="28" t="str">
        <x:v>High</x:v>
      </x:c>
    </x:row>
    <x:row r="17">
      <x:c r="A17" s="28" t="str">
        <x:v>Quietus Spike</x:v>
      </x:c>
      <x:c r="B17" s="28" t="str">
        <x:v>Narnam Renegade</x:v>
      </x:c>
      <x:c r="C17" s="28" t="str">
        <x:v>A</x:v>
      </x:c>
      <x:c r="D17" s="28" t="str">
        <x:v>The equipment's life-halving trigger does not advance poison; Renegade supplies another one-mana deathtouch attacker.</x:v>
      </x:c>
      <x:c r="E17" s="28" t="str">
        <x:v>Curve/role compression; preserve 64 spells</x:v>
      </x:c>
      <x:c r="F17" s="28" t="str">
        <x:v>Projected — not playtested</x:v>
      </x:c>
      <x:c r="G17" s="28" t="str">
        <x:v>High</x:v>
      </x:c>
    </x:row>
    <x:row r="18">
      <x:c r="A18" s="28" t="str">
        <x:v>Scytheclaw</x:v>
      </x:c>
      <x:c r="B18" s="28" t="str">
        <x:v>Moss Viper</x:v>
      </x:c>
      <x:c r="C18" s="28" t="str">
        <x:v>A</x:v>
      </x:c>
      <x:c r="D18" s="28" t="str">
        <x:v>Five-mana equipment focused on life loss becomes a one-mana deathtouch/reach attacker for Fynn's primary trigger.</x:v>
      </x:c>
      <x:c r="E18" s="28" t="str">
        <x:v>Curve/role compression; preserve 64 spells</x:v>
      </x:c>
      <x:c r="F18" s="28" t="str">
        <x:v>Projected — not playtested</x:v>
      </x:c>
      <x:c r="G18" s="28" t="str">
        <x:v>High</x:v>
      </x:c>
    </x:row>
    <x:row r="19">
      <x:c r="A19" s="28" t="str">
        <x:v>Silklash Spider</x:v>
      </x:c>
      <x:c r="B19" s="28" t="str">
        <x:v>Gnarlwood Dryad</x:v>
      </x:c>
      <x:c r="C19" s="28" t="str">
        <x:v>B</x:v>
      </x:c>
      <x:c r="D19" s="28" t="str">
        <x:v>The five-mana anti-flyer sweeper is meta-dependent; a one-mana deathtouch body improves early pressure and board density.</x:v>
      </x:c>
      <x:c r="E19" s="28" t="str">
        <x:v>Curve/role compression; preserve 64 spells</x:v>
      </x:c>
      <x:c r="F19" s="28" t="str">
        <x:v>Projected — not playtested</x:v>
      </x:c>
      <x:c r="G19" s="28" t="str">
        <x:v>High</x:v>
      </x:c>
    </x:row>
    <x:row r="20">
      <x:c r="A20" s="28" t="str">
        <x:v>Skyreaping</x:v>
      </x:c>
      <x:c r="B20" s="28" t="str">
        <x:v>Venerated Rotpriest</x:v>
      </x:c>
      <x:c r="C20" s="28" t="str">
        <x:v>A</x:v>
      </x:c>
      <x:c r="D20" s="28" t="str">
        <x:v>Replace conditional anti-flyer damage with a cheap poison engine that rewards targeting your creatures with protection/pump spells.</x:v>
      </x:c>
      <x:c r="E20" s="28" t="str">
        <x:v>Curve/role compression; preserve 64 spells</x:v>
      </x:c>
      <x:c r="F20" s="28" t="str">
        <x:v>Projected — not playtested</x:v>
      </x:c>
      <x:c r="G20" s="28" t="str">
        <x:v>High</x:v>
      </x:c>
    </x:row>
    <x:row r="21">
      <x:c r="A21" s="28" t="str">
        <x:v>Windstorm</x:v>
      </x:c>
      <x:c r="B21" s="28" t="str">
        <x:v>Trailblazer's Boots</x:v>
      </x:c>
      <x:c r="C21" s="28" t="str">
        <x:v>B</x:v>
      </x:c>
      <x:c r="D21" s="28" t="str">
        <x:v>Trade the narrow anti-flyer slot for repeatable evasion, so deathtouch attackers can reach players more reliably.</x:v>
      </x:c>
      <x:c r="E21" s="28" t="str">
        <x:v>Curve/role compression; preserve 64 spells</x:v>
      </x:c>
      <x:c r="F21" s="28" t="str">
        <x:v>Projected — not playtested</x:v>
      </x:c>
      <x:c r="G21" s="28" t="str">
        <x:v>High</x:v>
      </x:c>
    </x:row>
    <x:row r="22">
      <x:c r="A22" s="28" t="str">
        <x:v>Soul's Majesty</x:v>
      </x:c>
      <x:c r="B22" s="28" t="str">
        <x:v>Nature's Lore</x:v>
      </x:c>
      <x:c r="C22" s="28" t="str">
        <x:v>S</x:v>
      </x:c>
      <x:c r="D22" s="28" t="str">
        <x:v>Replace a sorcery draw spell dependent on a large body with efficient two-mana Forest ramp; repeatable draw is upgraded separately by Toski and Ohran Frostfang.</x:v>
      </x:c>
      <x:c r="E22" s="28" t="str">
        <x:v>Curve/role compression; preserve 64 spells</x:v>
      </x:c>
      <x:c r="F22" s="28" t="str">
        <x:v>Projected — not playtested</x:v>
      </x:c>
      <x:c r="G22" s="28" t="str">
        <x:v>High</x:v>
      </x:c>
    </x:row>
    <x:row r="23">
      <x:c r="A23" s="28" t="str">
        <x:v>Temple of the False God</x:v>
      </x:c>
      <x:c r="B23" s="28" t="str">
        <x:v>Forest</x:v>
      </x:c>
      <x:c r="C23" s="28" t="str">
        <x:v>S</x:v>
      </x:c>
      <x:c r="D23" s="28" t="str">
        <x:v>Avoid a land that can fail to produce mana in early turns; a basic Forest is always online.</x:v>
      </x:c>
      <x:c r="E23" s="28" t="str">
        <x:v>Keep 35 physical lands; improve early reliability/poison access</x:v>
      </x:c>
      <x:c r="F23" s="28" t="str">
        <x:v>Projected — not playtested</x:v>
      </x:c>
      <x:c r="G23" s="28" t="str">
        <x:v>High</x:v>
      </x:c>
    </x:row>
    <x:row r="24">
      <x:c r="A24" s="28" t="str">
        <x:v>Throne of the High City</x:v>
      </x:c>
      <x:c r="B24" s="28" t="str">
        <x:v>Inkmoth Nexus</x:v>
      </x:c>
      <x:c r="C24" s="28" t="str">
        <x:v>A</x:v>
      </x:c>
      <x:c r="D24" s="28" t="str">
        <x:v>Monarchy is a side quest; Inkmoth supplies evasive infect pressure and can become a poison carrier.</x:v>
      </x:c>
      <x:c r="E24" s="28" t="str">
        <x:v>Keep 35 physical lands; improve early reliability/poison access</x:v>
      </x:c>
      <x:c r="F24" s="28" t="str">
        <x:v>Projected — not playtested</x:v>
      </x:c>
      <x:c r="G24" s="28" t="str">
        <x:v>High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0a1fec0a1b24098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" hidden="0" customWidth="1"/>
    <x:col min="3" max="3" width="16" hidden="0" customWidth="1"/>
    <x:col min="4" max="4" width="8" hidden="0" customWidth="1"/>
    <x:col min="5" max="5" width="22" hidden="0" customWidth="1"/>
    <x:col min="6" max="6" width="10" hidden="0" customWidth="1"/>
    <x:col min="7" max="7" width="20" hidden="0" customWidth="1"/>
  </x:cols>
  <x:sheetData>
    <x:row r="1" ht="32" customHeight="1">
      <x:c r="A1" s="54" t="str">
        <x:v>V2 PROJECTED DECKLIST</x:v>
      </x:c>
      <x:c r="B1" s="54"/>
      <x:c r="C1" s="54"/>
      <x:c r="D1" s="54"/>
      <x:c r="E1" s="54"/>
      <x:c r="F1" s="54"/>
      <x:c r="G1" s="54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30" customHeight="1">
      <x:c r="A2" s="11" t="str">
        <x:v>Current list is preserved in the matrix and Current List tab. V2 is a proposal, not a tested list.</x:v>
      </x:c>
      <x:c r="B2" s="11"/>
      <x:c r="C2" s="11"/>
      <x:c r="D2" s="11"/>
      <x:c r="E2" s="11"/>
      <x:c r="F2" s="11"/>
      <x:c r="G2" s="11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Card</x:v>
      </x:c>
      <x:c r="B4" s="20" t="str">
        <x:v>Qty</x:v>
      </x:c>
      <x:c r="C4" s="20" t="str">
        <x:v>Zone</x:v>
      </x:c>
      <x:c r="D4" s="20" t="str">
        <x:v>MV</x:v>
      </x:c>
      <x:c r="E4" s="20" t="str">
        <x:v>Primary Group</x:v>
      </x:c>
      <x:c r="F4" s="20" t="str">
        <x:v>Tier</x:v>
      </x:c>
      <x:c r="G4" s="20" t="str">
        <x:v>Status</x:v>
      </x:c>
    </x:row>
    <x:row r="5">
      <x:c r="A5" s="28" t="str">
        <x:v>Fynn, the Fangbearer</x:v>
      </x:c>
      <x:c r="B5" s="46" t="n">
        <x:v>1</x:v>
      </x:c>
      <x:c r="C5" s="28" t="str">
        <x:v>Commander</x:v>
      </x:c>
      <x:c r="D5" s="46" t="n">
        <x:v>2</x:v>
      </x:c>
      <x:c r="E5" s="28" t="str">
        <x:v>Commander</x:v>
      </x:c>
      <x:c r="F5" s="28" t="str">
        <x:v>S</x:v>
      </x:c>
      <x:c r="G5" s="28" t="str">
        <x:v>LOCK / CORE</x:v>
      </x:c>
    </x:row>
    <x:row r="6">
      <x:c r="A6" s="28" t="str">
        <x:v>Forest</x:v>
      </x:c>
      <x:c r="B6" s="46" t="n">
        <x:v>31</x:v>
      </x:c>
      <x:c r="C6" s="28" t="str">
        <x:v>Land</x:v>
      </x:c>
      <x:c r="D6" s="46" t="n">
        <x:v>0</x:v>
      </x:c>
      <x:c r="E6" s="28" t="str">
        <x:v>Mana Base</x:v>
      </x:c>
      <x:c r="F6" s="28" t="str">
        <x:v>—</x:v>
      </x:c>
      <x:c r="G6" s="28" t="str">
        <x:v>LAND CORE</x:v>
      </x:c>
    </x:row>
    <x:row r="7">
      <x:c r="A7" s="28" t="str">
        <x:v>Blighted Woodland</x:v>
      </x:c>
      <x:c r="B7" s="46" t="n">
        <x:v>1</x:v>
      </x:c>
      <x:c r="C7" s="28" t="str">
        <x:v>Land</x:v>
      </x:c>
      <x:c r="D7" s="46" t="n">
        <x:v>0</x:v>
      </x:c>
      <x:c r="E7" s="28" t="str">
        <x:v>Mana Base</x:v>
      </x:c>
      <x:c r="F7" s="28" t="str">
        <x:v>—</x:v>
      </x:c>
      <x:c r="G7" s="28" t="str">
        <x:v>LAND CORE</x:v>
      </x:c>
    </x:row>
    <x:row r="8">
      <x:c r="A8" s="28" t="str">
        <x:v>Karn's Bastion</x:v>
      </x:c>
      <x:c r="B8" s="46" t="n">
        <x:v>1</x:v>
      </x:c>
      <x:c r="C8" s="28" t="str">
        <x:v>Land</x:v>
      </x:c>
      <x:c r="D8" s="46" t="n">
        <x:v>0</x:v>
      </x:c>
      <x:c r="E8" s="28" t="str">
        <x:v>Mana Base</x:v>
      </x:c>
      <x:c r="F8" s="28" t="str">
        <x:v>—</x:v>
      </x:c>
      <x:c r="G8" s="28" t="str">
        <x:v>LAND CORE</x:v>
      </x:c>
    </x:row>
    <x:row r="9">
      <x:c r="A9" s="28" t="str">
        <x:v>Myriad Landscape</x:v>
      </x:c>
      <x:c r="B9" s="46" t="n">
        <x:v>1</x:v>
      </x:c>
      <x:c r="C9" s="28" t="str">
        <x:v>Land</x:v>
      </x:c>
      <x:c r="D9" s="46" t="n">
        <x:v>0</x:v>
      </x:c>
      <x:c r="E9" s="28" t="str">
        <x:v>Mana Base</x:v>
      </x:c>
      <x:c r="F9" s="28" t="str">
        <x:v>—</x:v>
      </x:c>
      <x:c r="G9" s="28" t="str">
        <x:v>LAND CORE</x:v>
      </x:c>
    </x:row>
    <x:row r="10">
      <x:c r="A10" s="28" t="str">
        <x:v>Inkmoth Nexus</x:v>
      </x:c>
      <x:c r="B10" s="46" t="n">
        <x:v>1</x:v>
      </x:c>
      <x:c r="C10" s="28" t="str">
        <x:v>Land</x:v>
      </x:c>
      <x:c r="D10" s="46" t="n">
        <x:v>0</x:v>
      </x:c>
      <x:c r="E10" s="28" t="str">
        <x:v>Mana Base</x:v>
      </x:c>
      <x:c r="F10" s="28" t="str">
        <x:v>—</x:v>
      </x:c>
      <x:c r="G10" s="28" t="str">
        <x:v>LAND CORE</x:v>
      </x:c>
    </x:row>
    <x:row r="11">
      <x:c r="A11" s="28" t="str">
        <x:v>Arcane Signet</x:v>
      </x:c>
      <x:c r="B11" s="46" t="n">
        <x:v>1</x:v>
      </x:c>
      <x:c r="C11" s="28" t="str">
        <x:v>Functional</x:v>
      </x:c>
      <x:c r="D11" s="46" t="n">
        <x:v>2</x:v>
      </x:c>
      <x:c r="E11" s="28" t="str">
        <x:v>Ramp</x:v>
      </x:c>
      <x:c r="F11" s="28" t="str">
        <x:v>C</x:v>
      </x:c>
      <x:c r="G11" s="28" t="str">
        <x:v>KEEP</x:v>
      </x:c>
    </x:row>
    <x:row r="12">
      <x:c r="A12" s="28" t="str">
        <x:v>Beanstalk Giant</x:v>
      </x:c>
      <x:c r="B12" s="46" t="n">
        <x:v>1</x:v>
      </x:c>
      <x:c r="C12" s="28" t="str">
        <x:v>Functional</x:v>
      </x:c>
      <x:c r="D12" s="46" t="n">
        <x:v>7</x:v>
      </x:c>
      <x:c r="E12" s="28" t="str">
        <x:v>Ramp</x:v>
      </x:c>
      <x:c r="F12" s="28" t="str">
        <x:v>D</x:v>
      </x:c>
      <x:c r="G12" s="28" t="str">
        <x:v>KEEP</x:v>
      </x:c>
    </x:row>
    <x:row r="13">
      <x:c r="A13" s="28" t="str">
        <x:v>Enduring Vitality</x:v>
      </x:c>
      <x:c r="B13" s="46" t="n">
        <x:v>1</x:v>
      </x:c>
      <x:c r="C13" s="28" t="str">
        <x:v>Functional</x:v>
      </x:c>
      <x:c r="D13" s="46" t="n">
        <x:v>3</x:v>
      </x:c>
      <x:c r="E13" s="28" t="str">
        <x:v>Ramp</x:v>
      </x:c>
      <x:c r="F13" s="28" t="str">
        <x:v>B</x:v>
      </x:c>
      <x:c r="G13" s="28" t="str">
        <x:v>KEEP</x:v>
      </x:c>
    </x:row>
    <x:row r="14">
      <x:c r="A14" s="28" t="str">
        <x:v>Explore</x:v>
      </x:c>
      <x:c r="B14" s="46" t="n">
        <x:v>1</x:v>
      </x:c>
      <x:c r="C14" s="28" t="str">
        <x:v>Functional</x:v>
      </x:c>
      <x:c r="D14" s="46" t="n">
        <x:v>2</x:v>
      </x:c>
      <x:c r="E14" s="28" t="str">
        <x:v>Ramp</x:v>
      </x:c>
      <x:c r="F14" s="28" t="str">
        <x:v>B</x:v>
      </x:c>
      <x:c r="G14" s="28" t="str">
        <x:v>KEEP</x:v>
      </x:c>
    </x:row>
    <x:row r="15">
      <x:c r="A15" s="28" t="str">
        <x:v>Karametra's Acolyte</x:v>
      </x:c>
      <x:c r="B15" s="46" t="n">
        <x:v>1</x:v>
      </x:c>
      <x:c r="C15" s="28" t="str">
        <x:v>Functional</x:v>
      </x:c>
      <x:c r="D15" s="46" t="n">
        <x:v>4</x:v>
      </x:c>
      <x:c r="E15" s="28" t="str">
        <x:v>Ramp</x:v>
      </x:c>
      <x:c r="F15" s="28" t="str">
        <x:v>D</x:v>
      </x:c>
      <x:c r="G15" s="28" t="str">
        <x:v>KEEP</x:v>
      </x:c>
    </x:row>
    <x:row r="16">
      <x:c r="A16" s="28" t="str">
        <x:v>Kodama's Reach</x:v>
      </x:c>
      <x:c r="B16" s="46" t="n">
        <x:v>1</x:v>
      </x:c>
      <x:c r="C16" s="28" t="str">
        <x:v>Functional</x:v>
      </x:c>
      <x:c r="D16" s="46" t="n">
        <x:v>3</x:v>
      </x:c>
      <x:c r="E16" s="28" t="str">
        <x:v>Ramp</x:v>
      </x:c>
      <x:c r="F16" s="28" t="str">
        <x:v>B</x:v>
      </x:c>
      <x:c r="G16" s="28" t="str">
        <x:v>KEEP</x:v>
      </x:c>
    </x:row>
    <x:row r="17">
      <x:c r="A17" s="28" t="str">
        <x:v>Sol Ring</x:v>
      </x:c>
      <x:c r="B17" s="46" t="n">
        <x:v>1</x:v>
      </x:c>
      <x:c r="C17" s="28" t="str">
        <x:v>Functional</x:v>
      </x:c>
      <x:c r="D17" s="46" t="n">
        <x:v>1</x:v>
      </x:c>
      <x:c r="E17" s="28" t="str">
        <x:v>Ramp</x:v>
      </x:c>
      <x:c r="F17" s="28" t="str">
        <x:v>A</x:v>
      </x:c>
      <x:c r="G17" s="28" t="str">
        <x:v>KEEP</x:v>
      </x:c>
    </x:row>
    <x:row r="18">
      <x:c r="A18" s="28" t="str">
        <x:v>Wild Growth</x:v>
      </x:c>
      <x:c r="B18" s="46" t="n">
        <x:v>1</x:v>
      </x:c>
      <x:c r="C18" s="28" t="str">
        <x:v>Functional</x:v>
      </x:c>
      <x:c r="D18" s="46" t="n">
        <x:v>1</x:v>
      </x:c>
      <x:c r="E18" s="28" t="str">
        <x:v>Ramp</x:v>
      </x:c>
      <x:c r="F18" s="28" t="str">
        <x:v>A</x:v>
      </x:c>
      <x:c r="G18" s="28" t="str">
        <x:v>KEEP</x:v>
      </x:c>
    </x:row>
    <x:row r="19">
      <x:c r="A19" s="28" t="str">
        <x:v>Llanowar Elves</x:v>
      </x:c>
      <x:c r="B19" s="46" t="n">
        <x:v>1</x:v>
      </x:c>
      <x:c r="C19" s="28" t="str">
        <x:v>Functional</x:v>
      </x:c>
      <x:c r="D19" s="46" t="n">
        <x:v>1</x:v>
      </x:c>
      <x:c r="E19" s="28" t="str">
        <x:v>Ramp</x:v>
      </x:c>
      <x:c r="F19" s="28" t="str">
        <x:v>A</x:v>
      </x:c>
      <x:c r="G19" s="28" t="str">
        <x:v>IN (V2)</x:v>
      </x:c>
    </x:row>
    <x:row r="20">
      <x:c r="A20" s="28" t="str">
        <x:v>Nature's Lore</x:v>
      </x:c>
      <x:c r="B20" s="46" t="n">
        <x:v>1</x:v>
      </x:c>
      <x:c r="C20" s="28" t="str">
        <x:v>Functional</x:v>
      </x:c>
      <x:c r="D20" s="46" t="n">
        <x:v>2</x:v>
      </x:c>
      <x:c r="E20" s="28" t="str">
        <x:v>Ramp</x:v>
      </x:c>
      <x:c r="F20" s="28" t="str">
        <x:v>A</x:v>
      </x:c>
      <x:c r="G20" s="28" t="str">
        <x:v>IN (V2)</x:v>
      </x:c>
    </x:row>
    <x:row r="21">
      <x:c r="A21" s="28" t="str">
        <x:v>Endless Atlas</x:v>
      </x:c>
      <x:c r="B21" s="46" t="n">
        <x:v>1</x:v>
      </x:c>
      <x:c r="C21" s="28" t="str">
        <x:v>Functional</x:v>
      </x:c>
      <x:c r="D21" s="46" t="n">
        <x:v>2</x:v>
      </x:c>
      <x:c r="E21" s="28" t="str">
        <x:v>Draw</x:v>
      </x:c>
      <x:c r="F21" s="28" t="str">
        <x:v>C</x:v>
      </x:c>
      <x:c r="G21" s="28" t="str">
        <x:v>KEEP</x:v>
      </x:c>
    </x:row>
    <x:row r="22">
      <x:c r="A22" s="28" t="str">
        <x:v>Harmonize</x:v>
      </x:c>
      <x:c r="B22" s="46" t="n">
        <x:v>1</x:v>
      </x:c>
      <x:c r="C22" s="28" t="str">
        <x:v>Functional</x:v>
      </x:c>
      <x:c r="D22" s="46" t="n">
        <x:v>4</x:v>
      </x:c>
      <x:c r="E22" s="28" t="str">
        <x:v>Draw</x:v>
      </x:c>
      <x:c r="F22" s="28" t="str">
        <x:v>C</x:v>
      </x:c>
      <x:c r="G22" s="28" t="str">
        <x:v>KEEP</x:v>
      </x:c>
    </x:row>
    <x:row r="23">
      <x:c r="A23" s="28" t="str">
        <x:v>Lifecrafter's Bestiary</x:v>
      </x:c>
      <x:c r="B23" s="46" t="n">
        <x:v>1</x:v>
      </x:c>
      <x:c r="C23" s="28" t="str">
        <x:v>Functional</x:v>
      </x:c>
      <x:c r="D23" s="46" t="n">
        <x:v>3</x:v>
      </x:c>
      <x:c r="E23" s="28" t="str">
        <x:v>Draw</x:v>
      </x:c>
      <x:c r="F23" s="28" t="str">
        <x:v>B</x:v>
      </x:c>
      <x:c r="G23" s="28" t="str">
        <x:v>KEEP</x:v>
      </x:c>
    </x:row>
    <x:row r="24">
      <x:c r="A24" s="28" t="str">
        <x:v>Return of the Wildspeaker</x:v>
      </x:c>
      <x:c r="B24" s="46" t="n">
        <x:v>1</x:v>
      </x:c>
      <x:c r="C24" s="28" t="str">
        <x:v>Functional</x:v>
      </x:c>
      <x:c r="D24" s="46" t="n">
        <x:v>5</x:v>
      </x:c>
      <x:c r="E24" s="28" t="str">
        <x:v>Draw</x:v>
      </x:c>
      <x:c r="F24" s="28" t="str">
        <x:v>B</x:v>
      </x:c>
      <x:c r="G24" s="28" t="str">
        <x:v>KEEP</x:v>
      </x:c>
    </x:row>
    <x:row r="25">
      <x:c r="A25" s="28" t="str">
        <x:v>Tome of Legends</x:v>
      </x:c>
      <x:c r="B25" s="46" t="n">
        <x:v>1</x:v>
      </x:c>
      <x:c r="C25" s="28" t="str">
        <x:v>Functional</x:v>
      </x:c>
      <x:c r="D25" s="46" t="n">
        <x:v>2</x:v>
      </x:c>
      <x:c r="E25" s="28" t="str">
        <x:v>Draw</x:v>
      </x:c>
      <x:c r="F25" s="28" t="str">
        <x:v>B</x:v>
      </x:c>
      <x:c r="G25" s="28" t="str">
        <x:v>KEEP</x:v>
      </x:c>
    </x:row>
    <x:row r="26">
      <x:c r="A26" s="28" t="str">
        <x:v>Toski, Bearer of Secrets</x:v>
      </x:c>
      <x:c r="B26" s="46" t="n">
        <x:v>1</x:v>
      </x:c>
      <x:c r="C26" s="28" t="str">
        <x:v>Functional</x:v>
      </x:c>
      <x:c r="D26" s="46" t="n">
        <x:v>4</x:v>
      </x:c>
      <x:c r="E26" s="28" t="str">
        <x:v>Draw</x:v>
      </x:c>
      <x:c r="F26" s="28" t="str">
        <x:v>A</x:v>
      </x:c>
      <x:c r="G26" s="28" t="str">
        <x:v>IN (V2)</x:v>
      </x:c>
    </x:row>
    <x:row r="27">
      <x:c r="A27" s="28" t="str">
        <x:v>Ohran Frostfang</x:v>
      </x:c>
      <x:c r="B27" s="46" t="n">
        <x:v>1</x:v>
      </x:c>
      <x:c r="C27" s="28" t="str">
        <x:v>Functional</x:v>
      </x:c>
      <x:c r="D27" s="46" t="n">
        <x:v>5</x:v>
      </x:c>
      <x:c r="E27" s="28" t="str">
        <x:v>Draw</x:v>
      </x:c>
      <x:c r="F27" s="28" t="str">
        <x:v>A</x:v>
      </x:c>
      <x:c r="G27" s="28" t="str">
        <x:v>IN (V2)</x:v>
      </x:c>
    </x:row>
    <x:row r="28">
      <x:c r="A28" s="28" t="str">
        <x:v>Sylvan Library</x:v>
      </x:c>
      <x:c r="B28" s="46" t="n">
        <x:v>1</x:v>
      </x:c>
      <x:c r="C28" s="28" t="str">
        <x:v>Functional</x:v>
      </x:c>
      <x:c r="D28" s="46" t="n">
        <x:v>2</x:v>
      </x:c>
      <x:c r="E28" s="28" t="str">
        <x:v>Draw</x:v>
      </x:c>
      <x:c r="F28" s="28" t="str">
        <x:v>A</x:v>
      </x:c>
      <x:c r="G28" s="28" t="str">
        <x:v>IN (V2)</x:v>
      </x:c>
    </x:row>
    <x:row r="29">
      <x:c r="A29" s="28" t="str">
        <x:v>Acidic Slime</x:v>
      </x:c>
      <x:c r="B29" s="46" t="n">
        <x:v>1</x:v>
      </x:c>
      <x:c r="C29" s="28" t="str">
        <x:v>Functional</x:v>
      </x:c>
      <x:c r="D29" s="46" t="n">
        <x:v>5</x:v>
      </x:c>
      <x:c r="E29" s="28" t="str">
        <x:v>Removal</x:v>
      </x:c>
      <x:c r="F29" s="28" t="str">
        <x:v>C</x:v>
      </x:c>
      <x:c r="G29" s="28" t="str">
        <x:v>KEEP</x:v>
      </x:c>
    </x:row>
    <x:row r="30">
      <x:c r="A30" s="28" t="str">
        <x:v>Beast Within</x:v>
      </x:c>
      <x:c r="B30" s="46" t="n">
        <x:v>1</x:v>
      </x:c>
      <x:c r="C30" s="28" t="str">
        <x:v>Functional</x:v>
      </x:c>
      <x:c r="D30" s="46" t="n">
        <x:v>3</x:v>
      </x:c>
      <x:c r="E30" s="28" t="str">
        <x:v>Removal</x:v>
      </x:c>
      <x:c r="F30" s="28" t="str">
        <x:v>A</x:v>
      </x:c>
      <x:c r="G30" s="28" t="str">
        <x:v>KEEP</x:v>
      </x:c>
    </x:row>
    <x:row r="31">
      <x:c r="A31" s="28" t="str">
        <x:v>Bushwhack</x:v>
      </x:c>
      <x:c r="B31" s="46" t="n">
        <x:v>1</x:v>
      </x:c>
      <x:c r="C31" s="28" t="str">
        <x:v>Functional</x:v>
      </x:c>
      <x:c r="D31" s="46" t="n">
        <x:v>1</x:v>
      </x:c>
      <x:c r="E31" s="28" t="str">
        <x:v>Removal</x:v>
      </x:c>
      <x:c r="F31" s="28" t="str">
        <x:v>C</x:v>
      </x:c>
      <x:c r="G31" s="28" t="str">
        <x:v>KEEP</x:v>
      </x:c>
    </x:row>
    <x:row r="32">
      <x:c r="A32" s="28" t="str">
        <x:v>Disorienting Choice</x:v>
      </x:c>
      <x:c r="B32" s="46" t="n">
        <x:v>1</x:v>
      </x:c>
      <x:c r="C32" s="28" t="str">
        <x:v>Functional</x:v>
      </x:c>
      <x:c r="D32" s="46" t="n">
        <x:v>4</x:v>
      </x:c>
      <x:c r="E32" s="28" t="str">
        <x:v>Removal</x:v>
      </x:c>
      <x:c r="F32" s="28" t="str">
        <x:v>C</x:v>
      </x:c>
      <x:c r="G32" s="28" t="str">
        <x:v>KEEP</x:v>
      </x:c>
    </x:row>
    <x:row r="33">
      <x:c r="A33" s="28" t="str">
        <x:v>Natural Reclamation</x:v>
      </x:c>
      <x:c r="B33" s="46" t="n">
        <x:v>1</x:v>
      </x:c>
      <x:c r="C33" s="28" t="str">
        <x:v>Functional</x:v>
      </x:c>
      <x:c r="D33" s="46" t="n">
        <x:v>4</x:v>
      </x:c>
      <x:c r="E33" s="28" t="str">
        <x:v>Removal</x:v>
      </x:c>
      <x:c r="F33" s="28" t="str">
        <x:v>C</x:v>
      </x:c>
      <x:c r="G33" s="28" t="str">
        <x:v>KEEP</x:v>
      </x:c>
    </x:row>
    <x:row r="34">
      <x:c r="A34" s="28" t="str">
        <x:v>Pick Your Poison</x:v>
      </x:c>
      <x:c r="B34" s="46" t="n">
        <x:v>1</x:v>
      </x:c>
      <x:c r="C34" s="28" t="str">
        <x:v>Functional</x:v>
      </x:c>
      <x:c r="D34" s="46" t="n">
        <x:v>1</x:v>
      </x:c>
      <x:c r="E34" s="28" t="str">
        <x:v>Removal</x:v>
      </x:c>
      <x:c r="F34" s="28" t="str">
        <x:v>C</x:v>
      </x:c>
      <x:c r="G34" s="28" t="str">
        <x:v>KEEP</x:v>
      </x:c>
    </x:row>
    <x:row r="35">
      <x:c r="A35" s="28" t="str">
        <x:v>Insidious Fungus</x:v>
      </x:c>
      <x:c r="B35" s="46" t="n">
        <x:v>1</x:v>
      </x:c>
      <x:c r="C35" s="28" t="str">
        <x:v>Functional</x:v>
      </x:c>
      <x:c r="D35" s="46" t="n">
        <x:v>2</x:v>
      </x:c>
      <x:c r="E35" s="28" t="str">
        <x:v>Removal</x:v>
      </x:c>
      <x:c r="F35" s="28" t="str">
        <x:v>B</x:v>
      </x:c>
      <x:c r="G35" s="28" t="str">
        <x:v>KEEP</x:v>
      </x:c>
    </x:row>
    <x:row r="36">
      <x:c r="A36" s="28" t="str">
        <x:v>Ambush Viper</x:v>
      </x:c>
      <x:c r="B36" s="46" t="n">
        <x:v>1</x:v>
      </x:c>
      <x:c r="C36" s="28" t="str">
        <x:v>Functional</x:v>
      </x:c>
      <x:c r="D36" s="46" t="n">
        <x:v>2</x:v>
      </x:c>
      <x:c r="E36" s="28" t="str">
        <x:v>Synergy</x:v>
      </x:c>
      <x:c r="F36" s="28" t="str">
        <x:v>A</x:v>
      </x:c>
      <x:c r="G36" s="28" t="str">
        <x:v>KEEP</x:v>
      </x:c>
    </x:row>
    <x:row r="37">
      <x:c r="A37" s="28" t="str">
        <x:v>Ankle Biter</x:v>
      </x:c>
      <x:c r="B37" s="46" t="n">
        <x:v>1</x:v>
      </x:c>
      <x:c r="C37" s="28" t="str">
        <x:v>Functional</x:v>
      </x:c>
      <x:c r="D37" s="46" t="n">
        <x:v>1</x:v>
      </x:c>
      <x:c r="E37" s="28" t="str">
        <x:v>Synergy</x:v>
      </x:c>
      <x:c r="F37" s="28" t="str">
        <x:v>A</x:v>
      </x:c>
      <x:c r="G37" s="28" t="str">
        <x:v>KEEP</x:v>
      </x:c>
    </x:row>
    <x:row r="38">
      <x:c r="A38" s="28" t="str">
        <x:v>Deadly Recluse</x:v>
      </x:c>
      <x:c r="B38" s="46" t="n">
        <x:v>1</x:v>
      </x:c>
      <x:c r="C38" s="28" t="str">
        <x:v>Functional</x:v>
      </x:c>
      <x:c r="D38" s="46" t="n">
        <x:v>2</x:v>
      </x:c>
      <x:c r="E38" s="28" t="str">
        <x:v>Synergy</x:v>
      </x:c>
      <x:c r="F38" s="28" t="str">
        <x:v>B</x:v>
      </x:c>
      <x:c r="G38" s="28" t="str">
        <x:v>KEEP</x:v>
      </x:c>
    </x:row>
    <x:row r="39">
      <x:c r="A39" s="28" t="str">
        <x:v>Fang of Shigeki</x:v>
      </x:c>
      <x:c r="B39" s="46" t="n">
        <x:v>1</x:v>
      </x:c>
      <x:c r="C39" s="28" t="str">
        <x:v>Functional</x:v>
      </x:c>
      <x:c r="D39" s="46" t="n">
        <x:v>1</x:v>
      </x:c>
      <x:c r="E39" s="28" t="str">
        <x:v>Synergy</x:v>
      </x:c>
      <x:c r="F39" s="28" t="str">
        <x:v>A</x:v>
      </x:c>
      <x:c r="G39" s="28" t="str">
        <x:v>KEEP</x:v>
      </x:c>
    </x:row>
    <x:row r="40">
      <x:c r="A40" s="28" t="str">
        <x:v>Flesh Burrower</x:v>
      </x:c>
      <x:c r="B40" s="46" t="n">
        <x:v>1</x:v>
      </x:c>
      <x:c r="C40" s="28" t="str">
        <x:v>Functional</x:v>
      </x:c>
      <x:c r="D40" s="46" t="n">
        <x:v>2</x:v>
      </x:c>
      <x:c r="E40" s="28" t="str">
        <x:v>Synergy</x:v>
      </x:c>
      <x:c r="F40" s="28" t="str">
        <x:v>A</x:v>
      </x:c>
      <x:c r="G40" s="28" t="str">
        <x:v>KEEP</x:v>
      </x:c>
    </x:row>
    <x:row r="41">
      <x:c r="A41" s="28" t="str">
        <x:v>Sedge Scorpion</x:v>
      </x:c>
      <x:c r="B41" s="46" t="n">
        <x:v>1</x:v>
      </x:c>
      <x:c r="C41" s="28" t="str">
        <x:v>Functional</x:v>
      </x:c>
      <x:c r="D41" s="46" t="n">
        <x:v>1</x:v>
      </x:c>
      <x:c r="E41" s="28" t="str">
        <x:v>Synergy</x:v>
      </x:c>
      <x:c r="F41" s="28" t="str">
        <x:v>A</x:v>
      </x:c>
      <x:c r="G41" s="28" t="str">
        <x:v>KEEP</x:v>
      </x:c>
    </x:row>
    <x:row r="42">
      <x:c r="A42" s="28" t="str">
        <x:v>Tajuru Blightblade</x:v>
      </x:c>
      <x:c r="B42" s="46" t="n">
        <x:v>1</x:v>
      </x:c>
      <x:c r="C42" s="28" t="str">
        <x:v>Functional</x:v>
      </x:c>
      <x:c r="D42" s="46" t="n">
        <x:v>1</x:v>
      </x:c>
      <x:c r="E42" s="28" t="str">
        <x:v>Synergy</x:v>
      </x:c>
      <x:c r="F42" s="28" t="str">
        <x:v>A</x:v>
      </x:c>
      <x:c r="G42" s="28" t="str">
        <x:v>KEEP</x:v>
      </x:c>
    </x:row>
    <x:row r="43">
      <x:c r="A43" s="28" t="str">
        <x:v>Thornweald Archer</x:v>
      </x:c>
      <x:c r="B43" s="46" t="n">
        <x:v>1</x:v>
      </x:c>
      <x:c r="C43" s="28" t="str">
        <x:v>Functional</x:v>
      </x:c>
      <x:c r="D43" s="46" t="n">
        <x:v>2</x:v>
      </x:c>
      <x:c r="E43" s="28" t="str">
        <x:v>Synergy</x:v>
      </x:c>
      <x:c r="F43" s="28" t="str">
        <x:v>B</x:v>
      </x:c>
      <x:c r="G43" s="28" t="str">
        <x:v>KEEP</x:v>
      </x:c>
    </x:row>
    <x:row r="44">
      <x:c r="A44" s="28" t="str">
        <x:v>Wasteland Viper</x:v>
      </x:c>
      <x:c r="B44" s="46" t="n">
        <x:v>1</x:v>
      </x:c>
      <x:c r="C44" s="28" t="str">
        <x:v>Functional</x:v>
      </x:c>
      <x:c r="D44" s="46" t="n">
        <x:v>1</x:v>
      </x:c>
      <x:c r="E44" s="28" t="str">
        <x:v>Synergy</x:v>
      </x:c>
      <x:c r="F44" s="28" t="str">
        <x:v>A</x:v>
      </x:c>
      <x:c r="G44" s="28" t="str">
        <x:v>IN (V2)</x:v>
      </x:c>
    </x:row>
    <x:row r="45">
      <x:c r="A45" s="28" t="str">
        <x:v>Moss Viper</x:v>
      </x:c>
      <x:c r="B45" s="46" t="n">
        <x:v>1</x:v>
      </x:c>
      <x:c r="C45" s="28" t="str">
        <x:v>Functional</x:v>
      </x:c>
      <x:c r="D45" s="46" t="n">
        <x:v>1</x:v>
      </x:c>
      <x:c r="E45" s="28" t="str">
        <x:v>Synergy</x:v>
      </x:c>
      <x:c r="F45" s="28" t="str">
        <x:v>A</x:v>
      </x:c>
      <x:c r="G45" s="28" t="str">
        <x:v>IN (V2)</x:v>
      </x:c>
    </x:row>
    <x:row r="46">
      <x:c r="A46" s="28" t="str">
        <x:v>Narnam Renegade</x:v>
      </x:c>
      <x:c r="B46" s="46" t="n">
        <x:v>1</x:v>
      </x:c>
      <x:c r="C46" s="28" t="str">
        <x:v>Functional</x:v>
      </x:c>
      <x:c r="D46" s="46" t="n">
        <x:v>1</x:v>
      </x:c>
      <x:c r="E46" s="28" t="str">
        <x:v>Synergy</x:v>
      </x:c>
      <x:c r="F46" s="28" t="str">
        <x:v>A</x:v>
      </x:c>
      <x:c r="G46" s="28" t="str">
        <x:v>IN (V2)</x:v>
      </x:c>
    </x:row>
    <x:row r="47">
      <x:c r="A47" s="28" t="str">
        <x:v>Gnarlwood Dryad</x:v>
      </x:c>
      <x:c r="B47" s="46" t="n">
        <x:v>1</x:v>
      </x:c>
      <x:c r="C47" s="28" t="str">
        <x:v>Functional</x:v>
      </x:c>
      <x:c r="D47" s="46" t="n">
        <x:v>1</x:v>
      </x:c>
      <x:c r="E47" s="28" t="str">
        <x:v>Synergy</x:v>
      </x:c>
      <x:c r="F47" s="28" t="str">
        <x:v>A</x:v>
      </x:c>
      <x:c r="G47" s="28" t="str">
        <x:v>IN (V2)</x:v>
      </x:c>
    </x:row>
    <x:row r="48">
      <x:c r="A48" s="28" t="str">
        <x:v>Collective Resistance</x:v>
      </x:c>
      <x:c r="B48" s="46" t="n">
        <x:v>1</x:v>
      </x:c>
      <x:c r="C48" s="28" t="str">
        <x:v>Functional</x:v>
      </x:c>
      <x:c r="D48" s="46" t="n">
        <x:v>2</x:v>
      </x:c>
      <x:c r="E48" s="28" t="str">
        <x:v>Protection</x:v>
      </x:c>
      <x:c r="F48" s="28" t="str">
        <x:v>C</x:v>
      </x:c>
      <x:c r="G48" s="28" t="str">
        <x:v>KEEP</x:v>
      </x:c>
    </x:row>
    <x:row r="49">
      <x:c r="A49" s="28" t="str">
        <x:v>Horrid Vigor</x:v>
      </x:c>
      <x:c r="B49" s="46" t="n">
        <x:v>1</x:v>
      </x:c>
      <x:c r="C49" s="28" t="str">
        <x:v>Functional</x:v>
      </x:c>
      <x:c r="D49" s="46" t="n">
        <x:v>2</x:v>
      </x:c>
      <x:c r="E49" s="28" t="str">
        <x:v>Protection</x:v>
      </x:c>
      <x:c r="F49" s="28" t="str">
        <x:v>B</x:v>
      </x:c>
      <x:c r="G49" s="28" t="str">
        <x:v>KEEP</x:v>
      </x:c>
    </x:row>
    <x:row r="50">
      <x:c r="A50" s="28" t="str">
        <x:v>Lightning Greaves</x:v>
      </x:c>
      <x:c r="B50" s="46" t="n">
        <x:v>1</x:v>
      </x:c>
      <x:c r="C50" s="28" t="str">
        <x:v>Functional</x:v>
      </x:c>
      <x:c r="D50" s="46" t="n">
        <x:v>2</x:v>
      </x:c>
      <x:c r="E50" s="28" t="str">
        <x:v>Protection</x:v>
      </x:c>
      <x:c r="F50" s="28" t="str">
        <x:v>A</x:v>
      </x:c>
      <x:c r="G50" s="28" t="str">
        <x:v>KEEP</x:v>
      </x:c>
    </x:row>
    <x:row r="51">
      <x:c r="A51" s="28" t="str">
        <x:v>Snakeskin Veil</x:v>
      </x:c>
      <x:c r="B51" s="46" t="n">
        <x:v>1</x:v>
      </x:c>
      <x:c r="C51" s="28" t="str">
        <x:v>Functional</x:v>
      </x:c>
      <x:c r="D51" s="46" t="n">
        <x:v>1</x:v>
      </x:c>
      <x:c r="E51" s="28" t="str">
        <x:v>Protection</x:v>
      </x:c>
      <x:c r="F51" s="28" t="str">
        <x:v>B</x:v>
      </x:c>
      <x:c r="G51" s="28" t="str">
        <x:v>KEEP</x:v>
      </x:c>
    </x:row>
    <x:row r="52">
      <x:c r="A52" s="28" t="str">
        <x:v>Swiftfoot Boots</x:v>
      </x:c>
      <x:c r="B52" s="46" t="n">
        <x:v>1</x:v>
      </x:c>
      <x:c r="C52" s="28" t="str">
        <x:v>Functional</x:v>
      </x:c>
      <x:c r="D52" s="46" t="n">
        <x:v>2</x:v>
      </x:c>
      <x:c r="E52" s="28" t="str">
        <x:v>Protection</x:v>
      </x:c>
      <x:c r="F52" s="28" t="str">
        <x:v>B</x:v>
      </x:c>
      <x:c r="G52" s="28" t="str">
        <x:v>KEEP</x:v>
      </x:c>
    </x:row>
    <x:row r="53">
      <x:c r="A53" s="28" t="str">
        <x:v>Heroic Intervention</x:v>
      </x:c>
      <x:c r="B53" s="46" t="n">
        <x:v>1</x:v>
      </x:c>
      <x:c r="C53" s="28" t="str">
        <x:v>Functional</x:v>
      </x:c>
      <x:c r="D53" s="46" t="n">
        <x:v>2</x:v>
      </x:c>
      <x:c r="E53" s="28" t="str">
        <x:v>Protection</x:v>
      </x:c>
      <x:c r="F53" s="28" t="str">
        <x:v>A</x:v>
      </x:c>
      <x:c r="G53" s="28" t="str">
        <x:v>IN (V2)</x:v>
      </x:c>
    </x:row>
    <x:row r="54">
      <x:c r="A54" s="28" t="str">
        <x:v>Tyvar's Stand</x:v>
      </x:c>
      <x:c r="B54" s="46" t="n">
        <x:v>1</x:v>
      </x:c>
      <x:c r="C54" s="28" t="str">
        <x:v>Functional</x:v>
      </x:c>
      <x:c r="D54" s="46" t="n">
        <x:v>1</x:v>
      </x:c>
      <x:c r="E54" s="28" t="str">
        <x:v>Protection</x:v>
      </x:c>
      <x:c r="F54" s="28" t="str">
        <x:v>A</x:v>
      </x:c>
      <x:c r="G54" s="28" t="str">
        <x:v>IN (V2)</x:v>
      </x:c>
    </x:row>
    <x:row r="55">
      <x:c r="A55" s="28" t="str">
        <x:v>Aspect of Hydra</x:v>
      </x:c>
      <x:c r="B55" s="46" t="n">
        <x:v>1</x:v>
      </x:c>
      <x:c r="C55" s="28" t="str">
        <x:v>Functional</x:v>
      </x:c>
      <x:c r="D55" s="46" t="n">
        <x:v>1</x:v>
      </x:c>
      <x:c r="E55" s="28" t="str">
        <x:v>Buff + WinCon</x:v>
      </x:c>
      <x:c r="F55" s="28" t="str">
        <x:v>D</x:v>
      </x:c>
      <x:c r="G55" s="28" t="str">
        <x:v>KEEP</x:v>
      </x:c>
    </x:row>
    <x:row r="56">
      <x:c r="A56" s="28" t="str">
        <x:v>Rancor</x:v>
      </x:c>
      <x:c r="B56" s="46" t="n">
        <x:v>1</x:v>
      </x:c>
      <x:c r="C56" s="28" t="str">
        <x:v>Functional</x:v>
      </x:c>
      <x:c r="D56" s="46" t="n">
        <x:v>1</x:v>
      </x:c>
      <x:c r="E56" s="28" t="str">
        <x:v>Buff + WinCon</x:v>
      </x:c>
      <x:c r="F56" s="28" t="str">
        <x:v>A</x:v>
      </x:c>
      <x:c r="G56" s="28" t="str">
        <x:v>IN (V2)</x:v>
      </x:c>
    </x:row>
    <x:row r="57">
      <x:c r="A57" s="28" t="str">
        <x:v>Strength in Numbers</x:v>
      </x:c>
      <x:c r="B57" s="46" t="n">
        <x:v>1</x:v>
      </x:c>
      <x:c r="C57" s="28" t="str">
        <x:v>Functional</x:v>
      </x:c>
      <x:c r="D57" s="46" t="n">
        <x:v>1</x:v>
      </x:c>
      <x:c r="E57" s="28" t="str">
        <x:v>Buff + WinCon</x:v>
      </x:c>
      <x:c r="F57" s="28" t="str">
        <x:v>C</x:v>
      </x:c>
      <x:c r="G57" s="28" t="str">
        <x:v>KEEP</x:v>
      </x:c>
    </x:row>
    <x:row r="58">
      <x:c r="A58" s="28" t="str">
        <x:v>Triumph of the Hordes</x:v>
      </x:c>
      <x:c r="B58" s="46" t="n">
        <x:v>1</x:v>
      </x:c>
      <x:c r="C58" s="28" t="str">
        <x:v>Functional</x:v>
      </x:c>
      <x:c r="D58" s="46" t="n">
        <x:v>4</x:v>
      </x:c>
      <x:c r="E58" s="28" t="str">
        <x:v>Buff + WinCon</x:v>
      </x:c>
      <x:c r="F58" s="28" t="str">
        <x:v>A</x:v>
      </x:c>
      <x:c r="G58" s="28" t="str">
        <x:v>IN (V2)</x:v>
      </x:c>
    </x:row>
    <x:row r="59">
      <x:c r="A59" s="28" t="str">
        <x:v>Branchblight Stalker</x:v>
      </x:c>
      <x:c r="B59" s="46" t="n">
        <x:v>1</x:v>
      </x:c>
      <x:c r="C59" s="28" t="str">
        <x:v>Functional</x:v>
      </x:c>
      <x:c r="D59" s="46" t="n">
        <x:v>2</x:v>
      </x:c>
      <x:c r="E59" s="28" t="str">
        <x:v>Buff + WinCon</x:v>
      </x:c>
      <x:c r="F59" s="28" t="str">
        <x:v>D</x:v>
      </x:c>
      <x:c r="G59" s="28" t="str">
        <x:v>KEEP</x:v>
      </x:c>
    </x:row>
    <x:row r="60">
      <x:c r="A60" s="28" t="str">
        <x:v>Bloated Contaminator</x:v>
      </x:c>
      <x:c r="B60" s="46" t="n">
        <x:v>1</x:v>
      </x:c>
      <x:c r="C60" s="28" t="str">
        <x:v>Functional</x:v>
      </x:c>
      <x:c r="D60" s="46" t="n">
        <x:v>3</x:v>
      </x:c>
      <x:c r="E60" s="28" t="str">
        <x:v>Buff + WinCon</x:v>
      </x:c>
      <x:c r="F60" s="28" t="str">
        <x:v>A</x:v>
      </x:c>
      <x:c r="G60" s="28" t="str">
        <x:v>KEEP</x:v>
      </x:c>
    </x:row>
    <x:row r="61">
      <x:c r="A61" s="28" t="str">
        <x:v>Adaptive Sporesinger</x:v>
      </x:c>
      <x:c r="B61" s="46" t="n">
        <x:v>1</x:v>
      </x:c>
      <x:c r="C61" s="28" t="str">
        <x:v>Functional</x:v>
      </x:c>
      <x:c r="D61" s="46" t="n">
        <x:v>3</x:v>
      </x:c>
      <x:c r="E61" s="28" t="str">
        <x:v>Proliferate</x:v>
      </x:c>
      <x:c r="F61" s="28" t="str">
        <x:v>C</x:v>
      </x:c>
      <x:c r="G61" s="28" t="str">
        <x:v>KEEP</x:v>
      </x:c>
    </x:row>
    <x:row r="62">
      <x:c r="A62" s="28" t="str">
        <x:v>Cankerbloom</x:v>
      </x:c>
      <x:c r="B62" s="46" t="n">
        <x:v>1</x:v>
      </x:c>
      <x:c r="C62" s="28" t="str">
        <x:v>Functional</x:v>
      </x:c>
      <x:c r="D62" s="46" t="n">
        <x:v>2</x:v>
      </x:c>
      <x:c r="E62" s="28" t="str">
        <x:v>Proliferate</x:v>
      </x:c>
      <x:c r="F62" s="28" t="str">
        <x:v>A</x:v>
      </x:c>
      <x:c r="G62" s="28" t="str">
        <x:v>KEEP</x:v>
      </x:c>
    </x:row>
    <x:row r="63">
      <x:c r="A63" s="28" t="str">
        <x:v>Expand the Sphere</x:v>
      </x:c>
      <x:c r="B63" s="46" t="n">
        <x:v>1</x:v>
      </x:c>
      <x:c r="C63" s="28" t="str">
        <x:v>Functional</x:v>
      </x:c>
      <x:c r="D63" s="46" t="n">
        <x:v>3</x:v>
      </x:c>
      <x:c r="E63" s="28" t="str">
        <x:v>Proliferate</x:v>
      </x:c>
      <x:c r="F63" s="28" t="str">
        <x:v>B</x:v>
      </x:c>
      <x:c r="G63" s="28" t="str">
        <x:v>KEEP</x:v>
      </x:c>
    </x:row>
    <x:row r="64">
      <x:c r="A64" s="28" t="str">
        <x:v>Pollenbright Druid</x:v>
      </x:c>
      <x:c r="B64" s="46" t="n">
        <x:v>1</x:v>
      </x:c>
      <x:c r="C64" s="28" t="str">
        <x:v>Functional</x:v>
      </x:c>
      <x:c r="D64" s="46" t="n">
        <x:v>2</x:v>
      </x:c>
      <x:c r="E64" s="28" t="str">
        <x:v>Proliferate</x:v>
      </x:c>
      <x:c r="F64" s="28" t="str">
        <x:v>C</x:v>
      </x:c>
      <x:c r="G64" s="28" t="str">
        <x:v>KEEP</x:v>
      </x:c>
    </x:row>
    <x:row r="65">
      <x:c r="A65" s="28" t="str">
        <x:v>Evolution Sage</x:v>
      </x:c>
      <x:c r="B65" s="46" t="n">
        <x:v>1</x:v>
      </x:c>
      <x:c r="C65" s="28" t="str">
        <x:v>Functional</x:v>
      </x:c>
      <x:c r="D65" s="46" t="n">
        <x:v>3</x:v>
      </x:c>
      <x:c r="E65" s="28" t="str">
        <x:v>Proliferate</x:v>
      </x:c>
      <x:c r="F65" s="28" t="str">
        <x:v>A</x:v>
      </x:c>
      <x:c r="G65" s="28" t="str">
        <x:v>IN (V2)</x:v>
      </x:c>
    </x:row>
    <x:row r="66">
      <x:c r="A66" s="28" t="str">
        <x:v>Contagion Clasp</x:v>
      </x:c>
      <x:c r="B66" s="46" t="n">
        <x:v>1</x:v>
      </x:c>
      <x:c r="C66" s="28" t="str">
        <x:v>Functional</x:v>
      </x:c>
      <x:c r="D66" s="46" t="n">
        <x:v>2</x:v>
      </x:c>
      <x:c r="E66" s="28" t="str">
        <x:v>Proliferate</x:v>
      </x:c>
      <x:c r="F66" s="28" t="str">
        <x:v>B</x:v>
      </x:c>
      <x:c r="G66" s="28" t="str">
        <x:v>IN (V2)</x:v>
      </x:c>
    </x:row>
    <x:row r="67">
      <x:c r="A67" s="28" t="str">
        <x:v>Basilisk Collar</x:v>
      </x:c>
      <x:c r="B67" s="46" t="n">
        <x:v>1</x:v>
      </x:c>
      <x:c r="C67" s="28" t="str">
        <x:v>Functional</x:v>
      </x:c>
      <x:c r="D67" s="46" t="n">
        <x:v>1</x:v>
      </x:c>
      <x:c r="E67" s="28" t="str">
        <x:v>Dupla Função</x:v>
      </x:c>
      <x:c r="F67" s="28" t="str">
        <x:v>B</x:v>
      </x:c>
      <x:c r="G67" s="28" t="str">
        <x:v>KEEP</x:v>
      </x:c>
    </x:row>
    <x:row r="68">
      <x:c r="A68" s="28" t="str">
        <x:v>Glistening Sphere</x:v>
      </x:c>
      <x:c r="B68" s="46" t="n">
        <x:v>1</x:v>
      </x:c>
      <x:c r="C68" s="28" t="str">
        <x:v>Functional</x:v>
      </x:c>
      <x:c r="D68" s="46" t="n">
        <x:v>3</x:v>
      </x:c>
      <x:c r="E68" s="28" t="str">
        <x:v>Dupla Função</x:v>
      </x:c>
      <x:c r="F68" s="28" t="str">
        <x:v>C</x:v>
      </x:c>
      <x:c r="G68" s="28" t="str">
        <x:v>KEEP</x:v>
      </x:c>
    </x:row>
    <x:row r="69">
      <x:c r="A69" s="28" t="str">
        <x:v>Hornet Queen</x:v>
      </x:c>
      <x:c r="B69" s="46" t="n">
        <x:v>1</x:v>
      </x:c>
      <x:c r="C69" s="28" t="str">
        <x:v>Functional</x:v>
      </x:c>
      <x:c r="D69" s="46" t="n">
        <x:v>7</x:v>
      </x:c>
      <x:c r="E69" s="28" t="str">
        <x:v>Dupla Função</x:v>
      </x:c>
      <x:c r="F69" s="28" t="str">
        <x:v>B</x:v>
      </x:c>
      <x:c r="G69" s="28" t="str">
        <x:v>KEEP</x:v>
      </x:c>
    </x:row>
    <x:row r="70">
      <x:c r="A70" s="28" t="str">
        <x:v>Plague Myr</x:v>
      </x:c>
      <x:c r="B70" s="46" t="n">
        <x:v>1</x:v>
      </x:c>
      <x:c r="C70" s="28" t="str">
        <x:v>Functional</x:v>
      </x:c>
      <x:c r="D70" s="46" t="n">
        <x:v>2</x:v>
      </x:c>
      <x:c r="E70" s="28" t="str">
        <x:v>Dupla Função</x:v>
      </x:c>
      <x:c r="F70" s="28" t="str">
        <x:v>B</x:v>
      </x:c>
      <x:c r="G70" s="28" t="str">
        <x:v>KEEP</x:v>
      </x:c>
    </x:row>
    <x:row r="71">
      <x:c r="A71" s="28" t="str">
        <x:v>Yavimaya Elder</x:v>
      </x:c>
      <x:c r="B71" s="46" t="n">
        <x:v>1</x:v>
      </x:c>
      <x:c r="C71" s="28" t="str">
        <x:v>Functional</x:v>
      </x:c>
      <x:c r="D71" s="46" t="n">
        <x:v>3</x:v>
      </x:c>
      <x:c r="E71" s="28" t="str">
        <x:v>Dupla Função</x:v>
      </x:c>
      <x:c r="F71" s="28" t="str">
        <x:v>C</x:v>
      </x:c>
      <x:c r="G71" s="28" t="str">
        <x:v>KEEP</x:v>
      </x:c>
    </x:row>
    <x:row r="72">
      <x:c r="A72" s="28" t="str">
        <x:v>Infectious Bite</x:v>
      </x:c>
      <x:c r="B72" s="46" t="n">
        <x:v>1</x:v>
      </x:c>
      <x:c r="C72" s="28" t="str">
        <x:v>Functional</x:v>
      </x:c>
      <x:c r="D72" s="46" t="n">
        <x:v>2</x:v>
      </x:c>
      <x:c r="E72" s="28" t="str">
        <x:v>Dupla Função</x:v>
      </x:c>
      <x:c r="F72" s="28" t="str">
        <x:v>A</x:v>
      </x:c>
      <x:c r="G72" s="28" t="str">
        <x:v>IN (V2)</x:v>
      </x:c>
    </x:row>
    <x:row r="73">
      <x:c r="A73" s="28" t="str">
        <x:v>Venerated Rotpriest</x:v>
      </x:c>
      <x:c r="B73" s="46" t="n">
        <x:v>1</x:v>
      </x:c>
      <x:c r="C73" s="28" t="str">
        <x:v>Functional</x:v>
      </x:c>
      <x:c r="D73" s="46" t="n">
        <x:v>2</x:v>
      </x:c>
      <x:c r="E73" s="28" t="str">
        <x:v>Dupla Função</x:v>
      </x:c>
      <x:c r="F73" s="28" t="str">
        <x:v>B</x:v>
      </x:c>
      <x:c r="G73" s="28" t="str">
        <x:v>IN (V2)</x:v>
      </x:c>
    </x:row>
    <x:row r="74">
      <x:c r="A74" s="28" t="str">
        <x:v>Trailblazer's Boots</x:v>
      </x:c>
      <x:c r="B74" s="46" t="n">
        <x:v>1</x:v>
      </x:c>
      <x:c r="C74" s="28" t="str">
        <x:v>Functional</x:v>
      </x:c>
      <x:c r="D74" s="46" t="n">
        <x:v>2</x:v>
      </x:c>
      <x:c r="E74" s="28" t="str">
        <x:v>Dupla Função</x:v>
      </x:c>
      <x:c r="F74" s="28" t="str">
        <x:v>C</x:v>
      </x:c>
      <x:c r="G74" s="28" t="str">
        <x:v>IN (V2)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5fff939b343436d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70" hidden="0" customWidth="1"/>
    <x:col min="3" max="3" width="60" hidden="0" customWidth="1"/>
    <x:col min="4" max="4" width="16" hidden="0" customWidth="1"/>
    <x:col min="5" max="5" width="72" hidden="0" customWidth="1"/>
  </x:cols>
  <x:sheetData>
    <x:row r="1" ht="32" customHeight="1">
      <x:c r="A1" s="54" t="str">
        <x:v>SOURCES &amp; VERIFICATION</x:v>
      </x:c>
      <x:c r="B1" s="54"/>
      <x:c r="C1" s="54"/>
      <x:c r="D1" s="54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30" customHeight="1">
      <x:c r="A2" s="11" t="str">
        <x:v>Web and card data checked on 2026-10-09. Community sources are used for deck patterns, not rules authority.</x:v>
      </x:c>
      <x:c r="B2" s="11"/>
      <x:c r="C2" s="11"/>
      <x:c r="D2" s="11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Source</x:v>
      </x:c>
      <x:c r="B4" s="20" t="str">
        <x:v>URL</x:v>
      </x:c>
      <x:c r="C4" s="20" t="str">
        <x:v>Use</x:v>
      </x:c>
      <x:c r="D4" s="20" t="str">
        <x:v>Checked</x:v>
      </x:c>
      <x:c r="E4" s="20" t="str">
        <x:v>Limit / note</x:v>
      </x:c>
    </x:row>
    <x:row r="5">
      <x:c r="A5" s="28" t="str">
        <x:v>Scryfall — Fynn, the Fangbearer</x:v>
      </x:c>
      <x:c r="B5" s="28" t="str">
        <x:v>https://scryfall.com/card/fdn/637/fynn-the-fangbearer</x:v>
      </x:c>
      <x:c r="C5" s="28" t="str">
        <x:v>Oracle text / mana value / printing</x:v>
      </x:c>
      <x:c r="D5" s="28" t="str">
        <x:v>2026-10-09</x:v>
      </x:c>
      <x:c r="E5" s="28" t="str">
        <x:v>Scryfall page was provided; browser fetch returned 403, so official Wizards release notes used to confirm text.</x:v>
      </x:c>
    </x:row>
    <x:row r="6">
      <x:c r="A6" s="28" t="str">
        <x:v>EDH.Wiki — Infect</x:v>
      </x:c>
      <x:c r="B6" s="28" t="str">
        <x:v>https://edh.wiki/commanders/fynn-the-fangbearer/infect/</x:v>
      </x:c>
      <x:c r="C6" s="28" t="str">
        <x:v>Fynn-specific high-synergy infect cards and build themes</x:v>
      </x:c>
      <x:c r="D6" s="28" t="str">
        <x:v>2026-10-09</x:v>
      </x:c>
      <x:c r="E6" s="28" t="str">
        <x:v>Community recommendation, not a rules authority.</x:v>
      </x:c>
    </x:row>
    <x:row r="7">
      <x:c r="A7" s="28" t="str">
        <x:v>EDH.Wiki — Deathtouch</x:v>
      </x:c>
      <x:c r="B7" s="28" t="str">
        <x:v>https://edh.wiki/commanders/fynn-the-fangbearer/deathtouch/</x:v>
      </x:c>
      <x:c r="C7" s="28" t="str">
        <x:v>Fynn-specific high-synergy deathtouch cards and themes</x:v>
      </x:c>
      <x:c r="D7" s="28" t="str">
        <x:v>2026-10-09</x:v>
      </x:c>
      <x:c r="E7" s="28" t="str">
        <x:v>Community recommendation, not a rules authority.</x:v>
      </x:c>
    </x:row>
    <x:row r="8">
      <x:c r="A8" s="28" t="str">
        <x:v>Wizards — Final Fantasy Release Notes (Fynn ruling/text)</x:v>
      </x:c>
      <x:c r="B8" s="28" t="str">
        <x:v>https://magic.wizards.com/en/news/feature/final-fantasy-release-notes</x:v>
      </x:c>
      <x:c r="C8" s="28" t="str">
        <x:v>Oracle text and poison-loss ruling for Fynn</x:v>
      </x:c>
      <x:c r="D8" s="28" t="str">
        <x:v>2026-10-09</x:v>
      </x:c>
      <x:c r="E8" s="28" t="str">
        <x:v>Official product notes.</x:v>
      </x:c>
    </x:row>
    <x:row r="9">
      <x:c r="A9" s="28" t="str">
        <x:v>Wizards — Scars of Mirrodin Mechanics</x:v>
      </x:c>
      <x:c r="B9" s="28" t="str">
        <x:v>https://magic.wizards.com/en/news/feature/scars-of-mirrodin-mechanics</x:v>
      </x:c>
      <x:c r="C9" s="28" t="str">
        <x:v>Infect still counts as damage; damage triggers work normally; proliferate rules explanation</x:v>
      </x:c>
      <x:c r="D9" s="28" t="str">
        <x:v>2026-10-09</x:v>
      </x:c>
      <x:c r="E9" s="28" t="str">
        <x:v>Official mechanics article; used for Infect/Fynn interaction.</x:v>
      </x:c>
    </x:row>
    <x:row r="10">
      <x:c r="A10" s="28" t="str">
        <x:v>Wizards — New Phyrexia Mechanics</x:v>
      </x:c>
      <x:c r="B10" s="28" t="str">
        <x:v>https://magic.wizards.com/en/news/feature/new-phyrexia-mechanics</x:v>
      </x:c>
      <x:c r="C10" s="28" t="str">
        <x:v>Infect damage produces poison counters; ten poison loses game</x:v>
      </x:c>
      <x:c r="D10" s="28" t="str">
        <x:v>2026-10-09</x:v>
      </x:c>
      <x:c r="E10" s="28" t="str">
        <x:v>Official mechanics article.</x:v>
      </x:c>
    </x:row>
    <x:row r="11">
      <x:c r="A11" s="28" t="str">
        <x:v>MTG.WTF — Bloated Contaminator</x:v>
      </x:c>
      <x:c r="B11" s="28" t="str">
        <x:v>https://mtg.wtf/card/one/159/Bloated-Contaminator</x:v>
      </x:c>
      <x:c r="C11" s="28" t="str">
        <x:v>Verifies Toxic 1, trample, combat-damage proliferate</x:v>
      </x:c>
      <x:c r="D11" s="28" t="str">
        <x:v>2026-10-09</x:v>
      </x:c>
      <x:c r="E11" s="28" t="str">
        <x:v>Oracle text cross-check.</x:v>
      </x:c>
    </x:row>
    <x:row r="12">
      <x:c r="A12" s="28" t="str">
        <x:v>MTG.WTF — Branchblight Stalker</x:v>
      </x:c>
      <x:c r="B12" s="28" t="str">
        <x:v>https://mtg.wtf/card/one/160/Branchblight-Stalker</x:v>
      </x:c>
      <x:c r="C12" s="28" t="str">
        <x:v>Verifies Toxic 2 and no deathtouch</x:v>
      </x:c>
      <x:c r="D12" s="28" t="str">
        <x:v>2026-10-09</x:v>
      </x:c>
      <x:c r="E12" s="28" t="str">
        <x:v>Oracle text cross-check.</x:v>
      </x:c>
    </x:row>
    <x:row r="13">
      <x:c r="A13" s="28" t="str">
        <x:v>MTG.WTF — Ankle Biter</x:v>
      </x:c>
      <x:c r="B13" s="28" t="str">
        <x:v>https://mtg.wtf/card/otj/153/Ankle-Biter</x:v>
      </x:c>
      <x:c r="C13" s="28" t="str">
        <x:v>Verifies one-mana deathtouch body</x:v>
      </x:c>
      <x:c r="D13" s="28" t="str">
        <x:v>2026-10-09</x:v>
      </x:c>
      <x:c r="E13" s="28" t="str">
        <x:v>Oracle text cross-check.</x:v>
      </x:c>
    </x:row>
    <x:row r="14">
      <x:c r="A14" s="28" t="str">
        <x:v>MTG.WTF — Flesh Burrower</x:v>
      </x:c>
      <x:c r="B14" s="28" t="str">
        <x:v>https://mtg.wtf/card/dsk/178/Flesh-Burrower</x:v>
      </x:c>
      <x:c r="C14" s="28" t="str">
        <x:v>Verifies deathtouch and attack trigger granting deathtouch</x:v>
      </x:c>
      <x:c r="D14" s="28" t="str">
        <x:v>2026-10-09</x:v>
      </x:c>
      <x:c r="E14" s="28" t="str">
        <x:v>Oracle text cross-check.</x:v>
      </x:c>
    </x:row>
    <x:row r="15">
      <x:c r="A15" s="28" t="str">
        <x:v>MTG.WTF — Cankerbloom</x:v>
      </x:c>
      <x:c r="B15" s="28" t="str">
        <x:v>https://mtg.wtf/card/one/161/Cankerbloom</x:v>
      </x:c>
      <x:c r="C15" s="28" t="str">
        <x:v>Verifies sacrifice modes: artifact/enchantment removal or proliferate</x:v>
      </x:c>
      <x:c r="D15" s="28" t="str">
        <x:v>2026-10-09</x:v>
      </x:c>
      <x:c r="E15" s="28" t="str">
        <x:v>Oracle text cross-check.</x:v>
      </x:c>
    </x:row>
    <x:row r="16">
      <x:c r="A16" s="28" t="str">
        <x:v>MTG.WTF — Adaptive Sporesinger</x:v>
      </x:c>
      <x:c r="B16" s="28" t="str">
        <x:v>https://mtg.wtf/card/one/157/Adaptive-Sporesinger</x:v>
      </x:c>
      <x:c r="C16" s="28" t="str">
        <x:v>Verifies ETB mode: +2/+2/vigilance or proliferate</x:v>
      </x:c>
      <x:c r="D16" s="28" t="str">
        <x:v>2026-10-09</x:v>
      </x:c>
      <x:c r="E16" s="28" t="str">
        <x:v>Oracle text cross-check.</x:v>
      </x:c>
    </x:row>
    <x:row r="17">
      <x:c r="A17" s="28" t="str">
        <x:v>MTG.WTF — Disorienting Choice</x:v>
      </x:c>
      <x:c r="B17" s="28" t="str">
        <x:v>https://mtg.wtf/card/dsc/60/Disorienting-Choice</x:v>
      </x:c>
      <x:c r="C17" s="28" t="str">
        <x:v>Verifies opponent-choice removal/ramp clause</x:v>
      </x:c>
      <x:c r="D17" s="28" t="str">
        <x:v>2026-10-09</x:v>
      </x:c>
      <x:c r="E17" s="28" t="str">
        <x:v>Oracle text cross-check.</x:v>
      </x:c>
    </x:row>
    <x:row r="18">
      <x:c r="A18" s="28" t="str">
        <x:v>MTG.WTF — Horrid Vigor</x:v>
      </x:c>
      <x:c r="B18" s="28" t="str">
        <x:v>https://mtg.wtf/card/dsk/184/Horrid-Vigor</x:v>
      </x:c>
      <x:c r="C18" s="28" t="str">
        <x:v>Verifies targeted creature gets deathtouch and indestructible</x:v>
      </x:c>
      <x:c r="D18" s="28" t="str">
        <x:v>2026-10-09</x:v>
      </x:c>
      <x:c r="E18" s="28" t="str">
        <x:v>Oracle text cross-check.</x:v>
      </x:c>
    </x:row>
    <x:row r="19">
      <x:c r="A19" s="28" t="str">
        <x:v>MTG.WTF — Colossification</x:v>
      </x:c>
      <x:c r="B19" s="28" t="str">
        <x:v>https://mtg.wtf/card/iko/364/Colossification</x:v>
      </x:c>
      <x:c r="C19" s="28" t="str">
        <x:v>Verifies 7-MV aura taps target and grants +20/+20</x:v>
      </x:c>
      <x:c r="D19" s="28" t="str">
        <x:v>2026-10-09</x:v>
      </x:c>
      <x:c r="E19" s="28" t="str">
        <x:v>Oracle text cross-check.</x:v>
      </x:c>
    </x:row>
    <x:row r="20">
      <x:c r="A20" s="28" t="str">
        <x:v>MTG.WTF — Enduring Vitality</x:v>
      </x:c>
      <x:c r="B20" s="28" t="str">
        <x:v>https://mtg.wtf/card/dsk/176/Enduring-Vitality</x:v>
      </x:c>
      <x:c r="C20" s="28" t="str">
        <x:v>Verifies creature mana ability / death resilience</x:v>
      </x:c>
      <x:c r="D20" s="28" t="str">
        <x:v>2026-10-09</x:v>
      </x:c>
      <x:c r="E20" s="28" t="str">
        <x:v>Oracle text cross-check.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20" hidden="0" customWidth="1"/>
  </x:cols>
  <x:sheetData>
    <x:row r="1" ht="32" customHeight="1">
      <x:c r="A1" s="54" t="str">
        <x:v>READ ME — HOW TO USE THE WORKBOOK</x:v>
      </x:c>
      <x:c r="B1" s="54"/>
      <x:c r="C1" s="54"/>
      <x:c r="D1" s="54"/>
      <x:c r="E1" s="54"/>
      <x:c r="F1" s="54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30" customHeight="1">
      <x:c r="A2" s="11" t="str">
        <x:v>Interpret scores as contextual judgments, not objective card rankings.</x:v>
      </x:c>
      <x:c r="B2" s="11"/>
      <x:c r="C2" s="11"/>
      <x:c r="D2" s="11"/>
      <x:c r="E2" s="11"/>
      <x:c r="F2" s="11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Topic</x:v>
      </x:c>
      <x:c r="B4" s="20" t="str">
        <x:v>Instruction</x:v>
      </x:c>
    </x:row>
    <x:row r="5">
      <x:c r="A5" s="28" t="str">
        <x:v>Versioning</x:v>
      </x:c>
      <x:c r="B5" s="28" t="str">
        <x:v>Current columns reflect the submitted list. Projected V2 columns reflect proposed changes only.</x:v>
      </x:c>
    </x:row>
    <x:row r="6">
      <x:c r="A6" s="28" t="str">
        <x:v>Score / Tier</x:v>
      </x:c>
      <x:c r="B6" s="28" t="str">
        <x:v>0–10 measures fit with this Fynn poison-aggro plan. S ≥9.5; A 8.5–9.4; B 7.5–8.4; C 6.5–7.4; D &lt;6.5.</x:v>
      </x:c>
    </x:row>
    <x:row r="7">
      <x:c r="A7" s="28" t="str">
        <x:v>Primary group</x:v>
      </x:c>
      <x:c r="B7" s="28" t="str">
        <x:v>Each functional card appears in one primary group only so the eight groups sum to 64 functional slots. Additional roles are recorded as secondary.</x:v>
      </x:c>
    </x:row>
    <x:row r="8">
      <x:c r="A8" s="28" t="str">
        <x:v>Mana Value</x:v>
      </x:c>
      <x:c r="B8" s="28" t="str">
        <x:v>Oracle MV is used for the curve. X spells are shown at MV 1 in the library; their practical cast cost varies. Beanstalk Giant has MV 7 even though its Adventure side costs 3.</x:v>
      </x:c>
    </x:row>
    <x:row r="9">
      <x:c r="A9" s="28" t="str">
        <x:v>Land math</x:v>
      </x:c>
      <x:c r="B9" s="28" t="str">
        <x:v>Current: 35 physical lands + 64 functional cards + 1 commander = 100. Projected: 35 physical lands + 64 functional cards + 1 commander = 100. No MDFCs.</x:v>
      </x:c>
    </x:row>
    <x:row r="10">
      <x:c r="A10" s="28" t="str">
        <x:v>Color identity</x:v>
      </x:c>
      <x:c r="B10" s="28" t="str">
        <x:v>The list is constructed as mono-green plus colorless cards/lands; no off-color card was identified in the submitted names.</x:v>
      </x:c>
    </x:row>
    <x:row r="11">
      <x:c r="A11" s="28" t="str">
        <x:v>Playtest honesty</x:v>
      </x:c>
      <x:c r="B11" s="28" t="str">
        <x:v>Current score 5.9/10 and projected score 8.6/10 are qualitative estimates. Neither reflects verified table outcomes.</x:v>
      </x:c>
    </x:row>
    <x:row r="12">
      <x:c r="A12" s="28" t="str">
        <x:v>Foil marker</x:v>
      </x:c>
      <x:c r="B12" s="28" t="str">
        <x:v>The original list's *F* markers and set/collector information are preserved on the Current List tab.</x:v>
      </x:c>
    </x:row>
    <x:row r="13">
      <x:c r="A13" s="28" t="str">
        <x:v>Upgrade discipline</x:v>
      </x:c>
      <x:c r="B13" s="28" t="str">
        <x:v>The proposed changes are an initial 20-change package; do not assume every cut is universally correct if the local meta is flyer-heavy.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72" hidden="0" customWidth="1"/>
  </x:cols>
  <x:sheetData>
    <x:row r="1" ht="32" customHeight="1">
      <x:c r="A1" s="54" t="str">
        <x:v>HANDOVER MASTER — COMPLIANCE CHECK</x:v>
      </x:c>
      <x:c r="B1" s="54"/>
      <x:c r="C1" s="54"/>
      <x:c r="D1" s="54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30" customHeight="1">
      <x:c r="A2" s="11" t="str">
        <x:v>Validated against the operational requirements used for this project.</x:v>
      </x:c>
      <x:c r="B2" s="11"/>
      <x:c r="C2" s="11"/>
      <x:c r="D2" s="11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Control</x:v>
      </x:c>
      <x:c r="B4" s="20" t="str">
        <x:v>Pass?</x:v>
      </x:c>
      <x:c r="C4" s="20" t="str">
        <x:v>Evidence / Notes</x:v>
      </x:c>
    </x:row>
    <x:row r="5">
      <x:c r="A5" s="28" t="str">
        <x:v>100-card count — Current</x:v>
      </x:c>
      <x:c r="B5" s="52" t="b">
        <x:v>1</x:v>
      </x:c>
      <x:c r="C5" s="28" t="str">
        <x:v>Commander + 99</x:v>
      </x:c>
    </x:row>
    <x:row r="6">
      <x:c r="A6" s="28" t="str">
        <x:v>100-card count — Projected</x:v>
      </x:c>
      <x:c r="B6" s="52" t="b">
        <x:v>1</x:v>
      </x:c>
      <x:c r="C6" s="28" t="str">
        <x:v>Commander + 99</x:v>
      </x:c>
    </x:row>
    <x:row r="7">
      <x:c r="A7" s="28" t="str">
        <x:v>One commander</x:v>
      </x:c>
      <x:c r="B7" s="52" t="b">
        <x:v>1</x:v>
      </x:c>
      <x:c r="C7" s="28" t="str">
        <x:v>Fynn, the Fangbearer</x:v>
      </x:c>
    </x:row>
    <x:row r="8">
      <x:c r="A8" s="28" t="str">
        <x:v>35 lands — Current</x:v>
      </x:c>
      <x:c r="B8" s="52" t="b">
        <x:v>1</x:v>
      </x:c>
      <x:c r="C8" s="28" t="str">
        <x:v>Physical land count</x:v>
      </x:c>
    </x:row>
    <x:row r="9">
      <x:c r="A9" s="28" t="str">
        <x:v>35 lands — Projected</x:v>
      </x:c>
      <x:c r="B9" s="52" t="b">
        <x:v>1</x:v>
      </x:c>
      <x:c r="C9" s="28" t="str">
        <x:v>Physical land count</x:v>
      </x:c>
    </x:row>
    <x:row r="10">
      <x:c r="A10" s="28" t="str">
        <x:v>64 functional slots — Current</x:v>
      </x:c>
      <x:c r="B10" s="52" t="b">
        <x:v>1</x:v>
      </x:c>
      <x:c r="C10" s="28" t="str">
        <x:v>Primary group counts; no double counting</x:v>
      </x:c>
    </x:row>
    <x:row r="11">
      <x:c r="A11" s="28" t="str">
        <x:v>64 functional slots — Projected</x:v>
      </x:c>
      <x:c r="B11" s="52" t="b">
        <x:v>1</x:v>
      </x:c>
      <x:c r="C11" s="28" t="str">
        <x:v>Primary group counts; no double counting</x:v>
      </x:c>
    </x:row>
    <x:row r="12">
      <x:c r="A12" s="28" t="str">
        <x:v>Upgrade changes reconciled</x:v>
      </x:c>
      <x:c r="B12" s="52" t="b">
        <x:v>1</x:v>
      </x:c>
      <x:c r="C12" s="28" t="str">
        <x:v>18 functional + 2 lands</x:v>
      </x:c>
    </x:row>
    <x:row r="13">
      <x:c r="A13" s="28" t="str">
        <x:v>V2 list sums to 100</x:v>
      </x:c>
      <x:c r="B13" s="52" t="b">
        <x:v>1</x:v>
      </x:c>
      <x:c r="C13" s="28" t="str">
        <x:v>Qty-weighted decklist</x:v>
      </x:c>
    </x:row>
    <x:row r="14">
      <x:c r="A14" s="28" t="str">
        <x:v>Projected status honest</x:v>
      </x:c>
      <x:c r="B14" s="52" t="b">
        <x:v>1</x:v>
      </x:c>
      <x:c r="C14" s="28" t="str">
        <x:v>Not playtested; explicitly marked as projection</x:v>
      </x:c>
    </x:row>
    <x:row r="15">
      <x:c r="A15" s="28" t="str">
        <x:v>Sources documented</x:v>
      </x:c>
      <x:c r="B15" s="52" t="b">
        <x:v>1</x:v>
      </x:c>
      <x:c r="C15" s="28" t="str">
        <x:v>Source URLs and check date included</x:v>
      </x:c>
    </x:row>
    <x:row r="16">
      <x:c r="A16" s="28" t="str">
        <x:v>Original list preserved</x:v>
      </x:c>
      <x:c r="B16" s="52" t="b">
        <x:v>1</x:v>
      </x:c>
      <x:c r="C16" s="28" t="str">
        <x:v>Current List tab preserves original prints / foil markers</x:v>
      </x:c>
    </x:row>
  </x:sheetData>
  <x:mergeCells>
    <x:mergeCell ref="A1:D1"/>
    <x:mergeCell ref="A2:D2"/>
  </x:mergeCells>
  <x:conditionalFormatting sqref="B5:B16">
    <x:cfRule type="expression" dxfId="0" priority="1">
      <x:formula>B5=TRUE</x:formula>
    </x:cfRule>
    <x:cfRule type="expression" dxfId="1" priority="2">
      <x:formula>B5=FALSE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76" hidden="0" customWidth="1"/>
    <x:col min="3" max="3" width="80" hidden="0" customWidth="1"/>
    <x:col min="4" max="4" width="36" hidden="0" customWidth="1"/>
    <x:col min="5" max="5" width="68" hidden="0" customWidth="1"/>
  </x:cols>
  <x:sheetData>
    <x:row r="1" ht="32" customHeight="1">
      <x:c r="A1" s="54" t="str">
        <x:v>RULES &amp; MECHANICS RELEVANT TO FYNN</x:v>
      </x:c>
      <x:c r="B1" s="54"/>
      <x:c r="C1" s="54"/>
      <x:c r="D1" s="54"/>
      <x:c r="E1" s="54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30" customHeight="1">
      <x:c r="A2" s="11" t="str">
        <x:v>Official rules/mechanics are separated from strategic evaluation.</x:v>
      </x:c>
      <x:c r="B2" s="11"/>
      <x:c r="C2" s="11"/>
      <x:c r="D2" s="11"/>
      <x:c r="E2" s="11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Interaction</x:v>
      </x:c>
      <x:c r="B4" s="20" t="str">
        <x:v>Verified text / rule</x:v>
      </x:c>
      <x:c r="C4" s="20" t="str">
        <x:v>Implication for this deck</x:v>
      </x:c>
      <x:c r="D4" s="20" t="str">
        <x:v>Authority / type</x:v>
      </x:c>
      <x:c r="E4" s="20" t="str">
        <x:v>URL</x:v>
      </x:c>
    </x:row>
    <x:row r="5">
      <x:c r="A5" s="28" t="str">
        <x:v>Fynn trigger</x:v>
      </x:c>
      <x:c r="B5" s="28" t="str">
        <x:v>Whenever a creature you control with deathtouch deals combat damage to a player, that player gets two poison counters.</x:v>
      </x:c>
      <x:c r="C5" s="28" t="str">
        <x:v>A hit from any qualifying deathtouch creature adds two poison counters; raw power is not the main scaling axis.</x:v>
      </x:c>
      <x:c r="D5" s="28" t="str">
        <x:v>Wizards — Fynn release notes</x:v>
      </x:c>
      <x:c r="E5" s="28" t="str">
        <x:v>https://magic.wizards.com/en/news/feature/final-fantasy-release-notes</x:v>
      </x:c>
    </x:row>
    <x:row r="6">
      <x:c r="A6" s="28" t="str">
        <x:v>Infect + Fynn</x:v>
      </x:c>
      <x:c r="B6" s="28" t="str">
        <x:v>Infect damage to players is still damage; damage triggers work normally.</x:v>
      </x:c>
      <x:c r="C6" s="28" t="str">
        <x:v>A creature with both deathtouch and infect can add infect poison equal to combat damage and separately trigger Fynn for two additional counters.</x:v>
      </x:c>
      <x:c r="D6" s="28" t="str">
        <x:v>Wizards — Scars of Mirrodin mechanics</x:v>
      </x:c>
      <x:c r="E6" s="28" t="str">
        <x:v>https://magic.wizards.com/en/news/feature/scars-of-mirrodin-mechanics</x:v>
      </x:c>
    </x:row>
    <x:row r="7">
      <x:c r="A7" s="28" t="str">
        <x:v>Toxic is not Infect</x:v>
      </x:c>
      <x:c r="B7" s="28" t="str">
        <x:v>Toxic gives poison counters in addition to normal combat damage/life loss; it does not replace damage as Infect does.</x:v>
      </x:c>
      <x:c r="C7" s="28" t="str">
        <x:v>Bloated Contaminator is Toxic 1; Branchblight Stalker is Toxic 2. Neither automatically triggers Fynn because neither has deathtouch.</x:v>
      </x:c>
      <x:c r="D7" s="28" t="str">
        <x:v>Wizards — Phyrexia mechanics / card Oracle</x:v>
      </x:c>
      <x:c r="E7" s="28" t="str">
        <x:v>https://magic.wizards.com/en/news/feature/new-phyrexia-mechanics</x:v>
      </x:c>
    </x:row>
    <x:row r="8">
      <x:c r="A8" s="28" t="str">
        <x:v>Proliferate condition</x:v>
      </x:c>
      <x:c r="B8" s="28" t="str">
        <x:v>When proliferating, choose any number of players/permanents that already have a counter; each chosen gets another counter of a kind it has.</x:v>
      </x:c>
      <x:c r="C8" s="28" t="str">
        <x:v>An opponent with zero poison counters cannot be advanced by proliferate. Deal the first poison counter, then use proliferate to close.</x:v>
      </x:c>
      <x:c r="D8" s="28" t="str">
        <x:v>Wizards — Scars of Mirrodin mechanics</x:v>
      </x:c>
      <x:c r="E8" s="28" t="str">
        <x:v>https://magic.wizards.com/en/news/feature/scars-of-mirrodin-mechanics</x:v>
      </x:c>
    </x:row>
    <x:row r="9">
      <x:c r="A9" s="28" t="str">
        <x:v>Poison loss threshold</x:v>
      </x:c>
      <x:c r="B9" s="28" t="str">
        <x:v>A player with ten or more poison counters loses the game.</x:v>
      </x:c>
      <x:c r="C9" s="28" t="str">
        <x:v>Five unblocked Fynn-enabled deathtouch hits can be lethal from zero poison; multiple deathtouch attackers accelerate this clock.</x:v>
      </x:c>
      <x:c r="D9" s="28" t="str">
        <x:v>Wizards — Fynn release notes</x:v>
      </x:c>
      <x:c r="E9" s="28" t="str">
        <x:v>https://magic.wizards.com/en/news/feature/final-fantasy-release-notes</x:v>
      </x:c>
    </x:row>
    <x:row r="10">
      <x:c r="A10" s="28" t="str">
        <x:v>Triumph of the Hordes</x:v>
      </x:c>
      <x:c r="B10" s="28" t="str">
        <x:v>Grants infect, +1/+1 and trample to your team for the turn.</x:v>
      </x:c>
      <x:c r="C10" s="28" t="str">
        <x:v>Deathtouch attackers that connect can add infect poison for damage and trigger Fynn for two more; evasion and protection matter before casting.</x:v>
      </x:c>
      <x:c r="D10" s="28" t="str">
        <x:v>Card Oracle / strategic inference</x:v>
      </x:c>
      <x:c r="E10" s="28" t="str">
        <x:v>https://scryfall.com/search?q=%21Triumph%20of%20the%20Hordes</x:v>
      </x:c>
    </x:row>
    <x:row r="11">
      <x:c r="A11" s="28" t="str">
        <x:v>Flesh Burrower</x:v>
      </x:c>
      <x:c r="B11" s="28" t="str">
        <x:v>Has deathtouch; when it attacks, another target creature you control gains deathtouch until end of turn.</x:v>
      </x:c>
      <x:c r="C11" s="28" t="str">
        <x:v>This may create an additional Fynn trigger source on the same attack; confirm targeting legality and timing at the table if needed.</x:v>
      </x:c>
      <x:c r="D11" s="28" t="str">
        <x:v>Oracle text cross-check</x:v>
      </x:c>
      <x:c r="E11" s="28" t="str">
        <x:v>https://mtg.wtf/card/dsk/178/Flesh-Burrower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12" hidden="0" customWidth="1"/>
    <x:col min="5" max="5" width="14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16" hidden="0" customWidth="1"/>
    <x:col min="12" max="12" width="18" hidden="0" customWidth="1"/>
    <x:col min="13" max="13" width="14" hidden="0" customWidth="1"/>
    <x:col min="14" max="14" width="38" hidden="0" customWidth="1"/>
    <x:col min="15" max="15" width="30" hidden="0" customWidth="1"/>
    <x:col min="16" max="16" width="50" hidden="0" customWidth="1"/>
  </x:cols>
  <x:sheetData>
    <x:row r="1" ht="32" customHeight="1">
      <x:c r="A1" s="54" t="str">
        <x:v>PLAYTEST LOG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26"/>
    </x:row>
    <x:row r="2" ht="30" customHeight="1">
      <x:c r="A2" s="11" t="str">
        <x:v>Fill after real games; until then, all scores are projections.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Date</x:v>
      </x:c>
      <x:c r="B4" s="20" t="str">
        <x:v>Pod / Power Level</x:v>
      </x:c>
      <x:c r="C4" s="20" t="str">
        <x:v>Opening Hand</x:v>
      </x:c>
      <x:c r="D4" s="20" t="str">
        <x:v>Mulligan?</x:v>
      </x:c>
      <x:c r="E4" s="20" t="str">
        <x:v>Commander Turn</x:v>
      </x:c>
      <x:c r="F4" s="20" t="str">
        <x:v>First Poison Turn</x:v>
      </x:c>
      <x:c r="G4" s="20" t="str">
        <x:v>Poison Opponent A</x:v>
      </x:c>
      <x:c r="H4" s="20" t="str">
        <x:v>Poison Opponent B</x:v>
      </x:c>
      <x:c r="I4" s="20" t="str">
        <x:v>Poison Opponent C</x:v>
      </x:c>
      <x:c r="J4" s="20" t="str">
        <x:v>Cards in Hand T4</x:v>
      </x:c>
      <x:c r="K4" s="20" t="str">
        <x:v>Cards in Hand T6</x:v>
      </x:c>
      <x:c r="L4" s="20" t="str">
        <x:v>First Pressure Turn</x:v>
      </x:c>
      <x:c r="M4" s="20" t="str">
        <x:v>Win / Loss</x:v>
      </x:c>
      <x:c r="N4" s="20" t="str">
        <x:v>Reason / MVP</x:v>
      </x:c>
      <x:c r="O4" s="20" t="str">
        <x:v>Dead Card / Miss</x:v>
      </x:c>
      <x:c r="P4" s="20" t="str">
        <x:v>Notes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</x:sheetData>
  <x:mergeCells>
    <x:mergeCell ref="A1:P1"/>
    <x:mergeCell ref="A2:P2"/>
  </x:mergeCells>
  <x:dataValidations count="2">
    <x:dataValidation type="list" sqref="D5:D15">
      <x:formula1>"Yes,No"</x:formula1>
    </x:dataValidation>
    <x:dataValidation type="list" sqref="M5:M15">
      <x:formula1>"Win,Loss,Concede,Ongoing"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" hidden="0" customWidth="1"/>
    <x:col min="3" max="3" width="20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2" customHeight="1">
      <x:c r="A1" s="54" t="str">
        <x:v>CURRENT LIST — ORIGINAL AS SUBMITTED</x:v>
      </x:c>
      <x:c r="B1" s="54"/>
      <x:c r="C1" s="54"/>
      <x:c r="D1" s="54"/>
      <x:c r="E1" s="54"/>
      <x:c r="F1" s="54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 ht="30" customHeight="1">
      <x:c r="A2" s="11" t="str">
        <x:v>This tab preserves the submitted printing/set tags and *F* markers; Forest is grouped at qty 30.</x:v>
      </x:c>
      <x:c r="B2" s="11"/>
      <x:c r="C2" s="11"/>
      <x:c r="D2" s="11"/>
      <x:c r="E2" s="11"/>
      <x:c r="F2" s="11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 ht="30" customHeight="1">
      <x:c r="A4" s="20" t="str">
        <x:v>Card</x:v>
      </x:c>
      <x:c r="B4" s="20" t="str">
        <x:v>Qty</x:v>
      </x:c>
      <x:c r="C4" s="20" t="str">
        <x:v>Set / Collector</x:v>
      </x:c>
      <x:c r="D4" s="20" t="str">
        <x:v>Original note</x:v>
      </x:c>
      <x:c r="E4" s="20" t="str">
        <x:v>Zone</x:v>
      </x:c>
      <x:c r="F4" s="20" t="str">
        <x:v>Oracle MV</x:v>
      </x:c>
    </x:row>
    <x:row r="5">
      <x:c r="A5" s="28" t="str">
        <x:v>Fynn, the Fangbearer</x:v>
      </x:c>
      <x:c r="B5" s="28" t="n">
        <x:v>1</x:v>
      </x:c>
      <x:c r="C5" s="28" t="str">
        <x:v>KHM 170</x:v>
      </x:c>
      <x:c r="D5" s="28" t="str">
        <x:v>Commander</x:v>
      </x:c>
      <x:c r="E5" s="28" t="str">
        <x:v>Commander</x:v>
      </x:c>
      <x:c r="F5" s="28" t="n">
        <x:v>2</x:v>
      </x:c>
    </x:row>
    <x:row r="6">
      <x:c r="A6" s="28" t="str">
        <x:v>Acidic Slime</x:v>
      </x:c>
      <x:c r="B6" s="28" t="n">
        <x:v>1</x:v>
      </x:c>
      <x:c r="C6" s="28" t="str">
        <x:v>CMR 421</x:v>
      </x:c>
      <x:c r="D6" s="28" t="str"/>
      <x:c r="E6" s="28" t="str">
        <x:v>Functional</x:v>
      </x:c>
      <x:c r="F6" s="28" t="n">
        <x:v>5</x:v>
      </x:c>
    </x:row>
    <x:row r="7">
      <x:c r="A7" s="28" t="str">
        <x:v>Adaptive Sporesinger</x:v>
      </x:c>
      <x:c r="B7" s="28" t="n">
        <x:v>1</x:v>
      </x:c>
      <x:c r="C7" s="28" t="str">
        <x:v>ONE 157</x:v>
      </x:c>
      <x:c r="D7" s="28" t="str"/>
      <x:c r="E7" s="28" t="str">
        <x:v>Functional</x:v>
      </x:c>
      <x:c r="F7" s="28" t="n">
        <x:v>3</x:v>
      </x:c>
    </x:row>
    <x:row r="8">
      <x:c r="A8" s="28" t="str">
        <x:v>Ambush Viper</x:v>
      </x:c>
      <x:c r="B8" s="28" t="n">
        <x:v>1</x:v>
      </x:c>
      <x:c r="C8" s="28" t="str">
        <x:v>CMR 213</x:v>
      </x:c>
      <x:c r="D8" s="28" t="str"/>
      <x:c r="E8" s="28" t="str">
        <x:v>Functional</x:v>
      </x:c>
      <x:c r="F8" s="28" t="n">
        <x:v>2</x:v>
      </x:c>
    </x:row>
    <x:row r="9">
      <x:c r="A9" s="28" t="str">
        <x:v>Ankle Biter</x:v>
      </x:c>
      <x:c r="B9" s="28" t="n">
        <x:v>1</x:v>
      </x:c>
      <x:c r="C9" s="28" t="str">
        <x:v>OTJ 153</x:v>
      </x:c>
      <x:c r="D9" s="28" t="str">
        <x:v>*F*</x:v>
      </x:c>
      <x:c r="E9" s="28" t="str">
        <x:v>Functional</x:v>
      </x:c>
      <x:c r="F9" s="28" t="n">
        <x:v>1</x:v>
      </x:c>
    </x:row>
    <x:row r="10">
      <x:c r="A10" s="28" t="str">
        <x:v>Arcane Signet</x:v>
      </x:c>
      <x:c r="B10" s="28" t="n">
        <x:v>1</x:v>
      </x:c>
      <x:c r="C10" s="28" t="str">
        <x:v>CLB 298</x:v>
      </x:c>
      <x:c r="D10" s="28" t="str"/>
      <x:c r="E10" s="28" t="str">
        <x:v>Functional</x:v>
      </x:c>
      <x:c r="F10" s="28" t="n">
        <x:v>2</x:v>
      </x:c>
    </x:row>
    <x:row r="11">
      <x:c r="A11" s="28" t="str">
        <x:v>Aspect of Hydra</x:v>
      </x:c>
      <x:c r="B11" s="28" t="n">
        <x:v>1</x:v>
      </x:c>
      <x:c r="C11" s="28" t="str">
        <x:v>BNG 117</x:v>
      </x:c>
      <x:c r="D11" s="28" t="str"/>
      <x:c r="E11" s="28" t="str">
        <x:v>Functional</x:v>
      </x:c>
      <x:c r="F11" s="28" t="n">
        <x:v>1</x:v>
      </x:c>
    </x:row>
    <x:row r="12">
      <x:c r="A12" s="28" t="str">
        <x:v>Basilisk Collar</x:v>
      </x:c>
      <x:c r="B12" s="28" t="n">
        <x:v>1</x:v>
      </x:c>
      <x:c r="C12" s="28" t="str">
        <x:v>2XM 233</x:v>
      </x:c>
      <x:c r="D12" s="28" t="str"/>
      <x:c r="E12" s="28" t="str">
        <x:v>Functional</x:v>
      </x:c>
      <x:c r="F12" s="28" t="n">
        <x:v>1</x:v>
      </x:c>
    </x:row>
    <x:row r="13">
      <x:c r="A13" s="28" t="str">
        <x:v>Beanstalk Giant</x:v>
      </x:c>
      <x:c r="B13" s="28" t="n">
        <x:v>1</x:v>
      </x:c>
      <x:c r="C13" s="28" t="str">
        <x:v>CMM 275</x:v>
      </x:c>
      <x:c r="D13" s="28" t="str"/>
      <x:c r="E13" s="28" t="str">
        <x:v>Functional</x:v>
      </x:c>
      <x:c r="F13" s="28" t="n">
        <x:v>7</x:v>
      </x:c>
    </x:row>
    <x:row r="14">
      <x:c r="A14" s="28" t="str">
        <x:v>Beast Within</x:v>
      </x:c>
      <x:c r="B14" s="28" t="n">
        <x:v>1</x:v>
      </x:c>
      <x:c r="C14" s="28" t="str">
        <x:v>CLB 820</x:v>
      </x:c>
      <x:c r="D14" s="28" t="str"/>
      <x:c r="E14" s="28" t="str">
        <x:v>Functional</x:v>
      </x:c>
      <x:c r="F14" s="28" t="n">
        <x:v>3</x:v>
      </x:c>
    </x:row>
    <x:row r="15">
      <x:c r="A15" s="28" t="str">
        <x:v>Blackblade Reforged</x:v>
      </x:c>
      <x:c r="B15" s="28" t="n">
        <x:v>1</x:v>
      </x:c>
      <x:c r="C15" s="28" t="str">
        <x:v>DMC 178</x:v>
      </x:c>
      <x:c r="D15" s="28" t="str"/>
      <x:c r="E15" s="28" t="str">
        <x:v>Functional</x:v>
      </x:c>
      <x:c r="F15" s="28" t="n">
        <x:v>2</x:v>
      </x:c>
    </x:row>
    <x:row r="16">
      <x:c r="A16" s="28" t="str">
        <x:v>Blighted Woodland</x:v>
      </x:c>
      <x:c r="B16" s="28" t="n">
        <x:v>1</x:v>
      </x:c>
      <x:c r="C16" s="28" t="str">
        <x:v>CLB 881</x:v>
      </x:c>
      <x:c r="D16" s="28" t="str">
        <x:v>Land</x:v>
      </x:c>
      <x:c r="E16" s="28" t="str">
        <x:v>Land</x:v>
      </x:c>
      <x:c r="F16" s="28" t="n">
        <x:v>0</x:v>
      </x:c>
    </x:row>
    <x:row r="17">
      <x:c r="A17" s="28" t="str">
        <x:v>Bloated Contaminator</x:v>
      </x:c>
      <x:c r="B17" s="28" t="n">
        <x:v>1</x:v>
      </x:c>
      <x:c r="C17" s="28" t="str">
        <x:v>ONE 159</x:v>
      </x:c>
      <x:c r="D17" s="28" t="str">
        <x:v>*F*</x:v>
      </x:c>
      <x:c r="E17" s="28" t="str">
        <x:v>Functional</x:v>
      </x:c>
      <x:c r="F17" s="28" t="n">
        <x:v>3</x:v>
      </x:c>
    </x:row>
    <x:row r="18">
      <x:c r="A18" s="28" t="str">
        <x:v>Branchblight Stalker</x:v>
      </x:c>
      <x:c r="B18" s="28" t="n">
        <x:v>1</x:v>
      </x:c>
      <x:c r="C18" s="28" t="str">
        <x:v>ONE 160</x:v>
      </x:c>
      <x:c r="D18" s="28" t="str"/>
      <x:c r="E18" s="28" t="str">
        <x:v>Functional</x:v>
      </x:c>
      <x:c r="F18" s="28" t="n">
        <x:v>2</x:v>
      </x:c>
    </x:row>
    <x:row r="19">
      <x:c r="A19" s="28" t="str">
        <x:v>Bushwhack</x:v>
      </x:c>
      <x:c r="B19" s="28" t="n">
        <x:v>1</x:v>
      </x:c>
      <x:c r="C19" s="28" t="str">
        <x:v>FDN 215</x:v>
      </x:c>
      <x:c r="D19" s="28" t="str"/>
      <x:c r="E19" s="28" t="str">
        <x:v>Functional</x:v>
      </x:c>
      <x:c r="F19" s="28" t="n">
        <x:v>1</x:v>
      </x:c>
    </x:row>
    <x:row r="20">
      <x:c r="A20" s="28" t="str">
        <x:v>Caged Sun</x:v>
      </x:c>
      <x:c r="B20" s="28" t="n">
        <x:v>1</x:v>
      </x:c>
      <x:c r="C20" s="28" t="str">
        <x:v>CM2 178</x:v>
      </x:c>
      <x:c r="D20" s="28" t="str"/>
      <x:c r="E20" s="28" t="str">
        <x:v>Functional</x:v>
      </x:c>
      <x:c r="F20" s="28" t="n">
        <x:v>6</x:v>
      </x:c>
    </x:row>
    <x:row r="21">
      <x:c r="A21" s="28" t="str">
        <x:v>Cankerbloom</x:v>
      </x:c>
      <x:c r="B21" s="28" t="n">
        <x:v>1</x:v>
      </x:c>
      <x:c r="C21" s="28" t="str">
        <x:v>ONE 161</x:v>
      </x:c>
      <x:c r="D21" s="28" t="str"/>
      <x:c r="E21" s="28" t="str">
        <x:v>Functional</x:v>
      </x:c>
      <x:c r="F21" s="28" t="n">
        <x:v>2</x:v>
      </x:c>
    </x:row>
    <x:row r="22">
      <x:c r="A22" s="28" t="str">
        <x:v>Collective Resistance</x:v>
      </x:c>
      <x:c r="B22" s="28" t="n">
        <x:v>1</x:v>
      </x:c>
      <x:c r="C22" s="28" t="str">
        <x:v>MH3 147</x:v>
      </x:c>
      <x:c r="D22" s="28" t="str"/>
      <x:c r="E22" s="28" t="str">
        <x:v>Functional</x:v>
      </x:c>
      <x:c r="F22" s="28" t="n">
        <x:v>2</x:v>
      </x:c>
    </x:row>
    <x:row r="23">
      <x:c r="A23" s="28" t="str">
        <x:v>Colossification</x:v>
      </x:c>
      <x:c r="B23" s="28" t="n">
        <x:v>1</x:v>
      </x:c>
      <x:c r="C23" s="28" t="str">
        <x:v>IKO 364</x:v>
      </x:c>
      <x:c r="D23" s="28" t="str">
        <x:v>*F*</x:v>
      </x:c>
      <x:c r="E23" s="28" t="str">
        <x:v>Functional</x:v>
      </x:c>
      <x:c r="F23" s="28" t="n">
        <x:v>7</x:v>
      </x:c>
    </x:row>
    <x:row r="24">
      <x:c r="A24" s="28" t="str">
        <x:v>Contagion Engine</x:v>
      </x:c>
      <x:c r="B24" s="28" t="n">
        <x:v>1</x:v>
      </x:c>
      <x:c r="C24" s="28" t="str">
        <x:v>PLST SOM-145</x:v>
      </x:c>
      <x:c r="D24" s="28" t="str"/>
      <x:c r="E24" s="28" t="str">
        <x:v>Functional</x:v>
      </x:c>
      <x:c r="F24" s="28" t="n">
        <x:v>6</x:v>
      </x:c>
    </x:row>
    <x:row r="25">
      <x:c r="A25" s="28" t="str">
        <x:v>Courage in Crisis</x:v>
      </x:c>
      <x:c r="B25" s="28" t="n">
        <x:v>1</x:v>
      </x:c>
      <x:c r="C25" s="28" t="str">
        <x:v>CMM 278</x:v>
      </x:c>
      <x:c r="D25" s="28" t="str"/>
      <x:c r="E25" s="28" t="str">
        <x:v>Functional</x:v>
      </x:c>
      <x:c r="F25" s="28" t="n">
        <x:v>3</x:v>
      </x:c>
    </x:row>
    <x:row r="26">
      <x:c r="A26" s="28" t="str">
        <x:v>Deadly Recluse</x:v>
      </x:c>
      <x:c r="B26" s="28" t="n">
        <x:v>1</x:v>
      </x:c>
      <x:c r="C26" s="28" t="str">
        <x:v>CMM 282</x:v>
      </x:c>
      <x:c r="D26" s="28" t="str"/>
      <x:c r="E26" s="28" t="str">
        <x:v>Functional</x:v>
      </x:c>
      <x:c r="F26" s="28" t="n">
        <x:v>2</x:v>
      </x:c>
    </x:row>
    <x:row r="27">
      <x:c r="A27" s="28" t="str">
        <x:v>Disorienting Choice</x:v>
      </x:c>
      <x:c r="B27" s="28" t="n">
        <x:v>1</x:v>
      </x:c>
      <x:c r="C27" s="28" t="str">
        <x:v>DSC 60</x:v>
      </x:c>
      <x:c r="D27" s="28" t="str"/>
      <x:c r="E27" s="28" t="str">
        <x:v>Functional</x:v>
      </x:c>
      <x:c r="F27" s="28" t="n">
        <x:v>4</x:v>
      </x:c>
    </x:row>
    <x:row r="28">
      <x:c r="A28" s="28" t="str">
        <x:v>End-Raze Forerunners</x:v>
      </x:c>
      <x:c r="B28" s="28" t="n">
        <x:v>1</x:v>
      </x:c>
      <x:c r="C28" s="28" t="str">
        <x:v>BLC 214</x:v>
      </x:c>
      <x:c r="D28" s="28" t="str"/>
      <x:c r="E28" s="28" t="str">
        <x:v>Functional</x:v>
      </x:c>
      <x:c r="F28" s="28" t="n">
        <x:v>8</x:v>
      </x:c>
    </x:row>
    <x:row r="29">
      <x:c r="A29" s="28" t="str">
        <x:v>Endless Atlas</x:v>
      </x:c>
      <x:c r="B29" s="28" t="n">
        <x:v>1</x:v>
      </x:c>
      <x:c r="C29" s="28" t="str">
        <x:v>C18 55</x:v>
      </x:c>
      <x:c r="D29" s="28" t="str"/>
      <x:c r="E29" s="28" t="str">
        <x:v>Functional</x:v>
      </x:c>
      <x:c r="F29" s="28" t="n">
        <x:v>2</x:v>
      </x:c>
    </x:row>
    <x:row r="30">
      <x:c r="A30" s="28" t="str">
        <x:v>Enduring Vitality</x:v>
      </x:c>
      <x:c r="B30" s="28" t="n">
        <x:v>1</x:v>
      </x:c>
      <x:c r="C30" s="28" t="str">
        <x:v>DSK 176</x:v>
      </x:c>
      <x:c r="D30" s="28" t="str"/>
      <x:c r="E30" s="28" t="str">
        <x:v>Functional</x:v>
      </x:c>
      <x:c r="F30" s="28" t="n">
        <x:v>3</x:v>
      </x:c>
    </x:row>
    <x:row r="31">
      <x:c r="A31" s="28" t="str">
        <x:v>Expand the Sphere</x:v>
      </x:c>
      <x:c r="B31" s="28" t="n">
        <x:v>1</x:v>
      </x:c>
      <x:c r="C31" s="28" t="str">
        <x:v>ONE 168</x:v>
      </x:c>
      <x:c r="D31" s="28" t="str"/>
      <x:c r="E31" s="28" t="str">
        <x:v>Functional</x:v>
      </x:c>
      <x:c r="F31" s="28" t="n">
        <x:v>3</x:v>
      </x:c>
    </x:row>
    <x:row r="32">
      <x:c r="A32" s="28" t="str">
        <x:v>Explore</x:v>
      </x:c>
      <x:c r="B32" s="28" t="n">
        <x:v>1</x:v>
      </x:c>
      <x:c r="C32" s="28" t="str">
        <x:v>CLB 823</x:v>
      </x:c>
      <x:c r="D32" s="28" t="str"/>
      <x:c r="E32" s="28" t="str">
        <x:v>Functional</x:v>
      </x:c>
      <x:c r="F32" s="28" t="n">
        <x:v>2</x:v>
      </x:c>
    </x:row>
    <x:row r="33">
      <x:c r="A33" s="28" t="str">
        <x:v>Ezuri's Predation</x:v>
      </x:c>
      <x:c r="B33" s="28" t="n">
        <x:v>1</x:v>
      </x:c>
      <x:c r="C33" s="28" t="str">
        <x:v>CLB 824</x:v>
      </x:c>
      <x:c r="D33" s="28" t="str"/>
      <x:c r="E33" s="28" t="str">
        <x:v>Functional</x:v>
      </x:c>
      <x:c r="F33" s="28" t="n">
        <x:v>8</x:v>
      </x:c>
    </x:row>
    <x:row r="34">
      <x:c r="A34" s="28" t="str">
        <x:v>Fang of Shigeki</x:v>
      </x:c>
      <x:c r="B34" s="28" t="n">
        <x:v>1</x:v>
      </x:c>
      <x:c r="C34" s="28" t="str">
        <x:v>NEO 347</x:v>
      </x:c>
      <x:c r="D34" s="28" t="str"/>
      <x:c r="E34" s="28" t="str">
        <x:v>Functional</x:v>
      </x:c>
      <x:c r="F34" s="28" t="n">
        <x:v>1</x:v>
      </x:c>
    </x:row>
    <x:row r="35">
      <x:c r="A35" s="28" t="str">
        <x:v>Flesh Burrower</x:v>
      </x:c>
      <x:c r="B35" s="28" t="n">
        <x:v>1</x:v>
      </x:c>
      <x:c r="C35" s="28" t="str">
        <x:v>DSK 178</x:v>
      </x:c>
      <x:c r="D35" s="28" t="str"/>
      <x:c r="E35" s="28" t="str">
        <x:v>Functional</x:v>
      </x:c>
      <x:c r="F35" s="28" t="n">
        <x:v>2</x:v>
      </x:c>
    </x:row>
    <x:row r="36">
      <x:c r="A36" s="28" t="str">
        <x:v>Font of Mythos</x:v>
      </x:c>
      <x:c r="B36" s="28" t="n">
        <x:v>1</x:v>
      </x:c>
      <x:c r="C36" s="28" t="str">
        <x:v>PLST CON-136</x:v>
      </x:c>
      <x:c r="D36" s="28" t="str"/>
      <x:c r="E36" s="28" t="str">
        <x:v>Functional</x:v>
      </x:c>
      <x:c r="F36" s="28" t="n">
        <x:v>4</x:v>
      </x:c>
    </x:row>
    <x:row r="37">
      <x:c r="A37" s="28" t="str">
        <x:v>Forest</x:v>
      </x:c>
      <x:c r="B37" s="28" t="n">
        <x:v>30</x:v>
      </x:c>
      <x:c r="C37" s="28" t="str">
        <x:v>DSK 276</x:v>
      </x:c>
      <x:c r="D37" s="28" t="str">
        <x:v>*F*</x:v>
      </x:c>
      <x:c r="E37" s="28" t="str">
        <x:v>Land</x:v>
      </x:c>
      <x:c r="F37" s="28" t="n">
        <x:v>0</x:v>
      </x:c>
    </x:row>
    <x:row r="38">
      <x:c r="A38" s="28" t="str">
        <x:v>Genesis Wave</x:v>
      </x:c>
      <x:c r="B38" s="28" t="n">
        <x:v>1</x:v>
      </x:c>
      <x:c r="C38" s="28" t="str">
        <x:v>FDN 221</x:v>
      </x:c>
      <x:c r="D38" s="28" t="str">
        <x:v>*F*</x:v>
      </x:c>
      <x:c r="E38" s="28" t="str">
        <x:v>Functional</x:v>
      </x:c>
      <x:c r="F38" s="28" t="n">
        <x:v>1</x:v>
      </x:c>
    </x:row>
    <x:row r="39">
      <x:c r="A39" s="28" t="str">
        <x:v>Glistening Sphere</x:v>
      </x:c>
      <x:c r="B39" s="28" t="n">
        <x:v>1</x:v>
      </x:c>
      <x:c r="C39" s="28" t="str">
        <x:v>ONC 20</x:v>
      </x:c>
      <x:c r="D39" s="28" t="str"/>
      <x:c r="E39" s="28" t="str">
        <x:v>Functional</x:v>
      </x:c>
      <x:c r="F39" s="28" t="n">
        <x:v>3</x:v>
      </x:c>
    </x:row>
    <x:row r="40">
      <x:c r="A40" s="28" t="str">
        <x:v>Harmonize</x:v>
      </x:c>
      <x:c r="B40" s="28" t="n">
        <x:v>1</x:v>
      </x:c>
      <x:c r="C40" s="28" t="str">
        <x:v>CMR 427</x:v>
      </x:c>
      <x:c r="D40" s="28" t="str"/>
      <x:c r="E40" s="28" t="str">
        <x:v>Functional</x:v>
      </x:c>
      <x:c r="F40" s="28" t="n">
        <x:v>4</x:v>
      </x:c>
    </x:row>
    <x:row r="41">
      <x:c r="A41" s="28" t="str">
        <x:v>Hornet Queen</x:v>
      </x:c>
      <x:c r="B41" s="28" t="n">
        <x:v>1</x:v>
      </x:c>
      <x:c r="C41" s="28" t="str">
        <x:v>CLB 825</x:v>
      </x:c>
      <x:c r="D41" s="28" t="str"/>
      <x:c r="E41" s="28" t="str">
        <x:v>Functional</x:v>
      </x:c>
      <x:c r="F41" s="28" t="n">
        <x:v>7</x:v>
      </x:c>
    </x:row>
    <x:row r="42">
      <x:c r="A42" s="28" t="str">
        <x:v>Horrid Vigor</x:v>
      </x:c>
      <x:c r="B42" s="28" t="n">
        <x:v>1</x:v>
      </x:c>
      <x:c r="C42" s="28" t="str">
        <x:v>DSK 184</x:v>
      </x:c>
      <x:c r="D42" s="28" t="str">
        <x:v>*F*</x:v>
      </x:c>
      <x:c r="E42" s="28" t="str">
        <x:v>Functional</x:v>
      </x:c>
      <x:c r="F42" s="28" t="n">
        <x:v>2</x:v>
      </x:c>
    </x:row>
    <x:row r="43">
      <x:c r="A43" s="28" t="str">
        <x:v>Insidious Fungus</x:v>
      </x:c>
      <x:c r="B43" s="28" t="n">
        <x:v>1</x:v>
      </x:c>
      <x:c r="C43" s="28" t="str">
        <x:v>DSK 186</x:v>
      </x:c>
      <x:c r="D43" s="28" t="str"/>
      <x:c r="E43" s="28" t="str">
        <x:v>Functional</x:v>
      </x:c>
      <x:c r="F43" s="28" t="n">
        <x:v>2</x:v>
      </x:c>
    </x:row>
    <x:row r="44">
      <x:c r="A44" s="28" t="str">
        <x:v>Karametra's Acolyte</x:v>
      </x:c>
      <x:c r="B44" s="28" t="n">
        <x:v>1</x:v>
      </x:c>
      <x:c r="C44" s="28" t="str">
        <x:v>THS 160</x:v>
      </x:c>
      <x:c r="D44" s="28" t="str"/>
      <x:c r="E44" s="28" t="str">
        <x:v>Functional</x:v>
      </x:c>
      <x:c r="F44" s="28" t="n">
        <x:v>4</x:v>
      </x:c>
    </x:row>
    <x:row r="45">
      <x:c r="A45" s="28" t="str">
        <x:v>Karn's Bastion</x:v>
      </x:c>
      <x:c r="B45" s="28" t="n">
        <x:v>1</x:v>
      </x:c>
      <x:c r="C45" s="28" t="str">
        <x:v>PWAR 248</x:v>
      </x:c>
      <x:c r="D45" s="28" t="str">
        <x:v>*F*</x:v>
      </x:c>
      <x:c r="E45" s="28" t="str">
        <x:v>Land</x:v>
      </x:c>
      <x:c r="F45" s="28" t="n">
        <x:v>0</x:v>
      </x:c>
    </x:row>
    <x:row r="46">
      <x:c r="A46" s="28" t="str">
        <x:v>Kodama's Reach</x:v>
      </x:c>
      <x:c r="B46" s="28" t="n">
        <x:v>1</x:v>
      </x:c>
      <x:c r="C46" s="28" t="str">
        <x:v>CLB 826</x:v>
      </x:c>
      <x:c r="D46" s="28" t="str"/>
      <x:c r="E46" s="28" t="str">
        <x:v>Functional</x:v>
      </x:c>
      <x:c r="F46" s="28" t="n">
        <x:v>3</x:v>
      </x:c>
    </x:row>
    <x:row r="47">
      <x:c r="A47" s="28" t="str">
        <x:v>Lifecrafter's Bestiary</x:v>
      </x:c>
      <x:c r="B47" s="28" t="n">
        <x:v>1</x:v>
      </x:c>
      <x:c r="C47" s="28" t="str">
        <x:v>MKC 231</x:v>
      </x:c>
      <x:c r="D47" s="28" t="str"/>
      <x:c r="E47" s="28" t="str">
        <x:v>Functional</x:v>
      </x:c>
      <x:c r="F47" s="28" t="n">
        <x:v>3</x:v>
      </x:c>
    </x:row>
    <x:row r="48">
      <x:c r="A48" s="28" t="str">
        <x:v>Lightning Greaves</x:v>
      </x:c>
      <x:c r="B48" s="28" t="n">
        <x:v>1</x:v>
      </x:c>
      <x:c r="C48" s="28" t="str">
        <x:v>CLB 864</x:v>
      </x:c>
      <x:c r="D48" s="28" t="str"/>
      <x:c r="E48" s="28" t="str">
        <x:v>Functional</x:v>
      </x:c>
      <x:c r="F48" s="28" t="n">
        <x:v>2</x:v>
      </x:c>
    </x:row>
    <x:row r="49">
      <x:c r="A49" s="28" t="str">
        <x:v>Loxodon Warhammer</x:v>
      </x:c>
      <x:c r="B49" s="28" t="n">
        <x:v>1</x:v>
      </x:c>
      <x:c r="C49" s="28" t="str">
        <x:v>ONC 135</x:v>
      </x:c>
      <x:c r="D49" s="28" t="str"/>
      <x:c r="E49" s="28" t="str">
        <x:v>Functional</x:v>
      </x:c>
      <x:c r="F49" s="28" t="n">
        <x:v>3</x:v>
      </x:c>
    </x:row>
    <x:row r="50">
      <x:c r="A50" s="28" t="str">
        <x:v>Mask of Avacyn</x:v>
      </x:c>
      <x:c r="B50" s="28" t="n">
        <x:v>1</x:v>
      </x:c>
      <x:c r="C50" s="28" t="str">
        <x:v>ISD 229</x:v>
      </x:c>
      <x:c r="D50" s="28" t="str"/>
      <x:c r="E50" s="28" t="str">
        <x:v>Functional</x:v>
      </x:c>
      <x:c r="F50" s="28" t="n">
        <x:v>2</x:v>
      </x:c>
    </x:row>
    <x:row r="51">
      <x:c r="A51" s="28" t="str">
        <x:v>Myriad Landscape</x:v>
      </x:c>
      <x:c r="B51" s="28" t="n">
        <x:v>1</x:v>
      </x:c>
      <x:c r="C51" s="28" t="str">
        <x:v>CLB 904</x:v>
      </x:c>
      <x:c r="D51" s="28" t="str">
        <x:v>Land</x:v>
      </x:c>
      <x:c r="E51" s="28" t="str">
        <x:v>Land</x:v>
      </x:c>
      <x:c r="F51" s="28" t="n">
        <x:v>0</x:v>
      </x:c>
    </x:row>
    <x:row r="52">
      <x:c r="A52" s="28" t="str">
        <x:v>Natural Reclamation</x:v>
      </x:c>
      <x:c r="B52" s="28" t="n">
        <x:v>1</x:v>
      </x:c>
      <x:c r="C52" s="28" t="str">
        <x:v>CLB 829</x:v>
      </x:c>
      <x:c r="D52" s="28" t="str"/>
      <x:c r="E52" s="28" t="str">
        <x:v>Functional</x:v>
      </x:c>
      <x:c r="F52" s="28" t="n">
        <x:v>4</x:v>
      </x:c>
    </x:row>
    <x:row r="53">
      <x:c r="A53" s="28" t="str">
        <x:v>Pick Your Poison</x:v>
      </x:c>
      <x:c r="B53" s="28" t="n">
        <x:v>1</x:v>
      </x:c>
      <x:c r="C53" s="28" t="str">
        <x:v>MKM 170</x:v>
      </x:c>
      <x:c r="D53" s="28" t="str"/>
      <x:c r="E53" s="28" t="str">
        <x:v>Functional</x:v>
      </x:c>
      <x:c r="F53" s="28" t="n">
        <x:v>1</x:v>
      </x:c>
    </x:row>
    <x:row r="54">
      <x:c r="A54" s="28" t="str">
        <x:v>Plague Myr</x:v>
      </x:c>
      <x:c r="B54" s="28" t="n">
        <x:v>1</x:v>
      </x:c>
      <x:c r="C54" s="28" t="str">
        <x:v>MBS 125</x:v>
      </x:c>
      <x:c r="D54" s="28" t="str"/>
      <x:c r="E54" s="28" t="str">
        <x:v>Functional</x:v>
      </x:c>
      <x:c r="F54" s="28" t="n">
        <x:v>2</x:v>
      </x:c>
    </x:row>
    <x:row r="55">
      <x:c r="A55" s="28" t="str">
        <x:v>Pollenbright Druid</x:v>
      </x:c>
      <x:c r="B55" s="28" t="n">
        <x:v>1</x:v>
      </x:c>
      <x:c r="C55" s="28" t="str">
        <x:v>CMM 312</x:v>
      </x:c>
      <x:c r="D55" s="28" t="str"/>
      <x:c r="E55" s="28" t="str">
        <x:v>Functional</x:v>
      </x:c>
      <x:c r="F55" s="28" t="n">
        <x:v>2</x:v>
      </x:c>
    </x:row>
    <x:row r="56">
      <x:c r="A56" s="28" t="str">
        <x:v>Preposterous Proportions</x:v>
      </x:c>
      <x:c r="B56" s="28" t="n">
        <x:v>1</x:v>
      </x:c>
      <x:c r="C56" s="28" t="str">
        <x:v>FDN 109</x:v>
      </x:c>
      <x:c r="D56" s="28" t="str"/>
      <x:c r="E56" s="28" t="str">
        <x:v>Functional</x:v>
      </x:c>
      <x:c r="F56" s="28" t="n">
        <x:v>6</x:v>
      </x:c>
    </x:row>
    <x:row r="57">
      <x:c r="A57" s="28" t="str">
        <x:v>Quietus Spike</x:v>
      </x:c>
      <x:c r="B57" s="28" t="n">
        <x:v>1</x:v>
      </x:c>
      <x:c r="C57" s="28" t="str">
        <x:v>PCA 112</x:v>
      </x:c>
      <x:c r="D57" s="28" t="str"/>
      <x:c r="E57" s="28" t="str">
        <x:v>Functional</x:v>
      </x:c>
      <x:c r="F57" s="28" t="n">
        <x:v>3</x:v>
      </x:c>
    </x:row>
    <x:row r="58">
      <x:c r="A58" s="28" t="str">
        <x:v>Return of the Wildspeaker</x:v>
      </x:c>
      <x:c r="B58" s="28" t="n">
        <x:v>1</x:v>
      </x:c>
      <x:c r="C58" s="28" t="str">
        <x:v>CLB 831</x:v>
      </x:c>
      <x:c r="D58" s="28" t="str"/>
      <x:c r="E58" s="28" t="str">
        <x:v>Functional</x:v>
      </x:c>
      <x:c r="F58" s="28" t="n">
        <x:v>5</x:v>
      </x:c>
    </x:row>
    <x:row r="59">
      <x:c r="A59" s="28" t="str">
        <x:v>Scytheclaw</x:v>
      </x:c>
      <x:c r="B59" s="28" t="n">
        <x:v>1</x:v>
      </x:c>
      <x:c r="C59" s="28" t="str">
        <x:v>CMM 408</x:v>
      </x:c>
      <x:c r="D59" s="28" t="str"/>
      <x:c r="E59" s="28" t="str">
        <x:v>Functional</x:v>
      </x:c>
      <x:c r="F59" s="28" t="n">
        <x:v>3</x:v>
      </x:c>
    </x:row>
    <x:row r="60">
      <x:c r="A60" s="28" t="str">
        <x:v>Sedge Scorpion</x:v>
      </x:c>
      <x:c r="B60" s="28" t="n">
        <x:v>1</x:v>
      </x:c>
      <x:c r="C60" s="28" t="str">
        <x:v>M20 192</x:v>
      </x:c>
      <x:c r="D60" s="28" t="str"/>
      <x:c r="E60" s="28" t="str">
        <x:v>Functional</x:v>
      </x:c>
      <x:c r="F60" s="28" t="n">
        <x:v>1</x:v>
      </x:c>
    </x:row>
    <x:row r="61">
      <x:c r="A61" s="28" t="str">
        <x:v>Silklash Spider</x:v>
      </x:c>
      <x:c r="B61" s="28" t="n">
        <x:v>1</x:v>
      </x:c>
      <x:c r="C61" s="28" t="str">
        <x:v>9ED 271</x:v>
      </x:c>
      <x:c r="D61" s="28" t="str"/>
      <x:c r="E61" s="28" t="str">
        <x:v>Functional</x:v>
      </x:c>
      <x:c r="F61" s="28" t="n">
        <x:v>5</x:v>
      </x:c>
    </x:row>
    <x:row r="62">
      <x:c r="A62" s="28" t="str">
        <x:v>Skyreaping</x:v>
      </x:c>
      <x:c r="B62" s="28" t="n">
        <x:v>1</x:v>
      </x:c>
      <x:c r="C62" s="28" t="str">
        <x:v>BNG 140</x:v>
      </x:c>
      <x:c r="D62" s="28" t="str"/>
      <x:c r="E62" s="28" t="str">
        <x:v>Functional</x:v>
      </x:c>
      <x:c r="F62" s="28" t="n">
        <x:v>2</x:v>
      </x:c>
    </x:row>
    <x:row r="63">
      <x:c r="A63" s="28" t="str">
        <x:v>Snakeskin Veil</x:v>
      </x:c>
      <x:c r="B63" s="28" t="n">
        <x:v>1</x:v>
      </x:c>
      <x:c r="C63" s="28" t="str">
        <x:v>FDN 233</x:v>
      </x:c>
      <x:c r="D63" s="28" t="str">
        <x:v>*F*</x:v>
      </x:c>
      <x:c r="E63" s="28" t="str">
        <x:v>Functional</x:v>
      </x:c>
      <x:c r="F63" s="28" t="n">
        <x:v>1</x:v>
      </x:c>
    </x:row>
    <x:row r="64">
      <x:c r="A64" s="28" t="str">
        <x:v>Sol Ring</x:v>
      </x:c>
      <x:c r="B64" s="28" t="n">
        <x:v>1</x:v>
      </x:c>
      <x:c r="C64" s="28" t="str">
        <x:v>CMM 410</x:v>
      </x:c>
      <x:c r="D64" s="28" t="str"/>
      <x:c r="E64" s="28" t="str">
        <x:v>Functional</x:v>
      </x:c>
      <x:c r="F64" s="28" t="n">
        <x:v>1</x:v>
      </x:c>
    </x:row>
    <x:row r="65">
      <x:c r="A65" s="28" t="str">
        <x:v>Soul's Majesty</x:v>
      </x:c>
      <x:c r="B65" s="28" t="n">
        <x:v>1</x:v>
      </x:c>
      <x:c r="C65" s="28" t="str">
        <x:v>NEC 131</x:v>
      </x:c>
      <x:c r="D65" s="28" t="str"/>
      <x:c r="E65" s="28" t="str">
        <x:v>Functional</x:v>
      </x:c>
      <x:c r="F65" s="28" t="n">
        <x:v>5</x:v>
      </x:c>
    </x:row>
    <x:row r="66">
      <x:c r="A66" s="28" t="str">
        <x:v>Strength in Numbers</x:v>
      </x:c>
      <x:c r="B66" s="28" t="n">
        <x:v>1</x:v>
      </x:c>
      <x:c r="C66" s="28" t="str">
        <x:v>TSR 233</x:v>
      </x:c>
      <x:c r="D66" s="28" t="str"/>
      <x:c r="E66" s="28" t="str">
        <x:v>Functional</x:v>
      </x:c>
      <x:c r="F66" s="28" t="n">
        <x:v>1</x:v>
      </x:c>
    </x:row>
    <x:row r="67">
      <x:c r="A67" s="28" t="str">
        <x:v>Swiftfoot Boots</x:v>
      </x:c>
      <x:c r="B67" s="28" t="n">
        <x:v>1</x:v>
      </x:c>
      <x:c r="C67" s="28" t="str">
        <x:v>LCC 314</x:v>
      </x:c>
      <x:c r="D67" s="28" t="str"/>
      <x:c r="E67" s="28" t="str">
        <x:v>Functional</x:v>
      </x:c>
      <x:c r="F67" s="28" t="n">
        <x:v>2</x:v>
      </x:c>
    </x:row>
    <x:row r="68">
      <x:c r="A68" s="28" t="str">
        <x:v>Tajuru Blightblade</x:v>
      </x:c>
      <x:c r="B68" s="28" t="n">
        <x:v>1</x:v>
      </x:c>
      <x:c r="C68" s="28" t="str">
        <x:v>ZNR 208</x:v>
      </x:c>
      <x:c r="D68" s="28" t="str"/>
      <x:c r="E68" s="28" t="str">
        <x:v>Functional</x:v>
      </x:c>
      <x:c r="F68" s="28" t="n">
        <x:v>1</x:v>
      </x:c>
    </x:row>
    <x:row r="69">
      <x:c r="A69" s="28" t="str">
        <x:v>Temple of the False God</x:v>
      </x:c>
      <x:c r="B69" s="28" t="n">
        <x:v>1</x:v>
      </x:c>
      <x:c r="C69" s="28" t="str">
        <x:v>CLB 925</x:v>
      </x:c>
      <x:c r="D69" s="28" t="str">
        <x:v>Land</x:v>
      </x:c>
      <x:c r="E69" s="28" t="str">
        <x:v>Land</x:v>
      </x:c>
      <x:c r="F69" s="28" t="n">
        <x:v>0</x:v>
      </x:c>
    </x:row>
    <x:row r="70">
      <x:c r="A70" s="28" t="str">
        <x:v>Thornweald Archer</x:v>
      </x:c>
      <x:c r="B70" s="28" t="n">
        <x:v>1</x:v>
      </x:c>
      <x:c r="C70" s="28" t="str">
        <x:v>FUT 154</x:v>
      </x:c>
      <x:c r="D70" s="28" t="str"/>
      <x:c r="E70" s="28" t="str">
        <x:v>Functional</x:v>
      </x:c>
      <x:c r="F70" s="28" t="n">
        <x:v>2</x:v>
      </x:c>
    </x:row>
    <x:row r="71">
      <x:c r="A71" s="28" t="str">
        <x:v>Throne of the High City</x:v>
      </x:c>
      <x:c r="B71" s="28" t="n">
        <x:v>1</x:v>
      </x:c>
      <x:c r="C71" s="28" t="str">
        <x:v>MKC 307</x:v>
      </x:c>
      <x:c r="D71" s="28" t="str">
        <x:v>Land</x:v>
      </x:c>
      <x:c r="E71" s="28" t="str">
        <x:v>Land</x:v>
      </x:c>
      <x:c r="F71" s="28" t="n">
        <x:v>0</x:v>
      </x:c>
    </x:row>
    <x:row r="72">
      <x:c r="A72" s="28" t="str">
        <x:v>Tome of Legends</x:v>
      </x:c>
      <x:c r="B72" s="28" t="n">
        <x:v>1</x:v>
      </x:c>
      <x:c r="C72" s="28" t="str">
        <x:v>ELD 332</x:v>
      </x:c>
      <x:c r="D72" s="28" t="str"/>
      <x:c r="E72" s="28" t="str">
        <x:v>Functional</x:v>
      </x:c>
      <x:c r="F72" s="28" t="n">
        <x:v>2</x:v>
      </x:c>
    </x:row>
    <x:row r="73">
      <x:c r="A73" s="28" t="str">
        <x:v>Wild Growth</x:v>
      </x:c>
      <x:c r="B73" s="28" t="n">
        <x:v>1</x:v>
      </x:c>
      <x:c r="C73" s="28" t="str">
        <x:v>DMR 352</x:v>
      </x:c>
      <x:c r="D73" s="28" t="str"/>
      <x:c r="E73" s="28" t="str">
        <x:v>Functional</x:v>
      </x:c>
      <x:c r="F73" s="28" t="n">
        <x:v>1</x:v>
      </x:c>
    </x:row>
    <x:row r="74">
      <x:c r="A74" s="28" t="str">
        <x:v>Windstorm</x:v>
      </x:c>
      <x:c r="B74" s="28" t="n">
        <x:v>1</x:v>
      </x:c>
      <x:c r="C74" s="28" t="str">
        <x:v>M14 201</x:v>
      </x:c>
      <x:c r="D74" s="28" t="str"/>
      <x:c r="E74" s="28" t="str">
        <x:v>Functional</x:v>
      </x:c>
      <x:c r="F74" s="28" t="n">
        <x:v>1</x:v>
      </x:c>
    </x:row>
    <x:row r="75">
      <x:c r="A75" s="28" t="str">
        <x:v>Yavimaya Elder</x:v>
      </x:c>
      <x:c r="B75" s="28" t="n">
        <x:v>1</x:v>
      </x:c>
      <x:c r="C75" s="28" t="str">
        <x:v>CMR 441</x:v>
      </x:c>
      <x:c r="D75" s="28" t="str"/>
      <x:c r="E75" s="28" t="str">
        <x:v>Functional</x:v>
      </x:c>
      <x:c r="F75" s="28" t="n">
        <x:v>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a77fd4d8b2246bd"/>
  </x:tableParts>
</x:worksheet>
</file>