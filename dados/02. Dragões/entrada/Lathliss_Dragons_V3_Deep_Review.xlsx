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0bdf0dd3b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0d0fc9fa164fca"/>
    <x:sheet xmlns:r="http://schemas.openxmlformats.org/officeDocument/2006/relationships" name="Current List" sheetId="2" r:id="R43dd01159d9b4959"/>
    <x:sheet xmlns:r="http://schemas.openxmlformats.org/officeDocument/2006/relationships" name="Proposed List" sheetId="3" r:id="R2ec3e8d2f51141f3"/>
    <x:sheet xmlns:r="http://schemas.openxmlformats.org/officeDocument/2006/relationships" name="Upgrade Matrix" sheetId="4" r:id="R683fe14f8bfc4a7f"/>
    <x:sheet xmlns:r="http://schemas.openxmlformats.org/officeDocument/2006/relationships" name="Card Matrix" sheetId="5" r:id="Ra9e4279960c44727"/>
    <x:sheet xmlns:r="http://schemas.openxmlformats.org/officeDocument/2006/relationships" name="Groups" sheetId="6" r:id="R8a01621ed5594ce5"/>
    <x:sheet xmlns:r="http://schemas.openxmlformats.org/officeDocument/2006/relationships" name="Structural Audit" sheetId="7" r:id="Rf6bd16456bdb4eeb"/>
    <x:sheet xmlns:r="http://schemas.openxmlformats.org/officeDocument/2006/relationships" name="Tier List" sheetId="8" r:id="Re17c901ff852478c"/>
    <x:sheet xmlns:r="http://schemas.openxmlformats.org/officeDocument/2006/relationships" name="Sources &amp; Rules" sheetId="9" r:id="R5860263baec54387"/>
    <x:sheet xmlns:r="http://schemas.openxmlformats.org/officeDocument/2006/relationships" name="Playtest Log" sheetId="10" r:id="R95bde730919140f7"/>
    <x:sheet xmlns:r="http://schemas.openxmlformats.org/officeDocument/2006/relationships" name="Proposed V3" sheetId="11" r:id="R7a77ee1ba84b4696"/>
    <x:sheet xmlns:r="http://schemas.openxmlformats.org/officeDocument/2006/relationships" name="V3 Upgrade Matrix" sheetId="12" r:id="R192bcfcc659c4a66"/>
    <x:sheet xmlns:r="http://schemas.openxmlformats.org/officeDocument/2006/relationships" name="Scorecard" sheetId="13" r:id="Re570b139400a4cde"/>
    <x:sheet xmlns:r="http://schemas.openxmlformats.org/officeDocument/2006/relationships" name="V3 Card Matrix" sheetId="14" r:id="Refc1e442ac6f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1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42314"/>
      <x:name val="Carlito"/>
    </x:font>
    <x:font>
      <x:b/>
      <x:sz val="11"/>
      <x:color rgb="FFFFFFFF"/>
      <x:name val="Carlito"/>
    </x:font>
    <x:font>
      <x:b/>
      <x:sz val="11"/>
      <x:color rgb="FF542314"/>
      <x:name val="Carlito"/>
    </x:font>
    <x:font>
      <x:b/>
      <x:sz val="11"/>
      <x:color rgb="FF4A2F00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5"/>
      <x:color rgb="FFFFFFFF"/>
      <x:name val="Carlito"/>
    </x:font>
    <x:font>
      <x:b/>
      <x:sz val="10"/>
      <x:color rgb="FF17365D"/>
      <x:name val="Carlito"/>
    </x:font>
    <x:font>
      <x:i/>
      <x:sz val="10"/>
      <x:color rgb="FF374151"/>
      <x:name val="Carlito"/>
    </x:font>
    <x:font>
      <x:i/>
      <x:sz val="10"/>
      <x:color rgb="FF17365D"/>
      <x:name val="Carlito"/>
    </x:font>
    <x:font>
      <x:b/>
      <x:sz val="10"/>
      <x:color rgb="FF1F2937"/>
      <x:name val="Carlito"/>
    </x:font>
    <x:font>
      <x:i/>
      <x:sz val="10"/>
      <x:color rgb="FF1F2937"/>
      <x:name val="Carlito"/>
    </x:font>
    <x:font>
      <x:b/>
      <x:sz val="10"/>
      <x:color rgb="FF7C2D12"/>
      <x:name val="Carlito"/>
    </x:font>
    <x:font>
      <x:i/>
      <x:sz val="9"/>
      <x:color rgb="FF37415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42314"/>
      </x:patternFill>
    </x:fill>
    <x:fill>
      <x:patternFill patternType="solid">
        <x:fgColor rgb="FFFCEDE5"/>
      </x:patternFill>
    </x:fill>
    <x:fill>
      <x:patternFill patternType="solid">
        <x:fgColor rgb="FFB8431B"/>
      </x:patternFill>
    </x:fill>
    <x:fill>
      <x:patternFill patternType="solid">
        <x:fgColor rgb="FFFFE7A3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FCE7DC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201" fontId="0" fillId="9" borderId="0" xfId="0" applyNumberFormat="1" applyFont="1" applyFill="1" applyBorder="1"/>
    <x:xf numFmtId="0" fontId="11" fillId="9" borderId="0" xfId="0" applyNumberFormat="1" applyFont="1" applyFill="1" applyBorder="1"/>
    <x:xf numFmtId="200" fontId="11" fillId="9" borderId="0" xfId="0" applyNumberFormat="1" applyFont="1" applyFill="1" applyBorder="1"/>
    <x:xf numFmtId="201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200" fontId="11" fillId="9" borderId="0" xfId="0" applyNumberFormat="1" applyFont="1" applyFill="1" applyBorder="1" applyAlignment="1">
      <x:alignment wrapText="1"/>
    </x:xf>
    <x:xf numFmtId="201" fontId="1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200" fontId="11" fillId="9" borderId="0" xfId="0" applyNumberFormat="1" applyFont="1" applyFill="1" applyBorder="1" applyAlignment="1">
      <x:alignment vertical="top" wrapText="1"/>
    </x:xf>
    <x:xf numFmtId="201" fontId="11" fillId="9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7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4" fillId="7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201" fontId="9" fillId="6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 applyAlignment="1">
      <x:alignment horizontal="center" vertical="top" wrapText="1"/>
    </x:xf>
    <x:xf numFmtId="0" fontId="14" fillId="5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horizontal="center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center" vertical="center"/>
    </x:xf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0"/>
    </x:xf>
    <x:xf numFmtId="0" fontId="13" fillId="9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top" wrapText="0"/>
    </x:xf>
    <x:xf numFmtId="0" fontId="14" fillId="5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0"/>
    </x:xf>
    <x:xf numFmtId="202" fontId="9" fillId="0" borderId="0" xfId="0" applyNumberFormat="1" applyFont="1" applyFill="1" applyBorder="1" applyAlignment="1">
      <x:alignment vertical="center" wrapText="1"/>
    </x:xf>
    <x:xf numFmtId="202" fontId="9" fillId="6" borderId="0" xfId="0" applyNumberFormat="1" applyFont="1" applyFill="1" applyBorder="1" applyAlignment="1">
      <x:alignment vertical="center" wrapText="1"/>
    </x:xf>
    <x:xf numFmtId="202" fontId="11" fillId="9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vertical="top" wrapText="0"/>
    </x:xf>
    <x:xf numFmtId="0" fontId="11" fillId="12" borderId="0" xfId="0" applyNumberFormat="1" applyFont="1" applyFill="1" applyBorder="1" applyAlignment="1">
      <x:alignment vertical="top" wrapText="0"/>
    </x:xf>
    <x:xf numFmtId="0" fontId="11" fillId="12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vertical="top" wrapText="0"/>
    </x:xf>
    <x:xf numFmtId="0" fontId="14" fillId="13" borderId="0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vertical="top" wrapText="1"/>
    </x:xf>
    <x:xf numFmtId="0" fontId="14" fillId="1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2c59e94894d08" /><Relationship Type="http://schemas.openxmlformats.org/officeDocument/2006/relationships/theme" Target="/xl/theme/theme1.xml" Id="Raf25febe08a74ec0" /><Relationship Type="http://schemas.openxmlformats.org/officeDocument/2006/relationships/sharedStrings" Target="/xl/sharedStrings.xml" Id="Rd4b17c8b66244951" /><Relationship Type="http://schemas.openxmlformats.org/officeDocument/2006/relationships/worksheet" Target="/xl/worksheets/sheet1.xml" Id="R8f0d0fc9fa164fca" /><Relationship Type="http://schemas.openxmlformats.org/officeDocument/2006/relationships/worksheet" Target="/xl/worksheets/sheet2.xml" Id="R43dd01159d9b4959" /><Relationship Type="http://schemas.openxmlformats.org/officeDocument/2006/relationships/worksheet" Target="/xl/worksheets/sheet3.xml" Id="R2ec3e8d2f51141f3" /><Relationship Type="http://schemas.openxmlformats.org/officeDocument/2006/relationships/worksheet" Target="/xl/worksheets/sheet4.xml" Id="R683fe14f8bfc4a7f" /><Relationship Type="http://schemas.openxmlformats.org/officeDocument/2006/relationships/worksheet" Target="/xl/worksheets/sheet5.xml" Id="Ra9e4279960c44727" /><Relationship Type="http://schemas.openxmlformats.org/officeDocument/2006/relationships/worksheet" Target="/xl/worksheets/sheet6.xml" Id="R8a01621ed5594ce5" /><Relationship Type="http://schemas.openxmlformats.org/officeDocument/2006/relationships/worksheet" Target="/xl/worksheets/sheet7.xml" Id="Rf6bd16456bdb4eeb" /><Relationship Type="http://schemas.openxmlformats.org/officeDocument/2006/relationships/worksheet" Target="/xl/worksheets/sheet8.xml" Id="Re17c901ff852478c" /><Relationship Type="http://schemas.openxmlformats.org/officeDocument/2006/relationships/worksheet" Target="/xl/worksheets/sheet9.xml" Id="R5860263baec54387" /><Relationship Type="http://schemas.openxmlformats.org/officeDocument/2006/relationships/worksheet" Target="/xl/worksheets/sheet10.xml" Id="R95bde730919140f7" /><Relationship Type="http://schemas.openxmlformats.org/officeDocument/2006/relationships/worksheet" Target="/xl/worksheets/sheet11.xml" Id="R7a77ee1ba84b4696" /><Relationship Type="http://schemas.openxmlformats.org/officeDocument/2006/relationships/worksheet" Target="/xl/worksheets/sheet12.xml" Id="R192bcfcc659c4a66" /><Relationship Type="http://schemas.openxmlformats.org/officeDocument/2006/relationships/worksheet" Target="/xl/worksheets/sheet13.xml" Id="Re570b139400a4cde" /><Relationship Type="http://schemas.openxmlformats.org/officeDocument/2006/relationships/worksheet" Target="/xl/worksheets/sheet14.xml" Id="Refc1e442ac6f44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143" t="str">
        <x:v>LATHLISS | V3</x:v>
      </x:c>
      <x:c r="B1" s="143"/>
      <x:c r="C1" s="143"/>
      <x:c r="D1" s="143"/>
      <x:c r="E1" s="143"/>
      <x:c r="F1" s="50"/>
      <x:c r="G1" s="50"/>
      <x:c r="H1" s="50"/>
      <x:c r="I1" s="24"/>
      <x:c r="J1" s="24"/>
      <x:c r="K1" s="24"/>
      <x:c r="L1" s="24"/>
      <x:c r="M1" s="24"/>
    </x:row>
    <x:row r="2" ht="25" customHeight="1">
      <x:c r="A2" s="144" t="str">
        <x:v>V3 não testada • nota ponderada de construção</x:v>
      </x:c>
      <x:c r="B2" s="144"/>
      <x:c r="C2" s="144"/>
      <x:c r="D2" s="144"/>
      <x:c r="E2" s="144"/>
      <x:c r="F2" s="13"/>
      <x:c r="G2" s="13"/>
      <x:c r="H2" s="13"/>
    </x:row>
    <x:row r="3">
      <x:c r="A3" s="124"/>
      <x:c r="B3" s="124"/>
      <x:c r="C3" s="124"/>
      <x:c r="D3" s="124"/>
      <x:c r="E3" s="124"/>
    </x:row>
    <x:row r="4" ht="32" customHeight="1">
      <x:c r="A4" s="71" t="str">
        <x:v>INDICADOR</x:v>
      </x:c>
      <x:c r="B4" s="71" t="str">
        <x:v>CURRENT</x:v>
      </x:c>
      <x:c r="C4" s="71" t="str">
        <x:v>PROPOSED V2</x:v>
      </x:c>
      <x:c r="D4" s="71" t="str">
        <x:v>PROPOSED V3</x:v>
      </x:c>
      <x:c r="E4" s="114"/>
      <x:c r="F4" s="58"/>
      <x:c r="G4" s="58"/>
      <x:c r="H4" s="58"/>
    </x:row>
    <x:row r="5" ht="24" customHeight="1">
      <x:c r="A5" s="115" t="str">
        <x:v>Total de cartas</x:v>
      </x:c>
      <x:c r="B5" s="116" t="n">
        <x:f>SUM('Current List'!A2:A101)</x:f>
        <x:v>100</x:v>
      </x:c>
      <x:c r="C5" s="116" t="n">
        <x:f>SUM('Proposed List'!A2:A101)</x:f>
        <x:v>100</x:v>
      </x:c>
      <x:c r="D5" s="117" t="n">
        <x:f>SUM('Proposed V3'!A2:A101)</x:f>
        <x:v>100</x:v>
      </x:c>
      <x:c r="E5" s="117"/>
      <x:c r="F5" s="57"/>
      <x:c r="G5" s="57"/>
      <x:c r="H5" s="57"/>
    </x:row>
    <x:row r="6" ht="24" customHeight="1">
      <x:c r="A6" s="115" t="str">
        <x:v>Cartas com opção de terreno</x:v>
      </x:c>
      <x:c r="B6" s="116" t="n">
        <x:f>SUMIF('Current List'!E2:E101,"Sim — terreno",'Current List'!A2:A101)+SUMIF('Current List'!E2:E101,"Sim — face-terreno",'Current List'!A2:A101)</x:f>
        <x:v>35</x:v>
      </x:c>
      <x:c r="C6" s="116" t="n">
        <x:f>SUMIF('Proposed List'!E2:E101,"Sim — terreno",'Proposed List'!A2:A101)+SUMIF('Proposed List'!E2:E101,"Sim — face-terreno",'Proposed List'!A2:A101)</x:f>
        <x:v>35</x:v>
      </x:c>
      <x:c r="D6" s="117" t="n">
        <x:f>SUMIF('Proposed V3'!E2:E101,"Sim — terreno",'Proposed V3'!A2:A101)+SUMIF('Proposed V3'!E2:E101,"Sim — face-terreno",'Proposed V3'!A2:A101)</x:f>
        <x:v>35</x:v>
      </x:c>
      <x:c r="E6" s="117"/>
      <x:c r="F6" s="57"/>
      <x:c r="G6" s="57"/>
      <x:c r="H6" s="57"/>
    </x:row>
    <x:row r="7" ht="24" customHeight="1">
      <x:c r="A7" s="115" t="str">
        <x:v>Trocas incrementais nesta etapa</x:v>
      </x:c>
      <x:c r="B7" s="116" t="n">
        <x:v>0</x:v>
      </x:c>
      <x:c r="C7" s="116" t="n">
        <x:v>13</x:v>
      </x:c>
      <x:c r="D7" s="117" t="n">
        <x:v>11</x:v>
      </x:c>
      <x:c r="E7" s="117"/>
      <x:c r="F7" s="57"/>
      <x:c r="G7" s="57"/>
      <x:c r="H7" s="57"/>
    </x:row>
    <x:row r="8" ht="24" customHeight="1">
      <x:c r="A8" s="115" t="str">
        <x:v>Nota estrutural ponderada (0–10)</x:v>
      </x:c>
      <x:c r="B8" s="148" t="n">
        <x:f>'Scorecard'!C15</x:f>
        <x:v>5.85</x:v>
      </x:c>
      <x:c r="C8" s="148" t="n">
        <x:f>'Scorecard'!D15</x:f>
        <x:v>8.005</x:v>
      </x:c>
      <x:c r="D8" s="149" t="n">
        <x:f>'Scorecard'!E15</x:f>
        <x:v>9.08</x:v>
      </x:c>
      <x:c r="E8" s="117"/>
      <x:c r="F8" s="57"/>
      <x:c r="G8" s="57"/>
      <x:c r="H8" s="57"/>
    </x:row>
    <x:row r="9">
      <x:c r="A9" s="124"/>
      <x:c r="B9" s="124"/>
      <x:c r="C9" s="124"/>
      <x:c r="D9" s="124"/>
      <x:c r="E9" s="124"/>
    </x:row>
    <x:row r="10" ht="24" customHeight="1">
      <x:c r="A10" s="127" t="str">
        <x:v>LEITURA ESTRATÉGICA</x:v>
      </x:c>
      <x:c r="B10" s="127"/>
      <x:c r="C10" s="127"/>
      <x:c r="D10" s="127"/>
      <x:c r="E10" s="127"/>
      <x:c r="F10" s="28"/>
      <x:c r="G10" s="28"/>
      <x:c r="H10" s="28"/>
    </x:row>
    <x:row r="11" ht="56" customHeight="1">
      <x:c r="A11" s="131" t="str">
        <x:v>Diagnóstico V3</x:v>
      </x:c>
      <x:c r="B11" s="72" t="str">
        <x:v>A V3 fecha a lacuna entre ramp, compra e payoffs de Dragões. A nota anterior de 8,5 foi rebaselined para 8,0 pela rubrica comum; não é uma queda no deck, e sim uma comparação mais explícita.</x:v>
      </x:c>
      <x:c r="C11" s="72"/>
      <x:c r="D11" s="122"/>
      <x:c r="E11" s="72"/>
    </x:row>
    <x:row r="12" ht="56" customHeight="1">
      <x:c r="A12" s="131" t="str">
        <x:v>Early game</x:v>
      </x:c>
      <x:c r="B12" s="72" t="str">
        <x:v>Acelerar para Lathliss / ameaças de 5+ manas antes que a curva alta se acumule; Chrome Mox e Mana Vault são fortes, mas cobram recursos/vida indireta.</x:v>
      </x:c>
      <x:c r="C12" s="72"/>
      <x:c r="D12" s="122"/>
      <x:c r="E12" s="72"/>
    </x:row>
    <x:row r="13" ht="56" customHeight="1">
      <x:c r="A13" s="131" t="str">
        <x:v>Mid game</x:v>
      </x:c>
      <x:c r="B13" s="72" t="str">
        <x:v>Lathliss, Dragon Tempest, Scourge of Valkas, Terror of the Peaks, Ganax e Roaming Throne convertem entradas em fichas, dano e Tesouros; as novas fontes de compra mantêm fluxo.</x:v>
      </x:c>
      <x:c r="C13" s="72"/>
      <x:c r="D13" s="122"/>
      <x:c r="E13" s="72"/>
    </x:row>
    <x:row r="14" ht="56" customHeight="1">
      <x:c r="A14" s="131" t="str">
        <x:v>Late game</x:v>
      </x:c>
      <x:c r="B14" s="72" t="str">
        <x:v>Fechar com mesa aérea, Utvara Hellkite/combates extras, Dracogenesis ou dano por gatilhos; não presumir que Dracogenesis é boa em mão sem Dragões.</x:v>
      </x:c>
      <x:c r="C14" s="72"/>
      <x:c r="D14" s="122"/>
      <x:c r="E14" s="72"/>
    </x:row>
    <x:row r="15" ht="56" customHeight="1">
      <x:c r="A15" s="131" t="str">
        <x:v>Interação</x:v>
      </x:c>
      <x:c r="B15" s="72" t="str">
        <x:v>Vandalblast e Mizzium Mortars têm modos assimétricos; Blasphemous Act é normalmente simétrico e a linha com Wrathful Red Dragon pode transformar a limpeza em dano direcionado.</x:v>
      </x:c>
      <x:c r="C15" s="72"/>
      <x:c r="D15" s="122"/>
      <x:c r="E15" s="72"/>
    </x:row>
    <x:row r="16" ht="56" customHeight="1">
      <x:c r="A16" s="131" t="str">
        <x:v>Riscos e hipótese</x:v>
      </x:c>
      <x:c r="B16" s="72" t="str">
        <x:v>A V3 é de alto poder casual e eleva a densidade de fast mana; Dracogenesis é condicional e Ancient Copper Dragon precisa conectar. V3 não é testada.</x:v>
      </x:c>
      <x:c r="C16" s="72"/>
      <x:c r="D16" s="72"/>
      <x:c r="E16" s="72"/>
    </x:row>
    <x:row r="17" ht="96" customHeight="1">
      <x:c r="A17" s="72"/>
      <x:c r="B17" s="72"/>
      <x:c r="C17" s="72"/>
      <x:c r="D17" s="72"/>
      <x:c r="E17" s="72"/>
    </x:row>
    <x:row r="18" ht="24" customHeight="1">
      <x:c r="A18" s="127" t="str">
        <x:v>CHECKLIST DE PLAYTEST</x:v>
      </x:c>
      <x:c r="B18" s="127"/>
      <x:c r="C18" s="127"/>
      <x:c r="D18" s="127"/>
      <x:c r="E18" s="127"/>
    </x:row>
    <x:row r="19" ht="28" customHeight="1">
      <x:c r="A19" s="152" t="str">
        <x:v>Métrica</x:v>
      </x:c>
      <x:c r="B19" s="152" t="str">
        <x:v>Plano</x:v>
      </x:c>
      <x:c r="C19" s="152" t="str">
        <x:v>Compra</x:v>
      </x:c>
      <x:c r="D19" s="152" t="str">
        <x:v>Interação</x:v>
      </x:c>
      <x:c r="E19" s="152" t="str">
        <x:v>Fechamento</x:v>
      </x:c>
    </x:row>
    <x:row r="20" ht="54" customHeight="1">
      <x:c r="A20" s="159" t="str">
        <x:v>O que observar</x:v>
      </x:c>
      <x:c r="B20" s="159" t="str">
        <x:v>Turno em que o plano começa</x:v>
      </x:c>
      <x:c r="C20" s="159" t="str">
        <x:v>Cartas após mão seca</x:v>
      </x:c>
      <x:c r="D20" s="159" t="str">
        <x:v>Impacto dos wipes/respostas</x:v>
      </x:c>
      <x:c r="E20" s="159" t="str">
        <x:v>Como a partida foi encerrada</x:v>
      </x:c>
      <x:c r="F20" s="42"/>
      <x:c r="G20" s="42"/>
      <x:c r="H20" s="42"/>
    </x:row>
    <x:row r="21" ht="26" customHeight="1">
      <x:c r="A21" s="139"/>
      <x:c r="B21" s="147"/>
      <x:c r="C21" s="147"/>
      <x:c r="D21" s="147"/>
      <x:c r="E21" s="147"/>
    </x:row>
    <x:row r="22" ht="26" customHeight="1">
      <x:c r="A22" s="139"/>
      <x:c r="B22" s="147"/>
      <x:c r="C22" s="147"/>
      <x:c r="D22" s="147"/>
      <x:c r="E22" s="147"/>
    </x:row>
    <x:row r="23" ht="26" customHeight="1">
      <x:c r="A23" s="139"/>
      <x:c r="B23" s="147"/>
      <x:c r="C23" s="147"/>
      <x:c r="D23" s="147"/>
      <x:c r="E23" s="147"/>
    </x:row>
    <x:row r="24">
      <x:c r="A24"/>
      <x:c r="B24"/>
      <x:c r="C24"/>
      <x:c r="D24"/>
      <x:c r="E24"/>
    </x:row>
    <x:row r="25" ht="34" customHeight="1">
      <x:c r="A25" s="142" t="str">
        <x:v>Regra de estado: CURRENT nunca é sobrescrita; V2 é preservada; V3 é uma proposta derivada da V2. Nenhuma carta foi considerada comprada, incluída ou testada.</x:v>
      </x:c>
      <x:c r="B25" s="142"/>
      <x:c r="C25" s="142"/>
      <x:c r="D25" s="142"/>
      <x:c r="E25" s="142"/>
    </x:row>
    <x:row r="26" ht="34" customHeight="1">
      <x:c r="A26" s="142" t="str">
        <x:v>A nota V2 anterior de 8,5 era um julgamento não explicitamente ponderado. CURRENT/V2/V3 foram reavaliadas na mesma rubrica para permitir comparação transparente.</x:v>
      </x:c>
      <x:c r="B26" s="142"/>
      <x:c r="C26" s="142"/>
      <x:c r="D26" s="142"/>
      <x:c r="E26" s="142"/>
    </x:row>
    <x:row r="27" ht="34" customHeight="1">
      <x:c r="A27" s="142" t="str">
        <x:v>A rubrica usa dez critérios com pesos explícitos que somam 100%. A nota projetada V3 é de construção; playtests podem exigir revisão.</x:v>
      </x:c>
      <x:c r="B27" s="142"/>
      <x:c r="C27" s="142"/>
      <x:c r="D27" s="142"/>
      <x:c r="E27" s="142"/>
    </x:row>
  </x:sheetData>
  <x:mergeCells>
    <x:mergeCell ref="A10:H10"/>
    <x:mergeCell ref="D10:H10"/>
    <x:mergeCell ref="A10:E10"/>
    <x:mergeCell ref="A18:E18"/>
    <x:mergeCell ref="A25:E25"/>
    <x:mergeCell ref="A26:E26"/>
    <x:mergeCell ref="A27:E27"/>
    <x:mergeCell ref="B11:E11"/>
    <x:mergeCell ref="B12:E12"/>
    <x:mergeCell ref="B13:E13"/>
    <x:mergeCell ref="B14:E14"/>
    <x:mergeCell ref="B15:E15"/>
    <x:mergeCell ref="B16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Lathliss, Dragon Queen</x:v>
      </x:c>
      <x:c r="C2" s="36" t="str">
        <x:v>1 Lathliss, Dragon Queen (M19) 149</x:v>
      </x:c>
      <x:c r="D2" s="36" t="str">
        <x:v>Sinergia 1</x:v>
      </x:c>
      <x:c r="E2" s="36" t="str">
        <x:v>Não</x:v>
      </x:c>
      <x:c r="F2" s="36" t="str">
        <x:v>COMMANDER</x:v>
      </x:c>
      <x:c r="G2" s="36" t="str">
        <x:v>Comandante; cria uma ficha Dragão 5/5 voadora quando outro Dragão não ficha entra.</x:v>
      </x:c>
    </x:row>
    <x:row r="3" ht="42" customHeight="1">
      <x:c r="A3" s="36" t="n">
        <x:v>1</x:v>
      </x:c>
      <x:c r="B3" s="36" t="str">
        <x:v>Abstergo Entertainment</x:v>
      </x:c>
      <x:c r="C3" s="36" t="str">
        <x:v>1 Abstergo Entertainment (ACR) 79</x:v>
      </x:c>
      <x:c r="D3" s="36" t="str">
        <x:v>Ramp</x:v>
      </x:c>
      <x:c r="E3" s="36" t="str">
        <x:v>Sim — terreno</x:v>
      </x:c>
      <x:c r="F3" s="36" t="str">
        <x:v>CURRENT</x:v>
      </x:c>
      <x:c r="G3" s="36" t="str">
        <x:v>Aceleração de mana ou redução de custo.</x:v>
      </x:c>
    </x:row>
    <x:row r="4" ht="42" customHeight="1">
      <x:c r="A4" s="36" t="n">
        <x:v>1</x:v>
      </x:c>
      <x:c r="B4" s="36" t="str">
        <x:v>Arcane Signet</x:v>
      </x:c>
      <x:c r="C4" s="36" t="str">
        <x:v>1 Arcane Signet (CLB) 298</x:v>
      </x:c>
      <x:c r="D4" s="36" t="str">
        <x:v>Ramp</x:v>
      </x:c>
      <x:c r="E4" s="36" t="str">
        <x:v>Não</x:v>
      </x:c>
      <x:c r="F4" s="36" t="str">
        <x:v>CURRENT</x:v>
      </x:c>
      <x:c r="G4" s="36" t="str">
        <x:v>Aceleração de mana ou redução de custo.</x:v>
      </x:c>
    </x:row>
    <x:row r="5" ht="42" customHeight="1">
      <x:c r="A5" s="36" t="n">
        <x:v>1</x:v>
      </x:c>
      <x:c r="B5" s="36" t="str">
        <x:v>Arena of Glory</x:v>
      </x:c>
      <x:c r="C5" s="36" t="str">
        <x:v>1 Arena of Glory (MH3) 215</x:v>
      </x:c>
      <x:c r="D5" s="36" t="str">
        <x:v>Ramp</x:v>
      </x:c>
      <x:c r="E5" s="36" t="str">
        <x:v>Sim — terreno</x:v>
      </x:c>
      <x:c r="F5" s="36" t="str">
        <x:v>CURRENT</x:v>
      </x:c>
      <x:c r="G5" s="36" t="str">
        <x:v>Aceleração de mana ou redução de custo.</x:v>
      </x:c>
    </x:row>
    <x:row r="6" ht="42" customHeight="1">
      <x:c r="A6" s="36" t="n">
        <x:v>1</x:v>
      </x:c>
      <x:c r="B6" s="36" t="str">
        <x:v>Balefire Dragon</x:v>
      </x:c>
      <x:c r="C6" s="36" t="str">
        <x:v>1 Balefire Dragon (CMM) 697</x:v>
      </x:c>
      <x:c r="D6" s="36" t="str">
        <x:v>Sinergia 2</x:v>
      </x:c>
      <x:c r="E6" s="36" t="str">
        <x:v>Não</x:v>
      </x:c>
      <x:c r="F6" s="36" t="str">
        <x:v>CURRENT</x:v>
      </x:c>
      <x:c r="G6" s="36" t="str">
        <x:v>Amplifica dano, pressão ou valor gerado por Dragões.</x:v>
      </x:c>
    </x:row>
    <x:row r="7" ht="42" customHeight="1">
      <x:c r="A7" s="36" t="n">
        <x:v>1</x:v>
      </x:c>
      <x:c r="B7" s="36" t="str">
        <x:v>Barbarian Ring</x:v>
      </x:c>
      <x:c r="C7" s="36" t="str">
        <x:v>1 Barbarian Ring (MH3) 299</x:v>
      </x:c>
      <x:c r="D7" s="36" t="str">
        <x:v>Ramp</x:v>
      </x:c>
      <x:c r="E7" s="36" t="str">
        <x:v>Sim — terreno</x:v>
      </x:c>
      <x:c r="F7" s="36" t="str">
        <x:v>CURRENT</x:v>
      </x:c>
      <x:c r="G7" s="36" t="str">
        <x:v>Aceleração de mana ou redução de custo.</x:v>
      </x:c>
    </x:row>
    <x:row r="8" ht="42" customHeight="1">
      <x:c r="A8" s="36" t="n">
        <x:v>1</x:v>
      </x:c>
      <x:c r="B8" s="36" t="str">
        <x:v>Belbe's Portal</x:v>
      </x:c>
      <x:c r="C8" s="36" t="str">
        <x:v>1 Belbe's Portal (PLST) NEM-127</x:v>
      </x:c>
      <x:c r="D8" s="36" t="str">
        <x:v>Ramp</x:v>
      </x:c>
      <x:c r="E8" s="36" t="str">
        <x:v>Não</x:v>
      </x:c>
      <x:c r="F8" s="36" t="str">
        <x:v>CURRENT</x:v>
      </x:c>
      <x:c r="G8" s="36" t="str">
        <x:v>Aceleração de mana ou redução de custo.</x:v>
      </x:c>
    </x:row>
    <x:row r="9" ht="42" customHeight="1">
      <x:c r="A9" s="36" t="n">
        <x:v>1</x:v>
      </x:c>
      <x:c r="B9" s="36" t="str">
        <x:v>Browbeat</x:v>
      </x:c>
      <x:c r="C9" s="36" t="str">
        <x:v>1 Browbeat (DDK) 66</x:v>
      </x:c>
      <x:c r="D9" s="36" t="str">
        <x:v>Draw</x:v>
      </x:c>
      <x:c r="E9" s="36" t="str">
        <x:v>Não</x:v>
      </x:c>
      <x:c r="F9" s="36" t="str">
        <x:v>CURRENT</x:v>
      </x:c>
      <x:c r="G9" s="36" t="str">
        <x:v>Compra, seleção ou recuperação de cartas.</x:v>
      </x:c>
    </x:row>
    <x:row r="10" ht="42" customHeight="1">
      <x:c r="A10" s="36" t="n">
        <x:v>1</x:v>
      </x:c>
      <x:c r="B10" s="36" t="str">
        <x:v>Carnelian Orb of Dragonkind</x:v>
      </x:c>
      <x:c r="C10" s="36" t="str">
        <x:v>1 Carnelian Orb of Dragonkind (CLB) 166</x:v>
      </x:c>
      <x:c r="D10" s="36" t="str">
        <x:v>Ramp</x:v>
      </x:c>
      <x:c r="E10" s="36" t="str">
        <x:v>Não</x:v>
      </x:c>
      <x:c r="F10" s="36" t="str">
        <x:v>CURRENT</x:v>
      </x:c>
      <x:c r="G10" s="36" t="str">
        <x:v>Aceleração de mana ou redução de custo.</x:v>
      </x:c>
    </x:row>
    <x:row r="11" ht="42" customHeight="1">
      <x:c r="A11" s="36" t="n">
        <x:v>1</x:v>
      </x:c>
      <x:c r="B11" s="36" t="str">
        <x:v>Chain Reaction</x:v>
      </x:c>
      <x:c r="C11" s="36" t="str">
        <x:v>1 Chain Reaction (CLB) 783</x:v>
      </x:c>
      <x:c r="D11" s="36" t="str">
        <x:v>Removal</x:v>
      </x:c>
      <x:c r="E11" s="36" t="str">
        <x:v>Não</x:v>
      </x:c>
      <x:c r="F11" s="36" t="str">
        <x:v>CURRENT</x:v>
      </x:c>
      <x:c r="G11" s="36" t="str">
        <x:v>Resposta a ameaças; verificar a cobertura e se o efeito é simétrico.</x:v>
      </x:c>
    </x:row>
    <x:row r="12" ht="42" customHeight="1">
      <x:c r="A12" s="36" t="n">
        <x:v>1</x:v>
      </x:c>
      <x:c r="B12" s="36" t="str">
        <x:v>Chaos Dragon</x:v>
      </x:c>
      <x:c r="C12" s="36" t="str">
        <x:v>1 Chaos Dragon (CLB) 784</x:v>
      </x:c>
      <x:c r="D12" s="36" t="str">
        <x:v>Sinergia 2</x:v>
      </x:c>
      <x:c r="E12" s="36" t="str">
        <x:v>Não</x:v>
      </x:c>
      <x:c r="F12" s="36" t="str">
        <x:v>CURRENT</x:v>
      </x:c>
      <x:c r="G12" s="36" t="str">
        <x:v>Amplifica dano, pressão ou valor gerado por Dragões.</x:v>
      </x:c>
    </x:row>
    <x:row r="13" ht="42" customHeight="1">
      <x:c r="A13" s="36" t="n">
        <x:v>1</x:v>
      </x:c>
      <x:c r="B13" s="36" t="str">
        <x:v>Chaos Warp</x:v>
      </x:c>
      <x:c r="C13" s="36" t="str">
        <x:v>1 Chaos Warp (CLB) 785</x:v>
      </x:c>
      <x:c r="D13" s="36" t="str">
        <x:v>Removal</x:v>
      </x:c>
      <x:c r="E13" s="36" t="str">
        <x:v>Não</x:v>
      </x:c>
      <x:c r="F13" s="36" t="str">
        <x:v>CURRENT</x:v>
      </x:c>
      <x:c r="G13" s="36" t="str">
        <x:v>Resposta a ameaças; verificar a cobertura e se o efeito é simétrico.</x:v>
      </x:c>
    </x:row>
    <x:row r="14" ht="42" customHeight="1">
      <x:c r="A14" s="36" t="n">
        <x:v>1</x:v>
      </x:c>
      <x:c r="B14" s="36" t="str">
        <x:v>Collective Defiance</x:v>
      </x:c>
      <x:c r="C14" s="36" t="str">
        <x:v>1 Collective Defiance (OTP) 21</x:v>
      </x:c>
      <x:c r="D14" s="36" t="str">
        <x:v>Removal</x:v>
      </x:c>
      <x:c r="E14" s="36" t="str">
        <x:v>Não</x:v>
      </x:c>
      <x:c r="F14" s="36" t="str">
        <x:v>CURRENT</x:v>
      </x:c>
      <x:c r="G14" s="36" t="str">
        <x:v>Resposta a ameaças; verificar a cobertura e se o efeito é simétrico.</x:v>
      </x:c>
    </x:row>
    <x:row r="15" ht="42" customHeight="1">
      <x:c r="A15" s="36" t="n">
        <x:v>1</x:v>
      </x:c>
      <x:c r="B15" s="36" t="str">
        <x:v>Crawlspace</x:v>
      </x:c>
      <x:c r="C15" s="36" t="str">
        <x:v>1 Crawlspace (DMR) 375</x:v>
      </x:c>
      <x:c r="D15" s="36" t="str">
        <x:v>Sinergia 3</x:v>
      </x:c>
      <x:c r="E15" s="36" t="str">
        <x:v>Não</x:v>
      </x:c>
      <x:c r="F15" s="36" t="str">
        <x:v>CURRENT</x:v>
      </x:c>
      <x:c r="G15" s="36" t="str">
        <x:v>Apoia ímpeto, proteção, plano tribal ou combate.</x:v>
      </x:c>
    </x:row>
    <x:row r="16" ht="42" customHeight="1">
      <x:c r="A16" s="36" t="n">
        <x:v>1</x:v>
      </x:c>
      <x:c r="B16" s="36" t="str">
        <x:v>Curse of Opulence</x:v>
      </x:c>
      <x:c r="C16" s="36" t="str">
        <x:v>1 Curse of Opulence (CLB) 786</x:v>
      </x:c>
      <x:c r="D16" s="36" t="str">
        <x:v>Tesouro</x:v>
      </x:c>
      <x:c r="E16" s="36" t="str">
        <x:v>Não</x:v>
      </x:c>
      <x:c r="F16" s="36" t="str">
        <x:v>CURRENT</x:v>
      </x:c>
      <x:c r="G16" s="36" t="str">
        <x:v>Produz Tesouros ou converte combate/Dragões em mana.</x:v>
      </x:c>
    </x:row>
    <x:row r="17" ht="42" customHeight="1">
      <x:c r="A17" s="36" t="n">
        <x:v>1</x:v>
      </x:c>
      <x:c r="B17" s="36" t="str">
        <x:v>Cursed Mirror</x:v>
      </x:c>
      <x:c r="C17" s="36" t="str">
        <x:v>1 Cursed Mirror (MH3) 279</x:v>
      </x:c>
      <x:c r="D17" s="36" t="str">
        <x:v>Ramp</x:v>
      </x:c>
      <x:c r="E17" s="36" t="str">
        <x:v>Não</x:v>
      </x:c>
      <x:c r="F17" s="36" t="str">
        <x:v>CURRENT</x:v>
      </x:c>
      <x:c r="G17" s="36" t="str">
        <x:v>Aceleração de mana ou redução de custo.</x:v>
      </x:c>
    </x:row>
    <x:row r="18" ht="42" customHeight="1">
      <x:c r="A18" s="36" t="n">
        <x:v>1</x:v>
      </x:c>
      <x:c r="B18" s="36" t="str">
        <x:v>Demand Answers</x:v>
      </x:c>
      <x:c r="C18" s="36" t="str">
        <x:v>1 Demand Answers (MKM) 306</x:v>
      </x:c>
      <x:c r="D18" s="36" t="str">
        <x:v>Draw</x:v>
      </x:c>
      <x:c r="E18" s="36" t="str">
        <x:v>Não</x:v>
      </x:c>
      <x:c r="F18" s="36" t="str">
        <x:v>CURRENT</x:v>
      </x:c>
      <x:c r="G18" s="36" t="str">
        <x:v>Compra, seleção ou recuperação de cartas.</x:v>
      </x:c>
    </x:row>
    <x:row r="19" ht="42" customHeight="1">
      <x:c r="A19" s="36" t="n">
        <x:v>1</x:v>
      </x:c>
      <x:c r="B19" s="36" t="str">
        <x:v>Dictate of the Twin Gods</x:v>
      </x:c>
      <x:c r="C19" s="36" t="str">
        <x:v>1 Dictate of the Twin Gods (PJOU) 93★ *F*</x:v>
      </x:c>
      <x:c r="D19" s="36" t="str">
        <x:v>Sinergia 2</x:v>
      </x:c>
      <x:c r="E19" s="36" t="str">
        <x:v>Não</x:v>
      </x:c>
      <x:c r="F19" s="36" t="str">
        <x:v>CURRENT</x:v>
      </x:c>
      <x:c r="G19" s="36" t="str">
        <x:v>Amplifica dano, pressão ou valor gerado por Dragões.</x:v>
      </x:c>
    </x:row>
    <x:row r="20" ht="42" customHeight="1">
      <x:c r="A20" s="36" t="n">
        <x:v>1</x:v>
      </x:c>
      <x:c r="B20" s="36" t="str">
        <x:v>Dragon Mage</x:v>
      </x:c>
      <x:c r="C20" s="36" t="str">
        <x:v>1 Dragon Mage (C15) 151</x:v>
      </x:c>
      <x:c r="D20" s="36" t="str">
        <x:v>Draw</x:v>
      </x:c>
      <x:c r="E20" s="36" t="str">
        <x:v>Não</x:v>
      </x:c>
      <x:c r="F20" s="36" t="str">
        <x:v>CURRENT</x:v>
      </x:c>
      <x:c r="G20" s="36" t="str">
        <x:v>Compra, seleção ou recuperação de cartas.</x:v>
      </x:c>
    </x:row>
    <x:row r="21" ht="42" customHeight="1">
      <x:c r="A21" s="36" t="n">
        <x:v>1</x:v>
      </x:c>
      <x:c r="B21" s="36" t="str">
        <x:v>Dragon Tempest</x:v>
      </x:c>
      <x:c r="C21" s="36" t="str">
        <x:v>1 Dragon Tempest (IMA) 125</x:v>
      </x:c>
      <x:c r="D21" s="36" t="str">
        <x:v>Sinergia 1</x:v>
      </x:c>
      <x:c r="E21" s="36" t="str">
        <x:v>Não</x:v>
      </x:c>
      <x:c r="F21" s="36" t="str">
        <x:v>CURRENT</x:v>
      </x:c>
      <x:c r="G21" s="36" t="str">
        <x:v>Concede ímpeto aos Dragões que entram e causa dano escalável por entradas.</x:v>
      </x:c>
    </x:row>
    <x:row r="22" ht="42" customHeight="1">
      <x:c r="A22" s="36" t="n">
        <x:v>1</x:v>
      </x:c>
      <x:c r="B22" s="36" t="str">
        <x:v>Dragon's Hoard</x:v>
      </x:c>
      <x:c r="C22" s="36" t="str">
        <x:v>1 Dragon's Hoard (CLB) 858</x:v>
      </x:c>
      <x:c r="D22" s="36" t="str">
        <x:v>Ramp</x:v>
      </x:c>
      <x:c r="E22" s="36" t="str">
        <x:v>Não</x:v>
      </x:c>
      <x:c r="F22" s="36" t="str">
        <x:v>CURRENT</x:v>
      </x:c>
      <x:c r="G22" s="36" t="str">
        <x:v>Aceleração de mana ou redução de custo.</x:v>
      </x:c>
    </x:row>
    <x:row r="23" ht="42" customHeight="1">
      <x:c r="A23" s="36" t="n">
        <x:v>1</x:v>
      </x:c>
      <x:c r="B23" s="36" t="str">
        <x:v>Dragonspeaker Shaman</x:v>
      </x:c>
      <x:c r="C23" s="36" t="str">
        <x:v>1 Dragonspeaker Shaman (AFC) 330</x:v>
      </x:c>
      <x:c r="D23" s="36" t="str">
        <x:v>Ramp</x:v>
      </x:c>
      <x:c r="E23" s="36" t="str">
        <x:v>Não</x:v>
      </x:c>
      <x:c r="F23" s="36" t="str">
        <x:v>CURRENT</x:v>
      </x:c>
      <x:c r="G23" s="36" t="str">
        <x:v>Aceleração de mana ou redução de custo.</x:v>
      </x:c>
    </x:row>
    <x:row r="24" ht="42" customHeight="1">
      <x:c r="A24" s="36" t="n">
        <x:v>1</x:v>
      </x:c>
      <x:c r="B24" s="36" t="str">
        <x:v>Electrodominance</x:v>
      </x:c>
      <x:c r="C24" s="36" t="str">
        <x:v>1 Electrodominance (OTP) 23</x:v>
      </x:c>
      <x:c r="D24" s="36" t="str">
        <x:v>Removal</x:v>
      </x:c>
      <x:c r="E24" s="36" t="str">
        <x:v>Não</x:v>
      </x:c>
      <x:c r="F24" s="36" t="str">
        <x:v>CURRENT</x:v>
      </x:c>
      <x:c r="G24" s="36" t="str">
        <x:v>Resposta a ameaças; verificar a cobertura e se o efeito é simétrico.</x:v>
      </x:c>
    </x:row>
    <x:row r="25" ht="42" customHeight="1">
      <x:c r="A25" s="36" t="n">
        <x:v>1</x:v>
      </x:c>
      <x:c r="B25" s="36" t="str">
        <x:v>Enduring Courage</x:v>
      </x:c>
      <x:c r="C25" s="36" t="str">
        <x:v>1 Enduring Courage (DSK) 133</x:v>
      </x:c>
      <x:c r="D25" s="36" t="str">
        <x:v>Sinergia 3</x:v>
      </x:c>
      <x:c r="E25" s="36" t="str">
        <x:v>Não</x:v>
      </x:c>
      <x:c r="F25" s="36" t="str">
        <x:v>CURRENT</x:v>
      </x:c>
      <x:c r="G25" s="36" t="str">
        <x:v>Apoia ímpeto, proteção, plano tribal ou combate.</x:v>
      </x:c>
    </x:row>
    <x:row r="26" ht="42" customHeight="1">
      <x:c r="A26" s="36" t="n">
        <x:v>1</x:v>
      </x:c>
      <x:c r="B26" s="36" t="str">
        <x:v>Faithless Looting</x:v>
      </x:c>
      <x:c r="C26" s="36" t="str">
        <x:v>1 Faithless Looting (CMM) 220</x:v>
      </x:c>
      <x:c r="D26" s="36" t="str">
        <x:v>Draw</x:v>
      </x:c>
      <x:c r="E26" s="36" t="str">
        <x:v>Não</x:v>
      </x:c>
      <x:c r="F26" s="36" t="str">
        <x:v>CURRENT</x:v>
      </x:c>
      <x:c r="G26" s="36" t="str">
        <x:v>Compra, seleção ou recuperação de cartas.</x:v>
      </x:c>
    </x:row>
    <x:row r="27" ht="42" customHeight="1">
      <x:c r="A27" s="36" t="n">
        <x:v>1</x:v>
      </x:c>
      <x:c r="B27" s="36" t="str">
        <x:v>Fiendish Duo</x:v>
      </x:c>
      <x:c r="C27" s="36" t="str">
        <x:v>1 Fiendish Duo (MKC) 153</x:v>
      </x:c>
      <x:c r="D27" s="36" t="str">
        <x:v>Sinergia 2</x:v>
      </x:c>
      <x:c r="E27" s="36" t="str">
        <x:v>Não</x:v>
      </x:c>
      <x:c r="F27" s="36" t="str">
        <x:v>CURRENT</x:v>
      </x:c>
      <x:c r="G27" s="36" t="str">
        <x:v>Amplifica dano, pressão ou valor gerado por Dragões.</x:v>
      </x:c>
    </x:row>
    <x:row r="28" ht="42" customHeight="1">
      <x:c r="A28" s="36" t="n">
        <x:v>1</x:v>
      </x:c>
      <x:c r="B28" s="36" t="str">
        <x:v>Fury of the Horde</x:v>
      </x:c>
      <x:c r="C28" s="36" t="str">
        <x:v>1 Fury of the Horde (DDN) 30</x:v>
      </x:c>
      <x:c r="D28" s="36" t="str">
        <x:v>Combate extra</x:v>
      </x:c>
      <x:c r="E28" s="36" t="str">
        <x:v>Não</x:v>
      </x:c>
      <x:c r="F28" s="36" t="str">
        <x:v>CURRENT</x:v>
      </x:c>
      <x:c r="G28" s="36" t="str">
        <x:v>Cria ou facilita fases/turnos de combate adicionais.</x:v>
      </x:c>
    </x:row>
    <x:row r="29" ht="42" customHeight="1">
      <x:c r="A29" s="36" t="n">
        <x:v>1</x:v>
      </x:c>
      <x:c r="B29" s="36" t="str">
        <x:v>Gadrak, the Crown-Scourge</x:v>
      </x:c>
      <x:c r="C29" s="36" t="str">
        <x:v>1 Gadrak, the Crown-Scourge (M21) 146</x:v>
      </x:c>
      <x:c r="D29" s="36" t="str">
        <x:v>Tesouro</x:v>
      </x:c>
      <x:c r="E29" s="36" t="str">
        <x:v>Não</x:v>
      </x:c>
      <x:c r="F29" s="36" t="str">
        <x:v>CURRENT</x:v>
      </x:c>
      <x:c r="G29" s="36" t="str">
        <x:v>Produz Tesouros ou converte combate/Dragões em mana.</x:v>
      </x:c>
    </x:row>
    <x:row r="30" ht="42" customHeight="1">
      <x:c r="A30" s="36" t="n">
        <x:v>1</x:v>
      </x:c>
      <x:c r="B30" s="36" t="str">
        <x:v>Goldspan Dragon</x:v>
      </x:c>
      <x:c r="C30" s="36" t="str">
        <x:v>1 Goldspan Dragon (PLST) KHM-139</x:v>
      </x:c>
      <x:c r="D30" s="36" t="str">
        <x:v>Tesouro</x:v>
      </x:c>
      <x:c r="E30" s="36" t="str">
        <x:v>Não</x:v>
      </x:c>
      <x:c r="F30" s="36" t="str">
        <x:v>CURRENT</x:v>
      </x:c>
      <x:c r="G30" s="36" t="str">
        <x:v>Produz Tesouros ou converte combate/Dragões em mana.</x:v>
      </x:c>
    </x:row>
    <x:row r="31" ht="42" customHeight="1">
      <x:c r="A31" s="36" t="n">
        <x:v>1</x:v>
      </x:c>
      <x:c r="B31" s="36" t="str">
        <x:v>Gratuitous Violence</x:v>
      </x:c>
      <x:c r="C31" s="36" t="str">
        <x:v>1 Gratuitous Violence (AFC) 127</x:v>
      </x:c>
      <x:c r="D31" s="36" t="str">
        <x:v>Sinergia 2</x:v>
      </x:c>
      <x:c r="E31" s="36" t="str">
        <x:v>Não</x:v>
      </x:c>
      <x:c r="F31" s="36" t="str">
        <x:v>CURRENT</x:v>
      </x:c>
      <x:c r="G31" s="36" t="str">
        <x:v>Amplifica dano, pressão ou valor gerado por Dragões.</x:v>
      </x:c>
    </x:row>
    <x:row r="32" ht="42" customHeight="1">
      <x:c r="A32" s="36" t="n">
        <x:v>1</x:v>
      </x:c>
      <x:c r="B32" s="36" t="str">
        <x:v>Great Train Heist</x:v>
      </x:c>
      <x:c r="C32" s="36" t="str">
        <x:v>1 Great Train Heist (OTJ) 125</x:v>
      </x:c>
      <x:c r="D32" s="36" t="str">
        <x:v>Combate extra</x:v>
      </x:c>
      <x:c r="E32" s="36" t="str">
        <x:v>Não</x:v>
      </x:c>
      <x:c r="F32" s="36" t="str">
        <x:v>CURRENT</x:v>
      </x:c>
      <x:c r="G32" s="36" t="str">
        <x:v>Cria ou facilita fases/turnos de combate adicionais.</x:v>
      </x:c>
    </x:row>
    <x:row r="33" ht="42" customHeight="1">
      <x:c r="A33" s="36" t="n">
        <x:v>1</x:v>
      </x:c>
      <x:c r="B33" s="36" t="str">
        <x:v>Hedron Archive</x:v>
      </x:c>
      <x:c r="C33" s="36" t="str">
        <x:v>1 Hedron Archive (CLB) 861</x:v>
      </x:c>
      <x:c r="D33" s="36" t="str">
        <x:v>Ramp</x:v>
      </x:c>
      <x:c r="E33" s="36" t="str">
        <x:v>Não</x:v>
      </x:c>
      <x:c r="F33" s="36" t="str">
        <x:v>CURRENT</x:v>
      </x:c>
      <x:c r="G33" s="36" t="str">
        <x:v>Aceleração de mana ou redução de custo.</x:v>
      </x:c>
    </x:row>
    <x:row r="34" ht="42" customHeight="1">
      <x:c r="A34" s="36" t="n">
        <x:v>1</x:v>
      </x:c>
      <x:c r="B34" s="36" t="str">
        <x:v>Hellkite Charger</x:v>
      </x:c>
      <x:c r="C34" s="36" t="str">
        <x:v>1 Hellkite Charger (CMM) 232</x:v>
      </x:c>
      <x:c r="D34" s="36" t="str">
        <x:v>Combate extra</x:v>
      </x:c>
      <x:c r="E34" s="36" t="str">
        <x:v>Não</x:v>
      </x:c>
      <x:c r="F34" s="36" t="str">
        <x:v>CURRENT</x:v>
      </x:c>
      <x:c r="G34" s="36" t="str">
        <x:v>Cria ou facilita fases/turnos de combate adicionais.</x:v>
      </x:c>
    </x:row>
    <x:row r="35" ht="42" customHeight="1">
      <x:c r="A35" s="36" t="n">
        <x:v>1</x:v>
      </x:c>
      <x:c r="B35" s="36" t="str">
        <x:v>Hellkite Tyrant</x:v>
      </x:c>
      <x:c r="C35" s="36" t="str">
        <x:v>1 Hellkite Tyrant (RVR) 333 *F*</x:v>
      </x:c>
      <x:c r="D35" s="36" t="str">
        <x:v>Sinergia 3</x:v>
      </x:c>
      <x:c r="E35" s="36" t="str">
        <x:v>Não</x:v>
      </x:c>
      <x:c r="F35" s="36" t="str">
        <x:v>CURRENT</x:v>
      </x:c>
      <x:c r="G35" s="36" t="str">
        <x:v>Apoia ímpeto, proteção, plano tribal ou combate.</x:v>
      </x:c>
    </x:row>
    <x:row r="36" ht="42" customHeight="1">
      <x:c r="A36" s="36" t="n">
        <x:v>1</x:v>
      </x:c>
      <x:c r="B36" s="36" t="str">
        <x:v>Horn of the Mark</x:v>
      </x:c>
      <x:c r="C36" s="36" t="str">
        <x:v>1 Horn of the Mark (LTR) 241</x:v>
      </x:c>
      <x:c r="D36" s="36" t="str">
        <x:v>Draw</x:v>
      </x:c>
      <x:c r="E36" s="36" t="str">
        <x:v>Não</x:v>
      </x:c>
      <x:c r="F36" s="36" t="str">
        <x:v>CURRENT</x:v>
      </x:c>
      <x:c r="G36" s="36" t="str">
        <x:v>Compra, seleção ou recuperação de cartas.</x:v>
      </x:c>
    </x:row>
    <x:row r="37" ht="42" customHeight="1">
      <x:c r="A37" s="36" t="n">
        <x:v>1</x:v>
      </x:c>
      <x:c r="B37" s="36" t="str">
        <x:v>Incinerator of the Guilty</x:v>
      </x:c>
      <x:c r="C37" s="36" t="str">
        <x:v>1 Incinerator of the Guilty (MKM) 132</x:v>
      </x:c>
      <x:c r="D37" s="36" t="str">
        <x:v>Removal</x:v>
      </x:c>
      <x:c r="E37" s="36" t="str">
        <x:v>Não</x:v>
      </x:c>
      <x:c r="F37" s="36" t="str">
        <x:v>CURRENT</x:v>
      </x:c>
      <x:c r="G37" s="36" t="str">
        <x:v>Resposta a ameaças; verificar a cobertura e se o efeito é simétrico.</x:v>
      </x:c>
    </x:row>
    <x:row r="38" ht="42" customHeight="1">
      <x:c r="A38" s="36" t="n">
        <x:v>1</x:v>
      </x:c>
      <x:c r="B38" s="36" t="str">
        <x:v>Inferno of the Star Mounts</x:v>
      </x:c>
      <x:c r="C38" s="36" t="str">
        <x:v>1 Inferno of the Star Mounts (AFR) 151</x:v>
      </x:c>
      <x:c r="D38" s="36" t="str">
        <x:v>Sinergia 2</x:v>
      </x:c>
      <x:c r="E38" s="36" t="str">
        <x:v>Não</x:v>
      </x:c>
      <x:c r="F38" s="36" t="str">
        <x:v>CURRENT</x:v>
      </x:c>
      <x:c r="G38" s="36" t="str">
        <x:v>Amplifica dano, pressão ou valor gerado por Dragões.</x:v>
      </x:c>
    </x:row>
    <x:row r="39" ht="42" customHeight="1">
      <x:c r="A39" s="36" t="n">
        <x:v>1</x:v>
      </x:c>
      <x:c r="B39" s="36" t="str">
        <x:v>Insurrection</x:v>
      </x:c>
      <x:c r="C39" s="36" t="str">
        <x:v>1 Insurrection (ONS) 213</x:v>
      </x:c>
      <x:c r="D39" s="36" t="str">
        <x:v>Sinergia 3</x:v>
      </x:c>
      <x:c r="E39" s="36" t="str">
        <x:v>Não</x:v>
      </x:c>
      <x:c r="F39" s="36" t="str">
        <x:v>CURRENT</x:v>
      </x:c>
      <x:c r="G39" s="36" t="str">
        <x:v>Apoia ímpeto, proteção, plano tribal ou combate.</x:v>
      </x:c>
    </x:row>
    <x:row r="40" ht="42" customHeight="1">
      <x:c r="A40" s="36" t="n">
        <x:v>1</x:v>
      </x:c>
      <x:c r="B40" s="36" t="str">
        <x:v>Manaform Hellkite</x:v>
      </x:c>
      <x:c r="C40" s="36" t="str">
        <x:v>1 Manaform Hellkite (PVOW) 170s *F*</x:v>
      </x:c>
      <x:c r="D40" s="36" t="str">
        <x:v>Sinergia 1</x:v>
      </x:c>
      <x:c r="E40" s="36" t="str">
        <x:v>Não</x:v>
      </x:c>
      <x:c r="F40" s="36" t="str">
        <x:v>CURRENT</x:v>
      </x:c>
      <x:c r="G40" s="36" t="str">
        <x:v>Avança o motor de Dragões, entradas no campo ou geração de fichas.</x:v>
      </x:c>
    </x:row>
    <x:row r="41" ht="42" customHeight="1">
      <x:c r="A41" s="36" t="n">
        <x:v>1</x:v>
      </x:c>
      <x:c r="B41" s="36" t="str">
        <x:v>Mines of Moria</x:v>
      </x:c>
      <x:c r="C41" s="36" t="str">
        <x:v>1 Mines of Moria (LTR) 257</x:v>
      </x:c>
      <x:c r="D41" s="36" t="str">
        <x:v>Ramp</x:v>
      </x:c>
      <x:c r="E41" s="36" t="str">
        <x:v>Sim — terreno</x:v>
      </x:c>
      <x:c r="F41" s="36" t="str">
        <x:v>CURRENT</x:v>
      </x:c>
      <x:c r="G41" s="36" t="str">
        <x:v>Aceleração de mana ou redução de custo.</x:v>
      </x:c>
    </x:row>
    <x:row r="42" ht="42" customHeight="1">
      <x:c r="A42" s="36" t="n">
        <x:v>1</x:v>
      </x:c>
      <x:c r="B42" s="36" t="str">
        <x:v>Mizzium Mortars</x:v>
      </x:c>
      <x:c r="C42" s="36" t="str">
        <x:v>1 Mizzium Mortars (GK1) 32</x:v>
      </x:c>
      <x:c r="D42" s="36" t="str">
        <x:v>Removal</x:v>
      </x:c>
      <x:c r="E42" s="36" t="str">
        <x:v>Não</x:v>
      </x:c>
      <x:c r="F42" s="36" t="str">
        <x:v>CURRENT</x:v>
      </x:c>
      <x:c r="G42" s="36" t="str">
        <x:v>Resposta a ameaças; verificar a cobertura e se o efeito é simétrico.</x:v>
      </x:c>
    </x:row>
    <x:row r="43" ht="42" customHeight="1">
      <x:c r="A43" s="36" t="n">
        <x:v>1</x:v>
      </x:c>
      <x:c r="B43" s="36" t="str">
        <x:v>Mob Verdict</x:v>
      </x:c>
      <x:c r="C43" s="36" t="str">
        <x:v>1 Mob Verdict (MKC) 33</x:v>
      </x:c>
      <x:c r="D43" s="36" t="str">
        <x:v>Removal</x:v>
      </x:c>
      <x:c r="E43" s="36" t="str">
        <x:v>Não</x:v>
      </x:c>
      <x:c r="F43" s="36" t="str">
        <x:v>CURRENT</x:v>
      </x:c>
      <x:c r="G43" s="36" t="str">
        <x:v>Votação política: dano por votos recebidos por oponentes e compra conforme votos recebidos por você; não é wipe unilateral.</x:v>
      </x:c>
    </x:row>
    <x:row r="44" ht="42" customHeight="1">
      <x:c r="A44" s="36" t="n">
        <x:v>1</x:v>
      </x:c>
      <x:c r="B44" s="36" t="str">
        <x:v>Molten Echoes</x:v>
      </x:c>
      <x:c r="C44" s="36" t="str">
        <x:v>1 Molten Echoes (VOC) 148</x:v>
      </x:c>
      <x:c r="D44" s="36" t="str">
        <x:v>Sinergia 1</x:v>
      </x:c>
      <x:c r="E44" s="36" t="str">
        <x:v>Não</x:v>
      </x:c>
      <x:c r="F44" s="36" t="str">
        <x:v>CURRENT</x:v>
      </x:c>
      <x:c r="G44" s="36" t="str">
        <x:v>Cria cópias tribais temporárias, aumentando redundância e gatilhos de entrada.</x:v>
      </x:c>
    </x:row>
    <x:row r="45" ht="42" customHeight="1">
      <x:c r="A45" s="36" t="n">
        <x:v>24</x:v>
      </x:c>
      <x:c r="B45" s="36" t="str">
        <x:v>Mountain</x:v>
      </x:c>
      <x:c r="C45" s="36" t="str">
        <x:v>24 Mountain (MH3) 317 *F*</x:v>
      </x:c>
      <x:c r="D45" s="36" t="str">
        <x:v>Ramp</x:v>
      </x:c>
      <x:c r="E45" s="36" t="str">
        <x:v>Sim — terreno</x:v>
      </x:c>
      <x:c r="F45" s="36" t="str">
        <x:v>CURRENT</x:v>
      </x:c>
      <x:c r="G45" s="36" t="str">
        <x:v>Aceleração de mana ou redução de custo.</x:v>
      </x:c>
    </x:row>
    <x:row r="46" ht="42" customHeight="1">
      <x:c r="A46" s="36" t="n">
        <x:v>1</x:v>
      </x:c>
      <x:c r="B46" s="36" t="str">
        <x:v>Nyx Lotus</x:v>
      </x:c>
      <x:c r="C46" s="36" t="str">
        <x:v>1 Nyx Lotus (THB) 235</x:v>
      </x:c>
      <x:c r="D46" s="36" t="str">
        <x:v>Ramp</x:v>
      </x:c>
      <x:c r="E46" s="36" t="str">
        <x:v>Não</x:v>
      </x:c>
      <x:c r="F46" s="36" t="str">
        <x:v>CURRENT</x:v>
      </x:c>
      <x:c r="G46" s="36" t="str">
        <x:v>Aceleração de mana ou redução de custo.</x:v>
      </x:c>
    </x:row>
    <x:row r="47" ht="42" customHeight="1">
      <x:c r="A47" s="36" t="n">
        <x:v>1</x:v>
      </x:c>
      <x:c r="B47" s="36" t="str">
        <x:v>Overpowering Attack</x:v>
      </x:c>
      <x:c r="C47" s="36" t="str">
        <x:v>1 Overpowering Attack (ACR) 37 *F*</x:v>
      </x:c>
      <x:c r="D47" s="36" t="str">
        <x:v>Combate extra</x:v>
      </x:c>
      <x:c r="E47" s="36" t="str">
        <x:v>Não</x:v>
      </x:c>
      <x:c r="F47" s="36" t="str">
        <x:v>CURRENT</x:v>
      </x:c>
      <x:c r="G47" s="36" t="str">
        <x:v>Cria ou facilita fases/turnos de combate adicionais.</x:v>
      </x:c>
    </x:row>
    <x:row r="48" ht="42" customHeight="1">
      <x:c r="A48" s="36" t="n">
        <x:v>1</x:v>
      </x:c>
      <x:c r="B48" s="36" t="str">
        <x:v>Path of Ancestry</x:v>
      </x:c>
      <x:c r="C48" s="36" t="str">
        <x:v>1 Path of Ancestry (CMR) 353</x:v>
      </x:c>
      <x:c r="D48" s="36" t="str">
        <x:v>Ramp</x:v>
      </x:c>
      <x:c r="E48" s="36" t="str">
        <x:v>Sim — terreno</x:v>
      </x:c>
      <x:c r="F48" s="36" t="str">
        <x:v>CURRENT</x:v>
      </x:c>
      <x:c r="G48" s="36" t="str">
        <x:v>Aceleração de mana ou redução de custo.</x:v>
      </x:c>
    </x:row>
    <x:row r="49" ht="42" customHeight="1">
      <x:c r="A49" s="36" t="n">
        <x:v>1</x:v>
      </x:c>
      <x:c r="B49" s="36" t="str">
        <x:v>Pinnacle Monk</x:v>
      </x:c>
      <x:c r="C49" s="36" t="str">
        <x:v>1 Pinnacle Monk (MH3) 246 *F*</x:v>
      </x:c>
      <x:c r="D49" s="36" t="str">
        <x:v>Draw</x:v>
      </x:c>
      <x:c r="E49" s="36" t="str">
        <x:v>Sim — face-terreno</x:v>
      </x:c>
      <x:c r="F49" s="36" t="str">
        <x:v>CURRENT</x:v>
      </x:c>
      <x:c r="G49" s="36" t="str">
        <x:v>Recupera uma instantânea ou feitiço do cemitério ao entrar; a face posterior é terreno.</x:v>
      </x:c>
    </x:row>
    <x:row r="50" ht="42" customHeight="1">
      <x:c r="A50" s="36" t="n">
        <x:v>1</x:v>
      </x:c>
      <x:c r="B50" s="36" t="str">
        <x:v>Powerbalance</x:v>
      </x:c>
      <x:c r="C50" s="36" t="str">
        <x:v>1 Powerbalance (MH3) 335</x:v>
      </x:c>
      <x:c r="D50" s="36" t="str">
        <x:v>Sinergia 3</x:v>
      </x:c>
      <x:c r="E50" s="36" t="str">
        <x:v>Não</x:v>
      </x:c>
      <x:c r="F50" s="36" t="str">
        <x:v>CURRENT</x:v>
      </x:c>
      <x:c r="G50" s="36" t="str">
        <x:v>Apoia ímpeto, proteção, plano tribal ou combate.</x:v>
      </x:c>
    </x:row>
    <x:row r="51" ht="42" customHeight="1">
      <x:c r="A51" s="36" t="n">
        <x:v>1</x:v>
      </x:c>
      <x:c r="B51" s="36" t="str">
        <x:v>Pyroclasm</x:v>
      </x:c>
      <x:c r="C51" s="36" t="str">
        <x:v>1 Pyroclasm (MM3) 107</x:v>
      </x:c>
      <x:c r="D51" s="36" t="str">
        <x:v>Removal</x:v>
      </x:c>
      <x:c r="E51" s="36" t="str">
        <x:v>Não</x:v>
      </x:c>
      <x:c r="F51" s="36" t="str">
        <x:v>CURRENT</x:v>
      </x:c>
      <x:c r="G51" s="36" t="str">
        <x:v>Resposta a ameaças; verificar a cobertura e se o efeito é simétrico.</x:v>
      </x:c>
    </x:row>
    <x:row r="52" ht="42" customHeight="1">
      <x:c r="A52" s="36" t="n">
        <x:v>1</x:v>
      </x:c>
      <x:c r="B52" s="36" t="str">
        <x:v>Rapacious Dragon</x:v>
      </x:c>
      <x:c r="C52" s="36" t="str">
        <x:v>1 Rapacious Dragon (JMP) 358</x:v>
      </x:c>
      <x:c r="D52" s="36" t="str">
        <x:v>Tesouro</x:v>
      </x:c>
      <x:c r="E52" s="36" t="str">
        <x:v>Não</x:v>
      </x:c>
      <x:c r="F52" s="36" t="str">
        <x:v>CURRENT</x:v>
      </x:c>
      <x:c r="G52" s="36" t="str">
        <x:v>Produz Tesouros ou converte combate/Dragões em mana.</x:v>
      </x:c>
    </x:row>
    <x:row r="53" ht="42" customHeight="1">
      <x:c r="A53" s="36" t="n">
        <x:v>1</x:v>
      </x:c>
      <x:c r="B53" s="36" t="str">
        <x:v>Reckless Barbarian</x:v>
      </x:c>
      <x:c r="C53" s="36" t="str">
        <x:v>1 Reckless Barbarian (CLB) 193</x:v>
      </x:c>
      <x:c r="D53" s="36" t="str">
        <x:v>Ramp</x:v>
      </x:c>
      <x:c r="E53" s="36" t="str">
        <x:v>Não</x:v>
      </x:c>
      <x:c r="F53" s="36" t="str">
        <x:v>CURRENT</x:v>
      </x:c>
      <x:c r="G53" s="36" t="str">
        <x:v>Aceleração de mana ou redução de custo.</x:v>
      </x:c>
    </x:row>
    <x:row r="54" ht="42" customHeight="1">
      <x:c r="A54" s="36" t="n">
        <x:v>1</x:v>
      </x:c>
      <x:c r="B54" s="36" t="str">
        <x:v>Reckless Endeavor</x:v>
      </x:c>
      <x:c r="C54" s="36" t="str">
        <x:v>1 Reckless Endeavor (AFC) 33</x:v>
      </x:c>
      <x:c r="D54" s="36" t="str">
        <x:v>Removal</x:v>
      </x:c>
      <x:c r="E54" s="36" t="str">
        <x:v>Não</x:v>
      </x:c>
      <x:c r="F54" s="36" t="str">
        <x:v>CURRENT</x:v>
      </x:c>
      <x:c r="G54" s="36" t="str">
        <x:v>Resposta a ameaças; verificar a cobertura e se o efeito é simétrico.</x:v>
      </x:c>
    </x:row>
    <x:row r="55" ht="42" customHeight="1">
      <x:c r="A55" s="36" t="n">
        <x:v>1</x:v>
      </x:c>
      <x:c r="B55" s="36" t="str">
        <x:v>Rising of the Day</x:v>
      </x:c>
      <x:c r="C55" s="36" t="str">
        <x:v>1 Rising of the Day (LTR) 145</x:v>
      </x:c>
      <x:c r="D55" s="36" t="str">
        <x:v>Sinergia 3</x:v>
      </x:c>
      <x:c r="E55" s="36" t="str">
        <x:v>Não</x:v>
      </x:c>
      <x:c r="F55" s="36" t="str">
        <x:v>CURRENT</x:v>
      </x:c>
      <x:c r="G55" s="36" t="str">
        <x:v>Apoia ímpeto, proteção, plano tribal ou combate.</x:v>
      </x:c>
    </x:row>
    <x:row r="56" ht="42" customHeight="1">
      <x:c r="A56" s="36" t="n">
        <x:v>1</x:v>
      </x:c>
      <x:c r="B56" s="36" t="str">
        <x:v>Roaming Throne</x:v>
      </x:c>
      <x:c r="C56" s="36" t="str">
        <x:v>1 Roaming Throne (LCI) 258</x:v>
      </x:c>
      <x:c r="D56" s="36" t="str">
        <x:v>Sinergia 1</x:v>
      </x:c>
      <x:c r="E56" s="36" t="str">
        <x:v>Não</x:v>
      </x:c>
      <x:c r="F56" s="36" t="str">
        <x:v>CURRENT</x:v>
      </x:c>
      <x:c r="G56" s="36" t="str">
        <x:v>Ao escolher Dragon, pode duplicar gatilhos relevantes de Dragões, incluindo o de Lathliss.</x:v>
      </x:c>
    </x:row>
    <x:row r="57" ht="42" customHeight="1">
      <x:c r="A57" s="36" t="n">
        <x:v>1</x:v>
      </x:c>
      <x:c r="B57" s="36" t="str">
        <x:v>Ryusei, the Falling Star</x:v>
      </x:c>
      <x:c r="C57" s="36" t="str">
        <x:v>1 Ryusei, the Falling Star (CLB) 806</x:v>
      </x:c>
      <x:c r="D57" s="36" t="str">
        <x:v>Sinergia 2</x:v>
      </x:c>
      <x:c r="E57" s="36" t="str">
        <x:v>Não</x:v>
      </x:c>
      <x:c r="F57" s="36" t="str">
        <x:v>CURRENT</x:v>
      </x:c>
      <x:c r="G57" s="36" t="str">
        <x:v>Amplifica dano, pressão ou valor gerado por Dragões.</x:v>
      </x:c>
    </x:row>
    <x:row r="58" ht="42" customHeight="1">
      <x:c r="A58" s="36" t="n">
        <x:v>1</x:v>
      </x:c>
      <x:c r="B58" s="36" t="str">
        <x:v>Sarkhan's Triumph</x:v>
      </x:c>
      <x:c r="C58" s="36" t="str">
        <x:v>1 Sarkhan's Triumph (DTK) 154</x:v>
      </x:c>
      <x:c r="D58" s="36" t="str">
        <x:v>Sinergia 3</x:v>
      </x:c>
      <x:c r="E58" s="36" t="str">
        <x:v>Não</x:v>
      </x:c>
      <x:c r="F58" s="36" t="str">
        <x:v>CURRENT</x:v>
      </x:c>
      <x:c r="G58" s="36" t="str">
        <x:v>Apoia ímpeto, proteção, plano tribal ou combate.</x:v>
      </x:c>
    </x:row>
    <x:row r="59" ht="42" customHeight="1">
      <x:c r="A59" s="36" t="n">
        <x:v>1</x:v>
      </x:c>
      <x:c r="B59" s="36" t="str">
        <x:v>Scourge of the Throne</x:v>
      </x:c>
      <x:c r="C59" s="36" t="str">
        <x:v>1 Scourge of the Throne (LTC) 225</x:v>
      </x:c>
      <x:c r="D59" s="36" t="str">
        <x:v>Combate extra</x:v>
      </x:c>
      <x:c r="E59" s="36" t="str">
        <x:v>Não</x:v>
      </x:c>
      <x:c r="F59" s="36" t="str">
        <x:v>CURRENT</x:v>
      </x:c>
      <x:c r="G59" s="36" t="str">
        <x:v>Cria ou facilita fases/turnos de combate adicionais.</x:v>
      </x:c>
    </x:row>
    <x:row r="60" ht="42" customHeight="1">
      <x:c r="A60" s="36" t="n">
        <x:v>1</x:v>
      </x:c>
      <x:c r="B60" s="36" t="str">
        <x:v>Skyline Despot</x:v>
      </x:c>
      <x:c r="C60" s="36" t="str">
        <x:v>1 Skyline Despot (CMM) 254 *F*</x:v>
      </x:c>
      <x:c r="D60" s="36" t="str">
        <x:v>Draw</x:v>
      </x:c>
      <x:c r="E60" s="36" t="str">
        <x:v>Não</x:v>
      </x:c>
      <x:c r="F60" s="36" t="str">
        <x:v>CURRENT</x:v>
      </x:c>
      <x:c r="G60" s="36" t="str">
        <x:v>Compra, seleção ou recuperação de cartas.</x:v>
      </x:c>
    </x:row>
    <x:row r="61" ht="42" customHeight="1">
      <x:c r="A61" s="36" t="n">
        <x:v>1</x:v>
      </x:c>
      <x:c r="B61" s="36" t="str">
        <x:v>Sol Ring</x:v>
      </x:c>
      <x:c r="C61" s="36" t="str">
        <x:v>1 Sol Ring (MKC) 237</x:v>
      </x:c>
      <x:c r="D61" s="36" t="str">
        <x:v>Ramp</x:v>
      </x:c>
      <x:c r="E61" s="36" t="str">
        <x:v>Não</x:v>
      </x:c>
      <x:c r="F61" s="36" t="str">
        <x:v>CURRENT</x:v>
      </x:c>
      <x:c r="G61" s="36" t="str">
        <x:v>Aceleração eficiente que estava ausente da lista original de Krenko.</x:v>
      </x:c>
    </x:row>
    <x:row r="62" ht="42" customHeight="1">
      <x:c r="A62" s="36" t="n">
        <x:v>1</x:v>
      </x:c>
      <x:c r="B62" s="36" t="str">
        <x:v>Spikefield Hazard</x:v>
      </x:c>
      <x:c r="C62" s="36" t="str">
        <x:v>1 Spikefield Hazard (ZNR) 166</x:v>
      </x:c>
      <x:c r="D62" s="36" t="str">
        <x:v>Removal</x:v>
      </x:c>
      <x:c r="E62" s="36" t="str">
        <x:v>Sim — face-terreno</x:v>
      </x:c>
      <x:c r="F62" s="36" t="str">
        <x:v>CURRENT</x:v>
      </x:c>
      <x:c r="G62" s="36" t="str">
        <x:v>Resposta a ameaças; verificar a cobertura e se o efeito é simétrico.</x:v>
      </x:c>
    </x:row>
    <x:row r="63" ht="42" customHeight="1">
      <x:c r="A63" s="36" t="n">
        <x:v>1</x:v>
      </x:c>
      <x:c r="B63" s="36" t="str">
        <x:v>Spinerock Knoll</x:v>
      </x:c>
      <x:c r="C63" s="36" t="str">
        <x:v>1 Spinerock Knoll (CLB) 916</x:v>
      </x:c>
      <x:c r="D63" s="36" t="str">
        <x:v>Ramp</x:v>
      </x:c>
      <x:c r="E63" s="36" t="str">
        <x:v>Sim — terreno</x:v>
      </x:c>
      <x:c r="F63" s="36" t="str">
        <x:v>CURRENT</x:v>
      </x:c>
      <x:c r="G63" s="36" t="str">
        <x:v>Aceleração de mana ou redução de custo.</x:v>
      </x:c>
    </x:row>
    <x:row r="64" ht="42" customHeight="1">
      <x:c r="A64" s="36" t="n">
        <x:v>1</x:v>
      </x:c>
      <x:c r="B64" s="36" t="str">
        <x:v>Spiteful Banditry</x:v>
      </x:c>
      <x:c r="C64" s="36" t="str">
        <x:v>1 Spiteful Banditry (LTR) 149</x:v>
      </x:c>
      <x:c r="D64" s="36" t="str">
        <x:v>Removal</x:v>
      </x:c>
      <x:c r="E64" s="36" t="str">
        <x:v>Não</x:v>
      </x:c>
      <x:c r="F64" s="36" t="str">
        <x:v>CURRENT</x:v>
      </x:c>
      <x:c r="G64" s="36" t="str">
        <x:v>Resposta a ameaças; verificar a cobertura e se o efeito é simétrico.</x:v>
      </x:c>
    </x:row>
    <x:row r="65" ht="42" customHeight="1">
      <x:c r="A65" s="36" t="n">
        <x:v>1</x:v>
      </x:c>
      <x:c r="B65" s="36" t="str">
        <x:v>Storm's Wrath</x:v>
      </x:c>
      <x:c r="C65" s="36" t="str">
        <x:v>1 Storm's Wrath (PTHB) 157p</x:v>
      </x:c>
      <x:c r="D65" s="36" t="str">
        <x:v>Removal</x:v>
      </x:c>
      <x:c r="E65" s="36" t="str">
        <x:v>Não</x:v>
      </x:c>
      <x:c r="F65" s="36" t="str">
        <x:v>CURRENT</x:v>
      </x:c>
      <x:c r="G65" s="36" t="str">
        <x:v>Resposta a ameaças; verificar a cobertura e se o efeito é simétrico.</x:v>
      </x:c>
    </x:row>
    <x:row r="66" ht="42" customHeight="1">
      <x:c r="A66" s="36" t="n">
        <x:v>1</x:v>
      </x:c>
      <x:c r="B66" s="36" t="str">
        <x:v>Sundering Eruption</x:v>
      </x:c>
      <x:c r="C66" s="36" t="str">
        <x:v>1 Sundering Eruption (MH3) 248</x:v>
      </x:c>
      <x:c r="D66" s="36" t="str">
        <x:v>Removal</x:v>
      </x:c>
      <x:c r="E66" s="36" t="str">
        <x:v>Sim — face-terreno</x:v>
      </x:c>
      <x:c r="F66" s="36" t="str">
        <x:v>CURRENT</x:v>
      </x:c>
      <x:c r="G66" s="36" t="str">
        <x:v>Resposta a ameaças; verificar a cobertura e se o efeito é simétrico.</x:v>
      </x:c>
    </x:row>
    <x:row r="67" ht="42" customHeight="1">
      <x:c r="A67" s="36" t="n">
        <x:v>1</x:v>
      </x:c>
      <x:c r="B67" s="36" t="str">
        <x:v>Temple of the False God</x:v>
      </x:c>
      <x:c r="C67" s="36" t="str">
        <x:v>1 Temple of the False God (CLB) 925</x:v>
      </x:c>
      <x:c r="D67" s="36" t="str">
        <x:v>Ramp</x:v>
      </x:c>
      <x:c r="E67" s="36" t="str">
        <x:v>Sim — terreno</x:v>
      </x:c>
      <x:c r="F67" s="36" t="str">
        <x:v>CURRENT</x:v>
      </x:c>
      <x:c r="G67" s="36" t="str">
        <x:v>Aceleração de mana ou redução de custo.</x:v>
      </x:c>
    </x:row>
    <x:row r="68" ht="42" customHeight="1">
      <x:c r="A68" s="36" t="n">
        <x:v>1</x:v>
      </x:c>
      <x:c r="B68" s="36" t="str">
        <x:v>Terrain Generator</x:v>
      </x:c>
      <x:c r="C68" s="36" t="str">
        <x:v>1 Terrain Generator (CLB) 926</x:v>
      </x:c>
      <x:c r="D68" s="36" t="str">
        <x:v>Ramp</x:v>
      </x:c>
      <x:c r="E68" s="36" t="str">
        <x:v>Sim — terreno</x:v>
      </x:c>
      <x:c r="F68" s="36" t="str">
        <x:v>CURRENT</x:v>
      </x:c>
      <x:c r="G68" s="36" t="str">
        <x:v>Aceleração de mana ou redução de custo.</x:v>
      </x:c>
    </x:row>
    <x:row r="69" ht="42" customHeight="1">
      <x:c r="A69" s="36" t="n">
        <x:v>1</x:v>
      </x:c>
      <x:c r="B69" s="36" t="str">
        <x:v>Territorial Hellkite</x:v>
      </x:c>
      <x:c r="C69" s="36" t="str">
        <x:v>1 Territorial Hellkite (C17) 29</x:v>
      </x:c>
      <x:c r="D69" s="36" t="str">
        <x:v>Sinergia 2</x:v>
      </x:c>
      <x:c r="E69" s="36" t="str">
        <x:v>Não</x:v>
      </x:c>
      <x:c r="F69" s="36" t="str">
        <x:v>CURRENT</x:v>
      </x:c>
      <x:c r="G69" s="36" t="str">
        <x:v>Amplifica dano, pressão ou valor gerado por Dragões.</x:v>
      </x:c>
    </x:row>
    <x:row r="70" ht="42" customHeight="1">
      <x:c r="A70" s="36" t="n">
        <x:v>1</x:v>
      </x:c>
      <x:c r="B70" s="36" t="str">
        <x:v>The Legend of Roku</x:v>
      </x:c>
      <x:c r="C70" s="36" t="str">
        <x:v>1 The Legend of Roku (TLA) 145</x:v>
      </x:c>
      <x:c r="D70" s="36" t="str">
        <x:v>Sinergia 1</x:v>
      </x:c>
      <x:c r="E70" s="36" t="str">
        <x:v>Não</x:v>
      </x:c>
      <x:c r="F70" s="36" t="str">
        <x:v>CURRENT</x:v>
      </x:c>
      <x:c r="G70" s="36" t="str">
        <x:v>Avança o motor de Dragões, entradas no campo ou geração de fichas.</x:v>
      </x:c>
    </x:row>
    <x:row r="71" ht="42" customHeight="1">
      <x:c r="A71" s="36" t="n">
        <x:v>1</x:v>
      </x:c>
      <x:c r="B71" s="36" t="str">
        <x:v>The Reaver Cleaver</x:v>
      </x:c>
      <x:c r="C71" s="36" t="str">
        <x:v>1 The Reaver Cleaver (DMC) 8</x:v>
      </x:c>
      <x:c r="D71" s="36" t="str">
        <x:v>Tesouro</x:v>
      </x:c>
      <x:c r="E71" s="36" t="str">
        <x:v>Não</x:v>
      </x:c>
      <x:c r="F71" s="36" t="str">
        <x:v>CURRENT</x:v>
      </x:c>
      <x:c r="G71" s="36" t="str">
        <x:v>Produz Tesouros ou converte combate/Dragões em mana.</x:v>
      </x:c>
    </x:row>
    <x:row r="72" ht="42" customHeight="1">
      <x:c r="A72" s="36" t="n">
        <x:v>1</x:v>
      </x:c>
      <x:c r="B72" s="36" t="str">
        <x:v>Torbran, Thane of Red Fell</x:v>
      </x:c>
      <x:c r="C72" s="36" t="str">
        <x:v>1 Torbran, Thane of Red Fell (PELD) 147p *F*</x:v>
      </x:c>
      <x:c r="D72" s="36" t="str">
        <x:v>Sinergia 2</x:v>
      </x:c>
      <x:c r="E72" s="36" t="str">
        <x:v>Não</x:v>
      </x:c>
      <x:c r="F72" s="36" t="str">
        <x:v>CURRENT</x:v>
      </x:c>
      <x:c r="G72" s="36" t="str">
        <x:v>Amplifica dano, pressão ou valor gerado por Dragões.</x:v>
      </x:c>
    </x:row>
    <x:row r="73" ht="42" customHeight="1">
      <x:c r="A73" s="36" t="n">
        <x:v>1</x:v>
      </x:c>
      <x:c r="B73" s="36" t="str">
        <x:v>Untimely Malfunction</x:v>
      </x:c>
      <x:c r="C73" s="36" t="str">
        <x:v>1 Untimely Malfunction (DSK) 161</x:v>
      </x:c>
      <x:c r="D73" s="36" t="str">
        <x:v>Removal</x:v>
      </x:c>
      <x:c r="E73" s="36" t="str">
        <x:v>Não</x:v>
      </x:c>
      <x:c r="F73" s="36" t="str">
        <x:v>CURRENT</x:v>
      </x:c>
      <x:c r="G73" s="36" t="str">
        <x:v>Resposta a ameaças; verificar a cobertura e se o efeito é simétrico.</x:v>
      </x:c>
    </x:row>
    <x:row r="74" ht="42" customHeight="1">
      <x:c r="A74" s="36" t="n">
        <x:v>1</x:v>
      </x:c>
      <x:c r="B74" s="36" t="str">
        <x:v>Utvara Hellkite</x:v>
      </x:c>
      <x:c r="C74" s="36" t="str">
        <x:v>1 Utvara Hellkite (RTR) 110</x:v>
      </x:c>
      <x:c r="D74" s="36" t="str">
        <x:v>Sinergia 1</x:v>
      </x:c>
      <x:c r="E74" s="36" t="str">
        <x:v>Não</x:v>
      </x:c>
      <x:c r="F74" s="36" t="str">
        <x:v>CURRENT</x:v>
      </x:c>
      <x:c r="G74" s="36" t="str">
        <x:v>Avança o motor de Dragões, entradas no campo ou geração de fichas.</x:v>
      </x:c>
    </x:row>
    <x:row r="75" ht="42" customHeight="1">
      <x:c r="A75" s="36" t="n">
        <x:v>1</x:v>
      </x:c>
      <x:c r="B75" s="36" t="str">
        <x:v>Vandalblast</x:v>
      </x:c>
      <x:c r="C75" s="36" t="str">
        <x:v>1 Vandalblast (CMM) 646</x:v>
      </x:c>
      <x:c r="D75" s="36" t="str">
        <x:v>Removal</x:v>
      </x:c>
      <x:c r="E75" s="36" t="str">
        <x:v>Não</x:v>
      </x:c>
      <x:c r="F75" s="36" t="str">
        <x:v>CURRENT</x:v>
      </x:c>
      <x:c r="G75" s="36" t="str">
        <x:v>Sobrecarga limpa artefatos dos oponentes sem atingir os seus.</x:v>
      </x:c>
    </x:row>
    <x:row r="76" ht="42" customHeight="1">
      <x:c r="A76" s="36" t="n">
        <x:v>1</x:v>
      </x:c>
      <x:c r="B76" s="36" t="str">
        <x:v>Vengeful Ancestor</x:v>
      </x:c>
      <x:c r="C76" s="36" t="str">
        <x:v>1 Vengeful Ancestor (CLB) 812</x:v>
      </x:c>
      <x:c r="D76" s="36" t="str">
        <x:v>Sinergia 2</x:v>
      </x:c>
      <x:c r="E76" s="36" t="str">
        <x:v>Não</x:v>
      </x:c>
      <x:c r="F76" s="36" t="str">
        <x:v>CURRENT</x:v>
      </x:c>
      <x:c r="G76" s="36" t="str">
        <x:v>Amplifica dano, pressão ou valor gerado por Dragões.</x:v>
      </x:c>
    </x:row>
    <x:row r="77" ht="42" customHeight="1">
      <x:c r="A77" s="36" t="n">
        <x:v>1</x:v>
      </x:c>
      <x:c r="B77" s="36" t="str">
        <x:v>War's Toll</x:v>
      </x:c>
      <x:c r="C77" s="36" t="str">
        <x:v>1 War's Toll (BBD) 187</x:v>
      </x:c>
      <x:c r="D77" s="36" t="str">
        <x:v>Sinergia 3</x:v>
      </x:c>
      <x:c r="E77" s="36" t="str">
        <x:v>Não</x:v>
      </x:c>
      <x:c r="F77" s="36" t="str">
        <x:v>CURRENT</x:v>
      </x:c>
      <x:c r="G77" s="36" t="str">
        <x:v>Apoia ímpeto, proteção, plano tribal ou combate.</x:v>
      </x:c>
    </x:row>
    <x:row r="78" ht="42" customHeight="1">
      <x:c r="A78" s="36" t="n">
        <x:v>1</x:v>
      </x:c>
      <x:c r="B78" s="36" t="str">
        <x:v>Wild Wasteland</x:v>
      </x:c>
      <x:c r="C78" s="36" t="str">
        <x:v>1 Wild Wasteland (PIP) 599 *F*</x:v>
      </x:c>
      <x:c r="D78" s="36" t="str">
        <x:v>Draw</x:v>
      </x:c>
      <x:c r="E78" s="36" t="str">
        <x:v>Não</x:v>
      </x:c>
      <x:c r="F78" s="36" t="str">
        <x:v>CURRENT</x:v>
      </x:c>
      <x:c r="G78" s="36" t="str">
        <x:v>Motor de compra impulsiva; pula a compra natural e exila duas cartas no início da manutenção.</x:v>
      </x:c>
    </x:row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Lathliss, Dragon Queen</x:v>
      </x:c>
      <x:c r="C2" s="36" t="str">
        <x:v>1 Lathliss, Dragon Queen (M19) 149</x:v>
      </x:c>
      <x:c r="D2" s="36" t="str">
        <x:v>Sinergia 1</x:v>
      </x:c>
      <x:c r="E2" s="36" t="str">
        <x:v>Não</x:v>
      </x:c>
      <x:c r="F2" s="36" t="str">
        <x:v>COMMANDER</x:v>
      </x:c>
      <x:c r="G2" s="36" t="str">
        <x:v>Comandante; cria uma ficha Dragão 5/5 voadora quando outro Dragão não ficha entra.</x:v>
      </x:c>
    </x:row>
    <x:row r="3" ht="42" customHeight="1">
      <x:c r="A3" s="36" t="n">
        <x:v>1</x:v>
      </x:c>
      <x:c r="B3" s="36" t="str">
        <x:v>Abstergo Entertainment</x:v>
      </x:c>
      <x:c r="C3" s="36" t="str">
        <x:v>1 Abstergo Entertainment (ACR) 79</x:v>
      </x:c>
      <x:c r="D3" s="36" t="str">
        <x:v>Ramp</x:v>
      </x:c>
      <x:c r="E3" s="36" t="str">
        <x:v>Sim — terreno</x:v>
      </x:c>
      <x:c r="F3" s="36" t="str">
        <x:v>PROPOSED V2</x:v>
      </x:c>
      <x:c r="G3" s="36" t="str">
        <x:v>Aceleração de mana ou redução de custo.</x:v>
      </x:c>
    </x:row>
    <x:row r="4" ht="42" customHeight="1">
      <x:c r="A4" s="36" t="n">
        <x:v>1</x:v>
      </x:c>
      <x:c r="B4" s="36" t="str">
        <x:v>Arcane Signet</x:v>
      </x:c>
      <x:c r="C4" s="36" t="str">
        <x:v>1 Arcane Signet (CLB) 298</x:v>
      </x:c>
      <x:c r="D4" s="36" t="str">
        <x:v>Ramp</x:v>
      </x:c>
      <x:c r="E4" s="36" t="str">
        <x:v>Não</x:v>
      </x:c>
      <x:c r="F4" s="36" t="str">
        <x:v>PROPOSED V2</x:v>
      </x:c>
      <x:c r="G4" s="36" t="str">
        <x:v>Aceleração de mana ou redução de custo.</x:v>
      </x:c>
    </x:row>
    <x:row r="5" ht="42" customHeight="1">
      <x:c r="A5" s="36" t="n">
        <x:v>1</x:v>
      </x:c>
      <x:c r="B5" s="36" t="str">
        <x:v>Arena of Glory</x:v>
      </x:c>
      <x:c r="C5" s="36" t="str">
        <x:v>1 Arena of Glory (MH3) 215</x:v>
      </x:c>
      <x:c r="D5" s="36" t="str">
        <x:v>Ramp</x:v>
      </x:c>
      <x:c r="E5" s="36" t="str">
        <x:v>Sim — terreno</x:v>
      </x:c>
      <x:c r="F5" s="36" t="str">
        <x:v>PROPOSED V2</x:v>
      </x:c>
      <x:c r="G5" s="36" t="str">
        <x:v>Aceleração de mana ou redução de custo.</x:v>
      </x:c>
    </x:row>
    <x:row r="6" ht="42" customHeight="1">
      <x:c r="A6" s="36" t="n">
        <x:v>1</x:v>
      </x:c>
      <x:c r="B6" s="36" t="str">
        <x:v>Balefire Dragon</x:v>
      </x:c>
      <x:c r="C6" s="36" t="str">
        <x:v>1 Balefire Dragon (CMM) 697</x:v>
      </x:c>
      <x:c r="D6" s="36" t="str">
        <x:v>Sinergia 2</x:v>
      </x:c>
      <x:c r="E6" s="36" t="str">
        <x:v>Não</x:v>
      </x:c>
      <x:c r="F6" s="36" t="str">
        <x:v>PROPOSED V2</x:v>
      </x:c>
      <x:c r="G6" s="36" t="str">
        <x:v>Amplifica dano, pressão ou valor gerado por Dragões.</x:v>
      </x:c>
    </x:row>
    <x:row r="7" ht="42" customHeight="1">
      <x:c r="A7" s="36" t="n">
        <x:v>1</x:v>
      </x:c>
      <x:c r="B7" s="36" t="str">
        <x:v>Barbarian Ring</x:v>
      </x:c>
      <x:c r="C7" s="36" t="str">
        <x:v>1 Barbarian Ring (MH3) 299</x:v>
      </x:c>
      <x:c r="D7" s="36" t="str">
        <x:v>Ramp</x:v>
      </x:c>
      <x:c r="E7" s="36" t="str">
        <x:v>Sim — terreno</x:v>
      </x:c>
      <x:c r="F7" s="36" t="str">
        <x:v>PROPOSED V2</x:v>
      </x:c>
      <x:c r="G7" s="36" t="str">
        <x:v>Aceleração de mana ou redução de custo.</x:v>
      </x:c>
    </x:row>
    <x:row r="8" ht="42" customHeight="1">
      <x:c r="A8" s="36" t="n">
        <x:v>1</x:v>
      </x:c>
      <x:c r="B8" s="36" t="str">
        <x:v>Belbe's Portal</x:v>
      </x:c>
      <x:c r="C8" s="36" t="str">
        <x:v>1 Belbe's Portal (PLST) NEM-127</x:v>
      </x:c>
      <x:c r="D8" s="36" t="str">
        <x:v>Ramp</x:v>
      </x:c>
      <x:c r="E8" s="36" t="str">
        <x:v>Não</x:v>
      </x:c>
      <x:c r="F8" s="36" t="str">
        <x:v>PROPOSED V2</x:v>
      </x:c>
      <x:c r="G8" s="36" t="str">
        <x:v>Aceleração de mana ou redução de custo.</x:v>
      </x:c>
    </x:row>
    <x:row r="9" ht="42" customHeight="1">
      <x:c r="A9" s="36" t="n">
        <x:v>1</x:v>
      </x:c>
      <x:c r="B9" s="36" t="str">
        <x:v>Carnelian Orb of Dragonkind</x:v>
      </x:c>
      <x:c r="C9" s="36" t="str">
        <x:v>1 Carnelian Orb of Dragonkind (CLB) 166</x:v>
      </x:c>
      <x:c r="D9" s="36" t="str">
        <x:v>Ramp</x:v>
      </x:c>
      <x:c r="E9" s="36" t="str">
        <x:v>Não</x:v>
      </x:c>
      <x:c r="F9" s="36" t="str">
        <x:v>PROPOSED V2</x:v>
      </x:c>
      <x:c r="G9" s="36" t="str">
        <x:v>Aceleração de mana ou redução de custo.</x:v>
      </x:c>
    </x:row>
    <x:row r="10" ht="42" customHeight="1">
      <x:c r="A10" s="36" t="n">
        <x:v>1</x:v>
      </x:c>
      <x:c r="B10" s="36" t="str">
        <x:v>Chain Reaction</x:v>
      </x:c>
      <x:c r="C10" s="36" t="str">
        <x:v>1 Chain Reaction (CLB) 783</x:v>
      </x:c>
      <x:c r="D10" s="36" t="str">
        <x:v>Removal</x:v>
      </x:c>
      <x:c r="E10" s="36" t="str">
        <x:v>Não</x:v>
      </x:c>
      <x:c r="F10" s="36" t="str">
        <x:v>PROPOSED V2</x:v>
      </x:c>
      <x:c r="G10" s="36" t="str">
        <x:v>Resposta a ameaças; verificar a cobertura e se o efeito é simétrico.</x:v>
      </x:c>
    </x:row>
    <x:row r="11" ht="42" customHeight="1">
      <x:c r="A11" s="36" t="n">
        <x:v>1</x:v>
      </x:c>
      <x:c r="B11" s="36" t="str">
        <x:v>Chaos Dragon</x:v>
      </x:c>
      <x:c r="C11" s="36" t="str">
        <x:v>1 Chaos Dragon (CLB) 784</x:v>
      </x:c>
      <x:c r="D11" s="36" t="str">
        <x:v>Sinergia 2</x:v>
      </x:c>
      <x:c r="E11" s="36" t="str">
        <x:v>Não</x:v>
      </x:c>
      <x:c r="F11" s="36" t="str">
        <x:v>PROPOSED V2</x:v>
      </x:c>
      <x:c r="G11" s="36" t="str">
        <x:v>Amplifica dano, pressão ou valor gerado por Dragões.</x:v>
      </x:c>
    </x:row>
    <x:row r="12" ht="42" customHeight="1">
      <x:c r="A12" s="36" t="n">
        <x:v>1</x:v>
      </x:c>
      <x:c r="B12" s="36" t="str">
        <x:v>Chaos Warp</x:v>
      </x:c>
      <x:c r="C12" s="36" t="str">
        <x:v>1 Chaos Warp (CLB) 785</x:v>
      </x:c>
      <x:c r="D12" s="36" t="str">
        <x:v>Removal</x:v>
      </x:c>
      <x:c r="E12" s="36" t="str">
        <x:v>Não</x:v>
      </x:c>
      <x:c r="F12" s="36" t="str">
        <x:v>PROPOSED V2</x:v>
      </x:c>
      <x:c r="G12" s="36" t="str">
        <x:v>Resposta a ameaças; verificar a cobertura e se o efeito é simétrico.</x:v>
      </x:c>
    </x:row>
    <x:row r="13" ht="42" customHeight="1">
      <x:c r="A13" s="36" t="n">
        <x:v>1</x:v>
      </x:c>
      <x:c r="B13" s="36" t="str">
        <x:v>Curse of Opulence</x:v>
      </x:c>
      <x:c r="C13" s="36" t="str">
        <x:v>1 Curse of Opulence (CLB) 786</x:v>
      </x:c>
      <x:c r="D13" s="36" t="str">
        <x:v>Tesouro</x:v>
      </x:c>
      <x:c r="E13" s="36" t="str">
        <x:v>Não</x:v>
      </x:c>
      <x:c r="F13" s="36" t="str">
        <x:v>PROPOSED V2</x:v>
      </x:c>
      <x:c r="G13" s="36" t="str">
        <x:v>Produz Tesouros ou converte combate/Dragões em mana.</x:v>
      </x:c>
    </x:row>
    <x:row r="14" ht="42" customHeight="1">
      <x:c r="A14" s="36" t="n">
        <x:v>1</x:v>
      </x:c>
      <x:c r="B14" s="36" t="str">
        <x:v>Cursed Mirror</x:v>
      </x:c>
      <x:c r="C14" s="36" t="str">
        <x:v>1 Cursed Mirror (MH3) 279</x:v>
      </x:c>
      <x:c r="D14" s="36" t="str">
        <x:v>Ramp</x:v>
      </x:c>
      <x:c r="E14" s="36" t="str">
        <x:v>Não</x:v>
      </x:c>
      <x:c r="F14" s="36" t="str">
        <x:v>PROPOSED V2</x:v>
      </x:c>
      <x:c r="G14" s="36" t="str">
        <x:v>Aceleração de mana ou redução de custo.</x:v>
      </x:c>
    </x:row>
    <x:row r="15" ht="42" customHeight="1">
      <x:c r="A15" s="36" t="n">
        <x:v>1</x:v>
      </x:c>
      <x:c r="B15" s="36" t="str">
        <x:v>Demand Answers</x:v>
      </x:c>
      <x:c r="C15" s="36" t="str">
        <x:v>1 Demand Answers (MKM) 306</x:v>
      </x:c>
      <x:c r="D15" s="36" t="str">
        <x:v>Draw</x:v>
      </x:c>
      <x:c r="E15" s="36" t="str">
        <x:v>Não</x:v>
      </x:c>
      <x:c r="F15" s="36" t="str">
        <x:v>PROPOSED V2</x:v>
      </x:c>
      <x:c r="G15" s="36" t="str">
        <x:v>Compra, seleção ou recuperação de cartas.</x:v>
      </x:c>
    </x:row>
    <x:row r="16" ht="42" customHeight="1">
      <x:c r="A16" s="36" t="n">
        <x:v>1</x:v>
      </x:c>
      <x:c r="B16" s="36" t="str">
        <x:v>Dragon Tempest</x:v>
      </x:c>
      <x:c r="C16" s="36" t="str">
        <x:v>1 Dragon Tempest (IMA) 125</x:v>
      </x:c>
      <x:c r="D16" s="36" t="str">
        <x:v>Sinergia 1</x:v>
      </x:c>
      <x:c r="E16" s="36" t="str">
        <x:v>Não</x:v>
      </x:c>
      <x:c r="F16" s="36" t="str">
        <x:v>PROPOSED V2</x:v>
      </x:c>
      <x:c r="G16" s="36" t="str">
        <x:v>Concede ímpeto aos Dragões que entram e causa dano escalável por entradas.</x:v>
      </x:c>
    </x:row>
    <x:row r="17" ht="42" customHeight="1">
      <x:c r="A17" s="36" t="n">
        <x:v>1</x:v>
      </x:c>
      <x:c r="B17" s="36" t="str">
        <x:v>Dragon's Hoard</x:v>
      </x:c>
      <x:c r="C17" s="36" t="str">
        <x:v>1 Dragon's Hoard (CLB) 858</x:v>
      </x:c>
      <x:c r="D17" s="36" t="str">
        <x:v>Ramp</x:v>
      </x:c>
      <x:c r="E17" s="36" t="str">
        <x:v>Não</x:v>
      </x:c>
      <x:c r="F17" s="36" t="str">
        <x:v>PROPOSED V2</x:v>
      </x:c>
      <x:c r="G17" s="36" t="str">
        <x:v>Aceleração de mana ou redução de custo.</x:v>
      </x:c>
    </x:row>
    <x:row r="18" ht="42" customHeight="1">
      <x:c r="A18" s="36" t="n">
        <x:v>1</x:v>
      </x:c>
      <x:c r="B18" s="36" t="str">
        <x:v>Dragonspeaker Shaman</x:v>
      </x:c>
      <x:c r="C18" s="36" t="str">
        <x:v>1 Dragonspeaker Shaman (AFC) 330</x:v>
      </x:c>
      <x:c r="D18" s="36" t="str">
        <x:v>Ramp</x:v>
      </x:c>
      <x:c r="E18" s="36" t="str">
        <x:v>Não</x:v>
      </x:c>
      <x:c r="F18" s="36" t="str">
        <x:v>PROPOSED V2</x:v>
      </x:c>
      <x:c r="G18" s="36" t="str">
        <x:v>Aceleração de mana ou redução de custo.</x:v>
      </x:c>
    </x:row>
    <x:row r="19" ht="42" customHeight="1">
      <x:c r="A19" s="36" t="n">
        <x:v>1</x:v>
      </x:c>
      <x:c r="B19" s="36" t="str">
        <x:v>Electrodominance</x:v>
      </x:c>
      <x:c r="C19" s="36" t="str">
        <x:v>1 Electrodominance (OTP) 23</x:v>
      </x:c>
      <x:c r="D19" s="36" t="str">
        <x:v>Removal</x:v>
      </x:c>
      <x:c r="E19" s="36" t="str">
        <x:v>Não</x:v>
      </x:c>
      <x:c r="F19" s="36" t="str">
        <x:v>PROPOSED V2</x:v>
      </x:c>
      <x:c r="G19" s="36" t="str">
        <x:v>Resposta a ameaças; verificar a cobertura e se o efeito é simétrico.</x:v>
      </x:c>
    </x:row>
    <x:row r="20" ht="42" customHeight="1">
      <x:c r="A20" s="36" t="n">
        <x:v>1</x:v>
      </x:c>
      <x:c r="B20" s="36" t="str">
        <x:v>Enduring Courage</x:v>
      </x:c>
      <x:c r="C20" s="36" t="str">
        <x:v>1 Enduring Courage (DSK) 133</x:v>
      </x:c>
      <x:c r="D20" s="36" t="str">
        <x:v>Sinergia 3</x:v>
      </x:c>
      <x:c r="E20" s="36" t="str">
        <x:v>Não</x:v>
      </x:c>
      <x:c r="F20" s="36" t="str">
        <x:v>PROPOSED V2</x:v>
      </x:c>
      <x:c r="G20" s="36" t="str">
        <x:v>Apoia ímpeto, proteção, plano tribal ou combate.</x:v>
      </x:c>
    </x:row>
    <x:row r="21" ht="42" customHeight="1">
      <x:c r="A21" s="36" t="n">
        <x:v>1</x:v>
      </x:c>
      <x:c r="B21" s="36" t="str">
        <x:v>Faithless Looting</x:v>
      </x:c>
      <x:c r="C21" s="36" t="str">
        <x:v>1 Faithless Looting (CMM) 220</x:v>
      </x:c>
      <x:c r="D21" s="36" t="str">
        <x:v>Draw</x:v>
      </x:c>
      <x:c r="E21" s="36" t="str">
        <x:v>Não</x:v>
      </x:c>
      <x:c r="F21" s="36" t="str">
        <x:v>PROPOSED V2</x:v>
      </x:c>
      <x:c r="G21" s="36" t="str">
        <x:v>Compra, seleção ou recuperação de cartas.</x:v>
      </x:c>
    </x:row>
    <x:row r="22" ht="42" customHeight="1">
      <x:c r="A22" s="36" t="n">
        <x:v>1</x:v>
      </x:c>
      <x:c r="B22" s="36" t="str">
        <x:v>Fiendish Duo</x:v>
      </x:c>
      <x:c r="C22" s="36" t="str">
        <x:v>1 Fiendish Duo (MKC) 153</x:v>
      </x:c>
      <x:c r="D22" s="36" t="str">
        <x:v>Sinergia 2</x:v>
      </x:c>
      <x:c r="E22" s="36" t="str">
        <x:v>Não</x:v>
      </x:c>
      <x:c r="F22" s="36" t="str">
        <x:v>PROPOSED V2</x:v>
      </x:c>
      <x:c r="G22" s="36" t="str">
        <x:v>Amplifica dano, pressão ou valor gerado por Dragões.</x:v>
      </x:c>
    </x:row>
    <x:row r="23" ht="42" customHeight="1">
      <x:c r="A23" s="36" t="n">
        <x:v>1</x:v>
      </x:c>
      <x:c r="B23" s="36" t="str">
        <x:v>Gadrak, the Crown-Scourge</x:v>
      </x:c>
      <x:c r="C23" s="36" t="str">
        <x:v>1 Gadrak, the Crown-Scourge (M21) 146</x:v>
      </x:c>
      <x:c r="D23" s="36" t="str">
        <x:v>Tesouro</x:v>
      </x:c>
      <x:c r="E23" s="36" t="str">
        <x:v>Não</x:v>
      </x:c>
      <x:c r="F23" s="36" t="str">
        <x:v>PROPOSED V2</x:v>
      </x:c>
      <x:c r="G23" s="36" t="str">
        <x:v>Produz Tesouros ou converte combate/Dragões em mana.</x:v>
      </x:c>
    </x:row>
    <x:row r="24" ht="42" customHeight="1">
      <x:c r="A24" s="36" t="n">
        <x:v>1</x:v>
      </x:c>
      <x:c r="B24" s="36" t="str">
        <x:v>Goldspan Dragon</x:v>
      </x:c>
      <x:c r="C24" s="36" t="str">
        <x:v>1 Goldspan Dragon (PLST) KHM-139</x:v>
      </x:c>
      <x:c r="D24" s="36" t="str">
        <x:v>Tesouro</x:v>
      </x:c>
      <x:c r="E24" s="36" t="str">
        <x:v>Não</x:v>
      </x:c>
      <x:c r="F24" s="36" t="str">
        <x:v>PROPOSED V2</x:v>
      </x:c>
      <x:c r="G24" s="36" t="str">
        <x:v>Produz Tesouros ou converte combate/Dragões em mana.</x:v>
      </x:c>
    </x:row>
    <x:row r="25" ht="42" customHeight="1">
      <x:c r="A25" s="36" t="n">
        <x:v>1</x:v>
      </x:c>
      <x:c r="B25" s="36" t="str">
        <x:v>Gratuitous Violence</x:v>
      </x:c>
      <x:c r="C25" s="36" t="str">
        <x:v>1 Gratuitous Violence (AFC) 127</x:v>
      </x:c>
      <x:c r="D25" s="36" t="str">
        <x:v>Sinergia 2</x:v>
      </x:c>
      <x:c r="E25" s="36" t="str">
        <x:v>Não</x:v>
      </x:c>
      <x:c r="F25" s="36" t="str">
        <x:v>PROPOSED V2</x:v>
      </x:c>
      <x:c r="G25" s="36" t="str">
        <x:v>Amplifica dano, pressão ou valor gerado por Dragões.</x:v>
      </x:c>
    </x:row>
    <x:row r="26" ht="42" customHeight="1">
      <x:c r="A26" s="36" t="n">
        <x:v>1</x:v>
      </x:c>
      <x:c r="B26" s="36" t="str">
        <x:v>Great Train Heist</x:v>
      </x:c>
      <x:c r="C26" s="36" t="str">
        <x:v>1 Great Train Heist (OTJ) 125</x:v>
      </x:c>
      <x:c r="D26" s="36" t="str">
        <x:v>Combate extra</x:v>
      </x:c>
      <x:c r="E26" s="36" t="str">
        <x:v>Não</x:v>
      </x:c>
      <x:c r="F26" s="36" t="str">
        <x:v>PROPOSED V2</x:v>
      </x:c>
      <x:c r="G26" s="36" t="str">
        <x:v>Cria ou facilita fases/turnos de combate adicionais.</x:v>
      </x:c>
    </x:row>
    <x:row r="27" ht="42" customHeight="1">
      <x:c r="A27" s="36" t="n">
        <x:v>1</x:v>
      </x:c>
      <x:c r="B27" s="36" t="str">
        <x:v>Hedron Archive</x:v>
      </x:c>
      <x:c r="C27" s="36" t="str">
        <x:v>1 Hedron Archive (CLB) 861</x:v>
      </x:c>
      <x:c r="D27" s="36" t="str">
        <x:v>Ramp</x:v>
      </x:c>
      <x:c r="E27" s="36" t="str">
        <x:v>Não</x:v>
      </x:c>
      <x:c r="F27" s="36" t="str">
        <x:v>PROPOSED V2</x:v>
      </x:c>
      <x:c r="G27" s="36" t="str">
        <x:v>Aceleração de mana ou redução de custo.</x:v>
      </x:c>
    </x:row>
    <x:row r="28" ht="42" customHeight="1">
      <x:c r="A28" s="36" t="n">
        <x:v>1</x:v>
      </x:c>
      <x:c r="B28" s="36" t="str">
        <x:v>Hellkite Charger</x:v>
      </x:c>
      <x:c r="C28" s="36" t="str">
        <x:v>1 Hellkite Charger (CMM) 232</x:v>
      </x:c>
      <x:c r="D28" s="36" t="str">
        <x:v>Combate extra</x:v>
      </x:c>
      <x:c r="E28" s="36" t="str">
        <x:v>Não</x:v>
      </x:c>
      <x:c r="F28" s="36" t="str">
        <x:v>PROPOSED V2</x:v>
      </x:c>
      <x:c r="G28" s="36" t="str">
        <x:v>Cria ou facilita fases/turnos de combate adicionais.</x:v>
      </x:c>
    </x:row>
    <x:row r="29" ht="42" customHeight="1">
      <x:c r="A29" s="36" t="n">
        <x:v>1</x:v>
      </x:c>
      <x:c r="B29" s="36" t="str">
        <x:v>Hellkite Tyrant</x:v>
      </x:c>
      <x:c r="C29" s="36" t="str">
        <x:v>1 Hellkite Tyrant (RVR) 333 *F*</x:v>
      </x:c>
      <x:c r="D29" s="36" t="str">
        <x:v>Sinergia 3</x:v>
      </x:c>
      <x:c r="E29" s="36" t="str">
        <x:v>Não</x:v>
      </x:c>
      <x:c r="F29" s="36" t="str">
        <x:v>PROPOSED V2</x:v>
      </x:c>
      <x:c r="G29" s="36" t="str">
        <x:v>Apoia ímpeto, proteção, plano tribal ou combate.</x:v>
      </x:c>
    </x:row>
    <x:row r="30" ht="42" customHeight="1">
      <x:c r="A30" s="36" t="n">
        <x:v>1</x:v>
      </x:c>
      <x:c r="B30" s="36" t="str">
        <x:v>Horn of the Mark</x:v>
      </x:c>
      <x:c r="C30" s="36" t="str">
        <x:v>1 Horn of the Mark (LTR) 241</x:v>
      </x:c>
      <x:c r="D30" s="36" t="str">
        <x:v>Draw</x:v>
      </x:c>
      <x:c r="E30" s="36" t="str">
        <x:v>Não</x:v>
      </x:c>
      <x:c r="F30" s="36" t="str">
        <x:v>PROPOSED V2</x:v>
      </x:c>
      <x:c r="G30" s="36" t="str">
        <x:v>Compra, seleção ou recuperação de cartas.</x:v>
      </x:c>
    </x:row>
    <x:row r="31" ht="42" customHeight="1">
      <x:c r="A31" s="36" t="n">
        <x:v>1</x:v>
      </x:c>
      <x:c r="B31" s="36" t="str">
        <x:v>Incinerator of the Guilty</x:v>
      </x:c>
      <x:c r="C31" s="36" t="str">
        <x:v>1 Incinerator of the Guilty (MKM) 132</x:v>
      </x:c>
      <x:c r="D31" s="36" t="str">
        <x:v>Removal</x:v>
      </x:c>
      <x:c r="E31" s="36" t="str">
        <x:v>Não</x:v>
      </x:c>
      <x:c r="F31" s="36" t="str">
        <x:v>PROPOSED V2</x:v>
      </x:c>
      <x:c r="G31" s="36" t="str">
        <x:v>Resposta a ameaças; verificar a cobertura e se o efeito é simétrico.</x:v>
      </x:c>
    </x:row>
    <x:row r="32" ht="42" customHeight="1">
      <x:c r="A32" s="36" t="n">
        <x:v>1</x:v>
      </x:c>
      <x:c r="B32" s="36" t="str">
        <x:v>Inferno of the Star Mounts</x:v>
      </x:c>
      <x:c r="C32" s="36" t="str">
        <x:v>1 Inferno of the Star Mounts (AFR) 151</x:v>
      </x:c>
      <x:c r="D32" s="36" t="str">
        <x:v>Sinergia 2</x:v>
      </x:c>
      <x:c r="E32" s="36" t="str">
        <x:v>Não</x:v>
      </x:c>
      <x:c r="F32" s="36" t="str">
        <x:v>PROPOSED V2</x:v>
      </x:c>
      <x:c r="G32" s="36" t="str">
        <x:v>Amplifica dano, pressão ou valor gerado por Dragões.</x:v>
      </x:c>
    </x:row>
    <x:row r="33" ht="42" customHeight="1">
      <x:c r="A33" s="36" t="n">
        <x:v>1</x:v>
      </x:c>
      <x:c r="B33" s="36" t="str">
        <x:v>Insurrection</x:v>
      </x:c>
      <x:c r="C33" s="36" t="str">
        <x:v>1 Insurrection (ONS) 213</x:v>
      </x:c>
      <x:c r="D33" s="36" t="str">
        <x:v>Sinergia 3</x:v>
      </x:c>
      <x:c r="E33" s="36" t="str">
        <x:v>Não</x:v>
      </x:c>
      <x:c r="F33" s="36" t="str">
        <x:v>PROPOSED V2</x:v>
      </x:c>
      <x:c r="G33" s="36" t="str">
        <x:v>Apoia ímpeto, proteção, plano tribal ou combate.</x:v>
      </x:c>
    </x:row>
    <x:row r="34" ht="42" customHeight="1">
      <x:c r="A34" s="36" t="n">
        <x:v>1</x:v>
      </x:c>
      <x:c r="B34" s="36" t="str">
        <x:v>Manaform Hellkite</x:v>
      </x:c>
      <x:c r="C34" s="36" t="str">
        <x:v>1 Manaform Hellkite (PVOW) 170s *F*</x:v>
      </x:c>
      <x:c r="D34" s="36" t="str">
        <x:v>Sinergia 1</x:v>
      </x:c>
      <x:c r="E34" s="36" t="str">
        <x:v>Não</x:v>
      </x:c>
      <x:c r="F34" s="36" t="str">
        <x:v>PROPOSED V2</x:v>
      </x:c>
      <x:c r="G34" s="36" t="str">
        <x:v>Avança o motor de Dragões, entradas no campo ou geração de fichas.</x:v>
      </x:c>
    </x:row>
    <x:row r="35" ht="42" customHeight="1">
      <x:c r="A35" s="36" t="n">
        <x:v>1</x:v>
      </x:c>
      <x:c r="B35" s="36" t="str">
        <x:v>Mines of Moria</x:v>
      </x:c>
      <x:c r="C35" s="36" t="str">
        <x:v>1 Mines of Moria (LTR) 257</x:v>
      </x:c>
      <x:c r="D35" s="36" t="str">
        <x:v>Ramp</x:v>
      </x:c>
      <x:c r="E35" s="36" t="str">
        <x:v>Sim — terreno</x:v>
      </x:c>
      <x:c r="F35" s="36" t="str">
        <x:v>PROPOSED V2</x:v>
      </x:c>
      <x:c r="G35" s="36" t="str">
        <x:v>Aceleração de mana ou redução de custo.</x:v>
      </x:c>
    </x:row>
    <x:row r="36" ht="42" customHeight="1">
      <x:c r="A36" s="36" t="n">
        <x:v>1</x:v>
      </x:c>
      <x:c r="B36" s="36" t="str">
        <x:v>Mizzium Mortars</x:v>
      </x:c>
      <x:c r="C36" s="36" t="str">
        <x:v>1 Mizzium Mortars (GK1) 32</x:v>
      </x:c>
      <x:c r="D36" s="36" t="str">
        <x:v>Removal</x:v>
      </x:c>
      <x:c r="E36" s="36" t="str">
        <x:v>Não</x:v>
      </x:c>
      <x:c r="F36" s="36" t="str">
        <x:v>PROPOSED V2</x:v>
      </x:c>
      <x:c r="G36" s="36" t="str">
        <x:v>Resposta a ameaças; verificar a cobertura e se o efeito é simétrico.</x:v>
      </x:c>
    </x:row>
    <x:row r="37" ht="42" customHeight="1">
      <x:c r="A37" s="36" t="n">
        <x:v>1</x:v>
      </x:c>
      <x:c r="B37" s="36" t="str">
        <x:v>Mob Verdict</x:v>
      </x:c>
      <x:c r="C37" s="36" t="str">
        <x:v>1 Mob Verdict (MKC) 33</x:v>
      </x:c>
      <x:c r="D37" s="36" t="str">
        <x:v>Removal</x:v>
      </x:c>
      <x:c r="E37" s="36" t="str">
        <x:v>Não</x:v>
      </x:c>
      <x:c r="F37" s="36" t="str">
        <x:v>PROPOSED V2</x:v>
      </x:c>
      <x:c r="G37" s="36" t="str">
        <x:v>Votação política: dano por votos recebidos por oponentes e compra conforme votos recebidos por você; não é wipe unilateral.</x:v>
      </x:c>
    </x:row>
    <x:row r="38" ht="42" customHeight="1">
      <x:c r="A38" s="36" t="n">
        <x:v>1</x:v>
      </x:c>
      <x:c r="B38" s="36" t="str">
        <x:v>Molten Echoes</x:v>
      </x:c>
      <x:c r="C38" s="36" t="str">
        <x:v>1 Molten Echoes (VOC) 148</x:v>
      </x:c>
      <x:c r="D38" s="36" t="str">
        <x:v>Sinergia 1</x:v>
      </x:c>
      <x:c r="E38" s="36" t="str">
        <x:v>Não</x:v>
      </x:c>
      <x:c r="F38" s="36" t="str">
        <x:v>PROPOSED V2</x:v>
      </x:c>
      <x:c r="G38" s="36" t="str">
        <x:v>Cria cópias tribais temporárias, aumentando redundância e gatilhos de entrada.</x:v>
      </x:c>
    </x:row>
    <x:row r="39" ht="42" customHeight="1">
      <x:c r="A39" s="36" t="n">
        <x:v>24</x:v>
      </x:c>
      <x:c r="B39" s="36" t="str">
        <x:v>Mountain</x:v>
      </x:c>
      <x:c r="C39" s="36" t="str">
        <x:v>24 Mountain (MH3) 317 *F*</x:v>
      </x:c>
      <x:c r="D39" s="36" t="str">
        <x:v>Ramp</x:v>
      </x:c>
      <x:c r="E39" s="36" t="str">
        <x:v>Sim — terreno</x:v>
      </x:c>
      <x:c r="F39" s="36" t="str">
        <x:v>PROPOSED V2</x:v>
      </x:c>
      <x:c r="G39" s="36" t="str">
        <x:v>Aceleração de mana ou redução de custo.</x:v>
      </x:c>
    </x:row>
    <x:row r="40" ht="42" customHeight="1">
      <x:c r="A40" s="36" t="n">
        <x:v>1</x:v>
      </x:c>
      <x:c r="B40" s="36" t="str">
        <x:v>Overpowering Attack</x:v>
      </x:c>
      <x:c r="C40" s="36" t="str">
        <x:v>1 Overpowering Attack (ACR) 37 *F*</x:v>
      </x:c>
      <x:c r="D40" s="36" t="str">
        <x:v>Combate extra</x:v>
      </x:c>
      <x:c r="E40" s="36" t="str">
        <x:v>Não</x:v>
      </x:c>
      <x:c r="F40" s="36" t="str">
        <x:v>PROPOSED V2</x:v>
      </x:c>
      <x:c r="G40" s="36" t="str">
        <x:v>Cria ou facilita fases/turnos de combate adicionais.</x:v>
      </x:c>
    </x:row>
    <x:row r="41" ht="42" customHeight="1">
      <x:c r="A41" s="36" t="n">
        <x:v>1</x:v>
      </x:c>
      <x:c r="B41" s="36" t="str">
        <x:v>Path of Ancestry</x:v>
      </x:c>
      <x:c r="C41" s="36" t="str">
        <x:v>1 Path of Ancestry (CMR) 353</x:v>
      </x:c>
      <x:c r="D41" s="36" t="str">
        <x:v>Ramp</x:v>
      </x:c>
      <x:c r="E41" s="36" t="str">
        <x:v>Sim — terreno</x:v>
      </x:c>
      <x:c r="F41" s="36" t="str">
        <x:v>PROPOSED V2</x:v>
      </x:c>
      <x:c r="G41" s="36" t="str">
        <x:v>Aceleração de mana ou redução de custo.</x:v>
      </x:c>
    </x:row>
    <x:row r="42" ht="42" customHeight="1">
      <x:c r="A42" s="36" t="n">
        <x:v>1</x:v>
      </x:c>
      <x:c r="B42" s="36" t="str">
        <x:v>Pinnacle Monk</x:v>
      </x:c>
      <x:c r="C42" s="36" t="str">
        <x:v>1 Pinnacle Monk (MH3) 246 *F*</x:v>
      </x:c>
      <x:c r="D42" s="36" t="str">
        <x:v>Draw</x:v>
      </x:c>
      <x:c r="E42" s="36" t="str">
        <x:v>Sim — face-terreno</x:v>
      </x:c>
      <x:c r="F42" s="36" t="str">
        <x:v>PROPOSED V2</x:v>
      </x:c>
      <x:c r="G42" s="36" t="str">
        <x:v>Recupera uma instantânea ou feitiço do cemitério ao entrar; a face posterior é terreno.</x:v>
      </x:c>
    </x:row>
    <x:row r="43" ht="42" customHeight="1">
      <x:c r="A43" s="36" t="n">
        <x:v>1</x:v>
      </x:c>
      <x:c r="B43" s="36" t="str">
        <x:v>Rapacious Dragon</x:v>
      </x:c>
      <x:c r="C43" s="36" t="str">
        <x:v>1 Rapacious Dragon (JMP) 358</x:v>
      </x:c>
      <x:c r="D43" s="36" t="str">
        <x:v>Tesouro</x:v>
      </x:c>
      <x:c r="E43" s="36" t="str">
        <x:v>Não</x:v>
      </x:c>
      <x:c r="F43" s="36" t="str">
        <x:v>PROPOSED V2</x:v>
      </x:c>
      <x:c r="G43" s="36" t="str">
        <x:v>Produz Tesouros ou converte combate/Dragões em mana.</x:v>
      </x:c>
    </x:row>
    <x:row r="44" ht="42" customHeight="1">
      <x:c r="A44" s="36" t="n">
        <x:v>1</x:v>
      </x:c>
      <x:c r="B44" s="36" t="str">
        <x:v>Reckless Barbarian</x:v>
      </x:c>
      <x:c r="C44" s="36" t="str">
        <x:v>1 Reckless Barbarian (CLB) 193</x:v>
      </x:c>
      <x:c r="D44" s="36" t="str">
        <x:v>Ramp</x:v>
      </x:c>
      <x:c r="E44" s="36" t="str">
        <x:v>Não</x:v>
      </x:c>
      <x:c r="F44" s="36" t="str">
        <x:v>PROPOSED V2</x:v>
      </x:c>
      <x:c r="G44" s="36" t="str">
        <x:v>Aceleração de mana ou redução de custo.</x:v>
      </x:c>
    </x:row>
    <x:row r="45" ht="42" customHeight="1">
      <x:c r="A45" s="36" t="n">
        <x:v>1</x:v>
      </x:c>
      <x:c r="B45" s="36" t="str">
        <x:v>Rising of the Day</x:v>
      </x:c>
      <x:c r="C45" s="36" t="str">
        <x:v>1 Rising of the Day (LTR) 145</x:v>
      </x:c>
      <x:c r="D45" s="36" t="str">
        <x:v>Sinergia 3</x:v>
      </x:c>
      <x:c r="E45" s="36" t="str">
        <x:v>Não</x:v>
      </x:c>
      <x:c r="F45" s="36" t="str">
        <x:v>PROPOSED V2</x:v>
      </x:c>
      <x:c r="G45" s="36" t="str">
        <x:v>Apoia ímpeto, proteção, plano tribal ou combate.</x:v>
      </x:c>
    </x:row>
    <x:row r="46" ht="42" customHeight="1">
      <x:c r="A46" s="36" t="n">
        <x:v>1</x:v>
      </x:c>
      <x:c r="B46" s="36" t="str">
        <x:v>Roaming Throne</x:v>
      </x:c>
      <x:c r="C46" s="36" t="str">
        <x:v>1 Roaming Throne (LCI) 258</x:v>
      </x:c>
      <x:c r="D46" s="36" t="str">
        <x:v>Sinergia 1</x:v>
      </x:c>
      <x:c r="E46" s="36" t="str">
        <x:v>Não</x:v>
      </x:c>
      <x:c r="F46" s="36" t="str">
        <x:v>PROPOSED V2</x:v>
      </x:c>
      <x:c r="G46" s="36" t="str">
        <x:v>Ao escolher Dragon, pode duplicar gatilhos relevantes de Dragões, incluindo o de Lathliss.</x:v>
      </x:c>
    </x:row>
    <x:row r="47" ht="42" customHeight="1">
      <x:c r="A47" s="36" t="n">
        <x:v>1</x:v>
      </x:c>
      <x:c r="B47" s="36" t="str">
        <x:v>Ryusei, the Falling Star</x:v>
      </x:c>
      <x:c r="C47" s="36" t="str">
        <x:v>1 Ryusei, the Falling Star (CLB) 806</x:v>
      </x:c>
      <x:c r="D47" s="36" t="str">
        <x:v>Sinergia 2</x:v>
      </x:c>
      <x:c r="E47" s="36" t="str">
        <x:v>Não</x:v>
      </x:c>
      <x:c r="F47" s="36" t="str">
        <x:v>PROPOSED V2</x:v>
      </x:c>
      <x:c r="G47" s="36" t="str">
        <x:v>Amplifica dano, pressão ou valor gerado por Dragões.</x:v>
      </x:c>
    </x:row>
    <x:row r="48" ht="42" customHeight="1">
      <x:c r="A48" s="36" t="n">
        <x:v>1</x:v>
      </x:c>
      <x:c r="B48" s="36" t="str">
        <x:v>Sarkhan's Triumph</x:v>
      </x:c>
      <x:c r="C48" s="36" t="str">
        <x:v>1 Sarkhan's Triumph (DTK) 154</x:v>
      </x:c>
      <x:c r="D48" s="36" t="str">
        <x:v>Sinergia 3</x:v>
      </x:c>
      <x:c r="E48" s="36" t="str">
        <x:v>Não</x:v>
      </x:c>
      <x:c r="F48" s="36" t="str">
        <x:v>PROPOSED V2</x:v>
      </x:c>
      <x:c r="G48" s="36" t="str">
        <x:v>Apoia ímpeto, proteção, plano tribal ou combate.</x:v>
      </x:c>
    </x:row>
    <x:row r="49" ht="42" customHeight="1">
      <x:c r="A49" s="36" t="n">
        <x:v>1</x:v>
      </x:c>
      <x:c r="B49" s="36" t="str">
        <x:v>Scourge of the Throne</x:v>
      </x:c>
      <x:c r="C49" s="36" t="str">
        <x:v>1 Scourge of the Throne (LTC) 225</x:v>
      </x:c>
      <x:c r="D49" s="36" t="str">
        <x:v>Combate extra</x:v>
      </x:c>
      <x:c r="E49" s="36" t="str">
        <x:v>Não</x:v>
      </x:c>
      <x:c r="F49" s="36" t="str">
        <x:v>PROPOSED V2</x:v>
      </x:c>
      <x:c r="G49" s="36" t="str">
        <x:v>Cria ou facilita fases/turnos de combate adicionais.</x:v>
      </x:c>
    </x:row>
    <x:row r="50" ht="42" customHeight="1">
      <x:c r="A50" s="36" t="n">
        <x:v>1</x:v>
      </x:c>
      <x:c r="B50" s="36" t="str">
        <x:v>Skyline Despot</x:v>
      </x:c>
      <x:c r="C50" s="36" t="str">
        <x:v>1 Skyline Despot (CMM) 254 *F*</x:v>
      </x:c>
      <x:c r="D50" s="36" t="str">
        <x:v>Draw</x:v>
      </x:c>
      <x:c r="E50" s="36" t="str">
        <x:v>Não</x:v>
      </x:c>
      <x:c r="F50" s="36" t="str">
        <x:v>PROPOSED V2</x:v>
      </x:c>
      <x:c r="G50" s="36" t="str">
        <x:v>Compra, seleção ou recuperação de cartas.</x:v>
      </x:c>
    </x:row>
    <x:row r="51" ht="42" customHeight="1">
      <x:c r="A51" s="36" t="n">
        <x:v>1</x:v>
      </x:c>
      <x:c r="B51" s="36" t="str">
        <x:v>Sol Ring</x:v>
      </x:c>
      <x:c r="C51" s="36" t="str">
        <x:v>1 Sol Ring (MKC) 237</x:v>
      </x:c>
      <x:c r="D51" s="36" t="str">
        <x:v>Ramp</x:v>
      </x:c>
      <x:c r="E51" s="36" t="str">
        <x:v>Não</x:v>
      </x:c>
      <x:c r="F51" s="36" t="str">
        <x:v>PROPOSED V2</x:v>
      </x:c>
      <x:c r="G51" s="36" t="str">
        <x:v>Aceleração eficiente que estava ausente da lista original de Krenko.</x:v>
      </x:c>
    </x:row>
    <x:row r="52" ht="42" customHeight="1">
      <x:c r="A52" s="36" t="n">
        <x:v>1</x:v>
      </x:c>
      <x:c r="B52" s="36" t="str">
        <x:v>Spikefield Hazard</x:v>
      </x:c>
      <x:c r="C52" s="36" t="str">
        <x:v>1 Spikefield Hazard (ZNR) 166</x:v>
      </x:c>
      <x:c r="D52" s="36" t="str">
        <x:v>Removal</x:v>
      </x:c>
      <x:c r="E52" s="36" t="str">
        <x:v>Sim — face-terreno</x:v>
      </x:c>
      <x:c r="F52" s="36" t="str">
        <x:v>PROPOSED V2</x:v>
      </x:c>
      <x:c r="G52" s="36" t="str">
        <x:v>Resposta a ameaças; verificar a cobertura e se o efeito é simétrico.</x:v>
      </x:c>
    </x:row>
    <x:row r="53" ht="42" customHeight="1">
      <x:c r="A53" s="36" t="n">
        <x:v>1</x:v>
      </x:c>
      <x:c r="B53" s="36" t="str">
        <x:v>Spinerock Knoll</x:v>
      </x:c>
      <x:c r="C53" s="36" t="str">
        <x:v>1 Spinerock Knoll (CLB) 916</x:v>
      </x:c>
      <x:c r="D53" s="36" t="str">
        <x:v>Ramp</x:v>
      </x:c>
      <x:c r="E53" s="36" t="str">
        <x:v>Sim — terreno</x:v>
      </x:c>
      <x:c r="F53" s="36" t="str">
        <x:v>PROPOSED V2</x:v>
      </x:c>
      <x:c r="G53" s="36" t="str">
        <x:v>Aceleração de mana ou redução de custo.</x:v>
      </x:c>
    </x:row>
    <x:row r="54" ht="42" customHeight="1">
      <x:c r="A54" s="36" t="n">
        <x:v>1</x:v>
      </x:c>
      <x:c r="B54" s="36" t="str">
        <x:v>Spiteful Banditry</x:v>
      </x:c>
      <x:c r="C54" s="36" t="str">
        <x:v>1 Spiteful Banditry (LTR) 149</x:v>
      </x:c>
      <x:c r="D54" s="36" t="str">
        <x:v>Removal</x:v>
      </x:c>
      <x:c r="E54" s="36" t="str">
        <x:v>Não</x:v>
      </x:c>
      <x:c r="F54" s="36" t="str">
        <x:v>PROPOSED V2</x:v>
      </x:c>
      <x:c r="G54" s="36" t="str">
        <x:v>Resposta a ameaças; verificar a cobertura e se o efeito é simétrico.</x:v>
      </x:c>
    </x:row>
    <x:row r="55" ht="42" customHeight="1">
      <x:c r="A55" s="36" t="n">
        <x:v>1</x:v>
      </x:c>
      <x:c r="B55" s="36" t="str">
        <x:v>Sundering Eruption</x:v>
      </x:c>
      <x:c r="C55" s="36" t="str">
        <x:v>1 Sundering Eruption (MH3) 248</x:v>
      </x:c>
      <x:c r="D55" s="36" t="str">
        <x:v>Removal</x:v>
      </x:c>
      <x:c r="E55" s="36" t="str">
        <x:v>Sim — face-terreno</x:v>
      </x:c>
      <x:c r="F55" s="36" t="str">
        <x:v>PROPOSED V2</x:v>
      </x:c>
      <x:c r="G55" s="36" t="str">
        <x:v>Resposta a ameaças; verificar a cobertura e se o efeito é simétrico.</x:v>
      </x:c>
    </x:row>
    <x:row r="56" ht="42" customHeight="1">
      <x:c r="A56" s="36" t="n">
        <x:v>1</x:v>
      </x:c>
      <x:c r="B56" s="36" t="str">
        <x:v>Terrain Generator</x:v>
      </x:c>
      <x:c r="C56" s="36" t="str">
        <x:v>1 Terrain Generator (CLB) 926</x:v>
      </x:c>
      <x:c r="D56" s="36" t="str">
        <x:v>Ramp</x:v>
      </x:c>
      <x:c r="E56" s="36" t="str">
        <x:v>Sim — terreno</x:v>
      </x:c>
      <x:c r="F56" s="36" t="str">
        <x:v>PROPOSED V2</x:v>
      </x:c>
      <x:c r="G56" s="36" t="str">
        <x:v>Aceleração de mana ou redução de custo.</x:v>
      </x:c>
    </x:row>
    <x:row r="57" ht="42" customHeight="1">
      <x:c r="A57" s="36" t="n">
        <x:v>1</x:v>
      </x:c>
      <x:c r="B57" s="36" t="str">
        <x:v>Territorial Hellkite</x:v>
      </x:c>
      <x:c r="C57" s="36" t="str">
        <x:v>1 Territorial Hellkite (C17) 29</x:v>
      </x:c>
      <x:c r="D57" s="36" t="str">
        <x:v>Sinergia 2</x:v>
      </x:c>
      <x:c r="E57" s="36" t="str">
        <x:v>Não</x:v>
      </x:c>
      <x:c r="F57" s="36" t="str">
        <x:v>PROPOSED V2</x:v>
      </x:c>
      <x:c r="G57" s="36" t="str">
        <x:v>Amplifica dano, pressão ou valor gerado por Dragões.</x:v>
      </x:c>
    </x:row>
    <x:row r="58" ht="42" customHeight="1">
      <x:c r="A58" s="36" t="n">
        <x:v>1</x:v>
      </x:c>
      <x:c r="B58" s="36" t="str">
        <x:v>The Legend of Roku</x:v>
      </x:c>
      <x:c r="C58" s="36" t="str">
        <x:v>1 The Legend of Roku (TLA) 145</x:v>
      </x:c>
      <x:c r="D58" s="36" t="str">
        <x:v>Sinergia 1</x:v>
      </x:c>
      <x:c r="E58" s="36" t="str">
        <x:v>Não</x:v>
      </x:c>
      <x:c r="F58" s="36" t="str">
        <x:v>PROPOSED V2</x:v>
      </x:c>
      <x:c r="G58" s="36" t="str">
        <x:v>Avança o motor de Dragões, entradas no campo ou geração de fichas.</x:v>
      </x:c>
    </x:row>
    <x:row r="59" ht="42" customHeight="1">
      <x:c r="A59" s="36" t="n">
        <x:v>1</x:v>
      </x:c>
      <x:c r="B59" s="36" t="str">
        <x:v>The Reaver Cleaver</x:v>
      </x:c>
      <x:c r="C59" s="36" t="str">
        <x:v>1 The Reaver Cleaver (DMC) 8</x:v>
      </x:c>
      <x:c r="D59" s="36" t="str">
        <x:v>Tesouro</x:v>
      </x:c>
      <x:c r="E59" s="36" t="str">
        <x:v>Não</x:v>
      </x:c>
      <x:c r="F59" s="36" t="str">
        <x:v>PROPOSED V2</x:v>
      </x:c>
      <x:c r="G59" s="36" t="str">
        <x:v>Produz Tesouros ou converte combate/Dragões em mana.</x:v>
      </x:c>
    </x:row>
    <x:row r="60" ht="42" customHeight="1">
      <x:c r="A60" s="36" t="n">
        <x:v>1</x:v>
      </x:c>
      <x:c r="B60" s="36" t="str">
        <x:v>Torbran, Thane of Red Fell</x:v>
      </x:c>
      <x:c r="C60" s="36" t="str">
        <x:v>1 Torbran, Thane of Red Fell (PELD) 147p *F*</x:v>
      </x:c>
      <x:c r="D60" s="36" t="str">
        <x:v>Sinergia 2</x:v>
      </x:c>
      <x:c r="E60" s="36" t="str">
        <x:v>Não</x:v>
      </x:c>
      <x:c r="F60" s="36" t="str">
        <x:v>PROPOSED V2</x:v>
      </x:c>
      <x:c r="G60" s="36" t="str">
        <x:v>Amplifica dano, pressão ou valor gerado por Dragões.</x:v>
      </x:c>
    </x:row>
    <x:row r="61" ht="42" customHeight="1">
      <x:c r="A61" s="36" t="n">
        <x:v>1</x:v>
      </x:c>
      <x:c r="B61" s="36" t="str">
        <x:v>Untimely Malfunction</x:v>
      </x:c>
      <x:c r="C61" s="36" t="str">
        <x:v>1 Untimely Malfunction (DSK) 161</x:v>
      </x:c>
      <x:c r="D61" s="36" t="str">
        <x:v>Removal</x:v>
      </x:c>
      <x:c r="E61" s="36" t="str">
        <x:v>Não</x:v>
      </x:c>
      <x:c r="F61" s="36" t="str">
        <x:v>PROPOSED V2</x:v>
      </x:c>
      <x:c r="G61" s="36" t="str">
        <x:v>Resposta a ameaças; verificar a cobertura e se o efeito é simétrico.</x:v>
      </x:c>
    </x:row>
    <x:row r="62" ht="42" customHeight="1">
      <x:c r="A62" s="36" t="n">
        <x:v>1</x:v>
      </x:c>
      <x:c r="B62" s="36" t="str">
        <x:v>Utvara Hellkite</x:v>
      </x:c>
      <x:c r="C62" s="36" t="str">
        <x:v>1 Utvara Hellkite (RTR) 110</x:v>
      </x:c>
      <x:c r="D62" s="36" t="str">
        <x:v>Sinergia 1</x:v>
      </x:c>
      <x:c r="E62" s="36" t="str">
        <x:v>Não</x:v>
      </x:c>
      <x:c r="F62" s="36" t="str">
        <x:v>PROPOSED V2</x:v>
      </x:c>
      <x:c r="G62" s="36" t="str">
        <x:v>Avança o motor de Dragões, entradas no campo ou geração de fichas.</x:v>
      </x:c>
    </x:row>
    <x:row r="63" ht="42" customHeight="1">
      <x:c r="A63" s="36" t="n">
        <x:v>1</x:v>
      </x:c>
      <x:c r="B63" s="36" t="str">
        <x:v>Vandalblast</x:v>
      </x:c>
      <x:c r="C63" s="36" t="str">
        <x:v>1 Vandalblast (CMM) 646</x:v>
      </x:c>
      <x:c r="D63" s="36" t="str">
        <x:v>Removal</x:v>
      </x:c>
      <x:c r="E63" s="36" t="str">
        <x:v>Não</x:v>
      </x:c>
      <x:c r="F63" s="36" t="str">
        <x:v>PROPOSED V2</x:v>
      </x:c>
      <x:c r="G63" s="36" t="str">
        <x:v>Sobrecarga limpa artefatos dos oponentes sem atingir os seus.</x:v>
      </x:c>
    </x:row>
    <x:row r="64" ht="42" customHeight="1">
      <x:c r="A64" s="36" t="n">
        <x:v>1</x:v>
      </x:c>
      <x:c r="B64" s="36" t="str">
        <x:v>Vengeful Ancestor</x:v>
      </x:c>
      <x:c r="C64" s="36" t="str">
        <x:v>1 Vengeful Ancestor (CLB) 812</x:v>
      </x:c>
      <x:c r="D64" s="36" t="str">
        <x:v>Sinergia 2</x:v>
      </x:c>
      <x:c r="E64" s="36" t="str">
        <x:v>Não</x:v>
      </x:c>
      <x:c r="F64" s="36" t="str">
        <x:v>PROPOSED V2</x:v>
      </x:c>
      <x:c r="G64" s="36" t="str">
        <x:v>Amplifica dano, pressão ou valor gerado por Dragões.</x:v>
      </x:c>
    </x:row>
    <x:row r="65" ht="42" customHeight="1">
      <x:c r="A65" s="36" t="n">
        <x:v>1</x:v>
      </x:c>
      <x:c r="B65" s="36" t="str">
        <x:v>Wild Wasteland</x:v>
      </x:c>
      <x:c r="C65" s="36" t="str">
        <x:v>1 Wild Wasteland (PIP) 599 *F*</x:v>
      </x:c>
      <x:c r="D65" s="36" t="str">
        <x:v>Draw</x:v>
      </x:c>
      <x:c r="E65" s="36" t="str">
        <x:v>Não</x:v>
      </x:c>
      <x:c r="F65" s="36" t="str">
        <x:v>PROPOSED V2</x:v>
      </x:c>
      <x:c r="G65" s="36" t="str">
        <x:v>Motor de compra impulsiva; pula a compra natural e exila duas cartas no início da manutenção.</x:v>
      </x:c>
    </x:row>
    <x:row r="66" ht="42" customHeight="1">
      <x:c r="A66" s="36" t="n">
        <x:v>1</x:v>
      </x:c>
      <x:c r="B66" s="36" t="str">
        <x:v>The One Ring</x:v>
      </x:c>
      <x:c r="C66" s="36" t="str">
        <x:v>Sugestão nova — impressão não definida</x:v>
      </x:c>
      <x:c r="D66" s="36" t="str">
        <x:v>Draw</x:v>
      </x:c>
      <x:c r="E66" s="36" t="str">
        <x:v>Não</x:v>
      </x:c>
      <x:c r="F66" s="36" t="str">
        <x:v>PROPOSED V2</x:v>
      </x:c>
      <x:c r="G66" s="36" t="str">
        <x:v>Compra escalável e proteção temporária; o custo em vida/percepção de ameaça é um trade-off.</x:v>
      </x:c>
    </x:row>
    <x:row r="67" ht="42" customHeight="1">
      <x:c r="A67" s="36" t="n">
        <x:v>1</x:v>
      </x:c>
      <x:c r="B67" s="36" t="str">
        <x:v>Jeska's Will</x:v>
      </x:c>
      <x:c r="C67" s="36" t="str">
        <x:v>Sugestão nova — impressão não definida</x:v>
      </x:c>
      <x:c r="D67" s="36" t="str">
        <x:v>Ramp</x:v>
      </x:c>
      <x:c r="E67" s="36" t="str">
        <x:v>Não</x:v>
      </x:c>
      <x:c r="F67" s="36" t="str">
        <x:v>PROPOSED V2</x:v>
      </x:c>
      <x:c r="G67" s="36" t="str">
        <x:v>Mana explosiva e acesso impulsivo a cartas; com comandante em campo, pode usar os dois modos.</x:v>
      </x:c>
    </x:row>
    <x:row r="68" ht="42" customHeight="1">
      <x:c r="A68" s="36" t="n">
        <x:v>1</x:v>
      </x:c>
      <x:c r="B68" s="36" t="str">
        <x:v>Wrathful Red Dragon</x:v>
      </x:c>
      <x:c r="C68" s="36" t="str">
        <x:v>Sugestão nova — impressão não definida</x:v>
      </x:c>
      <x:c r="D68" s="36" t="str">
        <x:v>Sinergia 3</x:v>
      </x:c>
      <x:c r="E68" s="36" t="str">
        <x:v>Não</x:v>
      </x:c>
      <x:c r="F68" s="36" t="str">
        <x:v>PROPOSED V2</x:v>
      </x:c>
      <x:c r="G68" s="36" t="str">
        <x:v>Converte dano recebido pelos seus Dragões em dano direcionado; combina com Chain Reaction.</x:v>
      </x:c>
    </x:row>
    <x:row r="69" ht="42" customHeight="1">
      <x:c r="A69" s="36" t="n">
        <x:v>1</x:v>
      </x:c>
      <x:c r="B69" s="36" t="str">
        <x:v>Ruby Medallion</x:v>
      </x:c>
      <x:c r="C69" s="36" t="str">
        <x:v>Sugestão nova — impressão não definida</x:v>
      </x:c>
      <x:c r="D69" s="36" t="str">
        <x:v>Ramp</x:v>
      </x:c>
      <x:c r="E69" s="36" t="str">
        <x:v>Não</x:v>
      </x:c>
      <x:c r="F69" s="36" t="str">
        <x:v>PROPOSED V2</x:v>
      </x:c>
      <x:c r="G69" s="36" t="str">
        <x:v>Reduz o componente genérico do custo de mágicas vermelhas.</x:v>
      </x:c>
    </x:row>
    <x:row r="70" ht="42" customHeight="1">
      <x:c r="A70" s="36" t="n">
        <x:v>1</x:v>
      </x:c>
      <x:c r="B70" s="36" t="str">
        <x:v>Earthquake</x:v>
      </x:c>
      <x:c r="C70" s="36" t="str">
        <x:v>Sugestão nova — impressão não definida</x:v>
      </x:c>
      <x:c r="D70" s="36" t="str">
        <x:v>Removal</x:v>
      </x:c>
      <x:c r="E70" s="36" t="str">
        <x:v>Não</x:v>
      </x:c>
      <x:c r="F70" s="36" t="str">
        <x:v>PROPOSED V2</x:v>
      </x:c>
      <x:c r="G70" s="36" t="str">
        <x:v>Resposta a ameaças; verificar a cobertura e se o efeito é simétrico.</x:v>
      </x:c>
    </x:row>
    <x:row r="71" ht="42" customHeight="1">
      <x:c r="A71" s="36" t="n">
        <x:v>1</x:v>
      </x:c>
      <x:c r="B71" s="36" t="str">
        <x:v>Scourge of Valkas</x:v>
      </x:c>
      <x:c r="C71" s="36" t="str">
        <x:v>Sugestão nova — impressão não definida</x:v>
      </x:c>
      <x:c r="D71" s="36" t="str">
        <x:v>Sinergia 1</x:v>
      </x:c>
      <x:c r="E71" s="36" t="str">
        <x:v>Não</x:v>
      </x:c>
      <x:c r="F71" s="36" t="str">
        <x:v>PROPOSED V2</x:v>
      </x:c>
      <x:c r="G71" s="36" t="str">
        <x:v>Avança o motor de Dragões, entradas no campo ou geração de fichas.</x:v>
      </x:c>
    </x:row>
    <x:row r="72" ht="42" customHeight="1">
      <x:c r="A72" s="36" t="n">
        <x:v>1</x:v>
      </x:c>
      <x:c r="B72" s="36" t="str">
        <x:v>Dragonlord's Servant</x:v>
      </x:c>
      <x:c r="C72" s="36" t="str">
        <x:v>Sugestão nova — impressão não definida</x:v>
      </x:c>
      <x:c r="D72" s="36" t="str">
        <x:v>Ramp</x:v>
      </x:c>
      <x:c r="E72" s="36" t="str">
        <x:v>Não</x:v>
      </x:c>
      <x:c r="F72" s="36" t="str">
        <x:v>PROPOSED V2</x:v>
      </x:c>
      <x:c r="G72" s="36" t="str">
        <x:v>Reduz em {1} o custo de mágicas de Dragão; não é Dragão e não aciona Lathliss.</x:v>
      </x:c>
    </x:row>
    <x:row r="73" ht="42" customHeight="1">
      <x:c r="A73" s="36" t="n">
        <x:v>1</x:v>
      </x:c>
      <x:c r="B73" s="36" t="str">
        <x:v>Herald's Horn</x:v>
      </x:c>
      <x:c r="C73" s="36" t="str">
        <x:v>Sugestão nova — impressão não definida</x:v>
      </x:c>
      <x:c r="D73" s="36" t="str">
        <x:v>Ramp</x:v>
      </x:c>
      <x:c r="E73" s="36" t="str">
        <x:v>Não</x:v>
      </x:c>
      <x:c r="F73" s="36" t="str">
        <x:v>PROPOSED V2</x:v>
      </x:c>
      <x:c r="G73" s="36" t="str">
        <x:v>Reduz custos tribais e seleciona cartas de criatura no topo durante a manutenção.</x:v>
      </x:c>
    </x:row>
    <x:row r="74" ht="42" customHeight="1">
      <x:c r="A74" s="36" t="n">
        <x:v>1</x:v>
      </x:c>
      <x:c r="B74" s="36" t="str">
        <x:v>Terror of the Peaks</x:v>
      </x:c>
      <x:c r="C74" s="36" t="str">
        <x:v>Sugestão nova — impressão não definida</x:v>
      </x:c>
      <x:c r="D74" s="36" t="str">
        <x:v>Sinergia 1</x:v>
      </x:c>
      <x:c r="E74" s="36" t="str">
        <x:v>Não</x:v>
      </x:c>
      <x:c r="F74" s="36" t="str">
        <x:v>PROPOSED V2</x:v>
      </x:c>
      <x:c r="G74" s="36" t="str">
        <x:v>Avança o motor de Dragões, entradas no campo ou geração de fichas.</x:v>
      </x:c>
    </x:row>
    <x:row r="75" ht="42" customHeight="1">
      <x:c r="A75" s="36" t="n">
        <x:v>1</x:v>
      </x:c>
      <x:c r="B75" s="36" t="str">
        <x:v>Chandra's Ignition</x:v>
      </x:c>
      <x:c r="C75" s="36" t="str">
        <x:v>Sugestão nova — impressão não definida</x:v>
      </x:c>
      <x:c r="D75" s="36" t="str">
        <x:v>Removal</x:v>
      </x:c>
      <x:c r="E75" s="36" t="str">
        <x:v>Não</x:v>
      </x:c>
      <x:c r="F75" s="36" t="str">
        <x:v>PROPOSED V2</x:v>
      </x:c>
      <x:c r="G75" s="36" t="str">
        <x:v>Usa o poder de um Dragão como remoção ampla e dano aos oponentes; pode atingir suas outras criaturas.</x:v>
      </x:c>
    </x:row>
    <x:row r="76" ht="42" customHeight="1">
      <x:c r="A76" s="36" t="n">
        <x:v>1</x:v>
      </x:c>
      <x:c r="B76" s="36" t="str">
        <x:v>Ganax, Astral Hunter</x:v>
      </x:c>
      <x:c r="C76" s="36" t="str">
        <x:v>Sugestão nova — impressão não definida</x:v>
      </x:c>
      <x:c r="D76" s="36" t="str">
        <x:v>Tesouro</x:v>
      </x:c>
      <x:c r="E76" s="36" t="str">
        <x:v>Não</x:v>
      </x:c>
      <x:c r="F76" s="36" t="str">
        <x:v>PROPOSED V2</x:v>
      </x:c>
      <x:c r="G76" s="36" t="str">
        <x:v>Cada Dragão que entra pode gerar Tesouro, inclusive a ficha criada por Lathliss.</x:v>
      </x:c>
    </x:row>
    <x:row r="77" ht="42" customHeight="1">
      <x:c r="A77" s="36" t="n">
        <x:v>1</x:v>
      </x:c>
      <x:c r="B77" s="36" t="str">
        <x:v>Lightning Greaves</x:v>
      </x:c>
      <x:c r="C77" s="36" t="str">
        <x:v>Sugestão nova — impressão não definida</x:v>
      </x:c>
      <x:c r="D77" s="36" t="str">
        <x:v>Sinergia 3</x:v>
      </x:c>
      <x:c r="E77" s="36" t="str">
        <x:v>Não</x:v>
      </x:c>
      <x:c r="F77" s="36" t="str">
        <x:v>PROPOSED V2</x:v>
      </x:c>
      <x:c r="G77" s="36" t="str">
        <x:v>Apoia ímpeto, proteção, plano tribal ou combate.</x:v>
      </x:c>
    </x:row>
    <x:row r="78" ht="42" customHeight="1">
      <x:c r="A78" s="36" t="n">
        <x:v>1</x:v>
      </x:c>
      <x:c r="B78" s="36" t="str">
        <x:v>Valakut Awakening // Valakut Stoneforge</x:v>
      </x:c>
      <x:c r="C78" s="36" t="str">
        <x:v>Sugestão nova — impressão não definida</x:v>
      </x:c>
      <x:c r="D78" s="36" t="str">
        <x:v>Draw</x:v>
      </x:c>
      <x:c r="E78" s="36" t="str">
        <x:v>Sim — face-terreno</x:v>
      </x:c>
      <x:c r="F78" s="36" t="str">
        <x:v>PROPOSED V2</x:v>
      </x:c>
      <x:c r="G78" s="36" t="str">
        <x:v>Compra, seleção ou recuperação de cartas.</x:v>
      </x:c>
    </x:row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55" hidden="0" customWidth="1"/>
    <x:col min="4" max="4" width="57" hidden="0" customWidth="1"/>
    <x:col min="5" max="5" width="55" hidden="0" customWidth="1"/>
    <x:col min="6" max="6" width="12" hidden="0" customWidth="1"/>
    <x:col min="7" max="7" width="14" hidden="0" customWidth="1"/>
  </x:cols>
  <x:sheetData>
    <x:row r="1">
      <x:c r="A1" s="46" t="str">
        <x:v>SAI (OUT)</x:v>
      </x:c>
      <x:c r="B1" s="46" t="str">
        <x:v>ENTRA (IN)</x:v>
      </x:c>
      <x:c r="C1" s="46" t="str">
        <x:v>Problema / motivo do corte</x:v>
      </x:c>
      <x:c r="D1" s="46" t="str">
        <x:v>Ganho esperado</x:v>
      </x:c>
      <x:c r="E1" s="46" t="str">
        <x:v>Custo / risco da troca</x:v>
      </x:c>
      <x:c r="F1" s="46" t="str">
        <x:v>Prioridade</x:v>
      </x:c>
      <x:c r="G1" s="46" t="str">
        <x:v>Confiança</x:v>
      </x:c>
      <x:c r="H1" s="24"/>
      <x:c r="I1" s="24"/>
      <x:c r="J1" s="24"/>
      <x:c r="K1" s="24"/>
      <x:c r="L1" s="24"/>
      <x:c r="M1" s="24"/>
    </x:row>
    <x:row r="2" ht="52" customHeight="1">
      <x:c r="A2" s="36" t="str">
        <x:v>Browbeat</x:v>
      </x:c>
      <x:c r="B2" s="36" t="str">
        <x:v>The One Ring</x:v>
      </x:c>
      <x:c r="C2" s="36" t="str">
        <x:v>A escolha é do oponente, então o efeito de compra é pouco confiável.</x:v>
      </x:c>
      <x:c r="D2" s="36" t="str">
        <x:v>Motor de compra recorrente e proteção temporária; aumenta a consistência.</x:v>
      </x:c>
      <x:c r="E2" s="36" t="str">
        <x:v>The One Ring fornece compra recorrente e proteção temporária, mas aumenta o custo em vida e a percepção de ameaça.</x:v>
      </x:c>
      <x:c r="F2" s="36" t="str">
        <x:v>P1</x:v>
      </x:c>
      <x:c r="G2" s="36" t="str">
        <x:v>Alta</x:v>
      </x:c>
    </x:row>
    <x:row r="3" ht="52" customHeight="1">
      <x:c r="A3" s="36" t="str">
        <x:v>Collective Defiance</x:v>
      </x:c>
      <x:c r="B3" s="36" t="str">
        <x:v>Jeska's Will</x:v>
      </x:c>
      <x:c r="C3" s="36" t="str">
        <x:v>Jeska's Will oferece mais potencial de mana e acesso a cartas num turno decisivo.</x:v>
      </x:c>
      <x:c r="D3" s="36" t="str">
        <x:v>Gera mana explosiva e acesso impulsivo a cartas; especialmente forte com o comandante em campo.</x:v>
      </x:c>
      <x:c r="E3" s="36" t="str">
        <x:v>Defiance é modal e pode continuar sendo útil como resposta ou ajuste de mão.</x:v>
      </x:c>
      <x:c r="F3" s="36" t="str">
        <x:v>P1</x:v>
      </x:c>
      <x:c r="G3" s="36" t="str">
        <x:v>Alta</x:v>
      </x:c>
    </x:row>
    <x:row r="4" ht="52" customHeight="1">
      <x:c r="A4" s="36" t="str">
        <x:v>Dictate of the Twin Gods</x:v>
      </x:c>
      <x:c r="B4" s="36" t="str">
        <x:v>Wrathful Red Dragon</x:v>
      </x:c>
      <x:c r="C4" s="36" t="str">
        <x:v>O multiplicador simétrico pode beneficiar os adversários; Wrathful apoia dano tribal e interage com Chain Reaction.</x:v>
      </x:c>
      <x:c r="D4" s="36" t="str">
        <x:v>Converte dano recebido pelos seus Dragões em dano direcionado; combina com Chain Reaction.</x:v>
      </x:c>
      <x:c r="E4" s="36" t="str">
        <x:v>Perde-se o multiplicador global; Wrathful precisa que seus Dragões recebam dano.</x:v>
      </x:c>
      <x:c r="F4" s="36" t="str">
        <x:v>P1</x:v>
      </x:c>
      <x:c r="G4" s="36" t="str">
        <x:v>Alta</x:v>
      </x:c>
    </x:row>
    <x:row r="5" ht="52" customHeight="1">
      <x:c r="A5" s="36" t="str">
        <x:v>Powerbalance</x:v>
      </x:c>
      <x:c r="B5" s="36" t="str">
        <x:v>Ruby Medallion</x:v>
      </x:c>
      <x:c r="C5" s="36" t="str">
        <x:v>Powerbalance depende de combinar o valor de mana de mágicas adversárias com o topo; Medallion reduz custos de forma previsível.</x:v>
      </x:c>
      <x:c r="D5" s="36" t="str">
        <x:v>Reduz a parte genérica do custo de mágicas vermelhas ao longo do jogo.</x:v>
      </x:c>
      <x:c r="E5" s="36" t="str">
        <x:v>Powerbalance às vezes conjura uma mágica de graça, mas o resultado é pouco controlável.</x:v>
      </x:c>
      <x:c r="F5" s="36" t="str">
        <x:v>P1</x:v>
      </x:c>
      <x:c r="G5" s="36" t="str">
        <x:v>Alta</x:v>
      </x:c>
    </x:row>
    <x:row r="6" ht="52" customHeight="1">
      <x:c r="A6" s="36" t="str">
        <x:v>Pyroclasm</x:v>
      </x:c>
      <x:c r="B6" s="36" t="str">
        <x:v>Earthquake</x:v>
      </x:c>
      <x:c r="C6" s="36" t="str">
        <x:v>Earthquake escala e normalmente preserva Dragões voadores ao limpar o chão.</x:v>
      </x:c>
      <x:c r="D6" s="36" t="str">
        <x:v>Limpeza escalável de criaturas sem voar; normalmente preserva os Dragões voadores.</x:v>
      </x:c>
      <x:c r="E6" s="36" t="str">
        <x:v>Earthquake causa dano a jogadores e a criaturas suas sem voar.</x:v>
      </x:c>
      <x:c r="F6" s="36" t="str">
        <x:v>P2</x:v>
      </x:c>
      <x:c r="G6" s="36" t="str">
        <x:v>Alta</x:v>
      </x:c>
    </x:row>
    <x:row r="7" ht="52" customHeight="1">
      <x:c r="A7" s="36" t="str">
        <x:v>Dragon Mage</x:v>
      </x:c>
      <x:c r="B7" s="36" t="str">
        <x:v>Scourge of Valkas</x:v>
      </x:c>
      <x:c r="C7" s="36" t="str">
        <x:v>Scourge converte entradas de Dragões em dano sem recarregar a mão de todos os oponentes.</x:v>
      </x:c>
      <x:c r="D7" s="36" t="str">
        <x:v>Transforma entradas de Dragões em dano; escala com fichas de Lathliss e Roaming Throne.</x:v>
      </x:c>
      <x:c r="E7" s="36" t="str">
        <x:v>Sai uma fonte de compra tipo wheel; será importante testar os novos motores de compra.</x:v>
      </x:c>
      <x:c r="F7" s="36" t="str">
        <x:v>P1</x:v>
      </x:c>
      <x:c r="G7" s="36" t="str">
        <x:v>Alta</x:v>
      </x:c>
    </x:row>
    <x:row r="8" ht="52" customHeight="1">
      <x:c r="A8" s="36" t="str">
        <x:v>Nyx Lotus</x:v>
      </x:c>
      <x:c r="B8" s="36" t="str">
        <x:v>Dragonlord's Servant</x:v>
      </x:c>
      <x:c r="C8" s="36" t="str">
        <x:v>Servant atua desde o turno 2 e reduz o custo dos Dragões antes de atingir devoção alta.</x:v>
      </x:c>
      <x:c r="D8" s="36" t="str">
        <x:v>Redução de custo por duas manas que melhora o começo do jogo.</x:v>
      </x:c>
      <x:c r="E8" s="36" t="str">
        <x:v>Nyx Lotus pode gerar muita mana mais tarde se a devoção vermelha for alta.</x:v>
      </x:c>
      <x:c r="F8" s="36" t="str">
        <x:v>P1</x:v>
      </x:c>
      <x:c r="G8" s="36" t="str">
        <x:v>Alta</x:v>
      </x:c>
    </x:row>
    <x:row r="9" ht="52" customHeight="1">
      <x:c r="A9" s="36" t="str">
        <x:v>War's Toll</x:v>
      </x:c>
      <x:c r="B9" s="36" t="str">
        <x:v>Herald's Horn</x:v>
      </x:c>
      <x:c r="C9" s="36" t="str">
        <x:v>Horn apoia o plano tribal com redução de custos e seleção no upkeep.</x:v>
      </x:c>
      <x:c r="D9" s="36" t="str">
        <x:v>Reduz custos tribais e filtra criaturas no topo durante a manutenção.</x:v>
      </x:c>
      <x:c r="E9" s="36" t="str">
        <x:v>War's Toll é disruptiva/política e pode ser mantida se for parte da identidade desejada.</x:v>
      </x:c>
      <x:c r="F9" s="36" t="str">
        <x:v>P1</x:v>
      </x:c>
      <x:c r="G9" s="36" t="str">
        <x:v>Alta</x:v>
      </x:c>
    </x:row>
    <x:row r="10" ht="52" customHeight="1">
      <x:c r="A10" s="36" t="str">
        <x:v>Fury of the Horde</x:v>
      </x:c>
      <x:c r="B10" s="36" t="str">
        <x:v>Terror of the Peaks</x:v>
      </x:c>
      <x:c r="C10" s="36" t="str">
        <x:v>Terror transforma a jogada natural de Dragões e fichas em alcance imediato.</x:v>
      </x:c>
      <x:c r="D10" s="36" t="str">
        <x:v>Converte entradas de Dragões e fichas em dano, ajudando a fechar a partida.</x:v>
      </x:c>
      <x:c r="E10" s="36" t="str">
        <x:v>Perde-se um combate extra; Charger, Scourge of the Throne, Great Train Heist e Overpowering Attack permanecem.</x:v>
      </x:c>
      <x:c r="F10" s="36" t="str">
        <x:v>P1</x:v>
      </x:c>
      <x:c r="G10" s="36" t="str">
        <x:v>Alta</x:v>
      </x:c>
    </x:row>
    <x:row r="11" ht="52" customHeight="1">
      <x:c r="A11" s="36" t="str">
        <x:v>Reckless Endeavor</x:v>
      </x:c>
      <x:c r="B11" s="36" t="str">
        <x:v>Chandra's Ignition</x:v>
      </x:c>
      <x:c r="C11" s="36" t="str">
        <x:v>Ignition troca variância por uma remoção que escala com o poder de um Dragão.</x:v>
      </x:c>
      <x:c r="D11" s="36" t="str">
        <x:v>Usa o poder de um Dragão grande para limpar criaturas e causar dano aos oponentes.</x:v>
      </x:c>
      <x:c r="E11" s="36" t="str">
        <x:v>Endeavor pode gerar Tesouros e limpar a mesa em algumas resoluções; Ignition pode matar outras criaturas suas.</x:v>
      </x:c>
      <x:c r="F11" s="36" t="str">
        <x:v>P1</x:v>
      </x:c>
      <x:c r="G11" s="36" t="str">
        <x:v>Alta</x:v>
      </x:c>
    </x:row>
    <x:row r="12" ht="52" customHeight="1">
      <x:c r="A12" s="36" t="str">
        <x:v>Storm's Wrath</x:v>
      </x:c>
      <x:c r="B12" s="36" t="str">
        <x:v>Ganax, Astral Hunter</x:v>
      </x:c>
      <x:c r="C12" s="36" t="str">
        <x:v>Ganax adiciona um motor de Tesouro persistente; Chain Reaction, Mizzium Mortars, Earthquake e Ignition continuam como respostas.</x:v>
      </x:c>
      <x:c r="D12" s="36" t="str">
        <x:v>Cada Dragão que entra, inclusive ficha de Lathliss, cria Tesouro.</x:v>
      </x:c>
      <x:c r="E12" s="36" t="str">
        <x:v>Storm's Wrath limpa criaturas voadoras/planeswalkers em alguns cenários; a troca reduz uma resposta de dano amplo.</x:v>
      </x:c>
      <x:c r="F12" s="36" t="str">
        <x:v>P1</x:v>
      </x:c>
      <x:c r="G12" s="36" t="str">
        <x:v>Alta</x:v>
      </x:c>
    </x:row>
    <x:row r="13" ht="52" customHeight="1">
      <x:c r="A13" s="36" t="str">
        <x:v>Crawlspace</x:v>
      </x:c>
      <x:c r="B13" s="36" t="str">
        <x:v>Lightning Greaves</x:v>
      </x:c>
      <x:c r="C13" s="36" t="str">
        <x:v>Greaves protege comandante/Dragão-chave e dá ímpeto.</x:v>
      </x:c>
      <x:c r="D13" s="36" t="str">
        <x:v>Protege Lathliss ou um Dragão-chave e fornece ímpeto para aumentar a velocidade.</x:v>
      </x:c>
      <x:c r="E13" s="36" t="str">
        <x:v>Crawlspace limita ataques contra você e pode ser melhor em mesas muito agressivas.</x:v>
      </x:c>
      <x:c r="F13" s="36" t="str">
        <x:v>P1</x:v>
      </x:c>
      <x:c r="G13" s="36" t="str">
        <x:v>Alta</x:v>
      </x:c>
    </x:row>
    <x:row r="14" ht="52" customHeight="1">
      <x:c r="A14" s="36" t="str">
        <x:v>Temple of the False God</x:v>
      </x:c>
      <x:c r="B14" s="36" t="str">
        <x:v>Valakut Awakening // Valakut Stoneforge</x:v>
      </x:c>
      <x:c r="C14" s="36" t="str">
        <x:v>Troca uma fonte incolor condicional por MDFC que filtra a mão e pode ser terreno.</x:v>
      </x:c>
      <x:c r="D14" s="36" t="str">
        <x:v>Filtra a mão e pode ser terreno quando necessário.</x:v>
      </x:c>
      <x:c r="E14" s="36" t="str">
        <x:v>A proposta passa de 32 terrenos físicos + 3 MDFCs para 31 terrenos físicos + 4 MDFCs; a opção de fonte de mana se mantém em 35.</x:v>
      </x:c>
      <x:c r="F14" s="36" t="str">
        <x:v>P2</x:v>
      </x:c>
      <x:c r="G14" s="36" t="str">
        <x:v>Alta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58" hidden="0" customWidth="1"/>
    <x:col min="5" max="5" width="10" hidden="0" customWidth="1"/>
    <x:col min="6" max="6" width="66" hidden="0" customWidth="1"/>
  </x:cols>
  <x:sheetData>
    <x:row r="1">
      <x:c r="A1" s="46" t="str">
        <x:v>Carta</x:v>
      </x:c>
      <x:c r="B1" s="46" t="str">
        <x:v>Estado</x:v>
      </x:c>
      <x:c r="C1" s="46" t="str">
        <x:v>Grupo principal</x:v>
      </x:c>
      <x:c r="D1" s="46" t="str">
        <x:v>Papel secundário / interação</x:v>
      </x:c>
      <x:c r="E1" s="46" t="str">
        <x:v>Tier</x:v>
      </x:c>
      <x:c r="F1" s="46" t="str">
        <x:v>Observação / avaliação</x:v>
      </x:c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Lathliss, Dragon Queen</x:v>
      </x:c>
      <x:c r="B2" s="36" t="str">
        <x:v>CURRENT</x:v>
      </x:c>
      <x:c r="C2" s="36" t="str">
        <x:v>Commander</x:v>
      </x:c>
      <x:c r="D2" s="36" t="str">
        <x:v>Comandante; cria uma ficha Dragão 5/5 voadora quando outro Dragão não ficha entra.</x:v>
      </x:c>
      <x:c r="E2" s="36" t="str">
        <x:v>S</x:v>
      </x:c>
      <x:c r="F2" s="36" t="str">
        <x:v>Comandante; cria uma ficha Dragão 5/5 voadora quando outro Dragão não ficha entra.</x:v>
      </x:c>
    </x:row>
    <x:row r="3" ht="48" customHeight="1">
      <x:c r="A3" s="36" t="str">
        <x:v>Abstergo Entertainment</x:v>
      </x:c>
      <x:c r="B3" s="36" t="str">
        <x:v>CURRENT</x:v>
      </x:c>
      <x:c r="C3" s="36" t="str">
        <x:v>Ramp</x:v>
      </x:c>
      <x:c r="D3" s="36" t="str">
        <x:v>Aceleração de mana ou redução de custo.</x:v>
      </x:c>
      <x:c r="E3" s="36" t="str">
        <x:v>B</x:v>
      </x:c>
      <x:c r="F3" s="36" t="str">
        <x:v>Aceleração de mana ou redução de custo.</x:v>
      </x:c>
    </x:row>
    <x:row r="4" ht="48" customHeight="1">
      <x:c r="A4" s="36" t="str">
        <x:v>Arcane Signet</x:v>
      </x:c>
      <x:c r="B4" s="36" t="str">
        <x:v>CURRENT</x:v>
      </x:c>
      <x:c r="C4" s="36" t="str">
        <x:v>Ramp</x:v>
      </x:c>
      <x:c r="D4" s="36" t="str">
        <x:v>Aceleração de mana ou redução de custo.</x:v>
      </x:c>
      <x:c r="E4" s="36" t="str">
        <x:v>B</x:v>
      </x:c>
      <x:c r="F4" s="36" t="str">
        <x:v>Aceleração de mana ou redução de custo.</x:v>
      </x:c>
    </x:row>
    <x:row r="5" ht="48" customHeight="1">
      <x:c r="A5" s="36" t="str">
        <x:v>Arena of Glory</x:v>
      </x:c>
      <x:c r="B5" s="36" t="str">
        <x:v>CURRENT</x:v>
      </x:c>
      <x:c r="C5" s="36" t="str">
        <x:v>Ramp</x:v>
      </x:c>
      <x:c r="D5" s="36" t="str">
        <x:v>Aceleração de mana ou redução de custo.</x:v>
      </x:c>
      <x:c r="E5" s="36" t="str">
        <x:v>B</x:v>
      </x:c>
      <x:c r="F5" s="36" t="str">
        <x:v>Aceleração de mana ou redução de custo.</x:v>
      </x:c>
    </x:row>
    <x:row r="6" ht="48" customHeight="1">
      <x:c r="A6" s="36" t="str">
        <x:v>Balefire Dragon</x:v>
      </x:c>
      <x:c r="B6" s="36" t="str">
        <x:v>CURRENT</x:v>
      </x:c>
      <x:c r="C6" s="36" t="str">
        <x:v>Sinergia 2</x:v>
      </x:c>
      <x:c r="D6" s="36" t="str">
        <x:v>Amplifica dano, pressão ou valor gerado por Dragões.</x:v>
      </x:c>
      <x:c r="E6" s="36" t="str">
        <x:v>A</x:v>
      </x:c>
      <x:c r="F6" s="36" t="str">
        <x:v>Amplifica dano, pressão ou valor gerado por Dragões.</x:v>
      </x:c>
    </x:row>
    <x:row r="7" ht="48" customHeight="1">
      <x:c r="A7" s="36" t="str">
        <x:v>Barbarian Ring</x:v>
      </x:c>
      <x:c r="B7" s="36" t="str">
        <x:v>CURRENT</x:v>
      </x:c>
      <x:c r="C7" s="36" t="str">
        <x:v>Ramp</x:v>
      </x:c>
      <x:c r="D7" s="36" t="str">
        <x:v>Aceleração de mana ou redução de custo.</x:v>
      </x:c>
      <x:c r="E7" s="36" t="str">
        <x:v>B</x:v>
      </x:c>
      <x:c r="F7" s="36" t="str">
        <x:v>Aceleração de mana ou redução de custo.</x:v>
      </x:c>
    </x:row>
    <x:row r="8" ht="48" customHeight="1">
      <x:c r="A8" s="36" t="str">
        <x:v>Belbe's Portal</x:v>
      </x:c>
      <x:c r="B8" s="36" t="str">
        <x:v>CURRENT</x:v>
      </x:c>
      <x:c r="C8" s="36" t="str">
        <x:v>Ramp</x:v>
      </x:c>
      <x:c r="D8" s="36" t="str">
        <x:v>Aceleração de mana ou redução de custo.</x:v>
      </x:c>
      <x:c r="E8" s="36" t="str">
        <x:v>B</x:v>
      </x:c>
      <x:c r="F8" s="36" t="str">
        <x:v>Aceleração de mana ou redução de custo.</x:v>
      </x:c>
    </x:row>
    <x:row r="9" ht="48" customHeight="1">
      <x:c r="A9" s="36" t="str">
        <x:v>Browbeat</x:v>
      </x:c>
      <x:c r="B9" s="36" t="str">
        <x:v>CURRENT</x:v>
      </x:c>
      <x:c r="C9" s="36" t="str">
        <x:v>Draw</x:v>
      </x:c>
      <x:c r="D9" s="36" t="str">
        <x:v>Compra, seleção ou recuperação de cartas.</x:v>
      </x:c>
      <x:c r="E9" s="36" t="str">
        <x:v>C</x:v>
      </x:c>
      <x:c r="F9" s="36" t="str">
        <x:v>A escolha é do oponente; como compra, é pouco confiável.</x:v>
      </x:c>
    </x:row>
    <x:row r="10" ht="48" customHeight="1">
      <x:c r="A10" s="36" t="str">
        <x:v>Carnelian Orb of Dragonkind</x:v>
      </x:c>
      <x:c r="B10" s="36" t="str">
        <x:v>CURRENT</x:v>
      </x:c>
      <x:c r="C10" s="36" t="str">
        <x:v>Ramp</x:v>
      </x:c>
      <x:c r="D10" s="36" t="str">
        <x:v>Aceleração de mana ou redução de custo.</x:v>
      </x:c>
      <x:c r="E10" s="36" t="str">
        <x:v>B</x:v>
      </x:c>
      <x:c r="F10" s="36" t="str">
        <x:v>Aceleração de mana ou redução de custo.</x:v>
      </x:c>
    </x:row>
    <x:row r="11" ht="48" customHeight="1">
      <x:c r="A11" s="36" t="str">
        <x:v>Chain Reaction</x:v>
      </x:c>
      <x:c r="B11" s="36" t="str">
        <x:v>CURRENT</x:v>
      </x:c>
      <x:c r="C11" s="36" t="str">
        <x:v>Removal</x:v>
      </x:c>
      <x:c r="D11" s="36" t="str">
        <x:v>Resposta a ameaças; verificar a cobertura e se o efeito é simétrico.</x:v>
      </x:c>
      <x:c r="E11" s="36" t="str">
        <x:v>B</x:v>
      </x:c>
      <x:c r="F11" s="36" t="str">
        <x:v>Pacote-chave com Wrathful Red Dragon; não cortar sem rever a sinergia.</x:v>
      </x:c>
    </x:row>
    <x:row r="12" ht="48" customHeight="1">
      <x:c r="A12" s="36" t="str">
        <x:v>Chaos Dragon</x:v>
      </x:c>
      <x:c r="B12" s="36" t="str">
        <x:v>CURRENT</x:v>
      </x:c>
      <x:c r="C12" s="36" t="str">
        <x:v>Sinergia 2</x:v>
      </x:c>
      <x:c r="D12" s="36" t="str">
        <x:v>Amplifica dano, pressão ou valor gerado por Dragões.</x:v>
      </x:c>
      <x:c r="E12" s="36" t="str">
        <x:v>B</x:v>
      </x:c>
      <x:c r="F12" s="36" t="str">
        <x:v>Amplifica dano, pressão ou valor gerado por Dragões.</x:v>
      </x:c>
    </x:row>
    <x:row r="13" ht="48" customHeight="1">
      <x:c r="A13" s="36" t="str">
        <x:v>Chaos Warp</x:v>
      </x:c>
      <x:c r="B13" s="36" t="str">
        <x:v>CURRENT</x:v>
      </x:c>
      <x:c r="C13" s="36" t="str">
        <x:v>Removal</x:v>
      </x:c>
      <x:c r="D13" s="36" t="str">
        <x:v>Resposta a ameaças; verificar a cobertura e se o efeito é simétrico.</x:v>
      </x:c>
      <x:c r="E13" s="36" t="str">
        <x:v>B</x:v>
      </x:c>
      <x:c r="F13" s="36" t="str">
        <x:v>Resposta a ameaças; verificar a cobertura e se o efeito é simétrico.</x:v>
      </x:c>
    </x:row>
    <x:row r="14" ht="48" customHeight="1">
      <x:c r="A14" s="36" t="str">
        <x:v>Collective Defiance</x:v>
      </x:c>
      <x:c r="B14" s="36" t="str">
        <x:v>CURRENT</x:v>
      </x:c>
      <x:c r="C14" s="36" t="str">
        <x:v>Removal</x:v>
      </x:c>
      <x:c r="D14" s="36" t="str">
        <x:v>Resposta a ameaças; verificar a cobertura e se o efeito é simétrico.</x:v>
      </x:c>
      <x:c r="E14" s="36" t="str">
        <x:v>B</x:v>
      </x:c>
      <x:c r="F14" s="36" t="str">
        <x:v>Mágica modal flexível, mas de quatro manas.</x:v>
      </x:c>
    </x:row>
    <x:row r="15" ht="48" customHeight="1">
      <x:c r="A15" s="36" t="str">
        <x:v>Crawlspace</x:v>
      </x:c>
      <x:c r="B15" s="36" t="str">
        <x:v>CURRENT</x:v>
      </x:c>
      <x:c r="C15" s="36" t="str">
        <x:v>Sinergia 3</x:v>
      </x:c>
      <x:c r="D15" s="36" t="str">
        <x:v>Apoia ímpeto, proteção, plano tribal ou combate.</x:v>
      </x:c>
      <x:c r="E15" s="36" t="str">
        <x:v>B</x:v>
      </x:c>
      <x:c r="F15" s="36" t="str">
        <x:v>Apoia ímpeto, proteção, plano tribal ou combate.</x:v>
      </x:c>
    </x:row>
    <x:row r="16" ht="48" customHeight="1">
      <x:c r="A16" s="36" t="str">
        <x:v>Curse of Opulence</x:v>
      </x:c>
      <x:c r="B16" s="36" t="str">
        <x:v>CURRENT</x:v>
      </x:c>
      <x:c r="C16" s="36" t="str">
        <x:v>Tesouro</x:v>
      </x:c>
      <x:c r="D16" s="36" t="str">
        <x:v>Produz Tesouros ou converte combate/Dragões em mana.</x:v>
      </x:c>
      <x:c r="E16" s="36" t="str">
        <x:v>B</x:v>
      </x:c>
      <x:c r="F16" s="36" t="str">
        <x:v>Produz Tesouros ou converte combate/Dragões em mana.</x:v>
      </x:c>
    </x:row>
    <x:row r="17" ht="48" customHeight="1">
      <x:c r="A17" s="36" t="str">
        <x:v>Cursed Mirror</x:v>
      </x:c>
      <x:c r="B17" s="36" t="str">
        <x:v>CURRENT</x:v>
      </x:c>
      <x:c r="C17" s="36" t="str">
        <x:v>Ramp</x:v>
      </x:c>
      <x:c r="D17" s="36" t="str">
        <x:v>Aceleração de mana ou redução de custo.</x:v>
      </x:c>
      <x:c r="E17" s="36" t="str">
        <x:v>B</x:v>
      </x:c>
      <x:c r="F17" s="36" t="str">
        <x:v>Aceleração de mana ou redução de custo.</x:v>
      </x:c>
    </x:row>
    <x:row r="18" ht="48" customHeight="1">
      <x:c r="A18" s="36" t="str">
        <x:v>Demand Answers</x:v>
      </x:c>
      <x:c r="B18" s="36" t="str">
        <x:v>CURRENT</x:v>
      </x:c>
      <x:c r="C18" s="36" t="str">
        <x:v>Draw</x:v>
      </x:c>
      <x:c r="D18" s="36" t="str">
        <x:v>Compra, seleção ou recuperação de cartas.</x:v>
      </x:c>
      <x:c r="E18" s="36" t="str">
        <x:v>B</x:v>
      </x:c>
      <x:c r="F18" s="36" t="str">
        <x:v>Compra, seleção ou recuperação de cartas.</x:v>
      </x:c>
    </x:row>
    <x:row r="19" ht="48" customHeight="1">
      <x:c r="A19" s="36" t="str">
        <x:v>Dictate of the Twin Gods</x:v>
      </x:c>
      <x:c r="B19" s="36" t="str">
        <x:v>CURRENT</x:v>
      </x:c>
      <x:c r="C19" s="36" t="str">
        <x:v>Sinergia 2</x:v>
      </x:c>
      <x:c r="D19" s="36" t="str">
        <x:v>Amplifica dano, pressão ou valor gerado por Dragões.</x:v>
      </x:c>
      <x:c r="E19" s="36" t="str">
        <x:v>C</x:v>
      </x:c>
      <x:c r="F19" s="36" t="str">
        <x:v>Multiplicador simétrico que pode beneficiar mais os adversários.</x:v>
      </x:c>
    </x:row>
    <x:row r="20" ht="48" customHeight="1">
      <x:c r="A20" s="36" t="str">
        <x:v>Dragon Mage</x:v>
      </x:c>
      <x:c r="B20" s="36" t="str">
        <x:v>CURRENT</x:v>
      </x:c>
      <x:c r="C20" s="36" t="str">
        <x:v>Draw</x:v>
      </x:c>
      <x:c r="D20" s="36" t="str">
        <x:v>Compra, seleção ou recuperação de cartas.</x:v>
      </x:c>
      <x:c r="E20" s="36" t="str">
        <x:v>B</x:v>
      </x:c>
      <x:c r="F20" s="36" t="str">
        <x:v>Reabastece todos os jogadores e custa seis manas, além de precisar conectar.</x:v>
      </x:c>
    </x:row>
    <x:row r="21" ht="48" customHeight="1">
      <x:c r="A21" s="36" t="str">
        <x:v>Dragon Tempest</x:v>
      </x:c>
      <x:c r="B21" s="36" t="str">
        <x:v>CURRENT</x:v>
      </x:c>
      <x:c r="C21" s="36" t="str">
        <x:v>Sinergia 1</x:v>
      </x:c>
      <x:c r="D21" s="36" t="str">
        <x:v>Concede ímpeto aos Dragões que entram e causa dano escalável por entradas.</x:v>
      </x:c>
      <x:c r="E21" s="36" t="str">
        <x:v>S</x:v>
      </x:c>
      <x:c r="F21" s="36" t="str">
        <x:v>Concede ímpeto aos Dragões que entram e causa dano escalável por entradas.</x:v>
      </x:c>
    </x:row>
    <x:row r="22" ht="48" customHeight="1">
      <x:c r="A22" s="36" t="str">
        <x:v>Dragon's Hoard</x:v>
      </x:c>
      <x:c r="B22" s="36" t="str">
        <x:v>CURRENT</x:v>
      </x:c>
      <x:c r="C22" s="36" t="str">
        <x:v>Ramp</x:v>
      </x:c>
      <x:c r="D22" s="36" t="str">
        <x:v>Aceleração de mana ou redução de custo.</x:v>
      </x:c>
      <x:c r="E22" s="36" t="str">
        <x:v>B</x:v>
      </x:c>
      <x:c r="F22" s="36" t="str">
        <x:v>Aceleração de mana ou redução de custo.</x:v>
      </x:c>
    </x:row>
    <x:row r="23" ht="48" customHeight="1">
      <x:c r="A23" s="36" t="str">
        <x:v>Dragonspeaker Shaman</x:v>
      </x:c>
      <x:c r="B23" s="36" t="str">
        <x:v>CURRENT</x:v>
      </x:c>
      <x:c r="C23" s="36" t="str">
        <x:v>Ramp</x:v>
      </x:c>
      <x:c r="D23" s="36" t="str">
        <x:v>Aceleração de mana ou redução de custo.</x:v>
      </x:c>
      <x:c r="E23" s="36" t="str">
        <x:v>B</x:v>
      </x:c>
      <x:c r="F23" s="36" t="str">
        <x:v>Aceleração de mana ou redução de custo.</x:v>
      </x:c>
    </x:row>
    <x:row r="24" ht="48" customHeight="1">
      <x:c r="A24" s="36" t="str">
        <x:v>Electrodominance</x:v>
      </x:c>
      <x:c r="B24" s="36" t="str">
        <x:v>CURRENT</x:v>
      </x:c>
      <x:c r="C24" s="36" t="str">
        <x:v>Removal</x:v>
      </x:c>
      <x:c r="D24" s="36" t="str">
        <x:v>Resposta a ameaças; verificar a cobertura e se o efeito é simétrico.</x:v>
      </x:c>
      <x:c r="E24" s="36" t="str">
        <x:v>B</x:v>
      </x:c>
      <x:c r="F24" s="36" t="str">
        <x:v>Resposta a ameaças; verificar a cobertura e se o efeito é simétrico.</x:v>
      </x:c>
    </x:row>
    <x:row r="25" ht="48" customHeight="1">
      <x:c r="A25" s="36" t="str">
        <x:v>Enduring Courage</x:v>
      </x:c>
      <x:c r="B25" s="36" t="str">
        <x:v>CURRENT</x:v>
      </x:c>
      <x:c r="C25" s="36" t="str">
        <x:v>Sinergia 3</x:v>
      </x:c>
      <x:c r="D25" s="36" t="str">
        <x:v>Apoia ímpeto, proteção, plano tribal ou combate.</x:v>
      </x:c>
      <x:c r="E25" s="36" t="str">
        <x:v>B</x:v>
      </x:c>
      <x:c r="F25" s="36" t="str">
        <x:v>Apoia ímpeto, proteção, plano tribal ou combate.</x:v>
      </x:c>
    </x:row>
    <x:row r="26" ht="48" customHeight="1">
      <x:c r="A26" s="36" t="str">
        <x:v>Faithless Looting</x:v>
      </x:c>
      <x:c r="B26" s="36" t="str">
        <x:v>CURRENT</x:v>
      </x:c>
      <x:c r="C26" s="36" t="str">
        <x:v>Draw</x:v>
      </x:c>
      <x:c r="D26" s="36" t="str">
        <x:v>Compra, seleção ou recuperação de cartas.</x:v>
      </x:c>
      <x:c r="E26" s="36" t="str">
        <x:v>B</x:v>
      </x:c>
      <x:c r="F26" s="36" t="str">
        <x:v>Compra, seleção ou recuperação de cartas.</x:v>
      </x:c>
    </x:row>
    <x:row r="27" ht="48" customHeight="1">
      <x:c r="A27" s="36" t="str">
        <x:v>Fiendish Duo</x:v>
      </x:c>
      <x:c r="B27" s="36" t="str">
        <x:v>CURRENT</x:v>
      </x:c>
      <x:c r="C27" s="36" t="str">
        <x:v>Sinergia 2</x:v>
      </x:c>
      <x:c r="D27" s="36" t="str">
        <x:v>Amplifica dano, pressão ou valor gerado por Dragões.</x:v>
      </x:c>
      <x:c r="E27" s="36" t="str">
        <x:v>B</x:v>
      </x:c>
      <x:c r="F27" s="36" t="str">
        <x:v>Amplifica dano, pressão ou valor gerado por Dragões.</x:v>
      </x:c>
    </x:row>
    <x:row r="28" ht="48" customHeight="1">
      <x:c r="A28" s="36" t="str">
        <x:v>Fury of the Horde</x:v>
      </x:c>
      <x:c r="B28" s="36" t="str">
        <x:v>CURRENT</x:v>
      </x:c>
      <x:c r="C28" s="36" t="str">
        <x:v>Combate extra</x:v>
      </x:c>
      <x:c r="D28" s="36" t="str">
        <x:v>Cria ou facilita fases/turnos de combate adicionais.</x:v>
      </x:c>
      <x:c r="E28" s="36" t="str">
        <x:v>B</x:v>
      </x:c>
      <x:c r="F28" s="36" t="str">
        <x:v>Cria ou facilita fases/turnos de combate adicionais.</x:v>
      </x:c>
    </x:row>
    <x:row r="29" ht="48" customHeight="1">
      <x:c r="A29" s="36" t="str">
        <x:v>Gadrak, the Crown-Scourge</x:v>
      </x:c>
      <x:c r="B29" s="36" t="str">
        <x:v>CURRENT</x:v>
      </x:c>
      <x:c r="C29" s="36" t="str">
        <x:v>Tesouro</x:v>
      </x:c>
      <x:c r="D29" s="36" t="str">
        <x:v>Produz Tesouros ou converte combate/Dragões em mana.</x:v>
      </x:c>
      <x:c r="E29" s="36" t="str">
        <x:v>B</x:v>
      </x:c>
      <x:c r="F29" s="36" t="str">
        <x:v>Produz Tesouros ou converte combate/Dragões em mana.</x:v>
      </x:c>
    </x:row>
    <x:row r="30" ht="48" customHeight="1">
      <x:c r="A30" s="36" t="str">
        <x:v>Goldspan Dragon</x:v>
      </x:c>
      <x:c r="B30" s="36" t="str">
        <x:v>CURRENT</x:v>
      </x:c>
      <x:c r="C30" s="36" t="str">
        <x:v>Tesouro</x:v>
      </x:c>
      <x:c r="D30" s="36" t="str">
        <x:v>Produz Tesouros ou converte combate/Dragões em mana.</x:v>
      </x:c>
      <x:c r="E30" s="36" t="str">
        <x:v>A</x:v>
      </x:c>
      <x:c r="F30" s="36" t="str">
        <x:v>Produz Tesouros ou converte combate/Dragões em mana.</x:v>
      </x:c>
    </x:row>
    <x:row r="31" ht="48" customHeight="1">
      <x:c r="A31" s="36" t="str">
        <x:v>Gratuitous Violence</x:v>
      </x:c>
      <x:c r="B31" s="36" t="str">
        <x:v>CURRENT</x:v>
      </x:c>
      <x:c r="C31" s="36" t="str">
        <x:v>Sinergia 2</x:v>
      </x:c>
      <x:c r="D31" s="36" t="str">
        <x:v>Amplifica dano, pressão ou valor gerado por Dragões.</x:v>
      </x:c>
      <x:c r="E31" s="36" t="str">
        <x:v>B</x:v>
      </x:c>
      <x:c r="F31" s="36" t="str">
        <x:v>Amplifica dano, pressão ou valor gerado por Dragões.</x:v>
      </x:c>
    </x:row>
    <x:row r="32" ht="48" customHeight="1">
      <x:c r="A32" s="36" t="str">
        <x:v>Great Train Heist</x:v>
      </x:c>
      <x:c r="B32" s="36" t="str">
        <x:v>CURRENT</x:v>
      </x:c>
      <x:c r="C32" s="36" t="str">
        <x:v>Combate extra</x:v>
      </x:c>
      <x:c r="D32" s="36" t="str">
        <x:v>Cria ou facilita fases/turnos de combate adicionais.</x:v>
      </x:c>
      <x:c r="E32" s="36" t="str">
        <x:v>B</x:v>
      </x:c>
      <x:c r="F32" s="36" t="str">
        <x:v>Cria ou facilita fases/turnos de combate adicionais.</x:v>
      </x:c>
    </x:row>
    <x:row r="33" ht="48" customHeight="1">
      <x:c r="A33" s="36" t="str">
        <x:v>Hedron Archive</x:v>
      </x:c>
      <x:c r="B33" s="36" t="str">
        <x:v>CURRENT</x:v>
      </x:c>
      <x:c r="C33" s="36" t="str">
        <x:v>Ramp</x:v>
      </x:c>
      <x:c r="D33" s="36" t="str">
        <x:v>Aceleração de mana ou redução de custo.</x:v>
      </x:c>
      <x:c r="E33" s="36" t="str">
        <x:v>B</x:v>
      </x:c>
      <x:c r="F33" s="36" t="str">
        <x:v>Aceleração de mana ou redução de custo.</x:v>
      </x:c>
    </x:row>
    <x:row r="34" ht="48" customHeight="1">
      <x:c r="A34" s="36" t="str">
        <x:v>Hellkite Charger</x:v>
      </x:c>
      <x:c r="B34" s="36" t="str">
        <x:v>CURRENT</x:v>
      </x:c>
      <x:c r="C34" s="36" t="str">
        <x:v>Combate extra</x:v>
      </x:c>
      <x:c r="D34" s="36" t="str">
        <x:v>Cria ou facilita fases/turnos de combate adicionais.</x:v>
      </x:c>
      <x:c r="E34" s="36" t="str">
        <x:v>B</x:v>
      </x:c>
      <x:c r="F34" s="36" t="str">
        <x:v>Cria ou facilita fases/turnos de combate adicionais.</x:v>
      </x:c>
    </x:row>
    <x:row r="35" ht="48" customHeight="1">
      <x:c r="A35" s="36" t="str">
        <x:v>Hellkite Tyrant</x:v>
      </x:c>
      <x:c r="B35" s="36" t="str">
        <x:v>CURRENT</x:v>
      </x:c>
      <x:c r="C35" s="36" t="str">
        <x:v>Sinergia 3</x:v>
      </x:c>
      <x:c r="D35" s="36" t="str">
        <x:v>Apoia ímpeto, proteção, plano tribal ou combate.</x:v>
      </x:c>
      <x:c r="E35" s="36" t="str">
        <x:v>B</x:v>
      </x:c>
      <x:c r="F35" s="36" t="str">
        <x:v>Apoia ímpeto, proteção, plano tribal ou combate.</x:v>
      </x:c>
    </x:row>
    <x:row r="36" ht="48" customHeight="1">
      <x:c r="A36" s="36" t="str">
        <x:v>Horn of the Mark</x:v>
      </x:c>
      <x:c r="B36" s="36" t="str">
        <x:v>CURRENT</x:v>
      </x:c>
      <x:c r="C36" s="36" t="str">
        <x:v>Draw</x:v>
      </x:c>
      <x:c r="D36" s="36" t="str">
        <x:v>Compra, seleção ou recuperação de cartas.</x:v>
      </x:c>
      <x:c r="E36" s="36" t="str">
        <x:v>B</x:v>
      </x:c>
      <x:c r="F36" s="36" t="str">
        <x:v>Compra, seleção ou recuperação de cartas.</x:v>
      </x:c>
    </x:row>
    <x:row r="37" ht="48" customHeight="1">
      <x:c r="A37" s="36" t="str">
        <x:v>Incinerator of the Guilty</x:v>
      </x:c>
      <x:c r="B37" s="36" t="str">
        <x:v>CURRENT</x:v>
      </x:c>
      <x:c r="C37" s="36" t="str">
        <x:v>Removal</x:v>
      </x:c>
      <x:c r="D37" s="36" t="str">
        <x:v>Resposta a ameaças; verificar a cobertura e se o efeito é simétrico.</x:v>
      </x:c>
      <x:c r="E37" s="36" t="str">
        <x:v>B</x:v>
      </x:c>
      <x:c r="F37" s="36" t="str">
        <x:v>Resposta a ameaças; verificar a cobertura e se o efeito é simétrico.</x:v>
      </x:c>
    </x:row>
    <x:row r="38" ht="48" customHeight="1">
      <x:c r="A38" s="36" t="str">
        <x:v>Inferno of the Star Mounts</x:v>
      </x:c>
      <x:c r="B38" s="36" t="str">
        <x:v>CURRENT</x:v>
      </x:c>
      <x:c r="C38" s="36" t="str">
        <x:v>Sinergia 2</x:v>
      </x:c>
      <x:c r="D38" s="36" t="str">
        <x:v>Amplifica dano, pressão ou valor gerado por Dragões.</x:v>
      </x:c>
      <x:c r="E38" s="36" t="str">
        <x:v>B</x:v>
      </x:c>
      <x:c r="F38" s="36" t="str">
        <x:v>Amplifica dano, pressão ou valor gerado por Dragões.</x:v>
      </x:c>
    </x:row>
    <x:row r="39" ht="48" customHeight="1">
      <x:c r="A39" s="36" t="str">
        <x:v>Insurrection</x:v>
      </x:c>
      <x:c r="B39" s="36" t="str">
        <x:v>CURRENT</x:v>
      </x:c>
      <x:c r="C39" s="36" t="str">
        <x:v>Sinergia 3</x:v>
      </x:c>
      <x:c r="D39" s="36" t="str">
        <x:v>Apoia ímpeto, proteção, plano tribal ou combate.</x:v>
      </x:c>
      <x:c r="E39" s="36" t="str">
        <x:v>B</x:v>
      </x:c>
      <x:c r="F39" s="36" t="str">
        <x:v>Apoia ímpeto, proteção, plano tribal ou combate.</x:v>
      </x:c>
    </x:row>
    <x:row r="40" ht="48" customHeight="1">
      <x:c r="A40" s="36" t="str">
        <x:v>Manaform Hellkite</x:v>
      </x:c>
      <x:c r="B40" s="36" t="str">
        <x:v>CURRENT</x:v>
      </x:c>
      <x:c r="C40" s="36" t="str">
        <x:v>Sinergia 1</x:v>
      </x:c>
      <x:c r="D40" s="36" t="str">
        <x:v>Avança o motor de Dragões, entradas no campo ou geração de fichas.</x:v>
      </x:c>
      <x:c r="E40" s="36" t="str">
        <x:v>B</x:v>
      </x:c>
      <x:c r="F40" s="36" t="str">
        <x:v>Avança o motor de Dragões, entradas no campo ou geração de fichas.</x:v>
      </x:c>
    </x:row>
    <x:row r="41" ht="48" customHeight="1">
      <x:c r="A41" s="36" t="str">
        <x:v>Mines of Moria</x:v>
      </x:c>
      <x:c r="B41" s="36" t="str">
        <x:v>CURRENT</x:v>
      </x:c>
      <x:c r="C41" s="36" t="str">
        <x:v>Ramp</x:v>
      </x:c>
      <x:c r="D41" s="36" t="str">
        <x:v>Aceleração de mana ou redução de custo.</x:v>
      </x:c>
      <x:c r="E41" s="36" t="str">
        <x:v>B</x:v>
      </x:c>
      <x:c r="F41" s="36" t="str">
        <x:v>Aceleração de mana ou redução de custo.</x:v>
      </x:c>
    </x:row>
    <x:row r="42" ht="48" customHeight="1">
      <x:c r="A42" s="36" t="str">
        <x:v>Mizzium Mortars</x:v>
      </x:c>
      <x:c r="B42" s="36" t="str">
        <x:v>CURRENT</x:v>
      </x:c>
      <x:c r="C42" s="36" t="str">
        <x:v>Removal</x:v>
      </x:c>
      <x:c r="D42" s="36" t="str">
        <x:v>Resposta a ameaças; verificar a cobertura e se o efeito é simétrico.</x:v>
      </x:c>
      <x:c r="E42" s="36" t="str">
        <x:v>A</x:v>
      </x:c>
      <x:c r="F42" s="36" t="str">
        <x:v>Sobrecarga é assimétrica, mas atinge apenas criaturas com resistência 4 ou menos.</x:v>
      </x:c>
    </x:row>
    <x:row r="43" ht="48" customHeight="1">
      <x:c r="A43" s="36" t="str">
        <x:v>Mob Verdict</x:v>
      </x:c>
      <x:c r="B43" s="36" t="str">
        <x:v>CURRENT</x:v>
      </x:c>
      <x:c r="C43" s="36" t="str">
        <x:v>Removal</x:v>
      </x:c>
      <x:c r="D43" s="36" t="str">
        <x:v>Votação política: dano por votos recebidos por oponentes e compra conforme votos recebidos por você; não é wipe unilateral.</x:v>
      </x:c>
      <x:c r="E43" s="36" t="str">
        <x:v>B</x:v>
      </x:c>
      <x:c r="F43" s="36" t="str">
        <x:v>Não é wipe tradicional nem unilateral; dano político por votação e compra condicional.</x:v>
      </x:c>
    </x:row>
    <x:row r="44" ht="48" customHeight="1">
      <x:c r="A44" s="36" t="str">
        <x:v>Molten Echoes</x:v>
      </x:c>
      <x:c r="B44" s="36" t="str">
        <x:v>CURRENT</x:v>
      </x:c>
      <x:c r="C44" s="36" t="str">
        <x:v>Sinergia 1</x:v>
      </x:c>
      <x:c r="D44" s="36" t="str">
        <x:v>Cria cópias tribais temporárias, aumentando redundância e gatilhos de entrada.</x:v>
      </x:c>
      <x:c r="E44" s="36" t="str">
        <x:v>A</x:v>
      </x:c>
      <x:c r="F44" s="36" t="str">
        <x:v>Cria cópias tribais temporárias, aumentando redundância e gatilhos de entrada.</x:v>
      </x:c>
    </x:row>
    <x:row r="45" ht="48" customHeight="1">
      <x:c r="A45" s="36" t="str">
        <x:v>Mountain</x:v>
      </x:c>
      <x:c r="B45" s="36" t="str">
        <x:v>CURRENT</x:v>
      </x:c>
      <x:c r="C45" s="36" t="str">
        <x:v>Ramp</x:v>
      </x:c>
      <x:c r="D45" s="36" t="str">
        <x:v>Aceleração de mana ou redução de custo.</x:v>
      </x:c>
      <x:c r="E45" s="36" t="str">
        <x:v>B</x:v>
      </x:c>
      <x:c r="F45" s="36" t="str">
        <x:v>Aceleração de mana ou redução de custo.</x:v>
      </x:c>
    </x:row>
    <x:row r="46" ht="48" customHeight="1">
      <x:c r="A46" s="36" t="str">
        <x:v>Nyx Lotus</x:v>
      </x:c>
      <x:c r="B46" s="36" t="str">
        <x:v>CURRENT</x:v>
      </x:c>
      <x:c r="C46" s="36" t="str">
        <x:v>Ramp</x:v>
      </x:c>
      <x:c r="D46" s="36" t="str">
        <x:v>Aceleração de mana ou redução de custo.</x:v>
      </x:c>
      <x:c r="E46" s="36" t="str">
        <x:v>B</x:v>
      </x:c>
      <x:c r="F46" s="36" t="str">
        <x:v>Fonte condicional de quatro manas; demora a ser lançada para ajudar cedo.</x:v>
      </x:c>
    </x:row>
    <x:row r="47" ht="48" customHeight="1">
      <x:c r="A47" s="36" t="str">
        <x:v>Overpowering Attack</x:v>
      </x:c>
      <x:c r="B47" s="36" t="str">
        <x:v>CURRENT</x:v>
      </x:c>
      <x:c r="C47" s="36" t="str">
        <x:v>Combate extra</x:v>
      </x:c>
      <x:c r="D47" s="36" t="str">
        <x:v>Cria ou facilita fases/turnos de combate adicionais.</x:v>
      </x:c>
      <x:c r="E47" s="36" t="str">
        <x:v>B</x:v>
      </x:c>
      <x:c r="F47" s="36" t="str">
        <x:v>Cria ou facilita fases/turnos de combate adicionais.</x:v>
      </x:c>
    </x:row>
    <x:row r="48" ht="48" customHeight="1">
      <x:c r="A48" s="36" t="str">
        <x:v>Path of Ancestry</x:v>
      </x:c>
      <x:c r="B48" s="36" t="str">
        <x:v>CURRENT</x:v>
      </x:c>
      <x:c r="C48" s="36" t="str">
        <x:v>Ramp</x:v>
      </x:c>
      <x:c r="D48" s="36" t="str">
        <x:v>Aceleração de mana ou redução de custo.</x:v>
      </x:c>
      <x:c r="E48" s="36" t="str">
        <x:v>B</x:v>
      </x:c>
      <x:c r="F48" s="36" t="str">
        <x:v>Aceleração de mana ou redução de custo.</x:v>
      </x:c>
    </x:row>
    <x:row r="49" ht="48" customHeight="1">
      <x:c r="A49" s="36" t="str">
        <x:v>Pinnacle Monk</x:v>
      </x:c>
      <x:c r="B49" s="36" t="str">
        <x:v>CURRENT</x:v>
      </x:c>
      <x:c r="C49" s="36" t="str">
        <x:v>Draw</x:v>
      </x:c>
      <x:c r="D49" s="36" t="str">
        <x:v>Recupera uma instantânea ou feitiço do cemitério ao entrar; a face posterior é terreno.</x:v>
      </x:c>
      <x:c r="E49" s="36" t="str">
        <x:v>B</x:v>
      </x:c>
      <x:c r="F49" s="36" t="str">
        <x:v>Recupera uma instantânea ou feitiço do cemitério ao entrar; a face posterior é terreno.</x:v>
      </x:c>
    </x:row>
    <x:row r="50" ht="48" customHeight="1">
      <x:c r="A50" s="36" t="str">
        <x:v>Powerbalance</x:v>
      </x:c>
      <x:c r="B50" s="36" t="str">
        <x:v>CURRENT</x:v>
      </x:c>
      <x:c r="C50" s="36" t="str">
        <x:v>Sinergia 3</x:v>
      </x:c>
      <x:c r="D50" s="36" t="str">
        <x:v>Apoia ímpeto, proteção, plano tribal ou combate.</x:v>
      </x:c>
      <x:c r="E50" s="36" t="str">
        <x:v>C</x:v>
      </x:c>
      <x:c r="F50" s="36" t="str">
        <x:v>Depende de o valor de mana da mágica adversária coincidir com o topo do seu grimório.</x:v>
      </x:c>
    </x:row>
    <x:row r="51" ht="48" customHeight="1">
      <x:c r="A51" s="36" t="str">
        <x:v>Pyroclasm</x:v>
      </x:c>
      <x:c r="B51" s="36" t="str">
        <x:v>CURRENT</x:v>
      </x:c>
      <x:c r="C51" s="36" t="str">
        <x:v>Removal</x:v>
      </x:c>
      <x:c r="D51" s="36" t="str">
        <x:v>Resposta a ameaças; verificar a cobertura e se o efeito é simétrico.</x:v>
      </x:c>
      <x:c r="E51" s="36" t="str">
        <x:v>B</x:v>
      </x:c>
      <x:c r="F51" s="36" t="str">
        <x:v>Barata, mas pode matar ramp/suportes próprios e não atinge Dragões resistentes.</x:v>
      </x:c>
    </x:row>
    <x:row r="52" ht="48" customHeight="1">
      <x:c r="A52" s="36" t="str">
        <x:v>Rapacious Dragon</x:v>
      </x:c>
      <x:c r="B52" s="36" t="str">
        <x:v>CURRENT</x:v>
      </x:c>
      <x:c r="C52" s="36" t="str">
        <x:v>Tesouro</x:v>
      </x:c>
      <x:c r="D52" s="36" t="str">
        <x:v>Produz Tesouros ou converte combate/Dragões em mana.</x:v>
      </x:c>
      <x:c r="E52" s="36" t="str">
        <x:v>B</x:v>
      </x:c>
      <x:c r="F52" s="36" t="str">
        <x:v>Produz Tesouros ou converte combate/Dragões em mana.</x:v>
      </x:c>
    </x:row>
    <x:row r="53" ht="48" customHeight="1">
      <x:c r="A53" s="36" t="str">
        <x:v>Reckless Barbarian</x:v>
      </x:c>
      <x:c r="B53" s="36" t="str">
        <x:v>CURRENT</x:v>
      </x:c>
      <x:c r="C53" s="36" t="str">
        <x:v>Ramp</x:v>
      </x:c>
      <x:c r="D53" s="36" t="str">
        <x:v>Aceleração de mana ou redução de custo.</x:v>
      </x:c>
      <x:c r="E53" s="36" t="str">
        <x:v>B</x:v>
      </x:c>
      <x:c r="F53" s="36" t="str">
        <x:v>Aceleração de mana ou redução de custo.</x:v>
      </x:c>
    </x:row>
    <x:row r="54" ht="48" customHeight="1">
      <x:c r="A54" s="36" t="str">
        <x:v>Reckless Endeavor</x:v>
      </x:c>
      <x:c r="B54" s="36" t="str">
        <x:v>CURRENT</x:v>
      </x:c>
      <x:c r="C54" s="36" t="str">
        <x:v>Removal</x:v>
      </x:c>
      <x:c r="D54" s="36" t="str">
        <x:v>Resposta a ameaças; verificar a cobertura e se o efeito é simétrico.</x:v>
      </x:c>
      <x:c r="E54" s="36" t="str">
        <x:v>B</x:v>
      </x:c>
      <x:c r="F54" s="36" t="str">
        <x:v>Resposta a ameaças; verificar a cobertura e se o efeito é simétrico.</x:v>
      </x:c>
    </x:row>
    <x:row r="55" ht="48" customHeight="1">
      <x:c r="A55" s="36" t="str">
        <x:v>Rising of the Day</x:v>
      </x:c>
      <x:c r="B55" s="36" t="str">
        <x:v>CURRENT</x:v>
      </x:c>
      <x:c r="C55" s="36" t="str">
        <x:v>Sinergia 3</x:v>
      </x:c>
      <x:c r="D55" s="36" t="str">
        <x:v>Apoia ímpeto, proteção, plano tribal ou combate.</x:v>
      </x:c>
      <x:c r="E55" s="36" t="str">
        <x:v>B</x:v>
      </x:c>
      <x:c r="F55" s="36" t="str">
        <x:v>Apoia ímpeto, proteção, plano tribal ou combate.</x:v>
      </x:c>
    </x:row>
    <x:row r="56" ht="48" customHeight="1">
      <x:c r="A56" s="36" t="str">
        <x:v>Roaming Throne</x:v>
      </x:c>
      <x:c r="B56" s="36" t="str">
        <x:v>CURRENT</x:v>
      </x:c>
      <x:c r="C56" s="36" t="str">
        <x:v>Sinergia 1</x:v>
      </x:c>
      <x:c r="D56" s="36" t="str">
        <x:v>Ao escolher Dragon, pode duplicar gatilhos relevantes de Dragões, incluindo o de Lathliss.</x:v>
      </x:c>
      <x:c r="E56" s="36" t="str">
        <x:v>A</x:v>
      </x:c>
      <x:c r="F56" s="36" t="str">
        <x:v>Ao escolher Dragon, pode duplicar gatilhos relevantes de Dragões, incluindo o de Lathliss.</x:v>
      </x:c>
    </x:row>
    <x:row r="57" ht="48" customHeight="1">
      <x:c r="A57" s="36" t="str">
        <x:v>Ryusei, the Falling Star</x:v>
      </x:c>
      <x:c r="B57" s="36" t="str">
        <x:v>CURRENT</x:v>
      </x:c>
      <x:c r="C57" s="36" t="str">
        <x:v>Sinergia 2</x:v>
      </x:c>
      <x:c r="D57" s="36" t="str">
        <x:v>Amplifica dano, pressão ou valor gerado por Dragões.</x:v>
      </x:c>
      <x:c r="E57" s="36" t="str">
        <x:v>B</x:v>
      </x:c>
      <x:c r="F57" s="36" t="str">
        <x:v>Amplifica dano, pressão ou valor gerado por Dragões.</x:v>
      </x:c>
    </x:row>
    <x:row r="58" ht="48" customHeight="1">
      <x:c r="A58" s="36" t="str">
        <x:v>Sarkhan's Triumph</x:v>
      </x:c>
      <x:c r="B58" s="36" t="str">
        <x:v>CURRENT</x:v>
      </x:c>
      <x:c r="C58" s="36" t="str">
        <x:v>Sinergia 3</x:v>
      </x:c>
      <x:c r="D58" s="36" t="str">
        <x:v>Apoia ímpeto, proteção, plano tribal ou combate.</x:v>
      </x:c>
      <x:c r="E58" s="36" t="str">
        <x:v>B</x:v>
      </x:c>
      <x:c r="F58" s="36" t="str">
        <x:v>Apoia ímpeto, proteção, plano tribal ou combate.</x:v>
      </x:c>
    </x:row>
    <x:row r="59" ht="48" customHeight="1">
      <x:c r="A59" s="36" t="str">
        <x:v>Scourge of the Throne</x:v>
      </x:c>
      <x:c r="B59" s="36" t="str">
        <x:v>CURRENT</x:v>
      </x:c>
      <x:c r="C59" s="36" t="str">
        <x:v>Combate extra</x:v>
      </x:c>
      <x:c r="D59" s="36" t="str">
        <x:v>Cria ou facilita fases/turnos de combate adicionais.</x:v>
      </x:c>
      <x:c r="E59" s="36" t="str">
        <x:v>B</x:v>
      </x:c>
      <x:c r="F59" s="36" t="str">
        <x:v>Cria ou facilita fases/turnos de combate adicionais.</x:v>
      </x:c>
    </x:row>
    <x:row r="60" ht="48" customHeight="1">
      <x:c r="A60" s="36" t="str">
        <x:v>Skyline Despot</x:v>
      </x:c>
      <x:c r="B60" s="36" t="str">
        <x:v>CURRENT</x:v>
      </x:c>
      <x:c r="C60" s="36" t="str">
        <x:v>Draw</x:v>
      </x:c>
      <x:c r="D60" s="36" t="str">
        <x:v>Compra, seleção ou recuperação de cartas.</x:v>
      </x:c>
      <x:c r="E60" s="36" t="str">
        <x:v>B</x:v>
      </x:c>
      <x:c r="F60" s="36" t="str">
        <x:v>Compra, seleção ou recuperação de cartas.</x:v>
      </x:c>
    </x:row>
    <x:row r="61" ht="48" customHeight="1">
      <x:c r="A61" s="36" t="str">
        <x:v>Sol Ring</x:v>
      </x:c>
      <x:c r="B61" s="36" t="str">
        <x:v>CURRENT</x:v>
      </x:c>
      <x:c r="C61" s="36" t="str">
        <x:v>Ramp</x:v>
      </x:c>
      <x:c r="D61" s="36" t="str">
        <x:v>Aceleração eficiente que estava ausente da lista original de Krenko.</x:v>
      </x:c>
      <x:c r="E61" s="36" t="str">
        <x:v>B</x:v>
      </x:c>
      <x:c r="F61" s="36" t="str">
        <x:v>Aceleração eficiente que estava ausente da lista original de Krenko.</x:v>
      </x:c>
    </x:row>
    <x:row r="62" ht="48" customHeight="1">
      <x:c r="A62" s="36" t="str">
        <x:v>Spikefield Hazard</x:v>
      </x:c>
      <x:c r="B62" s="36" t="str">
        <x:v>CURRENT</x:v>
      </x:c>
      <x:c r="C62" s="36" t="str">
        <x:v>Removal</x:v>
      </x:c>
      <x:c r="D62" s="36" t="str">
        <x:v>Resposta a ameaças; verificar a cobertura e se o efeito é simétrico.</x:v>
      </x:c>
      <x:c r="E62" s="36" t="str">
        <x:v>B</x:v>
      </x:c>
      <x:c r="F62" s="36" t="str">
        <x:v>Resposta a ameaças; verificar a cobertura e se o efeito é simétrico.</x:v>
      </x:c>
    </x:row>
    <x:row r="63" ht="48" customHeight="1">
      <x:c r="A63" s="36" t="str">
        <x:v>Spinerock Knoll</x:v>
      </x:c>
      <x:c r="B63" s="36" t="str">
        <x:v>CURRENT</x:v>
      </x:c>
      <x:c r="C63" s="36" t="str">
        <x:v>Ramp</x:v>
      </x:c>
      <x:c r="D63" s="36" t="str">
        <x:v>Aceleração de mana ou redução de custo.</x:v>
      </x:c>
      <x:c r="E63" s="36" t="str">
        <x:v>B</x:v>
      </x:c>
      <x:c r="F63" s="36" t="str">
        <x:v>Aceleração de mana ou redução de custo.</x:v>
      </x:c>
    </x:row>
    <x:row r="64" ht="48" customHeight="1">
      <x:c r="A64" s="36" t="str">
        <x:v>Spiteful Banditry</x:v>
      </x:c>
      <x:c r="B64" s="36" t="str">
        <x:v>CURRENT</x:v>
      </x:c>
      <x:c r="C64" s="36" t="str">
        <x:v>Removal</x:v>
      </x:c>
      <x:c r="D64" s="36" t="str">
        <x:v>Resposta a ameaças; verificar a cobertura e se o efeito é simétrico.</x:v>
      </x:c>
      <x:c r="E64" s="36" t="str">
        <x:v>B</x:v>
      </x:c>
      <x:c r="F64" s="36" t="str">
        <x:v>Resposta a ameaças; verificar a cobertura e se o efeito é simétrico.</x:v>
      </x:c>
    </x:row>
    <x:row r="65" ht="48" customHeight="1">
      <x:c r="A65" s="36" t="str">
        <x:v>Storm's Wrath</x:v>
      </x:c>
      <x:c r="B65" s="36" t="str">
        <x:v>CURRENT</x:v>
      </x:c>
      <x:c r="C65" s="36" t="str">
        <x:v>Removal</x:v>
      </x:c>
      <x:c r="D65" s="36" t="str">
        <x:v>Resposta a ameaças; verificar a cobertura e se o efeito é simétrico.</x:v>
      </x:c>
      <x:c r="E65" s="36" t="str">
        <x:v>B</x:v>
      </x:c>
      <x:c r="F65" s="36" t="str">
        <x:v>Limpa criaturas e planeswalkers com dano 4, podendo atingir seu próprio campo.</x:v>
      </x:c>
    </x:row>
    <x:row r="66" ht="48" customHeight="1">
      <x:c r="A66" s="36" t="str">
        <x:v>Sundering Eruption</x:v>
      </x:c>
      <x:c r="B66" s="36" t="str">
        <x:v>CURRENT</x:v>
      </x:c>
      <x:c r="C66" s="36" t="str">
        <x:v>Removal</x:v>
      </x:c>
      <x:c r="D66" s="36" t="str">
        <x:v>Resposta a ameaças; verificar a cobertura e se o efeito é simétrico.</x:v>
      </x:c>
      <x:c r="E66" s="36" t="str">
        <x:v>B</x:v>
      </x:c>
      <x:c r="F66" s="36" t="str">
        <x:v>Resposta a ameaças; verificar a cobertura e se o efeito é simétrico.</x:v>
      </x:c>
    </x:row>
    <x:row r="67" ht="48" customHeight="1">
      <x:c r="A67" s="36" t="str">
        <x:v>Temple of the False God</x:v>
      </x:c>
      <x:c r="B67" s="36" t="str">
        <x:v>CURRENT</x:v>
      </x:c>
      <x:c r="C67" s="36" t="str">
        <x:v>Ramp</x:v>
      </x:c>
      <x:c r="D67" s="36" t="str">
        <x:v>Aceleração de mana ou redução de custo.</x:v>
      </x:c>
      <x:c r="E67" s="36" t="str">
        <x:v>C</x:v>
      </x:c>
      <x:c r="F67" s="36" t="str">
        <x:v>Terreno condicional que é fraco na mão inicial.</x:v>
      </x:c>
    </x:row>
    <x:row r="68" ht="48" customHeight="1">
      <x:c r="A68" s="36" t="str">
        <x:v>Terrain Generator</x:v>
      </x:c>
      <x:c r="B68" s="36" t="str">
        <x:v>CURRENT</x:v>
      </x:c>
      <x:c r="C68" s="36" t="str">
        <x:v>Ramp</x:v>
      </x:c>
      <x:c r="D68" s="36" t="str">
        <x:v>Aceleração de mana ou redução de custo.</x:v>
      </x:c>
      <x:c r="E68" s="36" t="str">
        <x:v>B</x:v>
      </x:c>
      <x:c r="F68" s="36" t="str">
        <x:v>Aceleração de mana ou redução de custo.</x:v>
      </x:c>
    </x:row>
    <x:row r="69" ht="48" customHeight="1">
      <x:c r="A69" s="36" t="str">
        <x:v>Territorial Hellkite</x:v>
      </x:c>
      <x:c r="B69" s="36" t="str">
        <x:v>CURRENT</x:v>
      </x:c>
      <x:c r="C69" s="36" t="str">
        <x:v>Sinergia 2</x:v>
      </x:c>
      <x:c r="D69" s="36" t="str">
        <x:v>Amplifica dano, pressão ou valor gerado por Dragões.</x:v>
      </x:c>
      <x:c r="E69" s="36" t="str">
        <x:v>B</x:v>
      </x:c>
      <x:c r="F69" s="36" t="str">
        <x:v>Amplifica dano, pressão ou valor gerado por Dragões.</x:v>
      </x:c>
    </x:row>
    <x:row r="70" ht="48" customHeight="1">
      <x:c r="A70" s="36" t="str">
        <x:v>The Legend of Roku</x:v>
      </x:c>
      <x:c r="B70" s="36" t="str">
        <x:v>CURRENT</x:v>
      </x:c>
      <x:c r="C70" s="36" t="str">
        <x:v>Sinergia 1</x:v>
      </x:c>
      <x:c r="D70" s="36" t="str">
        <x:v>Avança o motor de Dragões, entradas no campo ou geração de fichas.</x:v>
      </x:c>
      <x:c r="E70" s="36" t="str">
        <x:v>B</x:v>
      </x:c>
      <x:c r="F70" s="36" t="str">
        <x:v>Avança o motor de Dragões, entradas no campo ou geração de fichas.</x:v>
      </x:c>
    </x:row>
    <x:row r="71" ht="48" customHeight="1">
      <x:c r="A71" s="36" t="str">
        <x:v>The Reaver Cleaver</x:v>
      </x:c>
      <x:c r="B71" s="36" t="str">
        <x:v>CURRENT</x:v>
      </x:c>
      <x:c r="C71" s="36" t="str">
        <x:v>Tesouro</x:v>
      </x:c>
      <x:c r="D71" s="36" t="str">
        <x:v>Produz Tesouros ou converte combate/Dragões em mana.</x:v>
      </x:c>
      <x:c r="E71" s="36" t="str">
        <x:v>A</x:v>
      </x:c>
      <x:c r="F71" s="36" t="str">
        <x:v>Produz Tesouros ou converte combate/Dragões em mana.</x:v>
      </x:c>
    </x:row>
    <x:row r="72" ht="48" customHeight="1">
      <x:c r="A72" s="36" t="str">
        <x:v>Torbran, Thane of Red Fell</x:v>
      </x:c>
      <x:c r="B72" s="36" t="str">
        <x:v>CURRENT</x:v>
      </x:c>
      <x:c r="C72" s="36" t="str">
        <x:v>Sinergia 2</x:v>
      </x:c>
      <x:c r="D72" s="36" t="str">
        <x:v>Amplifica dano, pressão ou valor gerado por Dragões.</x:v>
      </x:c>
      <x:c r="E72" s="36" t="str">
        <x:v>B</x:v>
      </x:c>
      <x:c r="F72" s="36" t="str">
        <x:v>Amplifica dano, pressão ou valor gerado por Dragões.</x:v>
      </x:c>
    </x:row>
    <x:row r="73" ht="48" customHeight="1">
      <x:c r="A73" s="36" t="str">
        <x:v>Untimely Malfunction</x:v>
      </x:c>
      <x:c r="B73" s="36" t="str">
        <x:v>CURRENT</x:v>
      </x:c>
      <x:c r="C73" s="36" t="str">
        <x:v>Removal</x:v>
      </x:c>
      <x:c r="D73" s="36" t="str">
        <x:v>Resposta a ameaças; verificar a cobertura e se o efeito é simétrico.</x:v>
      </x:c>
      <x:c r="E73" s="36" t="str">
        <x:v>B</x:v>
      </x:c>
      <x:c r="F73" s="36" t="str">
        <x:v>Resposta a ameaças; verificar a cobertura e se o efeito é simétrico.</x:v>
      </x:c>
    </x:row>
    <x:row r="74" ht="48" customHeight="1">
      <x:c r="A74" s="36" t="str">
        <x:v>Utvara Hellkite</x:v>
      </x:c>
      <x:c r="B74" s="36" t="str">
        <x:v>CURRENT</x:v>
      </x:c>
      <x:c r="C74" s="36" t="str">
        <x:v>Sinergia 1</x:v>
      </x:c>
      <x:c r="D74" s="36" t="str">
        <x:v>Avança o motor de Dragões, entradas no campo ou geração de fichas.</x:v>
      </x:c>
      <x:c r="E74" s="36" t="str">
        <x:v>A</x:v>
      </x:c>
      <x:c r="F74" s="36" t="str">
        <x:v>Avança o motor de Dragões, entradas no campo ou geração de fichas.</x:v>
      </x:c>
    </x:row>
    <x:row r="75" ht="48" customHeight="1">
      <x:c r="A75" s="36" t="str">
        <x:v>Vandalblast</x:v>
      </x:c>
      <x:c r="B75" s="36" t="str">
        <x:v>CURRENT</x:v>
      </x:c>
      <x:c r="C75" s="36" t="str">
        <x:v>Removal</x:v>
      </x:c>
      <x:c r="D75" s="36" t="str">
        <x:v>Sobrecarga limpa artefatos dos oponentes sem atingir os seus.</x:v>
      </x:c>
      <x:c r="E75" s="36" t="str">
        <x:v>A</x:v>
      </x:c>
      <x:c r="F75" s="36" t="str">
        <x:v>Sobrecarga limpa artefatos dos oponentes sem atingir os seus.</x:v>
      </x:c>
    </x:row>
    <x:row r="76" ht="48" customHeight="1">
      <x:c r="A76" s="36" t="str">
        <x:v>Vengeful Ancestor</x:v>
      </x:c>
      <x:c r="B76" s="36" t="str">
        <x:v>CURRENT</x:v>
      </x:c>
      <x:c r="C76" s="36" t="str">
        <x:v>Sinergia 2</x:v>
      </x:c>
      <x:c r="D76" s="36" t="str">
        <x:v>Amplifica dano, pressão ou valor gerado por Dragões.</x:v>
      </x:c>
      <x:c r="E76" s="36" t="str">
        <x:v>B</x:v>
      </x:c>
      <x:c r="F76" s="36" t="str">
        <x:v>Amplifica dano, pressão ou valor gerado por Dragões.</x:v>
      </x:c>
    </x:row>
    <x:row r="77" ht="48" customHeight="1">
      <x:c r="A77" s="36" t="str">
        <x:v>War's Toll</x:v>
      </x:c>
      <x:c r="B77" s="36" t="str">
        <x:v>CURRENT</x:v>
      </x:c>
      <x:c r="C77" s="36" t="str">
        <x:v>Sinergia 3</x:v>
      </x:c>
      <x:c r="D77" s="36" t="str">
        <x:v>Apoia ímpeto, proteção, plano tribal ou combate.</x:v>
      </x:c>
      <x:c r="E77" s="36" t="str">
        <x:v>B</x:v>
      </x:c>
      <x:c r="F77" s="36" t="str">
        <x:v>Apoia ímpeto, proteção, plano tribal ou combate.</x:v>
      </x:c>
    </x:row>
    <x:row r="78" ht="48" customHeight="1">
      <x:c r="A78" s="36" t="str">
        <x:v>Wild Wasteland</x:v>
      </x:c>
      <x:c r="B78" s="36" t="str">
        <x:v>CURRENT</x:v>
      </x:c>
      <x:c r="C78" s="36" t="str">
        <x:v>Draw</x:v>
      </x:c>
      <x:c r="D78" s="36" t="str">
        <x:v>Motor de compra impulsiva; pula a compra natural e exila duas cartas no início da manutenção.</x:v>
      </x:c>
      <x:c r="E78" s="36" t="str">
        <x:v>A</x:v>
      </x:c>
      <x:c r="F78" s="36" t="str">
        <x:v>Motor de impulso, mas substitui a compra natural por cartas exiladas.</x:v>
      </x:c>
    </x:row>
    <x:row r="79" ht="48" customHeight="1">
      <x:c r="A79" s="36" t="str">
        <x:v>The One Ring</x:v>
      </x:c>
      <x:c r="B79" s="36" t="str">
        <x:v>PROPOSED V2</x:v>
      </x:c>
      <x:c r="C79" s="36" t="str">
        <x:v>Draw</x:v>
      </x:c>
      <x:c r="D79" s="36" t="str">
        <x:v>Compra escalável e proteção temporária; o custo em vida/percepção de ameaça é um trade-off.</x:v>
      </x:c>
      <x:c r="E79" s="36" t="str">
        <x:v>S</x:v>
      </x:c>
      <x:c r="F79" s="36" t="str">
        <x:v>Motor de compra recorrente e proteção temporária; aumenta a consistência. Risco: Pode atrair muita atenção e o custo em vida pesa em partidas longas.</x:v>
      </x:c>
    </x:row>
    <x:row r="80" ht="48" customHeight="1">
      <x:c r="A80" s="36" t="str">
        <x:v>Jeska's Will</x:v>
      </x:c>
      <x:c r="B80" s="36" t="str">
        <x:v>PROPOSED V2</x:v>
      </x:c>
      <x:c r="C80" s="36" t="str">
        <x:v>Ramp</x:v>
      </x:c>
      <x:c r="D80" s="36" t="str">
        <x:v>Mana explosiva e acesso impulsivo a cartas; com comandante em campo, pode usar os dois modos.</x:v>
      </x:c>
      <x:c r="E80" s="36" t="str">
        <x:v>S</x:v>
      </x:c>
      <x:c r="F80" s="36" t="str">
        <x:v>Gera mana explosiva e acesso impulsivo a cartas; especialmente forte com o comandante em campo. Risco: Perde eficiência se não houver mana para aproveitar as cartas exiladas naquele turno.</x:v>
      </x:c>
    </x:row>
    <x:row r="81" ht="48" customHeight="1">
      <x:c r="A81" s="36" t="str">
        <x:v>Wrathful Red Dragon</x:v>
      </x:c>
      <x:c r="B81" s="36" t="str">
        <x:v>PROPOSED V2</x:v>
      </x:c>
      <x:c r="C81" s="36" t="str">
        <x:v>Sinergia 3</x:v>
      </x:c>
      <x:c r="D81" s="36" t="str">
        <x:v>Converte dano recebido pelos seus Dragões em dano direcionado; combina com Chain Reaction.</x:v>
      </x:c>
      <x:c r="E81" s="36" t="str">
        <x:v>A</x:v>
      </x:c>
      <x:c r="F81" s="36" t="str">
        <x:v>Converte dano recebido pelos seus Dragões em dano direcionado; combina com Chain Reaction. Risco: Precisa que um Dragão receba dano e pode ser removido antes da interação.</x:v>
      </x:c>
    </x:row>
    <x:row r="82" ht="48" customHeight="1">
      <x:c r="A82" s="36" t="str">
        <x:v>Ruby Medallion</x:v>
      </x:c>
      <x:c r="B82" s="36" t="str">
        <x:v>PROPOSED V2</x:v>
      </x:c>
      <x:c r="C82" s="36" t="str">
        <x:v>Ramp</x:v>
      </x:c>
      <x:c r="D82" s="36" t="str">
        <x:v>Reduz o componente genérico do custo de mágicas vermelhas.</x:v>
      </x:c>
      <x:c r="E82" s="36" t="str">
        <x:v>B</x:v>
      </x:c>
      <x:c r="F82" s="36" t="str">
        <x:v>Reduz a parte genérica do custo de mágicas vermelhas ao longo do jogo. Risco: Não reduz símbolos coloridos; é vulnerável a remoções de artefatos.</x:v>
      </x:c>
    </x:row>
    <x:row r="83" ht="48" customHeight="1">
      <x:c r="A83" s="36" t="str">
        <x:v>Earthquake</x:v>
      </x:c>
      <x:c r="B83" s="36" t="str">
        <x:v>PROPOSED V2</x:v>
      </x:c>
      <x:c r="C83" s="36" t="str">
        <x:v>Removal</x:v>
      </x:c>
      <x:c r="D83" s="36" t="str">
        <x:v>Resposta a ameaças; verificar a cobertura e se o efeito é simétrico.</x:v>
      </x:c>
      <x:c r="E83" s="36" t="str">
        <x:v>B</x:v>
      </x:c>
      <x:c r="F83" s="36" t="str">
        <x:v>Limpeza escalável de criaturas sem voar; normalmente preserva os Dragões voadores. Risco: Também causa dano aos jogadores e a criaturas suas sem voar; não é unilateral estrita.</x:v>
      </x:c>
    </x:row>
    <x:row r="84" ht="48" customHeight="1">
      <x:c r="A84" s="36" t="str">
        <x:v>Scourge of Valkas</x:v>
      </x:c>
      <x:c r="B84" s="36" t="str">
        <x:v>PROPOSED V2</x:v>
      </x:c>
      <x:c r="C84" s="36" t="str">
        <x:v>Sinergia 1</x:v>
      </x:c>
      <x:c r="D84" s="36" t="str">
        <x:v>Avança o motor de Dragões, entradas no campo ou geração de fichas.</x:v>
      </x:c>
      <x:c r="E84" s="36" t="str">
        <x:v>A</x:v>
      </x:c>
      <x:c r="F84" s="36" t="str">
        <x:v>Transforma entradas de Dragões em dano; escala com fichas de Lathliss e Roaming Throne. Risco: Custa cinco manas e rende menos sem múltiplas entradas de Dragões.</x:v>
      </x:c>
    </x:row>
    <x:row r="85" ht="48" customHeight="1">
      <x:c r="A85" s="36" t="str">
        <x:v>Dragonlord's Servant</x:v>
      </x:c>
      <x:c r="B85" s="36" t="str">
        <x:v>PROPOSED V2</x:v>
      </x:c>
      <x:c r="C85" s="36" t="str">
        <x:v>Ramp</x:v>
      </x:c>
      <x:c r="D85" s="36" t="str">
        <x:v>Reduz em {1} o custo de mágicas de Dragão; não é Dragão e não aciona Lathliss.</x:v>
      </x:c>
      <x:c r="E85" s="36" t="str">
        <x:v>A</x:v>
      </x:c>
      <x:c r="F85" s="36" t="str">
        <x:v>Redução de custo por duas manas que melhora o começo do jogo. Risco: Não é Dragão e não dispara Lathliss; corpo frágil.</x:v>
      </x:c>
    </x:row>
    <x:row r="86" ht="48" customHeight="1">
      <x:c r="A86" s="36" t="str">
        <x:v>Herald's Horn</x:v>
      </x:c>
      <x:c r="B86" s="36" t="str">
        <x:v>PROPOSED V2</x:v>
      </x:c>
      <x:c r="C86" s="36" t="str">
        <x:v>Ramp</x:v>
      </x:c>
      <x:c r="D86" s="36" t="str">
        <x:v>Reduz custos tribais e seleciona cartas de criatura no topo durante a manutenção.</x:v>
      </x:c>
      <x:c r="E86" s="36" t="str">
        <x:v>A</x:v>
      </x:c>
      <x:c r="F86" s="36" t="str">
        <x:v>Reduz custos tribais e filtra criaturas no topo durante a manutenção. Risco: A seleção não é compra garantida e custa três manas para entrar.</x:v>
      </x:c>
    </x:row>
    <x:row r="87" ht="48" customHeight="1">
      <x:c r="A87" s="36" t="str">
        <x:v>Terror of the Peaks</x:v>
      </x:c>
      <x:c r="B87" s="36" t="str">
        <x:v>PROPOSED V2</x:v>
      </x:c>
      <x:c r="C87" s="36" t="str">
        <x:v>Sinergia 1</x:v>
      </x:c>
      <x:c r="D87" s="36" t="str">
        <x:v>Avança o motor de Dragões, entradas no campo ou geração de fichas.</x:v>
      </x:c>
      <x:c r="E87" s="36" t="str">
        <x:v>A</x:v>
      </x:c>
      <x:c r="F87" s="36" t="str">
        <x:v>Converte entradas de Dragões e fichas em dano, ajudando a fechar a partida. Risco: Tem alta percepção de ameaça e pode ser removido antes de render valor.</x:v>
      </x:c>
    </x:row>
    <x:row r="88" ht="48" customHeight="1">
      <x:c r="A88" s="36" t="str">
        <x:v>Chandra's Ignition</x:v>
      </x:c>
      <x:c r="B88" s="36" t="str">
        <x:v>PROPOSED V2</x:v>
      </x:c>
      <x:c r="C88" s="36" t="str">
        <x:v>Removal</x:v>
      </x:c>
      <x:c r="D88" s="36" t="str">
        <x:v>Usa o poder de um Dragão como remoção ampla e dano aos oponentes; pode atingir suas outras criaturas.</x:v>
      </x:c>
      <x:c r="E88" s="36" t="str">
        <x:v>A</x:v>
      </x:c>
      <x:c r="F88" s="36" t="str">
        <x:v>Usa o poder de um Dragão grande para limpar criaturas e causar dano aos oponentes. Risco: Também atinge suas outras criaturas; exige uma fonte grande de poder.</x:v>
      </x:c>
    </x:row>
    <x:row r="89" ht="48" customHeight="1">
      <x:c r="A89" s="36" t="str">
        <x:v>Ganax, Astral Hunter</x:v>
      </x:c>
      <x:c r="B89" s="36" t="str">
        <x:v>PROPOSED V2</x:v>
      </x:c>
      <x:c r="C89" s="36" t="str">
        <x:v>Tesouro</x:v>
      </x:c>
      <x:c r="D89" s="36" t="str">
        <x:v>Cada Dragão que entra pode gerar Tesouro, inclusive a ficha criada por Lathliss.</x:v>
      </x:c>
      <x:c r="E89" s="36" t="str">
        <x:v>A</x:v>
      </x:c>
      <x:c r="F89" s="36" t="str">
        <x:v>Cada Dragão que entra, inclusive ficha de Lathliss, cria Tesouro. Risco: Precisa de várias entradas para superar ramp mais simples; ocupa o slot de cinco manas.</x:v>
      </x:c>
    </x:row>
    <x:row r="90" ht="48" customHeight="1">
      <x:c r="A90" s="36" t="str">
        <x:v>Lightning Greaves</x:v>
      </x:c>
      <x:c r="B90" s="36" t="str">
        <x:v>PROPOSED V2</x:v>
      </x:c>
      <x:c r="C90" s="36" t="str">
        <x:v>Sinergia 3</x:v>
      </x:c>
      <x:c r="D90" s="36" t="str">
        <x:v>Apoia ímpeto, proteção, plano tribal ou combate.</x:v>
      </x:c>
      <x:c r="E90" s="36" t="str">
        <x:v>A</x:v>
      </x:c>
      <x:c r="F90" s="36" t="str">
        <x:v>Protege Lathliss ou um Dragão-chave e fornece ímpeto para aumentar a velocidade. Risco: Shroud também pode impedir que você escolha seu próprio portador com outras mágicas/habilidades direcionadas.</x:v>
      </x:c>
    </x:row>
    <x:row r="91" ht="48" customHeight="1">
      <x:c r="A91" s="36" t="str">
        <x:v>Valakut Awakening // Valakut Stoneforge</x:v>
      </x:c>
      <x:c r="B91" s="36" t="str">
        <x:v>PROPOSED V2</x:v>
      </x:c>
      <x:c r="C91" s="36" t="str">
        <x:v>Draw</x:v>
      </x:c>
      <x:c r="D91" s="36" t="str">
        <x:v>Compra, seleção ou recuperação de cartas.</x:v>
      </x:c>
      <x:c r="E91" s="36" t="str">
        <x:v>B</x:v>
      </x:c>
      <x:c r="F91" s="36" t="str">
        <x:v>Filtra a mão e pode ser terreno quando necessário. Risco: A face-terreno pode entrar virada e a face de mágica compete por mana.</x:v>
      </x:c>
    </x:row>
    <x:row r="92" ht="48" customHeight="1"/>
    <x:row r="93" ht="48" customHeight="1"/>
    <x:row r="94" ht="48" customHeight="1"/>
    <x:row r="95" ht="48" customHeight="1"/>
    <x:row r="96" ht="48" customHeight="1"/>
    <x:row r="97" ht="48" customHeight="1"/>
    <x:row r="98" ht="48" customHeight="1"/>
    <x:row r="99" ht="48" customHeight="1"/>
    <x:row r="100" ht="48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18" hidden="0" customWidth="1"/>
    <x:col min="5" max="5" width="18" hidden="0" customWidth="1"/>
    <x:col min="6" max="6" width="58" hidden="0" customWidth="1"/>
  </x:cols>
  <x:sheetData>
    <x:row r="1" ht="32" customHeight="1">
      <x:c r="A1" s="71" t="str">
        <x:v>Grupo</x:v>
      </x:c>
      <x:c r="B1" s="71" t="str">
        <x:v>Finalidade</x:v>
      </x:c>
      <x:c r="C1" s="71" t="str">
        <x:v>Qtd. CURRENT</x:v>
      </x:c>
      <x:c r="D1" s="71" t="str">
        <x:v>Qtd. PROPOSED V2</x:v>
      </x:c>
      <x:c r="E1" s="71" t="str">
        <x:v>Qtd. PROPOSED V3</x:v>
      </x:c>
      <x:c r="F1" s="71" t="str">
        <x:v>Diagnóstico / teste</x:v>
      </x:c>
      <x:c r="G1" s="24"/>
      <x:c r="H1" s="24"/>
      <x:c r="I1" s="24"/>
      <x:c r="J1" s="24"/>
      <x:c r="K1" s="24"/>
      <x:c r="L1" s="24"/>
      <x:c r="M1" s="24"/>
    </x:row>
    <x:row r="2" ht="50" customHeight="1">
      <x:c r="A2" s="72" t="str">
        <x:v>Ramp</x:v>
      </x:c>
      <x:c r="B2" s="72" t="str">
        <x:v>Aceleração, redução de custo e terrenos utilitários.</x:v>
      </x:c>
      <x:c r="C2" s="73" t="n">
        <x:f>SUMIFS('Current List'!$A$2:$A$101,'Current List'!$D$2:$D$101,$A2,'Current List'!$E$2:$E$101,"&lt;&gt;Sim — terreno",'Current List'!$F$2:$F$101,"&lt;&gt;COMMANDER")</x:f>
        <x:v>10</x:v>
      </x:c>
      <x:c r="D2" s="73" t="n">
        <x:f>SUMIFS('Proposed List'!$A$2:$A$101,'Proposed List'!$D$2:$D$101,$A2,'Proposed List'!$E$2:$E$101,"&lt;&gt;Sim — terreno",'Proposed List'!$F$2:$F$101,"&lt;&gt;COMMANDER")</x:f>
        <x:v>13</x:v>
      </x:c>
      <x:c r="E2" s="73" t="n">
        <x:f>SUMIFS('Proposed V3'!$A$2:$A$101,'Proposed V3'!$D$2:$D$101,$A2,'Proposed V3'!$E$2:$E$101,"&lt;&gt;Sim — terreno",'Proposed V3'!$F$2:$F$101,"&lt;&gt;COMMANDER")</x:f>
        <x:v>14</x:v>
      </x:c>
      <x:c r="F2" s="72" t="str">
        <x:v>Priorizar acesso a Lathliss e redução de custo cedo; acelerar sem sacrificar toda a mão.</x:v>
      </x:c>
    </x:row>
    <x:row r="3" ht="50" customHeight="1">
      <x:c r="A3" s="72" t="str">
        <x:v>Draw</x:v>
      </x:c>
      <x:c r="B3" s="72" t="str">
        <x:v>Compra, seleção, impulsos e reposição de mão.</x:v>
      </x:c>
      <x:c r="C3" s="73" t="n">
        <x:f>SUMIFS('Current List'!$A$2:$A$101,'Current List'!$D$2:$D$101,$A3,'Current List'!$E$2:$E$101,"&lt;&gt;Sim — terreno",'Current List'!$F$2:$F$101,"&lt;&gt;COMMANDER")</x:f>
        <x:v>8</x:v>
      </x:c>
      <x:c r="D3" s="73" t="n">
        <x:f>SUMIFS('Proposed List'!$A$2:$A$101,'Proposed List'!$D$2:$D$101,$A3,'Proposed List'!$E$2:$E$101,"&lt;&gt;Sim — terreno",'Proposed List'!$F$2:$F$101,"&lt;&gt;COMMANDER")</x:f>
        <x:v>8</x:v>
      </x:c>
      <x:c r="E3" s="73" t="n">
        <x:f>SUMIFS('Proposed V3'!$A$2:$A$101,'Proposed V3'!$D$2:$D$101,$A3,'Proposed V3'!$E$2:$E$101,"&lt;&gt;Sim — terreno",'Proposed V3'!$F$2:$F$101,"&lt;&gt;COMMANDER")</x:f>
        <x:v>11</x:v>
      </x:c>
      <x:c r="F3" s="72" t="str">
        <x:v>Testar se a mão permanece abastecida depois de duas ou três ameaças.</x:v>
      </x:c>
    </x:row>
    <x:row r="4" ht="50" customHeight="1">
      <x:c r="A4" s="72" t="str">
        <x:v>Removal</x:v>
      </x:c>
      <x:c r="B4" s="72" t="str">
        <x:v>Respostas pontuais, artefatos e limpezas de mesa.</x:v>
      </x:c>
      <x:c r="C4" s="73" t="n">
        <x:f>SUMIFS('Current List'!$A$2:$A$101,'Current List'!$D$2:$D$101,$A4,'Current List'!$E$2:$E$101,"&lt;&gt;Sim — terreno",'Current List'!$F$2:$F$101,"&lt;&gt;COMMANDER")</x:f>
        <x:v>15</x:v>
      </x:c>
      <x:c r="D4" s="73" t="n">
        <x:f>SUMIFS('Proposed List'!$A$2:$A$101,'Proposed List'!$D$2:$D$101,$A4,'Proposed List'!$E$2:$E$101,"&lt;&gt;Sim — terreno",'Proposed List'!$F$2:$F$101,"&lt;&gt;COMMANDER")</x:f>
        <x:v>13</x:v>
      </x:c>
      <x:c r="E4" s="73" t="n">
        <x:f>SUMIFS('Proposed V3'!$A$2:$A$101,'Proposed V3'!$D$2:$D$101,$A4,'Proposed V3'!$E$2:$E$101,"&lt;&gt;Sim — terreno",'Proposed V3'!$F$2:$F$101,"&lt;&gt;COMMANDER")</x:f>
        <x:v>11</x:v>
      </x:c>
      <x:c r="F4" s="72" t="str">
        <x:v>Separar respostas assimétricas de resets simétricos; avaliar custo para o próprio tabuleiro.</x:v>
      </x:c>
    </x:row>
    <x:row r="5" ht="50" customHeight="1">
      <x:c r="A5" s="72" t="str">
        <x:v>Sinergia 1</x:v>
      </x:c>
      <x:c r="B5" s="72" t="str">
        <x:v>Motor de Dragões, gatilhos de entrada e fichas 5/5.</x:v>
      </x:c>
      <x:c r="C5" s="73" t="n">
        <x:f>SUMIFS('Current List'!$A$2:$A$101,'Current List'!$D$2:$D$101,$A5,'Current List'!$E$2:$E$101,"&lt;&gt;Sim — terreno",'Current List'!$F$2:$F$101,"&lt;&gt;COMMANDER")</x:f>
        <x:v>6</x:v>
      </x:c>
      <x:c r="D5" s="73" t="n">
        <x:f>SUMIFS('Proposed List'!$A$2:$A$101,'Proposed List'!$D$2:$D$101,$A5,'Proposed List'!$E$2:$E$101,"&lt;&gt;Sim — terreno",'Proposed List'!$F$2:$F$101,"&lt;&gt;COMMANDER")</x:f>
        <x:v>8</x:v>
      </x:c>
      <x:c r="E5" s="73" t="n">
        <x:f>SUMIFS('Proposed V3'!$A$2:$A$101,'Proposed V3'!$D$2:$D$101,$A5,'Proposed V3'!$E$2:$E$101,"&lt;&gt;Sim — terreno",'Proposed V3'!$F$2:$F$101,"&lt;&gt;COMMANDER")</x:f>
        <x:v>9</x:v>
      </x:c>
      <x:c r="F5" s="72" t="str">
        <x:v>Manter densidade de Dragões não ficha para disparar Lathliss.</x:v>
      </x:c>
    </x:row>
    <x:row r="6" ht="50" customHeight="1">
      <x:c r="A6" s="72" t="str">
        <x:v>Sinergia 2</x:v>
      </x:c>
      <x:c r="B6" s="72" t="str">
        <x:v>Payoffs de dano, multiplicadores e pressão tribal.</x:v>
      </x:c>
      <x:c r="C6" s="73" t="n">
        <x:f>SUMIFS('Current List'!$A$2:$A$101,'Current List'!$D$2:$D$101,$A6,'Current List'!$E$2:$E$101,"&lt;&gt;Sim — terreno",'Current List'!$F$2:$F$101,"&lt;&gt;COMMANDER")</x:f>
        <x:v>10</x:v>
      </x:c>
      <x:c r="D6" s="73" t="n">
        <x:f>SUMIFS('Proposed List'!$A$2:$A$101,'Proposed List'!$D$2:$D$101,$A6,'Proposed List'!$E$2:$E$101,"&lt;&gt;Sim — terreno",'Proposed List'!$F$2:$F$101,"&lt;&gt;COMMANDER")</x:f>
        <x:v>9</x:v>
      </x:c>
      <x:c r="E6" s="73" t="n">
        <x:f>SUMIFS('Proposed V3'!$A$2:$A$101,'Proposed V3'!$D$2:$D$101,$A6,'Proposed V3'!$E$2:$E$101,"&lt;&gt;Sim — terreno",'Proposed V3'!$F$2:$F$101,"&lt;&gt;COMMANDER")</x:f>
        <x:v>7</x:v>
      </x:c>
      <x:c r="F6" s="72" t="str">
        <x:v>Payoffs precisam converter entradas em dano sem depender de um único permanente.</x:v>
      </x:c>
    </x:row>
    <x:row r="7" ht="50" customHeight="1">
      <x:c r="A7" s="72" t="str">
        <x:v>Sinergia 3</x:v>
      </x:c>
      <x:c r="B7" s="72" t="str">
        <x:v>Haste, proteção, apoio tribal e utilidade.</x:v>
      </x:c>
      <x:c r="C7" s="73" t="n">
        <x:f>SUMIFS('Current List'!$A$2:$A$101,'Current List'!$D$2:$D$101,$A7,'Current List'!$E$2:$E$101,"&lt;&gt;Sim — terreno",'Current List'!$F$2:$F$101,"&lt;&gt;COMMANDER")</x:f>
        <x:v>8</x:v>
      </x:c>
      <x:c r="D7" s="73" t="n">
        <x:f>SUMIFS('Proposed List'!$A$2:$A$101,'Proposed List'!$D$2:$D$101,$A7,'Proposed List'!$E$2:$E$101,"&lt;&gt;Sim — terreno",'Proposed List'!$F$2:$F$101,"&lt;&gt;COMMANDER")</x:f>
        <x:v>7</x:v>
      </x:c>
      <x:c r="E7" s="73" t="n">
        <x:f>SUMIFS('Proposed V3'!$A$2:$A$101,'Proposed V3'!$D$2:$D$101,$A7,'Proposed V3'!$E$2:$E$101,"&lt;&gt;Sim — terreno",'Proposed V3'!$F$2:$F$101,"&lt;&gt;COMMANDER")</x:f>
        <x:v>6</x:v>
      </x:c>
      <x:c r="F7" s="72" t="str">
        <x:v>O apoio deve proteger ou tornar o combate mais eficiente.</x:v>
      </x:c>
    </x:row>
    <x:row r="8" ht="50" customHeight="1">
      <x:c r="A8" s="72" t="str">
        <x:v>Tesouro</x:v>
      </x:c>
      <x:c r="B8" s="72" t="str">
        <x:v>Produção e conversão de Tesouros em mana/vantagem.</x:v>
      </x:c>
      <x:c r="C8" s="73" t="n">
        <x:f>SUMIFS('Current List'!$A$2:$A$101,'Current List'!$D$2:$D$101,$A8,'Current List'!$E$2:$E$101,"&lt;&gt;Sim — terreno",'Current List'!$F$2:$F$101,"&lt;&gt;COMMANDER")</x:f>
        <x:v>5</x:v>
      </x:c>
      <x:c r="D8" s="73" t="n">
        <x:f>SUMIFS('Proposed List'!$A$2:$A$101,'Proposed List'!$D$2:$D$101,$A8,'Proposed List'!$E$2:$E$101,"&lt;&gt;Sim — terreno",'Proposed List'!$F$2:$F$101,"&lt;&gt;COMMANDER")</x:f>
        <x:v>6</x:v>
      </x:c>
      <x:c r="E8" s="73" t="n">
        <x:f>SUMIFS('Proposed V3'!$A$2:$A$101,'Proposed V3'!$D$2:$D$101,$A8,'Proposed V3'!$E$2:$E$101,"&lt;&gt;Sim — terreno",'Proposed V3'!$F$2:$F$101,"&lt;&gt;COMMANDER")</x:f>
        <x:v>6</x:v>
      </x:c>
      <x:c r="F8" s="72" t="str">
        <x:v>Tesouros precisam permitir encadear Dragões e não ser apenas valor residual.</x:v>
      </x:c>
    </x:row>
    <x:row r="9" ht="50" customHeight="1">
      <x:c r="A9" s="72" t="str">
        <x:v>Combate extra</x:v>
      </x:c>
      <x:c r="B9" s="72" t="str">
        <x:v>Fases de combate adicionais e conversão de mesa em letal.</x:v>
      </x:c>
      <x:c r="C9" s="73" t="n">
        <x:f>SUMIFS('Current List'!$A$2:$A$101,'Current List'!$D$2:$D$101,$A9,'Current List'!$E$2:$E$101,"&lt;&gt;Sim — terreno",'Current List'!$F$2:$F$101,"&lt;&gt;COMMANDER")</x:f>
        <x:v>5</x:v>
      </x:c>
      <x:c r="D9" s="73" t="n">
        <x:f>SUMIFS('Proposed List'!$A$2:$A$101,'Proposed List'!$D$2:$D$101,$A9,'Proposed List'!$E$2:$E$101,"&lt;&gt;Sim — terreno",'Proposed List'!$F$2:$F$101,"&lt;&gt;COMMANDER")</x:f>
        <x:v>4</x:v>
      </x:c>
      <x:c r="E9" s="73" t="n">
        <x:f>SUMIFS('Proposed V3'!$A$2:$A$101,'Proposed V3'!$D$2:$D$101,$A9,'Proposed V3'!$E$2:$E$101,"&lt;&gt;Sim — terreno",'Proposed V3'!$F$2:$F$101,"&lt;&gt;COMMANDER")</x:f>
        <x:v>4</x:v>
      </x:c>
      <x:c r="F9" s="72" t="str">
        <x:v>A linha precisa de mesa e mana; não tratar combate extra como vitória automática.</x:v>
      </x:c>
    </x:row>
    <x:row r="10" ht="50" customHeight="1">
      <x:c r="A10"/>
      <x:c r="B10"/>
      <x:c r="C10"/>
      <x:c r="D10"/>
      <x:c r="E10"/>
      <x:c r="F10"/>
    </x:row>
    <x:row r="11" ht="38" customHeight="1">
      <x:c r="A11" s="12" t="str">
        <x:v>Contagem funcional exclui terrenos físicos e comandante. Cada carta ocupa apenas um grupo principal; MDFCs contam como uma carta e são avaliadas pela face de mágica. Os números servem como diagnóstico, não como quotas rígidas.</x:v>
      </x:c>
      <x:c r="B11" s="12"/>
      <x:c r="C11" s="12"/>
      <x:c r="D11" s="12"/>
      <x:c r="E11" s="12"/>
      <x:c r="F11" s="24"/>
    </x:row>
    <x:row r="12" ht="50" customHeight="1">
      <x:c r="A12"/>
      <x:c r="B12"/>
      <x:c r="C12"/>
      <x:c r="D12"/>
      <x:c r="E12"/>
      <x:c r="F12"/>
    </x:row>
    <x:row r="13" ht="50" customHeight="1">
      <x:c r="A13"/>
      <x:c r="B13"/>
      <x:c r="C13"/>
      <x:c r="D13"/>
      <x:c r="E13"/>
      <x:c r="F13"/>
    </x:row>
    <x:row r="14" ht="50" customHeight="1">
      <x:c r="A14"/>
      <x:c r="B14"/>
      <x:c r="C14"/>
      <x:c r="D14"/>
      <x:c r="E14"/>
      <x:c r="F14"/>
    </x:row>
    <x:row r="15" ht="50" customHeight="1">
      <x:c r="A15"/>
      <x:c r="B15"/>
      <x:c r="C15"/>
      <x:c r="D15"/>
      <x:c r="E15"/>
      <x:c r="F15"/>
    </x:row>
    <x:row r="16" ht="50" customHeight="1"/>
    <x:row r="17" ht="50" customHeight="1"/>
    <x:row r="18" ht="50" customHeight="1"/>
    <x:row r="19" ht="50" customHeight="1"/>
    <x:row r="20" ht="50" customHeight="1"/>
  </x:sheetData>
  <x:mergeCells>
    <x:mergeCell ref="A11:E11"/>
    <x:mergeCell ref="A11:F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75" hidden="0" customWidth="1"/>
  </x:cols>
  <x:sheetData>
    <x:row r="1" ht="32" customHeight="1">
      <x:c r="A1" s="71" t="str">
        <x:v>Item de auditoria</x:v>
      </x:c>
      <x:c r="B1" s="71" t="str">
        <x:v>CURRENT</x:v>
      </x:c>
      <x:c r="C1" s="71" t="str">
        <x:v>PROPOSED V2</x:v>
      </x:c>
      <x:c r="D1" s="71" t="str">
        <x:v>PROPOSED V3</x:v>
      </x:c>
      <x:c r="E1" s="71" t="str">
        <x:v>Interpretação / ressalva</x:v>
      </x:c>
      <x:c r="F1" s="24"/>
      <x:c r="G1" s="24"/>
      <x:c r="H1" s="24"/>
      <x:c r="I1" s="24"/>
      <x:c r="J1" s="24"/>
      <x:c r="K1" s="24"/>
      <x:c r="L1" s="24"/>
      <x:c r="M1" s="24"/>
    </x:row>
    <x:row r="2" ht="35" customHeight="1">
      <x:c r="A2" s="72" t="str">
        <x:v>Total de cartas</x:v>
      </x:c>
      <x:c r="B2" s="72" t="n">
        <x:f>SUM('Current List'!A2:A101)</x:f>
        <x:v>100</x:v>
      </x:c>
      <x:c r="C2" s="72" t="n">
        <x:f>SUM('Proposed List'!A2:A101)</x:f>
        <x:v>100</x:v>
      </x:c>
      <x:c r="D2" s="72" t="n">
        <x:f>SUM('Proposed V3'!A2:A101)</x:f>
        <x:v>100</x:v>
      </x:c>
      <x:c r="E2" s="72" t="str">
        <x:v>Contagem inclui comandante; precisa fechar em 100.</x:v>
      </x:c>
    </x:row>
    <x:row r="3" ht="35" customHeight="1">
      <x:c r="A3" s="72" t="str">
        <x:v>Terrenos físicos</x:v>
      </x:c>
      <x:c r="B3" s="72" t="n">
        <x:f>SUMIF('Current List'!E2:E101,"Sim — terreno",'Current List'!A2:A101)</x:f>
        <x:v>32</x:v>
      </x:c>
      <x:c r="C3" s="72" t="n">
        <x:f>SUMIF('Proposed List'!E2:E101,"Sim — terreno",'Proposed List'!A2:A101)</x:f>
        <x:v>31</x:v>
      </x:c>
      <x:c r="D3" s="72" t="n">
        <x:f>SUMIF('Proposed V3'!E2:E101,"Sim — terreno",'Proposed V3'!A2:A101)</x:f>
        <x:v>31</x:v>
      </x:c>
      <x:c r="E3" s="72" t="str">
        <x:v>Terrenos pela face frontal; MDFCs ficam em linha separada.</x:v>
      </x:c>
    </x:row>
    <x:row r="4" ht="35" customHeight="1">
      <x:c r="A4" s="72" t="str">
        <x:v>Cartas com opção de terreno</x:v>
      </x:c>
      <x:c r="B4" s="72" t="n">
        <x:f>SUMIF('Current List'!E2:E101,"Sim — terreno",'Current List'!A2:A101)+SUMIF('Current List'!E2:E101,"Sim — face-terreno",'Current List'!A2:A101)</x:f>
        <x:v>35</x:v>
      </x:c>
      <x:c r="C4" s="72" t="n">
        <x:f>SUMIF('Proposed List'!E2:E101,"Sim — terreno",'Proposed List'!A2:A101)+SUMIF('Proposed List'!E2:E101,"Sim — face-terreno",'Proposed List'!A2:A101)</x:f>
        <x:v>35</x:v>
      </x:c>
      <x:c r="D4" s="72" t="n">
        <x:f>SUMIF('Proposed V3'!E2:E101,"Sim — terreno",'Proposed V3'!A2:A101)+SUMIF('Proposed V3'!E2:E101,"Sim — face-terreno",'Proposed V3'!A2:A101)</x:f>
        <x:v>35</x:v>
      </x:c>
      <x:c r="E4" s="72" t="str">
        <x:v>Terrenos físicos + MDFCs, cada carta contada uma vez.</x:v>
      </x:c>
    </x:row>
    <x:row r="5" ht="35" customHeight="1">
      <x:c r="A5" s="72" t="str">
        <x:v>Slots não-terreno sem comandante</x:v>
      </x:c>
      <x:c r="B5" s="72" t="n">
        <x:f>B2-B3-1</x:f>
        <x:v>67</x:v>
      </x:c>
      <x:c r="C5" s="72" t="n">
        <x:f>C2-C3-1</x:f>
        <x:v>68</x:v>
      </x:c>
      <x:c r="D5" s="72" t="n">
        <x:f>D2-D3-1</x:f>
        <x:v>68</x:v>
      </x:c>
      <x:c r="E5" s="72" t="str">
        <x:v>Aplicação funcional da teoria 8×8; MDFCs ficam no grupo funcional.</x:v>
      </x:c>
    </x:row>
    <x:row r="6" ht="35" customHeight="1">
      <x:c r="A6" s="72" t="str">
        <x:v>Trocas incrementais na versão</x:v>
      </x:c>
      <x:c r="B6" s="72" t="n">
        <x:v>0</x:v>
      </x:c>
      <x:c r="C6" s="72" t="n">
        <x:v>13</x:v>
      </x:c>
      <x:c r="D6" s="72" t="n">
        <x:v>11</x:v>
      </x:c>
      <x:c r="E6" s="72" t="str">
        <x:v>V3 deriva da V2; as trocas V3 não substituem retroativamente V2.</x:v>
      </x:c>
    </x:row>
    <x:row r="7" ht="35" customHeight="1">
      <x:c r="A7" s="72" t="str">
        <x:v>Singleton / duplicatas não básicas</x:v>
      </x:c>
      <x:c r="B7" s="72" t="str">
        <x:v>PASS</x:v>
      </x:c>
      <x:c r="C7" s="72" t="str">
        <x:v>PASS</x:v>
      </x:c>
      <x:c r="D7" s="72" t="str">
        <x:v>PASS</x:v>
      </x:c>
      <x:c r="E7" s="72" t="str">
        <x:v>Nenhuma duplicata não básica detectada; básicos podem repetir.</x:v>
      </x:c>
    </x:row>
    <x:row r="8" ht="35" customHeight="1">
      <x:c r="A8" s="72" t="str">
        <x:v>Legalidade Commander</x:v>
      </x:c>
      <x:c r="B8" s="72" t="str">
        <x:v>A validar na implementação</x:v>
      </x:c>
      <x:c r="C8" s="72" t="str">
        <x:v>A validar na implementação</x:v>
      </x:c>
      <x:c r="D8" s="72" t="str">
        <x:v>A validar na implementação</x:v>
      </x:c>
      <x:c r="E8" s="72" t="str">
        <x:v>A legalidade e a banlist devem ser rechecadas antes de importar alterações, embora não haja suspeita conhecida de carta proibida nas propostas.</x:v>
      </x:c>
    </x:row>
    <x:row r="9" ht="35" customHeight="1">
      <x:c r="A9" s="72" t="str">
        <x:v>Gargalo principal</x:v>
      </x:c>
      <x:c r="B9" s="72" t="str">
        <x:v>Ver Card Matrix</x:v>
      </x:c>
      <x:c r="C9" s="72" t="str">
        <x:v>Ramp/draw/tribalidade</x:v>
      </x:c>
      <x:c r="D9" s="72" t="str">
        <x:v>Ramp/draw/resiliência adicionais</x:v>
      </x:c>
      <x:c r="E9" s="72" t="str">
        <x:v>Confirmar se a solução resolve o problema sob pressão real em partidas.</x:v>
      </x:c>
    </x:row>
    <x:row r="10" ht="35" customHeight="1">
      <x:c r="A10" s="72" t="str">
        <x:v>Estado de construção</x:v>
      </x:c>
      <x:c r="B10" s="72" t="str">
        <x:v>CURRENT congelada</x:v>
      </x:c>
      <x:c r="C10" s="72" t="str">
        <x:v>PROPOSED V2 — não testada</x:v>
      </x:c>
      <x:c r="D10" s="72" t="str">
        <x:v>PROPOSED V3 — não testada</x:v>
      </x:c>
      <x:c r="E10" s="72" t="str">
        <x:v>Não marcar como ACQUIRED / INCLUDED / TESTED sem confirmação do usuário.</x:v>
      </x:c>
    </x:row>
    <x:row r="11" ht="35" customHeight="1">
      <x:c r="A11" s="72" t="str">
        <x:v>Nota ponderada</x:v>
      </x:c>
      <x:c r="B11" s="151" t="n">
        <x:f>'Scorecard'!C15</x:f>
        <x:v>5.85</x:v>
      </x:c>
      <x:c r="C11" s="151" t="n">
        <x:f>'Scorecard'!D15</x:f>
        <x:v>8.005</x:v>
      </x:c>
      <x:c r="D11" s="151" t="n">
        <x:f>'Scorecard'!E15</x:f>
        <x:v>9.08</x:v>
      </x:c>
      <x:c r="E11" s="72" t="str">
        <x:v>Mesma rubrica de 10 critérios com pesos de 100%; não mede win rate.</x:v>
      </x:c>
    </x:row>
    <x:row r="12" ht="55" customHeight="1">
      <x:c r="A12"/>
      <x:c r="B12"/>
      <x:c r="C12"/>
      <x:c r="D12"/>
      <x:c r="E12"/>
    </x:row>
    <x:row r="13" ht="55" customHeight="1">
      <x:c r="A13"/>
      <x:c r="B13"/>
      <x:c r="C13"/>
      <x:c r="D13"/>
      <x:c r="E13"/>
    </x:row>
    <x:row r="14" ht="55" customHeight="1">
      <x:c r="A14"/>
      <x:c r="B14"/>
      <x:c r="C14"/>
      <x:c r="D14"/>
      <x:c r="E14"/>
    </x:row>
    <x:row r="15" ht="55" customHeight="1">
      <x:c r="A15"/>
      <x:c r="B15"/>
      <x:c r="C15"/>
      <x:c r="D15"/>
      <x:c r="E15"/>
    </x:row>
    <x:row r="16" ht="55" customHeight="1">
      <x:c r="A16"/>
      <x:c r="B16"/>
      <x:c r="C16"/>
      <x:c r="D16"/>
      <x:c r="E16"/>
    </x:row>
    <x:row r="17" ht="55" customHeight="1">
      <x:c r="A17"/>
      <x:c r="B17"/>
      <x:c r="C17"/>
      <x:c r="D17"/>
      <x:c r="E17"/>
    </x:row>
    <x:row r="18" ht="55" customHeight="1">
      <x:c r="A18"/>
      <x:c r="B18"/>
      <x:c r="C18"/>
      <x:c r="D18"/>
      <x:c r="E18"/>
    </x:row>
    <x:row r="19" ht="55" customHeight="1">
      <x:c r="A19"/>
      <x:c r="B19"/>
      <x:c r="C19"/>
      <x:c r="D19"/>
      <x:c r="E19"/>
    </x:row>
    <x:row r="20" ht="55" customHeight="1">
      <x:c r="A20"/>
      <x:c r="B20"/>
      <x:c r="C20"/>
      <x:c r="D20"/>
      <x:c r="E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9" hidden="0" customWidth="1"/>
    <x:col min="3" max="3" width="19" hidden="0" customWidth="1"/>
    <x:col min="4" max="4" width="24" hidden="0" customWidth="1"/>
    <x:col min="5" max="5" width="72" hidden="0" customWidth="1"/>
  </x:cols>
  <x:sheetData>
    <x:row r="1">
      <x:c r="A1" s="46" t="str">
        <x:v>Tier List — referência histórica CURRENT/V2; veja V3 Card Matrix para a proposta atual</x:v>
      </x:c>
      <x:c r="B1" s="46" t="str">
        <x:v>Tier</x:v>
      </x:c>
      <x:c r="C1" s="46" t="str">
        <x:v>Estado</x:v>
      </x:c>
      <x:c r="D1" s="46" t="str">
        <x:v>Grupo</x:v>
      </x:c>
      <x:c r="E1" s="46" t="str">
        <x:v>Motivo / contexto</x:v>
      </x:c>
      <x:c r="F1" s="24"/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Lathliss, Dragon Queen</x:v>
      </x:c>
      <x:c r="B2" s="36" t="str">
        <x:v>S</x:v>
      </x:c>
      <x:c r="C2" s="36" t="str">
        <x:v>CURRENT / PRESERVAR</x:v>
      </x:c>
      <x:c r="D2" s="36" t="str">
        <x:v>Sinergia 1</x:v>
      </x:c>
      <x:c r="E2" s="36" t="str">
        <x:v>Comandante; cria uma ficha Dragão 5/5 voadora quando outro Dragão não ficha entra.</x:v>
      </x:c>
    </x:row>
    <x:row r="3" ht="48" customHeight="1">
      <x:c r="A3" s="36" t="str">
        <x:v>Dragon Tempest</x:v>
      </x:c>
      <x:c r="B3" s="36" t="str">
        <x:v>S</x:v>
      </x:c>
      <x:c r="C3" s="36" t="str">
        <x:v>CURRENT / PRESERVAR</x:v>
      </x:c>
      <x:c r="D3" s="36" t="str">
        <x:v>Sinergia 1</x:v>
      </x:c>
      <x:c r="E3" s="36" t="str">
        <x:v>Concede ímpeto aos Dragões que entram e causa dano escalável por entradas.</x:v>
      </x:c>
    </x:row>
    <x:row r="4" ht="48" customHeight="1">
      <x:c r="A4" s="36" t="str">
        <x:v>Roaming Throne</x:v>
      </x:c>
      <x:c r="B4" s="36" t="str">
        <x:v>A</x:v>
      </x:c>
      <x:c r="C4" s="36" t="str">
        <x:v>CURRENT / PRESERVAR</x:v>
      </x:c>
      <x:c r="D4" s="36" t="str">
        <x:v>Sinergia 1</x:v>
      </x:c>
      <x:c r="E4" s="36" t="str">
        <x:v>Ao escolher Dragon, pode duplicar gatilhos relevantes de Dragões, incluindo o de Lathliss.</x:v>
      </x:c>
    </x:row>
    <x:row r="5" ht="48" customHeight="1">
      <x:c r="A5" s="36" t="str">
        <x:v>Molten Echoes</x:v>
      </x:c>
      <x:c r="B5" s="36" t="str">
        <x:v>A</x:v>
      </x:c>
      <x:c r="C5" s="36" t="str">
        <x:v>CURRENT / PRESERVAR</x:v>
      </x:c>
      <x:c r="D5" s="36" t="str">
        <x:v>Sinergia 1</x:v>
      </x:c>
      <x:c r="E5" s="36" t="str">
        <x:v>Cria cópias tribais temporárias, aumentando redundância e gatilhos de entrada.</x:v>
      </x:c>
    </x:row>
    <x:row r="6" ht="48" customHeight="1">
      <x:c r="A6" s="36" t="str">
        <x:v>Utvara Hellkite</x:v>
      </x:c>
      <x:c r="B6" s="36" t="str">
        <x:v>A</x:v>
      </x:c>
      <x:c r="C6" s="36" t="str">
        <x:v>CURRENT / PRESERVAR</x:v>
      </x:c>
      <x:c r="D6" s="36" t="str">
        <x:v>Sinergia 1</x:v>
      </x:c>
      <x:c r="E6" s="36" t="str">
        <x:v>Avança o motor de Dragões, entradas no campo ou geração de fichas.</x:v>
      </x:c>
    </x:row>
    <x:row r="7" ht="48" customHeight="1">
      <x:c r="A7" s="36" t="str">
        <x:v>Goldspan Dragon</x:v>
      </x:c>
      <x:c r="B7" s="36" t="str">
        <x:v>A</x:v>
      </x:c>
      <x:c r="C7" s="36" t="str">
        <x:v>CURRENT / PRESERVAR</x:v>
      </x:c>
      <x:c r="D7" s="36" t="str">
        <x:v>Tesouro</x:v>
      </x:c>
      <x:c r="E7" s="36" t="str">
        <x:v>Produz Tesouros ou converte combate/Dragões em mana.</x:v>
      </x:c>
    </x:row>
    <x:row r="8" ht="48" customHeight="1">
      <x:c r="A8" s="36" t="str">
        <x:v>Balefire Dragon</x:v>
      </x:c>
      <x:c r="B8" s="36" t="str">
        <x:v>A</x:v>
      </x:c>
      <x:c r="C8" s="36" t="str">
        <x:v>CURRENT / PRESERVAR</x:v>
      </x:c>
      <x:c r="D8" s="36" t="str">
        <x:v>Sinergia 2</x:v>
      </x:c>
      <x:c r="E8" s="36" t="str">
        <x:v>Amplifica dano, pressão ou valor gerado por Dragões.</x:v>
      </x:c>
    </x:row>
    <x:row r="9" ht="48" customHeight="1">
      <x:c r="A9" s="36" t="str">
        <x:v>Chain Reaction</x:v>
      </x:c>
      <x:c r="B9" s="36" t="str">
        <x:v>B</x:v>
      </x:c>
      <x:c r="C9" s="36" t="str">
        <x:v>CURRENT / PRESERVAR</x:v>
      </x:c>
      <x:c r="D9" s="36" t="str">
        <x:v>Removal</x:v>
      </x:c>
      <x:c r="E9" s="36" t="str">
        <x:v>Pacote-chave com Wrathful Red Dragon; não cortar sem rever a sinergia.</x:v>
      </x:c>
    </x:row>
    <x:row r="10" ht="48" customHeight="1">
      <x:c r="A10" s="36" t="str">
        <x:v>Mob Verdict</x:v>
      </x:c>
      <x:c r="B10" s="36" t="str">
        <x:v>B</x:v>
      </x:c>
      <x:c r="C10" s="36" t="str">
        <x:v>CURRENT / PRESERVAR</x:v>
      </x:c>
      <x:c r="D10" s="36" t="str">
        <x:v>Removal</x:v>
      </x:c>
      <x:c r="E10" s="36" t="str">
        <x:v>Não é wipe tradicional nem unilateral; dano político por votação e compra condicional.</x:v>
      </x:c>
    </x:row>
    <x:row r="11" ht="48" customHeight="1">
      <x:c r="A11" s="36" t="str">
        <x:v>Mizzium Mortars</x:v>
      </x:c>
      <x:c r="B11" s="36" t="str">
        <x:v>A</x:v>
      </x:c>
      <x:c r="C11" s="36" t="str">
        <x:v>CURRENT / PRESERVAR</x:v>
      </x:c>
      <x:c r="D11" s="36" t="str">
        <x:v>Removal</x:v>
      </x:c>
      <x:c r="E11" s="36" t="str">
        <x:v>Sobrecarga é assimétrica, mas atinge apenas criaturas com resistência 4 ou menos.</x:v>
      </x:c>
    </x:row>
    <x:row r="12" ht="48" customHeight="1">
      <x:c r="A12" s="36" t="str">
        <x:v>Vandalblast</x:v>
      </x:c>
      <x:c r="B12" s="36" t="str">
        <x:v>A</x:v>
      </x:c>
      <x:c r="C12" s="36" t="str">
        <x:v>CURRENT / PRESERVAR</x:v>
      </x:c>
      <x:c r="D12" s="36" t="str">
        <x:v>Removal</x:v>
      </x:c>
      <x:c r="E12" s="36" t="str">
        <x:v>Sobrecarga limpa artefatos dos oponentes sem atingir os seus.</x:v>
      </x:c>
    </x:row>
    <x:row r="13" ht="48" customHeight="1">
      <x:c r="A13" s="36" t="str">
        <x:v>The One Ring</x:v>
      </x:c>
      <x:c r="B13" s="36" t="str">
        <x:v>S</x:v>
      </x:c>
      <x:c r="C13" s="36" t="str">
        <x:v>INCLUSÃO PROPOSTA V2</x:v>
      </x:c>
      <x:c r="D13" s="36" t="str">
        <x:v>Draw</x:v>
      </x:c>
      <x:c r="E13" s="36" t="str">
        <x:v>Motor de compra recorrente e proteção temporária; aumenta a consistência. Risco: Pode atrair muita atenção e o custo em vida pesa em partidas longas.</x:v>
      </x:c>
    </x:row>
    <x:row r="14" ht="48" customHeight="1">
      <x:c r="A14" s="36" t="str">
        <x:v>Jeska's Will</x:v>
      </x:c>
      <x:c r="B14" s="36" t="str">
        <x:v>S</x:v>
      </x:c>
      <x:c r="C14" s="36" t="str">
        <x:v>INCLUSÃO PROPOSTA V2</x:v>
      </x:c>
      <x:c r="D14" s="36" t="str">
        <x:v>Ramp</x:v>
      </x:c>
      <x:c r="E14" s="36" t="str">
        <x:v>Gera mana explosiva e acesso impulsivo a cartas; especialmente forte com o comandante em campo. Risco: Perde eficiência se não houver mana para aproveitar as cartas exiladas naquele turno.</x:v>
      </x:c>
    </x:row>
    <x:row r="15" ht="48" customHeight="1">
      <x:c r="A15" s="36" t="str">
        <x:v>Wrathful Red Dragon</x:v>
      </x:c>
      <x:c r="B15" s="36" t="str">
        <x:v>A</x:v>
      </x:c>
      <x:c r="C15" s="36" t="str">
        <x:v>INCLUSÃO PROPOSTA V2</x:v>
      </x:c>
      <x:c r="D15" s="36" t="str">
        <x:v>Sinergia 3</x:v>
      </x:c>
      <x:c r="E15" s="36" t="str">
        <x:v>Converte dano recebido pelos seus Dragões em dano direcionado; combina com Chain Reaction. Risco: Precisa que um Dragão receba dano e pode ser removido antes da interação.</x:v>
      </x:c>
    </x:row>
    <x:row r="16" ht="48" customHeight="1">
      <x:c r="A16" s="36" t="str">
        <x:v>Scourge of Valkas</x:v>
      </x:c>
      <x:c r="B16" s="36" t="str">
        <x:v>A</x:v>
      </x:c>
      <x:c r="C16" s="36" t="str">
        <x:v>INCLUSÃO PROPOSTA V2</x:v>
      </x:c>
      <x:c r="D16" s="36" t="str">
        <x:v>Sinergia 1</x:v>
      </x:c>
      <x:c r="E16" s="36" t="str">
        <x:v>Transforma entradas de Dragões em dano; escala com fichas de Lathliss e Roaming Throne. Risco: Custa cinco manas e rende menos sem múltiplas entradas de Dragões.</x:v>
      </x:c>
    </x:row>
    <x:row r="17" ht="48" customHeight="1">
      <x:c r="A17" s="36" t="str">
        <x:v>Terror of the Peaks</x:v>
      </x:c>
      <x:c r="B17" s="36" t="str">
        <x:v>A</x:v>
      </x:c>
      <x:c r="C17" s="36" t="str">
        <x:v>INCLUSÃO PROPOSTA V2</x:v>
      </x:c>
      <x:c r="D17" s="36" t="str">
        <x:v>Sinergia 1</x:v>
      </x:c>
      <x:c r="E17" s="36" t="str">
        <x:v>Converte entradas de Dragões e fichas em dano, ajudando a fechar a partida. Risco: Tem alta percepção de ameaça e pode ser removido antes de render valor.</x:v>
      </x:c>
    </x:row>
    <x:row r="18" ht="48" customHeight="1">
      <x:c r="A18" s="36" t="str">
        <x:v>Ganax, Astral Hunter</x:v>
      </x:c>
      <x:c r="B18" s="36" t="str">
        <x:v>A</x:v>
      </x:c>
      <x:c r="C18" s="36" t="str">
        <x:v>INCLUSÃO PROPOSTA V2</x:v>
      </x:c>
      <x:c r="D18" s="36" t="str">
        <x:v>Tesouro</x:v>
      </x:c>
      <x:c r="E18" s="36" t="str">
        <x:v>Cada Dragão que entra, inclusive ficha de Lathliss, cria Tesouro. Risco: Precisa de várias entradas para superar ramp mais simples; ocupa o slot de cinco manas.</x:v>
      </x:c>
    </x:row>
    <x:row r="19" ht="48" customHeight="1">
      <x:c r="A19" s="36" t="str">
        <x:v>Dragonlord's Servant</x:v>
      </x:c>
      <x:c r="B19" s="36" t="str">
        <x:v>A</x:v>
      </x:c>
      <x:c r="C19" s="36" t="str">
        <x:v>INCLUSÃO PROPOSTA V2</x:v>
      </x:c>
      <x:c r="D19" s="36" t="str">
        <x:v>Ramp</x:v>
      </x:c>
      <x:c r="E19" s="36" t="str">
        <x:v>Redução de custo por duas manas que melhora o começo do jogo. Risco: Não é Dragão e não dispara Lathliss; corpo frágil.</x:v>
      </x:c>
    </x:row>
    <x:row r="20" ht="48" customHeight="1">
      <x:c r="A20" s="36" t="str">
        <x:v>Herald's Horn</x:v>
      </x:c>
      <x:c r="B20" s="36" t="str">
        <x:v>A</x:v>
      </x:c>
      <x:c r="C20" s="36" t="str">
        <x:v>INCLUSÃO PROPOSTA V2</x:v>
      </x:c>
      <x:c r="D20" s="36" t="str">
        <x:v>Ramp</x:v>
      </x:c>
      <x:c r="E20" s="36" t="str">
        <x:v>Reduz custos tribais e filtra criaturas no topo durante a manutenção. Risco: A seleção não é compra garantida e custa três manas para entrar.</x:v>
      </x:c>
    </x:row>
    <x:row r="21" ht="48" customHeight="1">
      <x:c r="A21" s="36" t="str">
        <x:v>Chandra's Ignition</x:v>
      </x:c>
      <x:c r="B21" s="36" t="str">
        <x:v>A</x:v>
      </x:c>
      <x:c r="C21" s="36" t="str">
        <x:v>INCLUSÃO PROPOSTA V2</x:v>
      </x:c>
      <x:c r="D21" s="36" t="str">
        <x:v>Removal</x:v>
      </x:c>
      <x:c r="E21" s="36" t="str">
        <x:v>Usa o poder de um Dragão grande para limpar criaturas e causar dano aos oponentes. Risco: Também atinge suas outras criaturas; exige uma fonte grande de poder.</x:v>
      </x:c>
    </x:row>
    <x:row r="22" ht="48" customHeight="1">
      <x:c r="A22" s="36" t="str">
        <x:v>Powerbalance</x:v>
      </x:c>
      <x:c r="B22" s="36" t="str">
        <x:v>D</x:v>
      </x:c>
      <x:c r="C22" s="36" t="str">
        <x:v>CURRENT → CORTAR NA V2</x:v>
      </x:c>
      <x:c r="D22" s="36" t="str">
        <x:v>Sinergia 3</x:v>
      </x:c>
      <x:c r="E22" s="36" t="str">
        <x:v>Depende de o valor de mana da mágica adversária coincidir com o topo do seu grimório.</x:v>
      </x:c>
    </x:row>
    <x:row r="23" ht="48" customHeight="1">
      <x:c r="A23" s="36" t="str">
        <x:v>Browbeat</x:v>
      </x:c>
      <x:c r="B23" s="36" t="str">
        <x:v>C</x:v>
      </x:c>
      <x:c r="C23" s="36" t="str">
        <x:v>CURRENT → CORTAR NA V2</x:v>
      </x:c>
      <x:c r="D23" s="36" t="str">
        <x:v>Draw</x:v>
      </x:c>
      <x:c r="E23" s="36" t="str">
        <x:v>A escolha é do oponente; como compra, é pouco confiável.</x:v>
      </x:c>
    </x:row>
    <x:row r="24" ht="48" customHeight="1">
      <x:c r="A24" s="36" t="str">
        <x:v>Temple of the False God</x:v>
      </x:c>
      <x:c r="B24" s="36" t="str">
        <x:v>D</x:v>
      </x:c>
      <x:c r="C24" s="36" t="str">
        <x:v>CURRENT → CORTAR NA V2</x:v>
      </x:c>
      <x:c r="D24" s="36" t="str">
        <x:v>Ramp</x:v>
      </x:c>
      <x:c r="E24" s="36" t="str">
        <x:v>Terreno condicional que é fraco na mão inicial.</x:v>
      </x:c>
    </x:row>
    <x:row r="25" ht="48" customHeight="1">
      <x:c r="C25" s="24"/>
    </x:row>
    <x:row r="26" ht="48" customHeight="1">
      <x:c r="C26" s="24"/>
    </x:row>
    <x:row r="27" ht="48" customHeight="1">
      <x:c r="C27" s="24"/>
    </x:row>
    <x:row r="28" ht="48" customHeight="1">
      <x:c r="C28" s="24"/>
    </x:row>
    <x:row r="29" ht="48" customHeight="1">
      <x:c r="C29" s="24"/>
    </x:row>
    <x:row r="30" ht="48" customHeight="1">
      <x:c r="C30" s="24"/>
    </x:row>
    <x:row r="31" ht="48" customHeight="1">
      <x:c r="C31" s="24"/>
    </x:row>
    <x:row r="32" ht="48" customHeight="1">
      <x:c r="C32" s="24"/>
    </x:row>
    <x:row r="33" ht="48" customHeight="1">
      <x:c r="C33" s="24"/>
    </x:row>
    <x:row r="34" ht="48" customHeight="1">
      <x:c r="C34" s="24"/>
    </x:row>
    <x:row r="35" ht="48" customHeight="1">
      <x:c r="C35" s="24"/>
    </x:row>
    <x:row r="36" ht="48" customHeight="1">
      <x:c r="C36" s="24"/>
    </x:row>
    <x:row r="37" ht="48" customHeight="1">
      <x:c r="C37" s="24"/>
    </x:row>
    <x:row r="38" ht="48" customHeight="1">
      <x:c r="C38" s="24"/>
    </x:row>
    <x:row r="39" ht="48" customHeight="1">
      <x:c r="C39" s="24"/>
    </x:row>
    <x:row r="40" ht="48" customHeight="1">
      <x:c r="C40" s="2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68" hidden="0" customWidth="1"/>
    <x:col min="3" max="3" width="58" hidden="0" customWidth="1"/>
    <x:col min="4" max="4" width="72" hidden="0" customWidth="1"/>
  </x:cols>
  <x:sheetData>
    <x:row r="1" ht="32" customHeight="1">
      <x:c r="A1" s="71" t="str">
        <x:v>Fonte</x:v>
      </x:c>
      <x:c r="B1" s="71" t="str">
        <x:v>URL</x:v>
      </x:c>
      <x:c r="C1" s="71" t="str">
        <x:v>O que sustenta</x:v>
      </x:c>
      <x:c r="D1" s="71" t="str">
        <x:v>Como foi usada</x:v>
      </x:c>
      <x:c r="E1" s="24"/>
      <x:c r="F1" s="24"/>
      <x:c r="G1" s="24"/>
      <x:c r="H1" s="24"/>
      <x:c r="I1" s="24"/>
      <x:c r="J1" s="24"/>
      <x:c r="K1" s="24"/>
      <x:c r="L1" s="24"/>
      <x:c r="M1" s="24"/>
    </x:row>
    <x:row r="2" ht="44" customHeight="1">
      <x:c r="A2" s="72" t="str">
        <x:v>Scryfall — Lathliss</x:v>
      </x:c>
      <x:c r="B2" s="72" t="str">
        <x:v>https://scryfall.com/card/m19/149/lathliss-dragon-queen</x:v>
      </x:c>
      <x:c r="C2" s="72" t="str">
        <x:v>Texto Oracle e habilidade de gerar fichas.</x:v>
      </x:c>
      <x:c r="D2" s="72" t="str">
        <x:v>Autoridade para regras e texto; confirmar Oracle atual nas interações críticas.</x:v>
      </x:c>
    </x:row>
    <x:row r="3" ht="44" customHeight="1">
      <x:c r="A3" s="72" t="str">
        <x:v>EDH.Wiki — Lathliss / Dragons</x:v>
      </x:c>
      <x:c r="B3" s="72" t="str">
        <x:v>https://edh.wiki/commanders/lathliss-dragon-queen/dragons/</x:v>
      </x:c>
      <x:c r="C3" s="72" t="str">
        <x:v>Estratégia e papéis frequentes do arquétipo.</x:v>
      </x:c>
      <x:c r="D3" s="72" t="str">
        <x:v>Benchmark de estratégia, não prescrição automática.</x:v>
      </x:c>
    </x:row>
    <x:row r="4" ht="44" customHeight="1">
      <x:c r="A4" s="72" t="str">
        <x:v>EDHREC — Lathliss Optimized</x:v>
      </x:c>
      <x:c r="B4" s="72" t="str">
        <x:v>https://edhrec.com/commanders/lathliss-dragon-queen/optimized</x:v>
      </x:c>
      <x:c r="C4" s="72" t="str">
        <x:v>Frequência atual de reducers, payoffs, compra e ramp.</x:v>
      </x:c>
      <x:c r="D4" s="72" t="str">
        <x:v>Snapshot consultado em 2026-10; inclui listas com brackets configurados.</x:v>
      </x:c>
    </x:row>
    <x:row r="5" ht="44" customHeight="1">
      <x:c r="A5" s="72" t="str">
        <x:v>EDHREC — Lathliss Optimized Dragons</x:v>
      </x:c>
      <x:c r="B5" s="72" t="str">
        <x:v>https://edhrec.com/commanders/lathliss-dragon-queen/optimized/dragons</x:v>
      </x:c>
      <x:c r="C5" s="72" t="str">
        <x:v>Pacotes de Dragões e funções.</x:v>
      </x:c>
      <x:c r="D5" s="72" t="str">
        <x:v>Usado para identificar Ancient Copper, Dragonhawk, Bonehoard e Knollspine como alternativas a avaliar.</x:v>
      </x:c>
    </x:row>
    <x:row r="6" ht="44" customHeight="1">
      <x:c r="A6" s="72" t="str">
        <x:v>Scryfall search — Dracogenesis</x:v>
      </x:c>
      <x:c r="B6" s="72" t="str">
        <x:v>https://scryfall.com/search?q=%21%22Dracogenesis%22</x:v>
      </x:c>
      <x:c r="C6" s="72" t="str">
        <x:v>Texto Oracle, legalidade e impressões.</x:v>
      </x:c>
      <x:c r="D6" s="72" t="str">
        <x:v>Payoff caro e condicional; não deve ser considerado bom em mãos sem Dragões.</x:v>
      </x:c>
    </x:row>
    <x:row r="7" ht="44" customHeight="1">
      <x:c r="A7" s="72" t="str">
        <x:v>Scryfall search — Bonehoard Dracosaur</x:v>
      </x:c>
      <x:c r="B7" s="72" t="str">
        <x:v>https://scryfall.com/search?q=%21%22Bonehoard+Dracosaur%22</x:v>
      </x:c>
      <x:c r="C7" s="72" t="str">
        <x:v>Texto Oracle e rulings.</x:v>
      </x:c>
      <x:c r="D7" s="72" t="str">
        <x:v>Motor recorrente de vantagem e geração de Tesouros/fichas.</x:v>
      </x:c>
    </x:row>
    <x:row r="8" ht="44" customHeight="1">
      <x:c r="A8" s="72" t="str">
        <x:v>Scryfall search — Dragonhawk</x:v>
      </x:c>
      <x:c r="B8" s="72" t="str">
        <x:v>https://scryfall.com/search?q=%21%22Dragonhawk%2C+Fate%27s+Tempest%22</x:v>
      </x:c>
      <x:c r="C8" s="72" t="str">
        <x:v>Texto Oracle e rulings.</x:v>
      </x:c>
      <x:c r="D8" s="72" t="str">
        <x:v>Vantagem impulsiva e dano no end step.</x:v>
      </x:c>
    </x:row>
    <x:row r="9" ht="44" customHeight="1">
      <x:c r="A9" s="72" t="str">
        <x:v>Scryfall search — Wrathful Red Dragon</x:v>
      </x:c>
      <x:c r="B9" s="72" t="str">
        <x:v>https://scryfall.com/search?q=%21%22Wrathful+Red+Dragon%22</x:v>
      </x:c>
      <x:c r="C9" s="72" t="str">
        <x:v>Texto Oracle e rulings.</x:v>
      </x:c>
      <x:c r="D9" s="72" t="str">
        <x:v>Interação com Chain Reaction e Blasphemous Act.</x:v>
      </x:c>
    </x:row>
    <x:row r="10" ht="44" customHeight="1">
      <x:c r="A10" s="72" t="str">
        <x:v>EDHREC — Krenko reference (shared tribal comparison)</x:v>
      </x:c>
      <x:c r="B10" s="72" t="str">
        <x:v>https://edhrec.com/commanders/krenko-mob-boss/optimized/goblins</x:v>
      </x:c>
      <x:c r="C10" s="72" t="str">
        <x:v>Benchmark usado apenas para estudo compartilhado do tribal mono-red.</x:v>
      </x:c>
      <x:c r="D10" s="72" t="str">
        <x:v>Não é fonte de estratégia de Dragões; comparação restrita a estrutura, não a pacotes específicos.</x:v>
      </x:c>
    </x:row>
    <x:row r="11" ht="52" customHeight="1">
      <x:c r="A11"/>
      <x:c r="B11"/>
      <x:c r="C11"/>
      <x:c r="D11"/>
    </x:row>
    <x:row r="12" ht="52" customHeight="1">
      <x:c r="A12"/>
      <x:c r="B12"/>
      <x:c r="C12"/>
      <x:c r="D12"/>
    </x:row>
    <x:row r="13" ht="52" customHeight="1">
      <x:c r="A13"/>
      <x:c r="B13"/>
      <x:c r="C13"/>
      <x:c r="D13"/>
    </x:row>
    <x:row r="14" ht="52" customHeight="1">
      <x:c r="A14"/>
      <x:c r="B14"/>
      <x:c r="C14"/>
      <x:c r="D14"/>
    </x:row>
    <x:row r="15" ht="52" customHeight="1">
      <x:c r="A15"/>
      <x:c r="B15"/>
      <x:c r="C15"/>
      <x:c r="D15"/>
    </x:row>
    <x:row r="16" ht="52" customHeight="1">
      <x:c r="A16"/>
      <x:c r="B16"/>
      <x:c r="C16"/>
      <x:c r="D16"/>
    </x:row>
    <x:row r="17" ht="52" customHeight="1">
      <x:c r="A17"/>
      <x:c r="B17"/>
      <x:c r="C17"/>
      <x:c r="D17"/>
    </x:row>
    <x:row r="18" ht="52" customHeight="1">
      <x:c r="A18"/>
      <x:c r="B18"/>
      <x:c r="C18"/>
      <x:c r="D18"/>
    </x:row>
    <x:row r="19" ht="52" customHeight="1">
      <x:c r="A19"/>
      <x:c r="B19"/>
      <x:c r="C19"/>
      <x:c r="D19"/>
    </x:row>
    <x:row r="20" ht="52" customHeight="1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7" hidden="0" customWidth="1"/>
    <x:col min="4" max="4" width="9" hidden="0" customWidth="1"/>
    <x:col min="5" max="5" width="13" hidden="0" customWidth="1"/>
    <x:col min="6" max="6" width="22" hidden="0" customWidth="1"/>
    <x:col min="7" max="7" width="25" hidden="0" customWidth="1"/>
    <x:col min="8" max="8" width="30" hidden="0" customWidth="1"/>
    <x:col min="9" max="9" width="30" hidden="0" customWidth="1"/>
    <x:col min="10" max="10" width="30" hidden="0" customWidth="1"/>
    <x:col min="11" max="11" width="25" hidden="0" customWidth="1"/>
    <x:col min="12" max="12" width="25" hidden="0" customWidth="1"/>
    <x:col min="13" max="13" width="35" hidden="0" customWidth="1"/>
  </x:cols>
  <x:sheetData>
    <x:row r="1" ht="35" customHeight="1">
      <x:c r="A1" s="47" t="str">
        <x:v>Data</x:v>
      </x:c>
      <x:c r="B1" s="47" t="str">
        <x:v>Versão do deck</x:v>
      </x:c>
      <x:c r="C1" s="47" t="str">
        <x:v>Pod / contexto de poder</x:v>
      </x:c>
      <x:c r="D1" s="47" t="str">
        <x:v>Assento</x:v>
      </x:c>
      <x:c r="E1" s="47" t="str">
        <x:v>Resultado</x:v>
      </x:c>
      <x:c r="F1" s="47" t="str">
        <x:v>Turno do plano online</x:v>
      </x:c>
      <x:c r="G1" s="47" t="str">
        <x:v>Mão inicial/mulligan</x:v>
      </x:c>
      <x:c r="H1" s="47" t="str">
        <x:v>Cartas que renderam acima</x:v>
      </x:c>
      <x:c r="I1" s="47" t="str">
        <x:v>Cartas que ficaram mortas</x:v>
      </x:c>
      <x:c r="J1" s="47" t="str">
        <x:v>Interação/wipes disponíveis</x:v>
      </x:c>
      <x:c r="K1" s="47" t="str">
        <x:v>Recuperação pós-wipe</x:v>
      </x:c>
      <x:c r="L1" s="47" t="str">
        <x:v>Como fechou a partida</x:v>
      </x:c>
      <x:c r="M1" s="47" t="str">
        <x:v>Decisão / próximo teste</x:v>
      </x:c>
    </x:row>
    <x:row r="2" ht="42" customHeight="1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3" ht="42" customHeight="1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 ht="42" customHeight="1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</x:row>
    <x:row r="5" ht="42" customHeight="1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</x:row>
    <x:row r="6" ht="42" customHeight="1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</x:row>
    <x:row r="7" ht="42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</x:row>
    <x:row r="8" ht="42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</x:row>
    <x:row r="9" ht="42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</x:row>
    <x:row r="10" ht="42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</x:row>
    <x:row r="11" ht="42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40" hidden="0" customWidth="1"/>
    <x:col min="4" max="4" width="20" hidden="0" customWidth="1"/>
    <x:col min="5" max="5" width="20" hidden="0" customWidth="1"/>
    <x:col min="6" max="6" width="18" hidden="0" customWidth="1"/>
    <x:col min="7" max="7" width="72" hidden="0" customWidth="1"/>
  </x:cols>
  <x:sheetData>
    <x:row r="1" ht="32" customHeight="1">
      <x:c r="A1" s="71" t="str">
        <x:v>Qtd.</x:v>
      </x:c>
      <x:c r="B1" s="71" t="str">
        <x:v>Nome da carta</x:v>
      </x:c>
      <x:c r="C1" s="71" t="str">
        <x:v>Impressão/metadados originais</x:v>
      </x:c>
      <x:c r="D1" s="71" t="str">
        <x:v>Grupo principal</x:v>
      </x:c>
      <x:c r="E1" s="71" t="str">
        <x:v>Tem opção de terreno?</x:v>
      </x:c>
      <x:c r="F1" s="71" t="str">
        <x:v>Estado</x:v>
      </x:c>
      <x:c r="G1" s="71" t="str">
        <x:v>Papel / interação</x:v>
      </x:c>
    </x:row>
    <x:row r="2">
      <x:c r="A2" s="74" t="n">
        <x:v>1</x:v>
      </x:c>
      <x:c r="B2" s="72" t="str">
        <x:v>Lathliss, Dragon Queen</x:v>
      </x:c>
      <x:c r="C2" s="72" t="str">
        <x:v>1 Lathliss, Dragon Queen (M19) 149</x:v>
      </x:c>
      <x:c r="D2" s="72" t="str">
        <x:v>Sinergia 1</x:v>
      </x:c>
      <x:c r="E2" s="72" t="str">
        <x:v>Não</x:v>
      </x:c>
      <x:c r="F2" s="72" t="str">
        <x:v>COMMANDER</x:v>
      </x:c>
      <x:c r="G2" s="72" t="str">
        <x:v>Comandante; cria uma ficha Dragão 5/5 voadora quando outro Dragão não ficha entra.</x:v>
      </x:c>
    </x:row>
    <x:row r="3">
      <x:c r="A3" s="74" t="n">
        <x:v>1</x:v>
      </x:c>
      <x:c r="B3" s="72" t="str">
        <x:v>Abstergo Entertainment</x:v>
      </x:c>
      <x:c r="C3" s="72" t="str">
        <x:v>1 Abstergo Entertainment (ACR) 79</x:v>
      </x:c>
      <x:c r="D3" s="72" t="str">
        <x:v>Ramp</x:v>
      </x:c>
      <x:c r="E3" s="72" t="str">
        <x:v>Sim — terreno</x:v>
      </x:c>
      <x:c r="F3" s="72" t="str">
        <x:v>PROPOSED V3</x:v>
      </x:c>
      <x:c r="G3" s="72" t="str">
        <x:v>Aceleração de mana ou redução de custo.</x:v>
      </x:c>
    </x:row>
    <x:row r="4">
      <x:c r="A4" s="74" t="n">
        <x:v>1</x:v>
      </x:c>
      <x:c r="B4" s="72" t="str">
        <x:v>Arcane Signet</x:v>
      </x:c>
      <x:c r="C4" s="72" t="str">
        <x:v>1 Arcane Signet (CLB) 298</x:v>
      </x:c>
      <x:c r="D4" s="72" t="str">
        <x:v>Ramp</x:v>
      </x:c>
      <x:c r="E4" s="72" t="str">
        <x:v>Não</x:v>
      </x:c>
      <x:c r="F4" s="72" t="str">
        <x:v>PROPOSED V3</x:v>
      </x:c>
      <x:c r="G4" s="72" t="str">
        <x:v>Aceleração de mana ou redução de custo.</x:v>
      </x:c>
    </x:row>
    <x:row r="5">
      <x:c r="A5" s="74" t="n">
        <x:v>1</x:v>
      </x:c>
      <x:c r="B5" s="72" t="str">
        <x:v>Arena of Glory</x:v>
      </x:c>
      <x:c r="C5" s="72" t="str">
        <x:v>1 Arena of Glory (MH3) 215</x:v>
      </x:c>
      <x:c r="D5" s="72" t="str">
        <x:v>Ramp</x:v>
      </x:c>
      <x:c r="E5" s="72" t="str">
        <x:v>Sim — terreno</x:v>
      </x:c>
      <x:c r="F5" s="72" t="str">
        <x:v>PROPOSED V3</x:v>
      </x:c>
      <x:c r="G5" s="72" t="str">
        <x:v>Aceleração de mana ou redução de custo.</x:v>
      </x:c>
    </x:row>
    <x:row r="6">
      <x:c r="A6" s="74" t="n">
        <x:v>1</x:v>
      </x:c>
      <x:c r="B6" s="72" t="str">
        <x:v>Balefire Dragon</x:v>
      </x:c>
      <x:c r="C6" s="72" t="str">
        <x:v>1 Balefire Dragon (CMM) 697</x:v>
      </x:c>
      <x:c r="D6" s="72" t="str">
        <x:v>Sinergia 2</x:v>
      </x:c>
      <x:c r="E6" s="72" t="str">
        <x:v>Não</x:v>
      </x:c>
      <x:c r="F6" s="72" t="str">
        <x:v>PROPOSED V3</x:v>
      </x:c>
      <x:c r="G6" s="72" t="str">
        <x:v>Amplifica dano, pressão ou valor gerado por Dragões.</x:v>
      </x:c>
    </x:row>
    <x:row r="7">
      <x:c r="A7" s="74" t="n">
        <x:v>1</x:v>
      </x:c>
      <x:c r="B7" s="72" t="str">
        <x:v>Belbe's Portal</x:v>
      </x:c>
      <x:c r="C7" s="72" t="str">
        <x:v>1 Belbe's Portal (PLST) NEM-127</x:v>
      </x:c>
      <x:c r="D7" s="72" t="str">
        <x:v>Ramp</x:v>
      </x:c>
      <x:c r="E7" s="72" t="str">
        <x:v>Não</x:v>
      </x:c>
      <x:c r="F7" s="72" t="str">
        <x:v>PROPOSED V3</x:v>
      </x:c>
      <x:c r="G7" s="72" t="str">
        <x:v>Aceleração de mana ou redução de custo.</x:v>
      </x:c>
    </x:row>
    <x:row r="8">
      <x:c r="A8" s="74" t="n">
        <x:v>1</x:v>
      </x:c>
      <x:c r="B8" s="72" t="str">
        <x:v>Carnelian Orb of Dragonkind</x:v>
      </x:c>
      <x:c r="C8" s="72" t="str">
        <x:v>1 Carnelian Orb of Dragonkind (CLB) 166</x:v>
      </x:c>
      <x:c r="D8" s="72" t="str">
        <x:v>Ramp</x:v>
      </x:c>
      <x:c r="E8" s="72" t="str">
        <x:v>Não</x:v>
      </x:c>
      <x:c r="F8" s="72" t="str">
        <x:v>PROPOSED V3</x:v>
      </x:c>
      <x:c r="G8" s="72" t="str">
        <x:v>Aceleração de mana ou redução de custo.</x:v>
      </x:c>
    </x:row>
    <x:row r="9">
      <x:c r="A9" s="74" t="n">
        <x:v>1</x:v>
      </x:c>
      <x:c r="B9" s="72" t="str">
        <x:v>Chain Reaction</x:v>
      </x:c>
      <x:c r="C9" s="72" t="str">
        <x:v>1 Chain Reaction (CLB) 783</x:v>
      </x:c>
      <x:c r="D9" s="72" t="str">
        <x:v>Removal</x:v>
      </x:c>
      <x:c r="E9" s="72" t="str">
        <x:v>Não</x:v>
      </x:c>
      <x:c r="F9" s="72" t="str">
        <x:v>PROPOSED V3</x:v>
      </x:c>
      <x:c r="G9" s="72" t="str">
        <x:v>Resposta a ameaças; verificar a cobertura e se o efeito é simétrico.</x:v>
      </x:c>
    </x:row>
    <x:row r="10">
      <x:c r="A10" s="74" t="n">
        <x:v>1</x:v>
      </x:c>
      <x:c r="B10" s="72" t="str">
        <x:v>Chaos Warp</x:v>
      </x:c>
      <x:c r="C10" s="72" t="str">
        <x:v>1 Chaos Warp (CLB) 785</x:v>
      </x:c>
      <x:c r="D10" s="72" t="str">
        <x:v>Removal</x:v>
      </x:c>
      <x:c r="E10" s="72" t="str">
        <x:v>Não</x:v>
      </x:c>
      <x:c r="F10" s="72" t="str">
        <x:v>PROPOSED V3</x:v>
      </x:c>
      <x:c r="G10" s="72" t="str">
        <x:v>Resposta a ameaças; verificar a cobertura e se o efeito é simétrico.</x:v>
      </x:c>
    </x:row>
    <x:row r="11">
      <x:c r="A11" s="74" t="n">
        <x:v>1</x:v>
      </x:c>
      <x:c r="B11" s="72" t="str">
        <x:v>Curse of Opulence</x:v>
      </x:c>
      <x:c r="C11" s="72" t="str">
        <x:v>1 Curse of Opulence (CLB) 786</x:v>
      </x:c>
      <x:c r="D11" s="72" t="str">
        <x:v>Tesouro</x:v>
      </x:c>
      <x:c r="E11" s="72" t="str">
        <x:v>Não</x:v>
      </x:c>
      <x:c r="F11" s="72" t="str">
        <x:v>PROPOSED V3</x:v>
      </x:c>
      <x:c r="G11" s="72" t="str">
        <x:v>Produz Tesouros ou converte combate/Dragões em mana.</x:v>
      </x:c>
    </x:row>
    <x:row r="12">
      <x:c r="A12" s="74" t="n">
        <x:v>1</x:v>
      </x:c>
      <x:c r="B12" s="72" t="str">
        <x:v>Cursed Mirror</x:v>
      </x:c>
      <x:c r="C12" s="72" t="str">
        <x:v>1 Cursed Mirror (MH3) 279</x:v>
      </x:c>
      <x:c r="D12" s="72" t="str">
        <x:v>Ramp</x:v>
      </x:c>
      <x:c r="E12" s="72" t="str">
        <x:v>Não</x:v>
      </x:c>
      <x:c r="F12" s="72" t="str">
        <x:v>PROPOSED V3</x:v>
      </x:c>
      <x:c r="G12" s="72" t="str">
        <x:v>Aceleração de mana ou redução de custo.</x:v>
      </x:c>
    </x:row>
    <x:row r="13">
      <x:c r="A13" s="74" t="n">
        <x:v>1</x:v>
      </x:c>
      <x:c r="B13" s="72" t="str">
        <x:v>Demand Answers</x:v>
      </x:c>
      <x:c r="C13" s="72" t="str">
        <x:v>1 Demand Answers (MKM) 306</x:v>
      </x:c>
      <x:c r="D13" s="72" t="str">
        <x:v>Draw</x:v>
      </x:c>
      <x:c r="E13" s="72" t="str">
        <x:v>Não</x:v>
      </x:c>
      <x:c r="F13" s="72" t="str">
        <x:v>PROPOSED V3</x:v>
      </x:c>
      <x:c r="G13" s="72" t="str">
        <x:v>Compra, seleção ou recuperação de cartas.</x:v>
      </x:c>
    </x:row>
    <x:row r="14">
      <x:c r="A14" s="74" t="n">
        <x:v>1</x:v>
      </x:c>
      <x:c r="B14" s="72" t="str">
        <x:v>Dragon Tempest</x:v>
      </x:c>
      <x:c r="C14" s="72" t="str">
        <x:v>1 Dragon Tempest (IMA) 125</x:v>
      </x:c>
      <x:c r="D14" s="72" t="str">
        <x:v>Sinergia 1</x:v>
      </x:c>
      <x:c r="E14" s="72" t="str">
        <x:v>Não</x:v>
      </x:c>
      <x:c r="F14" s="72" t="str">
        <x:v>PROPOSED V3</x:v>
      </x:c>
      <x:c r="G14" s="72" t="str">
        <x:v>Concede ímpeto aos Dragões que entram e causa dano escalável por entradas.</x:v>
      </x:c>
    </x:row>
    <x:row r="15">
      <x:c r="A15" s="74" t="n">
        <x:v>1</x:v>
      </x:c>
      <x:c r="B15" s="72" t="str">
        <x:v>Dragon's Hoard</x:v>
      </x:c>
      <x:c r="C15" s="72" t="str">
        <x:v>1 Dragon's Hoard (CLB) 858</x:v>
      </x:c>
      <x:c r="D15" s="72" t="str">
        <x:v>Ramp</x:v>
      </x:c>
      <x:c r="E15" s="72" t="str">
        <x:v>Não</x:v>
      </x:c>
      <x:c r="F15" s="72" t="str">
        <x:v>PROPOSED V3</x:v>
      </x:c>
      <x:c r="G15" s="72" t="str">
        <x:v>Aceleração de mana ou redução de custo.</x:v>
      </x:c>
    </x:row>
    <x:row r="16">
      <x:c r="A16" s="74" t="n">
        <x:v>1</x:v>
      </x:c>
      <x:c r="B16" s="72" t="str">
        <x:v>Dragonspeaker Shaman</x:v>
      </x:c>
      <x:c r="C16" s="72" t="str">
        <x:v>1 Dragonspeaker Shaman (AFC) 330</x:v>
      </x:c>
      <x:c r="D16" s="72" t="str">
        <x:v>Ramp</x:v>
      </x:c>
      <x:c r="E16" s="72" t="str">
        <x:v>Não</x:v>
      </x:c>
      <x:c r="F16" s="72" t="str">
        <x:v>PROPOSED V3</x:v>
      </x:c>
      <x:c r="G16" s="72" t="str">
        <x:v>Aceleração de mana ou redução de custo.</x:v>
      </x:c>
    </x:row>
    <x:row r="17">
      <x:c r="A17" s="74" t="n">
        <x:v>1</x:v>
      </x:c>
      <x:c r="B17" s="72" t="str">
        <x:v>Faithless Looting</x:v>
      </x:c>
      <x:c r="C17" s="72" t="str">
        <x:v>1 Faithless Looting (CMM) 220</x:v>
      </x:c>
      <x:c r="D17" s="72" t="str">
        <x:v>Draw</x:v>
      </x:c>
      <x:c r="E17" s="72" t="str">
        <x:v>Não</x:v>
      </x:c>
      <x:c r="F17" s="72" t="str">
        <x:v>PROPOSED V3</x:v>
      </x:c>
      <x:c r="G17" s="72" t="str">
        <x:v>Compra, seleção ou recuperação de cartas.</x:v>
      </x:c>
    </x:row>
    <x:row r="18">
      <x:c r="A18" s="74" t="n">
        <x:v>1</x:v>
      </x:c>
      <x:c r="B18" s="72" t="str">
        <x:v>Fiendish Duo</x:v>
      </x:c>
      <x:c r="C18" s="72" t="str">
        <x:v>1 Fiendish Duo (MKC) 153</x:v>
      </x:c>
      <x:c r="D18" s="72" t="str">
        <x:v>Sinergia 2</x:v>
      </x:c>
      <x:c r="E18" s="72" t="str">
        <x:v>Não</x:v>
      </x:c>
      <x:c r="F18" s="72" t="str">
        <x:v>PROPOSED V3</x:v>
      </x:c>
      <x:c r="G18" s="72" t="str">
        <x:v>Amplifica dano, pressão ou valor gerado por Dragões.</x:v>
      </x:c>
    </x:row>
    <x:row r="19">
      <x:c r="A19" s="74" t="n">
        <x:v>1</x:v>
      </x:c>
      <x:c r="B19" s="72" t="str">
        <x:v>Goldspan Dragon</x:v>
      </x:c>
      <x:c r="C19" s="72" t="str">
        <x:v>1 Goldspan Dragon (PLST) KHM-139</x:v>
      </x:c>
      <x:c r="D19" s="72" t="str">
        <x:v>Tesouro</x:v>
      </x:c>
      <x:c r="E19" s="72" t="str">
        <x:v>Não</x:v>
      </x:c>
      <x:c r="F19" s="72" t="str">
        <x:v>PROPOSED V3</x:v>
      </x:c>
      <x:c r="G19" s="72" t="str">
        <x:v>Produz Tesouros ou converte combate/Dragões em mana.</x:v>
      </x:c>
    </x:row>
    <x:row r="20">
      <x:c r="A20" s="74" t="n">
        <x:v>1</x:v>
      </x:c>
      <x:c r="B20" s="72" t="str">
        <x:v>Gratuitous Violence</x:v>
      </x:c>
      <x:c r="C20" s="72" t="str">
        <x:v>1 Gratuitous Violence (AFC) 127</x:v>
      </x:c>
      <x:c r="D20" s="72" t="str">
        <x:v>Sinergia 2</x:v>
      </x:c>
      <x:c r="E20" s="72" t="str">
        <x:v>Não</x:v>
      </x:c>
      <x:c r="F20" s="72" t="str">
        <x:v>PROPOSED V3</x:v>
      </x:c>
      <x:c r="G20" s="72" t="str">
        <x:v>Amplifica dano, pressão ou valor gerado por Dragões.</x:v>
      </x:c>
    </x:row>
    <x:row r="21">
      <x:c r="A21" s="74" t="n">
        <x:v>1</x:v>
      </x:c>
      <x:c r="B21" s="72" t="str">
        <x:v>Great Train Heist</x:v>
      </x:c>
      <x:c r="C21" s="72" t="str">
        <x:v>1 Great Train Heist (OTJ) 125</x:v>
      </x:c>
      <x:c r="D21" s="72" t="str">
        <x:v>Combate extra</x:v>
      </x:c>
      <x:c r="E21" s="72" t="str">
        <x:v>Não</x:v>
      </x:c>
      <x:c r="F21" s="72" t="str">
        <x:v>PROPOSED V3</x:v>
      </x:c>
      <x:c r="G21" s="72" t="str">
        <x:v>Cria ou facilita fases/turnos de combate adicionais.</x:v>
      </x:c>
    </x:row>
    <x:row r="22">
      <x:c r="A22" s="74" t="n">
        <x:v>1</x:v>
      </x:c>
      <x:c r="B22" s="72" t="str">
        <x:v>Hellkite Charger</x:v>
      </x:c>
      <x:c r="C22" s="72" t="str">
        <x:v>1 Hellkite Charger (CMM) 232</x:v>
      </x:c>
      <x:c r="D22" s="72" t="str">
        <x:v>Combate extra</x:v>
      </x:c>
      <x:c r="E22" s="72" t="str">
        <x:v>Não</x:v>
      </x:c>
      <x:c r="F22" s="72" t="str">
        <x:v>PROPOSED V3</x:v>
      </x:c>
      <x:c r="G22" s="72" t="str">
        <x:v>Cria ou facilita fases/turnos de combate adicionais.</x:v>
      </x:c>
    </x:row>
    <x:row r="23">
      <x:c r="A23" s="74" t="n">
        <x:v>1</x:v>
      </x:c>
      <x:c r="B23" s="72" t="str">
        <x:v>Hellkite Tyrant</x:v>
      </x:c>
      <x:c r="C23" s="72" t="str">
        <x:v>1 Hellkite Tyrant (RVR) 333 *F*</x:v>
      </x:c>
      <x:c r="D23" s="72" t="str">
        <x:v>Sinergia 3</x:v>
      </x:c>
      <x:c r="E23" s="72" t="str">
        <x:v>Não</x:v>
      </x:c>
      <x:c r="F23" s="72" t="str">
        <x:v>PROPOSED V3</x:v>
      </x:c>
      <x:c r="G23" s="72" t="str">
        <x:v>Apoia ímpeto, proteção, plano tribal ou combate.</x:v>
      </x:c>
    </x:row>
    <x:row r="24">
      <x:c r="A24" s="74" t="n">
        <x:v>1</x:v>
      </x:c>
      <x:c r="B24" s="72" t="str">
        <x:v>Horn of the Mark</x:v>
      </x:c>
      <x:c r="C24" s="72" t="str">
        <x:v>1 Horn of the Mark (LTR) 241</x:v>
      </x:c>
      <x:c r="D24" s="72" t="str">
        <x:v>Draw</x:v>
      </x:c>
      <x:c r="E24" s="72" t="str">
        <x:v>Não</x:v>
      </x:c>
      <x:c r="F24" s="72" t="str">
        <x:v>PROPOSED V3</x:v>
      </x:c>
      <x:c r="G24" s="72" t="str">
        <x:v>Compra, seleção ou recuperação de cartas.</x:v>
      </x:c>
    </x:row>
    <x:row r="25">
      <x:c r="A25" s="74" t="n">
        <x:v>1</x:v>
      </x:c>
      <x:c r="B25" s="72" t="str">
        <x:v>Incinerator of the Guilty</x:v>
      </x:c>
      <x:c r="C25" s="72" t="str">
        <x:v>1 Incinerator of the Guilty (MKM) 132</x:v>
      </x:c>
      <x:c r="D25" s="72" t="str">
        <x:v>Removal</x:v>
      </x:c>
      <x:c r="E25" s="72" t="str">
        <x:v>Não</x:v>
      </x:c>
      <x:c r="F25" s="72" t="str">
        <x:v>PROPOSED V3</x:v>
      </x:c>
      <x:c r="G25" s="72" t="str">
        <x:v>Resposta a ameaças; verificar a cobertura e se o efeito é simétrico.</x:v>
      </x:c>
    </x:row>
    <x:row r="26">
      <x:c r="A26" s="74" t="n">
        <x:v>1</x:v>
      </x:c>
      <x:c r="B26" s="72" t="str">
        <x:v>Insurrection</x:v>
      </x:c>
      <x:c r="C26" s="72" t="str">
        <x:v>1 Insurrection (ONS) 213</x:v>
      </x:c>
      <x:c r="D26" s="72" t="str">
        <x:v>Sinergia 3</x:v>
      </x:c>
      <x:c r="E26" s="72" t="str">
        <x:v>Não</x:v>
      </x:c>
      <x:c r="F26" s="72" t="str">
        <x:v>PROPOSED V3</x:v>
      </x:c>
      <x:c r="G26" s="72" t="str">
        <x:v>Apoia ímpeto, proteção, plano tribal ou combate.</x:v>
      </x:c>
    </x:row>
    <x:row r="27">
      <x:c r="A27" s="74" t="n">
        <x:v>1</x:v>
      </x:c>
      <x:c r="B27" s="72" t="str">
        <x:v>Manaform Hellkite</x:v>
      </x:c>
      <x:c r="C27" s="72" t="str">
        <x:v>1 Manaform Hellkite (PVOW) 170s *F*</x:v>
      </x:c>
      <x:c r="D27" s="72" t="str">
        <x:v>Sinergia 1</x:v>
      </x:c>
      <x:c r="E27" s="72" t="str">
        <x:v>Não</x:v>
      </x:c>
      <x:c r="F27" s="72" t="str">
        <x:v>PROPOSED V3</x:v>
      </x:c>
      <x:c r="G27" s="72" t="str">
        <x:v>Avança o motor de Dragões, entradas no campo ou geração de fichas.</x:v>
      </x:c>
    </x:row>
    <x:row r="28">
      <x:c r="A28" s="74" t="n">
        <x:v>1</x:v>
      </x:c>
      <x:c r="B28" s="72" t="str">
        <x:v>Mines of Moria</x:v>
      </x:c>
      <x:c r="C28" s="72" t="str">
        <x:v>1 Mines of Moria (LTR) 257</x:v>
      </x:c>
      <x:c r="D28" s="72" t="str">
        <x:v>Ramp</x:v>
      </x:c>
      <x:c r="E28" s="72" t="str">
        <x:v>Sim — terreno</x:v>
      </x:c>
      <x:c r="F28" s="72" t="str">
        <x:v>PROPOSED V3</x:v>
      </x:c>
      <x:c r="G28" s="72" t="str">
        <x:v>Aceleração de mana ou redução de custo.</x:v>
      </x:c>
    </x:row>
    <x:row r="29">
      <x:c r="A29" s="74" t="n">
        <x:v>1</x:v>
      </x:c>
      <x:c r="B29" s="72" t="str">
        <x:v>Mizzium Mortars</x:v>
      </x:c>
      <x:c r="C29" s="72" t="str">
        <x:v>1 Mizzium Mortars (GK1) 32</x:v>
      </x:c>
      <x:c r="D29" s="72" t="str">
        <x:v>Removal</x:v>
      </x:c>
      <x:c r="E29" s="72" t="str">
        <x:v>Não</x:v>
      </x:c>
      <x:c r="F29" s="72" t="str">
        <x:v>PROPOSED V3</x:v>
      </x:c>
      <x:c r="G29" s="72" t="str">
        <x:v>Resposta a ameaças; verificar a cobertura e se o efeito é simétrico.</x:v>
      </x:c>
    </x:row>
    <x:row r="30">
      <x:c r="A30" s="74" t="n">
        <x:v>1</x:v>
      </x:c>
      <x:c r="B30" s="72" t="str">
        <x:v>Molten Echoes</x:v>
      </x:c>
      <x:c r="C30" s="72" t="str">
        <x:v>1 Molten Echoes (VOC) 148</x:v>
      </x:c>
      <x:c r="D30" s="72" t="str">
        <x:v>Sinergia 1</x:v>
      </x:c>
      <x:c r="E30" s="72" t="str">
        <x:v>Não</x:v>
      </x:c>
      <x:c r="F30" s="72" t="str">
        <x:v>PROPOSED V3</x:v>
      </x:c>
      <x:c r="G30" s="72" t="str">
        <x:v>Cria cópias tribais temporárias, aumentando redundância e gatilhos de entrada.</x:v>
      </x:c>
    </x:row>
    <x:row r="31">
      <x:c r="A31" s="74" t="n">
        <x:v>24</x:v>
      </x:c>
      <x:c r="B31" s="72" t="str">
        <x:v>Mountain</x:v>
      </x:c>
      <x:c r="C31" s="72" t="str">
        <x:v>24 Mountain (MH3) 317 *F*</x:v>
      </x:c>
      <x:c r="D31" s="72" t="str">
        <x:v>Ramp</x:v>
      </x:c>
      <x:c r="E31" s="72" t="str">
        <x:v>Sim — terreno</x:v>
      </x:c>
      <x:c r="F31" s="72" t="str">
        <x:v>PROPOSED V3</x:v>
      </x:c>
      <x:c r="G31" s="72" t="str">
        <x:v>Aceleração de mana ou redução de custo.</x:v>
      </x:c>
    </x:row>
    <x:row r="32">
      <x:c r="A32" s="74" t="n">
        <x:v>1</x:v>
      </x:c>
      <x:c r="B32" s="72" t="str">
        <x:v>Overpowering Attack</x:v>
      </x:c>
      <x:c r="C32" s="72" t="str">
        <x:v>1 Overpowering Attack (ACR) 37 *F*</x:v>
      </x:c>
      <x:c r="D32" s="72" t="str">
        <x:v>Combate extra</x:v>
      </x:c>
      <x:c r="E32" s="72" t="str">
        <x:v>Não</x:v>
      </x:c>
      <x:c r="F32" s="72" t="str">
        <x:v>PROPOSED V3</x:v>
      </x:c>
      <x:c r="G32" s="72" t="str">
        <x:v>Cria ou facilita fases/turnos de combate adicionais.</x:v>
      </x:c>
    </x:row>
    <x:row r="33">
      <x:c r="A33" s="74" t="n">
        <x:v>1</x:v>
      </x:c>
      <x:c r="B33" s="72" t="str">
        <x:v>Path of Ancestry</x:v>
      </x:c>
      <x:c r="C33" s="72" t="str">
        <x:v>1 Path of Ancestry (CMR) 353</x:v>
      </x:c>
      <x:c r="D33" s="72" t="str">
        <x:v>Ramp</x:v>
      </x:c>
      <x:c r="E33" s="72" t="str">
        <x:v>Sim — terreno</x:v>
      </x:c>
      <x:c r="F33" s="72" t="str">
        <x:v>PROPOSED V3</x:v>
      </x:c>
      <x:c r="G33" s="72" t="str">
        <x:v>Aceleração de mana ou redução de custo.</x:v>
      </x:c>
    </x:row>
    <x:row r="34">
      <x:c r="A34" s="74" t="n">
        <x:v>1</x:v>
      </x:c>
      <x:c r="B34" s="72" t="str">
        <x:v>Pinnacle Monk</x:v>
      </x:c>
      <x:c r="C34" s="72" t="str">
        <x:v>1 Pinnacle Monk (MH3) 246 *F*</x:v>
      </x:c>
      <x:c r="D34" s="72" t="str">
        <x:v>Draw</x:v>
      </x:c>
      <x:c r="E34" s="72" t="str">
        <x:v>Sim — face-terreno</x:v>
      </x:c>
      <x:c r="F34" s="72" t="str">
        <x:v>PROPOSED V3</x:v>
      </x:c>
      <x:c r="G34" s="72" t="str">
        <x:v>Recupera uma instantânea ou feitiço do cemitério ao entrar; a face posterior é terreno.</x:v>
      </x:c>
    </x:row>
    <x:row r="35">
      <x:c r="A35" s="74" t="n">
        <x:v>1</x:v>
      </x:c>
      <x:c r="B35" s="72" t="str">
        <x:v>Rapacious Dragon</x:v>
      </x:c>
      <x:c r="C35" s="72" t="str">
        <x:v>1 Rapacious Dragon (JMP) 358</x:v>
      </x:c>
      <x:c r="D35" s="72" t="str">
        <x:v>Tesouro</x:v>
      </x:c>
      <x:c r="E35" s="72" t="str">
        <x:v>Não</x:v>
      </x:c>
      <x:c r="F35" s="72" t="str">
        <x:v>PROPOSED V3</x:v>
      </x:c>
      <x:c r="G35" s="72" t="str">
        <x:v>Produz Tesouros ou converte combate/Dragões em mana.</x:v>
      </x:c>
    </x:row>
    <x:row r="36">
      <x:c r="A36" s="74" t="n">
        <x:v>1</x:v>
      </x:c>
      <x:c r="B36" s="72" t="str">
        <x:v>Rising of the Day</x:v>
      </x:c>
      <x:c r="C36" s="72" t="str">
        <x:v>1 Rising of the Day (LTR) 145</x:v>
      </x:c>
      <x:c r="D36" s="72" t="str">
        <x:v>Sinergia 3</x:v>
      </x:c>
      <x:c r="E36" s="72" t="str">
        <x:v>Não</x:v>
      </x:c>
      <x:c r="F36" s="72" t="str">
        <x:v>PROPOSED V3</x:v>
      </x:c>
      <x:c r="G36" s="72" t="str">
        <x:v>Apoia ímpeto, proteção, plano tribal ou combate.</x:v>
      </x:c>
    </x:row>
    <x:row r="37">
      <x:c r="A37" s="74" t="n">
        <x:v>1</x:v>
      </x:c>
      <x:c r="B37" s="72" t="str">
        <x:v>Roaming Throne</x:v>
      </x:c>
      <x:c r="C37" s="72" t="str">
        <x:v>1 Roaming Throne (LCI) 258</x:v>
      </x:c>
      <x:c r="D37" s="72" t="str">
        <x:v>Sinergia 1</x:v>
      </x:c>
      <x:c r="E37" s="72" t="str">
        <x:v>Não</x:v>
      </x:c>
      <x:c r="F37" s="72" t="str">
        <x:v>PROPOSED V3</x:v>
      </x:c>
      <x:c r="G37" s="72" t="str">
        <x:v>Ao escolher Dragon, pode duplicar gatilhos relevantes de Dragões, incluindo o de Lathliss.</x:v>
      </x:c>
    </x:row>
    <x:row r="38">
      <x:c r="A38" s="74" t="n">
        <x:v>1</x:v>
      </x:c>
      <x:c r="B38" s="72" t="str">
        <x:v>Ryusei, the Falling Star</x:v>
      </x:c>
      <x:c r="C38" s="72" t="str">
        <x:v>1 Ryusei, the Falling Star (CLB) 806</x:v>
      </x:c>
      <x:c r="D38" s="72" t="str">
        <x:v>Sinergia 2</x:v>
      </x:c>
      <x:c r="E38" s="72" t="str">
        <x:v>Não</x:v>
      </x:c>
      <x:c r="F38" s="72" t="str">
        <x:v>PROPOSED V3</x:v>
      </x:c>
      <x:c r="G38" s="72" t="str">
        <x:v>Amplifica dano, pressão ou valor gerado por Dragões.</x:v>
      </x:c>
    </x:row>
    <x:row r="39">
      <x:c r="A39" s="74" t="n">
        <x:v>1</x:v>
      </x:c>
      <x:c r="B39" s="72" t="str">
        <x:v>Sarkhan's Triumph</x:v>
      </x:c>
      <x:c r="C39" s="72" t="str">
        <x:v>1 Sarkhan's Triumph (DTK) 154</x:v>
      </x:c>
      <x:c r="D39" s="72" t="str">
        <x:v>Sinergia 3</x:v>
      </x:c>
      <x:c r="E39" s="72" t="str">
        <x:v>Não</x:v>
      </x:c>
      <x:c r="F39" s="72" t="str">
        <x:v>PROPOSED V3</x:v>
      </x:c>
      <x:c r="G39" s="72" t="str">
        <x:v>Apoia ímpeto, proteção, plano tribal ou combate.</x:v>
      </x:c>
    </x:row>
    <x:row r="40">
      <x:c r="A40" s="74" t="n">
        <x:v>1</x:v>
      </x:c>
      <x:c r="B40" s="72" t="str">
        <x:v>Scourge of the Throne</x:v>
      </x:c>
      <x:c r="C40" s="72" t="str">
        <x:v>1 Scourge of the Throne (LTC) 225</x:v>
      </x:c>
      <x:c r="D40" s="72" t="str">
        <x:v>Combate extra</x:v>
      </x:c>
      <x:c r="E40" s="72" t="str">
        <x:v>Não</x:v>
      </x:c>
      <x:c r="F40" s="72" t="str">
        <x:v>PROPOSED V3</x:v>
      </x:c>
      <x:c r="G40" s="72" t="str">
        <x:v>Cria ou facilita fases/turnos de combate adicionais.</x:v>
      </x:c>
    </x:row>
    <x:row r="41">
      <x:c r="A41" s="74" t="n">
        <x:v>1</x:v>
      </x:c>
      <x:c r="B41" s="72" t="str">
        <x:v>Skyline Despot</x:v>
      </x:c>
      <x:c r="C41" s="72" t="str">
        <x:v>1 Skyline Despot (CMM) 254 *F*</x:v>
      </x:c>
      <x:c r="D41" s="72" t="str">
        <x:v>Draw</x:v>
      </x:c>
      <x:c r="E41" s="72" t="str">
        <x:v>Não</x:v>
      </x:c>
      <x:c r="F41" s="72" t="str">
        <x:v>PROPOSED V3</x:v>
      </x:c>
      <x:c r="G41" s="72" t="str">
        <x:v>Compra, seleção ou recuperação de cartas.</x:v>
      </x:c>
    </x:row>
    <x:row r="42">
      <x:c r="A42" s="74" t="n">
        <x:v>1</x:v>
      </x:c>
      <x:c r="B42" s="72" t="str">
        <x:v>Sol Ring</x:v>
      </x:c>
      <x:c r="C42" s="72" t="str">
        <x:v>1 Sol Ring (MKC) 237</x:v>
      </x:c>
      <x:c r="D42" s="72" t="str">
        <x:v>Ramp</x:v>
      </x:c>
      <x:c r="E42" s="72" t="str">
        <x:v>Não</x:v>
      </x:c>
      <x:c r="F42" s="72" t="str">
        <x:v>PROPOSED V3</x:v>
      </x:c>
      <x:c r="G42" s="72" t="str">
        <x:v>Aceleração de um mana para reduzir o tempo até Lathliss e ameaças de alto custo.</x:v>
      </x:c>
    </x:row>
    <x:row r="43">
      <x:c r="A43" s="74" t="n">
        <x:v>1</x:v>
      </x:c>
      <x:c r="B43" s="72" t="str">
        <x:v>Spikefield Hazard</x:v>
      </x:c>
      <x:c r="C43" s="72" t="str">
        <x:v>1 Spikefield Hazard (ZNR) 166</x:v>
      </x:c>
      <x:c r="D43" s="72" t="str">
        <x:v>Removal</x:v>
      </x:c>
      <x:c r="E43" s="72" t="str">
        <x:v>Sim — face-terreno</x:v>
      </x:c>
      <x:c r="F43" s="72" t="str">
        <x:v>PROPOSED V3</x:v>
      </x:c>
      <x:c r="G43" s="72" t="str">
        <x:v>Resposta a ameaças; verificar a cobertura e se o efeito é simétrico.</x:v>
      </x:c>
    </x:row>
    <x:row r="44">
      <x:c r="A44" s="74" t="n">
        <x:v>1</x:v>
      </x:c>
      <x:c r="B44" s="72" t="str">
        <x:v>Spinerock Knoll</x:v>
      </x:c>
      <x:c r="C44" s="72" t="str">
        <x:v>1 Spinerock Knoll (CLB) 916</x:v>
      </x:c>
      <x:c r="D44" s="72" t="str">
        <x:v>Ramp</x:v>
      </x:c>
      <x:c r="E44" s="72" t="str">
        <x:v>Sim — terreno</x:v>
      </x:c>
      <x:c r="F44" s="72" t="str">
        <x:v>PROPOSED V3</x:v>
      </x:c>
      <x:c r="G44" s="72" t="str">
        <x:v>Aceleração de mana ou redução de custo.</x:v>
      </x:c>
    </x:row>
    <x:row r="45">
      <x:c r="A45" s="74" t="n">
        <x:v>1</x:v>
      </x:c>
      <x:c r="B45" s="72" t="str">
        <x:v>Spiteful Banditry</x:v>
      </x:c>
      <x:c r="C45" s="72" t="str">
        <x:v>1 Spiteful Banditry (LTR) 149</x:v>
      </x:c>
      <x:c r="D45" s="72" t="str">
        <x:v>Removal</x:v>
      </x:c>
      <x:c r="E45" s="72" t="str">
        <x:v>Não</x:v>
      </x:c>
      <x:c r="F45" s="72" t="str">
        <x:v>PROPOSED V3</x:v>
      </x:c>
      <x:c r="G45" s="72" t="str">
        <x:v>Resposta a ameaças; verificar a cobertura e se o efeito é simétrico.</x:v>
      </x:c>
    </x:row>
    <x:row r="46">
      <x:c r="A46" s="74" t="n">
        <x:v>1</x:v>
      </x:c>
      <x:c r="B46" s="72" t="str">
        <x:v>Sundering Eruption</x:v>
      </x:c>
      <x:c r="C46" s="72" t="str">
        <x:v>1 Sundering Eruption (MH3) 248</x:v>
      </x:c>
      <x:c r="D46" s="72" t="str">
        <x:v>Removal</x:v>
      </x:c>
      <x:c r="E46" s="72" t="str">
        <x:v>Sim — face-terreno</x:v>
      </x:c>
      <x:c r="F46" s="72" t="str">
        <x:v>PROPOSED V3</x:v>
      </x:c>
      <x:c r="G46" s="72" t="str">
        <x:v>Resposta a ameaças; verificar a cobertura e se o efeito é simétrico.</x:v>
      </x:c>
    </x:row>
    <x:row r="47">
      <x:c r="A47" s="74" t="n">
        <x:v>1</x:v>
      </x:c>
      <x:c r="B47" s="72" t="str">
        <x:v>Territorial Hellkite</x:v>
      </x:c>
      <x:c r="C47" s="72" t="str">
        <x:v>1 Territorial Hellkite (C17) 29</x:v>
      </x:c>
      <x:c r="D47" s="72" t="str">
        <x:v>Sinergia 2</x:v>
      </x:c>
      <x:c r="E47" s="72" t="str">
        <x:v>Não</x:v>
      </x:c>
      <x:c r="F47" s="72" t="str">
        <x:v>PROPOSED V3</x:v>
      </x:c>
      <x:c r="G47" s="72" t="str">
        <x:v>Amplifica dano, pressão ou valor gerado por Dragões.</x:v>
      </x:c>
    </x:row>
    <x:row r="48">
      <x:c r="A48" s="74" t="n">
        <x:v>1</x:v>
      </x:c>
      <x:c r="B48" s="72" t="str">
        <x:v>The Legend of Roku</x:v>
      </x:c>
      <x:c r="C48" s="72" t="str">
        <x:v>1 The Legend of Roku (TLA) 145</x:v>
      </x:c>
      <x:c r="D48" s="72" t="str">
        <x:v>Sinergia 1</x:v>
      </x:c>
      <x:c r="E48" s="72" t="str">
        <x:v>Não</x:v>
      </x:c>
      <x:c r="F48" s="72" t="str">
        <x:v>PROPOSED V3</x:v>
      </x:c>
      <x:c r="G48" s="72" t="str">
        <x:v>Avança o motor de Dragões, entradas no campo ou geração de fichas.</x:v>
      </x:c>
    </x:row>
    <x:row r="49">
      <x:c r="A49" s="74" t="n">
        <x:v>1</x:v>
      </x:c>
      <x:c r="B49" s="72" t="str">
        <x:v>The Reaver Cleaver</x:v>
      </x:c>
      <x:c r="C49" s="72" t="str">
        <x:v>1 The Reaver Cleaver (DMC) 8</x:v>
      </x:c>
      <x:c r="D49" s="72" t="str">
        <x:v>Tesouro</x:v>
      </x:c>
      <x:c r="E49" s="72" t="str">
        <x:v>Não</x:v>
      </x:c>
      <x:c r="F49" s="72" t="str">
        <x:v>PROPOSED V3</x:v>
      </x:c>
      <x:c r="G49" s="72" t="str">
        <x:v>Produz Tesouros ou converte combate/Dragões em mana.</x:v>
      </x:c>
    </x:row>
    <x:row r="50">
      <x:c r="A50" s="74" t="n">
        <x:v>1</x:v>
      </x:c>
      <x:c r="B50" s="72" t="str">
        <x:v>Torbran, Thane of Red Fell</x:v>
      </x:c>
      <x:c r="C50" s="72" t="str">
        <x:v>1 Torbran, Thane of Red Fell (PELD) 147p *F*</x:v>
      </x:c>
      <x:c r="D50" s="72" t="str">
        <x:v>Sinergia 2</x:v>
      </x:c>
      <x:c r="E50" s="72" t="str">
        <x:v>Não</x:v>
      </x:c>
      <x:c r="F50" s="72" t="str">
        <x:v>PROPOSED V3</x:v>
      </x:c>
      <x:c r="G50" s="72" t="str">
        <x:v>Amplifica dano, pressão ou valor gerado por Dragões.</x:v>
      </x:c>
    </x:row>
    <x:row r="51">
      <x:c r="A51" s="74" t="n">
        <x:v>1</x:v>
      </x:c>
      <x:c r="B51" s="72" t="str">
        <x:v>Utvara Hellkite</x:v>
      </x:c>
      <x:c r="C51" s="72" t="str">
        <x:v>1 Utvara Hellkite (RTR) 110</x:v>
      </x:c>
      <x:c r="D51" s="72" t="str">
        <x:v>Sinergia 1</x:v>
      </x:c>
      <x:c r="E51" s="72" t="str">
        <x:v>Não</x:v>
      </x:c>
      <x:c r="F51" s="72" t="str">
        <x:v>PROPOSED V3</x:v>
      </x:c>
      <x:c r="G51" s="72" t="str">
        <x:v>Avança o motor de Dragões, entradas no campo ou geração de fichas.</x:v>
      </x:c>
    </x:row>
    <x:row r="52">
      <x:c r="A52" s="74" t="n">
        <x:v>1</x:v>
      </x:c>
      <x:c r="B52" s="72" t="str">
        <x:v>Vandalblast</x:v>
      </x:c>
      <x:c r="C52" s="72" t="str">
        <x:v>1 Vandalblast (CMM) 646</x:v>
      </x:c>
      <x:c r="D52" s="72" t="str">
        <x:v>Removal</x:v>
      </x:c>
      <x:c r="E52" s="72" t="str">
        <x:v>Não</x:v>
      </x:c>
      <x:c r="F52" s="72" t="str">
        <x:v>PROPOSED V3</x:v>
      </x:c>
      <x:c r="G52" s="72" t="str">
        <x:v>Sobrecarga limpa artefatos dos oponentes sem atingir os seus.</x:v>
      </x:c>
    </x:row>
    <x:row r="53">
      <x:c r="A53" s="74" t="n">
        <x:v>1</x:v>
      </x:c>
      <x:c r="B53" s="72" t="str">
        <x:v>Vengeful Ancestor</x:v>
      </x:c>
      <x:c r="C53" s="72" t="str">
        <x:v>1 Vengeful Ancestor (CLB) 812</x:v>
      </x:c>
      <x:c r="D53" s="72" t="str">
        <x:v>Sinergia 2</x:v>
      </x:c>
      <x:c r="E53" s="72" t="str">
        <x:v>Não</x:v>
      </x:c>
      <x:c r="F53" s="72" t="str">
        <x:v>PROPOSED V3</x:v>
      </x:c>
      <x:c r="G53" s="72" t="str">
        <x:v>Amplifica dano, pressão ou valor gerado por Dragões.</x:v>
      </x:c>
    </x:row>
    <x:row r="54">
      <x:c r="A54" s="74" t="n">
        <x:v>1</x:v>
      </x:c>
      <x:c r="B54" s="72" t="str">
        <x:v>Wild Wasteland</x:v>
      </x:c>
      <x:c r="C54" s="72" t="str">
        <x:v>1 Wild Wasteland (PIP) 599 *F*</x:v>
      </x:c>
      <x:c r="D54" s="72" t="str">
        <x:v>Draw</x:v>
      </x:c>
      <x:c r="E54" s="72" t="str">
        <x:v>Não</x:v>
      </x:c>
      <x:c r="F54" s="72" t="str">
        <x:v>PROPOSED V3</x:v>
      </x:c>
      <x:c r="G54" s="72" t="str">
        <x:v>Motor de compra impulsiva; pula a compra natural e exila duas cartas no início da manutenção.</x:v>
      </x:c>
    </x:row>
    <x:row r="55">
      <x:c r="A55" s="74" t="n">
        <x:v>1</x:v>
      </x:c>
      <x:c r="B55" s="72" t="str">
        <x:v>The One Ring</x:v>
      </x:c>
      <x:c r="C55" s="72" t="str">
        <x:v>Sugestão nova — impressão não definida</x:v>
      </x:c>
      <x:c r="D55" s="72" t="str">
        <x:v>Draw</x:v>
      </x:c>
      <x:c r="E55" s="72" t="str">
        <x:v>Não</x:v>
      </x:c>
      <x:c r="F55" s="72" t="str">
        <x:v>PROPOSED V3</x:v>
      </x:c>
      <x:c r="G55" s="72" t="str">
        <x:v>Compra escalável e proteção temporária; o custo em vida/percepção de ameaça é um trade-off.</x:v>
      </x:c>
    </x:row>
    <x:row r="56">
      <x:c r="A56" s="74" t="n">
        <x:v>1</x:v>
      </x:c>
      <x:c r="B56" s="72" t="str">
        <x:v>Jeska's Will</x:v>
      </x:c>
      <x:c r="C56" s="72" t="str">
        <x:v>Sugestão nova — impressão não definida</x:v>
      </x:c>
      <x:c r="D56" s="72" t="str">
        <x:v>Ramp</x:v>
      </x:c>
      <x:c r="E56" s="72" t="str">
        <x:v>Não</x:v>
      </x:c>
      <x:c r="F56" s="72" t="str">
        <x:v>PROPOSED V3</x:v>
      </x:c>
      <x:c r="G56" s="72" t="str">
        <x:v>Mana explosiva e acesso impulsivo a cartas; com comandante em campo, pode usar os dois modos.</x:v>
      </x:c>
    </x:row>
    <x:row r="57">
      <x:c r="A57" s="74" t="n">
        <x:v>1</x:v>
      </x:c>
      <x:c r="B57" s="72" t="str">
        <x:v>Wrathful Red Dragon</x:v>
      </x:c>
      <x:c r="C57" s="72" t="str">
        <x:v>Sugestão nova — impressão não definida</x:v>
      </x:c>
      <x:c r="D57" s="72" t="str">
        <x:v>Sinergia 3</x:v>
      </x:c>
      <x:c r="E57" s="72" t="str">
        <x:v>Não</x:v>
      </x:c>
      <x:c r="F57" s="72" t="str">
        <x:v>PROPOSED V3</x:v>
      </x:c>
      <x:c r="G57" s="72" t="str">
        <x:v>Converte dano recebido pelos seus Dragões em dano direcionado; combina com Chain Reaction.</x:v>
      </x:c>
    </x:row>
    <x:row r="58">
      <x:c r="A58" s="74" t="n">
        <x:v>1</x:v>
      </x:c>
      <x:c r="B58" s="72" t="str">
        <x:v>Ruby Medallion</x:v>
      </x:c>
      <x:c r="C58" s="72" t="str">
        <x:v>Sugestão nova — impressão não definida</x:v>
      </x:c>
      <x:c r="D58" s="72" t="str">
        <x:v>Ramp</x:v>
      </x:c>
      <x:c r="E58" s="72" t="str">
        <x:v>Não</x:v>
      </x:c>
      <x:c r="F58" s="72" t="str">
        <x:v>PROPOSED V3</x:v>
      </x:c>
      <x:c r="G58" s="72" t="str">
        <x:v>Reduz o componente genérico do custo de mágicas vermelhas.</x:v>
      </x:c>
    </x:row>
    <x:row r="59">
      <x:c r="A59" s="74" t="n">
        <x:v>1</x:v>
      </x:c>
      <x:c r="B59" s="72" t="str">
        <x:v>Earthquake</x:v>
      </x:c>
      <x:c r="C59" s="72" t="str">
        <x:v>Sugestão nova — impressão não definida</x:v>
      </x:c>
      <x:c r="D59" s="72" t="str">
        <x:v>Removal</x:v>
      </x:c>
      <x:c r="E59" s="72" t="str">
        <x:v>Não</x:v>
      </x:c>
      <x:c r="F59" s="72" t="str">
        <x:v>PROPOSED V3</x:v>
      </x:c>
      <x:c r="G59" s="72" t="str">
        <x:v>Resposta a ameaças; verificar a cobertura e se o efeito é simétrico.</x:v>
      </x:c>
    </x:row>
    <x:row r="60">
      <x:c r="A60" s="74" t="n">
        <x:v>1</x:v>
      </x:c>
      <x:c r="B60" s="72" t="str">
        <x:v>Scourge of Valkas</x:v>
      </x:c>
      <x:c r="C60" s="72" t="str">
        <x:v>Sugestão nova — impressão não definida</x:v>
      </x:c>
      <x:c r="D60" s="72" t="str">
        <x:v>Sinergia 1</x:v>
      </x:c>
      <x:c r="E60" s="72" t="str">
        <x:v>Não</x:v>
      </x:c>
      <x:c r="F60" s="72" t="str">
        <x:v>PROPOSED V3</x:v>
      </x:c>
      <x:c r="G60" s="72" t="str">
        <x:v>Avança o motor de Dragões, entradas no campo ou geração de fichas.</x:v>
      </x:c>
    </x:row>
    <x:row r="61">
      <x:c r="A61" s="74" t="n">
        <x:v>1</x:v>
      </x:c>
      <x:c r="B61" s="72" t="str">
        <x:v>Dragonlord's Servant</x:v>
      </x:c>
      <x:c r="C61" s="72" t="str">
        <x:v>Sugestão nova — impressão não definida</x:v>
      </x:c>
      <x:c r="D61" s="72" t="str">
        <x:v>Ramp</x:v>
      </x:c>
      <x:c r="E61" s="72" t="str">
        <x:v>Não</x:v>
      </x:c>
      <x:c r="F61" s="72" t="str">
        <x:v>PROPOSED V3</x:v>
      </x:c>
      <x:c r="G61" s="72" t="str">
        <x:v>Reduz em {1} o custo de mágicas de Dragão; não é Dragão e não aciona Lathliss.</x:v>
      </x:c>
    </x:row>
    <x:row r="62">
      <x:c r="A62" s="74" t="n">
        <x:v>1</x:v>
      </x:c>
      <x:c r="B62" s="72" t="str">
        <x:v>Herald's Horn</x:v>
      </x:c>
      <x:c r="C62" s="72" t="str">
        <x:v>Sugestão nova — impressão não definida</x:v>
      </x:c>
      <x:c r="D62" s="72" t="str">
        <x:v>Ramp</x:v>
      </x:c>
      <x:c r="E62" s="72" t="str">
        <x:v>Não</x:v>
      </x:c>
      <x:c r="F62" s="72" t="str">
        <x:v>PROPOSED V3</x:v>
      </x:c>
      <x:c r="G62" s="72" t="str">
        <x:v>Reduz custos tribais e seleciona cartas de criatura no topo durante a manutenção.</x:v>
      </x:c>
    </x:row>
    <x:row r="63">
      <x:c r="A63" s="74" t="n">
        <x:v>1</x:v>
      </x:c>
      <x:c r="B63" s="72" t="str">
        <x:v>Terror of the Peaks</x:v>
      </x:c>
      <x:c r="C63" s="72" t="str">
        <x:v>Sugestão nova — impressão não definida</x:v>
      </x:c>
      <x:c r="D63" s="72" t="str">
        <x:v>Sinergia 1</x:v>
      </x:c>
      <x:c r="E63" s="72" t="str">
        <x:v>Não</x:v>
      </x:c>
      <x:c r="F63" s="72" t="str">
        <x:v>PROPOSED V3</x:v>
      </x:c>
      <x:c r="G63" s="72" t="str">
        <x:v>Avança o motor de Dragões, entradas no campo ou geração de fichas.</x:v>
      </x:c>
    </x:row>
    <x:row r="64">
      <x:c r="A64" s="74" t="n">
        <x:v>1</x:v>
      </x:c>
      <x:c r="B64" s="72" t="str">
        <x:v>Chandra's Ignition</x:v>
      </x:c>
      <x:c r="C64" s="72" t="str">
        <x:v>Sugestão nova — impressão não definida</x:v>
      </x:c>
      <x:c r="D64" s="72" t="str">
        <x:v>Removal</x:v>
      </x:c>
      <x:c r="E64" s="72" t="str">
        <x:v>Não</x:v>
      </x:c>
      <x:c r="F64" s="72" t="str">
        <x:v>PROPOSED V3</x:v>
      </x:c>
      <x:c r="G64" s="72" t="str">
        <x:v>Usa o poder de um Dragão como remoção ampla e dano aos oponentes; pode atingir suas outras criaturas.</x:v>
      </x:c>
    </x:row>
    <x:row r="65">
      <x:c r="A65" s="74" t="n">
        <x:v>1</x:v>
      </x:c>
      <x:c r="B65" s="72" t="str">
        <x:v>Ganax, Astral Hunter</x:v>
      </x:c>
      <x:c r="C65" s="72" t="str">
        <x:v>Sugestão nova — impressão não definida</x:v>
      </x:c>
      <x:c r="D65" s="72" t="str">
        <x:v>Tesouro</x:v>
      </x:c>
      <x:c r="E65" s="72" t="str">
        <x:v>Não</x:v>
      </x:c>
      <x:c r="F65" s="72" t="str">
        <x:v>PROPOSED V3</x:v>
      </x:c>
      <x:c r="G65" s="72" t="str">
        <x:v>Cada Dragão que entra pode gerar Tesouro, inclusive a ficha criada por Lathliss.</x:v>
      </x:c>
    </x:row>
    <x:row r="66">
      <x:c r="A66" s="74" t="n">
        <x:v>1</x:v>
      </x:c>
      <x:c r="B66" s="72" t="str">
        <x:v>Lightning Greaves</x:v>
      </x:c>
      <x:c r="C66" s="72" t="str">
        <x:v>Sugestão nova — impressão não definida</x:v>
      </x:c>
      <x:c r="D66" s="72" t="str">
        <x:v>Sinergia 3</x:v>
      </x:c>
      <x:c r="E66" s="72" t="str">
        <x:v>Não</x:v>
      </x:c>
      <x:c r="F66" s="72" t="str">
        <x:v>PROPOSED V3</x:v>
      </x:c>
      <x:c r="G66" s="72" t="str">
        <x:v>Apoia ímpeto, proteção, plano tribal ou combate.</x:v>
      </x:c>
    </x:row>
    <x:row r="67">
      <x:c r="A67" s="74" t="n">
        <x:v>1</x:v>
      </x:c>
      <x:c r="B67" s="72" t="str">
        <x:v>Valakut Awakening // Valakut Stoneforge</x:v>
      </x:c>
      <x:c r="C67" s="72" t="str">
        <x:v>Sugestão nova — impressão não definida</x:v>
      </x:c>
      <x:c r="D67" s="72" t="str">
        <x:v>Draw</x:v>
      </x:c>
      <x:c r="E67" s="72" t="str">
        <x:v>Sim — face-terreno</x:v>
      </x:c>
      <x:c r="F67" s="72" t="str">
        <x:v>PROPOSED V3</x:v>
      </x:c>
      <x:c r="G67" s="72" t="str">
        <x:v>Compra, seleção ou recuperação de cartas.</x:v>
      </x:c>
    </x:row>
    <x:row r="68">
      <x:c r="A68" s="74" t="n">
        <x:v>1</x:v>
      </x:c>
      <x:c r="B68" s="72" t="str">
        <x:v>Chrome Mox</x:v>
      </x:c>
      <x:c r="C68" s="72" t="str">
        <x:v>Sugestão V3 — impressão não definida</x:v>
      </x:c>
      <x:c r="D68" s="72" t="str">
        <x:v>Ramp</x:v>
      </x:c>
      <x:c r="E68" s="72" t="str">
        <x:v>Não</x:v>
      </x:c>
      <x:c r="F68" s="72" t="str">
        <x:v>PROPOSED V3</x:v>
      </x:c>
      <x:c r="G68" s="72" t="str">
        <x:v>Aceleração de custo zero; exila outra carta não artefato/não terreno da mão para gerar mana colorida.</x:v>
      </x:c>
    </x:row>
    <x:row r="69">
      <x:c r="A69" s="74" t="n">
        <x:v>1</x:v>
      </x:c>
      <x:c r="B69" s="72" t="str">
        <x:v>Mana Vault</x:v>
      </x:c>
      <x:c r="C69" s="72" t="str">
        <x:v>Sugestão V3 — impressão não definida</x:v>
      </x:c>
      <x:c r="D69" s="72" t="str">
        <x:v>Ramp</x:v>
      </x:c>
      <x:c r="E69" s="72" t="str">
        <x:v>Não</x:v>
      </x:c>
      <x:c r="F69" s="72" t="str">
        <x:v>PROPOSED V3</x:v>
      </x:c>
      <x:c r="G69" s="72" t="str">
        <x:v>Aceleração explosiva: vira para {C}{C}{C}; não desvira normalmente e, se continuar virado no início da manutenção, causa 1 de dano. Pode-se pagar {4} para desvirar.</x:v>
      </x:c>
    </x:row>
    <x:row r="70">
      <x:c r="A70" s="74" t="n">
        <x:v>1</x:v>
      </x:c>
      <x:c r="B70" s="72" t="str">
        <x:v>Knollspine Dragon</x:v>
      </x:c>
      <x:c r="C70" s="72" t="str">
        <x:v>Sugestão V3 — impressão não definida</x:v>
      </x:c>
      <x:c r="D70" s="72" t="str">
        <x:v>Draw</x:v>
      </x:c>
      <x:c r="E70" s="72" t="str">
        <x:v>Não</x:v>
      </x:c>
      <x:c r="F70" s="72" t="str">
        <x:v>PROPOSED V3</x:v>
      </x:c>
      <x:c r="G70" s="72" t="str">
        <x:v>Dragão de compra que repõe a mão depois que um oponente sofreu dano relevante no turno.</x:v>
      </x:c>
    </x:row>
    <x:row r="71">
      <x:c r="A71" s="74" t="n">
        <x:v>1</x:v>
      </x:c>
      <x:c r="B71" s="72" t="str">
        <x:v>Dracogenesis</x:v>
      </x:c>
      <x:c r="C71" s="72" t="str">
        <x:v>Sugestão V3 — impressão não definida</x:v>
      </x:c>
      <x:c r="D71" s="72" t="str">
        <x:v>Sinergia 1</x:v>
      </x:c>
      <x:c r="E71" s="72" t="str">
        <x:v>Não</x:v>
      </x:c>
      <x:c r="F71" s="72" t="str">
        <x:v>PROPOSED V3</x:v>
      </x:c>
      <x:c r="G71" s="72" t="str">
        <x:v>Encantamento de oito manas que permite conjurar mágicas de Dragão sem pagar seus custos; payoff de teto alto.</x:v>
      </x:c>
    </x:row>
    <x:row r="72">
      <x:c r="A72" s="74" t="n">
        <x:v>1</x:v>
      </x:c>
      <x:c r="B72" s="72" t="str">
        <x:v>Dragonhawk, Fate's Tempest</x:v>
      </x:c>
      <x:c r="C72" s="72" t="str">
        <x:v>Sugestão V3 — impressão não definida</x:v>
      </x:c>
      <x:c r="D72" s="72" t="str">
        <x:v>Draw</x:v>
      </x:c>
      <x:c r="E72" s="72" t="str">
        <x:v>Não</x:v>
      </x:c>
      <x:c r="F72" s="72" t="str">
        <x:v>PROPOSED V3</x:v>
      </x:c>
      <x:c r="G72" s="72" t="str">
        <x:v>Exila cartas ao entrar/atacar em função das criaturas com poder 4+; converte cartas não jogadas em dano no end step.</x:v>
      </x:c>
    </x:row>
    <x:row r="73">
      <x:c r="A73" s="74" t="n">
        <x:v>1</x:v>
      </x:c>
      <x:c r="B73" s="72" t="str">
        <x:v>Bonehoard Dracosaur</x:v>
      </x:c>
      <x:c r="C73" s="72" t="str">
        <x:v>Sugestão V3 — impressão não definida</x:v>
      </x:c>
      <x:c r="D73" s="72" t="str">
        <x:v>Draw</x:v>
      </x:c>
      <x:c r="E73" s="72" t="str">
        <x:v>Não</x:v>
      </x:c>
      <x:c r="F73" s="72" t="str">
        <x:v>PROPOSED V3</x:v>
      </x:c>
      <x:c r="G73" s="72" t="str">
        <x:v>Dragão de valor no upkeep; exila duas cartas, permite jogá-las e gera tokens/Tesouros para cartas não utilizadas.</x:v>
      </x:c>
    </x:row>
    <x:row r="74">
      <x:c r="A74" s="74" t="n">
        <x:v>1</x:v>
      </x:c>
      <x:c r="B74" s="72" t="str">
        <x:v>Ancient Copper Dragon</x:v>
      </x:c>
      <x:c r="C74" s="72" t="str">
        <x:v>Sugestão V3 — impressão não definida</x:v>
      </x:c>
      <x:c r="D74" s="72" t="str">
        <x:v>Tesouro</x:v>
      </x:c>
      <x:c r="E74" s="72" t="str">
        <x:v>Não</x:v>
      </x:c>
      <x:c r="F74" s="72" t="str">
        <x:v>PROPOSED V3</x:v>
      </x:c>
      <x:c r="G74" s="72" t="str">
        <x:v>Dragão voador que pode gerar grande quantidade de Tesouros ao causar dano de combate.</x:v>
      </x:c>
    </x:row>
    <x:row r="75">
      <x:c r="A75" s="74" t="n">
        <x:v>1</x:v>
      </x:c>
      <x:c r="B75" s="72" t="str">
        <x:v>Urza's Incubator</x:v>
      </x:c>
      <x:c r="C75" s="72" t="str">
        <x:v>Sugestão V3 — impressão não definida</x:v>
      </x:c>
      <x:c r="D75" s="72" t="str">
        <x:v>Ramp</x:v>
      </x:c>
      <x:c r="E75" s="72" t="str">
        <x:v>Não</x:v>
      </x:c>
      <x:c r="F75" s="72" t="str">
        <x:v>PROPOSED V3</x:v>
      </x:c>
      <x:c r="G75" s="72" t="str">
        <x:v>Reduz em duas manas genéricas mágicas de criatura do tipo escolhido; nomear Dragon.</x:v>
      </x:c>
    </x:row>
    <x:row r="76">
      <x:c r="A76" s="74" t="n">
        <x:v>1</x:v>
      </x:c>
      <x:c r="B76" s="72" t="str">
        <x:v>Blasphemous Act</x:v>
      </x:c>
      <x:c r="C76" s="72" t="str">
        <x:v>Sugestão V3 — impressão não definida</x:v>
      </x:c>
      <x:c r="D76" s="72" t="str">
        <x:v>Removal</x:v>
      </x:c>
      <x:c r="E76" s="72" t="str">
        <x:v>Não</x:v>
      </x:c>
      <x:c r="F76" s="72" t="str">
        <x:v>PROPOSED V3</x:v>
      </x:c>
      <x:c r="G76" s="72" t="str">
        <x:v>Limpeza de criaturas que normalmente fica barata; com Wrathful Red Dragon pode converter dano em explosão direcionada.</x:v>
      </x:c>
    </x:row>
    <x:row r="77">
      <x:c r="A77" s="74" t="n">
        <x:v>1</x:v>
      </x:c>
      <x:c r="B77" s="72" t="str">
        <x:v>Cavern of Souls</x:v>
      </x:c>
      <x:c r="C77" s="72" t="str">
        <x:v>Sugestão V3 — impressão não definida</x:v>
      </x:c>
      <x:c r="D77" s="72" t="str">
        <x:v>Ramp</x:v>
      </x:c>
      <x:c r="E77" s="72" t="str">
        <x:v>Sim — terreno</x:v>
      </x:c>
      <x:c r="F77" s="72" t="str">
        <x:v>PROPOSED V3</x:v>
      </x:c>
      <x:c r="G77" s="72" t="str">
        <x:v>Terreno que, ao nomear Dragon, pode tornar mágicas de criatura Dragon não anuláveis.</x:v>
      </x:c>
    </x:row>
    <x:row r="78">
      <x:c r="A78" s="74" t="n">
        <x:v>1</x:v>
      </x:c>
      <x:c r="B78" s="72" t="str">
        <x:v>Ancient Tomb</x:v>
      </x:c>
      <x:c r="C78" s="72" t="str">
        <x:v>Sugestão V3 — impressão não definida</x:v>
      </x:c>
      <x:c r="D78" s="72" t="str">
        <x:v>Ramp</x:v>
      </x:c>
      <x:c r="E78" s="72" t="str">
        <x:v>Sim — terreno</x:v>
      </x:c>
      <x:c r="F78" s="72" t="str">
        <x:v>PROPOSED V3</x:v>
      </x:c>
      <x:c r="G78" s="72" t="str">
        <x:v>Terreno que gera duas manas incolores e causa dois de dano ao ser virado para mana.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55" hidden="0" customWidth="1"/>
    <x:col min="4" max="4" width="58" hidden="0" customWidth="1"/>
    <x:col min="5" max="5" width="58" hidden="0" customWidth="1"/>
    <x:col min="6" max="6" width="13" hidden="0" customWidth="1"/>
    <x:col min="7" max="7" width="14" hidden="0" customWidth="1"/>
  </x:cols>
  <x:sheetData>
    <x:row r="1" ht="32" customHeight="1">
      <x:c r="A1" s="71" t="str">
        <x:v>OUT</x:v>
      </x:c>
      <x:c r="B1" s="71" t="str">
        <x:v>IN</x:v>
      </x:c>
      <x:c r="C1" s="71" t="str">
        <x:v>Por que sai</x:v>
      </x:c>
      <x:c r="D1" s="71" t="str">
        <x:v>O que entra resolve</x:v>
      </x:c>
      <x:c r="E1" s="71" t="str">
        <x:v>Custo / argumento contra</x:v>
      </x:c>
      <x:c r="F1" s="71" t="str">
        <x:v>Prioridade</x:v>
      </x:c>
      <x:c r="G1" s="71" t="str">
        <x:v>Confiança</x:v>
      </x:c>
    </x:row>
    <x:row r="2" ht="56" customHeight="1">
      <x:c r="A2" s="72" t="str">
        <x:v>Chaos Dragon</x:v>
      </x:c>
      <x:c r="B2" s="72" t="str">
        <x:v>Chrome Mox</x:v>
      </x:c>
      <x:c r="C2" s="72" t="str">
        <x:v>Criatura de custo baixo, mas o ataque aleatório e impacto de combate não corrigem o gargalo estrutural.</x:v>
      </x:c>
      <x:c r="D2" s="72" t="str">
        <x:v>Aceleração gratuita para adiantar Lathliss e ameaças; o deck já tem Sol Ring, então este slot precisa de outra fonte de aceleração.</x:v>
      </x:c>
      <x:c r="E2" s="72" t="str">
        <x:v>Exila outra carta não artefato/não terreno da mão e reduz recursos imediatos; perde-se um corpo Dragon barato.</x:v>
      </x:c>
      <x:c r="F2" s="72" t="str">
        <x:v>P1</x:v>
      </x:c>
      <x:c r="G2" s="72" t="str">
        <x:v>Alta</x:v>
      </x:c>
    </x:row>
    <x:row r="3" ht="56" customHeight="1">
      <x:c r="A3" s="72" t="str">
        <x:v>Reckless Barbarian</x:v>
      </x:c>
      <x:c r="B3" s="72" t="str">
        <x:v>Mana Vault</x:v>
      </x:c>
      <x:c r="C3" s="72" t="str">
        <x:v>Aceleração de uso único que exige sacrificar a criatura.</x:v>
      </x:c>
      <x:c r="D3" s="72" t="str">
        <x:v>Burst de três manas por um mana investido; aumenta a chance de turno acelerado para Lathliss.</x:v>
      </x:c>
      <x:c r="E3" s="72" t="str">
        <x:v>Mana Vault não desvira naturalmente; pode pagar {4} para desvirar e, se ficar virado no início da manutenção, causa 1 de dano. É mana incolor.</x:v>
      </x:c>
      <x:c r="F3" s="72" t="str">
        <x:v>P1</x:v>
      </x:c>
      <x:c r="G3" s="72" t="str">
        <x:v>Alta</x:v>
      </x:c>
    </x:row>
    <x:row r="4" ht="56" customHeight="1">
      <x:c r="A4" s="72" t="str">
        <x:v>Mob Verdict</x:v>
      </x:c>
      <x:c r="B4" s="72" t="str">
        <x:v>Knollspine Dragon</x:v>
      </x:c>
      <x:c r="C4" s="72" t="str">
        <x:v>Votação política variável e difícil de controlar como remoção/compra.</x:v>
      </x:c>
      <x:c r="D4" s="72" t="str">
        <x:v>Dragão que pode repor a mão em grande escala após dano relevante aos oponentes.</x:v>
      </x:c>
      <x:c r="E4" s="72" t="str">
        <x:v>Custa sete e depende de ter causado dano relevante; planejar conjuração após dano explosivo.</x:v>
      </x:c>
      <x:c r="F4" s="72" t="str">
        <x:v>P1</x:v>
      </x:c>
      <x:c r="G4" s="72" t="str">
        <x:v>Alta</x:v>
      </x:c>
    </x:row>
    <x:row r="5" ht="56" customHeight="1">
      <x:c r="A5" s="72" t="str">
        <x:v>Electrodominance</x:v>
      </x:c>
      <x:c r="B5" s="72" t="str">
        <x:v>Dracogenesis</x:v>
      </x:c>
      <x:c r="C5" s="72" t="str">
        <x:v>Feitiço flexível, mas exige X + RR e sua eficiência depende de ter outra mágica útil na mão.</x:v>
      </x:c>
      <x:c r="D5" s="72" t="str">
        <x:v>Payoff de teto alto: permite conjurar mágicas de Dragão sem pagar seus custos após resolver.</x:v>
      </x:c>
      <x:c r="E5" s="72" t="str">
        <x:v>Custa oito e pode ficar fraca sem Dragões na mão; incluída como payoff de topo com draw/ramp reforçados.</x:v>
      </x:c>
      <x:c r="F5" s="72" t="str">
        <x:v>P2</x:v>
      </x:c>
      <x:c r="G5" s="72" t="str">
        <x:v>Média</x:v>
      </x:c>
    </x:row>
    <x:row r="6" ht="56" customHeight="1">
      <x:c r="A6" s="72" t="str">
        <x:v>Gadrak, the Crown-Scourge</x:v>
      </x:c>
      <x:c r="B6" s="72" t="str">
        <x:v>Dragonhawk, Fate's Tempest</x:v>
      </x:c>
      <x:c r="C6" s="72" t="str">
        <x:v>Gadrak gera Tesouros quando criaturas não ficha morrem, mas o motor depende de mortes e a restrição de ataque pode importar.</x:v>
      </x:c>
      <x:c r="D6" s="72" t="str">
        <x:v>Dragão voador de valor: exila cartas ao entrar/atacar e converte cartas não jogadas em dano.</x:v>
      </x:c>
      <x:c r="E6" s="72" t="str">
        <x:v>Gadrak pode gerar muitos Tesouros em wipes; testar se a nova fonte de cartas compensa.</x:v>
      </x:c>
      <x:c r="F6" s="72" t="str">
        <x:v>P1</x:v>
      </x:c>
      <x:c r="G6" s="72" t="str">
        <x:v>Alta</x:v>
      </x:c>
    </x:row>
    <x:row r="7" ht="56" customHeight="1">
      <x:c r="A7" s="72" t="str">
        <x:v>Enduring Courage</x:v>
      </x:c>
      <x:c r="B7" s="72" t="str">
        <x:v>Bonehoard Dracosaur</x:v>
      </x:c>
      <x:c r="C7" s="72" t="str">
        <x:v>Bônus temporário de poder/haste é redundante com Dragon Tempest, Rising of the Day e Lightning Greaves.</x:v>
      </x:c>
      <x:c r="D7" s="72" t="str">
        <x:v>Dragão que fornece vantagem recorrente e cria Tesouros/fichas a cada manutenção; dispara Lathliss ao entrar.</x:v>
      </x:c>
      <x:c r="E7" s="72" t="str">
        <x:v>Custa cinco e exige sobreviver até manutenção; Enduring Courage é resiliente por voltar como encantamento.</x:v>
      </x:c>
      <x:c r="F7" s="72" t="str">
        <x:v>P1</x:v>
      </x:c>
      <x:c r="G7" s="72" t="str">
        <x:v>Alta</x:v>
      </x:c>
    </x:row>
    <x:row r="8" ht="56" customHeight="1">
      <x:c r="A8" s="72" t="str">
        <x:v>Inferno of the Star Mounts</x:v>
      </x:c>
      <x:c r="B8" s="72" t="str">
        <x:v>Ancient Copper Dragon</x:v>
      </x:c>
      <x:c r="C8" s="72" t="str">
        <x:v>Finalizador autossuficiente, mas seu mana sink não apoia tanto o motor de Tesouros/cadeia de Dragões.</x:v>
      </x:c>
      <x:c r="D8" s="72" t="str">
        <x:v>Gera potencialmente muitos Tesouros ao causar dano de combate e acelera a cadeia de Dragões.</x:v>
      </x:c>
      <x:c r="E8" s="72" t="str">
        <x:v>Precisa conectar e depende de dado; Inferno é mais previsível e resiliente contra dano.</x:v>
      </x:c>
      <x:c r="F8" s="72" t="str">
        <x:v>P1</x:v>
      </x:c>
      <x:c r="G8" s="72" t="str">
        <x:v>Média</x:v>
      </x:c>
    </x:row>
    <x:row r="9" ht="56" customHeight="1">
      <x:c r="A9" s="72" t="str">
        <x:v>Hedron Archive</x:v>
      </x:c>
      <x:c r="B9" s="72" t="str">
        <x:v>Urza's Incubator</x:v>
      </x:c>
      <x:c r="C9" s="72" t="str">
        <x:v>Rampa e compra tardios; custa quatro e não reduz custos das ameaças.</x:v>
      </x:c>
      <x:c r="D9" s="72" t="str">
        <x:v>Reduz em duas manas genéricas mágicas do tipo escolhido; nomear Dragon.</x:v>
      </x:c>
      <x:c r="E9" s="72" t="str">
        <x:v>Não compra nem gera mana diretamente; depende da densidade de Dragões e de permanecer em campo.</x:v>
      </x:c>
      <x:c r="F9" s="72" t="str">
        <x:v>P1</x:v>
      </x:c>
      <x:c r="G9" s="72" t="str">
        <x:v>Alta</x:v>
      </x:c>
    </x:row>
    <x:row r="10" ht="56" customHeight="1">
      <x:c r="A10" s="72" t="str">
        <x:v>Untimely Malfunction</x:v>
      </x:c>
      <x:c r="B10" s="72" t="str">
        <x:v>Blasphemous Act</x:v>
      </x:c>
      <x:c r="C10" s="72" t="str">
        <x:v>Flexibilidade de dois manas não substitui a necessidade de uma limpeza ampla e eficiente.</x:v>
      </x:c>
      <x:c r="D10" s="72" t="str">
        <x:v>Reset amplo frequentemente barato e segunda peça para a sinergia com Wrathful Red Dragon.</x:v>
      </x:c>
      <x:c r="E10" s="72" t="str">
        <x:v>Simétrico por padrão e pode destruir seus Dragões; combinação explosiva pode atrair remoção e causar dano elevado à mesa.</x:v>
      </x:c>
      <x:c r="F10" s="72" t="str">
        <x:v>P1</x:v>
      </x:c>
      <x:c r="G10" s="72" t="str">
        <x:v>Alta</x:v>
      </x:c>
    </x:row>
    <x:row r="11" ht="56" customHeight="1">
      <x:c r="A11" s="72" t="str">
        <x:v>Terrain Generator</x:v>
      </x:c>
      <x:c r="B11" s="72" t="str">
        <x:v>Cavern of Souls</x:v>
      </x:c>
      <x:c r="C11" s="72" t="str">
        <x:v>O efeito de colocar terrenos básicos em campo é lento neste deck monocolorido.</x:v>
      </x:c>
      <x:c r="D11" s="72" t="str">
        <x:v>Nomear Dragon para que mágicas de criatura Dragon não sejam anuladas; mana incolor de base.</x:v>
      </x:c>
      <x:c r="E11" s="72" t="str">
        <x:v>Não produz vermelho e protege apenas mágicas de criatura do tipo nomeado.</x:v>
      </x:c>
      <x:c r="F11" s="72" t="str">
        <x:v>P2</x:v>
      </x:c>
      <x:c r="G11" s="72" t="str">
        <x:v>Alta</x:v>
      </x:c>
    </x:row>
    <x:row r="12" ht="56" customHeight="1">
      <x:c r="A12" s="72" t="str">
        <x:v>Barbarian Ring</x:v>
      </x:c>
      <x:c r="B12" s="72" t="str">
        <x:v>Ancient Tomb</x:v>
      </x:c>
      <x:c r="C12" s="72" t="str">
        <x:v>A habilidade de dano tem limiar de cemitério e raramente resolve o gargalo de mana.</x:v>
      </x:c>
      <x:c r="D12" s="72" t="str">
        <x:v>Aceleração de dois manas incolores à custa de dois pontos de vida por uso.</x:v>
      </x:c>
      <x:c r="E12" s="72" t="str">
        <x:v>Não produz vermelho e causa dano; exige avaliar fontes coloridas e o custo acumulado.</x:v>
      </x:c>
      <x:c r="F12" s="72" t="str">
        <x:v>P1</x:v>
      </x:c>
      <x:c r="G12" s="72" t="str">
        <x:v>Alta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74" hidden="0" customWidth="1"/>
  </x:cols>
  <x:sheetData>
    <x:row r="1">
      <x:c r="A1" s="79" t="str">
        <x:v>LATHLISS — RUBRICA PONDERADA DE CONSTRUÇÃO</x:v>
      </x:c>
      <x:c r="B1" s="79"/>
      <x:c r="C1" s="79"/>
      <x:c r="D1" s="79"/>
      <x:c r="E1" s="79"/>
      <x:c r="F1" s="79"/>
    </x:row>
    <x:row r="2" ht="34" customHeight="1">
      <x:c r="A2" s="91" t="str">
        <x:v>Notas 0–10 são estimativas analíticas; não representam taxa de vitória nem testes empíricos. Os pesos comuns permitem comparar CURRENT, V2 e V3 com o mesmo método.</x:v>
      </x:c>
      <x:c r="B2" s="91"/>
      <x:c r="C2" s="91"/>
      <x:c r="D2" s="91"/>
      <x:c r="E2" s="91"/>
      <x:c r="F2" s="91"/>
    </x:row>
    <x:row r="4">
      <x:c r="A4" s="71" t="str">
        <x:v>Critério</x:v>
      </x:c>
      <x:c r="B4" s="71" t="str">
        <x:v>Peso (%)</x:v>
      </x:c>
      <x:c r="C4" s="71" t="str">
        <x:v>CURRENT</x:v>
      </x:c>
      <x:c r="D4" s="71" t="str">
        <x:v>PROPOSED V2</x:v>
      </x:c>
      <x:c r="E4" s="71" t="str">
        <x:v>PROPOSED V3</x:v>
      </x:c>
      <x:c r="F4" s="71" t="str">
        <x:v>Evidência / racional da avaliação</x:v>
      </x:c>
    </x:row>
    <x:row r="5" ht="42" customHeight="1">
      <x:c r="A5" s="36" t="str">
        <x:v>Curva e aceleração</x:v>
      </x:c>
      <x:c r="B5" s="36" t="n">
        <x:v>15</x:v>
      </x:c>
      <x:c r="C5" s="93" t="n">
        <x:v>4.5</x:v>
      </x:c>
      <x:c r="D5" s="93" t="n">
        <x:v>7.7</x:v>
      </x:c>
      <x:c r="E5" s="93" t="n">
        <x:v>9.4</x:v>
      </x:c>
      <x:c r="F5" s="36" t="str">
        <x:v>A capacidade de desenvolver o plano antes dos oponentes. Chrome Mox, Mana Vault, Ancient Tomb e Urza's Incubator aceleram; há trade-off de cartas/vida e maior potência.</x:v>
      </x:c>
    </x:row>
    <x:row r="6" ht="42" customHeight="1">
      <x:c r="A6" s="36" t="str">
        <x:v>Vantagem de cartas / compra</x:v>
      </x:c>
      <x:c r="B6" s="36" t="n">
        <x:v>15</x:v>
      </x:c>
      <x:c r="C6" s="93" t="n">
        <x:v>4.7</x:v>
      </x:c>
      <x:c r="D6" s="93" t="n">
        <x:v>7.9</x:v>
      </x:c>
      <x:c r="E6" s="93" t="n">
        <x:v>9</x:v>
      </x:c>
      <x:c r="F6" s="36" t="str">
        <x:v>Quantidade, qualidade e recorrência de cartas novas disponíveis. The One Ring, Jeska's Will, Valakut Awakening, Knollspine Dragon, Dragonhawk e Bonehoard Dracosaur diversificam a compra.</x:v>
      </x:c>
    </x:row>
    <x:row r="7" ht="42" customHeight="1">
      <x:c r="A7" s="36" t="str">
        <x:v>Sinergia com o plano tribal</x:v>
      </x:c>
      <x:c r="B7" s="36" t="n">
        <x:v>15</x:v>
      </x:c>
      <x:c r="C7" s="93" t="n">
        <x:v>7.3</x:v>
      </x:c>
      <x:c r="D7" s="93" t="n">
        <x:v>8.8</x:v>
      </x:c>
      <x:c r="E7" s="93" t="n">
        <x:v>9.4</x:v>
      </x:c>
      <x:c r="F7" s="36" t="str">
        <x:v>Densidade e interconexão das peças-chave. Aumenta densidade de Dragões que criam recursos; Dracogenesis é um payoff de teto alto, não uma carta eficiente sozinha.</x:v>
      </x:c>
    </x:row>
    <x:row r="8" ht="42" customHeight="1">
      <x:c r="A8" s="36" t="str">
        <x:v>Interação e limpezas</x:v>
      </x:c>
      <x:c r="B8" s="36" t="n">
        <x:v>15</x:v>
      </x:c>
      <x:c r="C8" s="93" t="n">
        <x:v>6</x:v>
      </x:c>
      <x:c r="D8" s="93" t="n">
        <x:v>7.6</x:v>
      </x:c>
      <x:c r="E8" s="93" t="n">
        <x:v>9</x:v>
      </x:c>
      <x:c r="F8" s="36" t="str">
        <x:v>Capacidade de responder às ameaças e limpar mesas com eficiência. Blasphemous Act + Wrathful Red Dragon é o pacote explosivo; Vandalblast overload e Mizzium Mortars overload cobrem alvos distintos.</x:v>
      </x:c>
    </x:row>
    <x:row r="9" ht="42" customHeight="1">
      <x:c r="A9" s="36" t="str">
        <x:v>Proteção e resiliência</x:v>
      </x:c>
      <x:c r="B9" s="36" t="n">
        <x:v>10</x:v>
      </x:c>
      <x:c r="C9" s="93" t="n">
        <x:v>4.5</x:v>
      </x:c>
      <x:c r="D9" s="93" t="n">
        <x:v>7.4</x:v>
      </x:c>
      <x:c r="E9" s="93" t="n">
        <x:v>8.5</x:v>
      </x:c>
      <x:c r="F9" s="36" t="str">
        <x:v>Recuperação após remoções, proteção do comandante e continuidade. Lightning Greaves e Cavern of Souls ajudam, mas a proteção de Cavern se limita às mágicas de criatura Dragon e não protege o tabuleiro de todo tipo de remoção.</x:v>
      </x:c>
    </x:row>
    <x:row r="10" ht="42" customHeight="1">
      <x:c r="A10" s="36" t="str">
        <x:v>Acesso à vitória / fechamento</x:v>
      </x:c>
      <x:c r="B10" s="36" t="n">
        <x:v>10</x:v>
      </x:c>
      <x:c r="C10" s="93" t="n">
        <x:v>7.5</x:v>
      </x:c>
      <x:c r="D10" s="93" t="n">
        <x:v>8.8</x:v>
      </x:c>
      <x:c r="E10" s="93" t="n">
        <x:v>9.4</x:v>
      </x:c>
      <x:c r="F10" s="36" t="str">
        <x:v>Converter a vantagem de mesa em uma vitória real. Ancient Copper Dragon, Dracogenesis, Dragon Tempest, Terror of the Peaks, Scourge of Valkas e combates extras criam fechamentos redundantes.</x:v>
      </x:c>
    </x:row>
    <x:row r="11" ht="42" customHeight="1">
      <x:c r="A11" s="36" t="str">
        <x:v>Base de mana</x:v>
      </x:c>
      <x:c r="B11" s="36" t="n">
        <x:v>5</x:v>
      </x:c>
      <x:c r="C11" s="93" t="n">
        <x:v>6.2</x:v>
      </x:c>
      <x:c r="D11" s="93" t="n">
        <x:v>7.2</x:v>
      </x:c>
      <x:c r="E11" s="93" t="n">
        <x:v>8.8</x:v>
      </x:c>
      <x:c r="F11" s="36" t="str">
        <x:v>Quantidade, qualidade e consistência de fontes. 35 cartas com opção de terreno; 31 terrenos físicos e quatro MDFCs. Ancient Tomb acelera, mas dano e mana incolor são custos.</x:v>
      </x:c>
    </x:row>
    <x:row r="12" ht="42" customHeight="1">
      <x:c r="A12" s="36" t="str">
        <x:v>Flexibilidade funcional</x:v>
      </x:c>
      <x:c r="B12" s="36" t="n">
        <x:v>5</x:v>
      </x:c>
      <x:c r="C12" s="93" t="n">
        <x:v>5.8</x:v>
      </x:c>
      <x:c r="D12" s="93" t="n">
        <x:v>8.2</x:v>
      </x:c>
      <x:c r="E12" s="93" t="n">
        <x:v>9</x:v>
      </x:c>
      <x:c r="F12" s="36" t="str">
        <x:v>Valor em mais de um estado de jogo e ausência de slots mortos. Respostas flexíveis, impulso e compras ligadas a dano atendem situações distintas; ainda há cartas de alto custo situacionais.</x:v>
      </x:c>
    </x:row>
    <x:row r="13" ht="42" customHeight="1">
      <x:c r="A13" s="36" t="str">
        <x:v>Consistência da comandante</x:v>
      </x:c>
      <x:c r="B13" s="36" t="n">
        <x:v>5</x:v>
      </x:c>
      <x:c r="C13" s="93" t="n">
        <x:v>5</x:v>
      </x:c>
      <x:c r="D13" s="93" t="n">
        <x:v>7.8</x:v>
      </x:c>
      <x:c r="E13" s="93" t="n">
        <x:v>9.1</x:v>
      </x:c>
      <x:c r="F13" s="36" t="str">
        <x:v>Frequência e impacto com que o deck habilita seu comandante. Aceleradores e redução de custo facilitam lançar Lathliss e seguir com Dragões no mesmo ciclo, mas removals sobre a comandante seguem relevantes.</x:v>
      </x:c>
    </x:row>
    <x:row r="14" ht="42" customHeight="1">
      <x:c r="A14" s="36" t="str">
        <x:v>Identidade e experiência pretendida</x:v>
      </x:c>
      <x:c r="B14" s="36" t="n">
        <x:v>5</x:v>
      </x:c>
      <x:c r="C14" s="93" t="n">
        <x:v>8.5</x:v>
      </x:c>
      <x:c r="D14" s="93" t="n">
        <x:v>8.5</x:v>
      </x:c>
      <x:c r="E14" s="93" t="n">
        <x:v>8.5</x:v>
      </x:c>
      <x:c r="F14" s="36" t="str">
        <x:v>O deck continua fazendo aquilo para que foi concebido. Mantém Dragon tribal, tesouros, entradas explosivas e combate extra; a proposta fica mais potente, não se torna cEDH nem depende de combo obrigatório.</x:v>
      </x:c>
    </x:row>
    <x:row r="15">
      <x:c r="A15" s="94" t="str">
        <x:v>Nota ponderada</x:v>
      </x:c>
      <x:c r="B15" s="95" t="n">
        <x:f>SUM(B5:B14)</x:f>
        <x:v>100</x:v>
      </x:c>
      <x:c r="C15" s="150" t="n">
        <x:f>SUMPRODUCT($B$5:$B$14,C5:C14)/100</x:f>
        <x:v>5.85</x:v>
      </x:c>
      <x:c r="D15" s="150" t="n">
        <x:f>SUMPRODUCT($B$5:$B$14,D5:D14)/100</x:f>
        <x:v>8.005</x:v>
      </x:c>
      <x:c r="E15" s="150" t="n">
        <x:f>SUMPRODUCT($B$5:$B$14,E5:E14)/100</x:f>
        <x:v>9.08</x:v>
      </x:c>
      <x:c r="F15" s="94" t="str">
        <x:v>Fórmula: soma de peso × nota, dividida por 100.</x:v>
      </x:c>
    </x:row>
    <x:row r="16">
      <x:c r="A16" s="36"/>
      <x:c r="B16" s="36"/>
      <x:c r="C16" s="36"/>
      <x:c r="D16" s="36"/>
      <x:c r="E16" s="36"/>
      <x:c r="F16" s="36"/>
    </x:row>
    <x:row r="17" ht="28" customHeight="1">
      <x:c r="A17" s="36" t="str">
        <x:v>Como interpretar</x:v>
      </x:c>
      <x:c r="B17" s="36" t="str">
        <x:v>A nota CURRENT e a nota da V2 foram recalculadas pela mesma rubrica usada na V3.</x:v>
      </x:c>
      <x:c r="C17" s="36"/>
      <x:c r="D17" s="36"/>
      <x:c r="E17" s="36"/>
      <x:c r="F17" s="36"/>
    </x:row>
    <x:row r="18" ht="28" customHeight="1">
      <x:c r="A18" s="36" t="str">
        <x:v>CURRENT</x:v>
      </x:c>
      <x:c r="B18" s="36" t="str">
        <x:v>Lista recebida pelo usuário, congelada e sem alterações.</x:v>
      </x:c>
      <x:c r="C18" s="36"/>
      <x:c r="D18" s="36"/>
      <x:c r="E18" s="36"/>
      <x:c r="F18" s="36"/>
    </x:row>
    <x:row r="19" ht="28" customHeight="1">
      <x:c r="A19" s="36" t="str">
        <x:v>V2 / V3</x:v>
      </x:c>
      <x:c r="B19" s="36" t="str">
        <x:v>Propostas ainda não testadas. A nota não prova desempenho real; exige playtests.</x:v>
      </x:c>
      <x:c r="C19" s="36"/>
      <x:c r="D19" s="36"/>
      <x:c r="E19" s="36"/>
      <x:c r="F19" s="36"/>
    </x:row>
  </x:sheetData>
  <x:mergeCells>
    <x:mergeCell ref="A1:F1"/>
  </x:mergeCells>
  <x:conditionalFormatting sqref="C5:E14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C15:E15">
    <x:cfRule type="dataBar" priority="2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{EA2F07EB-1528-CE65-8307-C4444E5D3D6B}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A2F07EB-1528-CE65-8307-C4444E5D3D6B}">
            <x14:dataBar gradient="1">
              <x14:cfvo type="min"/>
              <x14:cfvo type="max"/>
              <x14:fillColor rgb="FF16A34A"/>
            </x14:dataBar>
          </x14:cfRule>
          <xm:sqref>C15:E15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5" hidden="0" customWidth="1"/>
    <x:col min="5" max="5" width="68" hidden="0" customWidth="1"/>
    <x:col min="6" max="6" width="62" hidden="0" customWidth="1"/>
  </x:cols>
  <x:sheetData>
    <x:row r="1" ht="32" customHeight="1">
      <x:c r="A1" s="71" t="str">
        <x:v>Carta</x:v>
      </x:c>
      <x:c r="B1" s="71" t="str">
        <x:v>Grupo principal</x:v>
      </x:c>
      <x:c r="C1" s="71" t="str">
        <x:v>Estado</x:v>
      </x:c>
      <x:c r="D1" s="71" t="str">
        <x:v>Tier estimado</x:v>
      </x:c>
      <x:c r="E1" s="71" t="str">
        <x:v>Função / interação</x:v>
      </x:c>
      <x:c r="F1" s="71" t="str">
        <x:v>Nota crítica / custo de oportunidade</x:v>
      </x:c>
    </x:row>
    <x:row r="2" ht="38" customHeight="1">
      <x:c r="A2" s="72" t="str">
        <x:v>Lathliss, Dragon Queen</x:v>
      </x:c>
      <x:c r="B2" s="72" t="str">
        <x:v>Sinergia 1</x:v>
      </x:c>
      <x:c r="C2" s="72" t="str">
        <x:v>COMMANDER</x:v>
      </x:c>
      <x:c r="D2" s="72" t="str">
        <x:v>S</x:v>
      </x:c>
      <x:c r="E2" s="72" t="str">
        <x:v>Comandante; cria uma ficha Dragão 5/5 voadora quando outro Dragão não ficha entra.</x:v>
      </x:c>
      <x:c r="F2" s="72" t="str">
        <x:v>Comandante; cria uma ficha Dragão 5/5 voadora quando outro Dragão não ficha entra.</x:v>
      </x:c>
    </x:row>
    <x:row r="3" ht="38" customHeight="1">
      <x:c r="A3" s="72" t="str">
        <x:v>Abstergo Entertainment</x:v>
      </x:c>
      <x:c r="B3" s="72" t="str">
        <x:v>Ramp</x:v>
      </x:c>
      <x:c r="C3" s="72" t="str">
        <x:v>PROPOSED V3</x:v>
      </x:c>
      <x:c r="D3" s="72" t="str">
        <x:v>B</x:v>
      </x:c>
      <x:c r="E3" s="72" t="str">
        <x:v>Aceleração de mana ou redução de custo.</x:v>
      </x:c>
      <x:c r="F3" s="72" t="str"/>
    </x:row>
    <x:row r="4" ht="38" customHeight="1">
      <x:c r="A4" s="72" t="str">
        <x:v>Arcane Signet</x:v>
      </x:c>
      <x:c r="B4" s="72" t="str">
        <x:v>Ramp</x:v>
      </x:c>
      <x:c r="C4" s="72" t="str">
        <x:v>PROPOSED V3</x:v>
      </x:c>
      <x:c r="D4" s="72" t="str">
        <x:v>B</x:v>
      </x:c>
      <x:c r="E4" s="72" t="str">
        <x:v>Aceleração de mana ou redução de custo.</x:v>
      </x:c>
      <x:c r="F4" s="72" t="str"/>
    </x:row>
    <x:row r="5" ht="38" customHeight="1">
      <x:c r="A5" s="72" t="str">
        <x:v>Arena of Glory</x:v>
      </x:c>
      <x:c r="B5" s="72" t="str">
        <x:v>Ramp</x:v>
      </x:c>
      <x:c r="C5" s="72" t="str">
        <x:v>PROPOSED V3</x:v>
      </x:c>
      <x:c r="D5" s="72" t="str">
        <x:v>B</x:v>
      </x:c>
      <x:c r="E5" s="72" t="str">
        <x:v>Aceleração de mana ou redução de custo.</x:v>
      </x:c>
      <x:c r="F5" s="72" t="str"/>
    </x:row>
    <x:row r="6" ht="38" customHeight="1">
      <x:c r="A6" s="72" t="str">
        <x:v>Balefire Dragon</x:v>
      </x:c>
      <x:c r="B6" s="72" t="str">
        <x:v>Sinergia 2</x:v>
      </x:c>
      <x:c r="C6" s="72" t="str">
        <x:v>PROPOSED V3</x:v>
      </x:c>
      <x:c r="D6" s="72" t="str">
        <x:v>A</x:v>
      </x:c>
      <x:c r="E6" s="72" t="str">
        <x:v>Amplifica dano, pressão ou valor gerado por Dragões.</x:v>
      </x:c>
      <x:c r="F6" s="72" t="str">
        <x:v>Amplifica dano, pressão ou valor gerado por Dragões.</x:v>
      </x:c>
    </x:row>
    <x:row r="7" ht="38" customHeight="1">
      <x:c r="A7" s="72" t="str">
        <x:v>Belbe's Portal</x:v>
      </x:c>
      <x:c r="B7" s="72" t="str">
        <x:v>Ramp</x:v>
      </x:c>
      <x:c r="C7" s="72" t="str">
        <x:v>PROPOSED V3</x:v>
      </x:c>
      <x:c r="D7" s="72" t="str">
        <x:v>B</x:v>
      </x:c>
      <x:c r="E7" s="72" t="str">
        <x:v>Aceleração de mana ou redução de custo.</x:v>
      </x:c>
      <x:c r="F7" s="72" t="str"/>
    </x:row>
    <x:row r="8" ht="38" customHeight="1">
      <x:c r="A8" s="72" t="str">
        <x:v>Carnelian Orb of Dragonkind</x:v>
      </x:c>
      <x:c r="B8" s="72" t="str">
        <x:v>Ramp</x:v>
      </x:c>
      <x:c r="C8" s="72" t="str">
        <x:v>PROPOSED V3</x:v>
      </x:c>
      <x:c r="D8" s="72" t="str">
        <x:v>B</x:v>
      </x:c>
      <x:c r="E8" s="72" t="str">
        <x:v>Aceleração de mana ou redução de custo.</x:v>
      </x:c>
      <x:c r="F8" s="72" t="str"/>
    </x:row>
    <x:row r="9" ht="38" customHeight="1">
      <x:c r="A9" s="72" t="str">
        <x:v>Chain Reaction</x:v>
      </x:c>
      <x:c r="B9" s="72" t="str">
        <x:v>Removal</x:v>
      </x:c>
      <x:c r="C9" s="72" t="str">
        <x:v>PROPOSED V3</x:v>
      </x:c>
      <x:c r="D9" s="72" t="str">
        <x:v>B</x:v>
      </x:c>
      <x:c r="E9" s="72" t="str">
        <x:v>Resposta a ameaças; verificar a cobertura e se o efeito é simétrico.</x:v>
      </x:c>
      <x:c r="F9" s="72" t="str">
        <x:v>Pacote-chave com Wrathful Red Dragon; não cortar sem rever a sinergia.</x:v>
      </x:c>
    </x:row>
    <x:row r="10" ht="38" customHeight="1">
      <x:c r="A10" s="72" t="str">
        <x:v>Chaos Warp</x:v>
      </x:c>
      <x:c r="B10" s="72" t="str">
        <x:v>Removal</x:v>
      </x:c>
      <x:c r="C10" s="72" t="str">
        <x:v>PROPOSED V3</x:v>
      </x:c>
      <x:c r="D10" s="72" t="str">
        <x:v>B</x:v>
      </x:c>
      <x:c r="E10" s="72" t="str">
        <x:v>Resposta a ameaças; verificar a cobertura e se o efeito é simétrico.</x:v>
      </x:c>
      <x:c r="F10" s="72" t="str"/>
    </x:row>
    <x:row r="11" ht="38" customHeight="1">
      <x:c r="A11" s="72" t="str">
        <x:v>Curse of Opulence</x:v>
      </x:c>
      <x:c r="B11" s="72" t="str">
        <x:v>Tesouro</x:v>
      </x:c>
      <x:c r="C11" s="72" t="str">
        <x:v>PROPOSED V3</x:v>
      </x:c>
      <x:c r="D11" s="72" t="str">
        <x:v>B</x:v>
      </x:c>
      <x:c r="E11" s="72" t="str">
        <x:v>Produz Tesouros ou converte combate/Dragões em mana.</x:v>
      </x:c>
      <x:c r="F11" s="72" t="str"/>
    </x:row>
    <x:row r="12" ht="38" customHeight="1">
      <x:c r="A12" s="72" t="str">
        <x:v>Cursed Mirror</x:v>
      </x:c>
      <x:c r="B12" s="72" t="str">
        <x:v>Ramp</x:v>
      </x:c>
      <x:c r="C12" s="72" t="str">
        <x:v>PROPOSED V3</x:v>
      </x:c>
      <x:c r="D12" s="72" t="str">
        <x:v>B</x:v>
      </x:c>
      <x:c r="E12" s="72" t="str">
        <x:v>Aceleração de mana ou redução de custo.</x:v>
      </x:c>
      <x:c r="F12" s="72" t="str"/>
    </x:row>
    <x:row r="13" ht="38" customHeight="1">
      <x:c r="A13" s="72" t="str">
        <x:v>Demand Answers</x:v>
      </x:c>
      <x:c r="B13" s="72" t="str">
        <x:v>Draw</x:v>
      </x:c>
      <x:c r="C13" s="72" t="str">
        <x:v>PROPOSED V3</x:v>
      </x:c>
      <x:c r="D13" s="72" t="str">
        <x:v>B</x:v>
      </x:c>
      <x:c r="E13" s="72" t="str">
        <x:v>Compra, seleção ou recuperação de cartas.</x:v>
      </x:c>
      <x:c r="F13" s="72" t="str"/>
    </x:row>
    <x:row r="14" ht="38" customHeight="1">
      <x:c r="A14" s="72" t="str">
        <x:v>Dragon Tempest</x:v>
      </x:c>
      <x:c r="B14" s="72" t="str">
        <x:v>Sinergia 1</x:v>
      </x:c>
      <x:c r="C14" s="72" t="str">
        <x:v>PROPOSED V3</x:v>
      </x:c>
      <x:c r="D14" s="72" t="str">
        <x:v>S</x:v>
      </x:c>
      <x:c r="E14" s="72" t="str">
        <x:v>Concede ímpeto aos Dragões que entram e causa dano escalável por entradas.</x:v>
      </x:c>
      <x:c r="F14" s="72" t="str">
        <x:v>Concede ímpeto aos Dragões que entram e causa dano escalável por entradas.</x:v>
      </x:c>
    </x:row>
    <x:row r="15" ht="38" customHeight="1">
      <x:c r="A15" s="72" t="str">
        <x:v>Dragon's Hoard</x:v>
      </x:c>
      <x:c r="B15" s="72" t="str">
        <x:v>Ramp</x:v>
      </x:c>
      <x:c r="C15" s="72" t="str">
        <x:v>PROPOSED V3</x:v>
      </x:c>
      <x:c r="D15" s="72" t="str">
        <x:v>B</x:v>
      </x:c>
      <x:c r="E15" s="72" t="str">
        <x:v>Aceleração de mana ou redução de custo.</x:v>
      </x:c>
      <x:c r="F15" s="72" t="str"/>
    </x:row>
    <x:row r="16" ht="38" customHeight="1">
      <x:c r="A16" s="72" t="str">
        <x:v>Dragonspeaker Shaman</x:v>
      </x:c>
      <x:c r="B16" s="72" t="str">
        <x:v>Ramp</x:v>
      </x:c>
      <x:c r="C16" s="72" t="str">
        <x:v>PROPOSED V3</x:v>
      </x:c>
      <x:c r="D16" s="72" t="str">
        <x:v>B</x:v>
      </x:c>
      <x:c r="E16" s="72" t="str">
        <x:v>Aceleração de mana ou redução de custo.</x:v>
      </x:c>
      <x:c r="F16" s="72" t="str"/>
    </x:row>
    <x:row r="17" ht="38" customHeight="1">
      <x:c r="A17" s="72" t="str">
        <x:v>Faithless Looting</x:v>
      </x:c>
      <x:c r="B17" s="72" t="str">
        <x:v>Draw</x:v>
      </x:c>
      <x:c r="C17" s="72" t="str">
        <x:v>PROPOSED V3</x:v>
      </x:c>
      <x:c r="D17" s="72" t="str">
        <x:v>B</x:v>
      </x:c>
      <x:c r="E17" s="72" t="str">
        <x:v>Compra, seleção ou recuperação de cartas.</x:v>
      </x:c>
      <x:c r="F17" s="72" t="str"/>
    </x:row>
    <x:row r="18" ht="38" customHeight="1">
      <x:c r="A18" s="72" t="str">
        <x:v>Fiendish Duo</x:v>
      </x:c>
      <x:c r="B18" s="72" t="str">
        <x:v>Sinergia 2</x:v>
      </x:c>
      <x:c r="C18" s="72" t="str">
        <x:v>PROPOSED V3</x:v>
      </x:c>
      <x:c r="D18" s="72" t="str">
        <x:v>B</x:v>
      </x:c>
      <x:c r="E18" s="72" t="str">
        <x:v>Amplifica dano, pressão ou valor gerado por Dragões.</x:v>
      </x:c>
      <x:c r="F18" s="72" t="str"/>
    </x:row>
    <x:row r="19" ht="38" customHeight="1">
      <x:c r="A19" s="72" t="str">
        <x:v>Goldspan Dragon</x:v>
      </x:c>
      <x:c r="B19" s="72" t="str">
        <x:v>Tesouro</x:v>
      </x:c>
      <x:c r="C19" s="72" t="str">
        <x:v>PROPOSED V3</x:v>
      </x:c>
      <x:c r="D19" s="72" t="str">
        <x:v>A</x:v>
      </x:c>
      <x:c r="E19" s="72" t="str">
        <x:v>Produz Tesouros ou converte combate/Dragões em mana.</x:v>
      </x:c>
      <x:c r="F19" s="72" t="str">
        <x:v>Produz Tesouros ou converte combate/Dragões em mana.</x:v>
      </x:c>
    </x:row>
    <x:row r="20" ht="38" customHeight="1">
      <x:c r="A20" s="72" t="str">
        <x:v>Gratuitous Violence</x:v>
      </x:c>
      <x:c r="B20" s="72" t="str">
        <x:v>Sinergia 2</x:v>
      </x:c>
      <x:c r="C20" s="72" t="str">
        <x:v>PROPOSED V3</x:v>
      </x:c>
      <x:c r="D20" s="72" t="str">
        <x:v>B</x:v>
      </x:c>
      <x:c r="E20" s="72" t="str">
        <x:v>Amplifica dano, pressão ou valor gerado por Dragões.</x:v>
      </x:c>
      <x:c r="F20" s="72" t="str"/>
    </x:row>
    <x:row r="21" ht="38" customHeight="1">
      <x:c r="A21" s="72" t="str">
        <x:v>Great Train Heist</x:v>
      </x:c>
      <x:c r="B21" s="72" t="str">
        <x:v>Combate extra</x:v>
      </x:c>
      <x:c r="C21" s="72" t="str">
        <x:v>PROPOSED V3</x:v>
      </x:c>
      <x:c r="D21" s="72" t="str">
        <x:v>B</x:v>
      </x:c>
      <x:c r="E21" s="72" t="str">
        <x:v>Cria ou facilita fases/turnos de combate adicionais.</x:v>
      </x:c>
      <x:c r="F21" s="72" t="str"/>
    </x:row>
    <x:row r="22" ht="38" customHeight="1">
      <x:c r="A22" s="72" t="str">
        <x:v>Hellkite Charger</x:v>
      </x:c>
      <x:c r="B22" s="72" t="str">
        <x:v>Combate extra</x:v>
      </x:c>
      <x:c r="C22" s="72" t="str">
        <x:v>PROPOSED V3</x:v>
      </x:c>
      <x:c r="D22" s="72" t="str">
        <x:v>B</x:v>
      </x:c>
      <x:c r="E22" s="72" t="str">
        <x:v>Cria ou facilita fases/turnos de combate adicionais.</x:v>
      </x:c>
      <x:c r="F22" s="72" t="str"/>
    </x:row>
    <x:row r="23" ht="38" customHeight="1">
      <x:c r="A23" s="72" t="str">
        <x:v>Hellkite Tyrant</x:v>
      </x:c>
      <x:c r="B23" s="72" t="str">
        <x:v>Sinergia 3</x:v>
      </x:c>
      <x:c r="C23" s="72" t="str">
        <x:v>PROPOSED V3</x:v>
      </x:c>
      <x:c r="D23" s="72" t="str">
        <x:v>B</x:v>
      </x:c>
      <x:c r="E23" s="72" t="str">
        <x:v>Apoia ímpeto, proteção, plano tribal ou combate.</x:v>
      </x:c>
      <x:c r="F23" s="72" t="str"/>
    </x:row>
    <x:row r="24" ht="38" customHeight="1">
      <x:c r="A24" s="72" t="str">
        <x:v>Horn of the Mark</x:v>
      </x:c>
      <x:c r="B24" s="72" t="str">
        <x:v>Draw</x:v>
      </x:c>
      <x:c r="C24" s="72" t="str">
        <x:v>PROPOSED V3</x:v>
      </x:c>
      <x:c r="D24" s="72" t="str">
        <x:v>B</x:v>
      </x:c>
      <x:c r="E24" s="72" t="str">
        <x:v>Compra, seleção ou recuperação de cartas.</x:v>
      </x:c>
      <x:c r="F24" s="72" t="str"/>
    </x:row>
    <x:row r="25" ht="38" customHeight="1">
      <x:c r="A25" s="72" t="str">
        <x:v>Incinerator of the Guilty</x:v>
      </x:c>
      <x:c r="B25" s="72" t="str">
        <x:v>Removal</x:v>
      </x:c>
      <x:c r="C25" s="72" t="str">
        <x:v>PROPOSED V3</x:v>
      </x:c>
      <x:c r="D25" s="72" t="str">
        <x:v>B</x:v>
      </x:c>
      <x:c r="E25" s="72" t="str">
        <x:v>Resposta a ameaças; verificar a cobertura e se o efeito é simétrico.</x:v>
      </x:c>
      <x:c r="F25" s="72" t="str"/>
    </x:row>
    <x:row r="26" ht="38" customHeight="1">
      <x:c r="A26" s="72" t="str">
        <x:v>Insurrection</x:v>
      </x:c>
      <x:c r="B26" s="72" t="str">
        <x:v>Sinergia 3</x:v>
      </x:c>
      <x:c r="C26" s="72" t="str">
        <x:v>PROPOSED V3</x:v>
      </x:c>
      <x:c r="D26" s="72" t="str">
        <x:v>B</x:v>
      </x:c>
      <x:c r="E26" s="72" t="str">
        <x:v>Apoia ímpeto, proteção, plano tribal ou combate.</x:v>
      </x:c>
      <x:c r="F26" s="72" t="str"/>
    </x:row>
    <x:row r="27" ht="38" customHeight="1">
      <x:c r="A27" s="72" t="str">
        <x:v>Manaform Hellkite</x:v>
      </x:c>
      <x:c r="B27" s="72" t="str">
        <x:v>Sinergia 1</x:v>
      </x:c>
      <x:c r="C27" s="72" t="str">
        <x:v>PROPOSED V3</x:v>
      </x:c>
      <x:c r="D27" s="72" t="str">
        <x:v>B</x:v>
      </x:c>
      <x:c r="E27" s="72" t="str">
        <x:v>Avança o motor de Dragões, entradas no campo ou geração de fichas.</x:v>
      </x:c>
      <x:c r="F27" s="72" t="str"/>
    </x:row>
    <x:row r="28" ht="38" customHeight="1">
      <x:c r="A28" s="72" t="str">
        <x:v>Mines of Moria</x:v>
      </x:c>
      <x:c r="B28" s="72" t="str">
        <x:v>Ramp</x:v>
      </x:c>
      <x:c r="C28" s="72" t="str">
        <x:v>PROPOSED V3</x:v>
      </x:c>
      <x:c r="D28" s="72" t="str">
        <x:v>B</x:v>
      </x:c>
      <x:c r="E28" s="72" t="str">
        <x:v>Aceleração de mana ou redução de custo.</x:v>
      </x:c>
      <x:c r="F28" s="72" t="str"/>
    </x:row>
    <x:row r="29" ht="38" customHeight="1">
      <x:c r="A29" s="72" t="str">
        <x:v>Mizzium Mortars</x:v>
      </x:c>
      <x:c r="B29" s="72" t="str">
        <x:v>Removal</x:v>
      </x:c>
      <x:c r="C29" s="72" t="str">
        <x:v>PROPOSED V3</x:v>
      </x:c>
      <x:c r="D29" s="72" t="str">
        <x:v>A</x:v>
      </x:c>
      <x:c r="E29" s="72" t="str">
        <x:v>Resposta a ameaças; verificar a cobertura e se o efeito é simétrico.</x:v>
      </x:c>
      <x:c r="F29" s="72" t="str">
        <x:v>Sobrecarga é assimétrica, mas atinge apenas criaturas com resistência 4 ou menos.</x:v>
      </x:c>
    </x:row>
    <x:row r="30" ht="38" customHeight="1">
      <x:c r="A30" s="72" t="str">
        <x:v>Molten Echoes</x:v>
      </x:c>
      <x:c r="B30" s="72" t="str">
        <x:v>Sinergia 1</x:v>
      </x:c>
      <x:c r="C30" s="72" t="str">
        <x:v>PROPOSED V3</x:v>
      </x:c>
      <x:c r="D30" s="72" t="str">
        <x:v>A</x:v>
      </x:c>
      <x:c r="E30" s="72" t="str">
        <x:v>Cria cópias tribais temporárias, aumentando redundância e gatilhos de entrada.</x:v>
      </x:c>
      <x:c r="F30" s="72" t="str">
        <x:v>Cria cópias tribais temporárias, aumentando redundância e gatilhos de entrada.</x:v>
      </x:c>
    </x:row>
    <x:row r="31" ht="38" customHeight="1">
      <x:c r="A31" s="72" t="str">
        <x:v>Mountain</x:v>
      </x:c>
      <x:c r="B31" s="72" t="str">
        <x:v>Ramp</x:v>
      </x:c>
      <x:c r="C31" s="72" t="str">
        <x:v>PROPOSED V3</x:v>
      </x:c>
      <x:c r="D31" s="72" t="str">
        <x:v>B</x:v>
      </x:c>
      <x:c r="E31" s="72" t="str">
        <x:v>Aceleração de mana ou redução de custo.</x:v>
      </x:c>
      <x:c r="F31" s="72" t="str"/>
    </x:row>
    <x:row r="32" ht="38" customHeight="1">
      <x:c r="A32" s="72" t="str">
        <x:v>Overpowering Attack</x:v>
      </x:c>
      <x:c r="B32" s="72" t="str">
        <x:v>Combate extra</x:v>
      </x:c>
      <x:c r="C32" s="72" t="str">
        <x:v>PROPOSED V3</x:v>
      </x:c>
      <x:c r="D32" s="72" t="str">
        <x:v>B</x:v>
      </x:c>
      <x:c r="E32" s="72" t="str">
        <x:v>Cria ou facilita fases/turnos de combate adicionais.</x:v>
      </x:c>
      <x:c r="F32" s="72" t="str"/>
    </x:row>
    <x:row r="33" ht="38" customHeight="1">
      <x:c r="A33" s="72" t="str">
        <x:v>Path of Ancestry</x:v>
      </x:c>
      <x:c r="B33" s="72" t="str">
        <x:v>Ramp</x:v>
      </x:c>
      <x:c r="C33" s="72" t="str">
        <x:v>PROPOSED V3</x:v>
      </x:c>
      <x:c r="D33" s="72" t="str">
        <x:v>B</x:v>
      </x:c>
      <x:c r="E33" s="72" t="str">
        <x:v>Aceleração de mana ou redução de custo.</x:v>
      </x:c>
      <x:c r="F33" s="72" t="str"/>
    </x:row>
    <x:row r="34" ht="38" customHeight="1">
      <x:c r="A34" s="72" t="str">
        <x:v>Pinnacle Monk</x:v>
      </x:c>
      <x:c r="B34" s="72" t="str">
        <x:v>Draw</x:v>
      </x:c>
      <x:c r="C34" s="72" t="str">
        <x:v>PROPOSED V3</x:v>
      </x:c>
      <x:c r="D34" s="72" t="str">
        <x:v>B</x:v>
      </x:c>
      <x:c r="E34" s="72" t="str">
        <x:v>Recupera uma instantânea ou feitiço do cemitério ao entrar; a face posterior é terreno.</x:v>
      </x:c>
      <x:c r="F34" s="72" t="str"/>
    </x:row>
    <x:row r="35" ht="38" customHeight="1">
      <x:c r="A35" s="72" t="str">
        <x:v>Rapacious Dragon</x:v>
      </x:c>
      <x:c r="B35" s="72" t="str">
        <x:v>Tesouro</x:v>
      </x:c>
      <x:c r="C35" s="72" t="str">
        <x:v>PROPOSED V3</x:v>
      </x:c>
      <x:c r="D35" s="72" t="str">
        <x:v>B</x:v>
      </x:c>
      <x:c r="E35" s="72" t="str">
        <x:v>Produz Tesouros ou converte combate/Dragões em mana.</x:v>
      </x:c>
      <x:c r="F35" s="72" t="str"/>
    </x:row>
    <x:row r="36" ht="38" customHeight="1">
      <x:c r="A36" s="72" t="str">
        <x:v>Rising of the Day</x:v>
      </x:c>
      <x:c r="B36" s="72" t="str">
        <x:v>Sinergia 3</x:v>
      </x:c>
      <x:c r="C36" s="72" t="str">
        <x:v>PROPOSED V3</x:v>
      </x:c>
      <x:c r="D36" s="72" t="str">
        <x:v>B</x:v>
      </x:c>
      <x:c r="E36" s="72" t="str">
        <x:v>Apoia ímpeto, proteção, plano tribal ou combate.</x:v>
      </x:c>
      <x:c r="F36" s="72" t="str"/>
    </x:row>
    <x:row r="37" ht="38" customHeight="1">
      <x:c r="A37" s="72" t="str">
        <x:v>Roaming Throne</x:v>
      </x:c>
      <x:c r="B37" s="72" t="str">
        <x:v>Sinergia 1</x:v>
      </x:c>
      <x:c r="C37" s="72" t="str">
        <x:v>PROPOSED V3</x:v>
      </x:c>
      <x:c r="D37" s="72" t="str">
        <x:v>A</x:v>
      </x:c>
      <x:c r="E37" s="72" t="str">
        <x:v>Ao escolher Dragon, pode duplicar gatilhos relevantes de Dragões, incluindo o de Lathliss.</x:v>
      </x:c>
      <x:c r="F37" s="72" t="str">
        <x:v>Ao escolher Dragon, pode duplicar gatilhos relevantes de Dragões, incluindo o de Lathliss.</x:v>
      </x:c>
    </x:row>
    <x:row r="38" ht="38" customHeight="1">
      <x:c r="A38" s="72" t="str">
        <x:v>Ryusei, the Falling Star</x:v>
      </x:c>
      <x:c r="B38" s="72" t="str">
        <x:v>Sinergia 2</x:v>
      </x:c>
      <x:c r="C38" s="72" t="str">
        <x:v>PROPOSED V3</x:v>
      </x:c>
      <x:c r="D38" s="72" t="str">
        <x:v>B</x:v>
      </x:c>
      <x:c r="E38" s="72" t="str">
        <x:v>Amplifica dano, pressão ou valor gerado por Dragões.</x:v>
      </x:c>
      <x:c r="F38" s="72" t="str"/>
    </x:row>
    <x:row r="39" ht="38" customHeight="1">
      <x:c r="A39" s="72" t="str">
        <x:v>Sarkhan's Triumph</x:v>
      </x:c>
      <x:c r="B39" s="72" t="str">
        <x:v>Sinergia 3</x:v>
      </x:c>
      <x:c r="C39" s="72" t="str">
        <x:v>PROPOSED V3</x:v>
      </x:c>
      <x:c r="D39" s="72" t="str">
        <x:v>B</x:v>
      </x:c>
      <x:c r="E39" s="72" t="str">
        <x:v>Apoia ímpeto, proteção, plano tribal ou combate.</x:v>
      </x:c>
      <x:c r="F39" s="72" t="str"/>
    </x:row>
    <x:row r="40" ht="38" customHeight="1">
      <x:c r="A40" s="72" t="str">
        <x:v>Scourge of the Throne</x:v>
      </x:c>
      <x:c r="B40" s="72" t="str">
        <x:v>Combate extra</x:v>
      </x:c>
      <x:c r="C40" s="72" t="str">
        <x:v>PROPOSED V3</x:v>
      </x:c>
      <x:c r="D40" s="72" t="str">
        <x:v>B</x:v>
      </x:c>
      <x:c r="E40" s="72" t="str">
        <x:v>Cria ou facilita fases/turnos de combate adicionais.</x:v>
      </x:c>
      <x:c r="F40" s="72" t="str"/>
    </x:row>
    <x:row r="41" ht="38" customHeight="1">
      <x:c r="A41" s="72" t="str">
        <x:v>Skyline Despot</x:v>
      </x:c>
      <x:c r="B41" s="72" t="str">
        <x:v>Draw</x:v>
      </x:c>
      <x:c r="C41" s="72" t="str">
        <x:v>PROPOSED V3</x:v>
      </x:c>
      <x:c r="D41" s="72" t="str">
        <x:v>B</x:v>
      </x:c>
      <x:c r="E41" s="72" t="str">
        <x:v>Compra, seleção ou recuperação de cartas.</x:v>
      </x:c>
      <x:c r="F41" s="72" t="str"/>
    </x:row>
    <x:row r="42" ht="38" customHeight="1">
      <x:c r="A42" s="72" t="str">
        <x:v>Sol Ring</x:v>
      </x:c>
      <x:c r="B42" s="72" t="str">
        <x:v>Ramp</x:v>
      </x:c>
      <x:c r="C42" s="72" t="str">
        <x:v>PROPOSED V3</x:v>
      </x:c>
      <x:c r="D42" s="72" t="str">
        <x:v>B</x:v>
      </x:c>
      <x:c r="E42" s="72" t="str">
        <x:v>Aceleração de um mana para reduzir o tempo até Lathliss e ameaças de alto custo.</x:v>
      </x:c>
      <x:c r="F42" s="72" t="str"/>
    </x:row>
    <x:row r="43" ht="38" customHeight="1">
      <x:c r="A43" s="72" t="str">
        <x:v>Spikefield Hazard</x:v>
      </x:c>
      <x:c r="B43" s="72" t="str">
        <x:v>Removal</x:v>
      </x:c>
      <x:c r="C43" s="72" t="str">
        <x:v>PROPOSED V3</x:v>
      </x:c>
      <x:c r="D43" s="72" t="str">
        <x:v>B</x:v>
      </x:c>
      <x:c r="E43" s="72" t="str">
        <x:v>Resposta a ameaças; verificar a cobertura e se o efeito é simétrico.</x:v>
      </x:c>
      <x:c r="F43" s="72" t="str"/>
    </x:row>
    <x:row r="44" ht="38" customHeight="1">
      <x:c r="A44" s="72" t="str">
        <x:v>Spinerock Knoll</x:v>
      </x:c>
      <x:c r="B44" s="72" t="str">
        <x:v>Ramp</x:v>
      </x:c>
      <x:c r="C44" s="72" t="str">
        <x:v>PROPOSED V3</x:v>
      </x:c>
      <x:c r="D44" s="72" t="str">
        <x:v>B</x:v>
      </x:c>
      <x:c r="E44" s="72" t="str">
        <x:v>Aceleração de mana ou redução de custo.</x:v>
      </x:c>
      <x:c r="F44" s="72" t="str"/>
    </x:row>
    <x:row r="45" ht="38" customHeight="1">
      <x:c r="A45" s="72" t="str">
        <x:v>Spiteful Banditry</x:v>
      </x:c>
      <x:c r="B45" s="72" t="str">
        <x:v>Removal</x:v>
      </x:c>
      <x:c r="C45" s="72" t="str">
        <x:v>PROPOSED V3</x:v>
      </x:c>
      <x:c r="D45" s="72" t="str">
        <x:v>B</x:v>
      </x:c>
      <x:c r="E45" s="72" t="str">
        <x:v>Resposta a ameaças; verificar a cobertura e se o efeito é simétrico.</x:v>
      </x:c>
      <x:c r="F45" s="72" t="str"/>
    </x:row>
    <x:row r="46" ht="38" customHeight="1">
      <x:c r="A46" s="72" t="str">
        <x:v>Sundering Eruption</x:v>
      </x:c>
      <x:c r="B46" s="72" t="str">
        <x:v>Removal</x:v>
      </x:c>
      <x:c r="C46" s="72" t="str">
        <x:v>PROPOSED V3</x:v>
      </x:c>
      <x:c r="D46" s="72" t="str">
        <x:v>B</x:v>
      </x:c>
      <x:c r="E46" s="72" t="str">
        <x:v>Resposta a ameaças; verificar a cobertura e se o efeito é simétrico.</x:v>
      </x:c>
      <x:c r="F46" s="72" t="str"/>
    </x:row>
    <x:row r="47" ht="38" customHeight="1">
      <x:c r="A47" s="72" t="str">
        <x:v>Territorial Hellkite</x:v>
      </x:c>
      <x:c r="B47" s="72" t="str">
        <x:v>Sinergia 2</x:v>
      </x:c>
      <x:c r="C47" s="72" t="str">
        <x:v>PROPOSED V3</x:v>
      </x:c>
      <x:c r="D47" s="72" t="str">
        <x:v>B</x:v>
      </x:c>
      <x:c r="E47" s="72" t="str">
        <x:v>Amplifica dano, pressão ou valor gerado por Dragões.</x:v>
      </x:c>
      <x:c r="F47" s="72" t="str"/>
    </x:row>
    <x:row r="48" ht="38" customHeight="1">
      <x:c r="A48" s="72" t="str">
        <x:v>The Legend of Roku</x:v>
      </x:c>
      <x:c r="B48" s="72" t="str">
        <x:v>Sinergia 1</x:v>
      </x:c>
      <x:c r="C48" s="72" t="str">
        <x:v>PROPOSED V3</x:v>
      </x:c>
      <x:c r="D48" s="72" t="str">
        <x:v>B</x:v>
      </x:c>
      <x:c r="E48" s="72" t="str">
        <x:v>Avança o motor de Dragões, entradas no campo ou geração de fichas.</x:v>
      </x:c>
      <x:c r="F48" s="72" t="str"/>
    </x:row>
    <x:row r="49" ht="38" customHeight="1">
      <x:c r="A49" s="72" t="str">
        <x:v>The Reaver Cleaver</x:v>
      </x:c>
      <x:c r="B49" s="72" t="str">
        <x:v>Tesouro</x:v>
      </x:c>
      <x:c r="C49" s="72" t="str">
        <x:v>PROPOSED V3</x:v>
      </x:c>
      <x:c r="D49" s="72" t="str">
        <x:v>B</x:v>
      </x:c>
      <x:c r="E49" s="72" t="str">
        <x:v>Produz Tesouros ou converte combate/Dragões em mana.</x:v>
      </x:c>
      <x:c r="F49" s="72" t="str"/>
    </x:row>
    <x:row r="50" ht="38" customHeight="1">
      <x:c r="A50" s="72" t="str">
        <x:v>Torbran, Thane of Red Fell</x:v>
      </x:c>
      <x:c r="B50" s="72" t="str">
        <x:v>Sinergia 2</x:v>
      </x:c>
      <x:c r="C50" s="72" t="str">
        <x:v>PROPOSED V3</x:v>
      </x:c>
      <x:c r="D50" s="72" t="str">
        <x:v>B</x:v>
      </x:c>
      <x:c r="E50" s="72" t="str">
        <x:v>Amplifica dano, pressão ou valor gerado por Dragões.</x:v>
      </x:c>
      <x:c r="F50" s="72" t="str"/>
    </x:row>
    <x:row r="51" ht="38" customHeight="1">
      <x:c r="A51" s="72" t="str">
        <x:v>Utvara Hellkite</x:v>
      </x:c>
      <x:c r="B51" s="72" t="str">
        <x:v>Sinergia 1</x:v>
      </x:c>
      <x:c r="C51" s="72" t="str">
        <x:v>PROPOSED V3</x:v>
      </x:c>
      <x:c r="D51" s="72" t="str">
        <x:v>A</x:v>
      </x:c>
      <x:c r="E51" s="72" t="str">
        <x:v>Avança o motor de Dragões, entradas no campo ou geração de fichas.</x:v>
      </x:c>
      <x:c r="F51" s="72" t="str">
        <x:v>Avança o motor de Dragões, entradas no campo ou geração de fichas.</x:v>
      </x:c>
    </x:row>
    <x:row r="52" ht="38" customHeight="1">
      <x:c r="A52" s="72" t="str">
        <x:v>Vandalblast</x:v>
      </x:c>
      <x:c r="B52" s="72" t="str">
        <x:v>Removal</x:v>
      </x:c>
      <x:c r="C52" s="72" t="str">
        <x:v>PROPOSED V3</x:v>
      </x:c>
      <x:c r="D52" s="72" t="str">
        <x:v>A</x:v>
      </x:c>
      <x:c r="E52" s="72" t="str">
        <x:v>Sobrecarga limpa artefatos dos oponentes sem atingir os seus.</x:v>
      </x:c>
      <x:c r="F52" s="72" t="str">
        <x:v>Sobrecarga limpa artefatos dos oponentes sem atingir os seus.</x:v>
      </x:c>
    </x:row>
    <x:row r="53" ht="38" customHeight="1">
      <x:c r="A53" s="72" t="str">
        <x:v>Vengeful Ancestor</x:v>
      </x:c>
      <x:c r="B53" s="72" t="str">
        <x:v>Sinergia 2</x:v>
      </x:c>
      <x:c r="C53" s="72" t="str">
        <x:v>PROPOSED V3</x:v>
      </x:c>
      <x:c r="D53" s="72" t="str">
        <x:v>B</x:v>
      </x:c>
      <x:c r="E53" s="72" t="str">
        <x:v>Amplifica dano, pressão ou valor gerado por Dragões.</x:v>
      </x:c>
      <x:c r="F53" s="72" t="str"/>
    </x:row>
    <x:row r="54" ht="38" customHeight="1">
      <x:c r="A54" s="72" t="str">
        <x:v>Wild Wasteland</x:v>
      </x:c>
      <x:c r="B54" s="72" t="str">
        <x:v>Draw</x:v>
      </x:c>
      <x:c r="C54" s="72" t="str">
        <x:v>PROPOSED V3</x:v>
      </x:c>
      <x:c r="D54" s="72" t="str">
        <x:v>B</x:v>
      </x:c>
      <x:c r="E54" s="72" t="str">
        <x:v>Motor de compra impulsiva; pula a compra natural e exila duas cartas no início da manutenção.</x:v>
      </x:c>
      <x:c r="F54" s="72" t="str"/>
    </x:row>
    <x:row r="55" ht="38" customHeight="1">
      <x:c r="A55" s="72" t="str">
        <x:v>The One Ring</x:v>
      </x:c>
      <x:c r="B55" s="72" t="str">
        <x:v>Draw</x:v>
      </x:c>
      <x:c r="C55" s="72" t="str">
        <x:v>PROPOSED V3</x:v>
      </x:c>
      <x:c r="D55" s="72" t="str">
        <x:v>S</x:v>
      </x:c>
      <x:c r="E55" s="72" t="str">
        <x:v>Compra escalável e proteção temporária; o custo em vida/percepção de ameaça é um trade-off.</x:v>
      </x:c>
      <x:c r="F55" s="72" t="str">
        <x:v>Motor de compra recorrente e proteção temporária; aumenta a consistência. Risco: Pode atrair muita atenção e o custo em vida pesa em partidas longas.</x:v>
      </x:c>
    </x:row>
    <x:row r="56" ht="38" customHeight="1">
      <x:c r="A56" s="72" t="str">
        <x:v>Jeska's Will</x:v>
      </x:c>
      <x:c r="B56" s="72" t="str">
        <x:v>Ramp</x:v>
      </x:c>
      <x:c r="C56" s="72" t="str">
        <x:v>PROPOSED V3</x:v>
      </x:c>
      <x:c r="D56" s="72" t="str">
        <x:v>S</x:v>
      </x:c>
      <x:c r="E56" s="72" t="str">
        <x:v>Mana explosiva e acesso impulsivo a cartas; com comandante em campo, pode usar os dois modos.</x:v>
      </x:c>
      <x:c r="F56" s="72" t="str">
        <x:v>Gera mana explosiva e acesso impulsivo a cartas; especialmente forte com o comandante em campo. Risco: Perde eficiência se não houver mana para aproveitar as cartas exiladas naquele turno.</x:v>
      </x:c>
    </x:row>
    <x:row r="57" ht="38" customHeight="1">
      <x:c r="A57" s="72" t="str">
        <x:v>Wrathful Red Dragon</x:v>
      </x:c>
      <x:c r="B57" s="72" t="str">
        <x:v>Sinergia 3</x:v>
      </x:c>
      <x:c r="C57" s="72" t="str">
        <x:v>PROPOSED V3</x:v>
      </x:c>
      <x:c r="D57" s="72" t="str">
        <x:v>A</x:v>
      </x:c>
      <x:c r="E57" s="72" t="str">
        <x:v>Converte dano recebido pelos seus Dragões em dano direcionado; combina com Chain Reaction.</x:v>
      </x:c>
      <x:c r="F57" s="72" t="str">
        <x:v>Converte dano recebido pelos seus Dragões em dano direcionado; combina com Chain Reaction. Risco: Precisa que um Dragão receba dano e pode ser removido antes da interação.</x:v>
      </x:c>
    </x:row>
    <x:row r="58" ht="38" customHeight="1">
      <x:c r="A58" s="72" t="str">
        <x:v>Ruby Medallion</x:v>
      </x:c>
      <x:c r="B58" s="72" t="str">
        <x:v>Ramp</x:v>
      </x:c>
      <x:c r="C58" s="72" t="str">
        <x:v>PROPOSED V3</x:v>
      </x:c>
      <x:c r="D58" s="72" t="str">
        <x:v>B</x:v>
      </x:c>
      <x:c r="E58" s="72" t="str">
        <x:v>Reduz o componente genérico do custo de mágicas vermelhas.</x:v>
      </x:c>
      <x:c r="F58" s="72" t="str"/>
    </x:row>
    <x:row r="59" ht="38" customHeight="1">
      <x:c r="A59" s="72" t="str">
        <x:v>Earthquake</x:v>
      </x:c>
      <x:c r="B59" s="72" t="str">
        <x:v>Removal</x:v>
      </x:c>
      <x:c r="C59" s="72" t="str">
        <x:v>PROPOSED V3</x:v>
      </x:c>
      <x:c r="D59" s="72" t="str">
        <x:v>B</x:v>
      </x:c>
      <x:c r="E59" s="72" t="str">
        <x:v>Resposta a ameaças; verificar a cobertura e se o efeito é simétrico.</x:v>
      </x:c>
      <x:c r="F59" s="72" t="str"/>
    </x:row>
    <x:row r="60" ht="38" customHeight="1">
      <x:c r="A60" s="72" t="str">
        <x:v>Scourge of Valkas</x:v>
      </x:c>
      <x:c r="B60" s="72" t="str">
        <x:v>Sinergia 1</x:v>
      </x:c>
      <x:c r="C60" s="72" t="str">
        <x:v>PROPOSED V3</x:v>
      </x:c>
      <x:c r="D60" s="72" t="str">
        <x:v>A</x:v>
      </x:c>
      <x:c r="E60" s="72" t="str">
        <x:v>Avança o motor de Dragões, entradas no campo ou geração de fichas.</x:v>
      </x:c>
      <x:c r="F60" s="72" t="str">
        <x:v>Transforma entradas de Dragões em dano; escala com fichas de Lathliss e Roaming Throne. Risco: Custa cinco manas e rende menos sem múltiplas entradas de Dragões.</x:v>
      </x:c>
    </x:row>
    <x:row r="61" ht="38" customHeight="1">
      <x:c r="A61" s="72" t="str">
        <x:v>Dragonlord's Servant</x:v>
      </x:c>
      <x:c r="B61" s="72" t="str">
        <x:v>Ramp</x:v>
      </x:c>
      <x:c r="C61" s="72" t="str">
        <x:v>PROPOSED V3</x:v>
      </x:c>
      <x:c r="D61" s="72" t="str">
        <x:v>A</x:v>
      </x:c>
      <x:c r="E61" s="72" t="str">
        <x:v>Reduz em {1} o custo de mágicas de Dragão; não é Dragão e não aciona Lathliss.</x:v>
      </x:c>
      <x:c r="F61" s="72" t="str">
        <x:v>Redução de custo por duas manas que melhora o começo do jogo. Risco: Não é Dragão e não dispara Lathliss; corpo frágil.</x:v>
      </x:c>
    </x:row>
    <x:row r="62" ht="38" customHeight="1">
      <x:c r="A62" s="72" t="str">
        <x:v>Herald's Horn</x:v>
      </x:c>
      <x:c r="B62" s="72" t="str">
        <x:v>Ramp</x:v>
      </x:c>
      <x:c r="C62" s="72" t="str">
        <x:v>PROPOSED V3</x:v>
      </x:c>
      <x:c r="D62" s="72" t="str">
        <x:v>A</x:v>
      </x:c>
      <x:c r="E62" s="72" t="str">
        <x:v>Reduz custos tribais e seleciona cartas de criatura no topo durante a manutenção.</x:v>
      </x:c>
      <x:c r="F62" s="72" t="str">
        <x:v>Reduz custos tribais e filtra criaturas no topo durante a manutenção. Risco: A seleção não é compra garantida e custa três manas para entrar.</x:v>
      </x:c>
    </x:row>
    <x:row r="63" ht="38" customHeight="1">
      <x:c r="A63" s="72" t="str">
        <x:v>Terror of the Peaks</x:v>
      </x:c>
      <x:c r="B63" s="72" t="str">
        <x:v>Sinergia 1</x:v>
      </x:c>
      <x:c r="C63" s="72" t="str">
        <x:v>PROPOSED V3</x:v>
      </x:c>
      <x:c r="D63" s="72" t="str">
        <x:v>A</x:v>
      </x:c>
      <x:c r="E63" s="72" t="str">
        <x:v>Avança o motor de Dragões, entradas no campo ou geração de fichas.</x:v>
      </x:c>
      <x:c r="F63" s="72" t="str">
        <x:v>Converte entradas de Dragões e fichas em dano, ajudando a fechar a partida. Risco: Tem alta percepção de ameaça e pode ser removido antes de render valor.</x:v>
      </x:c>
    </x:row>
    <x:row r="64" ht="38" customHeight="1">
      <x:c r="A64" s="72" t="str">
        <x:v>Chandra's Ignition</x:v>
      </x:c>
      <x:c r="B64" s="72" t="str">
        <x:v>Removal</x:v>
      </x:c>
      <x:c r="C64" s="72" t="str">
        <x:v>PROPOSED V3</x:v>
      </x:c>
      <x:c r="D64" s="72" t="str">
        <x:v>A</x:v>
      </x:c>
      <x:c r="E64" s="72" t="str">
        <x:v>Usa o poder de um Dragão como remoção ampla e dano aos oponentes; pode atingir suas outras criaturas.</x:v>
      </x:c>
      <x:c r="F64" s="72" t="str">
        <x:v>Usa o poder de um Dragão grande para limpar criaturas e causar dano aos oponentes. Risco: Também atinge suas outras criaturas; exige uma fonte grande de poder.</x:v>
      </x:c>
    </x:row>
    <x:row r="65" ht="38" customHeight="1">
      <x:c r="A65" s="72" t="str">
        <x:v>Ganax, Astral Hunter</x:v>
      </x:c>
      <x:c r="B65" s="72" t="str">
        <x:v>Tesouro</x:v>
      </x:c>
      <x:c r="C65" s="72" t="str">
        <x:v>PROPOSED V3</x:v>
      </x:c>
      <x:c r="D65" s="72" t="str">
        <x:v>A</x:v>
      </x:c>
      <x:c r="E65" s="72" t="str">
        <x:v>Cada Dragão que entra pode gerar Tesouro, inclusive a ficha criada por Lathliss.</x:v>
      </x:c>
      <x:c r="F65" s="72" t="str">
        <x:v>Cada Dragão que entra, inclusive ficha de Lathliss, cria Tesouro. Risco: Precisa de várias entradas para superar ramp mais simples; ocupa o slot de cinco manas.</x:v>
      </x:c>
    </x:row>
    <x:row r="66" ht="38" customHeight="1">
      <x:c r="A66" s="72" t="str">
        <x:v>Lightning Greaves</x:v>
      </x:c>
      <x:c r="B66" s="72" t="str">
        <x:v>Sinergia 3</x:v>
      </x:c>
      <x:c r="C66" s="72" t="str">
        <x:v>PROPOSED V3</x:v>
      </x:c>
      <x:c r="D66" s="72" t="str">
        <x:v>B</x:v>
      </x:c>
      <x:c r="E66" s="72" t="str">
        <x:v>Apoia ímpeto, proteção, plano tribal ou combate.</x:v>
      </x:c>
      <x:c r="F66" s="72" t="str"/>
    </x:row>
    <x:row r="67" ht="38" customHeight="1">
      <x:c r="A67" s="72" t="str">
        <x:v>Valakut Awakening // Valakut Stoneforge</x:v>
      </x:c>
      <x:c r="B67" s="72" t="str">
        <x:v>Draw</x:v>
      </x:c>
      <x:c r="C67" s="72" t="str">
        <x:v>PROPOSED V3</x:v>
      </x:c>
      <x:c r="D67" s="72" t="str">
        <x:v>B</x:v>
      </x:c>
      <x:c r="E67" s="72" t="str">
        <x:v>Compra, seleção ou recuperação de cartas.</x:v>
      </x:c>
      <x:c r="F67" s="72" t="str"/>
    </x:row>
    <x:row r="68" ht="38" customHeight="1">
      <x:c r="A68" s="72" t="str">
        <x:v>Chrome Mox</x:v>
      </x:c>
      <x:c r="B68" s="72" t="str">
        <x:v>Ramp</x:v>
      </x:c>
      <x:c r="C68" s="72" t="str">
        <x:v>PROPOSED V3</x:v>
      </x:c>
      <x:c r="D68" s="72" t="str">
        <x:v>A</x:v>
      </x:c>
      <x:c r="E68" s="72" t="str">
        <x:v>Aceleração de custo zero; exila outra carta não artefato/não terreno da mão para gerar mana colorida.</x:v>
      </x:c>
      <x:c r="F68" s="72" t="str">
        <x:v>PROPOSED V3; ainda não testada.</x:v>
      </x:c>
    </x:row>
    <x:row r="69" ht="38" customHeight="1">
      <x:c r="A69" s="72" t="str">
        <x:v>Mana Vault</x:v>
      </x:c>
      <x:c r="B69" s="72" t="str">
        <x:v>Ramp</x:v>
      </x:c>
      <x:c r="C69" s="72" t="str">
        <x:v>PROPOSED V3</x:v>
      </x:c>
      <x:c r="D69" s="72" t="str">
        <x:v>A</x:v>
      </x:c>
      <x:c r="E69" s="72" t="str">
        <x:v>Aceleração explosiva: vira para {C}{C}{C}; não desvira normalmente e, se continuar virado no início da manutenção, causa 1 de dano. Pode-se pagar {4} para desvirar.</x:v>
      </x:c>
      <x:c r="F69" s="72" t="str">
        <x:v>PROPOSED V3; ainda não testada.</x:v>
      </x:c>
    </x:row>
    <x:row r="70" ht="38" customHeight="1">
      <x:c r="A70" s="72" t="str">
        <x:v>Knollspine Dragon</x:v>
      </x:c>
      <x:c r="B70" s="72" t="str">
        <x:v>Draw</x:v>
      </x:c>
      <x:c r="C70" s="72" t="str">
        <x:v>PROPOSED V3</x:v>
      </x:c>
      <x:c r="D70" s="72" t="str">
        <x:v>A</x:v>
      </x:c>
      <x:c r="E70" s="72" t="str">
        <x:v>Dragão de compra que repõe a mão depois que um oponente sofreu dano relevante no turno.</x:v>
      </x:c>
      <x:c r="F70" s="72" t="str">
        <x:v>PROPOSED V3; ainda não testada.</x:v>
      </x:c>
    </x:row>
    <x:row r="71" ht="38" customHeight="1">
      <x:c r="A71" s="72" t="str">
        <x:v>Dracogenesis</x:v>
      </x:c>
      <x:c r="B71" s="72" t="str">
        <x:v>Sinergia 1</x:v>
      </x:c>
      <x:c r="C71" s="72" t="str">
        <x:v>PROPOSED V3</x:v>
      </x:c>
      <x:c r="D71" s="72" t="str">
        <x:v>B</x:v>
      </x:c>
      <x:c r="E71" s="72" t="str">
        <x:v>Encantamento de oito manas que permite conjurar mágicas de Dragão sem pagar seus custos; payoff de teto alto.</x:v>
      </x:c>
      <x:c r="F71" s="72" t="str">
        <x:v>PROPOSED V3; ainda não testada.</x:v>
      </x:c>
    </x:row>
    <x:row r="72" ht="38" customHeight="1">
      <x:c r="A72" s="72" t="str">
        <x:v>Dragonhawk, Fate's Tempest</x:v>
      </x:c>
      <x:c r="B72" s="72" t="str">
        <x:v>Draw</x:v>
      </x:c>
      <x:c r="C72" s="72" t="str">
        <x:v>PROPOSED V3</x:v>
      </x:c>
      <x:c r="D72" s="72" t="str">
        <x:v>A</x:v>
      </x:c>
      <x:c r="E72" s="72" t="str">
        <x:v>Exila cartas ao entrar/atacar em função das criaturas com poder 4+; converte cartas não jogadas em dano no end step.</x:v>
      </x:c>
      <x:c r="F72" s="72" t="str">
        <x:v>PROPOSED V3; ainda não testada.</x:v>
      </x:c>
    </x:row>
    <x:row r="73" ht="38" customHeight="1">
      <x:c r="A73" s="72" t="str">
        <x:v>Bonehoard Dracosaur</x:v>
      </x:c>
      <x:c r="B73" s="72" t="str">
        <x:v>Draw</x:v>
      </x:c>
      <x:c r="C73" s="72" t="str">
        <x:v>PROPOSED V3</x:v>
      </x:c>
      <x:c r="D73" s="72" t="str">
        <x:v>A</x:v>
      </x:c>
      <x:c r="E73" s="72" t="str">
        <x:v>Dragão de valor no upkeep; exila duas cartas, permite jogá-las e gera tokens/Tesouros para cartas não utilizadas.</x:v>
      </x:c>
      <x:c r="F73" s="72" t="str">
        <x:v>PROPOSED V3; ainda não testada.</x:v>
      </x:c>
    </x:row>
    <x:row r="74" ht="38" customHeight="1">
      <x:c r="A74" s="72" t="str">
        <x:v>Ancient Copper Dragon</x:v>
      </x:c>
      <x:c r="B74" s="72" t="str">
        <x:v>Tesouro</x:v>
      </x:c>
      <x:c r="C74" s="72" t="str">
        <x:v>PROPOSED V3</x:v>
      </x:c>
      <x:c r="D74" s="72" t="str">
        <x:v>A</x:v>
      </x:c>
      <x:c r="E74" s="72" t="str">
        <x:v>Dragão voador que pode gerar grande quantidade de Tesouros ao causar dano de combate.</x:v>
      </x:c>
      <x:c r="F74" s="72" t="str">
        <x:v>PROPOSED V3; ainda não testada.</x:v>
      </x:c>
    </x:row>
    <x:row r="75" ht="38" customHeight="1">
      <x:c r="A75" s="72" t="str">
        <x:v>Urza's Incubator</x:v>
      </x:c>
      <x:c r="B75" s="72" t="str">
        <x:v>Ramp</x:v>
      </x:c>
      <x:c r="C75" s="72" t="str">
        <x:v>PROPOSED V3</x:v>
      </x:c>
      <x:c r="D75" s="72" t="str">
        <x:v>A</x:v>
      </x:c>
      <x:c r="E75" s="72" t="str">
        <x:v>Reduz em duas manas genéricas mágicas de criatura do tipo escolhido; nomear Dragon.</x:v>
      </x:c>
      <x:c r="F75" s="72" t="str">
        <x:v>PROPOSED V3; ainda não testada.</x:v>
      </x:c>
    </x:row>
    <x:row r="76" ht="38" customHeight="1">
      <x:c r="A76" s="72" t="str">
        <x:v>Blasphemous Act</x:v>
      </x:c>
      <x:c r="B76" s="72" t="str">
        <x:v>Removal</x:v>
      </x:c>
      <x:c r="C76" s="72" t="str">
        <x:v>PROPOSED V3</x:v>
      </x:c>
      <x:c r="D76" s="72" t="str">
        <x:v>A</x:v>
      </x:c>
      <x:c r="E76" s="72" t="str">
        <x:v>Limpeza de criaturas que normalmente fica barata; com Wrathful Red Dragon pode converter dano em explosão direcionada.</x:v>
      </x:c>
      <x:c r="F76" s="72" t="str">
        <x:v>PROPOSED V3; ainda não testada.</x:v>
      </x:c>
    </x:row>
    <x:row r="77" ht="38" customHeight="1">
      <x:c r="A77" s="72" t="str">
        <x:v>Cavern of Souls</x:v>
      </x:c>
      <x:c r="B77" s="72" t="str">
        <x:v>Ramp</x:v>
      </x:c>
      <x:c r="C77" s="72" t="str">
        <x:v>PROPOSED V3</x:v>
      </x:c>
      <x:c r="D77" s="72" t="str">
        <x:v>A</x:v>
      </x:c>
      <x:c r="E77" s="72" t="str">
        <x:v>Terreno que, ao nomear Dragon, pode tornar mágicas de criatura Dragon não anuláveis.</x:v>
      </x:c>
      <x:c r="F77" s="72" t="str">
        <x:v>PROPOSED V3; ainda não testada.</x:v>
      </x:c>
    </x:row>
    <x:row r="78" ht="38" customHeight="1">
      <x:c r="A78" s="72" t="str">
        <x:v>Ancient Tomb</x:v>
      </x:c>
      <x:c r="B78" s="72" t="str">
        <x:v>Ramp</x:v>
      </x:c>
      <x:c r="C78" s="72" t="str">
        <x:v>PROPOSED V3</x:v>
      </x:c>
      <x:c r="D78" s="72" t="str">
        <x:v>A</x:v>
      </x:c>
      <x:c r="E78" s="72" t="str">
        <x:v>Terreno que gera duas manas incolores e causa dois de dano ao ser virado para mana.</x:v>
      </x:c>
      <x:c r="F78" s="72" t="str">
        <x:v>PROPOSED V3; ainda não testada.</x:v>
      </x:c>
    </x:row>
  </x:sheetData>
  <x:pageMargins left="0.7" right="0.7" top="0.75" bottom="0.75" header="0.3" footer="0.3"/>
</x:worksheet>
</file>