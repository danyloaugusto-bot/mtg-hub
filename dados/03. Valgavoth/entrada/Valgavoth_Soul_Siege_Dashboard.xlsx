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yl\Downloads\"/>
    </mc:Choice>
  </mc:AlternateContent>
  <xr:revisionPtr revIDLastSave="0" documentId="13_ncr:1_{EC23FF74-E01A-4013-944A-67AA8E54253B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01_Dashboard" sheetId="1" r:id="rId1"/>
    <sheet name="02_Card Matrix" sheetId="2" r:id="rId2"/>
    <sheet name="03_Tier List" sheetId="3" r:id="rId3"/>
    <sheet name="04_Analysis" sheetId="4" r:id="rId4"/>
    <sheet name="05_Control Panel" sheetId="5" r:id="rId5"/>
    <sheet name="06_Watchlist" sheetId="6" r:id="rId6"/>
    <sheet name="07_Upgrade Matrix" sheetId="7" r:id="rId7"/>
    <sheet name="08_V2 Deck" sheetId="8" r:id="rId8"/>
    <sheet name="09_Sources" sheetId="9" r:id="rId9"/>
    <sheet name="10_Read M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" l="1"/>
  <c r="J5" i="8"/>
  <c r="J3" i="8"/>
  <c r="J2" i="8"/>
  <c r="J4" i="8" s="1"/>
  <c r="B20" i="4"/>
  <c r="B19" i="4"/>
  <c r="B18" i="4"/>
  <c r="B17" i="4"/>
  <c r="B16" i="4"/>
  <c r="B15" i="4"/>
  <c r="B14" i="4"/>
  <c r="B13" i="4"/>
  <c r="B7" i="4"/>
  <c r="B17" i="1"/>
  <c r="B16" i="1"/>
  <c r="B15" i="1"/>
  <c r="B14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<sst xmlns="http://schemas.openxmlformats.org/spreadsheetml/2006/main" count="1937" uniqueCount="483">
  <si>
    <t>VALGAVOTH — HARROWER OF SOULS | SLUG • VOLTRON • DEMONS</t>
  </si>
  <si>
    <t>Metric</t>
  </si>
  <si>
    <t>Current</t>
  </si>
  <si>
    <t>DECK IDENTITY</t>
  </si>
  <si>
    <t>Deck size</t>
  </si>
  <si>
    <t>Primary Plan — Voltron Valgavoth: grow +1/+1 counters from opponent-turn life loss and win with 21 commander damage.</t>
  </si>
  <si>
    <t>Land count</t>
  </si>
  <si>
    <t>Secondary Plan — Group Slug: make opponents lose life on their turns to generate cards + counters.</t>
  </si>
  <si>
    <t>Current score</t>
  </si>
  <si>
    <t>Subtheme — Demon Tribal: Demons provide flavor, tutors, cost reduction and board-control payoffs.</t>
  </si>
  <si>
    <t>Demon cards</t>
  </si>
  <si>
    <t>Resilience — Protect Valgavoth and preserve accumulated counters; prioritize cheap/free protection and counter preservation.</t>
  </si>
  <si>
    <t>S-tier cards</t>
  </si>
  <si>
    <t>Removal Philosophy — Prefer one-sided or commander-centric clears; Mandate of Abaddon and Chandra's Ignition are premium.</t>
  </si>
  <si>
    <t>A-tier cards</t>
  </si>
  <si>
    <t>Speed Philosophy — Keep lands; reduce unnecessary 6–8 MV spells and establish Valgavoth early.</t>
  </si>
  <si>
    <t>List status</t>
  </si>
  <si>
    <t>99 cards listed — 1 slot is missing from supplied list</t>
  </si>
  <si>
    <t>10/10 Rule — A non-Demon must materially improve speed, Voltron, life-loss triggers, protection, removal or Demon tribal to earn a slot.</t>
  </si>
  <si>
    <t>Tier</t>
  </si>
  <si>
    <t>Count</t>
  </si>
  <si>
    <t>S</t>
  </si>
  <si>
    <t>A</t>
  </si>
  <si>
    <t>B</t>
  </si>
  <si>
    <t>C</t>
  </si>
  <si>
    <t>Card</t>
  </si>
  <si>
    <t>Qty</t>
  </si>
  <si>
    <t>Type</t>
  </si>
  <si>
    <t>MV</t>
  </si>
  <si>
    <t>Demon?</t>
  </si>
  <si>
    <t>Ramp</t>
  </si>
  <si>
    <t>Draw</t>
  </si>
  <si>
    <t>Removal</t>
  </si>
  <si>
    <t>Protection</t>
  </si>
  <si>
    <t>Voltron</t>
  </si>
  <si>
    <t>Group Slug</t>
  </si>
  <si>
    <t>Recursion</t>
  </si>
  <si>
    <t>Demon Tribal</t>
  </si>
  <si>
    <t>Score</t>
  </si>
  <si>
    <t>Verdict</t>
  </si>
  <si>
    <t>Weakness</t>
  </si>
  <si>
    <t>Diagnosis</t>
  </si>
  <si>
    <t>Source</t>
  </si>
  <si>
    <t>Land?</t>
  </si>
  <si>
    <t>Valgavoth, Harrower of Souls</t>
  </si>
  <si>
    <t>Legendary Creature — Elder Demon</t>
  </si>
  <si>
    <t>YES</t>
  </si>
  <si>
    <t>LOCK</t>
  </si>
  <si>
    <t>Primary engine and Voltron threat. Each opponent's first life loss on their turn becomes a card plus a permanent +1/+1 counter.</t>
  </si>
  <si>
    <t>https://scryfall.com/search?q=%21%22Valgavoth%2C%20Harrower%20of%20Souls%22</t>
  </si>
  <si>
    <t>NO</t>
  </si>
  <si>
    <t>Arcane Signet</t>
  </si>
  <si>
    <t>Artifact</t>
  </si>
  <si>
    <t>KEEP</t>
  </si>
  <si>
    <t>Strong support card for the deck's overall plan.</t>
  </si>
  <si>
    <t>https://scryfall.com/search?q=%21%22Arcane%20Signet%22</t>
  </si>
  <si>
    <t>Arena of Glory</t>
  </si>
  <si>
    <t>Land</t>
  </si>
  <si>
    <t>https://scryfall.com/search?q=%21%22Arena%20of%20Glory%22</t>
  </si>
  <si>
    <t>Barbflare Gremlin</t>
  </si>
  <si>
    <t>Creature — Gremlin</t>
  </si>
  <si>
    <t>D</t>
  </si>
  <si>
    <t>CUT</t>
  </si>
  <si>
    <t>At 4 MV it gives opponents extra mana while trying to hurt their lands; too expensive and symmetrical for the tempo goal.</t>
  </si>
  <si>
    <t>https://scryfall.com/search?q=%21%22Barbflare%20Gremlin%22</t>
  </si>
  <si>
    <t>Basilisk Collar</t>
  </si>
  <si>
    <t>Artifact — Equipment</t>
  </si>
  <si>
    <t>Good card, but Shadowspear does the Voltron job better here by adding trample while retaining lifelink.</t>
  </si>
  <si>
    <t>https://scryfall.com/search?q=%21%22Basilisk%20Collar%22</t>
  </si>
  <si>
    <t>Blasphemous Act</t>
  </si>
  <si>
    <t>Sorcery</t>
  </si>
  <si>
    <t>https://scryfall.com/search?q=%21%22Blasphemous%20Act%22</t>
  </si>
  <si>
    <t>Blasphemous Edict</t>
  </si>
  <si>
    <t>Symmetrical sacrifice undermines the goal of ending the wipe with your creatures intact.</t>
  </si>
  <si>
    <t>https://scryfall.com/search?q=%21%22Blasphemous%20Edict%22</t>
  </si>
  <si>
    <t>Blazemire Verge</t>
  </si>
  <si>
    <t>https://scryfall.com/search?q=%21%22Blazemire%20Verge%22</t>
  </si>
  <si>
    <t>Bloodchief Ascension</t>
  </si>
  <si>
    <t>Enchantment</t>
  </si>
  <si>
    <t>Excellent low-cost engine; becomes a kill piece with Mindcrank and naturally rides on the deck's life-loss plan.</t>
  </si>
  <si>
    <t>https://scryfall.com/search?q=%21%22Bloodchief%20Ascension%22</t>
  </si>
  <si>
    <t>Bloodletter of Aclazotz</t>
  </si>
  <si>
    <t>Creature — Demon</t>
  </si>
  <si>
    <t>https://scryfall.com/search?q=%21%22Bloodletter%20of%20Aclazotz%22</t>
  </si>
  <si>
    <t>Bolt Bend</t>
  </si>
  <si>
    <t>Instant</t>
  </si>
  <si>
    <t>https://scryfall.com/search?q=%21%22Bolt%20Bend%22</t>
  </si>
  <si>
    <t>Canyon Slough</t>
  </si>
  <si>
    <t>Land — Swamp Mountain</t>
  </si>
  <si>
    <t>https://scryfall.com/search?q=%21%22Canyon%20Slough%22</t>
  </si>
  <si>
    <t>Chaos Warp</t>
  </si>
  <si>
    <t>https://scryfall.com/search?q=%21%22Chaos%20Warp%22</t>
  </si>
  <si>
    <t>Command Tower</t>
  </si>
  <si>
    <t>https://scryfall.com/search?q=%21%22Command%20Tower%22</t>
  </si>
  <si>
    <t>Crypt Ghast</t>
  </si>
  <si>
    <t>Creature — Spirit</t>
  </si>
  <si>
    <t>Huge ceiling, but 4 mana for a ramp creature is slower than the low-cost accelerants this build wants.</t>
  </si>
  <si>
    <t>https://scryfall.com/search?q=%21%22Crypt%20Ghast%22</t>
  </si>
  <si>
    <t>Demonic Counsel</t>
  </si>
  <si>
    <t>https://scryfall.com/search?q=%21%22Demonic%20Counsel%22</t>
  </si>
  <si>
    <t>Descent into Avernus</t>
  </si>
  <si>
    <t>https://scryfall.com/search?q=%21%22Descent%20into%20Avernus%22</t>
  </si>
  <si>
    <t>Dragonskull Summit</t>
  </si>
  <si>
    <t>https://scryfall.com/search?q=%21%22Dragonskull%20Summit%22</t>
  </si>
  <si>
    <t>Exotic Orchard</t>
  </si>
  <si>
    <t>https://scryfall.com/search?q=%21%22Exotic%20Orchard%22</t>
  </si>
  <si>
    <t>Fate Unraveler</t>
  </si>
  <si>
    <t>Enchantment Creature — Human Shaman</t>
  </si>
  <si>
    <t>https://scryfall.com/search?q=%21%22Fate%20Unraveler%22</t>
  </si>
  <si>
    <t>Feed the Swarm</t>
  </si>
  <si>
    <t>https://scryfall.com/search?q=%21%22Feed%20the%20Swarm%22</t>
  </si>
  <si>
    <t>Fellwar Stone</t>
  </si>
  <si>
    <t>https://scryfall.com/search?q=%21%22Fellwar%20Stone%22</t>
  </si>
  <si>
    <t>Foreboding Ruins</t>
  </si>
  <si>
    <t>https://scryfall.com/search?q=%21%22Foreboding%20Ruins%22</t>
  </si>
  <si>
    <t>Ghoulish Impetus</t>
  </si>
  <si>
    <t>Enchantment — Aura</t>
  </si>
  <si>
    <t>Fun Goad piece, but it is a peripheral effect rather than core Voltron, slug, protection, or Demon tribal.</t>
  </si>
  <si>
    <t>https://scryfall.com/search?q=%21%22Ghoulish%20Impetus%22</t>
  </si>
  <si>
    <t>Gleeful Arsonist</t>
  </si>
  <si>
    <t>Creature — Human Wizard</t>
  </si>
  <si>
    <t>https://scryfall.com/search?q=%21%22Gleeful%20Arsonist%22</t>
  </si>
  <si>
    <t>Gray Merchant of Asphodel</t>
  </si>
  <si>
    <t>Creature — Zombie</t>
  </si>
  <si>
    <t>Strong finisher, but neither Demon nor a core Voltron/protection piece; less necessary in this shell.</t>
  </si>
  <si>
    <t>https://scryfall.com/search?q=%21%22Gray%20Merchant%20of%20Asphodel%22</t>
  </si>
  <si>
    <t>Herald of Slaanesh</t>
  </si>
  <si>
    <t>https://scryfall.com/search?q=%21%22Herald%20of%20Slaanesh%22</t>
  </si>
  <si>
    <t>Imp's Mischief</t>
  </si>
  <si>
    <t>https://scryfall.com/search?q=%21%22Imp%27s%20Mischief%22</t>
  </si>
  <si>
    <t>Insatiable Avarice</t>
  </si>
  <si>
    <t>Flexible, but too mana-hungry/slow relative to direct tutors and engines.</t>
  </si>
  <si>
    <t>https://scryfall.com/search?q=%21%22Insatiable%20Avarice%22</t>
  </si>
  <si>
    <t>Jeska's Will</t>
  </si>
  <si>
    <t>https://scryfall.com/search?q=%21%22Jeska%27s%20Will%22</t>
  </si>
  <si>
    <t>Karazikar, the Eye Tyrant</t>
  </si>
  <si>
    <t>Legendary Creature — Beholder</t>
  </si>
  <si>
    <t>Good Goad/CA card, but the deck is better when its five-mana slots directly serve Voltron, slug, protection, or Demon tribal.</t>
  </si>
  <si>
    <t>https://scryfall.com/search?q=%21%22Karazikar%2C%20the%20Eye%20Tyrant%22</t>
  </si>
  <si>
    <t>Kardur, Doomscourge</t>
  </si>
  <si>
    <t>Legendary Creature — Demon</t>
  </si>
  <si>
    <t>https://scryfall.com/search?q=%21%22Kardur%2C%20Doomscourge%22</t>
  </si>
  <si>
    <t>Kaya's Ghostform</t>
  </si>
  <si>
    <t>https://scryfall.com/search?q=%21%22Kaya%27s%20Ghostform%22</t>
  </si>
  <si>
    <t>Kederekt Parasite</t>
  </si>
  <si>
    <t>Creature — Horror</t>
  </si>
  <si>
    <t>Premium 1-drop for this commander: punishes extra draws with life loss, feeding Valgavoth every opponent turn when online.</t>
  </si>
  <si>
    <t>https://scryfall.com/search?q=%21%22Kederekt%20Parasite%22</t>
  </si>
  <si>
    <t>Lightning Greaves</t>
  </si>
  <si>
    <t>Core protection, haste, and immediate Voltron pressure; one of the safest cards in the list.</t>
  </si>
  <si>
    <t>https://scryfall.com/search?q=%21%22Lightning%20Greaves%22</t>
  </si>
  <si>
    <t>Liliana's Contract</t>
  </si>
  <si>
    <t>https://scryfall.com/search?q=%21%22Liliana%27s%20Contract%22</t>
  </si>
  <si>
    <t>Lord of the Void</t>
  </si>
  <si>
    <t>Excellent Demon, poor fit for the deck's desired speed.</t>
  </si>
  <si>
    <t>Powerful Demon, but 7 mana is too slow for the desired tempo and does not advance the plan immediately.</t>
  </si>
  <si>
    <t>https://scryfall.com/search?q=%21%22Lord%20of%20the%20Void%22</t>
  </si>
  <si>
    <t>Mai, Scornful Striker</t>
  </si>
  <si>
    <t>Legendary Creature — Human Noble Ally</t>
  </si>
  <si>
    <t>https://scryfall.com/search?q=%21%22Mai%2C%20Scornful%20Striker%22</t>
  </si>
  <si>
    <t>Malakir Rebirth</t>
  </si>
  <si>
    <t>https://scryfall.com/search?q=%21%22Malakir%20Rebirth%22</t>
  </si>
  <si>
    <t>Manabarbs</t>
  </si>
  <si>
    <t>https://scryfall.com/search?q=%21%22Manabarbs%22</t>
  </si>
  <si>
    <t>Mandate of Abaddon</t>
  </si>
  <si>
    <t>One of the best sweepers here because Valgavoth's growing power can leave the commander alive while shrinking opposing boards.</t>
  </si>
  <si>
    <t>https://scryfall.com/search?q=%21%22Mandate%20of%20Abaddon%22</t>
  </si>
  <si>
    <t>Massacre Wurm</t>
  </si>
  <si>
    <t>Creature — Wurm</t>
  </si>
  <si>
    <t>Powerful six-drop, but too far from the main plan compared with one-sided or commander-centric removal.</t>
  </si>
  <si>
    <t>https://scryfall.com/search?q=%21%22Massacre%20Wurm%22</t>
  </si>
  <si>
    <t>Master of Cruelties</t>
  </si>
  <si>
    <t>https://scryfall.com/search?q=%21%22Master%20of%20Cruelties%22</t>
  </si>
  <si>
    <t>Mindcrank</t>
  </si>
  <si>
    <t>https://scryfall.com/search?q=%21%22Mindcrank%22</t>
  </si>
  <si>
    <t>Mogis, God of Slaughter</t>
  </si>
  <si>
    <t>Legendary Enchantment Creature — God</t>
  </si>
  <si>
    <t>https://scryfall.com/search?q=%21%22Mogis%2C%20God%20of%20Slaughter%22</t>
  </si>
  <si>
    <t>Mountain</t>
  </si>
  <si>
    <t>Basic Land — Mountain</t>
  </si>
  <si>
    <t>https://scryfall.com/search?q=%21%22Mountain%22</t>
  </si>
  <si>
    <t>Not Dead After All</t>
  </si>
  <si>
    <t>https://scryfall.com/search?q=%21%22Not%20Dead%20After%20All%22</t>
  </si>
  <si>
    <t>Nuclear Fallout</t>
  </si>
  <si>
    <t>Symmetric sweep that can kill your commander and your support board; not aligned with resilience.</t>
  </si>
  <si>
    <t>https://scryfall.com/search?q=%21%22Nuclear%20Fallout%22</t>
  </si>
  <si>
    <t>Ob Nixilis, Captive Kingpin</t>
  </si>
  <si>
    <t>Legendary Creature — Devil</t>
  </si>
  <si>
    <t>https://scryfall.com/search?q=%21%22Ob%20Nixilis%2C%20Captive%20Kingpin%22</t>
  </si>
  <si>
    <t>Phyrexian Arena</t>
  </si>
  <si>
    <t>https://scryfall.com/search?q=%21%22Phyrexian%20Arena%22</t>
  </si>
  <si>
    <t>Profane Tutor</t>
  </si>
  <si>
    <t>Two-turn setup is notably slower than direct tutoring in a deck that wants to establish Valgavoth fast.</t>
  </si>
  <si>
    <t>https://scryfall.com/search?q=%21%22Profane%20Tutor%22</t>
  </si>
  <si>
    <t>Rakdos Carnarium</t>
  </si>
  <si>
    <t>https://scryfall.com/search?q=%21%22Rakdos%20Carnarium%22</t>
  </si>
  <si>
    <t>Rakdos Charm</t>
  </si>
  <si>
    <t>https://scryfall.com/search?q=%21%22Rakdos%20Charm%22</t>
  </si>
  <si>
    <t>Rakdos, Lord of Riots</t>
  </si>
  <si>
    <t>https://scryfall.com/search?q=%21%22Rakdos%2C%20Lord%20of%20Riots%22</t>
  </si>
  <si>
    <t>Rampaging Ferocidon</t>
  </si>
  <si>
    <t>Creature — Dinosaur</t>
  </si>
  <si>
    <t>https://scryfall.com/search?q=%21%22Rampaging%20Ferocidon%22</t>
  </si>
  <si>
    <t>Razorkin Needlehead</t>
  </si>
  <si>
    <t>Creature — Human Assassin</t>
  </si>
  <si>
    <t>Very efficient life-loss trigger plus incremental pressure; one of the best low-curve cards for the commander.</t>
  </si>
  <si>
    <t>https://scryfall.com/search?q=%21%22Razorkin%20Needlehead%22</t>
  </si>
  <si>
    <t>Redirect Lightning</t>
  </si>
  <si>
    <t>https://scryfall.com/search?q=%21%22Redirect%20Lightning%22</t>
  </si>
  <si>
    <t>Reliquary Tower</t>
  </si>
  <si>
    <t>https://scryfall.com/search?q=%21%22Reliquary%20Tower%22</t>
  </si>
  <si>
    <t>Return the Favor</t>
  </si>
  <si>
    <t>https://scryfall.com/search?q=%21%22Return%20the%20Favor%22</t>
  </si>
  <si>
    <t>Roiling Vortex</t>
  </si>
  <si>
    <t>Cheap persistent pain engine that also punishes free spells; directly advances the commander plan.</t>
  </si>
  <si>
    <t>https://scryfall.com/search?q=%21%22Roiling%20Vortex%22</t>
  </si>
  <si>
    <t>Rot-Curse Rakshasa</t>
  </si>
  <si>
    <t>https://scryfall.com/search?q=%21%22Rot-Curse%20Rakshasa%22</t>
  </si>
  <si>
    <t>Sadistic Shell Game</t>
  </si>
  <si>
    <t>https://scryfall.com/search?q=%21%22Sadistic%20Shell%20Game%22</t>
  </si>
  <si>
    <t>Scrawling Crawler</t>
  </si>
  <si>
    <t>Artifact Creature — Phyrexian Construct</t>
  </si>
  <si>
    <t>https://scryfall.com/search?q=%21%22Scrawling%20Crawler%22</t>
  </si>
  <si>
    <t>Sol Ring</t>
  </si>
  <si>
    <t>https://scryfall.com/search?q=%21%22Sol%20Ring%22</t>
  </si>
  <si>
    <t>Sower of Discord</t>
  </si>
  <si>
    <t>https://scryfall.com/search?q=%21%22Sower%20of%20Discord%22</t>
  </si>
  <si>
    <t>Spikefield Hazard</t>
  </si>
  <si>
    <t>Land // Instant</t>
  </si>
  <si>
    <t>https://scryfall.com/search?q=%21%22Spikefield%20Hazard%22</t>
  </si>
  <si>
    <t>Spinerock Knoll</t>
  </si>
  <si>
    <t>Powerful in longer games, but enters tapped and is too conditional for a deck prioritizing speed.</t>
  </si>
  <si>
    <t>https://scryfall.com/search?q=%21%22Spinerock%20Knoll%22</t>
  </si>
  <si>
    <t>Spiteful Visions</t>
  </si>
  <si>
    <t>https://scryfall.com/search?q=%21%22Spiteful%20Visions%22</t>
  </si>
  <si>
    <t>Sulfuric Vortex</t>
  </si>
  <si>
    <t>https://scryfall.com/search?q=%21%22Sulfuric%20Vortex%22</t>
  </si>
  <si>
    <t>Swamp</t>
  </si>
  <si>
    <t>Basic Land — Swamp</t>
  </si>
  <si>
    <t>https://scryfall.com/search?q=%21%22Swamp%22</t>
  </si>
  <si>
    <t>Séance Board</t>
  </si>
  <si>
    <t>https://scryfall.com/search?q=%21%22S%C3%A9ance%20Board%22</t>
  </si>
  <si>
    <t>Tainted Peak</t>
  </si>
  <si>
    <t>https://scryfall.com/search?q=%21%22Tainted%20Peak%22</t>
  </si>
  <si>
    <t>Talisman of Indulgence</t>
  </si>
  <si>
    <t>https://scryfall.com/search?q=%21%22Talisman%20of%20Indulgence%22</t>
  </si>
  <si>
    <t>Temple of the False God</t>
  </si>
  <si>
    <t>Weak early-game land and unnecessary risk in a 4-mana commander deck.</t>
  </si>
  <si>
    <t>https://scryfall.com/search?q=%21%22Temple%20of%20the%20False%20God%22</t>
  </si>
  <si>
    <t>The Lord of Pain</t>
  </si>
  <si>
    <t>Legendary Creature — Human Assassin</t>
  </si>
  <si>
    <t>https://scryfall.com/search?q=%21%22The%20Lord%20of%20Pain%22</t>
  </si>
  <si>
    <t>Thought Vessel</t>
  </si>
  <si>
    <t>The commander already generates substantial card flow; this is a weaker use of a nonland slot than an extra Swamp.</t>
  </si>
  <si>
    <t>https://scryfall.com/search?q=%21%22Thought%20Vessel%22</t>
  </si>
  <si>
    <t>Underworld Dreams</t>
  </si>
  <si>
    <t>https://scryfall.com/search?q=%21%22Underworld%20Dreams%22</t>
  </si>
  <si>
    <t>Unholy Annex // Ritual Chamber</t>
  </si>
  <si>
    <t>Enchantment — Room</t>
  </si>
  <si>
    <t>Excellent intersection of Demon tribal and Group Slug: draw every end step, drain opponents if a Demon is present, and later makes a 6/6 Demon.</t>
  </si>
  <si>
    <t>https://scryfall.com/search?q=%21%22Unholy%20Annex%20//%20Ritual%20Chamber%22</t>
  </si>
  <si>
    <t>Unstoppable Slasher</t>
  </si>
  <si>
    <t>Creature — Zombie Assassin</t>
  </si>
  <si>
    <t>https://scryfall.com/search?q=%21%22Unstoppable%20Slasher%22</t>
  </si>
  <si>
    <t>Untimely Malfunction</t>
  </si>
  <si>
    <t>https://scryfall.com/search?q=%21%22Untimely%20Malfunction%22</t>
  </si>
  <si>
    <t>Vilis, Broker of Blood</t>
  </si>
  <si>
    <t>Eight-mana payoff is impressive but creates a top-end bottleneck.</t>
  </si>
  <si>
    <t>Very powerful, but 8 mana is a major speed tax and the deck does not need another top-end engine this expensive.</t>
  </si>
  <si>
    <t>https://scryfall.com/search?q=%21%22Vilis%2C%20Broker%20of%20Blood%22</t>
  </si>
  <si>
    <t>War Room</t>
  </si>
  <si>
    <t>https://scryfall.com/search?q=%21%22War%20Room%22</t>
  </si>
  <si>
    <t>Withering Torment</t>
  </si>
  <si>
    <t>https://scryfall.com/search?q=%21%22Withering%20Torment%22</t>
  </si>
  <si>
    <t>Primary Role</t>
  </si>
  <si>
    <t>Why</t>
  </si>
  <si>
    <t>Slug, Voltron, Prot</t>
  </si>
  <si>
    <t>Prot</t>
  </si>
  <si>
    <t>Support card; keep while testing this exact build.</t>
  </si>
  <si>
    <t>Slug</t>
  </si>
  <si>
    <t>Demon</t>
  </si>
  <si>
    <t>Prot, Recursion</t>
  </si>
  <si>
    <t>Slug, Demon</t>
  </si>
  <si>
    <t>Slug, Ramp</t>
  </si>
  <si>
    <t>At 4 mana it gives opponents extra mana while trying to hurt their lands; too expensive and symmetrical for the tempo goal.</t>
  </si>
  <si>
    <t>04 — ANALYSIS | CURRENT → TARGET</t>
  </si>
  <si>
    <t>Dimension</t>
  </si>
  <si>
    <t>Target</t>
  </si>
  <si>
    <t>Deck count</t>
  </si>
  <si>
    <t>One slot missing from the supplied list.</t>
  </si>
  <si>
    <t>Lands</t>
  </si>
  <si>
    <t>Do not reduce land count; add quality lands while preserving speed.</t>
  </si>
  <si>
    <t>Subtheme is real but not a rigid tribal requirement; support cards may be non-Demons.</t>
  </si>
  <si>
    <t>Avg MV (nonland approx.)</t>
  </si>
  <si>
    <t>Current top end is too concentrated; target is lower without gutting power.</t>
  </si>
  <si>
    <t>Protection / recursion</t>
  </si>
  <si>
    <t>High</t>
  </si>
  <si>
    <t>Prioritize free/cheap redirection plus counter preservation.</t>
  </si>
  <si>
    <t>Board control</t>
  </si>
  <si>
    <t>Asymmetric</t>
  </si>
  <si>
    <t>Favor Mandate of Abaddon / Chandra's Ignition / flexible removal over symmetric wipes.</t>
  </si>
  <si>
    <t>Win axis</t>
  </si>
  <si>
    <t>Multi-axis</t>
  </si>
  <si>
    <t>Primary: 21 commander damage. Secondary: slug/drain and Bloodchief Ascension + Mindcrank.</t>
  </si>
  <si>
    <t>Package</t>
  </si>
  <si>
    <t>Current count</t>
  </si>
  <si>
    <t>Cards</t>
  </si>
  <si>
    <t>05 — CONTROL PANEL | WHAT THE DECK IS TRYING TO DO</t>
  </si>
  <si>
    <t>LOCKED CORE</t>
  </si>
  <si>
    <t>Role</t>
  </si>
  <si>
    <t>Cut?</t>
  </si>
  <si>
    <t>FIRST CUTS</t>
  </si>
  <si>
    <t>Priority</t>
  </si>
  <si>
    <t>Reason</t>
  </si>
  <si>
    <t>Core engine</t>
  </si>
  <si>
    <t>NO — baseline unless meta proves otherwise</t>
  </si>
  <si>
    <t>Directly supports commander growth, slug pressure or resilience.</t>
  </si>
  <si>
    <t>Med</t>
  </si>
  <si>
    <t>Weak early-game land and unnecessary risk in a 4-MV commander deck.</t>
  </si>
  <si>
    <t>Powerful in long games, but enters tapped and is conditional; a faster untapped utility land is better here.</t>
  </si>
  <si>
    <t>The commander already supplies card flow; this slot is better used on mana/tempo.</t>
  </si>
  <si>
    <t>Why it fits</t>
  </si>
  <si>
    <t>Theme</t>
  </si>
  <si>
    <t>Risk</t>
  </si>
  <si>
    <t>Recommendation</t>
  </si>
  <si>
    <t>1</t>
  </si>
  <si>
    <t>Harsh Mentor</t>
  </si>
  <si>
    <t>Cheap opponent-turn life-loss trigger from activated abilities; excellent at low curve.</t>
  </si>
  <si>
    <t>Meta dependent</t>
  </si>
  <si>
    <t>HIGH PRIORITY TEST</t>
  </si>
  <si>
    <t>https://edhrec.com/commanders/valgavoth-harrower-of-souls/voltron</t>
  </si>
  <si>
    <t>Solphim, Mayhem Dominus</t>
  </si>
  <si>
    <t>Doubles noncombat damage, making the slug plan close faster; protects itself.</t>
  </si>
  <si>
    <t>Voltron + Slug</t>
  </si>
  <si>
    <t>Not a Demon</t>
  </si>
  <si>
    <t>https://edhrec.com/commanders/valgavoth-harrower-of-souls/optimized/burn</t>
  </si>
  <si>
    <t>Orcish Bowmasters</t>
  </si>
  <si>
    <t>Punishes opponent draw and can cause opponent-turn life loss while generating board value.</t>
  </si>
  <si>
    <t>https://edhrec.com/commanders/valgavoth-harrower-of-souls</t>
  </si>
  <si>
    <t>2</t>
  </si>
  <si>
    <t>Commander's Plate</t>
  </si>
  <si>
    <t>Strong Voltron power plus protection.</t>
  </si>
  <si>
    <t>Less direct than instant-speed protection</t>
  </si>
  <si>
    <t>TEST</t>
  </si>
  <si>
    <t>Hatred</t>
  </si>
  <si>
    <t>Potential one-shot commander-damage kill.</t>
  </si>
  <si>
    <t>Consumes life; risky in Group Slug</t>
  </si>
  <si>
    <t>https://scryfall.com/search?q=%21%22Hatred%22</t>
  </si>
  <si>
    <t>Unleash Fury</t>
  </si>
  <si>
    <t>Cheap surprise power-doubling for commander damage.</t>
  </si>
  <si>
    <t>One-shot / no protection</t>
  </si>
  <si>
    <t>https://scryfall.com/search?q=%21%22Unleash%20Fury%22</t>
  </si>
  <si>
    <t>Archfiend of Despair</t>
  </si>
  <si>
    <t>Powerful Demon finisher that doubles life loss.</t>
  </si>
  <si>
    <t>Demon + Slug</t>
  </si>
  <si>
    <t>Too slow for main curve</t>
  </si>
  <si>
    <t>WATCH</t>
  </si>
  <si>
    <t>https://edhrec.com/commanders/valgavoth-harrower-of-souls/demons</t>
  </si>
  <si>
    <t>3</t>
  </si>
  <si>
    <t>Bedevil</t>
  </si>
  <si>
    <t>Efficient catch-all removal if a future meta demands more unconditional interaction.</t>
  </si>
  <si>
    <t>Three mana</t>
  </si>
  <si>
    <t>https://scryfall.com/search?q=%21%22Bedevil%22</t>
  </si>
  <si>
    <t>OUT</t>
  </si>
  <si>
    <t>IN</t>
  </si>
  <si>
    <t>Delta</t>
  </si>
  <si>
    <t>Ankh of Mishra</t>
  </si>
  <si>
    <t>Speed / trigger +</t>
  </si>
  <si>
    <t>Two mana and every land entry costs 2 life; cleaner opponent-turn trigger than the 4-MV Gremlin.</t>
  </si>
  <si>
    <t>Shadowspear</t>
  </si>
  <si>
    <t>Voltron +</t>
  </si>
  <si>
    <t>Retains lifelink but adds trample, improving the 21-damage route.</t>
  </si>
  <si>
    <t>https://scryfall.com/search?q=%21%22Shadowspear%22</t>
  </si>
  <si>
    <t>Dark Ritual</t>
  </si>
  <si>
    <t>Speed +</t>
  </si>
  <si>
    <t>Trade a 4-MV mana creature for a 1-MV burst that can enable turn-two Valgavoth.</t>
  </si>
  <si>
    <t>https://edhrec.com/commanders/valgavoth-harrower-of-souls/optimized</t>
  </si>
  <si>
    <t>Swiftfoot Boots</t>
  </si>
  <si>
    <t>Resilience +</t>
  </si>
  <si>
    <t>A second cheap protective equipment is more consistently useful than situational Goad.</t>
  </si>
  <si>
    <t>Demonic Tutor</t>
  </si>
  <si>
    <t>Direct tutor now; no waiting period for setup.</t>
  </si>
  <si>
    <t>Archfiend of Depravity</t>
  </si>
  <si>
    <t>Curve +</t>
  </si>
  <si>
    <t>Keeps a Demon slot while reducing the top-end burden and repeatedly shrinking opposing boards.</t>
  </si>
  <si>
    <t>Sheoldred, the Apocalypse</t>
  </si>
  <si>
    <t>Improves life total and punishes normal opponent draw steps without wiping your own board.</t>
  </si>
  <si>
    <t>Deflecting Swat</t>
  </si>
  <si>
    <t>Protection +</t>
  </si>
  <si>
    <t>Zero-mana protection while the commander is out is more valuable to this exact plan than a delayed tutor.</t>
  </si>
  <si>
    <t>The Ozolith</t>
  </si>
  <si>
    <t>Preserves accumulated counters when the commander leaves, making the main win condition more resilient.</t>
  </si>
  <si>
    <t>https://scryfall.com/search?q=%21%22The%20Ozolith%22</t>
  </si>
  <si>
    <t>Chandra's Ignition</t>
  </si>
  <si>
    <t>Asymmetric control +</t>
  </si>
  <si>
    <t>Uses Valgavoth's current power to sweep opposing creatures and damage opponents without damaging Valgavoth.</t>
  </si>
  <si>
    <t>https://scryfall.com/search?q=%21%22Chandra%27s%20Ignition%22</t>
  </si>
  <si>
    <t>Branching Evolution</t>
  </si>
  <si>
    <t>Each opponent-turn trigger can become two counters instead of adding an 8-MV draw engine.</t>
  </si>
  <si>
    <t>https://edhrec.com/commanders/valgavoth-harrower-of-souls/plus-1-plus-1-counters</t>
  </si>
  <si>
    <t>Blood Speaker</t>
  </si>
  <si>
    <t>Tribal +</t>
  </si>
  <si>
    <t>Removes a symmetric reset and adds Demon tutoring plus recursion.</t>
  </si>
  <si>
    <t>https://scryfall.com/search?q=%21%22Blood%20Speaker%22</t>
  </si>
  <si>
    <t>Focus +</t>
  </si>
  <si>
    <t>Cuts a five-mana Goad side plan for a four-mana life-loss + resilience engine.</t>
  </si>
  <si>
    <t>Takenuma, Abandoned Mire</t>
  </si>
  <si>
    <t>Land quality +</t>
  </si>
  <si>
    <t>No land-count loss; replace a weak early-game land with recursion.</t>
  </si>
  <si>
    <t>https://scryfall.com/search?q=%21%22Takenuma%2C%20Abandoned%20Mire%22</t>
  </si>
  <si>
    <t>Forge of Heroes</t>
  </si>
  <si>
    <t>No land-count loss; replace a tapped/conditional land with a commander-counter utility land.</t>
  </si>
  <si>
    <t>https://scryfall.com/search?q=%21%22Forge%20of%20Heroes%22</t>
  </si>
  <si>
    <t>—</t>
  </si>
  <si>
    <t>Shizo, Death's Storehouse</t>
  </si>
  <si>
    <t>+1 utility land</t>
  </si>
  <si>
    <t>Extra commander evasion at low opportunity cost.</t>
  </si>
  <si>
    <t>https://scryfall.com/search?q=%21%22Shizo%2C%20Death%27s%20Storehouse%22</t>
  </si>
  <si>
    <t>Castle Locthwain</t>
  </si>
  <si>
    <t>Untapped black source and scalable late-game draw.</t>
  </si>
  <si>
    <t>https://scryfall.com/search?q=%21%22Castle%20Locthwain%22</t>
  </si>
  <si>
    <t>Swamp (13th)</t>
  </si>
  <si>
    <t>+1 land / lower nonland density</t>
  </si>
  <si>
    <t>The commander already generates cards; a 13th Swamp improves the chance of casting Valgavoth on curve and raises the deck to 35 lands.</t>
  </si>
  <si>
    <t>Status</t>
  </si>
  <si>
    <t>Check</t>
  </si>
  <si>
    <t>Value</t>
  </si>
  <si>
    <t>COMMANDER</t>
  </si>
  <si>
    <t>Total cards</t>
  </si>
  <si>
    <t>Spells</t>
  </si>
  <si>
    <t>Demons</t>
  </si>
  <si>
    <t>Avg score</t>
  </si>
  <si>
    <t>Curve target</t>
  </si>
  <si>
    <t>35 lands / lower curve / resilience</t>
  </si>
  <si>
    <t>UPGRADE</t>
  </si>
  <si>
    <t>URL</t>
  </si>
  <si>
    <t>Use</t>
  </si>
  <si>
    <t>Checked</t>
  </si>
  <si>
    <t>EDHREC — Valgavoth</t>
  </si>
  <si>
    <t>Current adoption, tags and top cards</t>
  </si>
  <si>
    <t>2026-10-06</t>
  </si>
  <si>
    <t>EDHREC — Valgavoth Voltron</t>
  </si>
  <si>
    <t>Voltron-specific current data</t>
  </si>
  <si>
    <t>EDHREC — Valgavoth +1/+1</t>
  </si>
  <si>
    <t>Counter package cross-check</t>
  </si>
  <si>
    <t>EDHREC — Valgavoth Demons</t>
  </si>
  <si>
    <t>Demon subtheme cross-check</t>
  </si>
  <si>
    <t>EDHREC — Group Slug</t>
  </si>
  <si>
    <t>https://edhrec.com/commanders/valgavoth-harrower-of-souls/core/group-slug</t>
  </si>
  <si>
    <t>Core Group Slug card density</t>
  </si>
  <si>
    <t>EDH.Wiki — Valgavoth</t>
  </si>
  <si>
    <t>https://edh.wiki/commanders/valgavoth-harrower-of-souls/</t>
  </si>
  <si>
    <t>Commander mechanics/playstyle</t>
  </si>
  <si>
    <t>Wizards — Duskmourn Release Notes</t>
  </si>
  <si>
    <t>https://magic.wizards.com/en/news/feature/duskmourn-house-of-horror-release-notes</t>
  </si>
  <si>
    <t>Official Valgavoth Oracle/rules</t>
  </si>
  <si>
    <t>10 — READ ME | VALGAVOTH DESIGN RULES</t>
  </si>
  <si>
    <t>Principle</t>
  </si>
  <si>
    <t>Definition</t>
  </si>
  <si>
    <t>Identity</t>
  </si>
  <si>
    <t>Rakdos Group Slug with Voltron as the PRIMARY win route and Demon Tribal as the SUBTHEME.</t>
  </si>
  <si>
    <t>Commander Engine</t>
  </si>
  <si>
    <t>The first life loss of each opponent during their own turn puts a +1/+1 counter on Valgavoth and draws a card.</t>
  </si>
  <si>
    <t>Primary Win</t>
  </si>
  <si>
    <t>Reach 21 commander damage as efficiently as possible.</t>
  </si>
  <si>
    <t>Secondary Wins</t>
  </si>
  <si>
    <t>Group Slug drains, damage multipliers, and Bloodchief Ascension + Mindcrank.</t>
  </si>
  <si>
    <t>Resilience</t>
  </si>
  <si>
    <t>Protect the commander, preserve accumulated counters, and favor effects that leave your board intact.</t>
  </si>
  <si>
    <t>Removal Philosophy</t>
  </si>
  <si>
    <t>Prefer asymmetric or commander-centric sweepers. Symmetric wipes are expensive because they reset your Voltron investment.</t>
  </si>
  <si>
    <t>Mana Philosophy</t>
  </si>
  <si>
    <t>Do NOT reduce the land count to make room. Target 35 lands in the revised list.</t>
  </si>
  <si>
    <t>Curve Philosophy</t>
  </si>
  <si>
    <t>Avoid unnecessary 6–8 MV cards. Establish Valgavoth early and spend mana on protection/pressure.</t>
  </si>
  <si>
    <t>Demon Subtheme</t>
  </si>
  <si>
    <t>Non-Demons are allowed only when they materially improve speed, life-loss triggering, protection, removal, Voltron or tribal support.</t>
  </si>
  <si>
    <t>0–10 fit for THIS deck, not generic Commander strength.</t>
  </si>
  <si>
    <t>S = 9.5–10; A = 8.5–9.4; B = 7.5–8.4; C = 6.5–7.4; D &lt; 6.5.</t>
  </si>
  <si>
    <t>Current List Status</t>
  </si>
  <si>
    <t>Supplied list contains 99 cards including the commander; one slot is missing.</t>
  </si>
  <si>
    <t>V2 Target</t>
  </si>
  <si>
    <t>35 lands + 64 spells + commander; lower curve, stronger protection, stronger counter scaling, better asymmetrical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</si>
</sst>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7A5A00"/>
      <name val="Carlito"/>
    </font>
    <font>
      <sz val="11"/>
      <color rgb="FF222222"/>
      <name val="Carlito"/>
    </font>
  </fonts>
  <fills count="9">
    <fill>
      <patternFill patternType="none"/>
    </fill>
    <fill>
      <patternFill patternType="gray125"/>
    </fill>
    <fill>
      <patternFill patternType="solid">
        <fgColor rgb="FF8B1E1E"/>
      </patternFill>
    </fill>
    <fill>
      <patternFill patternType="solid">
        <fgColor rgb="FF3A3A3A"/>
      </patternFill>
    </fill>
    <fill>
      <patternFill patternType="solid">
        <fgColor rgb="FFE7E5E4"/>
      </patternFill>
    </fill>
    <fill>
      <patternFill patternType="solid">
        <fgColor rgb="FFF5F5F4"/>
      </patternFill>
    </fill>
    <fill>
      <patternFill patternType="solid">
        <fgColor rgb="FFFFF2CC"/>
      </patternFill>
    </fill>
    <fill>
      <patternFill patternType="solid">
        <fgColor rgb="FF5B1515"/>
      </patternFill>
    </fill>
    <fill>
      <patternFill patternType="solid">
        <fgColor rgb="FF1717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3" fillId="4" borderId="0" xfId="0" applyFont="1" applyFill="1" applyAlignment="1">
      <alignment vertical="center"/>
    </xf>
    <xf numFmtId="1" fontId="0" fillId="5" borderId="0" xfId="0" applyNumberFormat="1" applyFill="1" applyAlignment="1">
      <alignment vertical="center"/>
    </xf>
    <xf numFmtId="2" fontId="0" fillId="5" borderId="0" xfId="0" applyNumberFormat="1" applyFill="1" applyAlignment="1">
      <alignment vertical="center"/>
    </xf>
    <xf numFmtId="0" fontId="4" fillId="6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1" fontId="0" fillId="0" borderId="0" xfId="0" applyNumberFormat="1" applyAlignment="1">
      <alignment vertical="center"/>
    </xf>
    <xf numFmtId="0" fontId="2" fillId="8" borderId="0" xfId="0" applyFont="1" applyFill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Current Tier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'01_Dashboard'!$A$14:$A$17</c:f>
              <c:strCache>
                <c:ptCount val="4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'01_Dashboard'!$B$14:$B$17</c:f>
              <c:numCache>
                <c:formatCode>General</c:formatCode>
                <c:ptCount val="4"/>
                <c:pt idx="0">
                  <c:v>8</c:v>
                </c:pt>
                <c:pt idx="1">
                  <c:v>33</c:v>
                </c:pt>
                <c:pt idx="2">
                  <c:v>26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5-4137-9D78-BBF649929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Current Mana Value Curve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Cards</c:v>
          </c:tx>
          <c:invertIfNegative val="1"/>
          <c:cat>
            <c:numRef>
              <c:f>'04_Analysis'!$D$13:$D$19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'04_Analysis'!$E$13:$E$19</c:f>
              <c:numCache>
                <c:formatCode>General</c:formatCode>
                <c:ptCount val="7"/>
                <c:pt idx="0">
                  <c:v>8</c:v>
                </c:pt>
                <c:pt idx="1">
                  <c:v>18</c:v>
                </c:pt>
                <c:pt idx="2">
                  <c:v>14</c:v>
                </c:pt>
                <c:pt idx="3">
                  <c:v>16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5-4165-9383-971694B3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gavothCardMatrix" displayName="ValgavothCardMatrix" ref="A1:S84" totalsRowShown="0" headerRowDxfId="5" dataDxfId="4">
  <autoFilter ref="A1:S84" xr:uid="{00000000-000C-0000-FFFF-FFFF00000000}"/>
  <tableColumns count="19">
    <tableColumn id="1" xr3:uid="{00000000-0010-0000-0000-000001000000}" name="Card" dataDxfId="3"/>
    <tableColumn id="2" xr3:uid="{00000000-0010-0000-0000-000002000000}" name="Qty" dataDxfId="1"/>
    <tableColumn id="3" xr3:uid="{00000000-0010-0000-0000-000003000000}" name="Type" dataDxfId="2"/>
    <tableColumn id="4" xr3:uid="{00000000-0010-0000-0000-000004000000}" name="MV" dataDxfId="21"/>
    <tableColumn id="5" xr3:uid="{00000000-0010-0000-0000-000005000000}" name="Demon?" dataDxfId="20"/>
    <tableColumn id="6" xr3:uid="{00000000-0010-0000-0000-000006000000}" name="Ramp" dataDxfId="19"/>
    <tableColumn id="7" xr3:uid="{00000000-0010-0000-0000-000007000000}" name="Draw" dataDxfId="18"/>
    <tableColumn id="8" xr3:uid="{00000000-0010-0000-0000-000008000000}" name="Removal" dataDxfId="17"/>
    <tableColumn id="9" xr3:uid="{00000000-0010-0000-0000-000009000000}" name="Protection" dataDxfId="16"/>
    <tableColumn id="10" xr3:uid="{00000000-0010-0000-0000-00000A000000}" name="Voltron" dataDxfId="15"/>
    <tableColumn id="11" xr3:uid="{00000000-0010-0000-0000-00000B000000}" name="Group Slug" dataDxfId="14"/>
    <tableColumn id="12" xr3:uid="{00000000-0010-0000-0000-00000C000000}" name="Recursion" dataDxfId="13"/>
    <tableColumn id="13" xr3:uid="{00000000-0010-0000-0000-00000D000000}" name="Demon Tribal" dataDxfId="12"/>
    <tableColumn id="14" xr3:uid="{00000000-0010-0000-0000-00000E000000}" name="Score" dataDxfId="11"/>
    <tableColumn id="15" xr3:uid="{00000000-0010-0000-0000-00000F000000}" name="Tier" dataDxfId="10"/>
    <tableColumn id="16" xr3:uid="{00000000-0010-0000-0000-000010000000}" name="Verdict" dataDxfId="9"/>
    <tableColumn id="17" xr3:uid="{00000000-0010-0000-0000-000011000000}" name="Weakness" dataDxfId="8"/>
    <tableColumn id="18" xr3:uid="{00000000-0010-0000-0000-000012000000}" name="Diagnosis" dataDxfId="7"/>
    <tableColumn id="19" xr3:uid="{00000000-0010-0000-0000-000013000000}" name="Sourc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lgavothTierList" displayName="ValgavothTierList" ref="A1:H84" totalsRowShown="0">
  <tableColumns count="8">
    <tableColumn id="1" xr3:uid="{00000000-0010-0000-0100-000001000000}" name="Tier"/>
    <tableColumn id="2" xr3:uid="{00000000-0010-0000-0100-000002000000}" name="Card"/>
    <tableColumn id="3" xr3:uid="{00000000-0010-0000-0100-000003000000}" name="Score"/>
    <tableColumn id="4" xr3:uid="{00000000-0010-0000-0100-000004000000}" name="MV"/>
    <tableColumn id="5" xr3:uid="{00000000-0010-0000-0100-000005000000}" name="Demon?"/>
    <tableColumn id="6" xr3:uid="{00000000-0010-0000-0100-000006000000}" name="Primary Role"/>
    <tableColumn id="7" xr3:uid="{00000000-0010-0000-0100-000007000000}" name="Verdict"/>
    <tableColumn id="8" xr3:uid="{00000000-0010-0000-0100-000008000000}" name="Why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ValgavothWatchlist" displayName="ValgavothWatchlist" ref="A1:H9" totalsRowShown="0">
  <tableColumns count="8">
    <tableColumn id="1" xr3:uid="{00000000-0010-0000-0200-000001000000}" name="Priority"/>
    <tableColumn id="2" xr3:uid="{00000000-0010-0000-0200-000002000000}" name="Card"/>
    <tableColumn id="3" xr3:uid="{00000000-0010-0000-0200-000003000000}" name="MV"/>
    <tableColumn id="4" xr3:uid="{00000000-0010-0000-0200-000004000000}" name="Why it fits"/>
    <tableColumn id="5" xr3:uid="{00000000-0010-0000-0200-000005000000}" name="Theme"/>
    <tableColumn id="6" xr3:uid="{00000000-0010-0000-0200-000006000000}" name="Risk"/>
    <tableColumn id="7" xr3:uid="{00000000-0010-0000-0200-000007000000}" name="Recommendation"/>
    <tableColumn id="8" xr3:uid="{00000000-0010-0000-0200-000008000000}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ValgavothUpgradeMatrix" displayName="ValgavothUpgradeMatrix" ref="A1:F18" totalsRowShown="0">
  <tableColumns count="6">
    <tableColumn id="1" xr3:uid="{00000000-0010-0000-0300-000001000000}" name="OUT"/>
    <tableColumn id="2" xr3:uid="{00000000-0010-0000-0300-000002000000}" name="IN"/>
    <tableColumn id="3" xr3:uid="{00000000-0010-0000-0300-000003000000}" name="Delta"/>
    <tableColumn id="4" xr3:uid="{00000000-0010-0000-0300-000004000000}" name="Reason"/>
    <tableColumn id="5" xr3:uid="{00000000-0010-0000-0300-000005000000}" name="Priority"/>
    <tableColumn id="6" xr3:uid="{00000000-0010-0000-0300-000006000000}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gavothV2Deck" displayName="ValgavothV2Deck" ref="A1:G85" totalsRowShown="0">
  <tableColumns count="7">
    <tableColumn id="1" xr3:uid="{00000000-0010-0000-0400-000001000000}" name="Card"/>
    <tableColumn id="2" xr3:uid="{00000000-0010-0000-0400-000002000000}" name="Qty"/>
    <tableColumn id="3" xr3:uid="{00000000-0010-0000-0400-000003000000}" name="Status"/>
    <tableColumn id="4" xr3:uid="{00000000-0010-0000-0400-000004000000}" name="Land?"/>
    <tableColumn id="5" xr3:uid="{00000000-0010-0000-0400-000005000000}" name="Demon?"/>
    <tableColumn id="6" xr3:uid="{00000000-0010-0000-0400-000006000000}" name="MV"/>
    <tableColumn id="7" xr3:uid="{00000000-0010-0000-0400-000007000000}" name="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activeCell="B7" sqref="B7"/>
    </sheetView>
  </sheetViews>
  <sheetFormatPr defaultRowHeight="14.25"/>
  <cols>
    <col min="1" max="1" width="24" style="8" customWidth="1"/>
    <col min="2" max="2" width="26" style="8" customWidth="1"/>
    <col min="3" max="3" width="9" style="8"/>
    <col min="4" max="8" width="22" style="8" customWidth="1"/>
    <col min="9" max="16384" width="9" style="8"/>
  </cols>
  <sheetData>
    <row r="1" spans="1:8" ht="26.1" customHeight="1">
      <c r="A1" s="5" t="s">
        <v>0</v>
      </c>
      <c r="B1" s="5"/>
      <c r="C1" s="5"/>
      <c r="D1" s="5"/>
      <c r="E1" s="5"/>
      <c r="F1" s="5"/>
      <c r="G1" s="5"/>
      <c r="H1" s="5"/>
    </row>
    <row r="3" spans="1:8" ht="15">
      <c r="A3" s="1" t="s">
        <v>1</v>
      </c>
      <c r="B3" s="1" t="s">
        <v>2</v>
      </c>
      <c r="D3" s="6" t="s">
        <v>3</v>
      </c>
      <c r="E3" s="6"/>
      <c r="F3" s="6"/>
      <c r="G3" s="6"/>
      <c r="H3" s="6"/>
    </row>
    <row r="4" spans="1:8" ht="30" customHeight="1">
      <c r="A4" s="9" t="s">
        <v>4</v>
      </c>
      <c r="B4" s="10">
        <f>SUM('02_Card Matrix'!B2:B84)</f>
        <v>99</v>
      </c>
      <c r="D4" s="7" t="s">
        <v>5</v>
      </c>
      <c r="E4" s="7"/>
      <c r="F4" s="7"/>
      <c r="G4" s="7"/>
      <c r="H4" s="7"/>
    </row>
    <row r="5" spans="1:8" ht="30" customHeight="1">
      <c r="A5" s="9" t="s">
        <v>6</v>
      </c>
      <c r="B5" s="10">
        <f>SUMIF('02_Card Matrix'!T2:T84,"YES",'02_Card Matrix'!B2:B84)</f>
        <v>32</v>
      </c>
      <c r="D5" s="7" t="s">
        <v>7</v>
      </c>
      <c r="E5" s="7"/>
      <c r="F5" s="7"/>
      <c r="G5" s="7"/>
      <c r="H5" s="7"/>
    </row>
    <row r="6" spans="1:8" ht="30" customHeight="1">
      <c r="A6" s="9" t="s">
        <v>8</v>
      </c>
      <c r="B6" s="11">
        <f>SUMPRODUCT('02_Card Matrix'!B2:B84,'02_Card Matrix'!N2:N84)/SUM('02_Card Matrix'!B2:B84)</f>
        <v>8.2010101010101017</v>
      </c>
      <c r="D6" s="7" t="s">
        <v>9</v>
      </c>
      <c r="E6" s="7"/>
      <c r="F6" s="7"/>
      <c r="G6" s="7"/>
      <c r="H6" s="7"/>
    </row>
    <row r="7" spans="1:8" ht="30" customHeight="1">
      <c r="A7" s="9" t="s">
        <v>10</v>
      </c>
      <c r="B7" s="10">
        <f>SUMIF('02_Card Matrix'!E2:E84,"YES",'02_Card Matrix'!B2:B84)</f>
        <v>10</v>
      </c>
      <c r="D7" s="7" t="s">
        <v>11</v>
      </c>
      <c r="E7" s="7"/>
      <c r="F7" s="7"/>
      <c r="G7" s="7"/>
      <c r="H7" s="7"/>
    </row>
    <row r="8" spans="1:8" ht="30" customHeight="1">
      <c r="A8" s="9" t="s">
        <v>12</v>
      </c>
      <c r="B8" s="10">
        <f>COUNTIF('02_Card Matrix'!O2:O84,"S")</f>
        <v>8</v>
      </c>
      <c r="D8" s="7" t="s">
        <v>13</v>
      </c>
      <c r="E8" s="7"/>
      <c r="F8" s="7"/>
      <c r="G8" s="7"/>
      <c r="H8" s="7"/>
    </row>
    <row r="9" spans="1:8" ht="30" customHeight="1">
      <c r="A9" s="9" t="s">
        <v>14</v>
      </c>
      <c r="B9" s="10">
        <f>COUNTIF('02_Card Matrix'!O2:O84,"A")</f>
        <v>33</v>
      </c>
      <c r="D9" s="7" t="s">
        <v>15</v>
      </c>
      <c r="E9" s="7"/>
      <c r="F9" s="7"/>
      <c r="G9" s="7"/>
      <c r="H9" s="7"/>
    </row>
    <row r="10" spans="1:8" ht="30" customHeight="1">
      <c r="A10" s="9" t="s">
        <v>16</v>
      </c>
      <c r="B10" s="12" t="s">
        <v>17</v>
      </c>
      <c r="D10" s="7" t="s">
        <v>18</v>
      </c>
      <c r="E10" s="7"/>
      <c r="F10" s="7"/>
      <c r="G10" s="7"/>
      <c r="H10" s="7"/>
    </row>
    <row r="13" spans="1:8" ht="15">
      <c r="A13" s="1" t="s">
        <v>19</v>
      </c>
      <c r="B13" s="1" t="s">
        <v>20</v>
      </c>
    </row>
    <row r="14" spans="1:8">
      <c r="A14" s="8" t="s">
        <v>21</v>
      </c>
      <c r="B14" s="8">
        <f>COUNTIF('02_Card Matrix'!O2:O84,"S")</f>
        <v>8</v>
      </c>
    </row>
    <row r="15" spans="1:8">
      <c r="A15" s="8" t="s">
        <v>22</v>
      </c>
      <c r="B15" s="8">
        <f>COUNTIF('02_Card Matrix'!O2:O84,"A")</f>
        <v>33</v>
      </c>
    </row>
    <row r="16" spans="1:8">
      <c r="A16" s="8" t="s">
        <v>23</v>
      </c>
      <c r="B16" s="8">
        <f>COUNTIF('02_Card Matrix'!O2:O84,"B")</f>
        <v>26</v>
      </c>
    </row>
    <row r="17" spans="1:2">
      <c r="A17" s="8" t="s">
        <v>24</v>
      </c>
      <c r="B17" s="8">
        <f>COUNTIF('02_Card Matrix'!O2:O84,"C")</f>
        <v>12</v>
      </c>
    </row>
  </sheetData>
  <mergeCells count="9">
    <mergeCell ref="D7:H7"/>
    <mergeCell ref="D8:H8"/>
    <mergeCell ref="D9:H9"/>
    <mergeCell ref="D10:H10"/>
    <mergeCell ref="A1:H1"/>
    <mergeCell ref="D3:H3"/>
    <mergeCell ref="D4:H4"/>
    <mergeCell ref="D5:H5"/>
    <mergeCell ref="D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4"/>
  <sheetViews>
    <sheetView showGridLines="0" tabSelected="1" workbookViewId="0">
      <selection activeCell="E38" sqref="E38"/>
    </sheetView>
  </sheetViews>
  <sheetFormatPr defaultRowHeight="14.25"/>
  <cols>
    <col min="1" max="1" width="27.125" style="8" bestFit="1" customWidth="1"/>
    <col min="2" max="2" width="7.875" style="17" bestFit="1" customWidth="1"/>
    <col min="3" max="3" width="36.25" style="8" bestFit="1" customWidth="1"/>
    <col min="4" max="4" width="7.625" style="8" bestFit="1" customWidth="1"/>
    <col min="5" max="5" width="12.25" style="8" bestFit="1" customWidth="1"/>
    <col min="6" max="6" width="9.875" style="8" bestFit="1" customWidth="1"/>
    <col min="7" max="7" width="9.375" style="8" bestFit="1" customWidth="1"/>
    <col min="8" max="8" width="12.625" style="8" bestFit="1" customWidth="1"/>
    <col min="9" max="9" width="14.125" style="8" bestFit="1" customWidth="1"/>
    <col min="10" max="10" width="11.25" style="8" bestFit="1" customWidth="1"/>
    <col min="11" max="11" width="15" style="8" bestFit="1" customWidth="1"/>
    <col min="12" max="12" width="14" style="8" bestFit="1" customWidth="1"/>
    <col min="13" max="13" width="16.75" style="8" bestFit="1" customWidth="1"/>
    <col min="14" max="14" width="10.125" style="8" bestFit="1" customWidth="1"/>
    <col min="15" max="15" width="8.5" style="8" bestFit="1" customWidth="1"/>
    <col min="16" max="16" width="11.125" style="8" bestFit="1" customWidth="1"/>
    <col min="17" max="17" width="102.75" style="8" bestFit="1" customWidth="1"/>
    <col min="18" max="18" width="122.25" style="8" bestFit="1" customWidth="1"/>
    <col min="19" max="19" width="76.625" style="8" bestFit="1" customWidth="1"/>
    <col min="20" max="20" width="6.375" style="8" bestFit="1" customWidth="1"/>
    <col min="21" max="16384" width="9" style="8"/>
  </cols>
  <sheetData>
    <row r="1" spans="1:20" ht="15">
      <c r="A1" s="15" t="s">
        <v>25</v>
      </c>
      <c r="B1" s="15" t="s">
        <v>26</v>
      </c>
      <c r="C1" s="15" t="s">
        <v>27</v>
      </c>
      <c r="D1" s="15" t="s">
        <v>28</v>
      </c>
      <c r="E1" s="15" t="s">
        <v>29</v>
      </c>
      <c r="F1" s="15" t="s">
        <v>30</v>
      </c>
      <c r="G1" s="15" t="s">
        <v>31</v>
      </c>
      <c r="H1" s="15" t="s">
        <v>32</v>
      </c>
      <c r="I1" s="15" t="s">
        <v>33</v>
      </c>
      <c r="J1" s="15" t="s">
        <v>34</v>
      </c>
      <c r="K1" s="15" t="s">
        <v>35</v>
      </c>
      <c r="L1" s="15" t="s">
        <v>36</v>
      </c>
      <c r="M1" s="15" t="s">
        <v>37</v>
      </c>
      <c r="N1" s="15" t="s">
        <v>38</v>
      </c>
      <c r="O1" s="15" t="s">
        <v>19</v>
      </c>
      <c r="P1" s="15" t="s">
        <v>39</v>
      </c>
      <c r="Q1" s="15" t="s">
        <v>40</v>
      </c>
      <c r="R1" s="15" t="s">
        <v>41</v>
      </c>
      <c r="S1" s="15" t="s">
        <v>42</v>
      </c>
      <c r="T1" s="15" t="s">
        <v>43</v>
      </c>
    </row>
    <row r="2" spans="1:20">
      <c r="A2" s="8" t="s">
        <v>44</v>
      </c>
      <c r="B2" s="17">
        <v>1</v>
      </c>
      <c r="C2" s="8" t="s">
        <v>45</v>
      </c>
      <c r="D2" s="14">
        <v>4</v>
      </c>
      <c r="E2" s="8" t="s">
        <v>46</v>
      </c>
      <c r="F2" s="8">
        <v>0</v>
      </c>
      <c r="G2" s="8">
        <v>1</v>
      </c>
      <c r="H2" s="8">
        <v>0</v>
      </c>
      <c r="I2" s="8">
        <v>2</v>
      </c>
      <c r="J2" s="8">
        <v>2</v>
      </c>
      <c r="K2" s="8">
        <v>2</v>
      </c>
      <c r="L2" s="8">
        <v>0</v>
      </c>
      <c r="M2" s="8">
        <v>2</v>
      </c>
      <c r="N2" s="16">
        <v>10</v>
      </c>
      <c r="O2" s="8" t="s">
        <v>21</v>
      </c>
      <c r="P2" s="8" t="s">
        <v>47</v>
      </c>
      <c r="R2" s="8" t="s">
        <v>48</v>
      </c>
      <c r="S2" s="8" t="s">
        <v>49</v>
      </c>
      <c r="T2" s="8" t="s">
        <v>50</v>
      </c>
    </row>
    <row r="3" spans="1:20">
      <c r="A3" s="8" t="s">
        <v>51</v>
      </c>
      <c r="B3" s="17">
        <v>1</v>
      </c>
      <c r="C3" s="8" t="s">
        <v>52</v>
      </c>
      <c r="D3" s="14">
        <v>2</v>
      </c>
      <c r="E3" s="8" t="s">
        <v>50</v>
      </c>
      <c r="F3" s="8">
        <v>2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16">
        <v>7.5</v>
      </c>
      <c r="O3" s="8" t="s">
        <v>23</v>
      </c>
      <c r="P3" s="8" t="s">
        <v>53</v>
      </c>
      <c r="R3" s="8" t="s">
        <v>54</v>
      </c>
      <c r="S3" s="8" t="s">
        <v>55</v>
      </c>
      <c r="T3" s="8" t="s">
        <v>50</v>
      </c>
    </row>
    <row r="4" spans="1:20">
      <c r="A4" s="8" t="s">
        <v>56</v>
      </c>
      <c r="B4" s="17">
        <v>1</v>
      </c>
      <c r="C4" s="8" t="s">
        <v>57</v>
      </c>
      <c r="D4" s="14">
        <v>0</v>
      </c>
      <c r="E4" s="8" t="s">
        <v>50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0</v>
      </c>
      <c r="M4" s="8">
        <v>0</v>
      </c>
      <c r="N4" s="16">
        <v>8</v>
      </c>
      <c r="O4" s="8" t="s">
        <v>23</v>
      </c>
      <c r="P4" s="8" t="s">
        <v>53</v>
      </c>
      <c r="R4" s="8" t="s">
        <v>54</v>
      </c>
      <c r="S4" s="8" t="s">
        <v>58</v>
      </c>
      <c r="T4" s="8" t="s">
        <v>46</v>
      </c>
    </row>
    <row r="5" spans="1:20">
      <c r="A5" s="8" t="s">
        <v>59</v>
      </c>
      <c r="B5" s="17">
        <v>1</v>
      </c>
      <c r="C5" s="8" t="s">
        <v>60</v>
      </c>
      <c r="D5" s="14">
        <v>4</v>
      </c>
      <c r="E5" s="8" t="s">
        <v>50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16">
        <v>6</v>
      </c>
      <c r="O5" s="8" t="s">
        <v>61</v>
      </c>
      <c r="P5" s="8" t="s">
        <v>62</v>
      </c>
      <c r="Q5" s="8" t="s">
        <v>63</v>
      </c>
      <c r="R5" s="8" t="s">
        <v>63</v>
      </c>
      <c r="S5" s="8" t="s">
        <v>64</v>
      </c>
      <c r="T5" s="8" t="s">
        <v>50</v>
      </c>
    </row>
    <row r="6" spans="1:20">
      <c r="A6" s="8" t="s">
        <v>65</v>
      </c>
      <c r="B6" s="17">
        <v>1</v>
      </c>
      <c r="C6" s="8" t="s">
        <v>66</v>
      </c>
      <c r="D6" s="14">
        <v>1</v>
      </c>
      <c r="E6" s="8" t="s">
        <v>50</v>
      </c>
      <c r="F6" s="8">
        <v>0</v>
      </c>
      <c r="G6" s="8">
        <v>0</v>
      </c>
      <c r="H6" s="8">
        <v>0</v>
      </c>
      <c r="I6" s="8">
        <v>0</v>
      </c>
      <c r="J6" s="8">
        <v>1</v>
      </c>
      <c r="K6" s="8">
        <v>0</v>
      </c>
      <c r="L6" s="8">
        <v>0</v>
      </c>
      <c r="M6" s="8">
        <v>0</v>
      </c>
      <c r="N6" s="16">
        <v>7</v>
      </c>
      <c r="O6" s="8" t="s">
        <v>24</v>
      </c>
      <c r="P6" s="8" t="s">
        <v>62</v>
      </c>
      <c r="Q6" s="8" t="s">
        <v>67</v>
      </c>
      <c r="R6" s="8" t="s">
        <v>67</v>
      </c>
      <c r="S6" s="8" t="s">
        <v>68</v>
      </c>
      <c r="T6" s="8" t="s">
        <v>50</v>
      </c>
    </row>
    <row r="7" spans="1:20">
      <c r="A7" s="8" t="s">
        <v>69</v>
      </c>
      <c r="B7" s="17">
        <v>1</v>
      </c>
      <c r="C7" s="8" t="s">
        <v>70</v>
      </c>
      <c r="D7" s="14">
        <v>9</v>
      </c>
      <c r="E7" s="8" t="s">
        <v>50</v>
      </c>
      <c r="F7" s="8">
        <v>0</v>
      </c>
      <c r="G7" s="8">
        <v>0</v>
      </c>
      <c r="H7" s="8">
        <v>2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16">
        <v>8.5</v>
      </c>
      <c r="O7" s="8" t="s">
        <v>22</v>
      </c>
      <c r="P7" s="8" t="s">
        <v>53</v>
      </c>
      <c r="R7" s="8" t="s">
        <v>54</v>
      </c>
      <c r="S7" s="8" t="s">
        <v>71</v>
      </c>
      <c r="T7" s="8" t="s">
        <v>50</v>
      </c>
    </row>
    <row r="8" spans="1:20">
      <c r="A8" s="8" t="s">
        <v>72</v>
      </c>
      <c r="B8" s="17">
        <v>1</v>
      </c>
      <c r="C8" s="8" t="s">
        <v>70</v>
      </c>
      <c r="D8" s="14">
        <v>5</v>
      </c>
      <c r="E8" s="8" t="s">
        <v>50</v>
      </c>
      <c r="F8" s="8">
        <v>0</v>
      </c>
      <c r="G8" s="8">
        <v>0</v>
      </c>
      <c r="H8" s="8">
        <v>2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6">
        <v>5.5</v>
      </c>
      <c r="O8" s="8" t="s">
        <v>61</v>
      </c>
      <c r="P8" s="8" t="s">
        <v>62</v>
      </c>
      <c r="Q8" s="8" t="s">
        <v>73</v>
      </c>
      <c r="R8" s="8" t="s">
        <v>73</v>
      </c>
      <c r="S8" s="8" t="s">
        <v>74</v>
      </c>
      <c r="T8" s="8" t="s">
        <v>50</v>
      </c>
    </row>
    <row r="9" spans="1:20">
      <c r="A9" s="8" t="s">
        <v>75</v>
      </c>
      <c r="B9" s="17">
        <v>1</v>
      </c>
      <c r="C9" s="8" t="s">
        <v>57</v>
      </c>
      <c r="D9" s="14">
        <v>0</v>
      </c>
      <c r="E9" s="8" t="s">
        <v>50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16">
        <v>8</v>
      </c>
      <c r="O9" s="8" t="s">
        <v>23</v>
      </c>
      <c r="P9" s="8" t="s">
        <v>53</v>
      </c>
      <c r="R9" s="8" t="s">
        <v>54</v>
      </c>
      <c r="S9" s="8" t="s">
        <v>76</v>
      </c>
      <c r="T9" s="8" t="s">
        <v>46</v>
      </c>
    </row>
    <row r="10" spans="1:20">
      <c r="A10" s="8" t="s">
        <v>77</v>
      </c>
      <c r="B10" s="17">
        <v>1</v>
      </c>
      <c r="C10" s="8" t="s">
        <v>78</v>
      </c>
      <c r="D10" s="14">
        <v>1</v>
      </c>
      <c r="E10" s="8" t="s">
        <v>50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1</v>
      </c>
      <c r="L10" s="8">
        <v>0</v>
      </c>
      <c r="M10" s="8">
        <v>0</v>
      </c>
      <c r="N10" s="16">
        <v>9.1999999999999993</v>
      </c>
      <c r="O10" s="8" t="s">
        <v>22</v>
      </c>
      <c r="P10" s="8" t="s">
        <v>53</v>
      </c>
      <c r="R10" s="8" t="s">
        <v>79</v>
      </c>
      <c r="S10" s="8" t="s">
        <v>80</v>
      </c>
      <c r="T10" s="8" t="s">
        <v>50</v>
      </c>
    </row>
    <row r="11" spans="1:20">
      <c r="A11" s="8" t="s">
        <v>81</v>
      </c>
      <c r="B11" s="17">
        <v>1</v>
      </c>
      <c r="C11" s="8" t="s">
        <v>82</v>
      </c>
      <c r="D11" s="14">
        <v>4</v>
      </c>
      <c r="E11" s="8" t="s">
        <v>46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2</v>
      </c>
      <c r="L11" s="8">
        <v>0</v>
      </c>
      <c r="M11" s="8">
        <v>2</v>
      </c>
      <c r="N11" s="16">
        <v>8.5</v>
      </c>
      <c r="O11" s="8" t="s">
        <v>22</v>
      </c>
      <c r="P11" s="8" t="s">
        <v>53</v>
      </c>
      <c r="R11" s="8" t="s">
        <v>54</v>
      </c>
      <c r="S11" s="8" t="s">
        <v>83</v>
      </c>
      <c r="T11" s="8" t="s">
        <v>50</v>
      </c>
    </row>
    <row r="12" spans="1:20">
      <c r="A12" s="8" t="s">
        <v>84</v>
      </c>
      <c r="B12" s="17">
        <v>1</v>
      </c>
      <c r="C12" s="8" t="s">
        <v>85</v>
      </c>
      <c r="D12" s="14">
        <v>4</v>
      </c>
      <c r="E12" s="8" t="s">
        <v>50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0</v>
      </c>
      <c r="L12" s="8">
        <v>0</v>
      </c>
      <c r="M12" s="8">
        <v>0</v>
      </c>
      <c r="N12" s="16">
        <v>9.1999999999999993</v>
      </c>
      <c r="O12" s="8" t="s">
        <v>22</v>
      </c>
      <c r="P12" s="8" t="s">
        <v>53</v>
      </c>
      <c r="R12" s="8" t="s">
        <v>54</v>
      </c>
      <c r="S12" s="8" t="s">
        <v>86</v>
      </c>
      <c r="T12" s="8" t="s">
        <v>50</v>
      </c>
    </row>
    <row r="13" spans="1:20">
      <c r="A13" s="8" t="s">
        <v>87</v>
      </c>
      <c r="B13" s="17">
        <v>1</v>
      </c>
      <c r="C13" s="8" t="s">
        <v>88</v>
      </c>
      <c r="D13" s="14">
        <v>0</v>
      </c>
      <c r="E13" s="8" t="s">
        <v>50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16">
        <v>7.5</v>
      </c>
      <c r="O13" s="8" t="s">
        <v>23</v>
      </c>
      <c r="P13" s="8" t="s">
        <v>53</v>
      </c>
      <c r="R13" s="8" t="s">
        <v>54</v>
      </c>
      <c r="S13" s="8" t="s">
        <v>89</v>
      </c>
      <c r="T13" s="8" t="s">
        <v>46</v>
      </c>
    </row>
    <row r="14" spans="1:20">
      <c r="A14" s="8" t="s">
        <v>90</v>
      </c>
      <c r="B14" s="17">
        <v>1</v>
      </c>
      <c r="C14" s="8" t="s">
        <v>85</v>
      </c>
      <c r="D14" s="14">
        <v>3</v>
      </c>
      <c r="E14" s="8" t="s">
        <v>50</v>
      </c>
      <c r="F14" s="8">
        <v>0</v>
      </c>
      <c r="G14" s="8">
        <v>0</v>
      </c>
      <c r="H14" s="8">
        <v>2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6">
        <v>9</v>
      </c>
      <c r="O14" s="8" t="s">
        <v>22</v>
      </c>
      <c r="P14" s="8" t="s">
        <v>53</v>
      </c>
      <c r="R14" s="8" t="s">
        <v>54</v>
      </c>
      <c r="S14" s="8" t="s">
        <v>91</v>
      </c>
      <c r="T14" s="8" t="s">
        <v>50</v>
      </c>
    </row>
    <row r="15" spans="1:20">
      <c r="A15" s="8" t="s">
        <v>92</v>
      </c>
      <c r="B15" s="17">
        <v>1</v>
      </c>
      <c r="C15" s="8" t="s">
        <v>57</v>
      </c>
      <c r="D15" s="14">
        <v>0</v>
      </c>
      <c r="E15" s="8" t="s">
        <v>50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16">
        <v>9</v>
      </c>
      <c r="O15" s="8" t="s">
        <v>22</v>
      </c>
      <c r="P15" s="8" t="s">
        <v>53</v>
      </c>
      <c r="R15" s="8" t="s">
        <v>54</v>
      </c>
      <c r="S15" s="8" t="s">
        <v>93</v>
      </c>
      <c r="T15" s="8" t="s">
        <v>46</v>
      </c>
    </row>
    <row r="16" spans="1:20">
      <c r="A16" s="8" t="s">
        <v>94</v>
      </c>
      <c r="B16" s="17">
        <v>1</v>
      </c>
      <c r="C16" s="8" t="s">
        <v>95</v>
      </c>
      <c r="D16" s="14">
        <v>4</v>
      </c>
      <c r="E16" s="8" t="s">
        <v>50</v>
      </c>
      <c r="F16" s="8">
        <v>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16">
        <v>7</v>
      </c>
      <c r="O16" s="8" t="s">
        <v>24</v>
      </c>
      <c r="P16" s="8" t="s">
        <v>62</v>
      </c>
      <c r="Q16" s="8" t="s">
        <v>96</v>
      </c>
      <c r="R16" s="8" t="s">
        <v>96</v>
      </c>
      <c r="S16" s="8" t="s">
        <v>97</v>
      </c>
      <c r="T16" s="8" t="s">
        <v>50</v>
      </c>
    </row>
    <row r="17" spans="1:20">
      <c r="A17" s="8" t="s">
        <v>98</v>
      </c>
      <c r="B17" s="17">
        <v>1</v>
      </c>
      <c r="C17" s="8" t="s">
        <v>70</v>
      </c>
      <c r="D17" s="14">
        <v>2</v>
      </c>
      <c r="E17" s="8" t="s">
        <v>50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16">
        <v>8.5</v>
      </c>
      <c r="O17" s="8" t="s">
        <v>22</v>
      </c>
      <c r="P17" s="8" t="s">
        <v>53</v>
      </c>
      <c r="R17" s="8" t="s">
        <v>54</v>
      </c>
      <c r="S17" s="8" t="s">
        <v>99</v>
      </c>
      <c r="T17" s="8" t="s">
        <v>50</v>
      </c>
    </row>
    <row r="18" spans="1:20">
      <c r="A18" s="8" t="s">
        <v>100</v>
      </c>
      <c r="B18" s="17">
        <v>1</v>
      </c>
      <c r="C18" s="8" t="s">
        <v>78</v>
      </c>
      <c r="D18" s="14">
        <v>4</v>
      </c>
      <c r="E18" s="8" t="s">
        <v>50</v>
      </c>
      <c r="F18" s="8">
        <v>2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8">
        <v>0</v>
      </c>
      <c r="M18" s="8">
        <v>0</v>
      </c>
      <c r="N18" s="16">
        <v>8</v>
      </c>
      <c r="O18" s="8" t="s">
        <v>23</v>
      </c>
      <c r="P18" s="8" t="s">
        <v>53</v>
      </c>
      <c r="R18" s="8" t="s">
        <v>54</v>
      </c>
      <c r="S18" s="8" t="s">
        <v>101</v>
      </c>
      <c r="T18" s="8" t="s">
        <v>50</v>
      </c>
    </row>
    <row r="19" spans="1:20">
      <c r="A19" s="8" t="s">
        <v>102</v>
      </c>
      <c r="B19" s="17">
        <v>1</v>
      </c>
      <c r="C19" s="8" t="s">
        <v>57</v>
      </c>
      <c r="D19" s="14">
        <v>0</v>
      </c>
      <c r="E19" s="8" t="s">
        <v>50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16">
        <v>8</v>
      </c>
      <c r="O19" s="8" t="s">
        <v>23</v>
      </c>
      <c r="P19" s="8" t="s">
        <v>53</v>
      </c>
      <c r="R19" s="8" t="s">
        <v>54</v>
      </c>
      <c r="S19" s="8" t="s">
        <v>103</v>
      </c>
      <c r="T19" s="8" t="s">
        <v>46</v>
      </c>
    </row>
    <row r="20" spans="1:20">
      <c r="A20" s="8" t="s">
        <v>104</v>
      </c>
      <c r="B20" s="17">
        <v>1</v>
      </c>
      <c r="C20" s="8" t="s">
        <v>57</v>
      </c>
      <c r="D20" s="14">
        <v>0</v>
      </c>
      <c r="E20" s="8" t="s">
        <v>50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16">
        <v>8.5</v>
      </c>
      <c r="O20" s="8" t="s">
        <v>22</v>
      </c>
      <c r="P20" s="8" t="s">
        <v>53</v>
      </c>
      <c r="R20" s="8" t="s">
        <v>54</v>
      </c>
      <c r="S20" s="8" t="s">
        <v>105</v>
      </c>
      <c r="T20" s="8" t="s">
        <v>46</v>
      </c>
    </row>
    <row r="21" spans="1:20">
      <c r="A21" s="8" t="s">
        <v>106</v>
      </c>
      <c r="B21" s="17">
        <v>1</v>
      </c>
      <c r="C21" s="8" t="s">
        <v>107</v>
      </c>
      <c r="D21" s="14">
        <v>4</v>
      </c>
      <c r="E21" s="8" t="s">
        <v>50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</v>
      </c>
      <c r="L21" s="8">
        <v>0</v>
      </c>
      <c r="M21" s="8">
        <v>0</v>
      </c>
      <c r="N21" s="16">
        <v>9.3000000000000007</v>
      </c>
      <c r="O21" s="8" t="s">
        <v>22</v>
      </c>
      <c r="P21" s="8" t="s">
        <v>53</v>
      </c>
      <c r="R21" s="8" t="s">
        <v>54</v>
      </c>
      <c r="S21" s="8" t="s">
        <v>108</v>
      </c>
      <c r="T21" s="8" t="s">
        <v>50</v>
      </c>
    </row>
    <row r="22" spans="1:20">
      <c r="A22" s="8" t="s">
        <v>109</v>
      </c>
      <c r="B22" s="17">
        <v>1</v>
      </c>
      <c r="C22" s="8" t="s">
        <v>70</v>
      </c>
      <c r="D22" s="14">
        <v>2</v>
      </c>
      <c r="E22" s="8" t="s">
        <v>50</v>
      </c>
      <c r="F22" s="8">
        <v>0</v>
      </c>
      <c r="G22" s="8">
        <v>0</v>
      </c>
      <c r="H22" s="8">
        <v>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16">
        <v>8.5</v>
      </c>
      <c r="O22" s="8" t="s">
        <v>22</v>
      </c>
      <c r="P22" s="8" t="s">
        <v>53</v>
      </c>
      <c r="R22" s="8" t="s">
        <v>54</v>
      </c>
      <c r="S22" s="8" t="s">
        <v>110</v>
      </c>
      <c r="T22" s="8" t="s">
        <v>50</v>
      </c>
    </row>
    <row r="23" spans="1:20">
      <c r="A23" s="8" t="s">
        <v>111</v>
      </c>
      <c r="B23" s="17">
        <v>1</v>
      </c>
      <c r="C23" s="8" t="s">
        <v>52</v>
      </c>
      <c r="D23" s="14">
        <v>2</v>
      </c>
      <c r="E23" s="8" t="s">
        <v>50</v>
      </c>
      <c r="F23" s="8">
        <v>2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16">
        <v>7.5</v>
      </c>
      <c r="O23" s="8" t="s">
        <v>23</v>
      </c>
      <c r="P23" s="8" t="s">
        <v>53</v>
      </c>
      <c r="R23" s="8" t="s">
        <v>54</v>
      </c>
      <c r="S23" s="8" t="s">
        <v>112</v>
      </c>
      <c r="T23" s="8" t="s">
        <v>50</v>
      </c>
    </row>
    <row r="24" spans="1:20">
      <c r="A24" s="8" t="s">
        <v>113</v>
      </c>
      <c r="B24" s="17">
        <v>1</v>
      </c>
      <c r="C24" s="8" t="s">
        <v>57</v>
      </c>
      <c r="D24" s="14">
        <v>0</v>
      </c>
      <c r="E24" s="8" t="s">
        <v>50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16">
        <v>7.5</v>
      </c>
      <c r="O24" s="8" t="s">
        <v>23</v>
      </c>
      <c r="P24" s="8" t="s">
        <v>53</v>
      </c>
      <c r="R24" s="8" t="s">
        <v>54</v>
      </c>
      <c r="S24" s="8" t="s">
        <v>114</v>
      </c>
      <c r="T24" s="8" t="s">
        <v>46</v>
      </c>
    </row>
    <row r="25" spans="1:20">
      <c r="A25" s="8" t="s">
        <v>115</v>
      </c>
      <c r="B25" s="17">
        <v>1</v>
      </c>
      <c r="C25" s="8" t="s">
        <v>116</v>
      </c>
      <c r="D25" s="14">
        <v>3</v>
      </c>
      <c r="E25" s="8" t="s">
        <v>50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16">
        <v>6.5</v>
      </c>
      <c r="O25" s="8" t="s">
        <v>24</v>
      </c>
      <c r="P25" s="8" t="s">
        <v>62</v>
      </c>
      <c r="Q25" s="8" t="s">
        <v>117</v>
      </c>
      <c r="R25" s="8" t="s">
        <v>117</v>
      </c>
      <c r="S25" s="8" t="s">
        <v>118</v>
      </c>
      <c r="T25" s="8" t="s">
        <v>50</v>
      </c>
    </row>
    <row r="26" spans="1:20">
      <c r="A26" s="8" t="s">
        <v>119</v>
      </c>
      <c r="B26" s="17">
        <v>1</v>
      </c>
      <c r="C26" s="8" t="s">
        <v>120</v>
      </c>
      <c r="D26" s="14">
        <v>3</v>
      </c>
      <c r="E26" s="8" t="s">
        <v>50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2</v>
      </c>
      <c r="L26" s="8">
        <v>0</v>
      </c>
      <c r="M26" s="8">
        <v>0</v>
      </c>
      <c r="N26" s="16">
        <v>9.1999999999999993</v>
      </c>
      <c r="O26" s="8" t="s">
        <v>22</v>
      </c>
      <c r="P26" s="8" t="s">
        <v>53</v>
      </c>
      <c r="R26" s="8" t="s">
        <v>54</v>
      </c>
      <c r="S26" s="8" t="s">
        <v>121</v>
      </c>
      <c r="T26" s="8" t="s">
        <v>50</v>
      </c>
    </row>
    <row r="27" spans="1:20">
      <c r="A27" s="8" t="s">
        <v>122</v>
      </c>
      <c r="B27" s="17">
        <v>1</v>
      </c>
      <c r="C27" s="8" t="s">
        <v>123</v>
      </c>
      <c r="D27" s="14">
        <v>5</v>
      </c>
      <c r="E27" s="8" t="s">
        <v>50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16">
        <v>7</v>
      </c>
      <c r="O27" s="8" t="s">
        <v>24</v>
      </c>
      <c r="P27" s="8" t="s">
        <v>62</v>
      </c>
      <c r="Q27" s="8" t="s">
        <v>124</v>
      </c>
      <c r="R27" s="8" t="s">
        <v>124</v>
      </c>
      <c r="S27" s="8" t="s">
        <v>125</v>
      </c>
      <c r="T27" s="8" t="s">
        <v>50</v>
      </c>
    </row>
    <row r="28" spans="1:20">
      <c r="A28" s="8" t="s">
        <v>126</v>
      </c>
      <c r="B28" s="17">
        <v>1</v>
      </c>
      <c r="C28" s="8" t="s">
        <v>82</v>
      </c>
      <c r="D28" s="14">
        <v>2</v>
      </c>
      <c r="E28" s="8" t="s">
        <v>46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2</v>
      </c>
      <c r="N28" s="16">
        <v>9.1999999999999993</v>
      </c>
      <c r="O28" s="8" t="s">
        <v>22</v>
      </c>
      <c r="P28" s="8" t="s">
        <v>53</v>
      </c>
      <c r="R28" s="8" t="s">
        <v>54</v>
      </c>
      <c r="S28" s="8" t="s">
        <v>127</v>
      </c>
      <c r="T28" s="8" t="s">
        <v>50</v>
      </c>
    </row>
    <row r="29" spans="1:20">
      <c r="A29" s="8" t="s">
        <v>128</v>
      </c>
      <c r="B29" s="17">
        <v>1</v>
      </c>
      <c r="C29" s="8" t="s">
        <v>85</v>
      </c>
      <c r="D29" s="14">
        <v>2</v>
      </c>
      <c r="E29" s="8" t="s">
        <v>50</v>
      </c>
      <c r="F29" s="8">
        <v>0</v>
      </c>
      <c r="G29" s="8">
        <v>0</v>
      </c>
      <c r="H29" s="8">
        <v>0</v>
      </c>
      <c r="I29" s="8">
        <v>2</v>
      </c>
      <c r="J29" s="8">
        <v>0</v>
      </c>
      <c r="K29" s="8">
        <v>0</v>
      </c>
      <c r="L29" s="8">
        <v>0</v>
      </c>
      <c r="M29" s="8">
        <v>0</v>
      </c>
      <c r="N29" s="16">
        <v>9.1999999999999993</v>
      </c>
      <c r="O29" s="8" t="s">
        <v>22</v>
      </c>
      <c r="P29" s="8" t="s">
        <v>53</v>
      </c>
      <c r="R29" s="8" t="s">
        <v>54</v>
      </c>
      <c r="S29" s="8" t="s">
        <v>129</v>
      </c>
      <c r="T29" s="8" t="s">
        <v>50</v>
      </c>
    </row>
    <row r="30" spans="1:20">
      <c r="A30" s="8" t="s">
        <v>130</v>
      </c>
      <c r="B30" s="17">
        <v>1</v>
      </c>
      <c r="C30" s="8" t="s">
        <v>70</v>
      </c>
      <c r="D30" s="14">
        <v>3</v>
      </c>
      <c r="E30" s="8" t="s">
        <v>50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16">
        <v>6.5</v>
      </c>
      <c r="O30" s="8" t="s">
        <v>24</v>
      </c>
      <c r="P30" s="8" t="s">
        <v>62</v>
      </c>
      <c r="Q30" s="8" t="s">
        <v>131</v>
      </c>
      <c r="R30" s="8" t="s">
        <v>131</v>
      </c>
      <c r="S30" s="8" t="s">
        <v>132</v>
      </c>
      <c r="T30" s="8" t="s">
        <v>50</v>
      </c>
    </row>
    <row r="31" spans="1:20">
      <c r="A31" s="8" t="s">
        <v>133</v>
      </c>
      <c r="B31" s="17">
        <v>1</v>
      </c>
      <c r="C31" s="8" t="s">
        <v>70</v>
      </c>
      <c r="D31" s="14">
        <v>3</v>
      </c>
      <c r="E31" s="8" t="s">
        <v>50</v>
      </c>
      <c r="F31" s="8">
        <v>2</v>
      </c>
      <c r="G31" s="8">
        <v>1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16">
        <v>9.5</v>
      </c>
      <c r="O31" s="8" t="s">
        <v>21</v>
      </c>
      <c r="P31" s="8" t="s">
        <v>53</v>
      </c>
      <c r="R31" s="8" t="s">
        <v>54</v>
      </c>
      <c r="S31" s="8" t="s">
        <v>134</v>
      </c>
      <c r="T31" s="8" t="s">
        <v>50</v>
      </c>
    </row>
    <row r="32" spans="1:20">
      <c r="A32" s="8" t="s">
        <v>135</v>
      </c>
      <c r="B32" s="17">
        <v>1</v>
      </c>
      <c r="C32" s="8" t="s">
        <v>136</v>
      </c>
      <c r="D32" s="14">
        <v>5</v>
      </c>
      <c r="E32" s="8" t="s">
        <v>50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16">
        <v>7.5</v>
      </c>
      <c r="O32" s="8" t="s">
        <v>23</v>
      </c>
      <c r="P32" s="8" t="s">
        <v>62</v>
      </c>
      <c r="Q32" s="8" t="s">
        <v>137</v>
      </c>
      <c r="R32" s="8" t="s">
        <v>137</v>
      </c>
      <c r="S32" s="8" t="s">
        <v>138</v>
      </c>
      <c r="T32" s="8" t="s">
        <v>50</v>
      </c>
    </row>
    <row r="33" spans="1:20">
      <c r="A33" s="8" t="s">
        <v>139</v>
      </c>
      <c r="B33" s="17">
        <v>1</v>
      </c>
      <c r="C33" s="8" t="s">
        <v>140</v>
      </c>
      <c r="D33" s="14">
        <v>4</v>
      </c>
      <c r="E33" s="8" t="s">
        <v>46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2</v>
      </c>
      <c r="L33" s="8">
        <v>0</v>
      </c>
      <c r="M33" s="8">
        <v>2</v>
      </c>
      <c r="N33" s="16">
        <v>8.8000000000000007</v>
      </c>
      <c r="O33" s="8" t="s">
        <v>22</v>
      </c>
      <c r="P33" s="8" t="s">
        <v>53</v>
      </c>
      <c r="R33" s="8" t="s">
        <v>54</v>
      </c>
      <c r="S33" s="8" t="s">
        <v>141</v>
      </c>
      <c r="T33" s="8" t="s">
        <v>50</v>
      </c>
    </row>
    <row r="34" spans="1:20">
      <c r="A34" s="8" t="s">
        <v>142</v>
      </c>
      <c r="B34" s="17">
        <v>1</v>
      </c>
      <c r="C34" s="8" t="s">
        <v>116</v>
      </c>
      <c r="D34" s="14">
        <v>2</v>
      </c>
      <c r="E34" s="8" t="s">
        <v>50</v>
      </c>
      <c r="F34" s="8">
        <v>0</v>
      </c>
      <c r="G34" s="8">
        <v>0</v>
      </c>
      <c r="H34" s="8">
        <v>0</v>
      </c>
      <c r="I34" s="8">
        <v>2</v>
      </c>
      <c r="J34" s="8">
        <v>0</v>
      </c>
      <c r="K34" s="8">
        <v>0</v>
      </c>
      <c r="L34" s="8">
        <v>2</v>
      </c>
      <c r="M34" s="8">
        <v>0</v>
      </c>
      <c r="N34" s="16">
        <v>8.8000000000000007</v>
      </c>
      <c r="O34" s="8" t="s">
        <v>22</v>
      </c>
      <c r="P34" s="8" t="s">
        <v>53</v>
      </c>
      <c r="R34" s="8" t="s">
        <v>54</v>
      </c>
      <c r="S34" s="8" t="s">
        <v>143</v>
      </c>
      <c r="T34" s="8" t="s">
        <v>50</v>
      </c>
    </row>
    <row r="35" spans="1:20">
      <c r="A35" s="8" t="s">
        <v>144</v>
      </c>
      <c r="B35" s="17">
        <v>1</v>
      </c>
      <c r="C35" s="8" t="s">
        <v>145</v>
      </c>
      <c r="D35" s="14">
        <v>1</v>
      </c>
      <c r="E35" s="8" t="s">
        <v>50</v>
      </c>
      <c r="F35" s="8">
        <v>0</v>
      </c>
      <c r="G35" s="8">
        <v>1</v>
      </c>
      <c r="H35" s="8">
        <v>0</v>
      </c>
      <c r="I35" s="8">
        <v>0</v>
      </c>
      <c r="J35" s="8">
        <v>0</v>
      </c>
      <c r="K35" s="8">
        <v>2</v>
      </c>
      <c r="L35" s="8">
        <v>0</v>
      </c>
      <c r="M35" s="8">
        <v>0</v>
      </c>
      <c r="N35" s="16">
        <v>9.6</v>
      </c>
      <c r="O35" s="8" t="s">
        <v>21</v>
      </c>
      <c r="P35" s="8" t="s">
        <v>53</v>
      </c>
      <c r="R35" s="8" t="s">
        <v>146</v>
      </c>
      <c r="S35" s="8" t="s">
        <v>147</v>
      </c>
      <c r="T35" s="8" t="s">
        <v>50</v>
      </c>
    </row>
    <row r="36" spans="1:20">
      <c r="A36" s="8" t="s">
        <v>148</v>
      </c>
      <c r="B36" s="17">
        <v>1</v>
      </c>
      <c r="C36" s="8" t="s">
        <v>66</v>
      </c>
      <c r="D36" s="14">
        <v>2</v>
      </c>
      <c r="E36" s="8" t="s">
        <v>50</v>
      </c>
      <c r="F36" s="8">
        <v>0</v>
      </c>
      <c r="G36" s="8">
        <v>0</v>
      </c>
      <c r="H36" s="8">
        <v>0</v>
      </c>
      <c r="I36" s="8">
        <v>2</v>
      </c>
      <c r="J36" s="8">
        <v>1</v>
      </c>
      <c r="K36" s="8">
        <v>0</v>
      </c>
      <c r="L36" s="8">
        <v>0</v>
      </c>
      <c r="M36" s="8">
        <v>0</v>
      </c>
      <c r="N36" s="16">
        <v>9.6999999999999993</v>
      </c>
      <c r="O36" s="8" t="s">
        <v>21</v>
      </c>
      <c r="P36" s="8" t="s">
        <v>53</v>
      </c>
      <c r="R36" s="8" t="s">
        <v>149</v>
      </c>
      <c r="S36" s="8" t="s">
        <v>150</v>
      </c>
      <c r="T36" s="8" t="s">
        <v>50</v>
      </c>
    </row>
    <row r="37" spans="1:20">
      <c r="A37" s="8" t="s">
        <v>151</v>
      </c>
      <c r="B37" s="17">
        <v>1</v>
      </c>
      <c r="C37" s="8" t="s">
        <v>78</v>
      </c>
      <c r="D37" s="14">
        <v>5</v>
      </c>
      <c r="E37" s="8" t="s">
        <v>50</v>
      </c>
      <c r="F37" s="8">
        <v>0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</v>
      </c>
      <c r="N37" s="16">
        <v>8</v>
      </c>
      <c r="O37" s="8" t="s">
        <v>23</v>
      </c>
      <c r="P37" s="8" t="s">
        <v>53</v>
      </c>
      <c r="R37" s="8" t="s">
        <v>54</v>
      </c>
      <c r="S37" s="8" t="s">
        <v>152</v>
      </c>
      <c r="T37" s="8" t="s">
        <v>50</v>
      </c>
    </row>
    <row r="38" spans="1:20">
      <c r="A38" s="8" t="s">
        <v>153</v>
      </c>
      <c r="B38" s="17">
        <v>1</v>
      </c>
      <c r="C38" s="8" t="s">
        <v>82</v>
      </c>
      <c r="D38" s="14">
        <v>7</v>
      </c>
      <c r="E38" s="8" t="s">
        <v>46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2</v>
      </c>
      <c r="N38" s="16">
        <v>6.5</v>
      </c>
      <c r="O38" s="8" t="s">
        <v>24</v>
      </c>
      <c r="P38" s="8" t="s">
        <v>62</v>
      </c>
      <c r="Q38" s="8" t="s">
        <v>154</v>
      </c>
      <c r="R38" s="8" t="s">
        <v>155</v>
      </c>
      <c r="S38" s="8" t="s">
        <v>156</v>
      </c>
      <c r="T38" s="8" t="s">
        <v>50</v>
      </c>
    </row>
    <row r="39" spans="1:20">
      <c r="A39" s="8" t="s">
        <v>157</v>
      </c>
      <c r="B39" s="17">
        <v>1</v>
      </c>
      <c r="C39" s="8" t="s">
        <v>158</v>
      </c>
      <c r="D39" s="14">
        <v>2</v>
      </c>
      <c r="E39" s="8" t="s">
        <v>50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2</v>
      </c>
      <c r="L39" s="8">
        <v>0</v>
      </c>
      <c r="M39" s="8">
        <v>0</v>
      </c>
      <c r="N39" s="16">
        <v>8.8000000000000007</v>
      </c>
      <c r="O39" s="8" t="s">
        <v>22</v>
      </c>
      <c r="P39" s="8" t="s">
        <v>53</v>
      </c>
      <c r="R39" s="8" t="s">
        <v>54</v>
      </c>
      <c r="S39" s="8" t="s">
        <v>159</v>
      </c>
      <c r="T39" s="8" t="s">
        <v>50</v>
      </c>
    </row>
    <row r="40" spans="1:20">
      <c r="A40" s="8" t="s">
        <v>160</v>
      </c>
      <c r="B40" s="17">
        <v>1</v>
      </c>
      <c r="C40" s="8" t="s">
        <v>85</v>
      </c>
      <c r="D40" s="14">
        <v>1</v>
      </c>
      <c r="E40" s="8" t="s">
        <v>50</v>
      </c>
      <c r="F40" s="8">
        <v>0</v>
      </c>
      <c r="G40" s="8">
        <v>0</v>
      </c>
      <c r="H40" s="8">
        <v>0</v>
      </c>
      <c r="I40" s="8">
        <v>2</v>
      </c>
      <c r="J40" s="8">
        <v>1</v>
      </c>
      <c r="K40" s="8">
        <v>0</v>
      </c>
      <c r="L40" s="8">
        <v>2</v>
      </c>
      <c r="M40" s="8">
        <v>0</v>
      </c>
      <c r="N40" s="16">
        <v>9</v>
      </c>
      <c r="O40" s="8" t="s">
        <v>22</v>
      </c>
      <c r="P40" s="8" t="s">
        <v>53</v>
      </c>
      <c r="R40" s="8" t="s">
        <v>54</v>
      </c>
      <c r="S40" s="8" t="s">
        <v>161</v>
      </c>
      <c r="T40" s="8" t="s">
        <v>50</v>
      </c>
    </row>
    <row r="41" spans="1:20">
      <c r="A41" s="8" t="s">
        <v>162</v>
      </c>
      <c r="B41" s="17">
        <v>1</v>
      </c>
      <c r="C41" s="8" t="s">
        <v>78</v>
      </c>
      <c r="D41" s="14">
        <v>4</v>
      </c>
      <c r="E41" s="8" t="s">
        <v>50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2</v>
      </c>
      <c r="L41" s="8">
        <v>0</v>
      </c>
      <c r="M41" s="8">
        <v>0</v>
      </c>
      <c r="N41" s="16">
        <v>9.1999999999999993</v>
      </c>
      <c r="O41" s="8" t="s">
        <v>22</v>
      </c>
      <c r="P41" s="8" t="s">
        <v>53</v>
      </c>
      <c r="R41" s="8" t="s">
        <v>54</v>
      </c>
      <c r="S41" s="8" t="s">
        <v>163</v>
      </c>
      <c r="T41" s="8" t="s">
        <v>50</v>
      </c>
    </row>
    <row r="42" spans="1:20">
      <c r="A42" s="8" t="s">
        <v>164</v>
      </c>
      <c r="B42" s="17">
        <v>1</v>
      </c>
      <c r="C42" s="8" t="s">
        <v>70</v>
      </c>
      <c r="D42" s="14">
        <v>4</v>
      </c>
      <c r="E42" s="8" t="s">
        <v>50</v>
      </c>
      <c r="F42" s="8">
        <v>0</v>
      </c>
      <c r="G42" s="8">
        <v>0</v>
      </c>
      <c r="H42" s="8">
        <v>2</v>
      </c>
      <c r="I42" s="8">
        <v>0</v>
      </c>
      <c r="J42" s="8">
        <v>1</v>
      </c>
      <c r="K42" s="8">
        <v>0</v>
      </c>
      <c r="L42" s="8">
        <v>0</v>
      </c>
      <c r="M42" s="8">
        <v>0</v>
      </c>
      <c r="N42" s="16">
        <v>9.1999999999999993</v>
      </c>
      <c r="O42" s="8" t="s">
        <v>22</v>
      </c>
      <c r="P42" s="8" t="s">
        <v>53</v>
      </c>
      <c r="R42" s="8" t="s">
        <v>165</v>
      </c>
      <c r="S42" s="8" t="s">
        <v>166</v>
      </c>
      <c r="T42" s="8" t="s">
        <v>50</v>
      </c>
    </row>
    <row r="43" spans="1:20">
      <c r="A43" s="8" t="s">
        <v>167</v>
      </c>
      <c r="B43" s="17">
        <v>1</v>
      </c>
      <c r="C43" s="8" t="s">
        <v>168</v>
      </c>
      <c r="D43" s="14">
        <v>6</v>
      </c>
      <c r="E43" s="8" t="s">
        <v>50</v>
      </c>
      <c r="F43" s="8">
        <v>0</v>
      </c>
      <c r="G43" s="8">
        <v>0</v>
      </c>
      <c r="H43" s="8">
        <v>2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16">
        <v>8.1999999999999993</v>
      </c>
      <c r="O43" s="8" t="s">
        <v>23</v>
      </c>
      <c r="P43" s="8" t="s">
        <v>62</v>
      </c>
      <c r="Q43" s="8" t="s">
        <v>169</v>
      </c>
      <c r="R43" s="8" t="s">
        <v>169</v>
      </c>
      <c r="S43" s="8" t="s">
        <v>170</v>
      </c>
      <c r="T43" s="8" t="s">
        <v>50</v>
      </c>
    </row>
    <row r="44" spans="1:20">
      <c r="A44" s="8" t="s">
        <v>171</v>
      </c>
      <c r="B44" s="17">
        <v>1</v>
      </c>
      <c r="C44" s="8" t="s">
        <v>82</v>
      </c>
      <c r="D44" s="14">
        <v>5</v>
      </c>
      <c r="E44" s="8" t="s">
        <v>46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2</v>
      </c>
      <c r="N44" s="16">
        <v>8.1999999999999993</v>
      </c>
      <c r="O44" s="8" t="s">
        <v>23</v>
      </c>
      <c r="P44" s="8" t="s">
        <v>53</v>
      </c>
      <c r="R44" s="8" t="s">
        <v>54</v>
      </c>
      <c r="S44" s="8" t="s">
        <v>172</v>
      </c>
      <c r="T44" s="8" t="s">
        <v>50</v>
      </c>
    </row>
    <row r="45" spans="1:20">
      <c r="A45" s="8" t="s">
        <v>173</v>
      </c>
      <c r="B45" s="17">
        <v>1</v>
      </c>
      <c r="C45" s="8" t="s">
        <v>52</v>
      </c>
      <c r="D45" s="14">
        <v>2</v>
      </c>
      <c r="E45" s="8" t="s">
        <v>50</v>
      </c>
      <c r="F45" s="8">
        <v>0</v>
      </c>
      <c r="G45" s="8">
        <v>0</v>
      </c>
      <c r="H45" s="8">
        <v>0</v>
      </c>
      <c r="I45" s="8">
        <v>0</v>
      </c>
      <c r="J45" s="8">
        <v>1</v>
      </c>
      <c r="K45" s="8">
        <v>1</v>
      </c>
      <c r="L45" s="8">
        <v>0</v>
      </c>
      <c r="M45" s="8">
        <v>0</v>
      </c>
      <c r="N45" s="16">
        <v>8.8000000000000007</v>
      </c>
      <c r="O45" s="8" t="s">
        <v>22</v>
      </c>
      <c r="P45" s="8" t="s">
        <v>53</v>
      </c>
      <c r="R45" s="8" t="s">
        <v>54</v>
      </c>
      <c r="S45" s="8" t="s">
        <v>174</v>
      </c>
      <c r="T45" s="8" t="s">
        <v>50</v>
      </c>
    </row>
    <row r="46" spans="1:20">
      <c r="A46" s="8" t="s">
        <v>175</v>
      </c>
      <c r="B46" s="17">
        <v>1</v>
      </c>
      <c r="C46" s="8" t="s">
        <v>176</v>
      </c>
      <c r="D46" s="14">
        <v>4</v>
      </c>
      <c r="E46" s="8" t="s">
        <v>50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2</v>
      </c>
      <c r="L46" s="8">
        <v>0</v>
      </c>
      <c r="M46" s="8">
        <v>0</v>
      </c>
      <c r="N46" s="16">
        <v>9.1</v>
      </c>
      <c r="O46" s="8" t="s">
        <v>22</v>
      </c>
      <c r="P46" s="8" t="s">
        <v>53</v>
      </c>
      <c r="R46" s="8" t="s">
        <v>54</v>
      </c>
      <c r="S46" s="8" t="s">
        <v>177</v>
      </c>
      <c r="T46" s="8" t="s">
        <v>50</v>
      </c>
    </row>
    <row r="47" spans="1:20">
      <c r="A47" s="8" t="s">
        <v>178</v>
      </c>
      <c r="B47" s="17">
        <v>6</v>
      </c>
      <c r="C47" s="8" t="s">
        <v>179</v>
      </c>
      <c r="D47" s="14">
        <v>0</v>
      </c>
      <c r="E47" s="8" t="s">
        <v>50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16">
        <v>8</v>
      </c>
      <c r="O47" s="8" t="s">
        <v>23</v>
      </c>
      <c r="P47" s="8" t="s">
        <v>53</v>
      </c>
      <c r="R47" s="8" t="s">
        <v>54</v>
      </c>
      <c r="S47" s="8" t="s">
        <v>180</v>
      </c>
      <c r="T47" s="8" t="s">
        <v>46</v>
      </c>
    </row>
    <row r="48" spans="1:20">
      <c r="A48" s="8" t="s">
        <v>181</v>
      </c>
      <c r="B48" s="17">
        <v>1</v>
      </c>
      <c r="C48" s="8" t="s">
        <v>85</v>
      </c>
      <c r="D48" s="14">
        <v>1</v>
      </c>
      <c r="E48" s="8" t="s">
        <v>50</v>
      </c>
      <c r="F48" s="8">
        <v>0</v>
      </c>
      <c r="G48" s="8">
        <v>0</v>
      </c>
      <c r="H48" s="8">
        <v>0</v>
      </c>
      <c r="I48" s="8">
        <v>2</v>
      </c>
      <c r="J48" s="8">
        <v>1</v>
      </c>
      <c r="K48" s="8">
        <v>0</v>
      </c>
      <c r="L48" s="8">
        <v>2</v>
      </c>
      <c r="M48" s="8">
        <v>0</v>
      </c>
      <c r="N48" s="16">
        <v>7.8</v>
      </c>
      <c r="O48" s="8" t="s">
        <v>23</v>
      </c>
      <c r="P48" s="8" t="s">
        <v>53</v>
      </c>
      <c r="R48" s="8" t="s">
        <v>54</v>
      </c>
      <c r="S48" s="8" t="s">
        <v>182</v>
      </c>
      <c r="T48" s="8" t="s">
        <v>50</v>
      </c>
    </row>
    <row r="49" spans="1:20">
      <c r="A49" s="8" t="s">
        <v>183</v>
      </c>
      <c r="B49" s="17">
        <v>1</v>
      </c>
      <c r="C49" s="8" t="s">
        <v>70</v>
      </c>
      <c r="D49" s="14">
        <v>4</v>
      </c>
      <c r="E49" s="8" t="s">
        <v>50</v>
      </c>
      <c r="F49" s="8">
        <v>0</v>
      </c>
      <c r="G49" s="8">
        <v>0</v>
      </c>
      <c r="H49" s="8">
        <v>2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16">
        <v>6.2</v>
      </c>
      <c r="O49" s="8" t="s">
        <v>61</v>
      </c>
      <c r="P49" s="8" t="s">
        <v>62</v>
      </c>
      <c r="Q49" s="8" t="s">
        <v>184</v>
      </c>
      <c r="R49" s="8" t="s">
        <v>184</v>
      </c>
      <c r="S49" s="8" t="s">
        <v>185</v>
      </c>
      <c r="T49" s="8" t="s">
        <v>50</v>
      </c>
    </row>
    <row r="50" spans="1:20">
      <c r="A50" s="8" t="s">
        <v>186</v>
      </c>
      <c r="B50" s="17">
        <v>1</v>
      </c>
      <c r="C50" s="8" t="s">
        <v>187</v>
      </c>
      <c r="D50" s="14">
        <v>4</v>
      </c>
      <c r="E50" s="8" t="s">
        <v>50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2</v>
      </c>
      <c r="L50" s="8">
        <v>0</v>
      </c>
      <c r="M50" s="8">
        <v>0</v>
      </c>
      <c r="N50" s="16">
        <v>9.1999999999999993</v>
      </c>
      <c r="O50" s="8" t="s">
        <v>22</v>
      </c>
      <c r="P50" s="8" t="s">
        <v>53</v>
      </c>
      <c r="R50" s="8" t="s">
        <v>54</v>
      </c>
      <c r="S50" s="8" t="s">
        <v>188</v>
      </c>
      <c r="T50" s="8" t="s">
        <v>50</v>
      </c>
    </row>
    <row r="51" spans="1:20">
      <c r="A51" s="8" t="s">
        <v>189</v>
      </c>
      <c r="B51" s="17">
        <v>1</v>
      </c>
      <c r="C51" s="8" t="s">
        <v>78</v>
      </c>
      <c r="D51" s="14">
        <v>3</v>
      </c>
      <c r="E51" s="8" t="s">
        <v>50</v>
      </c>
      <c r="F51" s="8">
        <v>0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16">
        <v>8</v>
      </c>
      <c r="O51" s="8" t="s">
        <v>23</v>
      </c>
      <c r="P51" s="8" t="s">
        <v>53</v>
      </c>
      <c r="R51" s="8" t="s">
        <v>54</v>
      </c>
      <c r="S51" s="8" t="s">
        <v>190</v>
      </c>
      <c r="T51" s="8" t="s">
        <v>50</v>
      </c>
    </row>
    <row r="52" spans="1:20">
      <c r="A52" s="8" t="s">
        <v>191</v>
      </c>
      <c r="B52" s="17">
        <v>1</v>
      </c>
      <c r="C52" s="8" t="s">
        <v>70</v>
      </c>
      <c r="D52" s="14">
        <v>2</v>
      </c>
      <c r="E52" s="8" t="s">
        <v>50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16">
        <v>6.8</v>
      </c>
      <c r="O52" s="8" t="s">
        <v>24</v>
      </c>
      <c r="P52" s="8" t="s">
        <v>62</v>
      </c>
      <c r="Q52" s="8" t="s">
        <v>192</v>
      </c>
      <c r="R52" s="8" t="s">
        <v>192</v>
      </c>
      <c r="S52" s="8" t="s">
        <v>193</v>
      </c>
      <c r="T52" s="8" t="s">
        <v>50</v>
      </c>
    </row>
    <row r="53" spans="1:20">
      <c r="A53" s="8" t="s">
        <v>194</v>
      </c>
      <c r="B53" s="17">
        <v>1</v>
      </c>
      <c r="C53" s="8" t="s">
        <v>57</v>
      </c>
      <c r="D53" s="14">
        <v>0</v>
      </c>
      <c r="E53" s="8" t="s">
        <v>50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16">
        <v>6.8</v>
      </c>
      <c r="O53" s="8" t="s">
        <v>24</v>
      </c>
      <c r="P53" s="8" t="s">
        <v>53</v>
      </c>
      <c r="R53" s="8" t="s">
        <v>54</v>
      </c>
      <c r="S53" s="8" t="s">
        <v>195</v>
      </c>
      <c r="T53" s="8" t="s">
        <v>46</v>
      </c>
    </row>
    <row r="54" spans="1:20">
      <c r="A54" s="8" t="s">
        <v>196</v>
      </c>
      <c r="B54" s="17">
        <v>1</v>
      </c>
      <c r="C54" s="8" t="s">
        <v>85</v>
      </c>
      <c r="D54" s="14">
        <v>2</v>
      </c>
      <c r="E54" s="8" t="s">
        <v>50</v>
      </c>
      <c r="F54" s="8">
        <v>0</v>
      </c>
      <c r="G54" s="8">
        <v>0</v>
      </c>
      <c r="H54" s="8">
        <v>2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16">
        <v>9.1999999999999993</v>
      </c>
      <c r="O54" s="8" t="s">
        <v>22</v>
      </c>
      <c r="P54" s="8" t="s">
        <v>53</v>
      </c>
      <c r="R54" s="8" t="s">
        <v>54</v>
      </c>
      <c r="S54" s="8" t="s">
        <v>197</v>
      </c>
      <c r="T54" s="8" t="s">
        <v>50</v>
      </c>
    </row>
    <row r="55" spans="1:20">
      <c r="A55" s="8" t="s">
        <v>198</v>
      </c>
      <c r="B55" s="17">
        <v>1</v>
      </c>
      <c r="C55" s="8" t="s">
        <v>140</v>
      </c>
      <c r="D55" s="14">
        <v>4</v>
      </c>
      <c r="E55" s="8" t="s">
        <v>46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2</v>
      </c>
      <c r="N55" s="16">
        <v>9.1</v>
      </c>
      <c r="O55" s="8" t="s">
        <v>22</v>
      </c>
      <c r="P55" s="8" t="s">
        <v>53</v>
      </c>
      <c r="R55" s="8" t="s">
        <v>54</v>
      </c>
      <c r="S55" s="8" t="s">
        <v>199</v>
      </c>
      <c r="T55" s="8" t="s">
        <v>50</v>
      </c>
    </row>
    <row r="56" spans="1:20">
      <c r="A56" s="8" t="s">
        <v>200</v>
      </c>
      <c r="B56" s="17">
        <v>1</v>
      </c>
      <c r="C56" s="8" t="s">
        <v>201</v>
      </c>
      <c r="D56" s="14">
        <v>3</v>
      </c>
      <c r="E56" s="8" t="s">
        <v>50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2</v>
      </c>
      <c r="L56" s="8">
        <v>0</v>
      </c>
      <c r="M56" s="8">
        <v>0</v>
      </c>
      <c r="N56" s="16">
        <v>9.1999999999999993</v>
      </c>
      <c r="O56" s="8" t="s">
        <v>22</v>
      </c>
      <c r="P56" s="8" t="s">
        <v>53</v>
      </c>
      <c r="R56" s="8" t="s">
        <v>54</v>
      </c>
      <c r="S56" s="8" t="s">
        <v>202</v>
      </c>
      <c r="T56" s="8" t="s">
        <v>50</v>
      </c>
    </row>
    <row r="57" spans="1:20">
      <c r="A57" s="8" t="s">
        <v>203</v>
      </c>
      <c r="B57" s="17">
        <v>1</v>
      </c>
      <c r="C57" s="8" t="s">
        <v>204</v>
      </c>
      <c r="D57" s="14">
        <v>3</v>
      </c>
      <c r="E57" s="8" t="s">
        <v>50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2</v>
      </c>
      <c r="L57" s="8">
        <v>0</v>
      </c>
      <c r="M57" s="8">
        <v>0</v>
      </c>
      <c r="N57" s="16">
        <v>9.6</v>
      </c>
      <c r="O57" s="8" t="s">
        <v>21</v>
      </c>
      <c r="P57" s="8" t="s">
        <v>53</v>
      </c>
      <c r="R57" s="8" t="s">
        <v>205</v>
      </c>
      <c r="S57" s="8" t="s">
        <v>206</v>
      </c>
      <c r="T57" s="8" t="s">
        <v>50</v>
      </c>
    </row>
    <row r="58" spans="1:20">
      <c r="A58" s="8" t="s">
        <v>207</v>
      </c>
      <c r="B58" s="17">
        <v>1</v>
      </c>
      <c r="C58" s="8" t="s">
        <v>85</v>
      </c>
      <c r="D58" s="14">
        <v>1</v>
      </c>
      <c r="E58" s="8" t="s">
        <v>50</v>
      </c>
      <c r="F58" s="8">
        <v>0</v>
      </c>
      <c r="G58" s="8">
        <v>0</v>
      </c>
      <c r="H58" s="8">
        <v>0</v>
      </c>
      <c r="I58" s="8">
        <v>2</v>
      </c>
      <c r="J58" s="8">
        <v>0</v>
      </c>
      <c r="K58" s="8">
        <v>0</v>
      </c>
      <c r="L58" s="8">
        <v>0</v>
      </c>
      <c r="M58" s="8">
        <v>0</v>
      </c>
      <c r="N58" s="16">
        <v>8.1999999999999993</v>
      </c>
      <c r="O58" s="8" t="s">
        <v>23</v>
      </c>
      <c r="P58" s="8" t="s">
        <v>53</v>
      </c>
      <c r="R58" s="8" t="s">
        <v>54</v>
      </c>
      <c r="S58" s="8" t="s">
        <v>208</v>
      </c>
      <c r="T58" s="8" t="s">
        <v>50</v>
      </c>
    </row>
    <row r="59" spans="1:20">
      <c r="A59" s="8" t="s">
        <v>209</v>
      </c>
      <c r="B59" s="17">
        <v>1</v>
      </c>
      <c r="C59" s="8" t="s">
        <v>57</v>
      </c>
      <c r="D59" s="14">
        <v>0</v>
      </c>
      <c r="E59" s="8" t="s">
        <v>50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16">
        <v>6.5</v>
      </c>
      <c r="O59" s="8" t="s">
        <v>24</v>
      </c>
      <c r="P59" s="8" t="s">
        <v>53</v>
      </c>
      <c r="R59" s="8" t="s">
        <v>54</v>
      </c>
      <c r="S59" s="8" t="s">
        <v>210</v>
      </c>
      <c r="T59" s="8" t="s">
        <v>46</v>
      </c>
    </row>
    <row r="60" spans="1:20">
      <c r="A60" s="8" t="s">
        <v>211</v>
      </c>
      <c r="B60" s="17">
        <v>1</v>
      </c>
      <c r="C60" s="8" t="s">
        <v>85</v>
      </c>
      <c r="D60" s="14">
        <v>3</v>
      </c>
      <c r="E60" s="8" t="s">
        <v>50</v>
      </c>
      <c r="F60" s="8">
        <v>0</v>
      </c>
      <c r="G60" s="8">
        <v>0</v>
      </c>
      <c r="H60" s="8">
        <v>0</v>
      </c>
      <c r="I60" s="8">
        <v>2</v>
      </c>
      <c r="J60" s="8">
        <v>0</v>
      </c>
      <c r="K60" s="8">
        <v>0</v>
      </c>
      <c r="L60" s="8">
        <v>0</v>
      </c>
      <c r="M60" s="8">
        <v>0</v>
      </c>
      <c r="N60" s="16">
        <v>8.1999999999999993</v>
      </c>
      <c r="O60" s="8" t="s">
        <v>23</v>
      </c>
      <c r="P60" s="8" t="s">
        <v>53</v>
      </c>
      <c r="R60" s="8" t="s">
        <v>54</v>
      </c>
      <c r="S60" s="8" t="s">
        <v>212</v>
      </c>
      <c r="T60" s="8" t="s">
        <v>50</v>
      </c>
    </row>
    <row r="61" spans="1:20">
      <c r="A61" s="8" t="s">
        <v>213</v>
      </c>
      <c r="B61" s="17">
        <v>1</v>
      </c>
      <c r="C61" s="8" t="s">
        <v>78</v>
      </c>
      <c r="D61" s="14">
        <v>2</v>
      </c>
      <c r="E61" s="8" t="s">
        <v>50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2</v>
      </c>
      <c r="L61" s="8">
        <v>0</v>
      </c>
      <c r="M61" s="8">
        <v>0</v>
      </c>
      <c r="N61" s="16">
        <v>9.6</v>
      </c>
      <c r="O61" s="8" t="s">
        <v>21</v>
      </c>
      <c r="P61" s="8" t="s">
        <v>53</v>
      </c>
      <c r="R61" s="8" t="s">
        <v>214</v>
      </c>
      <c r="S61" s="8" t="s">
        <v>215</v>
      </c>
      <c r="T61" s="8" t="s">
        <v>50</v>
      </c>
    </row>
    <row r="62" spans="1:20">
      <c r="A62" s="8" t="s">
        <v>216</v>
      </c>
      <c r="B62" s="17">
        <v>1</v>
      </c>
      <c r="C62" s="8" t="s">
        <v>82</v>
      </c>
      <c r="D62" s="14">
        <v>2</v>
      </c>
      <c r="E62" s="8" t="s">
        <v>46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2</v>
      </c>
      <c r="N62" s="16">
        <v>8.4</v>
      </c>
      <c r="O62" s="8" t="s">
        <v>23</v>
      </c>
      <c r="P62" s="8" t="s">
        <v>53</v>
      </c>
      <c r="R62" s="8" t="s">
        <v>54</v>
      </c>
      <c r="S62" s="8" t="s">
        <v>217</v>
      </c>
      <c r="T62" s="8" t="s">
        <v>50</v>
      </c>
    </row>
    <row r="63" spans="1:20">
      <c r="A63" s="8" t="s">
        <v>218</v>
      </c>
      <c r="B63" s="17">
        <v>1</v>
      </c>
      <c r="C63" s="8" t="s">
        <v>70</v>
      </c>
      <c r="D63" s="14">
        <v>5</v>
      </c>
      <c r="E63" s="8" t="s">
        <v>50</v>
      </c>
      <c r="F63" s="8">
        <v>0</v>
      </c>
      <c r="G63" s="8">
        <v>0</v>
      </c>
      <c r="H63" s="8">
        <v>2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16">
        <v>8.1999999999999993</v>
      </c>
      <c r="O63" s="8" t="s">
        <v>23</v>
      </c>
      <c r="P63" s="8" t="s">
        <v>53</v>
      </c>
      <c r="R63" s="8" t="s">
        <v>54</v>
      </c>
      <c r="S63" s="8" t="s">
        <v>219</v>
      </c>
      <c r="T63" s="8" t="s">
        <v>50</v>
      </c>
    </row>
    <row r="64" spans="1:20">
      <c r="A64" s="8" t="s">
        <v>220</v>
      </c>
      <c r="B64" s="17">
        <v>1</v>
      </c>
      <c r="C64" s="8" t="s">
        <v>221</v>
      </c>
      <c r="D64" s="14">
        <v>3</v>
      </c>
      <c r="E64" s="8" t="s">
        <v>50</v>
      </c>
      <c r="F64" s="8">
        <v>0</v>
      </c>
      <c r="G64" s="8">
        <v>1</v>
      </c>
      <c r="H64" s="8">
        <v>0</v>
      </c>
      <c r="I64" s="8">
        <v>0</v>
      </c>
      <c r="J64" s="8">
        <v>0</v>
      </c>
      <c r="K64" s="8">
        <v>2</v>
      </c>
      <c r="L64" s="8">
        <v>0</v>
      </c>
      <c r="M64" s="8">
        <v>0</v>
      </c>
      <c r="N64" s="16">
        <v>9.1</v>
      </c>
      <c r="O64" s="8" t="s">
        <v>22</v>
      </c>
      <c r="P64" s="8" t="s">
        <v>53</v>
      </c>
      <c r="R64" s="8" t="s">
        <v>54</v>
      </c>
      <c r="S64" s="8" t="s">
        <v>222</v>
      </c>
      <c r="T64" s="8" t="s">
        <v>50</v>
      </c>
    </row>
    <row r="65" spans="1:20">
      <c r="A65" s="8" t="s">
        <v>223</v>
      </c>
      <c r="B65" s="17">
        <v>1</v>
      </c>
      <c r="C65" s="8" t="s">
        <v>52</v>
      </c>
      <c r="D65" s="14">
        <v>1</v>
      </c>
      <c r="E65" s="8" t="s">
        <v>50</v>
      </c>
      <c r="F65" s="8">
        <v>2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16">
        <v>9.6999999999999993</v>
      </c>
      <c r="O65" s="8" t="s">
        <v>21</v>
      </c>
      <c r="P65" s="8" t="s">
        <v>53</v>
      </c>
      <c r="R65" s="8" t="s">
        <v>54</v>
      </c>
      <c r="S65" s="8" t="s">
        <v>224</v>
      </c>
      <c r="T65" s="8" t="s">
        <v>50</v>
      </c>
    </row>
    <row r="66" spans="1:20">
      <c r="A66" s="8" t="s">
        <v>225</v>
      </c>
      <c r="B66" s="17">
        <v>1</v>
      </c>
      <c r="C66" s="8" t="s">
        <v>82</v>
      </c>
      <c r="D66" s="14">
        <v>6</v>
      </c>
      <c r="E66" s="8" t="s">
        <v>46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  <c r="L66" s="8">
        <v>0</v>
      </c>
      <c r="M66" s="8">
        <v>2</v>
      </c>
      <c r="N66" s="16">
        <v>8.3000000000000007</v>
      </c>
      <c r="O66" s="8" t="s">
        <v>23</v>
      </c>
      <c r="P66" s="8" t="s">
        <v>53</v>
      </c>
      <c r="R66" s="8" t="s">
        <v>54</v>
      </c>
      <c r="S66" s="8" t="s">
        <v>226</v>
      </c>
      <c r="T66" s="8" t="s">
        <v>50</v>
      </c>
    </row>
    <row r="67" spans="1:20">
      <c r="A67" s="8" t="s">
        <v>227</v>
      </c>
      <c r="B67" s="17">
        <v>1</v>
      </c>
      <c r="C67" s="8" t="s">
        <v>228</v>
      </c>
      <c r="D67" s="14">
        <v>1</v>
      </c>
      <c r="E67" s="8" t="s">
        <v>50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16">
        <v>8</v>
      </c>
      <c r="O67" s="8" t="s">
        <v>23</v>
      </c>
      <c r="P67" s="8" t="s">
        <v>53</v>
      </c>
      <c r="R67" s="8" t="s">
        <v>54</v>
      </c>
      <c r="S67" s="8" t="s">
        <v>229</v>
      </c>
      <c r="T67" s="8" t="s">
        <v>46</v>
      </c>
    </row>
    <row r="68" spans="1:20">
      <c r="A68" s="8" t="s">
        <v>230</v>
      </c>
      <c r="B68" s="17">
        <v>1</v>
      </c>
      <c r="C68" s="8" t="s">
        <v>57</v>
      </c>
      <c r="D68" s="14">
        <v>0</v>
      </c>
      <c r="E68" s="8" t="s">
        <v>50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16">
        <v>7</v>
      </c>
      <c r="O68" s="8" t="s">
        <v>24</v>
      </c>
      <c r="P68" s="8" t="s">
        <v>62</v>
      </c>
      <c r="R68" s="8" t="s">
        <v>231</v>
      </c>
      <c r="S68" s="8" t="s">
        <v>232</v>
      </c>
      <c r="T68" s="8" t="s">
        <v>46</v>
      </c>
    </row>
    <row r="69" spans="1:20">
      <c r="A69" s="8" t="s">
        <v>233</v>
      </c>
      <c r="B69" s="17">
        <v>1</v>
      </c>
      <c r="C69" s="8" t="s">
        <v>78</v>
      </c>
      <c r="D69" s="14">
        <v>4</v>
      </c>
      <c r="E69" s="8" t="s">
        <v>50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2</v>
      </c>
      <c r="L69" s="8">
        <v>0</v>
      </c>
      <c r="M69" s="8">
        <v>0</v>
      </c>
      <c r="N69" s="16">
        <v>8.8000000000000007</v>
      </c>
      <c r="O69" s="8" t="s">
        <v>22</v>
      </c>
      <c r="P69" s="8" t="s">
        <v>53</v>
      </c>
      <c r="R69" s="8" t="s">
        <v>54</v>
      </c>
      <c r="S69" s="8" t="s">
        <v>234</v>
      </c>
      <c r="T69" s="8" t="s">
        <v>50</v>
      </c>
    </row>
    <row r="70" spans="1:20">
      <c r="A70" s="8" t="s">
        <v>235</v>
      </c>
      <c r="B70" s="17">
        <v>1</v>
      </c>
      <c r="C70" s="8" t="s">
        <v>78</v>
      </c>
      <c r="D70" s="14">
        <v>3</v>
      </c>
      <c r="E70" s="8" t="s">
        <v>50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2</v>
      </c>
      <c r="L70" s="8">
        <v>0</v>
      </c>
      <c r="M70" s="8">
        <v>0</v>
      </c>
      <c r="N70" s="16">
        <v>9.4</v>
      </c>
      <c r="O70" s="8" t="s">
        <v>22</v>
      </c>
      <c r="P70" s="8" t="s">
        <v>53</v>
      </c>
      <c r="R70" s="8" t="s">
        <v>54</v>
      </c>
      <c r="S70" s="8" t="s">
        <v>236</v>
      </c>
      <c r="T70" s="8" t="s">
        <v>50</v>
      </c>
    </row>
    <row r="71" spans="1:20">
      <c r="A71" s="8" t="s">
        <v>237</v>
      </c>
      <c r="B71" s="17">
        <v>12</v>
      </c>
      <c r="C71" s="8" t="s">
        <v>238</v>
      </c>
      <c r="D71" s="14">
        <v>0</v>
      </c>
      <c r="E71" s="8" t="s">
        <v>50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16">
        <v>8</v>
      </c>
      <c r="O71" s="8" t="s">
        <v>23</v>
      </c>
      <c r="P71" s="8" t="s">
        <v>53</v>
      </c>
      <c r="R71" s="8" t="s">
        <v>54</v>
      </c>
      <c r="S71" s="8" t="s">
        <v>239</v>
      </c>
      <c r="T71" s="8" t="s">
        <v>46</v>
      </c>
    </row>
    <row r="72" spans="1:20">
      <c r="A72" s="8" t="s">
        <v>240</v>
      </c>
      <c r="B72" s="17">
        <v>1</v>
      </c>
      <c r="C72" s="8" t="s">
        <v>52</v>
      </c>
      <c r="D72" s="14">
        <v>2</v>
      </c>
      <c r="E72" s="8" t="s">
        <v>50</v>
      </c>
      <c r="F72" s="8">
        <v>2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1</v>
      </c>
      <c r="N72" s="16">
        <v>8</v>
      </c>
      <c r="O72" s="8" t="s">
        <v>23</v>
      </c>
      <c r="P72" s="8" t="s">
        <v>53</v>
      </c>
      <c r="R72" s="8" t="s">
        <v>54</v>
      </c>
      <c r="S72" s="8" t="s">
        <v>241</v>
      </c>
      <c r="T72" s="8" t="s">
        <v>50</v>
      </c>
    </row>
    <row r="73" spans="1:20">
      <c r="A73" s="8" t="s">
        <v>242</v>
      </c>
      <c r="B73" s="17">
        <v>1</v>
      </c>
      <c r="C73" s="8" t="s">
        <v>57</v>
      </c>
      <c r="D73" s="14">
        <v>0</v>
      </c>
      <c r="E73" s="8" t="s">
        <v>50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16">
        <v>7.5</v>
      </c>
      <c r="O73" s="8" t="s">
        <v>23</v>
      </c>
      <c r="P73" s="8" t="s">
        <v>53</v>
      </c>
      <c r="R73" s="8" t="s">
        <v>54</v>
      </c>
      <c r="S73" s="8" t="s">
        <v>243</v>
      </c>
      <c r="T73" s="8" t="s">
        <v>46</v>
      </c>
    </row>
    <row r="74" spans="1:20">
      <c r="A74" s="8" t="s">
        <v>244</v>
      </c>
      <c r="B74" s="17">
        <v>1</v>
      </c>
      <c r="C74" s="8" t="s">
        <v>52</v>
      </c>
      <c r="D74" s="14">
        <v>2</v>
      </c>
      <c r="E74" s="8" t="s">
        <v>50</v>
      </c>
      <c r="F74" s="8">
        <v>2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16">
        <v>8.1999999999999993</v>
      </c>
      <c r="O74" s="8" t="s">
        <v>23</v>
      </c>
      <c r="P74" s="8" t="s">
        <v>53</v>
      </c>
      <c r="R74" s="8" t="s">
        <v>54</v>
      </c>
      <c r="S74" s="8" t="s">
        <v>245</v>
      </c>
      <c r="T74" s="8" t="s">
        <v>50</v>
      </c>
    </row>
    <row r="75" spans="1:20">
      <c r="A75" s="8" t="s">
        <v>246</v>
      </c>
      <c r="B75" s="17">
        <v>1</v>
      </c>
      <c r="C75" s="8" t="s">
        <v>57</v>
      </c>
      <c r="D75" s="14">
        <v>0</v>
      </c>
      <c r="E75" s="8" t="s">
        <v>50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16">
        <v>4.5</v>
      </c>
      <c r="O75" s="8" t="s">
        <v>61</v>
      </c>
      <c r="P75" s="8" t="s">
        <v>62</v>
      </c>
      <c r="R75" s="8" t="s">
        <v>247</v>
      </c>
      <c r="S75" s="8" t="s">
        <v>248</v>
      </c>
      <c r="T75" s="8" t="s">
        <v>46</v>
      </c>
    </row>
    <row r="76" spans="1:20">
      <c r="A76" s="8" t="s">
        <v>249</v>
      </c>
      <c r="B76" s="17">
        <v>1</v>
      </c>
      <c r="C76" s="8" t="s">
        <v>250</v>
      </c>
      <c r="D76" s="14">
        <v>6</v>
      </c>
      <c r="E76" s="8" t="s">
        <v>50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2</v>
      </c>
      <c r="L76" s="8">
        <v>0</v>
      </c>
      <c r="M76" s="8">
        <v>0</v>
      </c>
      <c r="N76" s="16">
        <v>9</v>
      </c>
      <c r="O76" s="8" t="s">
        <v>22</v>
      </c>
      <c r="P76" s="8" t="s">
        <v>53</v>
      </c>
      <c r="R76" s="8" t="s">
        <v>54</v>
      </c>
      <c r="S76" s="8" t="s">
        <v>251</v>
      </c>
      <c r="T76" s="8" t="s">
        <v>50</v>
      </c>
    </row>
    <row r="77" spans="1:20">
      <c r="A77" s="8" t="s">
        <v>252</v>
      </c>
      <c r="B77" s="17">
        <v>1</v>
      </c>
      <c r="C77" s="8" t="s">
        <v>52</v>
      </c>
      <c r="D77" s="14">
        <v>2</v>
      </c>
      <c r="E77" s="8" t="s">
        <v>50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16">
        <v>7.4</v>
      </c>
      <c r="O77" s="8" t="s">
        <v>24</v>
      </c>
      <c r="P77" s="8" t="s">
        <v>62</v>
      </c>
      <c r="Q77" s="8" t="s">
        <v>253</v>
      </c>
      <c r="R77" s="8" t="s">
        <v>253</v>
      </c>
      <c r="S77" s="8" t="s">
        <v>254</v>
      </c>
      <c r="T77" s="8" t="s">
        <v>50</v>
      </c>
    </row>
    <row r="78" spans="1:20">
      <c r="A78" s="8" t="s">
        <v>255</v>
      </c>
      <c r="B78" s="17">
        <v>1</v>
      </c>
      <c r="C78" s="8" t="s">
        <v>78</v>
      </c>
      <c r="D78" s="14">
        <v>3</v>
      </c>
      <c r="E78" s="8" t="s">
        <v>50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2</v>
      </c>
      <c r="L78" s="8">
        <v>0</v>
      </c>
      <c r="M78" s="8">
        <v>0</v>
      </c>
      <c r="N78" s="16">
        <v>9.3000000000000007</v>
      </c>
      <c r="O78" s="8" t="s">
        <v>22</v>
      </c>
      <c r="P78" s="8" t="s">
        <v>53</v>
      </c>
      <c r="R78" s="8" t="s">
        <v>54</v>
      </c>
      <c r="S78" s="8" t="s">
        <v>256</v>
      </c>
      <c r="T78" s="8" t="s">
        <v>50</v>
      </c>
    </row>
    <row r="79" spans="1:20">
      <c r="A79" s="8" t="s">
        <v>257</v>
      </c>
      <c r="B79" s="17">
        <v>1</v>
      </c>
      <c r="C79" s="8" t="s">
        <v>258</v>
      </c>
      <c r="D79" s="14">
        <v>3</v>
      </c>
      <c r="E79" s="8" t="s">
        <v>50</v>
      </c>
      <c r="F79" s="8">
        <v>0</v>
      </c>
      <c r="G79" s="8">
        <v>1</v>
      </c>
      <c r="H79" s="8">
        <v>0</v>
      </c>
      <c r="I79" s="8">
        <v>0</v>
      </c>
      <c r="J79" s="8">
        <v>0</v>
      </c>
      <c r="K79" s="8">
        <v>2</v>
      </c>
      <c r="L79" s="8">
        <v>0</v>
      </c>
      <c r="M79" s="8">
        <v>1</v>
      </c>
      <c r="N79" s="16">
        <v>9.5</v>
      </c>
      <c r="O79" s="8" t="s">
        <v>21</v>
      </c>
      <c r="P79" s="8" t="s">
        <v>53</v>
      </c>
      <c r="R79" s="8" t="s">
        <v>259</v>
      </c>
      <c r="S79" s="8" t="s">
        <v>260</v>
      </c>
      <c r="T79" s="8" t="s">
        <v>50</v>
      </c>
    </row>
    <row r="80" spans="1:20">
      <c r="A80" s="8" t="s">
        <v>261</v>
      </c>
      <c r="B80" s="17">
        <v>1</v>
      </c>
      <c r="C80" s="8" t="s">
        <v>262</v>
      </c>
      <c r="D80" s="14">
        <v>4</v>
      </c>
      <c r="E80" s="8" t="s">
        <v>50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16">
        <v>8.4</v>
      </c>
      <c r="O80" s="8" t="s">
        <v>23</v>
      </c>
      <c r="P80" s="8" t="s">
        <v>53</v>
      </c>
      <c r="R80" s="8" t="s">
        <v>54</v>
      </c>
      <c r="S80" s="8" t="s">
        <v>263</v>
      </c>
      <c r="T80" s="8" t="s">
        <v>50</v>
      </c>
    </row>
    <row r="81" spans="1:20">
      <c r="A81" s="8" t="s">
        <v>264</v>
      </c>
      <c r="B81" s="17">
        <v>1</v>
      </c>
      <c r="C81" s="8" t="s">
        <v>85</v>
      </c>
      <c r="D81" s="14">
        <v>2</v>
      </c>
      <c r="E81" s="8" t="s">
        <v>50</v>
      </c>
      <c r="F81" s="8">
        <v>0</v>
      </c>
      <c r="G81" s="8">
        <v>0</v>
      </c>
      <c r="H81" s="8">
        <v>2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16">
        <v>8.6999999999999993</v>
      </c>
      <c r="O81" s="8" t="s">
        <v>22</v>
      </c>
      <c r="P81" s="8" t="s">
        <v>53</v>
      </c>
      <c r="R81" s="8" t="s">
        <v>54</v>
      </c>
      <c r="S81" s="8" t="s">
        <v>265</v>
      </c>
      <c r="T81" s="8" t="s">
        <v>50</v>
      </c>
    </row>
    <row r="82" spans="1:20">
      <c r="A82" s="8" t="s">
        <v>266</v>
      </c>
      <c r="B82" s="17">
        <v>1</v>
      </c>
      <c r="C82" s="8" t="s">
        <v>140</v>
      </c>
      <c r="D82" s="14">
        <v>8</v>
      </c>
      <c r="E82" s="8" t="s">
        <v>46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2</v>
      </c>
      <c r="N82" s="16">
        <v>6.5</v>
      </c>
      <c r="O82" s="8" t="s">
        <v>24</v>
      </c>
      <c r="P82" s="8" t="s">
        <v>62</v>
      </c>
      <c r="Q82" s="8" t="s">
        <v>267</v>
      </c>
      <c r="R82" s="8" t="s">
        <v>268</v>
      </c>
      <c r="S82" s="8" t="s">
        <v>269</v>
      </c>
      <c r="T82" s="8" t="s">
        <v>50</v>
      </c>
    </row>
    <row r="83" spans="1:20">
      <c r="A83" s="8" t="s">
        <v>270</v>
      </c>
      <c r="B83" s="17">
        <v>1</v>
      </c>
      <c r="C83" s="8" t="s">
        <v>57</v>
      </c>
      <c r="D83" s="14">
        <v>0</v>
      </c>
      <c r="E83" s="8" t="s">
        <v>50</v>
      </c>
      <c r="F83" s="8">
        <v>0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16">
        <v>8.6999999999999993</v>
      </c>
      <c r="O83" s="8" t="s">
        <v>22</v>
      </c>
      <c r="P83" s="8" t="s">
        <v>53</v>
      </c>
      <c r="R83" s="8" t="s">
        <v>54</v>
      </c>
      <c r="S83" s="8" t="s">
        <v>271</v>
      </c>
      <c r="T83" s="8" t="s">
        <v>46</v>
      </c>
    </row>
    <row r="84" spans="1:20">
      <c r="A84" s="8" t="s">
        <v>272</v>
      </c>
      <c r="B84" s="17">
        <v>1</v>
      </c>
      <c r="C84" s="8" t="s">
        <v>85</v>
      </c>
      <c r="D84" s="14">
        <v>3</v>
      </c>
      <c r="E84" s="8" t="s">
        <v>50</v>
      </c>
      <c r="F84" s="8">
        <v>0</v>
      </c>
      <c r="G84" s="8">
        <v>0</v>
      </c>
      <c r="H84" s="8">
        <v>2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16">
        <v>8.6999999999999993</v>
      </c>
      <c r="O84" s="8" t="s">
        <v>22</v>
      </c>
      <c r="P84" s="8" t="s">
        <v>53</v>
      </c>
      <c r="R84" s="8" t="s">
        <v>54</v>
      </c>
      <c r="S84" s="8" t="s">
        <v>273</v>
      </c>
      <c r="T84" s="8" t="s">
        <v>50</v>
      </c>
    </row>
  </sheetData>
  <conditionalFormatting sqref="F2:M8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N2:N83">
    <cfRule type="colorScale" priority="2">
      <colorScale>
        <cfvo type="min"/>
        <cfvo type="percentile" val="50"/>
        <cfvo type="max"/>
        <color rgb="FFFECACA"/>
        <color rgb="FFFEF3C7"/>
        <color rgb="FFBBF7D0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showGridLines="0" workbookViewId="0">
      <selection activeCell="H1" sqref="H1:H1048576"/>
    </sheetView>
  </sheetViews>
  <sheetFormatPr defaultRowHeight="14.25"/>
  <cols>
    <col min="1" max="1" width="7" style="8" customWidth="1"/>
    <col min="2" max="2" width="28" style="8" customWidth="1"/>
    <col min="3" max="3" width="8" style="8" customWidth="1"/>
    <col min="4" max="4" width="6" style="8" customWidth="1"/>
    <col min="5" max="5" width="8" style="8" customWidth="1"/>
    <col min="6" max="6" width="24" style="8" customWidth="1"/>
    <col min="7" max="7" width="10" style="8" customWidth="1"/>
    <col min="8" max="8" width="122.25" style="8" bestFit="1" customWidth="1"/>
    <col min="9" max="16384" width="9" style="8"/>
  </cols>
  <sheetData>
    <row r="1" spans="1:8" ht="30">
      <c r="A1" s="2" t="s">
        <v>19</v>
      </c>
      <c r="B1" s="2" t="s">
        <v>25</v>
      </c>
      <c r="C1" s="2" t="s">
        <v>38</v>
      </c>
      <c r="D1" s="2" t="s">
        <v>28</v>
      </c>
      <c r="E1" s="2" t="s">
        <v>29</v>
      </c>
      <c r="F1" s="2" t="s">
        <v>274</v>
      </c>
      <c r="G1" s="2" t="s">
        <v>39</v>
      </c>
      <c r="H1" s="15" t="s">
        <v>275</v>
      </c>
    </row>
    <row r="2" spans="1:8">
      <c r="A2" s="3" t="s">
        <v>21</v>
      </c>
      <c r="B2" s="3" t="s">
        <v>44</v>
      </c>
      <c r="C2" s="4">
        <v>10</v>
      </c>
      <c r="D2" s="3">
        <v>4</v>
      </c>
      <c r="E2" s="3" t="s">
        <v>46</v>
      </c>
      <c r="F2" s="3" t="s">
        <v>276</v>
      </c>
      <c r="G2" s="3" t="s">
        <v>47</v>
      </c>
      <c r="H2" s="8" t="s">
        <v>48</v>
      </c>
    </row>
    <row r="3" spans="1:8">
      <c r="A3" s="3" t="s">
        <v>21</v>
      </c>
      <c r="B3" s="3" t="s">
        <v>148</v>
      </c>
      <c r="C3" s="4">
        <v>9.6999999999999993</v>
      </c>
      <c r="D3" s="3">
        <v>2</v>
      </c>
      <c r="E3" s="3" t="s">
        <v>50</v>
      </c>
      <c r="F3" s="3" t="s">
        <v>277</v>
      </c>
      <c r="G3" s="3" t="s">
        <v>53</v>
      </c>
      <c r="H3" s="8" t="s">
        <v>149</v>
      </c>
    </row>
    <row r="4" spans="1:8">
      <c r="A4" s="3" t="s">
        <v>21</v>
      </c>
      <c r="B4" s="3" t="s">
        <v>223</v>
      </c>
      <c r="C4" s="4">
        <v>9.6999999999999993</v>
      </c>
      <c r="D4" s="3">
        <v>1</v>
      </c>
      <c r="E4" s="3" t="s">
        <v>50</v>
      </c>
      <c r="F4" s="3" t="s">
        <v>30</v>
      </c>
      <c r="G4" s="3" t="s">
        <v>53</v>
      </c>
      <c r="H4" s="8" t="s">
        <v>278</v>
      </c>
    </row>
    <row r="5" spans="1:8">
      <c r="A5" s="3" t="s">
        <v>21</v>
      </c>
      <c r="B5" s="3" t="s">
        <v>144</v>
      </c>
      <c r="C5" s="4">
        <v>9.6</v>
      </c>
      <c r="D5" s="3">
        <v>1</v>
      </c>
      <c r="E5" s="3" t="s">
        <v>50</v>
      </c>
      <c r="F5" s="3" t="s">
        <v>279</v>
      </c>
      <c r="G5" s="3" t="s">
        <v>53</v>
      </c>
      <c r="H5" s="8" t="s">
        <v>146</v>
      </c>
    </row>
    <row r="6" spans="1:8">
      <c r="A6" s="3" t="s">
        <v>21</v>
      </c>
      <c r="B6" s="3" t="s">
        <v>203</v>
      </c>
      <c r="C6" s="4">
        <v>9.6</v>
      </c>
      <c r="D6" s="3">
        <v>3</v>
      </c>
      <c r="E6" s="3" t="s">
        <v>50</v>
      </c>
      <c r="F6" s="3" t="s">
        <v>279</v>
      </c>
      <c r="G6" s="3" t="s">
        <v>53</v>
      </c>
      <c r="H6" s="8" t="s">
        <v>205</v>
      </c>
    </row>
    <row r="7" spans="1:8">
      <c r="A7" s="3" t="s">
        <v>21</v>
      </c>
      <c r="B7" s="3" t="s">
        <v>213</v>
      </c>
      <c r="C7" s="4">
        <v>9.6</v>
      </c>
      <c r="D7" s="3">
        <v>2</v>
      </c>
      <c r="E7" s="3" t="s">
        <v>50</v>
      </c>
      <c r="F7" s="3" t="s">
        <v>279</v>
      </c>
      <c r="G7" s="3" t="s">
        <v>53</v>
      </c>
      <c r="H7" s="8" t="s">
        <v>214</v>
      </c>
    </row>
    <row r="8" spans="1:8">
      <c r="A8" s="3" t="s">
        <v>21</v>
      </c>
      <c r="B8" s="3" t="s">
        <v>133</v>
      </c>
      <c r="C8" s="4">
        <v>9.5</v>
      </c>
      <c r="D8" s="3">
        <v>3</v>
      </c>
      <c r="E8" s="3" t="s">
        <v>50</v>
      </c>
      <c r="F8" s="3" t="s">
        <v>30</v>
      </c>
      <c r="G8" s="3" t="s">
        <v>53</v>
      </c>
      <c r="H8" s="8" t="s">
        <v>278</v>
      </c>
    </row>
    <row r="9" spans="1:8">
      <c r="A9" s="3" t="s">
        <v>21</v>
      </c>
      <c r="B9" s="3" t="s">
        <v>257</v>
      </c>
      <c r="C9" s="4">
        <v>9.5</v>
      </c>
      <c r="D9" s="3">
        <v>3</v>
      </c>
      <c r="E9" s="3" t="s">
        <v>50</v>
      </c>
      <c r="F9" s="3" t="s">
        <v>279</v>
      </c>
      <c r="G9" s="3" t="s">
        <v>53</v>
      </c>
      <c r="H9" s="8" t="s">
        <v>259</v>
      </c>
    </row>
    <row r="10" spans="1:8">
      <c r="A10" s="3" t="s">
        <v>22</v>
      </c>
      <c r="B10" s="3" t="s">
        <v>235</v>
      </c>
      <c r="C10" s="4">
        <v>9.4</v>
      </c>
      <c r="D10" s="3">
        <v>3</v>
      </c>
      <c r="E10" s="3" t="s">
        <v>50</v>
      </c>
      <c r="F10" s="3" t="s">
        <v>279</v>
      </c>
      <c r="G10" s="3" t="s">
        <v>53</v>
      </c>
      <c r="H10" s="8" t="s">
        <v>278</v>
      </c>
    </row>
    <row r="11" spans="1:8">
      <c r="A11" s="3" t="s">
        <v>22</v>
      </c>
      <c r="B11" s="3" t="s">
        <v>106</v>
      </c>
      <c r="C11" s="4">
        <v>9.3000000000000007</v>
      </c>
      <c r="D11" s="3">
        <v>4</v>
      </c>
      <c r="E11" s="3" t="s">
        <v>50</v>
      </c>
      <c r="F11" s="3" t="s">
        <v>279</v>
      </c>
      <c r="G11" s="3" t="s">
        <v>53</v>
      </c>
      <c r="H11" s="8" t="s">
        <v>278</v>
      </c>
    </row>
    <row r="12" spans="1:8">
      <c r="A12" s="3" t="s">
        <v>22</v>
      </c>
      <c r="B12" s="3" t="s">
        <v>255</v>
      </c>
      <c r="C12" s="4">
        <v>9.3000000000000007</v>
      </c>
      <c r="D12" s="3">
        <v>3</v>
      </c>
      <c r="E12" s="3" t="s">
        <v>50</v>
      </c>
      <c r="F12" s="3" t="s">
        <v>279</v>
      </c>
      <c r="G12" s="3" t="s">
        <v>53</v>
      </c>
      <c r="H12" s="8" t="s">
        <v>278</v>
      </c>
    </row>
    <row r="13" spans="1:8">
      <c r="A13" s="3" t="s">
        <v>22</v>
      </c>
      <c r="B13" s="3" t="s">
        <v>77</v>
      </c>
      <c r="C13" s="4">
        <v>9.1999999999999993</v>
      </c>
      <c r="D13" s="3">
        <v>1</v>
      </c>
      <c r="E13" s="3" t="s">
        <v>50</v>
      </c>
      <c r="F13" s="3"/>
      <c r="G13" s="3" t="s">
        <v>53</v>
      </c>
      <c r="H13" s="8" t="s">
        <v>79</v>
      </c>
    </row>
    <row r="14" spans="1:8">
      <c r="A14" s="3" t="s">
        <v>22</v>
      </c>
      <c r="B14" s="3" t="s">
        <v>84</v>
      </c>
      <c r="C14" s="4">
        <v>9.1999999999999993</v>
      </c>
      <c r="D14" s="3">
        <v>4</v>
      </c>
      <c r="E14" s="3" t="s">
        <v>50</v>
      </c>
      <c r="F14" s="3" t="s">
        <v>277</v>
      </c>
      <c r="G14" s="3" t="s">
        <v>53</v>
      </c>
      <c r="H14" s="8" t="s">
        <v>278</v>
      </c>
    </row>
    <row r="15" spans="1:8">
      <c r="A15" s="3" t="s">
        <v>22</v>
      </c>
      <c r="B15" s="3" t="s">
        <v>119</v>
      </c>
      <c r="C15" s="4">
        <v>9.1999999999999993</v>
      </c>
      <c r="D15" s="3">
        <v>3</v>
      </c>
      <c r="E15" s="3" t="s">
        <v>50</v>
      </c>
      <c r="F15" s="3" t="s">
        <v>279</v>
      </c>
      <c r="G15" s="3" t="s">
        <v>53</v>
      </c>
      <c r="H15" s="8" t="s">
        <v>278</v>
      </c>
    </row>
    <row r="16" spans="1:8">
      <c r="A16" s="3" t="s">
        <v>22</v>
      </c>
      <c r="B16" s="3" t="s">
        <v>126</v>
      </c>
      <c r="C16" s="4">
        <v>9.1999999999999993</v>
      </c>
      <c r="D16" s="3">
        <v>2</v>
      </c>
      <c r="E16" s="3" t="s">
        <v>46</v>
      </c>
      <c r="F16" s="3" t="s">
        <v>280</v>
      </c>
      <c r="G16" s="3" t="s">
        <v>53</v>
      </c>
      <c r="H16" s="8" t="s">
        <v>278</v>
      </c>
    </row>
    <row r="17" spans="1:8">
      <c r="A17" s="3" t="s">
        <v>22</v>
      </c>
      <c r="B17" s="3" t="s">
        <v>128</v>
      </c>
      <c r="C17" s="4">
        <v>9.1999999999999993</v>
      </c>
      <c r="D17" s="3">
        <v>2</v>
      </c>
      <c r="E17" s="3" t="s">
        <v>50</v>
      </c>
      <c r="F17" s="3" t="s">
        <v>277</v>
      </c>
      <c r="G17" s="3" t="s">
        <v>53</v>
      </c>
      <c r="H17" s="8" t="s">
        <v>278</v>
      </c>
    </row>
    <row r="18" spans="1:8">
      <c r="A18" s="3" t="s">
        <v>22</v>
      </c>
      <c r="B18" s="3" t="s">
        <v>162</v>
      </c>
      <c r="C18" s="4">
        <v>9.1999999999999993</v>
      </c>
      <c r="D18" s="3">
        <v>4</v>
      </c>
      <c r="E18" s="3" t="s">
        <v>50</v>
      </c>
      <c r="F18" s="3" t="s">
        <v>279</v>
      </c>
      <c r="G18" s="3" t="s">
        <v>53</v>
      </c>
      <c r="H18" s="8" t="s">
        <v>278</v>
      </c>
    </row>
    <row r="19" spans="1:8">
      <c r="A19" s="3" t="s">
        <v>22</v>
      </c>
      <c r="B19" s="3" t="s">
        <v>164</v>
      </c>
      <c r="C19" s="4">
        <v>9.1999999999999993</v>
      </c>
      <c r="D19" s="3">
        <v>4</v>
      </c>
      <c r="E19" s="3" t="s">
        <v>50</v>
      </c>
      <c r="F19" s="3" t="s">
        <v>32</v>
      </c>
      <c r="G19" s="3" t="s">
        <v>53</v>
      </c>
      <c r="H19" s="8" t="s">
        <v>165</v>
      </c>
    </row>
    <row r="20" spans="1:8">
      <c r="A20" s="3" t="s">
        <v>22</v>
      </c>
      <c r="B20" s="3" t="s">
        <v>186</v>
      </c>
      <c r="C20" s="4">
        <v>9.1999999999999993</v>
      </c>
      <c r="D20" s="3">
        <v>4</v>
      </c>
      <c r="E20" s="3" t="s">
        <v>50</v>
      </c>
      <c r="F20" s="3" t="s">
        <v>279</v>
      </c>
      <c r="G20" s="3" t="s">
        <v>53</v>
      </c>
      <c r="H20" s="8" t="s">
        <v>278</v>
      </c>
    </row>
    <row r="21" spans="1:8">
      <c r="A21" s="3" t="s">
        <v>22</v>
      </c>
      <c r="B21" s="3" t="s">
        <v>196</v>
      </c>
      <c r="C21" s="4">
        <v>9.1999999999999993</v>
      </c>
      <c r="D21" s="3">
        <v>2</v>
      </c>
      <c r="E21" s="3" t="s">
        <v>50</v>
      </c>
      <c r="F21" s="3" t="s">
        <v>32</v>
      </c>
      <c r="G21" s="3" t="s">
        <v>53</v>
      </c>
      <c r="H21" s="8" t="s">
        <v>278</v>
      </c>
    </row>
    <row r="22" spans="1:8">
      <c r="A22" s="3" t="s">
        <v>22</v>
      </c>
      <c r="B22" s="3" t="s">
        <v>200</v>
      </c>
      <c r="C22" s="4">
        <v>9.1999999999999993</v>
      </c>
      <c r="D22" s="3">
        <v>3</v>
      </c>
      <c r="E22" s="3" t="s">
        <v>50</v>
      </c>
      <c r="F22" s="3" t="s">
        <v>279</v>
      </c>
      <c r="G22" s="3" t="s">
        <v>53</v>
      </c>
      <c r="H22" s="8" t="s">
        <v>278</v>
      </c>
    </row>
    <row r="23" spans="1:8">
      <c r="A23" s="3" t="s">
        <v>22</v>
      </c>
      <c r="B23" s="3" t="s">
        <v>175</v>
      </c>
      <c r="C23" s="4">
        <v>9.1</v>
      </c>
      <c r="D23" s="3">
        <v>4</v>
      </c>
      <c r="E23" s="3" t="s">
        <v>50</v>
      </c>
      <c r="F23" s="3" t="s">
        <v>279</v>
      </c>
      <c r="G23" s="3" t="s">
        <v>53</v>
      </c>
      <c r="H23" s="8" t="s">
        <v>278</v>
      </c>
    </row>
    <row r="24" spans="1:8">
      <c r="A24" s="3" t="s">
        <v>22</v>
      </c>
      <c r="B24" s="3" t="s">
        <v>198</v>
      </c>
      <c r="C24" s="4">
        <v>9.1</v>
      </c>
      <c r="D24" s="3">
        <v>4</v>
      </c>
      <c r="E24" s="3" t="s">
        <v>46</v>
      </c>
      <c r="F24" s="3" t="s">
        <v>280</v>
      </c>
      <c r="G24" s="3" t="s">
        <v>53</v>
      </c>
      <c r="H24" s="8" t="s">
        <v>278</v>
      </c>
    </row>
    <row r="25" spans="1:8">
      <c r="A25" s="3" t="s">
        <v>22</v>
      </c>
      <c r="B25" s="3" t="s">
        <v>220</v>
      </c>
      <c r="C25" s="4">
        <v>9.1</v>
      </c>
      <c r="D25" s="3">
        <v>3</v>
      </c>
      <c r="E25" s="3" t="s">
        <v>50</v>
      </c>
      <c r="F25" s="3" t="s">
        <v>279</v>
      </c>
      <c r="G25" s="3" t="s">
        <v>53</v>
      </c>
      <c r="H25" s="8" t="s">
        <v>278</v>
      </c>
    </row>
    <row r="26" spans="1:8">
      <c r="A26" s="3" t="s">
        <v>22</v>
      </c>
      <c r="B26" s="3" t="s">
        <v>90</v>
      </c>
      <c r="C26" s="4">
        <v>9</v>
      </c>
      <c r="D26" s="3">
        <v>3</v>
      </c>
      <c r="E26" s="3" t="s">
        <v>50</v>
      </c>
      <c r="F26" s="3" t="s">
        <v>32</v>
      </c>
      <c r="G26" s="3" t="s">
        <v>53</v>
      </c>
      <c r="H26" s="8" t="s">
        <v>278</v>
      </c>
    </row>
    <row r="27" spans="1:8">
      <c r="A27" s="3" t="s">
        <v>22</v>
      </c>
      <c r="B27" s="3" t="s">
        <v>92</v>
      </c>
      <c r="C27" s="4">
        <v>9</v>
      </c>
      <c r="D27" s="3">
        <v>0</v>
      </c>
      <c r="E27" s="3" t="s">
        <v>50</v>
      </c>
      <c r="F27" s="3"/>
      <c r="G27" s="3" t="s">
        <v>53</v>
      </c>
      <c r="H27" s="8" t="s">
        <v>278</v>
      </c>
    </row>
    <row r="28" spans="1:8">
      <c r="A28" s="3" t="s">
        <v>22</v>
      </c>
      <c r="B28" s="3" t="s">
        <v>160</v>
      </c>
      <c r="C28" s="4">
        <v>9</v>
      </c>
      <c r="D28" s="3">
        <v>1</v>
      </c>
      <c r="E28" s="3" t="s">
        <v>50</v>
      </c>
      <c r="F28" s="3" t="s">
        <v>281</v>
      </c>
      <c r="G28" s="3" t="s">
        <v>53</v>
      </c>
      <c r="H28" s="8" t="s">
        <v>278</v>
      </c>
    </row>
    <row r="29" spans="1:8">
      <c r="A29" s="3" t="s">
        <v>22</v>
      </c>
      <c r="B29" s="3" t="s">
        <v>249</v>
      </c>
      <c r="C29" s="4">
        <v>9</v>
      </c>
      <c r="D29" s="3">
        <v>6</v>
      </c>
      <c r="E29" s="3" t="s">
        <v>50</v>
      </c>
      <c r="F29" s="3" t="s">
        <v>279</v>
      </c>
      <c r="G29" s="3" t="s">
        <v>53</v>
      </c>
      <c r="H29" s="8" t="s">
        <v>278</v>
      </c>
    </row>
    <row r="30" spans="1:8">
      <c r="A30" s="3" t="s">
        <v>22</v>
      </c>
      <c r="B30" s="3" t="s">
        <v>139</v>
      </c>
      <c r="C30" s="4">
        <v>8.8000000000000007</v>
      </c>
      <c r="D30" s="3">
        <v>4</v>
      </c>
      <c r="E30" s="3" t="s">
        <v>46</v>
      </c>
      <c r="F30" s="3" t="s">
        <v>282</v>
      </c>
      <c r="G30" s="3" t="s">
        <v>53</v>
      </c>
      <c r="H30" s="8" t="s">
        <v>278</v>
      </c>
    </row>
    <row r="31" spans="1:8">
      <c r="A31" s="3" t="s">
        <v>22</v>
      </c>
      <c r="B31" s="3" t="s">
        <v>142</v>
      </c>
      <c r="C31" s="4">
        <v>8.8000000000000007</v>
      </c>
      <c r="D31" s="3">
        <v>2</v>
      </c>
      <c r="E31" s="3" t="s">
        <v>50</v>
      </c>
      <c r="F31" s="3" t="s">
        <v>281</v>
      </c>
      <c r="G31" s="3" t="s">
        <v>53</v>
      </c>
      <c r="H31" s="8" t="s">
        <v>278</v>
      </c>
    </row>
    <row r="32" spans="1:8">
      <c r="A32" s="3" t="s">
        <v>22</v>
      </c>
      <c r="B32" s="3" t="s">
        <v>157</v>
      </c>
      <c r="C32" s="4">
        <v>8.8000000000000007</v>
      </c>
      <c r="D32" s="3">
        <v>2</v>
      </c>
      <c r="E32" s="3" t="s">
        <v>50</v>
      </c>
      <c r="F32" s="3" t="s">
        <v>279</v>
      </c>
      <c r="G32" s="3" t="s">
        <v>53</v>
      </c>
      <c r="H32" s="8" t="s">
        <v>278</v>
      </c>
    </row>
    <row r="33" spans="1:8">
      <c r="A33" s="3" t="s">
        <v>22</v>
      </c>
      <c r="B33" s="3" t="s">
        <v>173</v>
      </c>
      <c r="C33" s="4">
        <v>8.8000000000000007</v>
      </c>
      <c r="D33" s="3">
        <v>2</v>
      </c>
      <c r="E33" s="3" t="s">
        <v>50</v>
      </c>
      <c r="F33" s="3"/>
      <c r="G33" s="3" t="s">
        <v>53</v>
      </c>
      <c r="H33" s="8" t="s">
        <v>278</v>
      </c>
    </row>
    <row r="34" spans="1:8">
      <c r="A34" s="3" t="s">
        <v>22</v>
      </c>
      <c r="B34" s="3" t="s">
        <v>233</v>
      </c>
      <c r="C34" s="4">
        <v>8.8000000000000007</v>
      </c>
      <c r="D34" s="3">
        <v>4</v>
      </c>
      <c r="E34" s="3" t="s">
        <v>50</v>
      </c>
      <c r="F34" s="3" t="s">
        <v>279</v>
      </c>
      <c r="G34" s="3" t="s">
        <v>53</v>
      </c>
      <c r="H34" s="8" t="s">
        <v>278</v>
      </c>
    </row>
    <row r="35" spans="1:8">
      <c r="A35" s="3" t="s">
        <v>22</v>
      </c>
      <c r="B35" s="3" t="s">
        <v>264</v>
      </c>
      <c r="C35" s="4">
        <v>8.6999999999999993</v>
      </c>
      <c r="D35" s="3">
        <v>2</v>
      </c>
      <c r="E35" s="3" t="s">
        <v>50</v>
      </c>
      <c r="F35" s="3" t="s">
        <v>32</v>
      </c>
      <c r="G35" s="3" t="s">
        <v>53</v>
      </c>
      <c r="H35" s="8" t="s">
        <v>278</v>
      </c>
    </row>
    <row r="36" spans="1:8">
      <c r="A36" s="3" t="s">
        <v>22</v>
      </c>
      <c r="B36" s="3" t="s">
        <v>270</v>
      </c>
      <c r="C36" s="4">
        <v>8.6999999999999993</v>
      </c>
      <c r="D36" s="3">
        <v>0</v>
      </c>
      <c r="E36" s="3" t="s">
        <v>50</v>
      </c>
      <c r="F36" s="3"/>
      <c r="G36" s="3" t="s">
        <v>53</v>
      </c>
      <c r="H36" s="8" t="s">
        <v>278</v>
      </c>
    </row>
    <row r="37" spans="1:8">
      <c r="A37" s="3" t="s">
        <v>22</v>
      </c>
      <c r="B37" s="3" t="s">
        <v>272</v>
      </c>
      <c r="C37" s="4">
        <v>8.6999999999999993</v>
      </c>
      <c r="D37" s="3">
        <v>3</v>
      </c>
      <c r="E37" s="3" t="s">
        <v>50</v>
      </c>
      <c r="F37" s="3" t="s">
        <v>32</v>
      </c>
      <c r="G37" s="3" t="s">
        <v>53</v>
      </c>
      <c r="H37" s="8" t="s">
        <v>278</v>
      </c>
    </row>
    <row r="38" spans="1:8">
      <c r="A38" s="3" t="s">
        <v>22</v>
      </c>
      <c r="B38" s="3" t="s">
        <v>69</v>
      </c>
      <c r="C38" s="4">
        <v>8.5</v>
      </c>
      <c r="D38" s="3">
        <v>9</v>
      </c>
      <c r="E38" s="3" t="s">
        <v>50</v>
      </c>
      <c r="F38" s="3" t="s">
        <v>32</v>
      </c>
      <c r="G38" s="3" t="s">
        <v>53</v>
      </c>
      <c r="H38" s="8" t="s">
        <v>278</v>
      </c>
    </row>
    <row r="39" spans="1:8">
      <c r="A39" s="3" t="s">
        <v>22</v>
      </c>
      <c r="B39" s="3" t="s">
        <v>81</v>
      </c>
      <c r="C39" s="4">
        <v>8.5</v>
      </c>
      <c r="D39" s="3">
        <v>4</v>
      </c>
      <c r="E39" s="3" t="s">
        <v>46</v>
      </c>
      <c r="F39" s="3" t="s">
        <v>282</v>
      </c>
      <c r="G39" s="3" t="s">
        <v>53</v>
      </c>
      <c r="H39" s="8" t="s">
        <v>278</v>
      </c>
    </row>
    <row r="40" spans="1:8">
      <c r="A40" s="3" t="s">
        <v>22</v>
      </c>
      <c r="B40" s="3" t="s">
        <v>98</v>
      </c>
      <c r="C40" s="4">
        <v>8.5</v>
      </c>
      <c r="D40" s="3">
        <v>2</v>
      </c>
      <c r="E40" s="3" t="s">
        <v>50</v>
      </c>
      <c r="F40" s="3"/>
      <c r="G40" s="3" t="s">
        <v>53</v>
      </c>
      <c r="H40" s="8" t="s">
        <v>278</v>
      </c>
    </row>
    <row r="41" spans="1:8">
      <c r="A41" s="3" t="s">
        <v>22</v>
      </c>
      <c r="B41" s="3" t="s">
        <v>104</v>
      </c>
      <c r="C41" s="4">
        <v>8.5</v>
      </c>
      <c r="D41" s="3">
        <v>0</v>
      </c>
      <c r="E41" s="3" t="s">
        <v>50</v>
      </c>
      <c r="F41" s="3"/>
      <c r="G41" s="3" t="s">
        <v>53</v>
      </c>
      <c r="H41" s="8" t="s">
        <v>278</v>
      </c>
    </row>
    <row r="42" spans="1:8">
      <c r="A42" s="3" t="s">
        <v>22</v>
      </c>
      <c r="B42" s="3" t="s">
        <v>109</v>
      </c>
      <c r="C42" s="4">
        <v>8.5</v>
      </c>
      <c r="D42" s="3">
        <v>2</v>
      </c>
      <c r="E42" s="3" t="s">
        <v>50</v>
      </c>
      <c r="F42" s="3" t="s">
        <v>32</v>
      </c>
      <c r="G42" s="3" t="s">
        <v>53</v>
      </c>
      <c r="H42" s="8" t="s">
        <v>278</v>
      </c>
    </row>
    <row r="43" spans="1:8">
      <c r="A43" s="3" t="s">
        <v>23</v>
      </c>
      <c r="B43" s="3" t="s">
        <v>216</v>
      </c>
      <c r="C43" s="4">
        <v>8.4</v>
      </c>
      <c r="D43" s="3">
        <v>2</v>
      </c>
      <c r="E43" s="3" t="s">
        <v>46</v>
      </c>
      <c r="F43" s="3" t="s">
        <v>280</v>
      </c>
      <c r="G43" s="3" t="s">
        <v>53</v>
      </c>
      <c r="H43" s="8" t="s">
        <v>278</v>
      </c>
    </row>
    <row r="44" spans="1:8">
      <c r="A44" s="3" t="s">
        <v>23</v>
      </c>
      <c r="B44" s="3" t="s">
        <v>261</v>
      </c>
      <c r="C44" s="4">
        <v>8.4</v>
      </c>
      <c r="D44" s="3">
        <v>4</v>
      </c>
      <c r="E44" s="3" t="s">
        <v>50</v>
      </c>
      <c r="F44" s="3"/>
      <c r="G44" s="3" t="s">
        <v>53</v>
      </c>
      <c r="H44" s="8" t="s">
        <v>278</v>
      </c>
    </row>
    <row r="45" spans="1:8">
      <c r="A45" s="3" t="s">
        <v>23</v>
      </c>
      <c r="B45" s="3" t="s">
        <v>225</v>
      </c>
      <c r="C45" s="4">
        <v>8.3000000000000007</v>
      </c>
      <c r="D45" s="3">
        <v>6</v>
      </c>
      <c r="E45" s="3" t="s">
        <v>46</v>
      </c>
      <c r="F45" s="3" t="s">
        <v>282</v>
      </c>
      <c r="G45" s="3" t="s">
        <v>53</v>
      </c>
      <c r="H45" s="8" t="s">
        <v>278</v>
      </c>
    </row>
    <row r="46" spans="1:8">
      <c r="A46" s="3" t="s">
        <v>23</v>
      </c>
      <c r="B46" s="3" t="s">
        <v>167</v>
      </c>
      <c r="C46" s="4">
        <v>8.1999999999999993</v>
      </c>
      <c r="D46" s="3">
        <v>6</v>
      </c>
      <c r="E46" s="3" t="s">
        <v>50</v>
      </c>
      <c r="F46" s="3" t="s">
        <v>32</v>
      </c>
      <c r="G46" s="3" t="s">
        <v>62</v>
      </c>
      <c r="H46" s="8" t="s">
        <v>169</v>
      </c>
    </row>
    <row r="47" spans="1:8">
      <c r="A47" s="3" t="s">
        <v>23</v>
      </c>
      <c r="B47" s="3" t="s">
        <v>171</v>
      </c>
      <c r="C47" s="4">
        <v>8.1999999999999993</v>
      </c>
      <c r="D47" s="3">
        <v>5</v>
      </c>
      <c r="E47" s="3" t="s">
        <v>46</v>
      </c>
      <c r="F47" s="3" t="s">
        <v>280</v>
      </c>
      <c r="G47" s="3" t="s">
        <v>53</v>
      </c>
      <c r="H47" s="8" t="s">
        <v>278</v>
      </c>
    </row>
    <row r="48" spans="1:8">
      <c r="A48" s="3" t="s">
        <v>23</v>
      </c>
      <c r="B48" s="3" t="s">
        <v>207</v>
      </c>
      <c r="C48" s="4">
        <v>8.1999999999999993</v>
      </c>
      <c r="D48" s="3">
        <v>1</v>
      </c>
      <c r="E48" s="3" t="s">
        <v>50</v>
      </c>
      <c r="F48" s="3" t="s">
        <v>277</v>
      </c>
      <c r="G48" s="3" t="s">
        <v>53</v>
      </c>
      <c r="H48" s="8" t="s">
        <v>278</v>
      </c>
    </row>
    <row r="49" spans="1:8">
      <c r="A49" s="3" t="s">
        <v>23</v>
      </c>
      <c r="B49" s="3" t="s">
        <v>211</v>
      </c>
      <c r="C49" s="4">
        <v>8.1999999999999993</v>
      </c>
      <c r="D49" s="3">
        <v>3</v>
      </c>
      <c r="E49" s="3" t="s">
        <v>50</v>
      </c>
      <c r="F49" s="3" t="s">
        <v>277</v>
      </c>
      <c r="G49" s="3" t="s">
        <v>53</v>
      </c>
      <c r="H49" s="8" t="s">
        <v>278</v>
      </c>
    </row>
    <row r="50" spans="1:8">
      <c r="A50" s="3" t="s">
        <v>23</v>
      </c>
      <c r="B50" s="3" t="s">
        <v>218</v>
      </c>
      <c r="C50" s="4">
        <v>8.1999999999999993</v>
      </c>
      <c r="D50" s="3">
        <v>5</v>
      </c>
      <c r="E50" s="3" t="s">
        <v>50</v>
      </c>
      <c r="F50" s="3" t="s">
        <v>32</v>
      </c>
      <c r="G50" s="3" t="s">
        <v>53</v>
      </c>
      <c r="H50" s="8" t="s">
        <v>278</v>
      </c>
    </row>
    <row r="51" spans="1:8">
      <c r="A51" s="3" t="s">
        <v>23</v>
      </c>
      <c r="B51" s="3" t="s">
        <v>244</v>
      </c>
      <c r="C51" s="4">
        <v>8.1999999999999993</v>
      </c>
      <c r="D51" s="3">
        <v>2</v>
      </c>
      <c r="E51" s="3" t="s">
        <v>50</v>
      </c>
      <c r="F51" s="3" t="s">
        <v>30</v>
      </c>
      <c r="G51" s="3" t="s">
        <v>53</v>
      </c>
      <c r="H51" s="8" t="s">
        <v>278</v>
      </c>
    </row>
    <row r="52" spans="1:8">
      <c r="A52" s="3" t="s">
        <v>23</v>
      </c>
      <c r="B52" s="3" t="s">
        <v>56</v>
      </c>
      <c r="C52" s="4">
        <v>8</v>
      </c>
      <c r="D52" s="3">
        <v>0</v>
      </c>
      <c r="E52" s="3" t="s">
        <v>50</v>
      </c>
      <c r="F52" s="3"/>
      <c r="G52" s="3" t="s">
        <v>53</v>
      </c>
      <c r="H52" s="8" t="s">
        <v>278</v>
      </c>
    </row>
    <row r="53" spans="1:8">
      <c r="A53" s="3" t="s">
        <v>23</v>
      </c>
      <c r="B53" s="3" t="s">
        <v>75</v>
      </c>
      <c r="C53" s="4">
        <v>8</v>
      </c>
      <c r="D53" s="3">
        <v>0</v>
      </c>
      <c r="E53" s="3" t="s">
        <v>50</v>
      </c>
      <c r="F53" s="3"/>
      <c r="G53" s="3" t="s">
        <v>53</v>
      </c>
      <c r="H53" s="8" t="s">
        <v>278</v>
      </c>
    </row>
    <row r="54" spans="1:8">
      <c r="A54" s="3" t="s">
        <v>23</v>
      </c>
      <c r="B54" s="3" t="s">
        <v>100</v>
      </c>
      <c r="C54" s="4">
        <v>8</v>
      </c>
      <c r="D54" s="3">
        <v>4</v>
      </c>
      <c r="E54" s="3" t="s">
        <v>50</v>
      </c>
      <c r="F54" s="3" t="s">
        <v>283</v>
      </c>
      <c r="G54" s="3" t="s">
        <v>53</v>
      </c>
      <c r="H54" s="8" t="s">
        <v>278</v>
      </c>
    </row>
    <row r="55" spans="1:8">
      <c r="A55" s="3" t="s">
        <v>23</v>
      </c>
      <c r="B55" s="3" t="s">
        <v>102</v>
      </c>
      <c r="C55" s="4">
        <v>8</v>
      </c>
      <c r="D55" s="3">
        <v>0</v>
      </c>
      <c r="E55" s="3" t="s">
        <v>50</v>
      </c>
      <c r="F55" s="3"/>
      <c r="G55" s="3" t="s">
        <v>53</v>
      </c>
      <c r="H55" s="8" t="s">
        <v>278</v>
      </c>
    </row>
    <row r="56" spans="1:8">
      <c r="A56" s="3" t="s">
        <v>23</v>
      </c>
      <c r="B56" s="3" t="s">
        <v>151</v>
      </c>
      <c r="C56" s="4">
        <v>8</v>
      </c>
      <c r="D56" s="3">
        <v>5</v>
      </c>
      <c r="E56" s="3" t="s">
        <v>50</v>
      </c>
      <c r="F56" s="3" t="s">
        <v>31</v>
      </c>
      <c r="G56" s="3" t="s">
        <v>53</v>
      </c>
      <c r="H56" s="8" t="s">
        <v>278</v>
      </c>
    </row>
    <row r="57" spans="1:8">
      <c r="A57" s="3" t="s">
        <v>23</v>
      </c>
      <c r="B57" s="3" t="s">
        <v>178</v>
      </c>
      <c r="C57" s="4">
        <v>8</v>
      </c>
      <c r="D57" s="3">
        <v>0</v>
      </c>
      <c r="E57" s="3" t="s">
        <v>50</v>
      </c>
      <c r="F57" s="3"/>
      <c r="G57" s="3" t="s">
        <v>53</v>
      </c>
      <c r="H57" s="8" t="s">
        <v>278</v>
      </c>
    </row>
    <row r="58" spans="1:8">
      <c r="A58" s="3" t="s">
        <v>23</v>
      </c>
      <c r="B58" s="3" t="s">
        <v>189</v>
      </c>
      <c r="C58" s="4">
        <v>8</v>
      </c>
      <c r="D58" s="3">
        <v>3</v>
      </c>
      <c r="E58" s="3" t="s">
        <v>50</v>
      </c>
      <c r="F58" s="3"/>
      <c r="G58" s="3" t="s">
        <v>53</v>
      </c>
      <c r="H58" s="8" t="s">
        <v>278</v>
      </c>
    </row>
    <row r="59" spans="1:8">
      <c r="A59" s="3" t="s">
        <v>23</v>
      </c>
      <c r="B59" s="3" t="s">
        <v>227</v>
      </c>
      <c r="C59" s="4">
        <v>8</v>
      </c>
      <c r="D59" s="3">
        <v>1</v>
      </c>
      <c r="E59" s="3" t="s">
        <v>50</v>
      </c>
      <c r="F59" s="3"/>
      <c r="G59" s="3" t="s">
        <v>53</v>
      </c>
      <c r="H59" s="8" t="s">
        <v>278</v>
      </c>
    </row>
    <row r="60" spans="1:8">
      <c r="A60" s="3" t="s">
        <v>23</v>
      </c>
      <c r="B60" s="3" t="s">
        <v>237</v>
      </c>
      <c r="C60" s="4">
        <v>8</v>
      </c>
      <c r="D60" s="3">
        <v>0</v>
      </c>
      <c r="E60" s="3" t="s">
        <v>50</v>
      </c>
      <c r="F60" s="3"/>
      <c r="G60" s="3" t="s">
        <v>53</v>
      </c>
      <c r="H60" s="8" t="s">
        <v>278</v>
      </c>
    </row>
    <row r="61" spans="1:8">
      <c r="A61" s="3" t="s">
        <v>23</v>
      </c>
      <c r="B61" s="3" t="s">
        <v>240</v>
      </c>
      <c r="C61" s="4">
        <v>8</v>
      </c>
      <c r="D61" s="3">
        <v>2</v>
      </c>
      <c r="E61" s="3" t="s">
        <v>50</v>
      </c>
      <c r="F61" s="3" t="s">
        <v>30</v>
      </c>
      <c r="G61" s="3" t="s">
        <v>53</v>
      </c>
      <c r="H61" s="8" t="s">
        <v>278</v>
      </c>
    </row>
    <row r="62" spans="1:8">
      <c r="A62" s="3" t="s">
        <v>23</v>
      </c>
      <c r="B62" s="3" t="s">
        <v>181</v>
      </c>
      <c r="C62" s="4">
        <v>7.8</v>
      </c>
      <c r="D62" s="3">
        <v>1</v>
      </c>
      <c r="E62" s="3" t="s">
        <v>50</v>
      </c>
      <c r="F62" s="3" t="s">
        <v>281</v>
      </c>
      <c r="G62" s="3" t="s">
        <v>53</v>
      </c>
      <c r="H62" s="8" t="s">
        <v>278</v>
      </c>
    </row>
    <row r="63" spans="1:8">
      <c r="A63" s="3" t="s">
        <v>23</v>
      </c>
      <c r="B63" s="3" t="s">
        <v>51</v>
      </c>
      <c r="C63" s="4">
        <v>7.5</v>
      </c>
      <c r="D63" s="3">
        <v>2</v>
      </c>
      <c r="E63" s="3" t="s">
        <v>50</v>
      </c>
      <c r="F63" s="3" t="s">
        <v>30</v>
      </c>
      <c r="G63" s="3" t="s">
        <v>53</v>
      </c>
      <c r="H63" s="8" t="s">
        <v>278</v>
      </c>
    </row>
    <row r="64" spans="1:8">
      <c r="A64" s="3" t="s">
        <v>23</v>
      </c>
      <c r="B64" s="3" t="s">
        <v>87</v>
      </c>
      <c r="C64" s="4">
        <v>7.5</v>
      </c>
      <c r="D64" s="3">
        <v>0</v>
      </c>
      <c r="E64" s="3" t="s">
        <v>50</v>
      </c>
      <c r="F64" s="3"/>
      <c r="G64" s="3" t="s">
        <v>53</v>
      </c>
      <c r="H64" s="8" t="s">
        <v>278</v>
      </c>
    </row>
    <row r="65" spans="1:8">
      <c r="A65" s="3" t="s">
        <v>23</v>
      </c>
      <c r="B65" s="3" t="s">
        <v>111</v>
      </c>
      <c r="C65" s="4">
        <v>7.5</v>
      </c>
      <c r="D65" s="3">
        <v>2</v>
      </c>
      <c r="E65" s="3" t="s">
        <v>50</v>
      </c>
      <c r="F65" s="3" t="s">
        <v>30</v>
      </c>
      <c r="G65" s="3" t="s">
        <v>53</v>
      </c>
      <c r="H65" s="8" t="s">
        <v>278</v>
      </c>
    </row>
    <row r="66" spans="1:8">
      <c r="A66" s="3" t="s">
        <v>23</v>
      </c>
      <c r="B66" s="3" t="s">
        <v>113</v>
      </c>
      <c r="C66" s="4">
        <v>7.5</v>
      </c>
      <c r="D66" s="3">
        <v>0</v>
      </c>
      <c r="E66" s="3" t="s">
        <v>50</v>
      </c>
      <c r="F66" s="3"/>
      <c r="G66" s="3" t="s">
        <v>53</v>
      </c>
      <c r="H66" s="8" t="s">
        <v>278</v>
      </c>
    </row>
    <row r="67" spans="1:8">
      <c r="A67" s="3" t="s">
        <v>23</v>
      </c>
      <c r="B67" s="3" t="s">
        <v>135</v>
      </c>
      <c r="C67" s="4">
        <v>7.5</v>
      </c>
      <c r="D67" s="3">
        <v>5</v>
      </c>
      <c r="E67" s="3" t="s">
        <v>50</v>
      </c>
      <c r="F67" s="3"/>
      <c r="G67" s="3" t="s">
        <v>62</v>
      </c>
      <c r="H67" s="8" t="s">
        <v>137</v>
      </c>
    </row>
    <row r="68" spans="1:8">
      <c r="A68" s="3" t="s">
        <v>23</v>
      </c>
      <c r="B68" s="3" t="s">
        <v>242</v>
      </c>
      <c r="C68" s="4">
        <v>7.5</v>
      </c>
      <c r="D68" s="3">
        <v>0</v>
      </c>
      <c r="E68" s="3" t="s">
        <v>50</v>
      </c>
      <c r="F68" s="3"/>
      <c r="G68" s="3" t="s">
        <v>53</v>
      </c>
      <c r="H68" s="8" t="s">
        <v>278</v>
      </c>
    </row>
    <row r="69" spans="1:8">
      <c r="A69" s="3" t="s">
        <v>24</v>
      </c>
      <c r="B69" s="3" t="s">
        <v>252</v>
      </c>
      <c r="C69" s="4">
        <v>7.4</v>
      </c>
      <c r="D69" s="3">
        <v>2</v>
      </c>
      <c r="E69" s="3" t="s">
        <v>50</v>
      </c>
      <c r="F69" s="3"/>
      <c r="G69" s="3" t="s">
        <v>53</v>
      </c>
      <c r="H69" s="8" t="s">
        <v>278</v>
      </c>
    </row>
    <row r="70" spans="1:8">
      <c r="A70" s="3" t="s">
        <v>24</v>
      </c>
      <c r="B70" s="3" t="s">
        <v>65</v>
      </c>
      <c r="C70" s="4">
        <v>7</v>
      </c>
      <c r="D70" s="3">
        <v>1</v>
      </c>
      <c r="E70" s="3" t="s">
        <v>50</v>
      </c>
      <c r="F70" s="3"/>
      <c r="G70" s="3" t="s">
        <v>62</v>
      </c>
      <c r="H70" s="8" t="s">
        <v>67</v>
      </c>
    </row>
    <row r="71" spans="1:8">
      <c r="A71" s="3" t="s">
        <v>24</v>
      </c>
      <c r="B71" s="3" t="s">
        <v>94</v>
      </c>
      <c r="C71" s="4">
        <v>7</v>
      </c>
      <c r="D71" s="3">
        <v>4</v>
      </c>
      <c r="E71" s="3" t="s">
        <v>50</v>
      </c>
      <c r="F71" s="3" t="s">
        <v>30</v>
      </c>
      <c r="G71" s="3" t="s">
        <v>62</v>
      </c>
      <c r="H71" s="8" t="s">
        <v>96</v>
      </c>
    </row>
    <row r="72" spans="1:8">
      <c r="A72" s="3" t="s">
        <v>24</v>
      </c>
      <c r="B72" s="3" t="s">
        <v>122</v>
      </c>
      <c r="C72" s="4">
        <v>7</v>
      </c>
      <c r="D72" s="3">
        <v>5</v>
      </c>
      <c r="E72" s="3" t="s">
        <v>50</v>
      </c>
      <c r="F72" s="3"/>
      <c r="G72" s="3" t="s">
        <v>62</v>
      </c>
      <c r="H72" s="8" t="s">
        <v>124</v>
      </c>
    </row>
    <row r="73" spans="1:8">
      <c r="A73" s="3" t="s">
        <v>24</v>
      </c>
      <c r="B73" s="3" t="s">
        <v>230</v>
      </c>
      <c r="C73" s="4">
        <v>7</v>
      </c>
      <c r="D73" s="3">
        <v>0</v>
      </c>
      <c r="E73" s="3" t="s">
        <v>50</v>
      </c>
      <c r="F73" s="3"/>
      <c r="G73" s="3" t="s">
        <v>62</v>
      </c>
      <c r="H73" s="8" t="s">
        <v>231</v>
      </c>
    </row>
    <row r="74" spans="1:8">
      <c r="A74" s="3" t="s">
        <v>24</v>
      </c>
      <c r="B74" s="3" t="s">
        <v>191</v>
      </c>
      <c r="C74" s="4">
        <v>6.8</v>
      </c>
      <c r="D74" s="3">
        <v>2</v>
      </c>
      <c r="E74" s="3" t="s">
        <v>50</v>
      </c>
      <c r="F74" s="3"/>
      <c r="G74" s="3" t="s">
        <v>62</v>
      </c>
      <c r="H74" s="8" t="s">
        <v>192</v>
      </c>
    </row>
    <row r="75" spans="1:8">
      <c r="A75" s="3" t="s">
        <v>24</v>
      </c>
      <c r="B75" s="3" t="s">
        <v>194</v>
      </c>
      <c r="C75" s="4">
        <v>6.8</v>
      </c>
      <c r="D75" s="3">
        <v>0</v>
      </c>
      <c r="E75" s="3" t="s">
        <v>50</v>
      </c>
      <c r="F75" s="3"/>
      <c r="G75" s="3" t="s">
        <v>53</v>
      </c>
      <c r="H75" s="8" t="s">
        <v>278</v>
      </c>
    </row>
    <row r="76" spans="1:8">
      <c r="A76" s="3" t="s">
        <v>24</v>
      </c>
      <c r="B76" s="3" t="s">
        <v>115</v>
      </c>
      <c r="C76" s="4">
        <v>6.5</v>
      </c>
      <c r="D76" s="3">
        <v>3</v>
      </c>
      <c r="E76" s="3" t="s">
        <v>50</v>
      </c>
      <c r="F76" s="3"/>
      <c r="G76" s="3" t="s">
        <v>62</v>
      </c>
      <c r="H76" s="8" t="s">
        <v>117</v>
      </c>
    </row>
    <row r="77" spans="1:8">
      <c r="A77" s="3" t="s">
        <v>24</v>
      </c>
      <c r="B77" s="3" t="s">
        <v>130</v>
      </c>
      <c r="C77" s="4">
        <v>6.5</v>
      </c>
      <c r="D77" s="3">
        <v>3</v>
      </c>
      <c r="E77" s="3" t="s">
        <v>50</v>
      </c>
      <c r="F77" s="3"/>
      <c r="G77" s="3" t="s">
        <v>62</v>
      </c>
      <c r="H77" s="8" t="s">
        <v>131</v>
      </c>
    </row>
    <row r="78" spans="1:8">
      <c r="A78" s="3" t="s">
        <v>24</v>
      </c>
      <c r="B78" s="3" t="s">
        <v>153</v>
      </c>
      <c r="C78" s="4">
        <v>6.5</v>
      </c>
      <c r="D78" s="3">
        <v>7</v>
      </c>
      <c r="E78" s="3" t="s">
        <v>46</v>
      </c>
      <c r="F78" s="3" t="s">
        <v>280</v>
      </c>
      <c r="G78" s="3" t="s">
        <v>62</v>
      </c>
      <c r="H78" s="8" t="s">
        <v>155</v>
      </c>
    </row>
    <row r="79" spans="1:8">
      <c r="A79" s="3" t="s">
        <v>24</v>
      </c>
      <c r="B79" s="3" t="s">
        <v>209</v>
      </c>
      <c r="C79" s="4">
        <v>6.5</v>
      </c>
      <c r="D79" s="3">
        <v>0</v>
      </c>
      <c r="E79" s="3" t="s">
        <v>50</v>
      </c>
      <c r="F79" s="3"/>
      <c r="G79" s="3" t="s">
        <v>53</v>
      </c>
      <c r="H79" s="8" t="s">
        <v>278</v>
      </c>
    </row>
    <row r="80" spans="1:8">
      <c r="A80" s="3" t="s">
        <v>24</v>
      </c>
      <c r="B80" s="3" t="s">
        <v>266</v>
      </c>
      <c r="C80" s="4">
        <v>6.5</v>
      </c>
      <c r="D80" s="3">
        <v>8</v>
      </c>
      <c r="E80" s="3" t="s">
        <v>46</v>
      </c>
      <c r="F80" s="3" t="s">
        <v>280</v>
      </c>
      <c r="G80" s="3" t="s">
        <v>62</v>
      </c>
      <c r="H80" s="8" t="s">
        <v>268</v>
      </c>
    </row>
    <row r="81" spans="1:8">
      <c r="A81" s="3" t="s">
        <v>61</v>
      </c>
      <c r="B81" s="3" t="s">
        <v>183</v>
      </c>
      <c r="C81" s="4">
        <v>6.2</v>
      </c>
      <c r="D81" s="3">
        <v>4</v>
      </c>
      <c r="E81" s="3" t="s">
        <v>50</v>
      </c>
      <c r="F81" s="3" t="s">
        <v>32</v>
      </c>
      <c r="G81" s="3" t="s">
        <v>62</v>
      </c>
      <c r="H81" s="8" t="s">
        <v>184</v>
      </c>
    </row>
    <row r="82" spans="1:8">
      <c r="A82" s="3" t="s">
        <v>61</v>
      </c>
      <c r="B82" s="3" t="s">
        <v>59</v>
      </c>
      <c r="C82" s="4">
        <v>6</v>
      </c>
      <c r="D82" s="3">
        <v>4</v>
      </c>
      <c r="E82" s="3" t="s">
        <v>50</v>
      </c>
      <c r="F82" s="3"/>
      <c r="G82" s="3" t="s">
        <v>62</v>
      </c>
      <c r="H82" s="8" t="s">
        <v>284</v>
      </c>
    </row>
    <row r="83" spans="1:8">
      <c r="A83" s="3" t="s">
        <v>61</v>
      </c>
      <c r="B83" s="3" t="s">
        <v>72</v>
      </c>
      <c r="C83" s="4">
        <v>5.5</v>
      </c>
      <c r="D83" s="3">
        <v>5</v>
      </c>
      <c r="E83" s="3" t="s">
        <v>50</v>
      </c>
      <c r="F83" s="3" t="s">
        <v>32</v>
      </c>
      <c r="G83" s="3" t="s">
        <v>62</v>
      </c>
      <c r="H83" s="8" t="s">
        <v>73</v>
      </c>
    </row>
    <row r="84" spans="1:8">
      <c r="A84" s="3" t="s">
        <v>61</v>
      </c>
      <c r="B84" s="3" t="s">
        <v>246</v>
      </c>
      <c r="C84" s="4">
        <v>4.5</v>
      </c>
      <c r="D84" s="3">
        <v>0</v>
      </c>
      <c r="E84" s="3" t="s">
        <v>50</v>
      </c>
      <c r="F84" s="3"/>
      <c r="G84" s="3" t="s">
        <v>62</v>
      </c>
      <c r="H84" s="8" t="s">
        <v>247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showGridLines="0" workbookViewId="0">
      <selection activeCell="B12" sqref="B12"/>
    </sheetView>
  </sheetViews>
  <sheetFormatPr defaultRowHeight="14.25"/>
  <cols>
    <col min="1" max="1" width="21.875" style="8" bestFit="1" customWidth="1"/>
    <col min="2" max="2" width="13.375" style="8" bestFit="1" customWidth="1"/>
    <col min="3" max="16384" width="9" style="8"/>
  </cols>
  <sheetData>
    <row r="1" spans="1:12" ht="20.25">
      <c r="A1" s="19" t="s">
        <v>285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27.95" customHeight="1">
      <c r="A3" s="1" t="s">
        <v>286</v>
      </c>
      <c r="B3" s="1" t="s">
        <v>2</v>
      </c>
      <c r="C3" s="1" t="s">
        <v>287</v>
      </c>
      <c r="D3" s="18" t="s">
        <v>41</v>
      </c>
      <c r="E3" s="18"/>
      <c r="F3" s="18"/>
      <c r="G3" s="18"/>
      <c r="H3" s="18"/>
      <c r="I3" s="18"/>
      <c r="J3" s="18"/>
      <c r="K3" s="18"/>
      <c r="L3" s="18"/>
    </row>
    <row r="4" spans="1:12" ht="27.95" customHeight="1">
      <c r="A4" s="8" t="s">
        <v>288</v>
      </c>
      <c r="B4" s="8">
        <v>99</v>
      </c>
      <c r="C4" s="8">
        <v>100</v>
      </c>
      <c r="D4" s="8" t="s">
        <v>289</v>
      </c>
    </row>
    <row r="5" spans="1:12" ht="27.95" customHeight="1">
      <c r="A5" s="8" t="s">
        <v>290</v>
      </c>
      <c r="B5" s="8">
        <v>33</v>
      </c>
      <c r="C5" s="8">
        <v>35</v>
      </c>
      <c r="D5" s="8" t="s">
        <v>291</v>
      </c>
    </row>
    <row r="6" spans="1:12" ht="27.95" customHeight="1">
      <c r="A6" s="8" t="s">
        <v>10</v>
      </c>
      <c r="B6" s="8">
        <v>9</v>
      </c>
      <c r="C6" s="8">
        <v>10</v>
      </c>
      <c r="D6" s="8" t="s">
        <v>292</v>
      </c>
    </row>
    <row r="7" spans="1:12" ht="27.95" customHeight="1">
      <c r="A7" s="8" t="s">
        <v>293</v>
      </c>
      <c r="B7" s="8">
        <f>3.265</f>
        <v>3.2650000000000001</v>
      </c>
      <c r="C7" s="8">
        <v>3.55</v>
      </c>
      <c r="D7" s="8" t="s">
        <v>294</v>
      </c>
    </row>
    <row r="8" spans="1:12" ht="27.95" customHeight="1">
      <c r="A8" s="8" t="s">
        <v>295</v>
      </c>
      <c r="C8" s="8" t="s">
        <v>296</v>
      </c>
      <c r="D8" s="8" t="s">
        <v>297</v>
      </c>
    </row>
    <row r="9" spans="1:12" ht="27.95" customHeight="1">
      <c r="A9" s="8" t="s">
        <v>298</v>
      </c>
      <c r="C9" s="8" t="s">
        <v>299</v>
      </c>
      <c r="D9" s="8" t="s">
        <v>300</v>
      </c>
    </row>
    <row r="10" spans="1:12" ht="27.95" customHeight="1">
      <c r="A10" s="8" t="s">
        <v>301</v>
      </c>
      <c r="C10" s="8" t="s">
        <v>302</v>
      </c>
      <c r="D10" s="8" t="s">
        <v>303</v>
      </c>
    </row>
    <row r="12" spans="1:12" ht="15">
      <c r="A12" s="1" t="s">
        <v>304</v>
      </c>
      <c r="B12" s="20" t="s">
        <v>305</v>
      </c>
      <c r="D12" s="1" t="s">
        <v>28</v>
      </c>
      <c r="E12" s="1" t="s">
        <v>306</v>
      </c>
    </row>
    <row r="13" spans="1:12">
      <c r="A13" s="8" t="s">
        <v>30</v>
      </c>
      <c r="B13" s="14">
        <f>COUNTIF('02_Card Matrix'!F2:F84,2)</f>
        <v>8</v>
      </c>
      <c r="D13" s="8">
        <v>1</v>
      </c>
      <c r="E13" s="8">
        <v>8</v>
      </c>
    </row>
    <row r="14" spans="1:12">
      <c r="A14" s="8" t="s">
        <v>31</v>
      </c>
      <c r="B14" s="14">
        <f>COUNTIF('02_Card Matrix'!G2:G84,2)</f>
        <v>1</v>
      </c>
      <c r="D14" s="8">
        <v>2</v>
      </c>
      <c r="E14" s="8">
        <v>18</v>
      </c>
    </row>
    <row r="15" spans="1:12">
      <c r="A15" s="8" t="s">
        <v>32</v>
      </c>
      <c r="B15" s="14">
        <f>COUNTIF('02_Card Matrix'!H2:H84,2)</f>
        <v>11</v>
      </c>
      <c r="D15" s="8">
        <v>3</v>
      </c>
      <c r="E15" s="8">
        <v>14</v>
      </c>
    </row>
    <row r="16" spans="1:12">
      <c r="A16" s="8" t="s">
        <v>33</v>
      </c>
      <c r="B16" s="14">
        <f>COUNTIF('02_Card Matrix'!I2:I84,2)</f>
        <v>9</v>
      </c>
      <c r="D16" s="8">
        <v>4</v>
      </c>
      <c r="E16" s="8">
        <v>16</v>
      </c>
    </row>
    <row r="17" spans="1:5">
      <c r="A17" s="8" t="s">
        <v>34</v>
      </c>
      <c r="B17" s="14">
        <f>COUNTIF('02_Card Matrix'!J2:J84,2)</f>
        <v>1</v>
      </c>
      <c r="D17" s="8">
        <v>5</v>
      </c>
      <c r="E17" s="8">
        <v>6</v>
      </c>
    </row>
    <row r="18" spans="1:5">
      <c r="A18" s="8" t="s">
        <v>35</v>
      </c>
      <c r="B18" s="14">
        <f>COUNTIF('02_Card Matrix'!K2:K84,2)</f>
        <v>21</v>
      </c>
      <c r="D18" s="8">
        <v>6</v>
      </c>
      <c r="E18" s="8">
        <v>3</v>
      </c>
    </row>
    <row r="19" spans="1:5">
      <c r="A19" s="8" t="s">
        <v>36</v>
      </c>
      <c r="B19" s="14">
        <f>COUNTIF('02_Card Matrix'!L2:L84,2)</f>
        <v>3</v>
      </c>
      <c r="D19" s="8">
        <v>7</v>
      </c>
      <c r="E19" s="8">
        <v>1</v>
      </c>
    </row>
    <row r="20" spans="1:5">
      <c r="A20" s="8" t="s">
        <v>37</v>
      </c>
      <c r="B20" s="14">
        <f>COUNTIF('02_Card Matrix'!M2:M84,2)</f>
        <v>10</v>
      </c>
    </row>
  </sheetData>
  <mergeCells count="2">
    <mergeCell ref="D3:L3"/>
    <mergeCell ref="A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showGridLines="0" topLeftCell="A8" workbookViewId="0">
      <selection activeCell="F16" sqref="F16"/>
    </sheetView>
  </sheetViews>
  <sheetFormatPr defaultRowHeight="14.25"/>
  <cols>
    <col min="1" max="1" width="29" style="8" customWidth="1"/>
    <col min="2" max="2" width="18" style="8" customWidth="1"/>
    <col min="3" max="3" width="55" style="8" customWidth="1"/>
    <col min="4" max="4" width="28" style="8" customWidth="1"/>
    <col min="5" max="5" width="9" style="8"/>
    <col min="6" max="6" width="28" style="8" customWidth="1"/>
    <col min="7" max="7" width="12" style="8" customWidth="1"/>
    <col min="8" max="8" width="58" style="8" customWidth="1"/>
    <col min="9" max="16384" width="9" style="8"/>
  </cols>
  <sheetData>
    <row r="1" spans="1:8" ht="20.25">
      <c r="A1" s="5" t="s">
        <v>307</v>
      </c>
      <c r="B1" s="5"/>
      <c r="C1" s="5"/>
      <c r="D1" s="5"/>
      <c r="E1" s="5"/>
      <c r="F1" s="5"/>
      <c r="G1" s="5"/>
      <c r="H1" s="5"/>
    </row>
    <row r="3" spans="1:8" ht="27.95" customHeight="1">
      <c r="A3" s="1" t="s">
        <v>308</v>
      </c>
      <c r="B3" s="1" t="s">
        <v>309</v>
      </c>
      <c r="C3" s="1" t="s">
        <v>275</v>
      </c>
      <c r="D3" s="1" t="s">
        <v>310</v>
      </c>
      <c r="F3" s="1" t="s">
        <v>311</v>
      </c>
      <c r="G3" s="1" t="s">
        <v>312</v>
      </c>
      <c r="H3" s="1" t="s">
        <v>313</v>
      </c>
    </row>
    <row r="4" spans="1:8" ht="33.950000000000003" customHeight="1">
      <c r="A4" s="3" t="s">
        <v>44</v>
      </c>
      <c r="B4" s="3" t="s">
        <v>314</v>
      </c>
      <c r="C4" s="3" t="s">
        <v>48</v>
      </c>
      <c r="D4" s="3" t="s">
        <v>315</v>
      </c>
      <c r="F4" s="3" t="s">
        <v>59</v>
      </c>
      <c r="G4" s="3" t="s">
        <v>296</v>
      </c>
      <c r="H4" s="3" t="s">
        <v>284</v>
      </c>
    </row>
    <row r="5" spans="1:8" ht="33.950000000000003" customHeight="1">
      <c r="A5" s="3" t="s">
        <v>77</v>
      </c>
      <c r="B5" s="3" t="s">
        <v>314</v>
      </c>
      <c r="C5" s="3" t="s">
        <v>79</v>
      </c>
      <c r="D5" s="3" t="s">
        <v>315</v>
      </c>
      <c r="F5" s="3" t="s">
        <v>65</v>
      </c>
      <c r="G5" s="3" t="s">
        <v>296</v>
      </c>
      <c r="H5" s="3" t="s">
        <v>67</v>
      </c>
    </row>
    <row r="6" spans="1:8" ht="33.950000000000003" customHeight="1">
      <c r="A6" s="3" t="s">
        <v>144</v>
      </c>
      <c r="B6" s="3" t="s">
        <v>314</v>
      </c>
      <c r="C6" s="3" t="s">
        <v>146</v>
      </c>
      <c r="D6" s="3" t="s">
        <v>315</v>
      </c>
      <c r="F6" s="3" t="s">
        <v>94</v>
      </c>
      <c r="G6" s="3" t="s">
        <v>296</v>
      </c>
      <c r="H6" s="3" t="s">
        <v>96</v>
      </c>
    </row>
    <row r="7" spans="1:8" ht="33.950000000000003" customHeight="1">
      <c r="A7" s="3" t="s">
        <v>203</v>
      </c>
      <c r="B7" s="3" t="s">
        <v>314</v>
      </c>
      <c r="C7" s="3" t="s">
        <v>205</v>
      </c>
      <c r="D7" s="3" t="s">
        <v>315</v>
      </c>
      <c r="F7" s="3" t="s">
        <v>115</v>
      </c>
      <c r="G7" s="3" t="s">
        <v>296</v>
      </c>
      <c r="H7" s="3" t="s">
        <v>117</v>
      </c>
    </row>
    <row r="8" spans="1:8" ht="33.950000000000003" customHeight="1">
      <c r="A8" s="3" t="s">
        <v>213</v>
      </c>
      <c r="B8" s="3" t="s">
        <v>314</v>
      </c>
      <c r="C8" s="3" t="s">
        <v>214</v>
      </c>
      <c r="D8" s="3" t="s">
        <v>315</v>
      </c>
      <c r="F8" s="3" t="s">
        <v>130</v>
      </c>
      <c r="G8" s="3" t="s">
        <v>296</v>
      </c>
      <c r="H8" s="3" t="s">
        <v>131</v>
      </c>
    </row>
    <row r="9" spans="1:8" ht="33.950000000000003" customHeight="1">
      <c r="A9" s="3" t="s">
        <v>255</v>
      </c>
      <c r="B9" s="3" t="s">
        <v>314</v>
      </c>
      <c r="C9" s="3" t="s">
        <v>316</v>
      </c>
      <c r="D9" s="3" t="s">
        <v>315</v>
      </c>
      <c r="F9" s="3" t="s">
        <v>153</v>
      </c>
      <c r="G9" s="3" t="s">
        <v>296</v>
      </c>
      <c r="H9" s="3" t="s">
        <v>154</v>
      </c>
    </row>
    <row r="10" spans="1:8" ht="33.950000000000003" customHeight="1">
      <c r="A10" s="3" t="s">
        <v>175</v>
      </c>
      <c r="B10" s="3" t="s">
        <v>314</v>
      </c>
      <c r="C10" s="3" t="s">
        <v>316</v>
      </c>
      <c r="D10" s="3" t="s">
        <v>315</v>
      </c>
      <c r="F10" s="3" t="s">
        <v>183</v>
      </c>
      <c r="G10" s="3" t="s">
        <v>296</v>
      </c>
      <c r="H10" s="3" t="s">
        <v>184</v>
      </c>
    </row>
    <row r="11" spans="1:8" ht="33.950000000000003" customHeight="1">
      <c r="A11" s="3" t="s">
        <v>106</v>
      </c>
      <c r="B11" s="3" t="s">
        <v>314</v>
      </c>
      <c r="C11" s="3" t="s">
        <v>316</v>
      </c>
      <c r="D11" s="3" t="s">
        <v>315</v>
      </c>
      <c r="F11" s="3" t="s">
        <v>191</v>
      </c>
      <c r="G11" s="3" t="s">
        <v>296</v>
      </c>
      <c r="H11" s="3" t="s">
        <v>192</v>
      </c>
    </row>
    <row r="12" spans="1:8" ht="33.950000000000003" customHeight="1">
      <c r="A12" s="3" t="s">
        <v>148</v>
      </c>
      <c r="B12" s="3" t="s">
        <v>314</v>
      </c>
      <c r="C12" s="3" t="s">
        <v>149</v>
      </c>
      <c r="D12" s="3" t="s">
        <v>315</v>
      </c>
      <c r="F12" s="3" t="s">
        <v>122</v>
      </c>
      <c r="G12" s="3" t="s">
        <v>296</v>
      </c>
      <c r="H12" s="3" t="s">
        <v>124</v>
      </c>
    </row>
    <row r="13" spans="1:8" ht="33.950000000000003" customHeight="1">
      <c r="A13" s="3" t="s">
        <v>84</v>
      </c>
      <c r="B13" s="3" t="s">
        <v>314</v>
      </c>
      <c r="C13" s="3" t="s">
        <v>316</v>
      </c>
      <c r="D13" s="3" t="s">
        <v>315</v>
      </c>
      <c r="F13" s="3" t="s">
        <v>167</v>
      </c>
      <c r="G13" s="3" t="s">
        <v>296</v>
      </c>
      <c r="H13" s="3" t="s">
        <v>169</v>
      </c>
    </row>
    <row r="14" spans="1:8" ht="33.950000000000003" customHeight="1">
      <c r="A14" s="3" t="s">
        <v>164</v>
      </c>
      <c r="B14" s="3" t="s">
        <v>314</v>
      </c>
      <c r="C14" s="3" t="s">
        <v>165</v>
      </c>
      <c r="D14" s="3" t="s">
        <v>315</v>
      </c>
      <c r="F14" s="3" t="s">
        <v>266</v>
      </c>
      <c r="G14" s="3" t="s">
        <v>296</v>
      </c>
      <c r="H14" s="3" t="s">
        <v>267</v>
      </c>
    </row>
    <row r="15" spans="1:8" ht="33.950000000000003" customHeight="1">
      <c r="A15" s="3" t="s">
        <v>257</v>
      </c>
      <c r="B15" s="3" t="s">
        <v>314</v>
      </c>
      <c r="C15" s="3" t="s">
        <v>259</v>
      </c>
      <c r="D15" s="3" t="s">
        <v>315</v>
      </c>
      <c r="F15" s="3" t="s">
        <v>72</v>
      </c>
      <c r="G15" s="3" t="s">
        <v>296</v>
      </c>
      <c r="H15" s="3" t="s">
        <v>73</v>
      </c>
    </row>
    <row r="16" spans="1:8" ht="33.950000000000003" customHeight="1">
      <c r="A16" s="3" t="s">
        <v>249</v>
      </c>
      <c r="B16" s="3" t="s">
        <v>314</v>
      </c>
      <c r="C16" s="3" t="s">
        <v>316</v>
      </c>
      <c r="D16" s="3" t="s">
        <v>315</v>
      </c>
      <c r="F16" s="3" t="s">
        <v>135</v>
      </c>
      <c r="G16" s="3" t="s">
        <v>317</v>
      </c>
      <c r="H16" s="3" t="s">
        <v>137</v>
      </c>
    </row>
    <row r="17" spans="1:8" ht="33.950000000000003" customHeight="1">
      <c r="A17" s="3" t="s">
        <v>133</v>
      </c>
      <c r="B17" s="3" t="s">
        <v>314</v>
      </c>
      <c r="C17" s="3" t="s">
        <v>316</v>
      </c>
      <c r="D17" s="3" t="s">
        <v>315</v>
      </c>
      <c r="F17" s="3" t="s">
        <v>246</v>
      </c>
      <c r="G17" s="3" t="s">
        <v>296</v>
      </c>
      <c r="H17" s="3" t="s">
        <v>318</v>
      </c>
    </row>
    <row r="18" spans="1:8" ht="33.950000000000003" customHeight="1">
      <c r="A18" s="3" t="s">
        <v>196</v>
      </c>
      <c r="B18" s="3" t="s">
        <v>314</v>
      </c>
      <c r="C18" s="3" t="s">
        <v>316</v>
      </c>
      <c r="D18" s="3" t="s">
        <v>315</v>
      </c>
      <c r="F18" s="3" t="s">
        <v>230</v>
      </c>
      <c r="G18" s="3" t="s">
        <v>296</v>
      </c>
      <c r="H18" s="3" t="s">
        <v>319</v>
      </c>
    </row>
    <row r="19" spans="1:8" ht="28.5">
      <c r="F19" s="3" t="s">
        <v>252</v>
      </c>
      <c r="G19" s="3" t="s">
        <v>296</v>
      </c>
      <c r="H19" s="3" t="s">
        <v>320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workbookViewId="0">
      <selection activeCell="B9" sqref="B9"/>
    </sheetView>
  </sheetViews>
  <sheetFormatPr defaultRowHeight="14.25"/>
  <cols>
    <col min="1" max="1" width="9" style="8" customWidth="1"/>
    <col min="2" max="2" width="28" style="8" customWidth="1"/>
    <col min="3" max="3" width="6" style="8" customWidth="1"/>
    <col min="4" max="4" width="55" style="8" customWidth="1"/>
    <col min="5" max="5" width="18" style="8" customWidth="1"/>
    <col min="6" max="6" width="35" style="8" customWidth="1"/>
    <col min="7" max="7" width="20" style="8" customWidth="1"/>
    <col min="8" max="8" width="48" style="8" customWidth="1"/>
    <col min="9" max="16384" width="9" style="8"/>
  </cols>
  <sheetData>
    <row r="1" spans="1:8" ht="15">
      <c r="A1" s="2" t="s">
        <v>312</v>
      </c>
      <c r="B1" s="2" t="s">
        <v>25</v>
      </c>
      <c r="C1" s="2" t="s">
        <v>28</v>
      </c>
      <c r="D1" s="2" t="s">
        <v>321</v>
      </c>
      <c r="E1" s="2" t="s">
        <v>322</v>
      </c>
      <c r="F1" s="2" t="s">
        <v>323</v>
      </c>
      <c r="G1" s="2" t="s">
        <v>324</v>
      </c>
      <c r="H1" s="2" t="s">
        <v>42</v>
      </c>
    </row>
    <row r="2" spans="1:8" ht="28.5">
      <c r="A2" s="3" t="s">
        <v>325</v>
      </c>
      <c r="B2" s="3" t="s">
        <v>326</v>
      </c>
      <c r="C2" s="3">
        <v>2</v>
      </c>
      <c r="D2" s="3" t="s">
        <v>327</v>
      </c>
      <c r="E2" s="3" t="s">
        <v>279</v>
      </c>
      <c r="F2" s="3" t="s">
        <v>328</v>
      </c>
      <c r="G2" s="3" t="s">
        <v>329</v>
      </c>
      <c r="H2" s="3" t="s">
        <v>330</v>
      </c>
    </row>
    <row r="3" spans="1:8" ht="28.5">
      <c r="A3" s="3" t="s">
        <v>325</v>
      </c>
      <c r="B3" s="3" t="s">
        <v>331</v>
      </c>
      <c r="C3" s="3">
        <v>4</v>
      </c>
      <c r="D3" s="3" t="s">
        <v>332</v>
      </c>
      <c r="E3" s="3" t="s">
        <v>333</v>
      </c>
      <c r="F3" s="3" t="s">
        <v>334</v>
      </c>
      <c r="G3" s="3" t="s">
        <v>329</v>
      </c>
      <c r="H3" s="3" t="s">
        <v>335</v>
      </c>
    </row>
    <row r="4" spans="1:8" ht="28.5">
      <c r="A4" s="3" t="s">
        <v>325</v>
      </c>
      <c r="B4" s="3" t="s">
        <v>336</v>
      </c>
      <c r="C4" s="3">
        <v>2</v>
      </c>
      <c r="D4" s="3" t="s">
        <v>337</v>
      </c>
      <c r="E4" s="3" t="s">
        <v>279</v>
      </c>
      <c r="F4" s="3" t="s">
        <v>334</v>
      </c>
      <c r="G4" s="3" t="s">
        <v>329</v>
      </c>
      <c r="H4" s="3" t="s">
        <v>338</v>
      </c>
    </row>
    <row r="5" spans="1:8" ht="28.5">
      <c r="A5" s="3" t="s">
        <v>339</v>
      </c>
      <c r="B5" s="3" t="s">
        <v>340</v>
      </c>
      <c r="C5" s="3">
        <v>3</v>
      </c>
      <c r="D5" s="3" t="s">
        <v>341</v>
      </c>
      <c r="E5" s="3" t="s">
        <v>34</v>
      </c>
      <c r="F5" s="3" t="s">
        <v>342</v>
      </c>
      <c r="G5" s="3" t="s">
        <v>343</v>
      </c>
      <c r="H5" s="3" t="s">
        <v>330</v>
      </c>
    </row>
    <row r="6" spans="1:8">
      <c r="A6" s="3" t="s">
        <v>339</v>
      </c>
      <c r="B6" s="3" t="s">
        <v>344</v>
      </c>
      <c r="C6" s="3">
        <v>5</v>
      </c>
      <c r="D6" s="3" t="s">
        <v>345</v>
      </c>
      <c r="E6" s="3" t="s">
        <v>34</v>
      </c>
      <c r="F6" s="3" t="s">
        <v>346</v>
      </c>
      <c r="G6" s="3" t="s">
        <v>343</v>
      </c>
      <c r="H6" s="3" t="s">
        <v>347</v>
      </c>
    </row>
    <row r="7" spans="1:8" ht="28.5">
      <c r="A7" s="3" t="s">
        <v>339</v>
      </c>
      <c r="B7" s="3" t="s">
        <v>348</v>
      </c>
      <c r="C7" s="3">
        <v>3</v>
      </c>
      <c r="D7" s="3" t="s">
        <v>349</v>
      </c>
      <c r="E7" s="3" t="s">
        <v>34</v>
      </c>
      <c r="F7" s="3" t="s">
        <v>350</v>
      </c>
      <c r="G7" s="3" t="s">
        <v>343</v>
      </c>
      <c r="H7" s="3" t="s">
        <v>351</v>
      </c>
    </row>
    <row r="8" spans="1:8" ht="28.5">
      <c r="A8" s="3" t="s">
        <v>339</v>
      </c>
      <c r="B8" s="3" t="s">
        <v>352</v>
      </c>
      <c r="C8" s="3">
        <v>8</v>
      </c>
      <c r="D8" s="3" t="s">
        <v>353</v>
      </c>
      <c r="E8" s="3" t="s">
        <v>354</v>
      </c>
      <c r="F8" s="3" t="s">
        <v>355</v>
      </c>
      <c r="G8" s="3" t="s">
        <v>356</v>
      </c>
      <c r="H8" s="3" t="s">
        <v>357</v>
      </c>
    </row>
    <row r="9" spans="1:8" ht="28.5">
      <c r="A9" s="3" t="s">
        <v>358</v>
      </c>
      <c r="B9" s="3" t="s">
        <v>359</v>
      </c>
      <c r="C9" s="3">
        <v>3</v>
      </c>
      <c r="D9" s="3" t="s">
        <v>360</v>
      </c>
      <c r="E9" s="3" t="s">
        <v>32</v>
      </c>
      <c r="F9" s="3" t="s">
        <v>361</v>
      </c>
      <c r="G9" s="3" t="s">
        <v>356</v>
      </c>
      <c r="H9" s="3" t="s">
        <v>362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showGridLines="0" workbookViewId="0">
      <selection activeCell="A4" sqref="A4"/>
    </sheetView>
  </sheetViews>
  <sheetFormatPr defaultRowHeight="14.25"/>
  <cols>
    <col min="1" max="2" width="28" style="8" customWidth="1"/>
    <col min="3" max="3" width="18" style="8" customWidth="1"/>
    <col min="4" max="4" width="60" style="8" customWidth="1"/>
    <col min="5" max="5" width="10" style="8" customWidth="1"/>
    <col min="6" max="6" width="48" style="8" customWidth="1"/>
    <col min="7" max="16384" width="9" style="8"/>
  </cols>
  <sheetData>
    <row r="1" spans="1:6" ht="15">
      <c r="A1" s="2" t="s">
        <v>363</v>
      </c>
      <c r="B1" s="2" t="s">
        <v>364</v>
      </c>
      <c r="C1" s="2" t="s">
        <v>365</v>
      </c>
      <c r="D1" s="2" t="s">
        <v>313</v>
      </c>
      <c r="E1" s="2" t="s">
        <v>312</v>
      </c>
      <c r="F1" s="2" t="s">
        <v>42</v>
      </c>
    </row>
    <row r="2" spans="1:6" ht="28.5">
      <c r="A2" s="3" t="s">
        <v>59</v>
      </c>
      <c r="B2" s="3" t="s">
        <v>366</v>
      </c>
      <c r="C2" s="3" t="s">
        <v>367</v>
      </c>
      <c r="D2" s="3" t="s">
        <v>368</v>
      </c>
      <c r="E2" s="3" t="s">
        <v>325</v>
      </c>
      <c r="F2" s="3" t="s">
        <v>338</v>
      </c>
    </row>
    <row r="3" spans="1:6" ht="28.5">
      <c r="A3" s="3" t="s">
        <v>65</v>
      </c>
      <c r="B3" s="3" t="s">
        <v>369</v>
      </c>
      <c r="C3" s="3" t="s">
        <v>370</v>
      </c>
      <c r="D3" s="3" t="s">
        <v>371</v>
      </c>
      <c r="E3" s="3" t="s">
        <v>325</v>
      </c>
      <c r="F3" s="3" t="s">
        <v>372</v>
      </c>
    </row>
    <row r="4" spans="1:6" ht="28.5">
      <c r="A4" s="3" t="s">
        <v>94</v>
      </c>
      <c r="B4" s="3" t="s">
        <v>373</v>
      </c>
      <c r="C4" s="3" t="s">
        <v>374</v>
      </c>
      <c r="D4" s="3" t="s">
        <v>375</v>
      </c>
      <c r="E4" s="3" t="s">
        <v>325</v>
      </c>
      <c r="F4" s="3" t="s">
        <v>376</v>
      </c>
    </row>
    <row r="5" spans="1:6" ht="28.5">
      <c r="A5" s="3" t="s">
        <v>115</v>
      </c>
      <c r="B5" s="3" t="s">
        <v>377</v>
      </c>
      <c r="C5" s="3" t="s">
        <v>378</v>
      </c>
      <c r="D5" s="3" t="s">
        <v>379</v>
      </c>
      <c r="E5" s="3" t="s">
        <v>325</v>
      </c>
      <c r="F5" s="3" t="s">
        <v>330</v>
      </c>
    </row>
    <row r="6" spans="1:6" ht="28.5">
      <c r="A6" s="3" t="s">
        <v>130</v>
      </c>
      <c r="B6" s="3" t="s">
        <v>380</v>
      </c>
      <c r="C6" s="3" t="s">
        <v>374</v>
      </c>
      <c r="D6" s="3" t="s">
        <v>381</v>
      </c>
      <c r="E6" s="3" t="s">
        <v>325</v>
      </c>
      <c r="F6" s="3" t="s">
        <v>376</v>
      </c>
    </row>
    <row r="7" spans="1:6" ht="28.5">
      <c r="A7" s="3" t="s">
        <v>153</v>
      </c>
      <c r="B7" s="3" t="s">
        <v>382</v>
      </c>
      <c r="C7" s="3" t="s">
        <v>383</v>
      </c>
      <c r="D7" s="3" t="s">
        <v>384</v>
      </c>
      <c r="E7" s="3" t="s">
        <v>325</v>
      </c>
      <c r="F7" s="3" t="s">
        <v>357</v>
      </c>
    </row>
    <row r="8" spans="1:6" ht="28.5">
      <c r="A8" s="3" t="s">
        <v>183</v>
      </c>
      <c r="B8" s="3" t="s">
        <v>385</v>
      </c>
      <c r="C8" s="3" t="s">
        <v>378</v>
      </c>
      <c r="D8" s="3" t="s">
        <v>386</v>
      </c>
      <c r="E8" s="3" t="s">
        <v>325</v>
      </c>
      <c r="F8" s="3" t="s">
        <v>338</v>
      </c>
    </row>
    <row r="9" spans="1:6" ht="28.5">
      <c r="A9" s="3" t="s">
        <v>191</v>
      </c>
      <c r="B9" s="3" t="s">
        <v>387</v>
      </c>
      <c r="C9" s="3" t="s">
        <v>388</v>
      </c>
      <c r="D9" s="3" t="s">
        <v>389</v>
      </c>
      <c r="E9" s="3" t="s">
        <v>325</v>
      </c>
      <c r="F9" s="3" t="s">
        <v>330</v>
      </c>
    </row>
    <row r="10" spans="1:6" ht="28.5">
      <c r="A10" s="3" t="s">
        <v>122</v>
      </c>
      <c r="B10" s="3" t="s">
        <v>390</v>
      </c>
      <c r="C10" s="3" t="s">
        <v>370</v>
      </c>
      <c r="D10" s="3" t="s">
        <v>391</v>
      </c>
      <c r="E10" s="3" t="s">
        <v>325</v>
      </c>
      <c r="F10" s="3" t="s">
        <v>392</v>
      </c>
    </row>
    <row r="11" spans="1:6" ht="28.5">
      <c r="A11" s="3" t="s">
        <v>167</v>
      </c>
      <c r="B11" s="3" t="s">
        <v>393</v>
      </c>
      <c r="C11" s="3" t="s">
        <v>394</v>
      </c>
      <c r="D11" s="3" t="s">
        <v>395</v>
      </c>
      <c r="E11" s="3" t="s">
        <v>325</v>
      </c>
      <c r="F11" s="3" t="s">
        <v>396</v>
      </c>
    </row>
    <row r="12" spans="1:6" ht="28.5">
      <c r="A12" s="3" t="s">
        <v>266</v>
      </c>
      <c r="B12" s="3" t="s">
        <v>397</v>
      </c>
      <c r="C12" s="3" t="s">
        <v>370</v>
      </c>
      <c r="D12" s="3" t="s">
        <v>398</v>
      </c>
      <c r="E12" s="3" t="s">
        <v>325</v>
      </c>
      <c r="F12" s="3" t="s">
        <v>399</v>
      </c>
    </row>
    <row r="13" spans="1:6" ht="28.5">
      <c r="A13" s="3" t="s">
        <v>72</v>
      </c>
      <c r="B13" s="3" t="s">
        <v>400</v>
      </c>
      <c r="C13" s="3" t="s">
        <v>401</v>
      </c>
      <c r="D13" s="3" t="s">
        <v>402</v>
      </c>
      <c r="E13" s="3" t="s">
        <v>339</v>
      </c>
      <c r="F13" s="3" t="s">
        <v>403</v>
      </c>
    </row>
    <row r="14" spans="1:6" ht="28.5">
      <c r="A14" s="3" t="s">
        <v>135</v>
      </c>
      <c r="B14" s="3" t="s">
        <v>385</v>
      </c>
      <c r="C14" s="3" t="s">
        <v>404</v>
      </c>
      <c r="D14" s="3" t="s">
        <v>405</v>
      </c>
      <c r="E14" s="3" t="s">
        <v>339</v>
      </c>
      <c r="F14" s="3" t="s">
        <v>338</v>
      </c>
    </row>
    <row r="15" spans="1:6" ht="28.5">
      <c r="A15" s="3" t="s">
        <v>246</v>
      </c>
      <c r="B15" s="3" t="s">
        <v>406</v>
      </c>
      <c r="C15" s="3" t="s">
        <v>407</v>
      </c>
      <c r="D15" s="3" t="s">
        <v>408</v>
      </c>
      <c r="E15" s="3" t="s">
        <v>325</v>
      </c>
      <c r="F15" s="3" t="s">
        <v>409</v>
      </c>
    </row>
    <row r="16" spans="1:6" ht="28.5">
      <c r="A16" s="3" t="s">
        <v>230</v>
      </c>
      <c r="B16" s="3" t="s">
        <v>410</v>
      </c>
      <c r="C16" s="3" t="s">
        <v>407</v>
      </c>
      <c r="D16" s="3" t="s">
        <v>411</v>
      </c>
      <c r="E16" s="3" t="s">
        <v>325</v>
      </c>
      <c r="F16" s="3" t="s">
        <v>412</v>
      </c>
    </row>
    <row r="17" spans="1:6" ht="28.5">
      <c r="A17" s="3" t="s">
        <v>413</v>
      </c>
      <c r="B17" s="3" t="s">
        <v>414</v>
      </c>
      <c r="C17" s="3" t="s">
        <v>415</v>
      </c>
      <c r="D17" s="3" t="s">
        <v>416</v>
      </c>
      <c r="E17" s="3" t="s">
        <v>339</v>
      </c>
      <c r="F17" s="3" t="s">
        <v>417</v>
      </c>
    </row>
    <row r="18" spans="1:6" ht="28.5">
      <c r="A18" s="3" t="s">
        <v>413</v>
      </c>
      <c r="B18" s="3" t="s">
        <v>418</v>
      </c>
      <c r="C18" s="3" t="s">
        <v>415</v>
      </c>
      <c r="D18" s="3" t="s">
        <v>419</v>
      </c>
      <c r="E18" s="3" t="s">
        <v>339</v>
      </c>
      <c r="F18" s="3" t="s">
        <v>420</v>
      </c>
    </row>
    <row r="19" spans="1:6" ht="28.5">
      <c r="A19" s="3" t="s">
        <v>252</v>
      </c>
      <c r="B19" s="3" t="s">
        <v>421</v>
      </c>
      <c r="C19" s="3" t="s">
        <v>422</v>
      </c>
      <c r="D19" s="3" t="s">
        <v>423</v>
      </c>
      <c r="E19" s="3" t="s">
        <v>325</v>
      </c>
      <c r="F19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85"/>
  <sheetViews>
    <sheetView showGridLines="0" workbookViewId="0">
      <selection activeCell="B17" sqref="B17"/>
    </sheetView>
  </sheetViews>
  <sheetFormatPr defaultRowHeight="14.25"/>
  <cols>
    <col min="1" max="1" width="34" style="8" customWidth="1"/>
    <col min="2" max="2" width="7" style="8" customWidth="1"/>
    <col min="3" max="3" width="12" style="8" customWidth="1"/>
    <col min="4" max="5" width="8" style="8" customWidth="1"/>
    <col min="6" max="6" width="6" style="8" customWidth="1"/>
    <col min="7" max="7" width="8" style="8" customWidth="1"/>
    <col min="8" max="8" width="9" style="8"/>
    <col min="9" max="9" width="18" style="8" customWidth="1"/>
    <col min="10" max="10" width="34" style="8" customWidth="1"/>
    <col min="11" max="16384" width="9" style="8"/>
  </cols>
  <sheetData>
    <row r="1" spans="1:10" ht="30">
      <c r="A1" s="2" t="s">
        <v>25</v>
      </c>
      <c r="B1" s="2" t="s">
        <v>26</v>
      </c>
      <c r="C1" s="2" t="s">
        <v>424</v>
      </c>
      <c r="D1" s="2" t="s">
        <v>43</v>
      </c>
      <c r="E1" s="2" t="s">
        <v>29</v>
      </c>
      <c r="F1" s="2" t="s">
        <v>28</v>
      </c>
      <c r="G1" s="2" t="s">
        <v>38</v>
      </c>
      <c r="I1" s="1" t="s">
        <v>425</v>
      </c>
      <c r="J1" s="1" t="s">
        <v>426</v>
      </c>
    </row>
    <row r="2" spans="1:10" ht="28.5">
      <c r="A2" s="3" t="s">
        <v>44</v>
      </c>
      <c r="B2" s="3">
        <v>1</v>
      </c>
      <c r="C2" s="3" t="s">
        <v>427</v>
      </c>
      <c r="D2" s="3" t="s">
        <v>50</v>
      </c>
      <c r="E2" s="3" t="s">
        <v>46</v>
      </c>
      <c r="F2" s="3">
        <v>4</v>
      </c>
      <c r="G2" s="3">
        <v>10</v>
      </c>
      <c r="I2" s="8" t="s">
        <v>428</v>
      </c>
      <c r="J2" s="8">
        <f>SUM(B2:B84)</f>
        <v>100</v>
      </c>
    </row>
    <row r="3" spans="1:10">
      <c r="A3" s="3" t="s">
        <v>51</v>
      </c>
      <c r="B3" s="3">
        <v>1</v>
      </c>
      <c r="C3" s="3" t="s">
        <v>53</v>
      </c>
      <c r="D3" s="3" t="s">
        <v>50</v>
      </c>
      <c r="E3" s="3" t="s">
        <v>50</v>
      </c>
      <c r="F3" s="3">
        <v>2</v>
      </c>
      <c r="G3" s="3">
        <v>7.5</v>
      </c>
      <c r="I3" s="8" t="s">
        <v>290</v>
      </c>
      <c r="J3" s="8">
        <f>SUMIF(D2:D84,"YES",B2:B84)</f>
        <v>35</v>
      </c>
    </row>
    <row r="4" spans="1:10">
      <c r="A4" s="3" t="s">
        <v>56</v>
      </c>
      <c r="B4" s="3">
        <v>1</v>
      </c>
      <c r="C4" s="3" t="s">
        <v>53</v>
      </c>
      <c r="D4" s="3" t="s">
        <v>46</v>
      </c>
      <c r="E4" s="3" t="s">
        <v>50</v>
      </c>
      <c r="F4" s="3">
        <v>0</v>
      </c>
      <c r="G4" s="3">
        <v>8</v>
      </c>
      <c r="I4" s="8" t="s">
        <v>429</v>
      </c>
      <c r="J4" s="8">
        <f>J2-J3-1</f>
        <v>64</v>
      </c>
    </row>
    <row r="5" spans="1:10">
      <c r="A5" s="3" t="s">
        <v>69</v>
      </c>
      <c r="B5" s="3">
        <v>1</v>
      </c>
      <c r="C5" s="3" t="s">
        <v>53</v>
      </c>
      <c r="D5" s="3" t="s">
        <v>50</v>
      </c>
      <c r="E5" s="3" t="s">
        <v>50</v>
      </c>
      <c r="F5" s="3">
        <v>9</v>
      </c>
      <c r="G5" s="3">
        <v>8.5</v>
      </c>
      <c r="I5" s="8" t="s">
        <v>430</v>
      </c>
      <c r="J5" s="8">
        <f>SUMIF(E2:E84,"YES",B2:B84)</f>
        <v>9</v>
      </c>
    </row>
    <row r="6" spans="1:10">
      <c r="A6" s="3" t="s">
        <v>75</v>
      </c>
      <c r="B6" s="3">
        <v>1</v>
      </c>
      <c r="C6" s="3" t="s">
        <v>53</v>
      </c>
      <c r="D6" s="3" t="s">
        <v>46</v>
      </c>
      <c r="E6" s="3" t="s">
        <v>50</v>
      </c>
      <c r="F6" s="3">
        <v>0</v>
      </c>
      <c r="G6" s="3">
        <v>8</v>
      </c>
      <c r="I6" s="8" t="s">
        <v>431</v>
      </c>
      <c r="J6" s="8">
        <f>SUMPRODUCT(B2:B84,G2:G84)/SUM(B2:B84)</f>
        <v>8.61</v>
      </c>
    </row>
    <row r="7" spans="1:10">
      <c r="A7" s="3" t="s">
        <v>77</v>
      </c>
      <c r="B7" s="3">
        <v>1</v>
      </c>
      <c r="C7" s="3" t="s">
        <v>53</v>
      </c>
      <c r="D7" s="3" t="s">
        <v>50</v>
      </c>
      <c r="E7" s="3" t="s">
        <v>50</v>
      </c>
      <c r="F7" s="3">
        <v>1</v>
      </c>
      <c r="G7" s="3">
        <v>9.1999999999999993</v>
      </c>
      <c r="I7" s="8" t="s">
        <v>432</v>
      </c>
      <c r="J7" s="8" t="s">
        <v>433</v>
      </c>
    </row>
    <row r="8" spans="1:10">
      <c r="A8" s="3" t="s">
        <v>81</v>
      </c>
      <c r="B8" s="3">
        <v>1</v>
      </c>
      <c r="C8" s="3" t="s">
        <v>53</v>
      </c>
      <c r="D8" s="3" t="s">
        <v>50</v>
      </c>
      <c r="E8" s="3" t="s">
        <v>46</v>
      </c>
      <c r="F8" s="3">
        <v>4</v>
      </c>
      <c r="G8" s="3">
        <v>8.5</v>
      </c>
    </row>
    <row r="9" spans="1:10">
      <c r="A9" s="3" t="s">
        <v>84</v>
      </c>
      <c r="B9" s="3">
        <v>1</v>
      </c>
      <c r="C9" s="3" t="s">
        <v>53</v>
      </c>
      <c r="D9" s="3" t="s">
        <v>50</v>
      </c>
      <c r="E9" s="3" t="s">
        <v>50</v>
      </c>
      <c r="F9" s="3">
        <v>4</v>
      </c>
      <c r="G9" s="3">
        <v>9.1999999999999993</v>
      </c>
    </row>
    <row r="10" spans="1:10">
      <c r="A10" s="3" t="s">
        <v>87</v>
      </c>
      <c r="B10" s="3">
        <v>1</v>
      </c>
      <c r="C10" s="3" t="s">
        <v>53</v>
      </c>
      <c r="D10" s="3" t="s">
        <v>46</v>
      </c>
      <c r="E10" s="3" t="s">
        <v>50</v>
      </c>
      <c r="F10" s="3">
        <v>0</v>
      </c>
      <c r="G10" s="3">
        <v>7.5</v>
      </c>
    </row>
    <row r="11" spans="1:10">
      <c r="A11" s="3" t="s">
        <v>90</v>
      </c>
      <c r="B11" s="3">
        <v>1</v>
      </c>
      <c r="C11" s="3" t="s">
        <v>53</v>
      </c>
      <c r="D11" s="3" t="s">
        <v>50</v>
      </c>
      <c r="E11" s="3" t="s">
        <v>50</v>
      </c>
      <c r="F11" s="3">
        <v>3</v>
      </c>
      <c r="G11" s="3">
        <v>9</v>
      </c>
    </row>
    <row r="12" spans="1:10">
      <c r="A12" s="3" t="s">
        <v>92</v>
      </c>
      <c r="B12" s="3">
        <v>1</v>
      </c>
      <c r="C12" s="3" t="s">
        <v>53</v>
      </c>
      <c r="D12" s="3" t="s">
        <v>46</v>
      </c>
      <c r="E12" s="3" t="s">
        <v>50</v>
      </c>
      <c r="F12" s="3">
        <v>0</v>
      </c>
      <c r="G12" s="3">
        <v>9</v>
      </c>
    </row>
    <row r="13" spans="1:10">
      <c r="A13" s="3" t="s">
        <v>98</v>
      </c>
      <c r="B13" s="3">
        <v>1</v>
      </c>
      <c r="C13" s="3" t="s">
        <v>53</v>
      </c>
      <c r="D13" s="3" t="s">
        <v>50</v>
      </c>
      <c r="E13" s="3" t="s">
        <v>50</v>
      </c>
      <c r="F13" s="3">
        <v>2</v>
      </c>
      <c r="G13" s="3">
        <v>8.5</v>
      </c>
    </row>
    <row r="14" spans="1:10">
      <c r="A14" s="3" t="s">
        <v>100</v>
      </c>
      <c r="B14" s="3">
        <v>1</v>
      </c>
      <c r="C14" s="3" t="s">
        <v>53</v>
      </c>
      <c r="D14" s="3" t="s">
        <v>50</v>
      </c>
      <c r="E14" s="3" t="s">
        <v>50</v>
      </c>
      <c r="F14" s="3">
        <v>4</v>
      </c>
      <c r="G14" s="3">
        <v>8</v>
      </c>
    </row>
    <row r="15" spans="1:10">
      <c r="A15" s="3" t="s">
        <v>102</v>
      </c>
      <c r="B15" s="3">
        <v>1</v>
      </c>
      <c r="C15" s="3" t="s">
        <v>53</v>
      </c>
      <c r="D15" s="3" t="s">
        <v>46</v>
      </c>
      <c r="E15" s="3" t="s">
        <v>50</v>
      </c>
      <c r="F15" s="3">
        <v>0</v>
      </c>
      <c r="G15" s="3">
        <v>8</v>
      </c>
    </row>
    <row r="16" spans="1:10">
      <c r="A16" s="3" t="s">
        <v>104</v>
      </c>
      <c r="B16" s="3">
        <v>1</v>
      </c>
      <c r="C16" s="3" t="s">
        <v>53</v>
      </c>
      <c r="D16" s="3" t="s">
        <v>46</v>
      </c>
      <c r="E16" s="3" t="s">
        <v>50</v>
      </c>
      <c r="F16" s="3">
        <v>0</v>
      </c>
      <c r="G16" s="3">
        <v>8.5</v>
      </c>
    </row>
    <row r="17" spans="1:7">
      <c r="A17" s="3" t="s">
        <v>106</v>
      </c>
      <c r="B17" s="3">
        <v>1</v>
      </c>
      <c r="C17" s="3" t="s">
        <v>53</v>
      </c>
      <c r="D17" s="3" t="s">
        <v>50</v>
      </c>
      <c r="E17" s="3" t="s">
        <v>50</v>
      </c>
      <c r="F17" s="3">
        <v>4</v>
      </c>
      <c r="G17" s="3">
        <v>9.3000000000000007</v>
      </c>
    </row>
    <row r="18" spans="1:7">
      <c r="A18" s="3" t="s">
        <v>109</v>
      </c>
      <c r="B18" s="3">
        <v>1</v>
      </c>
      <c r="C18" s="3" t="s">
        <v>53</v>
      </c>
      <c r="D18" s="3" t="s">
        <v>50</v>
      </c>
      <c r="E18" s="3" t="s">
        <v>50</v>
      </c>
      <c r="F18" s="3">
        <v>2</v>
      </c>
      <c r="G18" s="3">
        <v>8.5</v>
      </c>
    </row>
    <row r="19" spans="1:7">
      <c r="A19" s="3" t="s">
        <v>111</v>
      </c>
      <c r="B19" s="3">
        <v>1</v>
      </c>
      <c r="C19" s="3" t="s">
        <v>53</v>
      </c>
      <c r="D19" s="3" t="s">
        <v>50</v>
      </c>
      <c r="E19" s="3" t="s">
        <v>50</v>
      </c>
      <c r="F19" s="3">
        <v>2</v>
      </c>
      <c r="G19" s="3">
        <v>7.5</v>
      </c>
    </row>
    <row r="20" spans="1:7">
      <c r="A20" s="3" t="s">
        <v>113</v>
      </c>
      <c r="B20" s="3">
        <v>1</v>
      </c>
      <c r="C20" s="3" t="s">
        <v>53</v>
      </c>
      <c r="D20" s="3" t="s">
        <v>46</v>
      </c>
      <c r="E20" s="3" t="s">
        <v>50</v>
      </c>
      <c r="F20" s="3">
        <v>0</v>
      </c>
      <c r="G20" s="3">
        <v>7.5</v>
      </c>
    </row>
    <row r="21" spans="1:7">
      <c r="A21" s="3" t="s">
        <v>119</v>
      </c>
      <c r="B21" s="3">
        <v>1</v>
      </c>
      <c r="C21" s="3" t="s">
        <v>53</v>
      </c>
      <c r="D21" s="3" t="s">
        <v>50</v>
      </c>
      <c r="E21" s="3" t="s">
        <v>50</v>
      </c>
      <c r="F21" s="3">
        <v>3</v>
      </c>
      <c r="G21" s="3">
        <v>9.1999999999999993</v>
      </c>
    </row>
    <row r="22" spans="1:7">
      <c r="A22" s="3" t="s">
        <v>126</v>
      </c>
      <c r="B22" s="3">
        <v>1</v>
      </c>
      <c r="C22" s="3" t="s">
        <v>53</v>
      </c>
      <c r="D22" s="3" t="s">
        <v>50</v>
      </c>
      <c r="E22" s="3" t="s">
        <v>46</v>
      </c>
      <c r="F22" s="3">
        <v>2</v>
      </c>
      <c r="G22" s="3">
        <v>9.1999999999999993</v>
      </c>
    </row>
    <row r="23" spans="1:7">
      <c r="A23" s="3" t="s">
        <v>128</v>
      </c>
      <c r="B23" s="3">
        <v>1</v>
      </c>
      <c r="C23" s="3" t="s">
        <v>53</v>
      </c>
      <c r="D23" s="3" t="s">
        <v>50</v>
      </c>
      <c r="E23" s="3" t="s">
        <v>50</v>
      </c>
      <c r="F23" s="3">
        <v>2</v>
      </c>
      <c r="G23" s="3">
        <v>9.1999999999999993</v>
      </c>
    </row>
    <row r="24" spans="1:7">
      <c r="A24" s="3" t="s">
        <v>133</v>
      </c>
      <c r="B24" s="3">
        <v>1</v>
      </c>
      <c r="C24" s="3" t="s">
        <v>53</v>
      </c>
      <c r="D24" s="3" t="s">
        <v>50</v>
      </c>
      <c r="E24" s="3" t="s">
        <v>50</v>
      </c>
      <c r="F24" s="3">
        <v>3</v>
      </c>
      <c r="G24" s="3">
        <v>9.5</v>
      </c>
    </row>
    <row r="25" spans="1:7">
      <c r="A25" s="3" t="s">
        <v>139</v>
      </c>
      <c r="B25" s="3">
        <v>1</v>
      </c>
      <c r="C25" s="3" t="s">
        <v>53</v>
      </c>
      <c r="D25" s="3" t="s">
        <v>50</v>
      </c>
      <c r="E25" s="3" t="s">
        <v>46</v>
      </c>
      <c r="F25" s="3">
        <v>4</v>
      </c>
      <c r="G25" s="3">
        <v>8.8000000000000007</v>
      </c>
    </row>
    <row r="26" spans="1:7">
      <c r="A26" s="3" t="s">
        <v>142</v>
      </c>
      <c r="B26" s="3">
        <v>1</v>
      </c>
      <c r="C26" s="3" t="s">
        <v>53</v>
      </c>
      <c r="D26" s="3" t="s">
        <v>50</v>
      </c>
      <c r="E26" s="3" t="s">
        <v>50</v>
      </c>
      <c r="F26" s="3">
        <v>2</v>
      </c>
      <c r="G26" s="3">
        <v>8.8000000000000007</v>
      </c>
    </row>
    <row r="27" spans="1:7">
      <c r="A27" s="3" t="s">
        <v>144</v>
      </c>
      <c r="B27" s="3">
        <v>1</v>
      </c>
      <c r="C27" s="3" t="s">
        <v>53</v>
      </c>
      <c r="D27" s="3" t="s">
        <v>50</v>
      </c>
      <c r="E27" s="3" t="s">
        <v>50</v>
      </c>
      <c r="F27" s="3">
        <v>1</v>
      </c>
      <c r="G27" s="3">
        <v>9.6</v>
      </c>
    </row>
    <row r="28" spans="1:7">
      <c r="A28" s="3" t="s">
        <v>148</v>
      </c>
      <c r="B28" s="3">
        <v>1</v>
      </c>
      <c r="C28" s="3" t="s">
        <v>53</v>
      </c>
      <c r="D28" s="3" t="s">
        <v>50</v>
      </c>
      <c r="E28" s="3" t="s">
        <v>50</v>
      </c>
      <c r="F28" s="3">
        <v>2</v>
      </c>
      <c r="G28" s="3">
        <v>9.6999999999999993</v>
      </c>
    </row>
    <row r="29" spans="1:7">
      <c r="A29" s="3" t="s">
        <v>151</v>
      </c>
      <c r="B29" s="3">
        <v>1</v>
      </c>
      <c r="C29" s="3" t="s">
        <v>53</v>
      </c>
      <c r="D29" s="3" t="s">
        <v>50</v>
      </c>
      <c r="E29" s="3" t="s">
        <v>50</v>
      </c>
      <c r="F29" s="3">
        <v>5</v>
      </c>
      <c r="G29" s="3">
        <v>8</v>
      </c>
    </row>
    <row r="30" spans="1:7">
      <c r="A30" s="3" t="s">
        <v>157</v>
      </c>
      <c r="B30" s="3">
        <v>1</v>
      </c>
      <c r="C30" s="3" t="s">
        <v>53</v>
      </c>
      <c r="D30" s="3" t="s">
        <v>50</v>
      </c>
      <c r="E30" s="3" t="s">
        <v>50</v>
      </c>
      <c r="F30" s="3">
        <v>2</v>
      </c>
      <c r="G30" s="3">
        <v>8.8000000000000007</v>
      </c>
    </row>
    <row r="31" spans="1:7">
      <c r="A31" s="3" t="s">
        <v>160</v>
      </c>
      <c r="B31" s="3">
        <v>1</v>
      </c>
      <c r="C31" s="3" t="s">
        <v>53</v>
      </c>
      <c r="D31" s="3" t="s">
        <v>50</v>
      </c>
      <c r="E31" s="3" t="s">
        <v>50</v>
      </c>
      <c r="F31" s="3">
        <v>1</v>
      </c>
      <c r="G31" s="3">
        <v>9</v>
      </c>
    </row>
    <row r="32" spans="1:7">
      <c r="A32" s="3" t="s">
        <v>162</v>
      </c>
      <c r="B32" s="3">
        <v>1</v>
      </c>
      <c r="C32" s="3" t="s">
        <v>53</v>
      </c>
      <c r="D32" s="3" t="s">
        <v>50</v>
      </c>
      <c r="E32" s="3" t="s">
        <v>50</v>
      </c>
      <c r="F32" s="3">
        <v>4</v>
      </c>
      <c r="G32" s="3">
        <v>9.1999999999999993</v>
      </c>
    </row>
    <row r="33" spans="1:7">
      <c r="A33" s="3" t="s">
        <v>164</v>
      </c>
      <c r="B33" s="3">
        <v>1</v>
      </c>
      <c r="C33" s="3" t="s">
        <v>53</v>
      </c>
      <c r="D33" s="3" t="s">
        <v>50</v>
      </c>
      <c r="E33" s="3" t="s">
        <v>50</v>
      </c>
      <c r="F33" s="3">
        <v>4</v>
      </c>
      <c r="G33" s="3">
        <v>9.1999999999999993</v>
      </c>
    </row>
    <row r="34" spans="1:7">
      <c r="A34" s="3" t="s">
        <v>171</v>
      </c>
      <c r="B34" s="3">
        <v>1</v>
      </c>
      <c r="C34" s="3" t="s">
        <v>53</v>
      </c>
      <c r="D34" s="3" t="s">
        <v>50</v>
      </c>
      <c r="E34" s="3" t="s">
        <v>46</v>
      </c>
      <c r="F34" s="3">
        <v>5</v>
      </c>
      <c r="G34" s="3">
        <v>8.1999999999999993</v>
      </c>
    </row>
    <row r="35" spans="1:7">
      <c r="A35" s="3" t="s">
        <v>173</v>
      </c>
      <c r="B35" s="3">
        <v>1</v>
      </c>
      <c r="C35" s="3" t="s">
        <v>53</v>
      </c>
      <c r="D35" s="3" t="s">
        <v>50</v>
      </c>
      <c r="E35" s="3" t="s">
        <v>50</v>
      </c>
      <c r="F35" s="3">
        <v>2</v>
      </c>
      <c r="G35" s="3">
        <v>8.8000000000000007</v>
      </c>
    </row>
    <row r="36" spans="1:7">
      <c r="A36" s="3" t="s">
        <v>175</v>
      </c>
      <c r="B36" s="3">
        <v>1</v>
      </c>
      <c r="C36" s="3" t="s">
        <v>53</v>
      </c>
      <c r="D36" s="3" t="s">
        <v>50</v>
      </c>
      <c r="E36" s="3" t="s">
        <v>50</v>
      </c>
      <c r="F36" s="3">
        <v>4</v>
      </c>
      <c r="G36" s="3">
        <v>9.1</v>
      </c>
    </row>
    <row r="37" spans="1:7">
      <c r="A37" s="3" t="s">
        <v>178</v>
      </c>
      <c r="B37" s="3">
        <v>6</v>
      </c>
      <c r="C37" s="3" t="s">
        <v>53</v>
      </c>
      <c r="D37" s="3" t="s">
        <v>46</v>
      </c>
      <c r="E37" s="3" t="s">
        <v>50</v>
      </c>
      <c r="F37" s="3">
        <v>0</v>
      </c>
      <c r="G37" s="3">
        <v>8</v>
      </c>
    </row>
    <row r="38" spans="1:7">
      <c r="A38" s="3" t="s">
        <v>181</v>
      </c>
      <c r="B38" s="3">
        <v>1</v>
      </c>
      <c r="C38" s="3" t="s">
        <v>53</v>
      </c>
      <c r="D38" s="3" t="s">
        <v>50</v>
      </c>
      <c r="E38" s="3" t="s">
        <v>50</v>
      </c>
      <c r="F38" s="3">
        <v>1</v>
      </c>
      <c r="G38" s="3">
        <v>7.8</v>
      </c>
    </row>
    <row r="39" spans="1:7">
      <c r="A39" s="3" t="s">
        <v>186</v>
      </c>
      <c r="B39" s="3">
        <v>1</v>
      </c>
      <c r="C39" s="3" t="s">
        <v>53</v>
      </c>
      <c r="D39" s="3" t="s">
        <v>50</v>
      </c>
      <c r="E39" s="3" t="s">
        <v>50</v>
      </c>
      <c r="F39" s="3">
        <v>4</v>
      </c>
      <c r="G39" s="3">
        <v>9.1999999999999993</v>
      </c>
    </row>
    <row r="40" spans="1:7">
      <c r="A40" s="3" t="s">
        <v>189</v>
      </c>
      <c r="B40" s="3">
        <v>1</v>
      </c>
      <c r="C40" s="3" t="s">
        <v>53</v>
      </c>
      <c r="D40" s="3" t="s">
        <v>50</v>
      </c>
      <c r="E40" s="3" t="s">
        <v>50</v>
      </c>
      <c r="F40" s="3">
        <v>3</v>
      </c>
      <c r="G40" s="3">
        <v>8</v>
      </c>
    </row>
    <row r="41" spans="1:7">
      <c r="A41" s="3" t="s">
        <v>194</v>
      </c>
      <c r="B41" s="3">
        <v>1</v>
      </c>
      <c r="C41" s="3" t="s">
        <v>53</v>
      </c>
      <c r="D41" s="3" t="s">
        <v>46</v>
      </c>
      <c r="E41" s="3" t="s">
        <v>50</v>
      </c>
      <c r="F41" s="3">
        <v>0</v>
      </c>
      <c r="G41" s="3">
        <v>6.8</v>
      </c>
    </row>
    <row r="42" spans="1:7">
      <c r="A42" s="3" t="s">
        <v>196</v>
      </c>
      <c r="B42" s="3">
        <v>1</v>
      </c>
      <c r="C42" s="3" t="s">
        <v>53</v>
      </c>
      <c r="D42" s="3" t="s">
        <v>50</v>
      </c>
      <c r="E42" s="3" t="s">
        <v>50</v>
      </c>
      <c r="F42" s="3">
        <v>2</v>
      </c>
      <c r="G42" s="3">
        <v>9.1999999999999993</v>
      </c>
    </row>
    <row r="43" spans="1:7">
      <c r="A43" s="3" t="s">
        <v>198</v>
      </c>
      <c r="B43" s="3">
        <v>1</v>
      </c>
      <c r="C43" s="3" t="s">
        <v>53</v>
      </c>
      <c r="D43" s="3" t="s">
        <v>50</v>
      </c>
      <c r="E43" s="3" t="s">
        <v>46</v>
      </c>
      <c r="F43" s="3">
        <v>4</v>
      </c>
      <c r="G43" s="3">
        <v>9.1</v>
      </c>
    </row>
    <row r="44" spans="1:7">
      <c r="A44" s="3" t="s">
        <v>200</v>
      </c>
      <c r="B44" s="3">
        <v>1</v>
      </c>
      <c r="C44" s="3" t="s">
        <v>53</v>
      </c>
      <c r="D44" s="3" t="s">
        <v>50</v>
      </c>
      <c r="E44" s="3" t="s">
        <v>50</v>
      </c>
      <c r="F44" s="3">
        <v>3</v>
      </c>
      <c r="G44" s="3">
        <v>9.1999999999999993</v>
      </c>
    </row>
    <row r="45" spans="1:7">
      <c r="A45" s="3" t="s">
        <v>203</v>
      </c>
      <c r="B45" s="3">
        <v>1</v>
      </c>
      <c r="C45" s="3" t="s">
        <v>53</v>
      </c>
      <c r="D45" s="3" t="s">
        <v>50</v>
      </c>
      <c r="E45" s="3" t="s">
        <v>50</v>
      </c>
      <c r="F45" s="3">
        <v>2</v>
      </c>
      <c r="G45" s="3">
        <v>9.6</v>
      </c>
    </row>
    <row r="46" spans="1:7">
      <c r="A46" s="3" t="s">
        <v>207</v>
      </c>
      <c r="B46" s="3">
        <v>1</v>
      </c>
      <c r="C46" s="3" t="s">
        <v>53</v>
      </c>
      <c r="D46" s="3" t="s">
        <v>50</v>
      </c>
      <c r="E46" s="3" t="s">
        <v>50</v>
      </c>
      <c r="F46" s="3">
        <v>1</v>
      </c>
      <c r="G46" s="3">
        <v>8.1999999999999993</v>
      </c>
    </row>
    <row r="47" spans="1:7">
      <c r="A47" s="3" t="s">
        <v>209</v>
      </c>
      <c r="B47" s="3">
        <v>1</v>
      </c>
      <c r="C47" s="3" t="s">
        <v>53</v>
      </c>
      <c r="D47" s="3" t="s">
        <v>46</v>
      </c>
      <c r="E47" s="3" t="s">
        <v>50</v>
      </c>
      <c r="F47" s="3">
        <v>0</v>
      </c>
      <c r="G47" s="3">
        <v>6.5</v>
      </c>
    </row>
    <row r="48" spans="1:7">
      <c r="A48" s="3" t="s">
        <v>211</v>
      </c>
      <c r="B48" s="3">
        <v>1</v>
      </c>
      <c r="C48" s="3" t="s">
        <v>53</v>
      </c>
      <c r="D48" s="3" t="s">
        <v>50</v>
      </c>
      <c r="E48" s="3" t="s">
        <v>50</v>
      </c>
      <c r="F48" s="3">
        <v>3</v>
      </c>
      <c r="G48" s="3">
        <v>8.1999999999999993</v>
      </c>
    </row>
    <row r="49" spans="1:7">
      <c r="A49" s="3" t="s">
        <v>213</v>
      </c>
      <c r="B49" s="3">
        <v>1</v>
      </c>
      <c r="C49" s="3" t="s">
        <v>53</v>
      </c>
      <c r="D49" s="3" t="s">
        <v>50</v>
      </c>
      <c r="E49" s="3" t="s">
        <v>50</v>
      </c>
      <c r="F49" s="3">
        <v>2</v>
      </c>
      <c r="G49" s="3">
        <v>9.6</v>
      </c>
    </row>
    <row r="50" spans="1:7">
      <c r="A50" s="3" t="s">
        <v>216</v>
      </c>
      <c r="B50" s="3">
        <v>1</v>
      </c>
      <c r="C50" s="3" t="s">
        <v>53</v>
      </c>
      <c r="D50" s="3" t="s">
        <v>50</v>
      </c>
      <c r="E50" s="3" t="s">
        <v>46</v>
      </c>
      <c r="F50" s="3">
        <v>2</v>
      </c>
      <c r="G50" s="3">
        <v>8.4</v>
      </c>
    </row>
    <row r="51" spans="1:7">
      <c r="A51" s="3" t="s">
        <v>218</v>
      </c>
      <c r="B51" s="3">
        <v>1</v>
      </c>
      <c r="C51" s="3" t="s">
        <v>53</v>
      </c>
      <c r="D51" s="3" t="s">
        <v>50</v>
      </c>
      <c r="E51" s="3" t="s">
        <v>50</v>
      </c>
      <c r="F51" s="3">
        <v>5</v>
      </c>
      <c r="G51" s="3">
        <v>8.1999999999999993</v>
      </c>
    </row>
    <row r="52" spans="1:7">
      <c r="A52" s="3" t="s">
        <v>220</v>
      </c>
      <c r="B52" s="3">
        <v>1</v>
      </c>
      <c r="C52" s="3" t="s">
        <v>53</v>
      </c>
      <c r="D52" s="3" t="s">
        <v>50</v>
      </c>
      <c r="E52" s="3" t="s">
        <v>50</v>
      </c>
      <c r="F52" s="3">
        <v>3</v>
      </c>
      <c r="G52" s="3">
        <v>9.1</v>
      </c>
    </row>
    <row r="53" spans="1:7">
      <c r="A53" s="3" t="s">
        <v>223</v>
      </c>
      <c r="B53" s="3">
        <v>1</v>
      </c>
      <c r="C53" s="3" t="s">
        <v>53</v>
      </c>
      <c r="D53" s="3" t="s">
        <v>50</v>
      </c>
      <c r="E53" s="3" t="s">
        <v>50</v>
      </c>
      <c r="F53" s="3">
        <v>1</v>
      </c>
      <c r="G53" s="3">
        <v>9.6999999999999993</v>
      </c>
    </row>
    <row r="54" spans="1:7">
      <c r="A54" s="3" t="s">
        <v>225</v>
      </c>
      <c r="B54" s="3">
        <v>1</v>
      </c>
      <c r="C54" s="3" t="s">
        <v>53</v>
      </c>
      <c r="D54" s="3" t="s">
        <v>50</v>
      </c>
      <c r="E54" s="3" t="s">
        <v>46</v>
      </c>
      <c r="F54" s="3">
        <v>6</v>
      </c>
      <c r="G54" s="3">
        <v>8.3000000000000007</v>
      </c>
    </row>
    <row r="55" spans="1:7">
      <c r="A55" s="3" t="s">
        <v>227</v>
      </c>
      <c r="B55" s="3">
        <v>1</v>
      </c>
      <c r="C55" s="3" t="s">
        <v>53</v>
      </c>
      <c r="D55" s="3" t="s">
        <v>46</v>
      </c>
      <c r="E55" s="3" t="s">
        <v>50</v>
      </c>
      <c r="F55" s="3">
        <v>1</v>
      </c>
      <c r="G55" s="3">
        <v>8</v>
      </c>
    </row>
    <row r="56" spans="1:7">
      <c r="A56" s="3" t="s">
        <v>233</v>
      </c>
      <c r="B56" s="3">
        <v>1</v>
      </c>
      <c r="C56" s="3" t="s">
        <v>53</v>
      </c>
      <c r="D56" s="3" t="s">
        <v>50</v>
      </c>
      <c r="E56" s="3" t="s">
        <v>50</v>
      </c>
      <c r="F56" s="3">
        <v>4</v>
      </c>
      <c r="G56" s="3">
        <v>8.8000000000000007</v>
      </c>
    </row>
    <row r="57" spans="1:7">
      <c r="A57" s="3" t="s">
        <v>235</v>
      </c>
      <c r="B57" s="3">
        <v>1</v>
      </c>
      <c r="C57" s="3" t="s">
        <v>53</v>
      </c>
      <c r="D57" s="3" t="s">
        <v>50</v>
      </c>
      <c r="E57" s="3" t="s">
        <v>50</v>
      </c>
      <c r="F57" s="3">
        <v>3</v>
      </c>
      <c r="G57" s="3">
        <v>9.4</v>
      </c>
    </row>
    <row r="58" spans="1:7">
      <c r="A58" s="3" t="s">
        <v>237</v>
      </c>
      <c r="B58" s="3">
        <v>13</v>
      </c>
      <c r="C58" s="3" t="s">
        <v>53</v>
      </c>
      <c r="D58" s="3" t="s">
        <v>46</v>
      </c>
      <c r="E58" s="3" t="s">
        <v>50</v>
      </c>
      <c r="F58" s="3">
        <v>0</v>
      </c>
      <c r="G58" s="3">
        <v>8</v>
      </c>
    </row>
    <row r="59" spans="1:7">
      <c r="A59" s="3" t="s">
        <v>240</v>
      </c>
      <c r="B59" s="3">
        <v>1</v>
      </c>
      <c r="C59" s="3" t="s">
        <v>53</v>
      </c>
      <c r="D59" s="3" t="s">
        <v>50</v>
      </c>
      <c r="E59" s="3" t="s">
        <v>50</v>
      </c>
      <c r="F59" s="3">
        <v>2</v>
      </c>
      <c r="G59" s="3">
        <v>8</v>
      </c>
    </row>
    <row r="60" spans="1:7">
      <c r="A60" s="3" t="s">
        <v>242</v>
      </c>
      <c r="B60" s="3">
        <v>1</v>
      </c>
      <c r="C60" s="3" t="s">
        <v>53</v>
      </c>
      <c r="D60" s="3" t="s">
        <v>46</v>
      </c>
      <c r="E60" s="3" t="s">
        <v>50</v>
      </c>
      <c r="F60" s="3">
        <v>0</v>
      </c>
      <c r="G60" s="3">
        <v>7.5</v>
      </c>
    </row>
    <row r="61" spans="1:7">
      <c r="A61" s="3" t="s">
        <v>244</v>
      </c>
      <c r="B61" s="3">
        <v>1</v>
      </c>
      <c r="C61" s="3" t="s">
        <v>53</v>
      </c>
      <c r="D61" s="3" t="s">
        <v>50</v>
      </c>
      <c r="E61" s="3" t="s">
        <v>50</v>
      </c>
      <c r="F61" s="3">
        <v>2</v>
      </c>
      <c r="G61" s="3">
        <v>8.1999999999999993</v>
      </c>
    </row>
    <row r="62" spans="1:7">
      <c r="A62" s="3" t="s">
        <v>249</v>
      </c>
      <c r="B62" s="3">
        <v>1</v>
      </c>
      <c r="C62" s="3" t="s">
        <v>53</v>
      </c>
      <c r="D62" s="3" t="s">
        <v>50</v>
      </c>
      <c r="E62" s="3" t="s">
        <v>50</v>
      </c>
      <c r="F62" s="3">
        <v>5</v>
      </c>
      <c r="G62" s="3">
        <v>9</v>
      </c>
    </row>
    <row r="63" spans="1:7">
      <c r="A63" s="3" t="s">
        <v>255</v>
      </c>
      <c r="B63" s="3">
        <v>1</v>
      </c>
      <c r="C63" s="3" t="s">
        <v>53</v>
      </c>
      <c r="D63" s="3" t="s">
        <v>50</v>
      </c>
      <c r="E63" s="3" t="s">
        <v>50</v>
      </c>
      <c r="F63" s="3">
        <v>3</v>
      </c>
      <c r="G63" s="3">
        <v>9.3000000000000007</v>
      </c>
    </row>
    <row r="64" spans="1:7">
      <c r="A64" s="3" t="s">
        <v>257</v>
      </c>
      <c r="B64" s="3">
        <v>1</v>
      </c>
      <c r="C64" s="3" t="s">
        <v>53</v>
      </c>
      <c r="D64" s="3" t="s">
        <v>50</v>
      </c>
      <c r="E64" s="3" t="s">
        <v>50</v>
      </c>
      <c r="F64" s="3">
        <v>3</v>
      </c>
      <c r="G64" s="3">
        <v>9.5</v>
      </c>
    </row>
    <row r="65" spans="1:7">
      <c r="A65" s="3" t="s">
        <v>261</v>
      </c>
      <c r="B65" s="3">
        <v>1</v>
      </c>
      <c r="C65" s="3" t="s">
        <v>53</v>
      </c>
      <c r="D65" s="3" t="s">
        <v>50</v>
      </c>
      <c r="E65" s="3" t="s">
        <v>50</v>
      </c>
      <c r="F65" s="3">
        <v>4</v>
      </c>
      <c r="G65" s="3">
        <v>8.4</v>
      </c>
    </row>
    <row r="66" spans="1:7">
      <c r="A66" s="3" t="s">
        <v>264</v>
      </c>
      <c r="B66" s="3">
        <v>1</v>
      </c>
      <c r="C66" s="3" t="s">
        <v>53</v>
      </c>
      <c r="D66" s="3" t="s">
        <v>50</v>
      </c>
      <c r="E66" s="3" t="s">
        <v>50</v>
      </c>
      <c r="F66" s="3">
        <v>2</v>
      </c>
      <c r="G66" s="3">
        <v>8.6999999999999993</v>
      </c>
    </row>
    <row r="67" spans="1:7">
      <c r="A67" s="3" t="s">
        <v>270</v>
      </c>
      <c r="B67" s="3">
        <v>1</v>
      </c>
      <c r="C67" s="3" t="s">
        <v>53</v>
      </c>
      <c r="D67" s="3" t="s">
        <v>46</v>
      </c>
      <c r="E67" s="3" t="s">
        <v>50</v>
      </c>
      <c r="F67" s="3">
        <v>0</v>
      </c>
      <c r="G67" s="3">
        <v>8.6999999999999993</v>
      </c>
    </row>
    <row r="68" spans="1:7">
      <c r="A68" s="3" t="s">
        <v>272</v>
      </c>
      <c r="B68" s="3">
        <v>1</v>
      </c>
      <c r="C68" s="3" t="s">
        <v>53</v>
      </c>
      <c r="D68" s="3" t="s">
        <v>50</v>
      </c>
      <c r="E68" s="3" t="s">
        <v>50</v>
      </c>
      <c r="F68" s="3">
        <v>3</v>
      </c>
      <c r="G68" s="3">
        <v>8.6999999999999993</v>
      </c>
    </row>
    <row r="69" spans="1:7">
      <c r="A69" s="3" t="s">
        <v>366</v>
      </c>
      <c r="B69" s="3">
        <v>1</v>
      </c>
      <c r="C69" s="3" t="s">
        <v>434</v>
      </c>
      <c r="D69" s="3" t="s">
        <v>50</v>
      </c>
      <c r="E69" s="3" t="s">
        <v>50</v>
      </c>
      <c r="F69" s="3">
        <v>2</v>
      </c>
      <c r="G69" s="3">
        <v>9.8000000000000007</v>
      </c>
    </row>
    <row r="70" spans="1:7">
      <c r="A70" s="3" t="s">
        <v>373</v>
      </c>
      <c r="B70" s="3">
        <v>1</v>
      </c>
      <c r="C70" s="3" t="s">
        <v>434</v>
      </c>
      <c r="D70" s="3" t="s">
        <v>50</v>
      </c>
      <c r="E70" s="3" t="s">
        <v>50</v>
      </c>
      <c r="F70" s="3">
        <v>1</v>
      </c>
      <c r="G70" s="3">
        <v>9</v>
      </c>
    </row>
    <row r="71" spans="1:7">
      <c r="A71" s="3" t="s">
        <v>380</v>
      </c>
      <c r="B71" s="3">
        <v>1</v>
      </c>
      <c r="C71" s="3" t="s">
        <v>434</v>
      </c>
      <c r="D71" s="3" t="s">
        <v>50</v>
      </c>
      <c r="E71" s="3" t="s">
        <v>50</v>
      </c>
      <c r="F71" s="3">
        <v>2</v>
      </c>
      <c r="G71" s="3">
        <v>9.6</v>
      </c>
    </row>
    <row r="72" spans="1:7">
      <c r="A72" s="3" t="s">
        <v>387</v>
      </c>
      <c r="B72" s="3">
        <v>1</v>
      </c>
      <c r="C72" s="3" t="s">
        <v>434</v>
      </c>
      <c r="D72" s="3" t="s">
        <v>50</v>
      </c>
      <c r="E72" s="3" t="s">
        <v>50</v>
      </c>
      <c r="F72" s="3">
        <v>3</v>
      </c>
      <c r="G72" s="3">
        <v>9.8000000000000007</v>
      </c>
    </row>
    <row r="73" spans="1:7">
      <c r="A73" s="3" t="s">
        <v>377</v>
      </c>
      <c r="B73" s="3">
        <v>1</v>
      </c>
      <c r="C73" s="3" t="s">
        <v>434</v>
      </c>
      <c r="D73" s="3" t="s">
        <v>50</v>
      </c>
      <c r="E73" s="3" t="s">
        <v>50</v>
      </c>
      <c r="F73" s="3">
        <v>2</v>
      </c>
      <c r="G73" s="3">
        <v>9.1</v>
      </c>
    </row>
    <row r="74" spans="1:7">
      <c r="A74" s="3" t="s">
        <v>369</v>
      </c>
      <c r="B74" s="3">
        <v>1</v>
      </c>
      <c r="C74" s="3" t="s">
        <v>434</v>
      </c>
      <c r="D74" s="3" t="s">
        <v>50</v>
      </c>
      <c r="E74" s="3" t="s">
        <v>50</v>
      </c>
      <c r="F74" s="3">
        <v>1</v>
      </c>
      <c r="G74" s="3">
        <v>8.8000000000000007</v>
      </c>
    </row>
    <row r="75" spans="1:7">
      <c r="A75" s="3" t="s">
        <v>390</v>
      </c>
      <c r="B75" s="3">
        <v>1</v>
      </c>
      <c r="C75" s="3" t="s">
        <v>434</v>
      </c>
      <c r="D75" s="3" t="s">
        <v>50</v>
      </c>
      <c r="E75" s="3" t="s">
        <v>50</v>
      </c>
      <c r="F75" s="3">
        <v>2</v>
      </c>
      <c r="G75" s="3">
        <v>9.6</v>
      </c>
    </row>
    <row r="76" spans="1:7">
      <c r="A76" s="3" t="s">
        <v>397</v>
      </c>
      <c r="B76" s="3">
        <v>1</v>
      </c>
      <c r="C76" s="3" t="s">
        <v>434</v>
      </c>
      <c r="D76" s="3" t="s">
        <v>50</v>
      </c>
      <c r="E76" s="3" t="s">
        <v>50</v>
      </c>
      <c r="F76" s="3">
        <v>3</v>
      </c>
      <c r="G76" s="3">
        <v>9.8000000000000007</v>
      </c>
    </row>
    <row r="77" spans="1:7">
      <c r="A77" s="3" t="s">
        <v>393</v>
      </c>
      <c r="B77" s="3">
        <v>1</v>
      </c>
      <c r="C77" s="3" t="s">
        <v>434</v>
      </c>
      <c r="D77" s="3" t="s">
        <v>50</v>
      </c>
      <c r="E77" s="3" t="s">
        <v>50</v>
      </c>
      <c r="F77" s="3">
        <v>5</v>
      </c>
      <c r="G77" s="3">
        <v>9.8000000000000007</v>
      </c>
    </row>
    <row r="78" spans="1:7">
      <c r="A78" s="3" t="s">
        <v>385</v>
      </c>
      <c r="B78" s="3">
        <v>1</v>
      </c>
      <c r="C78" s="3" t="s">
        <v>434</v>
      </c>
      <c r="D78" s="3" t="s">
        <v>50</v>
      </c>
      <c r="E78" s="3" t="s">
        <v>50</v>
      </c>
      <c r="F78" s="3">
        <v>4</v>
      </c>
      <c r="G78" s="3">
        <v>9.4</v>
      </c>
    </row>
    <row r="79" spans="1:7">
      <c r="A79" s="3" t="s">
        <v>382</v>
      </c>
      <c r="B79" s="3">
        <v>1</v>
      </c>
      <c r="C79" s="3" t="s">
        <v>434</v>
      </c>
      <c r="D79" s="3" t="s">
        <v>50</v>
      </c>
      <c r="E79" s="3" t="s">
        <v>46</v>
      </c>
      <c r="F79" s="3">
        <v>5</v>
      </c>
      <c r="G79" s="3">
        <v>9</v>
      </c>
    </row>
    <row r="80" spans="1:7">
      <c r="A80" s="3" t="s">
        <v>400</v>
      </c>
      <c r="B80" s="3">
        <v>1</v>
      </c>
      <c r="C80" s="3" t="s">
        <v>434</v>
      </c>
      <c r="D80" s="3" t="s">
        <v>50</v>
      </c>
      <c r="E80" s="3" t="s">
        <v>50</v>
      </c>
      <c r="F80" s="3">
        <v>4</v>
      </c>
      <c r="G80" s="3">
        <v>8.1999999999999993</v>
      </c>
    </row>
    <row r="81" spans="1:7">
      <c r="A81" s="3" t="s">
        <v>406</v>
      </c>
      <c r="B81" s="3">
        <v>1</v>
      </c>
      <c r="C81" s="3" t="s">
        <v>434</v>
      </c>
      <c r="D81" s="3" t="s">
        <v>46</v>
      </c>
      <c r="E81" s="3" t="s">
        <v>50</v>
      </c>
      <c r="F81" s="3">
        <v>0</v>
      </c>
      <c r="G81" s="3">
        <v>9</v>
      </c>
    </row>
    <row r="82" spans="1:7">
      <c r="A82" s="3" t="s">
        <v>410</v>
      </c>
      <c r="B82" s="3">
        <v>1</v>
      </c>
      <c r="C82" s="3" t="s">
        <v>434</v>
      </c>
      <c r="D82" s="3" t="s">
        <v>46</v>
      </c>
      <c r="E82" s="3" t="s">
        <v>50</v>
      </c>
      <c r="F82" s="3">
        <v>0</v>
      </c>
      <c r="G82" s="3">
        <v>9.1999999999999993</v>
      </c>
    </row>
    <row r="83" spans="1:7">
      <c r="A83" s="3" t="s">
        <v>414</v>
      </c>
      <c r="B83" s="3">
        <v>1</v>
      </c>
      <c r="C83" s="3" t="s">
        <v>434</v>
      </c>
      <c r="D83" s="3" t="s">
        <v>46</v>
      </c>
      <c r="E83" s="3" t="s">
        <v>50</v>
      </c>
      <c r="F83" s="3">
        <v>0</v>
      </c>
      <c r="G83" s="3">
        <v>8.4</v>
      </c>
    </row>
    <row r="84" spans="1:7">
      <c r="A84" s="3" t="s">
        <v>418</v>
      </c>
      <c r="B84" s="3">
        <v>1</v>
      </c>
      <c r="C84" s="3" t="s">
        <v>434</v>
      </c>
      <c r="D84" s="3" t="s">
        <v>46</v>
      </c>
      <c r="E84" s="3" t="s">
        <v>50</v>
      </c>
      <c r="F84" s="3">
        <v>0</v>
      </c>
      <c r="G84" s="3">
        <v>8.6999999999999993</v>
      </c>
    </row>
    <row r="85" spans="1:7">
      <c r="A85" s="3"/>
      <c r="B85" s="3"/>
      <c r="C85" s="3"/>
      <c r="D85" s="3"/>
      <c r="E85" s="3"/>
      <c r="F85" s="3"/>
      <c r="G85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showGridLines="0" workbookViewId="0">
      <selection activeCell="B17" sqref="B17"/>
    </sheetView>
  </sheetViews>
  <sheetFormatPr defaultRowHeight="14.25"/>
  <cols>
    <col min="1" max="1" width="34" style="8" customWidth="1"/>
    <col min="2" max="2" width="72" style="8" customWidth="1"/>
    <col min="3" max="3" width="55" style="8" customWidth="1"/>
    <col min="4" max="4" width="14" style="8" customWidth="1"/>
    <col min="5" max="16384" width="9" style="8"/>
  </cols>
  <sheetData>
    <row r="1" spans="1:4" ht="15">
      <c r="A1" s="2" t="s">
        <v>42</v>
      </c>
      <c r="B1" s="2" t="s">
        <v>435</v>
      </c>
      <c r="C1" s="2" t="s">
        <v>436</v>
      </c>
      <c r="D1" s="2" t="s">
        <v>437</v>
      </c>
    </row>
    <row r="2" spans="1:4">
      <c r="A2" s="3" t="s">
        <v>438</v>
      </c>
      <c r="B2" s="3" t="s">
        <v>338</v>
      </c>
      <c r="C2" s="3" t="s">
        <v>439</v>
      </c>
      <c r="D2" s="3" t="s">
        <v>440</v>
      </c>
    </row>
    <row r="3" spans="1:4">
      <c r="A3" s="3" t="s">
        <v>441</v>
      </c>
      <c r="B3" s="3" t="s">
        <v>330</v>
      </c>
      <c r="C3" s="3" t="s">
        <v>442</v>
      </c>
      <c r="D3" s="3" t="s">
        <v>440</v>
      </c>
    </row>
    <row r="4" spans="1:4">
      <c r="A4" s="3" t="s">
        <v>443</v>
      </c>
      <c r="B4" s="3" t="s">
        <v>399</v>
      </c>
      <c r="C4" s="3" t="s">
        <v>444</v>
      </c>
      <c r="D4" s="3" t="s">
        <v>440</v>
      </c>
    </row>
    <row r="5" spans="1:4">
      <c r="A5" s="3" t="s">
        <v>445</v>
      </c>
      <c r="B5" s="3" t="s">
        <v>357</v>
      </c>
      <c r="C5" s="3" t="s">
        <v>446</v>
      </c>
      <c r="D5" s="3" t="s">
        <v>440</v>
      </c>
    </row>
    <row r="6" spans="1:4">
      <c r="A6" s="3" t="s">
        <v>447</v>
      </c>
      <c r="B6" s="3" t="s">
        <v>448</v>
      </c>
      <c r="C6" s="3" t="s">
        <v>449</v>
      </c>
      <c r="D6" s="3" t="s">
        <v>440</v>
      </c>
    </row>
    <row r="7" spans="1:4">
      <c r="A7" s="3" t="s">
        <v>450</v>
      </c>
      <c r="B7" s="3" t="s">
        <v>451</v>
      </c>
      <c r="C7" s="3" t="s">
        <v>452</v>
      </c>
      <c r="D7" s="3" t="s">
        <v>440</v>
      </c>
    </row>
    <row r="8" spans="1:4" ht="28.5">
      <c r="A8" s="3" t="s">
        <v>453</v>
      </c>
      <c r="B8" s="3" t="s">
        <v>454</v>
      </c>
      <c r="C8" s="3" t="s">
        <v>455</v>
      </c>
      <c r="D8" s="3" t="s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showGridLines="0" workbookViewId="0">
      <selection activeCell="B17" sqref="B17"/>
    </sheetView>
  </sheetViews>
  <sheetFormatPr defaultRowHeight="14.25"/>
  <cols>
    <col min="1" max="1" width="24" style="8" customWidth="1"/>
    <col min="2" max="2" width="90" style="8" customWidth="1"/>
    <col min="3" max="16384" width="9" style="8"/>
  </cols>
  <sheetData>
    <row r="1" spans="1:8" ht="20.25">
      <c r="A1" s="5" t="s">
        <v>456</v>
      </c>
      <c r="B1" s="5"/>
      <c r="C1" s="5"/>
      <c r="D1" s="5"/>
      <c r="E1" s="5"/>
      <c r="F1" s="5"/>
      <c r="G1" s="5"/>
      <c r="H1" s="5"/>
    </row>
    <row r="3" spans="1:8" ht="15">
      <c r="A3" s="1" t="s">
        <v>457</v>
      </c>
      <c r="B3" s="1" t="s">
        <v>458</v>
      </c>
    </row>
    <row r="4" spans="1:8" ht="33.950000000000003" customHeight="1">
      <c r="A4" s="13" t="s">
        <v>459</v>
      </c>
      <c r="B4" s="3" t="s">
        <v>460</v>
      </c>
    </row>
    <row r="5" spans="1:8" ht="33.950000000000003" customHeight="1">
      <c r="A5" s="13" t="s">
        <v>461</v>
      </c>
      <c r="B5" s="3" t="s">
        <v>462</v>
      </c>
    </row>
    <row r="6" spans="1:8" ht="33.950000000000003" customHeight="1">
      <c r="A6" s="13" t="s">
        <v>463</v>
      </c>
      <c r="B6" s="3" t="s">
        <v>464</v>
      </c>
    </row>
    <row r="7" spans="1:8" ht="33.950000000000003" customHeight="1">
      <c r="A7" s="13" t="s">
        <v>465</v>
      </c>
      <c r="B7" s="3" t="s">
        <v>466</v>
      </c>
    </row>
    <row r="8" spans="1:8" ht="33.950000000000003" customHeight="1">
      <c r="A8" s="13" t="s">
        <v>467</v>
      </c>
      <c r="B8" s="3" t="s">
        <v>468</v>
      </c>
    </row>
    <row r="9" spans="1:8" ht="33.950000000000003" customHeight="1">
      <c r="A9" s="13" t="s">
        <v>469</v>
      </c>
      <c r="B9" s="3" t="s">
        <v>470</v>
      </c>
    </row>
    <row r="10" spans="1:8" ht="33.950000000000003" customHeight="1">
      <c r="A10" s="13" t="s">
        <v>471</v>
      </c>
      <c r="B10" s="3" t="s">
        <v>472</v>
      </c>
    </row>
    <row r="11" spans="1:8" ht="33.950000000000003" customHeight="1">
      <c r="A11" s="13" t="s">
        <v>473</v>
      </c>
      <c r="B11" s="3" t="s">
        <v>474</v>
      </c>
    </row>
    <row r="12" spans="1:8" ht="33.950000000000003" customHeight="1">
      <c r="A12" s="13" t="s">
        <v>475</v>
      </c>
      <c r="B12" s="3" t="s">
        <v>476</v>
      </c>
    </row>
    <row r="13" spans="1:8" ht="33.950000000000003" customHeight="1">
      <c r="A13" s="13" t="s">
        <v>38</v>
      </c>
      <c r="B13" s="3" t="s">
        <v>477</v>
      </c>
    </row>
    <row r="14" spans="1:8" ht="33.950000000000003" customHeight="1">
      <c r="A14" s="13" t="s">
        <v>19</v>
      </c>
      <c r="B14" s="3" t="s">
        <v>478</v>
      </c>
    </row>
    <row r="15" spans="1:8" ht="33.950000000000003" customHeight="1">
      <c r="A15" s="13" t="s">
        <v>479</v>
      </c>
      <c r="B15" s="3" t="s">
        <v>480</v>
      </c>
    </row>
    <row r="16" spans="1:8" ht="33.950000000000003" customHeight="1">
      <c r="A16" s="13" t="s">
        <v>481</v>
      </c>
      <c r="B16" s="3" t="s">
        <v>482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01_Dashboard</vt:lpstr>
      <vt:lpstr>02_Card Matrix</vt:lpstr>
      <vt:lpstr>03_Tier List</vt:lpstr>
      <vt:lpstr>04_Analysis</vt:lpstr>
      <vt:lpstr>05_Control Panel</vt:lpstr>
      <vt:lpstr>06_Watchlist</vt:lpstr>
      <vt:lpstr>07_Upgrade Matrix</vt:lpstr>
      <vt:lpstr>08_V2 Deck</vt:lpstr>
      <vt:lpstr>09_Sources</vt:lpstr>
      <vt:lpstr>10_Read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Danylo Augusto Pontes Goulart</cp:lastModifiedBy>
  <dcterms:modified xsi:type="dcterms:W3CDTF">2026-10-07T01:41:26Z</dcterms:modified>
</cp:coreProperties>
</file>