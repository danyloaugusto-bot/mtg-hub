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d0e1307a0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989b4b0619043cc"/>
    <x:sheet xmlns:r="http://schemas.openxmlformats.org/officeDocument/2006/relationships" name="Current List" sheetId="2" r:id="Rec24f3cda20646ab"/>
    <x:sheet xmlns:r="http://schemas.openxmlformats.org/officeDocument/2006/relationships" name="Proposed List" sheetId="3" r:id="Rf660fa55501d479e"/>
    <x:sheet xmlns:r="http://schemas.openxmlformats.org/officeDocument/2006/relationships" name="Upgrade Matrix" sheetId="4" r:id="R0a2310a375a949b6"/>
    <x:sheet xmlns:r="http://schemas.openxmlformats.org/officeDocument/2006/relationships" name="Card Matrix" sheetId="5" r:id="R2f77893173c549e4"/>
    <x:sheet xmlns:r="http://schemas.openxmlformats.org/officeDocument/2006/relationships" name="Groups" sheetId="6" r:id="R3c5ff7cd31ca44b5"/>
    <x:sheet xmlns:r="http://schemas.openxmlformats.org/officeDocument/2006/relationships" name="Structural Audit" sheetId="7" r:id="R0f3ad1c302fb47b2"/>
    <x:sheet xmlns:r="http://schemas.openxmlformats.org/officeDocument/2006/relationships" name="Tier List" sheetId="8" r:id="R9153ca47a70f4665"/>
    <x:sheet xmlns:r="http://schemas.openxmlformats.org/officeDocument/2006/relationships" name="Sources &amp; Rules" sheetId="9" r:id="R4c51d648c70c482e"/>
    <x:sheet xmlns:r="http://schemas.openxmlformats.org/officeDocument/2006/relationships" name="Playtest Log" sheetId="10" r:id="Re19850d44d044b32"/>
    <x:sheet xmlns:r="http://schemas.openxmlformats.org/officeDocument/2006/relationships" name="Proposed V3" sheetId="11" r:id="R4c832d895e5c4888"/>
    <x:sheet xmlns:r="http://schemas.openxmlformats.org/officeDocument/2006/relationships" name="V3 Upgrade Matrix" sheetId="12" r:id="R536aea249d7e46b2"/>
    <x:sheet xmlns:r="http://schemas.openxmlformats.org/officeDocument/2006/relationships" name="Scorecard" sheetId="13" r:id="R39d1f175fa5840a7"/>
    <x:sheet xmlns:r="http://schemas.openxmlformats.org/officeDocument/2006/relationships" name="V3 Card Matrix" sheetId="14" r:id="R0ede445335ee40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"/>
  </x:numFmts>
  <x:fonts count="1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A1010"/>
      <x:name val="Carlito"/>
    </x:font>
    <x:font>
      <x:b/>
      <x:sz val="11"/>
      <x:color rgb="FFFFFFFF"/>
      <x:name val="Carlito"/>
    </x:font>
    <x:font>
      <x:b/>
      <x:sz val="11"/>
      <x:color rgb="FF5A1010"/>
      <x:name val="Carlito"/>
    </x:font>
    <x:font>
      <x:b/>
      <x:sz val="11"/>
      <x:color rgb="FF4A2F00"/>
      <x:name val="Carlito"/>
    </x:font>
    <x:font>
      <x:b/>
      <x:sz val="11"/>
      <x:color rgb="FF333333"/>
      <x:name val="Carlito"/>
    </x:font>
    <x:font>
      <x:sz val="11"/>
      <x:color rgb="FF3333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5"/>
      <x:color rgb="FFFFFFFF"/>
      <x:name val="Carlito"/>
    </x:font>
    <x:font>
      <x:b/>
      <x:sz val="10"/>
      <x:color rgb="FF17365D"/>
      <x:name val="Carlito"/>
    </x:font>
    <x:font>
      <x:i/>
      <x:sz val="10"/>
      <x:color rgb="FF374151"/>
      <x:name val="Carlito"/>
    </x:font>
    <x:font>
      <x:i/>
      <x:sz val="10"/>
      <x:color rgb="FF17365D"/>
      <x:name val="Carlito"/>
    </x:font>
    <x:font>
      <x:b/>
      <x:sz val="10"/>
      <x:color rgb="FF1F2937"/>
      <x:name val="Carlito"/>
    </x:font>
    <x:font>
      <x:i/>
      <x:sz val="10"/>
      <x:color rgb="FF1F2937"/>
      <x:name val="Carlito"/>
    </x:font>
    <x:font>
      <x:b/>
      <x:sz val="10"/>
      <x:color rgb="FF7C2D12"/>
      <x:name val="Carlito"/>
    </x:font>
    <x:font>
      <x:i/>
      <x:sz val="9"/>
      <x:color rgb="FF37415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5A1010"/>
      </x:patternFill>
    </x:fill>
    <x:fill>
      <x:patternFill patternType="solid">
        <x:fgColor rgb="FFFDECEC"/>
      </x:patternFill>
    </x:fill>
    <x:fill>
      <x:patternFill patternType="solid">
        <x:fgColor rgb="FFC62828"/>
      </x:patternFill>
    </x:fill>
    <x:fill>
      <x:patternFill patternType="solid">
        <x:fgColor rgb="FFFFE7A3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FCE7DC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</x:fills>
  <x:borders count="2">
    <x:border/>
    <x:border/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horizontal="center" vertical="top" wrapText="1"/>
    </x:xf>
    <x:xf numFmtId="200" fontId="9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200" fontId="0" fillId="9" borderId="0" xfId="0" applyNumberFormat="1" applyFont="1" applyFill="1" applyBorder="1"/>
    <x:xf numFmtId="201" fontId="0" fillId="9" borderId="0" xfId="0" applyNumberFormat="1" applyFont="1" applyFill="1" applyBorder="1"/>
    <x:xf numFmtId="0" fontId="11" fillId="9" borderId="0" xfId="0" applyNumberFormat="1" applyFont="1" applyFill="1" applyBorder="1"/>
    <x:xf numFmtId="200" fontId="11" fillId="9" borderId="0" xfId="0" applyNumberFormat="1" applyFont="1" applyFill="1" applyBorder="1"/>
    <x:xf numFmtId="201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wrapText="1"/>
    </x:xf>
    <x:xf numFmtId="200" fontId="11" fillId="9" borderId="0" xfId="0" applyNumberFormat="1" applyFont="1" applyFill="1" applyBorder="1" applyAlignment="1">
      <x:alignment wrapText="1"/>
    </x:xf>
    <x:xf numFmtId="201" fontId="1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200" fontId="11" fillId="9" borderId="0" xfId="0" applyNumberFormat="1" applyFont="1" applyFill="1" applyBorder="1" applyAlignment="1">
      <x:alignment vertical="top" wrapText="1"/>
    </x:xf>
    <x:xf numFmtId="201" fontId="11" fillId="9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7" fillId="6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center" wrapText="1"/>
    </x:xf>
    <x:xf numFmtId="0" fontId="10" fillId="8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14" fillId="8" borderId="0" xfId="0" applyNumberFormat="1" applyFont="1" applyFill="1" applyBorder="1" applyAlignment="1">
      <x:alignment horizontal="center" vertical="center" wrapText="1"/>
    </x:xf>
    <x:xf numFmtId="0" fontId="15" fillId="9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4" fillId="7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201" fontId="9" fillId="0" borderId="0" xfId="0" applyNumberFormat="1" applyFont="1" applyFill="1" applyBorder="1" applyAlignment="1">
      <x:alignment vertical="center" wrapText="1"/>
    </x:xf>
    <x:xf numFmtId="201" fontId="9" fillId="6" borderId="0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wrapText="1"/>
    </x:xf>
    <x:xf numFmtId="0" fontId="14" fillId="3" borderId="0" xfId="0" applyNumberFormat="1" applyFont="1" applyFill="1" applyBorder="1" applyAlignment="1">
      <x:alignment vertical="top" wrapText="1"/>
    </x:xf>
    <x:xf numFmtId="0" fontId="14" fillId="3" borderId="0" xfId="0" applyNumberFormat="1" applyFont="1" applyFill="1" applyBorder="1" applyAlignment="1">
      <x:alignment horizontal="center" vertical="top" wrapText="1"/>
    </x:xf>
    <x:xf numFmtId="0" fontId="14" fillId="5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14" fillId="11" borderId="0" xfId="0" applyNumberFormat="1" applyFont="1" applyFill="1" applyBorder="1" applyAlignment="1">
      <x:alignment vertical="top" wrapText="1"/>
    </x:xf>
    <x:xf numFmtId="0" fontId="16" fillId="11" borderId="0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vertical="top" wrapText="1"/>
    </x:xf>
    <x:xf numFmtId="0" fontId="14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horizontal="center" vertical="top" wrapText="1"/>
    </x:xf>
    <x:xf numFmtId="0" fontId="11" fillId="10" borderId="0" xfId="0" applyNumberFormat="1" applyFont="1" applyFill="1" applyBorder="1" applyAlignment="1">
      <x:alignment horizontal="center"/>
    </x:xf>
    <x:xf numFmtId="0" fontId="11" fillId="10" borderId="0" xfId="0" applyNumberFormat="1" applyFont="1" applyFill="1" applyBorder="1" applyAlignment="1">
      <x:alignment horizontal="center" vertical="center" wrapText="1"/>
    </x:xf>
    <x:xf numFmtId="0" fontId="11" fillId="10" borderId="0" xfId="0" applyNumberFormat="1" applyFont="1" applyFill="1" applyBorder="1" applyAlignment="1">
      <x:alignment horizontal="center" vertical="center"/>
    </x:xf>
    <x:xf numFmtId="0" fontId="17" fillId="10" borderId="0" xfId="0" applyNumberFormat="1" applyFont="1" applyFill="1" applyBorder="1"/>
    <x:xf numFmtId="0" fontId="17" fillId="10" borderId="0" xfId="0" applyNumberFormat="1" applyFont="1" applyFill="1" applyBorder="1" applyAlignment="1">
      <x:alignment wrapText="1"/>
    </x:xf>
    <x:xf numFmtId="0" fontId="17" fillId="10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horizontal="center" vertical="center" wrapText="0"/>
    </x:xf>
    <x:xf numFmtId="0" fontId="13" fillId="9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 applyAlignment="1">
      <x:alignment vertical="top" wrapText="0"/>
    </x:xf>
    <x:xf numFmtId="0" fontId="14" fillId="5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wrapText="0"/>
    </x:xf>
    <x:xf numFmtId="202" fontId="9" fillId="0" borderId="0" xfId="0" applyNumberFormat="1" applyFont="1" applyFill="1" applyBorder="1" applyAlignment="1">
      <x:alignment vertical="center" wrapText="1"/>
    </x:xf>
    <x:xf numFmtId="202" fontId="9" fillId="6" borderId="0" xfId="0" applyNumberFormat="1" applyFont="1" applyFill="1" applyBorder="1" applyAlignment="1">
      <x:alignment vertical="center" wrapText="1"/>
    </x:xf>
    <x:xf numFmtId="202" fontId="11" fillId="9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0" fontId="11" fillId="12" borderId="0" xfId="0" applyNumberFormat="1" applyFont="1" applyFill="1" applyBorder="1" applyAlignment="1">
      <x:alignment horizontal="center" vertical="center" wrapText="1"/>
    </x:xf>
    <x:xf numFmtId="0" fontId="9" fillId="12" borderId="0" xfId="0" applyNumberFormat="1" applyFont="1" applyFill="1" applyBorder="1" applyAlignment="1">
      <x:alignment vertical="top" wrapText="0"/>
    </x:xf>
    <x:xf numFmtId="0" fontId="11" fillId="12" borderId="0" xfId="0" applyNumberFormat="1" applyFont="1" applyFill="1" applyBorder="1" applyAlignment="1">
      <x:alignment vertical="top" wrapText="0"/>
    </x:xf>
    <x:xf numFmtId="0" fontId="11" fillId="12" borderId="0" xfId="0" applyNumberFormat="1" applyFont="1" applyFill="1" applyBorder="1" applyAlignment="1">
      <x:alignment vertical="top" wrapText="1"/>
    </x:xf>
    <x:xf numFmtId="0" fontId="11" fillId="12" borderId="0" xfId="0" applyNumberFormat="1" applyFont="1" applyFill="1" applyBorder="1" applyAlignment="1">
      <x:alignment horizontal="center" vertical="top" wrapText="1"/>
    </x:xf>
    <x:xf numFmtId="0" fontId="11" fillId="13" borderId="0" xfId="0" applyNumberFormat="1" applyFont="1" applyFill="1" applyBorder="1" applyAlignment="1">
      <x:alignment horizontal="center" vertical="center" wrapText="1"/>
    </x:xf>
    <x:xf numFmtId="0" fontId="14" fillId="13" borderId="0" xfId="0" applyNumberFormat="1" applyFont="1" applyFill="1" applyBorder="1" applyAlignment="1">
      <x:alignment vertical="top" wrapText="0"/>
    </x:xf>
    <x:xf numFmtId="0" fontId="14" fillId="13" borderId="0" xfId="0" applyNumberFormat="1" applyFont="1" applyFill="1" applyBorder="1" applyAlignment="1">
      <x:alignment horizontal="center" vertical="center" wrapText="1"/>
    </x:xf>
    <x:xf numFmtId="0" fontId="14" fillId="13" borderId="0" xfId="0" applyNumberFormat="1" applyFont="1" applyFill="1" applyBorder="1" applyAlignment="1">
      <x:alignment vertical="top" wrapText="1"/>
    </x:xf>
    <x:xf numFmtId="0" fontId="14" fillId="13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6f05e61f2b4502" /><Relationship Type="http://schemas.openxmlformats.org/officeDocument/2006/relationships/theme" Target="/xl/theme/theme1.xml" Id="R6cf312187b5d4ee3" /><Relationship Type="http://schemas.openxmlformats.org/officeDocument/2006/relationships/sharedStrings" Target="/xl/sharedStrings.xml" Id="Ra8f35fe59d334cd0" /><Relationship Type="http://schemas.openxmlformats.org/officeDocument/2006/relationships/worksheet" Target="/xl/worksheets/sheet1.xml" Id="R5989b4b0619043cc" /><Relationship Type="http://schemas.openxmlformats.org/officeDocument/2006/relationships/worksheet" Target="/xl/worksheets/sheet2.xml" Id="Rec24f3cda20646ab" /><Relationship Type="http://schemas.openxmlformats.org/officeDocument/2006/relationships/worksheet" Target="/xl/worksheets/sheet3.xml" Id="Rf660fa55501d479e" /><Relationship Type="http://schemas.openxmlformats.org/officeDocument/2006/relationships/worksheet" Target="/xl/worksheets/sheet4.xml" Id="R0a2310a375a949b6" /><Relationship Type="http://schemas.openxmlformats.org/officeDocument/2006/relationships/worksheet" Target="/xl/worksheets/sheet5.xml" Id="R2f77893173c549e4" /><Relationship Type="http://schemas.openxmlformats.org/officeDocument/2006/relationships/worksheet" Target="/xl/worksheets/sheet6.xml" Id="R3c5ff7cd31ca44b5" /><Relationship Type="http://schemas.openxmlformats.org/officeDocument/2006/relationships/worksheet" Target="/xl/worksheets/sheet7.xml" Id="R0f3ad1c302fb47b2" /><Relationship Type="http://schemas.openxmlformats.org/officeDocument/2006/relationships/worksheet" Target="/xl/worksheets/sheet8.xml" Id="R9153ca47a70f4665" /><Relationship Type="http://schemas.openxmlformats.org/officeDocument/2006/relationships/worksheet" Target="/xl/worksheets/sheet9.xml" Id="R4c51d648c70c482e" /><Relationship Type="http://schemas.openxmlformats.org/officeDocument/2006/relationships/worksheet" Target="/xl/worksheets/sheet10.xml" Id="Re19850d44d044b32" /><Relationship Type="http://schemas.openxmlformats.org/officeDocument/2006/relationships/worksheet" Target="/xl/worksheets/sheet11.xml" Id="R4c832d895e5c4888" /><Relationship Type="http://schemas.openxmlformats.org/officeDocument/2006/relationships/worksheet" Target="/xl/worksheets/sheet12.xml" Id="R536aea249d7e46b2" /><Relationship Type="http://schemas.openxmlformats.org/officeDocument/2006/relationships/worksheet" Target="/xl/worksheets/sheet13.xml" Id="R39d1f175fa5840a7" /><Relationship Type="http://schemas.openxmlformats.org/officeDocument/2006/relationships/worksheet" Target="/xl/worksheets/sheet14.xml" Id="R0ede445335ee40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143" t="str">
        <x:v>KRENKO | V3</x:v>
      </x:c>
      <x:c r="B1" s="143"/>
      <x:c r="C1" s="143"/>
      <x:c r="D1" s="143"/>
      <x:c r="E1" s="143"/>
      <x:c r="F1" s="50"/>
      <x:c r="G1" s="50"/>
      <x:c r="H1" s="50"/>
      <x:c r="I1" s="24"/>
      <x:c r="J1" s="24"/>
      <x:c r="K1" s="24"/>
      <x:c r="L1" s="24"/>
      <x:c r="M1" s="24"/>
    </x:row>
    <x:row r="2" ht="25" customHeight="1">
      <x:c r="A2" s="144" t="str">
        <x:v>V3 não testada • nota ponderada de construção</x:v>
      </x:c>
      <x:c r="B2" s="144"/>
      <x:c r="C2" s="144"/>
      <x:c r="D2" s="144"/>
      <x:c r="E2" s="144"/>
      <x:c r="F2" s="13"/>
      <x:c r="G2" s="13"/>
      <x:c r="H2" s="13"/>
    </x:row>
    <x:row r="3">
      <x:c r="A3" s="124"/>
      <x:c r="B3" s="124"/>
      <x:c r="C3" s="124"/>
      <x:c r="D3" s="124"/>
      <x:c r="E3" s="124"/>
    </x:row>
    <x:row r="4" ht="32" customHeight="1">
      <x:c r="A4" s="71" t="str">
        <x:v>INDICADOR</x:v>
      </x:c>
      <x:c r="B4" s="71" t="str">
        <x:v>CURRENT</x:v>
      </x:c>
      <x:c r="C4" s="71" t="str">
        <x:v>PROPOSED V2</x:v>
      </x:c>
      <x:c r="D4" s="71" t="str">
        <x:v>PROPOSED V3</x:v>
      </x:c>
      <x:c r="E4" s="114"/>
      <x:c r="F4" s="58"/>
      <x:c r="G4" s="58"/>
      <x:c r="H4" s="58"/>
    </x:row>
    <x:row r="5" ht="24" customHeight="1">
      <x:c r="A5" s="115" t="str">
        <x:v>Total de cartas</x:v>
      </x:c>
      <x:c r="B5" s="116" t="n">
        <x:f>SUM('Current List'!A2:A101)</x:f>
        <x:v>100</x:v>
      </x:c>
      <x:c r="C5" s="116" t="n">
        <x:f>SUM('Proposed List'!A2:A101)</x:f>
        <x:v>100</x:v>
      </x:c>
      <x:c r="D5" s="117" t="n">
        <x:f>SUM('Proposed V3'!A2:A101)</x:f>
        <x:v>100</x:v>
      </x:c>
      <x:c r="E5" s="117"/>
      <x:c r="F5" s="57"/>
      <x:c r="G5" s="57"/>
      <x:c r="H5" s="57"/>
    </x:row>
    <x:row r="6" ht="24" customHeight="1">
      <x:c r="A6" s="115" t="str">
        <x:v>Cartas com opção de terreno</x:v>
      </x:c>
      <x:c r="B6" s="116" t="n">
        <x:f>SUMIF('Current List'!E2:E101,"Sim — terreno",'Current List'!A2:A101)+SUMIF('Current List'!E2:E101,"Sim — face-terreno",'Current List'!A2:A101)</x:f>
        <x:v>33</x:v>
      </x:c>
      <x:c r="C6" s="116" t="n">
        <x:f>SUMIF('Proposed List'!E2:E101,"Sim — terreno",'Proposed List'!A2:A101)+SUMIF('Proposed List'!E2:E101,"Sim — face-terreno",'Proposed List'!A2:A101)</x:f>
        <x:v>34</x:v>
      </x:c>
      <x:c r="D6" s="117" t="n">
        <x:f>SUMIF('Proposed V3'!E2:E101,"Sim — terreno",'Proposed V3'!A2:A101)+SUMIF('Proposed V3'!E2:E101,"Sim — face-terreno",'Proposed V3'!A2:A101)</x:f>
        <x:v>35</x:v>
      </x:c>
      <x:c r="E6" s="117"/>
      <x:c r="F6" s="57"/>
      <x:c r="G6" s="57"/>
      <x:c r="H6" s="57"/>
    </x:row>
    <x:row r="7" ht="24" customHeight="1">
      <x:c r="A7" s="115" t="str">
        <x:v>Trocas incrementais nesta etapa</x:v>
      </x:c>
      <x:c r="B7" s="116" t="n">
        <x:v>0</x:v>
      </x:c>
      <x:c r="C7" s="116" t="n">
        <x:v>15</x:v>
      </x:c>
      <x:c r="D7" s="117" t="n">
        <x:v>10</x:v>
      </x:c>
      <x:c r="E7" s="117"/>
      <x:c r="F7" s="57"/>
      <x:c r="G7" s="57"/>
      <x:c r="H7" s="57"/>
    </x:row>
    <x:row r="8" ht="24" customHeight="1">
      <x:c r="A8" s="115" t="str">
        <x:v>Nota estrutural ponderada (0–10)</x:v>
      </x:c>
      <x:c r="B8" s="148" t="n">
        <x:f>'Scorecard'!C15</x:f>
        <x:v>6.035</x:v>
      </x:c>
      <x:c r="C8" s="148" t="n">
        <x:f>'Scorecard'!D15</x:f>
        <x:v>8.24</x:v>
      </x:c>
      <x:c r="D8" s="149" t="n">
        <x:f>'Scorecard'!E15</x:f>
        <x:v>9.235</x:v>
      </x:c>
      <x:c r="E8" s="117"/>
      <x:c r="F8" s="57"/>
      <x:c r="G8" s="57"/>
      <x:c r="H8" s="57"/>
    </x:row>
    <x:row r="9">
      <x:c r="A9" s="124"/>
      <x:c r="B9" s="124"/>
      <x:c r="C9" s="124"/>
      <x:c r="D9" s="124"/>
      <x:c r="E9" s="124"/>
    </x:row>
    <x:row r="10" ht="24" customHeight="1">
      <x:c r="A10" s="127" t="str">
        <x:v>LEITURA ESTRATÉGICA</x:v>
      </x:c>
      <x:c r="B10" s="127"/>
      <x:c r="C10" s="127"/>
      <x:c r="D10" s="127"/>
      <x:c r="E10" s="127"/>
      <x:c r="F10" s="28"/>
      <x:c r="G10" s="28"/>
      <x:c r="H10" s="28"/>
    </x:row>
    <x:row r="11" ht="56" customHeight="1">
      <x:c r="A11" s="131" t="str">
        <x:v>Diagnóstico V3</x:v>
      </x:c>
      <x:c r="B11" s="72" t="str">
        <x:v>A V3 fecha os gargalos que a V2 ainda deixou: densidade de motores tribais recorrentes e compra real por Goblins, aceleração para Krenko e proteção da primeira ativação. A nota anterior de 8,5 foi rebaselined para 8,2 pela rubrica comum.</x:v>
      </x:c>
      <x:c r="C11" s="72"/>
      <x:c r="D11" s="122"/>
      <x:c r="E11" s="72"/>
    </x:row>
    <x:row r="12" ht="56" customHeight="1">
      <x:c r="A12" s="131" t="str">
        <x:v>Early game</x:v>
      </x:c>
      <x:c r="B12" s="72" t="str">
        <x:v>Acelerar Krenko com Mana Vault/Ancient Tomb/Skirk Prospector; idealmente combinar com haste, Greaves ou Thousand-Year Elixir para gerar valor antes da volta de mesa.</x:v>
      </x:c>
      <x:c r="C12" s="72"/>
      <x:c r="D12" s="122"/>
      <x:c r="E12" s="72"/>
    </x:row>
    <x:row r="13" ht="56" customHeight="1">
      <x:c r="A13" s="131" t="str">
        <x:v>Mid game</x:v>
      </x:c>
      <x:c r="B13" s="72" t="str">
        <x:v>Krenko é o motor principal; Goblin Recruiter prepara topo para Muxus/Ringleader, e The One Ring, Skullclamp, Idol of Oblivion, Slate e Ringleader atacam distintos modos de ficar sem gás.</x:v>
      </x:c>
      <x:c r="C13" s="72"/>
      <x:c r="D13" s="122"/>
      <x:c r="E13" s="72"/>
    </x:row>
    <x:row r="14" ht="56" customHeight="1">
      <x:c r="A14" s="131" t="str">
        <x:v>Late game</x:v>
      </x:c>
      <x:c r="B14" s="72" t="str">
        <x:v>Converter enxame com Shared Animosity, Embercleave, Fiery Emancipation, Impact Tremors, Goblin War Strike e Pashalik Mons; Bombardment oferece alcance instantâneo.</x:v>
      </x:c>
      <x:c r="C14" s="72"/>
      <x:c r="D14" s="122"/>
      <x:c r="E14" s="72"/>
    </x:row>
    <x:row r="15" ht="56" customHeight="1">
      <x:c r="A15" s="131" t="str">
        <x:v>Interação</x:v>
      </x:c>
      <x:c r="B15" s="72" t="str">
        <x:v>Mizzium Mortars overload, Vandalblast overload, Chaos Warp e Wild Magic Surge ampliam cobertura. Blasphemous Act é simétrico; Eldrazi Monument pode proteger seus Goblins de destruição enquanto permanece ativo.</x:v>
      </x:c>
      <x:c r="C15" s="72"/>
      <x:c r="D15" s="122"/>
      <x:c r="E15" s="72"/>
    </x:row>
    <x:row r="16" ht="56" customHeight="1">
      <x:c r="A16" s="131" t="str">
        <x:v>Riscos e hipótese</x:v>
      </x:c>
      <x:c r="B16" s="72" t="str">
        <x:v>V3 eleva fast mana e inclui lands muito fortes; The One Ring atrai ameaça, Goblin Recruiter depende de densidade tribal e o combo Thornbite Staff + Goblin Bombardment continua explicitamente fora da baseline.</x:v>
      </x:c>
      <x:c r="C16" s="72"/>
      <x:c r="D16" s="72"/>
      <x:c r="E16" s="72"/>
    </x:row>
    <x:row r="17" ht="96" customHeight="1">
      <x:c r="A17" s="121"/>
      <x:c r="B17" s="72"/>
      <x:c r="C17" s="72"/>
      <x:c r="D17" s="72"/>
      <x:c r="E17" s="72"/>
    </x:row>
    <x:row r="18" ht="24" customHeight="1">
      <x:c r="A18" s="127" t="str">
        <x:v>CHECKLIST DE PLAYTEST</x:v>
      </x:c>
      <x:c r="B18" s="127"/>
      <x:c r="C18" s="127"/>
      <x:c r="D18" s="127"/>
      <x:c r="E18" s="127"/>
    </x:row>
    <x:row r="19" ht="28" customHeight="1">
      <x:c r="A19" s="152" t="str">
        <x:v>Métrica</x:v>
      </x:c>
      <x:c r="B19" s="152" t="str">
        <x:v>Plano</x:v>
      </x:c>
      <x:c r="C19" s="152" t="str">
        <x:v>Compra</x:v>
      </x:c>
      <x:c r="D19" s="152" t="str">
        <x:v>Interação</x:v>
      </x:c>
      <x:c r="E19" s="152" t="str">
        <x:v>Fechamento</x:v>
      </x:c>
    </x:row>
    <x:row r="20" ht="54" customHeight="1">
      <x:c r="A20" s="159" t="str">
        <x:v>O que observar</x:v>
      </x:c>
      <x:c r="B20" s="159" t="str">
        <x:v>Turno em que o plano começa</x:v>
      </x:c>
      <x:c r="C20" s="159" t="str">
        <x:v>Cartas após mão seca</x:v>
      </x:c>
      <x:c r="D20" s="159" t="str">
        <x:v>Impacto dos wipes/respostas</x:v>
      </x:c>
      <x:c r="E20" s="159" t="str">
        <x:v>Como a partida foi encerrada</x:v>
      </x:c>
      <x:c r="F20" s="42"/>
      <x:c r="G20" s="42"/>
      <x:c r="H20" s="42"/>
    </x:row>
    <x:row r="21" ht="26" customHeight="1">
      <x:c r="A21" s="139"/>
      <x:c r="B21" s="147"/>
      <x:c r="C21" s="147"/>
      <x:c r="D21" s="147"/>
      <x:c r="E21" s="147"/>
    </x:row>
    <x:row r="22" ht="26" customHeight="1">
      <x:c r="A22" s="139"/>
      <x:c r="B22" s="147"/>
      <x:c r="C22" s="147"/>
      <x:c r="D22" s="147"/>
      <x:c r="E22" s="147"/>
    </x:row>
    <x:row r="23" ht="26" customHeight="1">
      <x:c r="A23" s="139"/>
      <x:c r="B23" s="147"/>
      <x:c r="C23" s="147"/>
      <x:c r="D23" s="147"/>
      <x:c r="E23" s="147"/>
    </x:row>
    <x:row r="24">
      <x:c r="A24"/>
      <x:c r="B24"/>
      <x:c r="C24"/>
      <x:c r="D24"/>
      <x:c r="E24"/>
    </x:row>
    <x:row r="25" ht="34" customHeight="1">
      <x:c r="A25" s="142" t="str">
        <x:v>Regra de estado: CURRENT nunca é sobrescrita; V2 é preservada; V3 é uma proposta derivada da V2. Nenhuma carta foi considerada comprada, incluída ou testada.</x:v>
      </x:c>
      <x:c r="B25" s="142"/>
      <x:c r="C25" s="142"/>
      <x:c r="D25" s="142"/>
      <x:c r="E25" s="142"/>
    </x:row>
    <x:row r="26" ht="34" customHeight="1">
      <x:c r="A26" s="142" t="str">
        <x:v>A nota V2 anterior de 8,5 era um julgamento não explicitamente ponderado. CURRENT/V2/V3 foram reavaliadas na mesma rubrica para permitir comparação transparente.</x:v>
      </x:c>
      <x:c r="B26" s="142"/>
      <x:c r="C26" s="142"/>
      <x:c r="D26" s="142"/>
      <x:c r="E26" s="142"/>
    </x:row>
    <x:row r="27" ht="34" customHeight="1">
      <x:c r="A27" s="142" t="str">
        <x:v>A rubrica usa dez critérios com pesos explícitos que somam 100%. A nota projetada V3 é de construção; playtests podem exigir revisão.</x:v>
      </x:c>
      <x:c r="B27" s="142"/>
      <x:c r="C27" s="142"/>
      <x:c r="D27" s="142"/>
      <x:c r="E27" s="142"/>
    </x:row>
  </x:sheetData>
  <x:mergeCells>
    <x:mergeCell ref="A10:H10"/>
    <x:mergeCell ref="D10:H10"/>
    <x:mergeCell ref="A10:E10"/>
    <x:mergeCell ref="A18:E18"/>
    <x:mergeCell ref="A25:E25"/>
    <x:mergeCell ref="A26:E26"/>
    <x:mergeCell ref="A27:E27"/>
    <x:mergeCell ref="B11:E11"/>
    <x:mergeCell ref="B12:E12"/>
    <x:mergeCell ref="B13:E13"/>
    <x:mergeCell ref="B14:E14"/>
    <x:mergeCell ref="B15:E15"/>
    <x:mergeCell ref="B16:E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3" hidden="0" customWidth="1"/>
    <x:col min="4" max="4" width="23" hidden="0" customWidth="1"/>
    <x:col min="5" max="5" width="18" hidden="0" customWidth="1"/>
    <x:col min="6" max="6" width="17" hidden="0" customWidth="1"/>
    <x:col min="7" max="7" width="65" hidden="0" customWidth="1"/>
  </x:cols>
  <x:sheetData>
    <x:row r="1">
      <x:c r="A1" s="47" t="str">
        <x:v>Qtd.</x:v>
      </x:c>
      <x:c r="B1" s="47" t="str">
        <x:v>Nome da carta</x:v>
      </x:c>
      <x:c r="C1" s="47" t="str">
        <x:v>Impressão/metadados originais</x:v>
      </x:c>
      <x:c r="D1" s="47" t="str">
        <x:v>Grupo principal</x:v>
      </x:c>
      <x:c r="E1" s="47" t="str">
        <x:v>Tem opção de terreno?</x:v>
      </x:c>
      <x:c r="F1" s="47" t="str">
        <x:v>Estado</x:v>
      </x:c>
      <x:c r="G1" s="47" t="str">
        <x:v>Papel / interação</x:v>
      </x:c>
      <x:c r="H1" s="24"/>
      <x:c r="I1" s="24"/>
      <x:c r="J1" s="24"/>
      <x:c r="K1" s="24"/>
      <x:c r="L1" s="24"/>
      <x:c r="M1" s="24"/>
    </x:row>
    <x:row r="2" ht="42" customHeight="1">
      <x:c r="A2" s="36" t="n">
        <x:v>1</x:v>
      </x:c>
      <x:c r="B2" s="36" t="str">
        <x:v>Krenko, Mob Boss</x:v>
      </x:c>
      <x:c r="C2" s="36" t="str">
        <x:v>1 Krenko, Mob Boss (CMM) 238</x:v>
      </x:c>
      <x:c r="D2" s="36" t="str">
        <x:v>Token</x:v>
      </x:c>
      <x:c r="E2" s="36" t="str">
        <x:v>Não</x:v>
      </x:c>
      <x:c r="F2" s="36" t="str">
        <x:v>COMMANDER</x:v>
      </x:c>
      <x:c r="G2" s="36" t="str">
        <x:v>Comandante; cria uma ficha por Goblin que você controla, incluindo Krenko, escalando rapidamente.</x:v>
      </x:c>
    </x:row>
    <x:row r="3" ht="42" customHeight="1">
      <x:c r="A3" s="36" t="n">
        <x:v>1</x:v>
      </x:c>
      <x:c r="B3" s="36" t="str">
        <x:v>Arcane Signet</x:v>
      </x:c>
      <x:c r="C3" s="36" t="str">
        <x:v>1 Arcane Signet (CLB) 298</x:v>
      </x:c>
      <x:c r="D3" s="36" t="str">
        <x:v>Ramp</x:v>
      </x:c>
      <x:c r="E3" s="36" t="str">
        <x:v>Não</x:v>
      </x:c>
      <x:c r="F3" s="36" t="str">
        <x:v>CURRENT</x:v>
      </x:c>
      <x:c r="G3" s="36" t="str">
        <x:v>Aceleração ou conversão de fichas em mana.</x:v>
      </x:c>
    </x:row>
    <x:row r="4" ht="42" customHeight="1">
      <x:c r="A4" s="36" t="n">
        <x:v>1</x:v>
      </x:c>
      <x:c r="B4" s="36" t="str">
        <x:v>Ashnod's Altar</x:v>
      </x:c>
      <x:c r="C4" s="36" t="str">
        <x:v>1 Ashnod's Altar (CMM) 368</x:v>
      </x:c>
      <x:c r="D4" s="36" t="str">
        <x:v>Sinergia 2</x:v>
      </x:c>
      <x:c r="E4" s="36" t="str">
        <x:v>Não</x:v>
      </x:c>
      <x:c r="F4" s="36" t="str">
        <x:v>CURRENT</x:v>
      </x:c>
      <x:c r="G4" s="36" t="str">
        <x:v>Toolbox tribal, recursão, sacrifício ou geração de valor.</x:v>
      </x:c>
    </x:row>
    <x:row r="5" ht="42" customHeight="1">
      <x:c r="A5" s="36" t="n">
        <x:v>1</x:v>
      </x:c>
      <x:c r="B5" s="36" t="str">
        <x:v>Battle Cry Goblin</x:v>
      </x:c>
      <x:c r="C5" s="36" t="str">
        <x:v>1 Battle Cry Goblin (AFR) 132 *F*</x:v>
      </x:c>
      <x:c r="D5" s="36" t="str">
        <x:v>Buff + Haste</x:v>
      </x:c>
      <x:c r="E5" s="36" t="str">
        <x:v>Não</x:v>
      </x:c>
      <x:c r="F5" s="36" t="str">
        <x:v>CURRENT</x:v>
      </x:c>
      <x:c r="G5" s="36" t="str">
        <x:v>Aumenta combate, evasão, ímpeto ou proteção.</x:v>
      </x:c>
    </x:row>
    <x:row r="6" ht="42" customHeight="1">
      <x:c r="A6" s="36" t="n">
        <x:v>1</x:v>
      </x:c>
      <x:c r="B6" s="36" t="str">
        <x:v>Bedlam</x:v>
      </x:c>
      <x:c r="C6" s="36" t="str">
        <x:v>1 Bedlam (7ED) 174</x:v>
      </x:c>
      <x:c r="D6" s="36" t="str">
        <x:v>Buff + Haste</x:v>
      </x:c>
      <x:c r="E6" s="36" t="str">
        <x:v>Não</x:v>
      </x:c>
      <x:c r="F6" s="36" t="str">
        <x:v>CURRENT</x:v>
      </x:c>
      <x:c r="G6" s="36" t="str">
        <x:v>Aumenta combate, evasão, ímpeto ou proteção.</x:v>
      </x:c>
    </x:row>
    <x:row r="7" ht="42" customHeight="1">
      <x:c r="A7" s="36" t="n">
        <x:v>1</x:v>
      </x:c>
      <x:c r="B7" s="36" t="str">
        <x:v>Boom // Bust</x:v>
      </x:c>
      <x:c r="C7" s="36" t="str">
        <x:v>1 Boom // Bust (PLC) 112</x:v>
      </x:c>
      <x:c r="D7" s="36" t="str">
        <x:v>Removal</x:v>
      </x:c>
      <x:c r="E7" s="36" t="str">
        <x:v>Não</x:v>
      </x:c>
      <x:c r="F7" s="36" t="str">
        <x:v>CURRENT</x:v>
      </x:c>
      <x:c r="G7" s="36" t="str">
        <x:v>Interação; avaliar tipos alcançados e custo.</x:v>
      </x:c>
    </x:row>
    <x:row r="8" ht="42" customHeight="1">
      <x:c r="A8" s="36" t="n">
        <x:v>1</x:v>
      </x:c>
      <x:c r="B8" s="36" t="str">
        <x:v>Brash Taunter</x:v>
      </x:c>
      <x:c r="C8" s="36" t="str">
        <x:v>1 Brash Taunter (CLB) 782</x:v>
      </x:c>
      <x:c r="D8" s="36" t="str">
        <x:v>Combate + Dano Direto</x:v>
      </x:c>
      <x:c r="E8" s="36" t="str">
        <x:v>Não</x:v>
      </x:c>
      <x:c r="F8" s="36" t="str">
        <x:v>CURRENT</x:v>
      </x:c>
      <x:c r="G8" s="36" t="str">
        <x:v>Converte a mesa larga em dano ou pressão.</x:v>
      </x:c>
    </x:row>
    <x:row r="9" ht="42" customHeight="1">
      <x:c r="A9" s="36" t="n">
        <x:v>1</x:v>
      </x:c>
      <x:c r="B9" s="36" t="str">
        <x:v>Breeches, Eager Pillager</x:v>
      </x:c>
      <x:c r="C9" s="36" t="str">
        <x:v>1 Breeches, Eager Pillager (LCI) 294 *F*</x:v>
      </x:c>
      <x:c r="D9" s="36" t="str">
        <x:v>Draw</x:v>
      </x:c>
      <x:c r="E9" s="36" t="str">
        <x:v>Não</x:v>
      </x:c>
      <x:c r="F9" s="36" t="str">
        <x:v>CURRENT</x:v>
      </x:c>
      <x:c r="G9" s="36" t="str">
        <x:v>Compra, seleção ou acesso impulsivo a cartas.</x:v>
      </x:c>
    </x:row>
    <x:row r="10" ht="42" customHeight="1">
      <x:c r="A10" s="36" t="n">
        <x:v>1</x:v>
      </x:c>
      <x:c r="B10" s="36" t="str">
        <x:v>Brightstone Ritual</x:v>
      </x:c>
      <x:c r="C10" s="36" t="str">
        <x:v>1 Brightstone Ritual (ONS) 191</x:v>
      </x:c>
      <x:c r="D10" s="36" t="str">
        <x:v>Ramp</x:v>
      </x:c>
      <x:c r="E10" s="36" t="str">
        <x:v>Não</x:v>
      </x:c>
      <x:c r="F10" s="36" t="str">
        <x:v>CURRENT</x:v>
      </x:c>
      <x:c r="G10" s="36" t="str">
        <x:v>Aceleração ou conversão de fichas em mana.</x:v>
      </x:c>
    </x:row>
    <x:row r="11" ht="42" customHeight="1">
      <x:c r="A11" s="36" t="n">
        <x:v>1</x:v>
      </x:c>
      <x:c r="B11" s="36" t="str">
        <x:v>Caterwauling Boggart</x:v>
      </x:c>
      <x:c r="C11" s="36" t="str">
        <x:v>1 Caterwauling Boggart (LRW) 157</x:v>
      </x:c>
      <x:c r="D11" s="36" t="str">
        <x:v>Buff + Haste</x:v>
      </x:c>
      <x:c r="E11" s="36" t="str">
        <x:v>Não</x:v>
      </x:c>
      <x:c r="F11" s="36" t="str">
        <x:v>CURRENT</x:v>
      </x:c>
      <x:c r="G11" s="36" t="str">
        <x:v>Aumenta combate, evasão, ímpeto ou proteção.</x:v>
      </x:c>
    </x:row>
    <x:row r="12" ht="42" customHeight="1">
      <x:c r="A12" s="36" t="n">
        <x:v>1</x:v>
      </x:c>
      <x:c r="B12" s="36" t="str">
        <x:v>Chainsaw</x:v>
      </x:c>
      <x:c r="C12" s="36" t="str">
        <x:v>1 Chainsaw (DSK) 128</x:v>
      </x:c>
      <x:c r="D12" s="36" t="str">
        <x:v>Sinergia 2</x:v>
      </x:c>
      <x:c r="E12" s="36" t="str">
        <x:v>Não</x:v>
      </x:c>
      <x:c r="F12" s="36" t="str">
        <x:v>CURRENT</x:v>
      </x:c>
      <x:c r="G12" s="36" t="str">
        <x:v>Toolbox tribal, recursão, sacrifício ou geração de valor.</x:v>
      </x:c>
    </x:row>
    <x:row r="13" ht="42" customHeight="1">
      <x:c r="A13" s="36" t="n">
        <x:v>1</x:v>
      </x:c>
      <x:c r="B13" s="36" t="str">
        <x:v>Curse of Opulence</x:v>
      </x:c>
      <x:c r="C13" s="36" t="str">
        <x:v>1 Curse of Opulence (C17) 24</x:v>
      </x:c>
      <x:c r="D13" s="36" t="str">
        <x:v>Ramp</x:v>
      </x:c>
      <x:c r="E13" s="36" t="str">
        <x:v>Não</x:v>
      </x:c>
      <x:c r="F13" s="36" t="str">
        <x:v>CURRENT</x:v>
      </x:c>
      <x:c r="G13" s="36" t="str">
        <x:v>Aceleração ou conversão de fichas em mana.</x:v>
      </x:c>
    </x:row>
    <x:row r="14" ht="42" customHeight="1">
      <x:c r="A14" s="36" t="n">
        <x:v>1</x:v>
      </x:c>
      <x:c r="B14" s="36" t="str">
        <x:v>Den of the Bugbear</x:v>
      </x:c>
      <x:c r="C14" s="36" t="str">
        <x:v>1 Den of the Bugbear (AFR) 254</x:v>
      </x:c>
      <x:c r="D14" s="36" t="str">
        <x:v>Token</x:v>
      </x:c>
      <x:c r="E14" s="36" t="str">
        <x:v>Sim — terreno</x:v>
      </x:c>
      <x:c r="F14" s="36" t="str">
        <x:v>CURRENT</x:v>
      </x:c>
      <x:c r="G14" s="36" t="str">
        <x:v>Produz ou multiplica fichas de Goblin.</x:v>
      </x:c>
    </x:row>
    <x:row r="15" ht="42" customHeight="1">
      <x:c r="A15" s="36" t="n">
        <x:v>1</x:v>
      </x:c>
      <x:c r="B15" s="36" t="str">
        <x:v>Door of Destinies</x:v>
      </x:c>
      <x:c r="C15" s="36" t="str">
        <x:v>1 Door of Destinies (M14) 208</x:v>
      </x:c>
      <x:c r="D15" s="36" t="str">
        <x:v>Buff + Haste</x:v>
      </x:c>
      <x:c r="E15" s="36" t="str">
        <x:v>Não</x:v>
      </x:c>
      <x:c r="F15" s="36" t="str">
        <x:v>CURRENT</x:v>
      </x:c>
      <x:c r="G15" s="36" t="str">
        <x:v>Aumenta combate, evasão, ímpeto ou proteção.</x:v>
      </x:c>
    </x:row>
    <x:row r="16" ht="42" customHeight="1">
      <x:c r="A16" s="36" t="n">
        <x:v>1</x:v>
      </x:c>
      <x:c r="B16" s="36" t="str">
        <x:v>Dragon Fodder</x:v>
      </x:c>
      <x:c r="C16" s="36" t="str">
        <x:v>1 Dragon Fodder (CMM) 217</x:v>
      </x:c>
      <x:c r="D16" s="36" t="str">
        <x:v>Token</x:v>
      </x:c>
      <x:c r="E16" s="36" t="str">
        <x:v>Não</x:v>
      </x:c>
      <x:c r="F16" s="36" t="str">
        <x:v>CURRENT</x:v>
      </x:c>
      <x:c r="G16" s="36" t="str">
        <x:v>Produz ou multiplica fichas de Goblin.</x:v>
      </x:c>
    </x:row>
    <x:row r="17" ht="42" customHeight="1">
      <x:c r="A17" s="36" t="n">
        <x:v>1</x:v>
      </x:c>
      <x:c r="B17" s="36" t="str">
        <x:v>Eldrazi Monument</x:v>
      </x:c>
      <x:c r="C17" s="36" t="str">
        <x:v>1 Eldrazi Monument (ZEN) 199</x:v>
      </x:c>
      <x:c r="D17" s="36" t="str">
        <x:v>Buff + Haste</x:v>
      </x:c>
      <x:c r="E17" s="36" t="str">
        <x:v>Não</x:v>
      </x:c>
      <x:c r="F17" s="36" t="str">
        <x:v>CURRENT</x:v>
      </x:c>
      <x:c r="G17" s="36" t="str">
        <x:v>Aumenta combate, evasão, ímpeto ou proteção.</x:v>
      </x:c>
    </x:row>
    <x:row r="18" ht="42" customHeight="1">
      <x:c r="A18" s="36" t="n">
        <x:v>1</x:v>
      </x:c>
      <x:c r="B18" s="36" t="str">
        <x:v>Embercleave</x:v>
      </x:c>
      <x:c r="C18" s="36" t="str">
        <x:v>1 Embercleave (ELD) 120</x:v>
      </x:c>
      <x:c r="D18" s="36" t="str">
        <x:v>Combate + Dano Direto</x:v>
      </x:c>
      <x:c r="E18" s="36" t="str">
        <x:v>Não</x:v>
      </x:c>
      <x:c r="F18" s="36" t="str">
        <x:v>CURRENT</x:v>
      </x:c>
      <x:c r="G18" s="36" t="str">
        <x:v>Converte a mesa larga em dano ou pressão.</x:v>
      </x:c>
    </x:row>
    <x:row r="19" ht="42" customHeight="1">
      <x:c r="A19" s="36" t="n">
        <x:v>1</x:v>
      </x:c>
      <x:c r="B19" s="36" t="str">
        <x:v>Enduring Courage</x:v>
      </x:c>
      <x:c r="C19" s="36" t="str">
        <x:v>1 Enduring Courage (DSK) 133</x:v>
      </x:c>
      <x:c r="D19" s="36" t="str">
        <x:v>Buff + Haste</x:v>
      </x:c>
      <x:c r="E19" s="36" t="str">
        <x:v>Não</x:v>
      </x:c>
      <x:c r="F19" s="36" t="str">
        <x:v>CURRENT</x:v>
      </x:c>
      <x:c r="G19" s="36" t="str">
        <x:v>Aumenta combate, evasão, ímpeto ou proteção.</x:v>
      </x:c>
    </x:row>
    <x:row r="20" ht="42" customHeight="1">
      <x:c r="A20" s="36" t="n">
        <x:v>1</x:v>
      </x:c>
      <x:c r="B20" s="36" t="str">
        <x:v>Faithless Looting</x:v>
      </x:c>
      <x:c r="C20" s="36" t="str">
        <x:v>1 Faithless Looting (CMM) 642</x:v>
      </x:c>
      <x:c r="D20" s="36" t="str">
        <x:v>Draw</x:v>
      </x:c>
      <x:c r="E20" s="36" t="str">
        <x:v>Não</x:v>
      </x:c>
      <x:c r="F20" s="36" t="str">
        <x:v>CURRENT</x:v>
      </x:c>
      <x:c r="G20" s="36" t="str">
        <x:v>Compra, seleção ou acesso impulsivo a cartas.</x:v>
      </x:c>
    </x:row>
    <x:row r="21" ht="42" customHeight="1">
      <x:c r="A21" s="36" t="n">
        <x:v>1</x:v>
      </x:c>
      <x:c r="B21" s="36" t="str">
        <x:v>Fiery Emancipation</x:v>
      </x:c>
      <x:c r="C21" s="36" t="str">
        <x:v>1 Fiery Emancipation (WOT) 42</x:v>
      </x:c>
      <x:c r="D21" s="36" t="str">
        <x:v>Combate + Dano Direto</x:v>
      </x:c>
      <x:c r="E21" s="36" t="str">
        <x:v>Não</x:v>
      </x:c>
      <x:c r="F21" s="36" t="str">
        <x:v>CURRENT</x:v>
      </x:c>
      <x:c r="G21" s="36" t="str">
        <x:v>Converte a mesa larga em dano ou pressão.</x:v>
      </x:c>
    </x:row>
    <x:row r="22" ht="42" customHeight="1">
      <x:c r="A22" s="36" t="n">
        <x:v>1</x:v>
      </x:c>
      <x:c r="B22" s="36" t="str">
        <x:v>Gauntlet of Power</x:v>
      </x:c>
      <x:c r="C22" s="36" t="str">
        <x:v>1 Gauntlet of Power (DMR) 447</x:v>
      </x:c>
      <x:c r="D22" s="36" t="str">
        <x:v>Sinergia 2</x:v>
      </x:c>
      <x:c r="E22" s="36" t="str">
        <x:v>Não</x:v>
      </x:c>
      <x:c r="F22" s="36" t="str">
        <x:v>CURRENT</x:v>
      </x:c>
      <x:c r="G22" s="36" t="str">
        <x:v>Toolbox tribal, recursão, sacrifício ou geração de valor.</x:v>
      </x:c>
    </x:row>
    <x:row r="23" ht="42" customHeight="1">
      <x:c r="A23" s="36" t="n">
        <x:v>1</x:v>
      </x:c>
      <x:c r="B23" s="36" t="str">
        <x:v>Glittering Stockpile</x:v>
      </x:c>
      <x:c r="C23" s="36" t="str">
        <x:v>1 Glittering Stockpile (SNC) 107</x:v>
      </x:c>
      <x:c r="D23" s="36" t="str">
        <x:v>Ramp</x:v>
      </x:c>
      <x:c r="E23" s="36" t="str">
        <x:v>Não</x:v>
      </x:c>
      <x:c r="F23" s="36" t="str">
        <x:v>CURRENT</x:v>
      </x:c>
      <x:c r="G23" s="36" t="str">
        <x:v>Aceleração ou conversão de fichas em mana.</x:v>
      </x:c>
    </x:row>
    <x:row r="24" ht="42" customHeight="1">
      <x:c r="A24" s="36" t="n">
        <x:v>1</x:v>
      </x:c>
      <x:c r="B24" s="36" t="str">
        <x:v>Goblin Bombardment</x:v>
      </x:c>
      <x:c r="C24" s="36" t="str">
        <x:v>1 Goblin Bombardment (MH2) 279</x:v>
      </x:c>
      <x:c r="D24" s="36" t="str">
        <x:v>Combate + Dano Direto</x:v>
      </x:c>
      <x:c r="E24" s="36" t="str">
        <x:v>Não</x:v>
      </x:c>
      <x:c r="F24" s="36" t="str">
        <x:v>CURRENT</x:v>
      </x:c>
      <x:c r="G24" s="36" t="str">
        <x:v>Sac outlet e dano direto; converte fichas em alcance.</x:v>
      </x:c>
    </x:row>
    <x:row r="25" ht="42" customHeight="1">
      <x:c r="A25" s="36" t="n">
        <x:v>1</x:v>
      </x:c>
      <x:c r="B25" s="36" t="str">
        <x:v>Goblin Diplomats</x:v>
      </x:c>
      <x:c r="C25" s="36" t="str">
        <x:v>1 Goblin Diplomats (M14) 141</x:v>
      </x:c>
      <x:c r="D25" s="36" t="str">
        <x:v>Buff + Haste</x:v>
      </x:c>
      <x:c r="E25" s="36" t="str">
        <x:v>Não</x:v>
      </x:c>
      <x:c r="F25" s="36" t="str">
        <x:v>CURRENT</x:v>
      </x:c>
      <x:c r="G25" s="36" t="str">
        <x:v>Aumenta combate, evasão, ímpeto ou proteção.</x:v>
      </x:c>
    </x:row>
    <x:row r="26" ht="42" customHeight="1">
      <x:c r="A26" s="36" t="n">
        <x:v>1</x:v>
      </x:c>
      <x:c r="B26" s="36" t="str">
        <x:v>Goblin Engineer</x:v>
      </x:c>
      <x:c r="C26" s="36" t="str">
        <x:v>1 Goblin Engineer (MH1) 128</x:v>
      </x:c>
      <x:c r="D26" s="36" t="str">
        <x:v>Sinergia 2</x:v>
      </x:c>
      <x:c r="E26" s="36" t="str">
        <x:v>Não</x:v>
      </x:c>
      <x:c r="F26" s="36" t="str">
        <x:v>CURRENT</x:v>
      </x:c>
      <x:c r="G26" s="36" t="str">
        <x:v>Toolbox tribal, recursão, sacrifício ou geração de valor.</x:v>
      </x:c>
    </x:row>
    <x:row r="27" ht="42" customHeight="1">
      <x:c r="A27" s="36" t="n">
        <x:v>1</x:v>
      </x:c>
      <x:c r="B27" s="36" t="str">
        <x:v>Goblin Guide</x:v>
      </x:c>
      <x:c r="C27" s="36" t="str">
        <x:v>1 Goblin Guide (PLG21) 4 *F*</x:v>
      </x:c>
      <x:c r="D27" s="36" t="str">
        <x:v>Combate + Dano Direto</x:v>
      </x:c>
      <x:c r="E27" s="36" t="str">
        <x:v>Não</x:v>
      </x:c>
      <x:c r="F27" s="36" t="str">
        <x:v>CURRENT</x:v>
      </x:c>
      <x:c r="G27" s="36" t="str">
        <x:v>Converte a mesa larga em dano ou pressão.</x:v>
      </x:c>
    </x:row>
    <x:row r="28" ht="42" customHeight="1">
      <x:c r="A28" s="36" t="n">
        <x:v>1</x:v>
      </x:c>
      <x:c r="B28" s="36" t="str">
        <x:v>Goblin Matron</x:v>
      </x:c>
      <x:c r="C28" s="36" t="str">
        <x:v>1 Goblin Matron (DMR) 123</x:v>
      </x:c>
      <x:c r="D28" s="36" t="str">
        <x:v>Sinergia 2</x:v>
      </x:c>
      <x:c r="E28" s="36" t="str">
        <x:v>Não</x:v>
      </x:c>
      <x:c r="F28" s="36" t="str">
        <x:v>CURRENT</x:v>
      </x:c>
      <x:c r="G28" s="36" t="str">
        <x:v>Toolbox tribal, recursão, sacrifício ou geração de valor.</x:v>
      </x:c>
    </x:row>
    <x:row r="29" ht="42" customHeight="1">
      <x:c r="A29" s="36" t="n">
        <x:v>1</x:v>
      </x:c>
      <x:c r="B29" s="36" t="str">
        <x:v>Goblin Negotiation</x:v>
      </x:c>
      <x:c r="C29" s="36" t="str">
        <x:v>1 Goblin Negotiation (FDN) 88</x:v>
      </x:c>
      <x:c r="D29" s="36" t="str">
        <x:v>Removal</x:v>
      </x:c>
      <x:c r="E29" s="36" t="str">
        <x:v>Não</x:v>
      </x:c>
      <x:c r="F29" s="36" t="str">
        <x:v>CURRENT</x:v>
      </x:c>
      <x:c r="G29" s="36" t="str">
        <x:v>Interação; avaliar tipos alcançados e custo.</x:v>
      </x:c>
    </x:row>
    <x:row r="30" ht="42" customHeight="1">
      <x:c r="A30" s="36" t="n">
        <x:v>1</x:v>
      </x:c>
      <x:c r="B30" s="36" t="str">
        <x:v>Goblin Rabblemaster</x:v>
      </x:c>
      <x:c r="C30" s="36" t="str">
        <x:v>1 Goblin Rabblemaster (P30A) 22 *F*</x:v>
      </x:c>
      <x:c r="D30" s="36" t="str">
        <x:v>Token</x:v>
      </x:c>
      <x:c r="E30" s="36" t="str">
        <x:v>Não</x:v>
      </x:c>
      <x:c r="F30" s="36" t="str">
        <x:v>CURRENT</x:v>
      </x:c>
      <x:c r="G30" s="36" t="str">
        <x:v>Produz ou multiplica fichas de Goblin.</x:v>
      </x:c>
    </x:row>
    <x:row r="31" ht="42" customHeight="1">
      <x:c r="A31" s="36" t="n">
        <x:v>1</x:v>
      </x:c>
      <x:c r="B31" s="36" t="str">
        <x:v>Goblin Rally</x:v>
      </x:c>
      <x:c r="C31" s="36" t="str">
        <x:v>1 Goblin Rally (RTR) 95</x:v>
      </x:c>
      <x:c r="D31" s="36" t="str">
        <x:v>Token</x:v>
      </x:c>
      <x:c r="E31" s="36" t="str">
        <x:v>Não</x:v>
      </x:c>
      <x:c r="F31" s="36" t="str">
        <x:v>CURRENT</x:v>
      </x:c>
      <x:c r="G31" s="36" t="str">
        <x:v>Produz ou multiplica fichas de Goblin.</x:v>
      </x:c>
    </x:row>
    <x:row r="32" ht="42" customHeight="1">
      <x:c r="A32" s="36" t="n">
        <x:v>1</x:v>
      </x:c>
      <x:c r="B32" s="36" t="str">
        <x:v>Goblin Surprise</x:v>
      </x:c>
      <x:c r="C32" s="36" t="str">
        <x:v>1 Goblin Surprise (FDN) 200</x:v>
      </x:c>
      <x:c r="D32" s="36" t="str">
        <x:v>Token</x:v>
      </x:c>
      <x:c r="E32" s="36" t="str">
        <x:v>Não</x:v>
      </x:c>
      <x:c r="F32" s="36" t="str">
        <x:v>CURRENT</x:v>
      </x:c>
      <x:c r="G32" s="36" t="str">
        <x:v>Produz ou multiplica fichas de Goblin.</x:v>
      </x:c>
    </x:row>
    <x:row r="33" ht="42" customHeight="1">
      <x:c r="A33" s="36" t="n">
        <x:v>1</x:v>
      </x:c>
      <x:c r="B33" s="36" t="str">
        <x:v>Goblin Traprunner</x:v>
      </x:c>
      <x:c r="C33" s="36" t="str">
        <x:v>1 Goblin Traprunner (MH2) 130</x:v>
      </x:c>
      <x:c r="D33" s="36" t="str">
        <x:v>Token</x:v>
      </x:c>
      <x:c r="E33" s="36" t="str">
        <x:v>Não</x:v>
      </x:c>
      <x:c r="F33" s="36" t="str">
        <x:v>CURRENT</x:v>
      </x:c>
      <x:c r="G33" s="36" t="str">
        <x:v>Produz ou multiplica fichas de Goblin.</x:v>
      </x:c>
    </x:row>
    <x:row r="34" ht="42" customHeight="1">
      <x:c r="A34" s="36" t="n">
        <x:v>1</x:v>
      </x:c>
      <x:c r="B34" s="36" t="str">
        <x:v>Goblin War Strike</x:v>
      </x:c>
      <x:c r="C34" s="36" t="str">
        <x:v>1 Goblin War Strike (SCG) 96</x:v>
      </x:c>
      <x:c r="D34" s="36" t="str">
        <x:v>Combate + Dano Direto</x:v>
      </x:c>
      <x:c r="E34" s="36" t="str">
        <x:v>Não</x:v>
      </x:c>
      <x:c r="F34" s="36" t="str">
        <x:v>CURRENT</x:v>
      </x:c>
      <x:c r="G34" s="36" t="str">
        <x:v>Converte a mesa larga em dano ou pressão.</x:v>
      </x:c>
    </x:row>
    <x:row r="35" ht="42" customHeight="1">
      <x:c r="A35" s="36" t="n">
        <x:v>1</x:v>
      </x:c>
      <x:c r="B35" s="36" t="str">
        <x:v>Goblin Warchief</x:v>
      </x:c>
      <x:c r="C35" s="36" t="str">
        <x:v>1 Goblin Warchief (DOM) 130</x:v>
      </x:c>
      <x:c r="D35" s="36" t="str">
        <x:v>Buff + Haste</x:v>
      </x:c>
      <x:c r="E35" s="36" t="str">
        <x:v>Não</x:v>
      </x:c>
      <x:c r="F35" s="36" t="str">
        <x:v>CURRENT</x:v>
      </x:c>
      <x:c r="G35" s="36" t="str">
        <x:v>Aumenta combate, evasão, ímpeto ou proteção.</x:v>
      </x:c>
    </x:row>
    <x:row r="36" ht="42" customHeight="1">
      <x:c r="A36" s="36" t="n">
        <x:v>1</x:v>
      </x:c>
      <x:c r="B36" s="36" t="str">
        <x:v>Goblin Welder</x:v>
      </x:c>
      <x:c r="C36" s="36" t="str">
        <x:v>1 Goblin Welder (DDU) 35 *F*</x:v>
      </x:c>
      <x:c r="D36" s="36" t="str">
        <x:v>Sinergia 2</x:v>
      </x:c>
      <x:c r="E36" s="36" t="str">
        <x:v>Não</x:v>
      </x:c>
      <x:c r="F36" s="36" t="str">
        <x:v>CURRENT</x:v>
      </x:c>
      <x:c r="G36" s="36" t="str">
        <x:v>Toolbox tribal, recursão, sacrifício ou geração de valor.</x:v>
      </x:c>
    </x:row>
    <x:row r="37" ht="42" customHeight="1">
      <x:c r="A37" s="36" t="n">
        <x:v>1</x:v>
      </x:c>
      <x:c r="B37" s="36" t="str">
        <x:v>Grenzo, Havoc Raiser</x:v>
      </x:c>
      <x:c r="C37" s="36" t="str">
        <x:v>1 Grenzo, Havoc Raiser (CMM) 228</x:v>
      </x:c>
      <x:c r="D37" s="36" t="str">
        <x:v>Sinergia 2</x:v>
      </x:c>
      <x:c r="E37" s="36" t="str">
        <x:v>Não</x:v>
      </x:c>
      <x:c r="F37" s="36" t="str">
        <x:v>CURRENT</x:v>
      </x:c>
      <x:c r="G37" s="36" t="str">
        <x:v>Toolbox tribal, recursão, sacrifício ou geração de valor.</x:v>
      </x:c>
    </x:row>
    <x:row r="38" ht="42" customHeight="1">
      <x:c r="A38" s="36" t="n">
        <x:v>1</x:v>
      </x:c>
      <x:c r="B38" s="36" t="str">
        <x:v>Gut, True Soul Zealot</x:v>
      </x:c>
      <x:c r="C38" s="36" t="str">
        <x:v>1 Gut, True Soul Zealot (CLB) 399</x:v>
      </x:c>
      <x:c r="D38" s="36" t="str">
        <x:v>Sinergia 2</x:v>
      </x:c>
      <x:c r="E38" s="36" t="str">
        <x:v>Não</x:v>
      </x:c>
      <x:c r="F38" s="36" t="str">
        <x:v>CURRENT</x:v>
      </x:c>
      <x:c r="G38" s="36" t="str">
        <x:v>Toolbox tribal, recursão, sacrifício ou geração de valor.</x:v>
      </x:c>
    </x:row>
    <x:row r="39" ht="42" customHeight="1">
      <x:c r="A39" s="36" t="n">
        <x:v>1</x:v>
      </x:c>
      <x:c r="B39" s="36" t="str">
        <x:v>Hedron Archive</x:v>
      </x:c>
      <x:c r="C39" s="36" t="str">
        <x:v>1 Hedron Archive (C18) 206</x:v>
      </x:c>
      <x:c r="D39" s="36" t="str">
        <x:v>Ramp</x:v>
      </x:c>
      <x:c r="E39" s="36" t="str">
        <x:v>Não</x:v>
      </x:c>
      <x:c r="F39" s="36" t="str">
        <x:v>CURRENT</x:v>
      </x:c>
      <x:c r="G39" s="36" t="str">
        <x:v>Aceleração ou conversão de fichas em mana.</x:v>
      </x:c>
    </x:row>
    <x:row r="40" ht="42" customHeight="1">
      <x:c r="A40" s="36" t="n">
        <x:v>1</x:v>
      </x:c>
      <x:c r="B40" s="36" t="str">
        <x:v>Hobgoblin Bandit Lord</x:v>
      </x:c>
      <x:c r="C40" s="36" t="str">
        <x:v>1 Hobgoblin Bandit Lord (AFR) 147</x:v>
      </x:c>
      <x:c r="D40" s="36" t="str">
        <x:v>Buff + Haste</x:v>
      </x:c>
      <x:c r="E40" s="36" t="str">
        <x:v>Não</x:v>
      </x:c>
      <x:c r="F40" s="36" t="str">
        <x:v>CURRENT</x:v>
      </x:c>
      <x:c r="G40" s="36" t="str">
        <x:v>Aumenta combate, evasão, ímpeto ou proteção.</x:v>
      </x:c>
    </x:row>
    <x:row r="41" ht="42" customHeight="1">
      <x:c r="A41" s="36" t="n">
        <x:v>1</x:v>
      </x:c>
      <x:c r="B41" s="36" t="str">
        <x:v>Icon of Ancestry</x:v>
      </x:c>
      <x:c r="C41" s="36" t="str">
        <x:v>1 Icon of Ancestry (M20) 229</x:v>
      </x:c>
      <x:c r="D41" s="36" t="str">
        <x:v>Buff + Haste</x:v>
      </x:c>
      <x:c r="E41" s="36" t="str">
        <x:v>Não</x:v>
      </x:c>
      <x:c r="F41" s="36" t="str">
        <x:v>CURRENT</x:v>
      </x:c>
      <x:c r="G41" s="36" t="str">
        <x:v>Aumenta combate, evasão, ímpeto ou proteção.</x:v>
      </x:c>
    </x:row>
    <x:row r="42" ht="42" customHeight="1">
      <x:c r="A42" s="36" t="n">
        <x:v>1</x:v>
      </x:c>
      <x:c r="B42" s="36" t="str">
        <x:v>Impulsive Pilferer</x:v>
      </x:c>
      <x:c r="C42" s="36" t="str">
        <x:v>1 Impulsive Pilferer (CMM) 234 *F*</x:v>
      </x:c>
      <x:c r="D42" s="36" t="str">
        <x:v>Ramp</x:v>
      </x:c>
      <x:c r="E42" s="36" t="str">
        <x:v>Não</x:v>
      </x:c>
      <x:c r="F42" s="36" t="str">
        <x:v>CURRENT</x:v>
      </x:c>
      <x:c r="G42" s="36" t="str">
        <x:v>Aceleração ou conversão de fichas em mana.</x:v>
      </x:c>
    </x:row>
    <x:row r="43" ht="42" customHeight="1">
      <x:c r="A43" s="36" t="n">
        <x:v>1</x:v>
      </x:c>
      <x:c r="B43" s="36" t="str">
        <x:v>Izzet Chemister</x:v>
      </x:c>
      <x:c r="C43" s="36" t="str">
        <x:v>1 Izzet Chemister (CLB) 798</x:v>
      </x:c>
      <x:c r="D43" s="36" t="str">
        <x:v>Sinergia 2</x:v>
      </x:c>
      <x:c r="E43" s="36" t="str">
        <x:v>Não</x:v>
      </x:c>
      <x:c r="F43" s="36" t="str">
        <x:v>CURRENT</x:v>
      </x:c>
      <x:c r="G43" s="36" t="str">
        <x:v>Toolbox tribal, recursão, sacrifício ou geração de valor.</x:v>
      </x:c>
    </x:row>
    <x:row r="44" ht="42" customHeight="1">
      <x:c r="A44" s="36" t="n">
        <x:v>1</x:v>
      </x:c>
      <x:c r="B44" s="36" t="str">
        <x:v>Lavabrink Floodgates</x:v>
      </x:c>
      <x:c r="C44" s="36" t="str">
        <x:v>1 Lavabrink Floodgates (C20) 53</x:v>
      </x:c>
      <x:c r="D44" s="36" t="str">
        <x:v>Sinergia 2</x:v>
      </x:c>
      <x:c r="E44" s="36" t="str">
        <x:v>Não</x:v>
      </x:c>
      <x:c r="F44" s="36" t="str">
        <x:v>CURRENT</x:v>
      </x:c>
      <x:c r="G44" s="36" t="str">
        <x:v>Toolbox tribal, recursão, sacrifício ou geração de valor.</x:v>
      </x:c>
    </x:row>
    <x:row r="45" ht="42" customHeight="1">
      <x:c r="A45" s="36" t="n">
        <x:v>1</x:v>
      </x:c>
      <x:c r="B45" s="36" t="str">
        <x:v>Legion Warboss</x:v>
      </x:c>
      <x:c r="C45" s="36" t="str">
        <x:v>1 Legion Warboss (ONC) 101</x:v>
      </x:c>
      <x:c r="D45" s="36" t="str">
        <x:v>Token</x:v>
      </x:c>
      <x:c r="E45" s="36" t="str">
        <x:v>Não</x:v>
      </x:c>
      <x:c r="F45" s="36" t="str">
        <x:v>CURRENT</x:v>
      </x:c>
      <x:c r="G45" s="36" t="str">
        <x:v>Produz ou multiplica fichas de Goblin.</x:v>
      </x:c>
    </x:row>
    <x:row r="46" ht="42" customHeight="1">
      <x:c r="A46" s="36" t="n">
        <x:v>1</x:v>
      </x:c>
      <x:c r="B46" s="36" t="str">
        <x:v>Marvin, Murderous Mimic</x:v>
      </x:c>
      <x:c r="C46" s="36" t="str">
        <x:v>1 Marvin, Murderous Mimic (DSK) 367</x:v>
      </x:c>
      <x:c r="D46" s="36" t="str">
        <x:v>Sinergia 1</x:v>
      </x:c>
      <x:c r="E46" s="36" t="str">
        <x:v>Não</x:v>
      </x:c>
      <x:c r="F46" s="36" t="str">
        <x:v>CURRENT</x:v>
      </x:c>
      <x:c r="G46" s="36" t="str">
        <x:v>Copia habilidades ativadas de outras criaturas; pode copiar a habilidade de Krenko.</x:v>
      </x:c>
    </x:row>
    <x:row r="47" ht="42" customHeight="1">
      <x:c r="A47" s="36" t="n">
        <x:v>1</x:v>
      </x:c>
      <x:c r="B47" s="36" t="str">
        <x:v>Mizzium Mortars</x:v>
      </x:c>
      <x:c r="C47" s="36" t="str">
        <x:v>1 Mizzium Mortars (RTR) 101</x:v>
      </x:c>
      <x:c r="D47" s="36" t="str">
        <x:v>Removal</x:v>
      </x:c>
      <x:c r="E47" s="36" t="str">
        <x:v>Não</x:v>
      </x:c>
      <x:c r="F47" s="36" t="str">
        <x:v>CURRENT</x:v>
      </x:c>
      <x:c r="G47" s="36" t="str">
        <x:v>Interação; avaliar tipos alcançados e custo.</x:v>
      </x:c>
    </x:row>
    <x:row r="48" ht="42" customHeight="1">
      <x:c r="A48" s="36" t="n">
        <x:v>28</x:v>
      </x:c>
      <x:c r="B48" s="36" t="str">
        <x:v>Mountain</x:v>
      </x:c>
      <x:c r="C48" s="36" t="str">
        <x:v>28 Mountain (WOE) 274 *F*</x:v>
      </x:c>
      <x:c r="D48" s="36" t="str">
        <x:v>Ramp</x:v>
      </x:c>
      <x:c r="E48" s="36" t="str">
        <x:v>Sim — terreno</x:v>
      </x:c>
      <x:c r="F48" s="36" t="str">
        <x:v>CURRENT</x:v>
      </x:c>
      <x:c r="G48" s="36" t="str">
        <x:v>Aceleração ou conversão de fichas em mana.</x:v>
      </x:c>
    </x:row>
    <x:row r="49" ht="42" customHeight="1">
      <x:c r="A49" s="36" t="n">
        <x:v>1</x:v>
      </x:c>
      <x:c r="B49" s="36" t="str">
        <x:v>Muxus, Goblin Grandee</x:v>
      </x:c>
      <x:c r="C49" s="36" t="str">
        <x:v>1 Muxus, Goblin Grandee (J22) 575</x:v>
      </x:c>
      <x:c r="D49" s="36" t="str">
        <x:v>Sinergia 2</x:v>
      </x:c>
      <x:c r="E49" s="36" t="str">
        <x:v>Não</x:v>
      </x:c>
      <x:c r="F49" s="36" t="str">
        <x:v>CURRENT</x:v>
      </x:c>
      <x:c r="G49" s="36" t="str">
        <x:v>Toolbox tribal, recursão, sacrifício ou geração de valor.</x:v>
      </x:c>
    </x:row>
    <x:row r="50" ht="42" customHeight="1">
      <x:c r="A50" s="36" t="n">
        <x:v>1</x:v>
      </x:c>
      <x:c r="B50" s="36" t="str">
        <x:v>Nevinyrral's Disk</x:v>
      </x:c>
      <x:c r="C50" s="36" t="str">
        <x:v>1 Nevinyrral's Disk (C13) 248</x:v>
      </x:c>
      <x:c r="D50" s="36" t="str">
        <x:v>Removal</x:v>
      </x:c>
      <x:c r="E50" s="36" t="str">
        <x:v>Não</x:v>
      </x:c>
      <x:c r="F50" s="36" t="str">
        <x:v>CURRENT</x:v>
      </x:c>
      <x:c r="G50" s="36" t="str">
        <x:v>Interação; avaliar tipos alcançados e custo.</x:v>
      </x:c>
    </x:row>
    <x:row r="51" ht="42" customHeight="1">
      <x:c r="A51" s="36" t="n">
        <x:v>1</x:v>
      </x:c>
      <x:c r="B51" s="36" t="str">
        <x:v>Opal Palace</x:v>
      </x:c>
      <x:c r="C51" s="36" t="str">
        <x:v>1 Opal Palace (CMM) 422</x:v>
      </x:c>
      <x:c r="D51" s="36" t="str">
        <x:v>Ramp</x:v>
      </x:c>
      <x:c r="E51" s="36" t="str">
        <x:v>Sim — terreno</x:v>
      </x:c>
      <x:c r="F51" s="36" t="str">
        <x:v>CURRENT</x:v>
      </x:c>
      <x:c r="G51" s="36" t="str">
        <x:v>Aceleração ou conversão de fichas em mana.</x:v>
      </x:c>
    </x:row>
    <x:row r="52" ht="42" customHeight="1">
      <x:c r="A52" s="36" t="n">
        <x:v>1</x:v>
      </x:c>
      <x:c r="B52" s="36" t="str">
        <x:v>Outpost Siege</x:v>
      </x:c>
      <x:c r="C52" s="36" t="str">
        <x:v>1 Outpost Siege (C17) 139</x:v>
      </x:c>
      <x:c r="D52" s="36" t="str">
        <x:v>Draw</x:v>
      </x:c>
      <x:c r="E52" s="36" t="str">
        <x:v>Não</x:v>
      </x:c>
      <x:c r="F52" s="36" t="str">
        <x:v>CURRENT</x:v>
      </x:c>
      <x:c r="G52" s="36" t="str">
        <x:v>Compra, seleção ou acesso impulsivo a cartas.</x:v>
      </x:c>
    </x:row>
    <x:row r="53" ht="42" customHeight="1">
      <x:c r="A53" s="36" t="n">
        <x:v>1</x:v>
      </x:c>
      <x:c r="B53" s="36" t="str">
        <x:v>Patchwork Banner</x:v>
      </x:c>
      <x:c r="C53" s="36" t="str">
        <x:v>1 Patchwork Banner (BLB) 247 *F*</x:v>
      </x:c>
      <x:c r="D53" s="36" t="str">
        <x:v>Buff + Haste</x:v>
      </x:c>
      <x:c r="E53" s="36" t="str">
        <x:v>Não</x:v>
      </x:c>
      <x:c r="F53" s="36" t="str">
        <x:v>CURRENT</x:v>
      </x:c>
      <x:c r="G53" s="36" t="str">
        <x:v>Aumenta combate, evasão, ímpeto ou proteção.</x:v>
      </x:c>
    </x:row>
    <x:row r="54" ht="42" customHeight="1">
      <x:c r="A54" s="36" t="n">
        <x:v>1</x:v>
      </x:c>
      <x:c r="B54" s="36" t="str">
        <x:v>Path of Ancestry</x:v>
      </x:c>
      <x:c r="C54" s="36" t="str">
        <x:v>1 Path of Ancestry (CMM) 661</x:v>
      </x:c>
      <x:c r="D54" s="36" t="str">
        <x:v>Ramp</x:v>
      </x:c>
      <x:c r="E54" s="36" t="str">
        <x:v>Sim — terreno</x:v>
      </x:c>
      <x:c r="F54" s="36" t="str">
        <x:v>CURRENT</x:v>
      </x:c>
      <x:c r="G54" s="36" t="str">
        <x:v>Aceleração ou conversão de fichas em mana.</x:v>
      </x:c>
    </x:row>
    <x:row r="55" ht="42" customHeight="1">
      <x:c r="A55" s="36" t="n">
        <x:v>1</x:v>
      </x:c>
      <x:c r="B55" s="36" t="str">
        <x:v>Purphoros, Bronze-Blooded</x:v>
      </x:c>
      <x:c r="C55" s="36" t="str">
        <x:v>1 Purphoros, Bronze-Blooded (THB) 265</x:v>
      </x:c>
      <x:c r="D55" s="36" t="str">
        <x:v>Buff + Haste</x:v>
      </x:c>
      <x:c r="E55" s="36" t="str">
        <x:v>Não</x:v>
      </x:c>
      <x:c r="F55" s="36" t="str">
        <x:v>CURRENT</x:v>
      </x:c>
      <x:c r="G55" s="36" t="str">
        <x:v>Aumenta combate, evasão, ímpeto ou proteção.</x:v>
      </x:c>
    </x:row>
    <x:row r="56" ht="42" customHeight="1">
      <x:c r="A56" s="36" t="n">
        <x:v>1</x:v>
      </x:c>
      <x:c r="B56" s="36" t="str">
        <x:v>Raid Bombardment</x:v>
      </x:c>
      <x:c r="C56" s="36" t="str">
        <x:v>1 Raid Bombardment (WOT) 47</x:v>
      </x:c>
      <x:c r="D56" s="36" t="str">
        <x:v>Combate + Dano Direto</x:v>
      </x:c>
      <x:c r="E56" s="36" t="str">
        <x:v>Não</x:v>
      </x:c>
      <x:c r="F56" s="36" t="str">
        <x:v>CURRENT</x:v>
      </x:c>
      <x:c r="G56" s="36" t="str">
        <x:v>Converte a mesa larga em dano ou pressão.</x:v>
      </x:c>
    </x:row>
    <x:row r="57" ht="42" customHeight="1">
      <x:c r="A57" s="36" t="n">
        <x:v>1</x:v>
      </x:c>
      <x:c r="B57" s="36" t="str">
        <x:v>Red Sun's Twilight</x:v>
      </x:c>
      <x:c r="C57" s="36" t="str">
        <x:v>1 Red Sun's Twilight (PONE) 145s *F*</x:v>
      </x:c>
      <x:c r="D57" s="36" t="str">
        <x:v>Removal</x:v>
      </x:c>
      <x:c r="E57" s="36" t="str">
        <x:v>Não</x:v>
      </x:c>
      <x:c r="F57" s="36" t="str">
        <x:v>CURRENT</x:v>
      </x:c>
      <x:c r="G57" s="36" t="str">
        <x:v>Interação; avaliar tipos alcançados e custo.</x:v>
      </x:c>
    </x:row>
    <x:row r="58" ht="42" customHeight="1">
      <x:c r="A58" s="36" t="n">
        <x:v>1</x:v>
      </x:c>
      <x:c r="B58" s="36" t="str">
        <x:v>Relic Robber</x:v>
      </x:c>
      <x:c r="C58" s="36" t="str">
        <x:v>1 Relic Robber (ZNR) 153</x:v>
      </x:c>
      <x:c r="D58" s="36" t="str">
        <x:v>Combate + Dano Direto</x:v>
      </x:c>
      <x:c r="E58" s="36" t="str">
        <x:v>Não</x:v>
      </x:c>
      <x:c r="F58" s="36" t="str">
        <x:v>CURRENT</x:v>
      </x:c>
      <x:c r="G58" s="36" t="str">
        <x:v>Converte a mesa larga em dano ou pressão.</x:v>
      </x:c>
    </x:row>
    <x:row r="59" ht="42" customHeight="1">
      <x:c r="A59" s="36" t="n">
        <x:v>1</x:v>
      </x:c>
      <x:c r="B59" s="36" t="str">
        <x:v>Rising of the Day</x:v>
      </x:c>
      <x:c r="C59" s="36" t="str">
        <x:v>1 Rising of the Day (LTR) 145</x:v>
      </x:c>
      <x:c r="D59" s="36" t="str">
        <x:v>Buff + Haste</x:v>
      </x:c>
      <x:c r="E59" s="36" t="str">
        <x:v>Não</x:v>
      </x:c>
      <x:c r="F59" s="36" t="str">
        <x:v>CURRENT</x:v>
      </x:c>
      <x:c r="G59" s="36" t="str">
        <x:v>Aumenta combate, evasão, ímpeto ou proteção.</x:v>
      </x:c>
    </x:row>
    <x:row r="60" ht="42" customHeight="1">
      <x:c r="A60" s="36" t="n">
        <x:v>1</x:v>
      </x:c>
      <x:c r="B60" s="36" t="str">
        <x:v>Ruby Medallion</x:v>
      </x:c>
      <x:c r="C60" s="36" t="str">
        <x:v>1 Ruby Medallion (CMM) 405</x:v>
      </x:c>
      <x:c r="D60" s="36" t="str">
        <x:v>Ramp</x:v>
      </x:c>
      <x:c r="E60" s="36" t="str">
        <x:v>Não</x:v>
      </x:c>
      <x:c r="F60" s="36" t="str">
        <x:v>CURRENT</x:v>
      </x:c>
      <x:c r="G60" s="36" t="str">
        <x:v>Reduz o componente genérico do custo de mágicas vermelhas.</x:v>
      </x:c>
    </x:row>
    <x:row r="61" ht="42" customHeight="1">
      <x:c r="A61" s="36" t="n">
        <x:v>1</x:v>
      </x:c>
      <x:c r="B61" s="36" t="str">
        <x:v>Rummaging Goblin</x:v>
      </x:c>
      <x:c r="C61" s="36" t="str">
        <x:v>1 Rummaging Goblin (M13) 146</x:v>
      </x:c>
      <x:c r="D61" s="36" t="str">
        <x:v>Draw</x:v>
      </x:c>
      <x:c r="E61" s="36" t="str">
        <x:v>Não</x:v>
      </x:c>
      <x:c r="F61" s="36" t="str">
        <x:v>CURRENT</x:v>
      </x:c>
      <x:c r="G61" s="36" t="str">
        <x:v>Compra, seleção ou acesso impulsivo a cartas.</x:v>
      </x:c>
    </x:row>
    <x:row r="62" ht="42" customHeight="1">
      <x:c r="A62" s="36" t="n">
        <x:v>1</x:v>
      </x:c>
      <x:c r="B62" s="36" t="str">
        <x:v>Rundvelt Hordemaster</x:v>
      </x:c>
      <x:c r="C62" s="36" t="str">
        <x:v>1 Rundvelt Hordemaster (DMU) 142</x:v>
      </x:c>
      <x:c r="D62" s="36" t="str">
        <x:v>Sinergia 2</x:v>
      </x:c>
      <x:c r="E62" s="36" t="str">
        <x:v>Não</x:v>
      </x:c>
      <x:c r="F62" s="36" t="str">
        <x:v>CURRENT</x:v>
      </x:c>
      <x:c r="G62" s="36" t="str">
        <x:v>Fonte de vantagem quando outros Goblins que você controla morrem.</x:v>
      </x:c>
    </x:row>
    <x:row r="63" ht="42" customHeight="1">
      <x:c r="A63" s="36" t="n">
        <x:v>1</x:v>
      </x:c>
      <x:c r="B63" s="36" t="str">
        <x:v>Searslicer Goblin</x:v>
      </x:c>
      <x:c r="C63" s="36" t="str">
        <x:v>1 Searslicer Goblin (FDN) 93 *F*</x:v>
      </x:c>
      <x:c r="D63" s="36" t="str">
        <x:v>Token</x:v>
      </x:c>
      <x:c r="E63" s="36" t="str">
        <x:v>Não</x:v>
      </x:c>
      <x:c r="F63" s="36" t="str">
        <x:v>CURRENT</x:v>
      </x:c>
      <x:c r="G63" s="36" t="str">
        <x:v>Produz ou multiplica fichas de Goblin.</x:v>
      </x:c>
    </x:row>
    <x:row r="64" ht="42" customHeight="1">
      <x:c r="A64" s="36" t="n">
        <x:v>1</x:v>
      </x:c>
      <x:c r="B64" s="36" t="str">
        <x:v>Shared Animosity</x:v>
      </x:c>
      <x:c r="C64" s="36" t="str">
        <x:v>1 Shared Animosity (WOT) 49</x:v>
      </x:c>
      <x:c r="D64" s="36" t="str">
        <x:v>Combate + Dano Direto</x:v>
      </x:c>
      <x:c r="E64" s="36" t="str">
        <x:v>Não</x:v>
      </x:c>
      <x:c r="F64" s="36" t="str">
        <x:v>CURRENT</x:v>
      </x:c>
      <x:c r="G64" s="36" t="str">
        <x:v>Converte a mesa larga em dano ou pressão.</x:v>
      </x:c>
    </x:row>
    <x:row r="65" ht="42" customHeight="1">
      <x:c r="A65" s="36" t="n">
        <x:v>1</x:v>
      </x:c>
      <x:c r="B65" s="36" t="str">
        <x:v>Soulstone Sanctuary</x:v>
      </x:c>
      <x:c r="C65" s="36" t="str">
        <x:v>1 Soulstone Sanctuary (FDN) 133</x:v>
      </x:c>
      <x:c r="D65" s="36" t="str">
        <x:v>Token</x:v>
      </x:c>
      <x:c r="E65" s="36" t="str">
        <x:v>Sim — terreno</x:v>
      </x:c>
      <x:c r="F65" s="36" t="str">
        <x:v>CURRENT</x:v>
      </x:c>
      <x:c r="G65" s="36" t="str">
        <x:v>Produz ou multiplica fichas de Goblin.</x:v>
      </x:c>
    </x:row>
    <x:row r="66" ht="42" customHeight="1">
      <x:c r="A66" s="36" t="n">
        <x:v>1</x:v>
      </x:c>
      <x:c r="B66" s="36" t="str">
        <x:v>Sparksmith</x:v>
      </x:c>
      <x:c r="C66" s="36" t="str">
        <x:v>1 Sparksmith (ONS) 235</x:v>
      </x:c>
      <x:c r="D66" s="36" t="str">
        <x:v>Removal</x:v>
      </x:c>
      <x:c r="E66" s="36" t="str">
        <x:v>Não</x:v>
      </x:c>
      <x:c r="F66" s="36" t="str">
        <x:v>CURRENT</x:v>
      </x:c>
      <x:c r="G66" s="36" t="str">
        <x:v>Interação; avaliar tipos alcançados e custo.</x:v>
      </x:c>
    </x:row>
    <x:row r="67" ht="42" customHeight="1">
      <x:c r="A67" s="36" t="n">
        <x:v>1</x:v>
      </x:c>
      <x:c r="B67" s="36" t="str">
        <x:v>Sundering Eruption</x:v>
      </x:c>
      <x:c r="C67" s="36" t="str">
        <x:v>1 Sundering Eruption (MH3) 248</x:v>
      </x:c>
      <x:c r="D67" s="36" t="str">
        <x:v>Removal</x:v>
      </x:c>
      <x:c r="E67" s="36" t="str">
        <x:v>Sim — face-terreno</x:v>
      </x:c>
      <x:c r="F67" s="36" t="str">
        <x:v>CURRENT</x:v>
      </x:c>
      <x:c r="G67" s="36" t="str">
        <x:v>Interação; avaliar tipos alcançados e custo.</x:v>
      </x:c>
    </x:row>
    <x:row r="68" ht="42" customHeight="1">
      <x:c r="A68" s="36" t="n">
        <x:v>1</x:v>
      </x:c>
      <x:c r="B68" s="36" t="str">
        <x:v>Thrill of Possibility</x:v>
      </x:c>
      <x:c r="C68" s="36" t="str">
        <x:v>1 Thrill of Possibility (STA) 46</x:v>
      </x:c>
      <x:c r="D68" s="36" t="str">
        <x:v>Draw</x:v>
      </x:c>
      <x:c r="E68" s="36" t="str">
        <x:v>Não</x:v>
      </x:c>
      <x:c r="F68" s="36" t="str">
        <x:v>CURRENT</x:v>
      </x:c>
      <x:c r="G68" s="36" t="str">
        <x:v>Compra, seleção ou acesso impulsivo a cartas.</x:v>
      </x:c>
    </x:row>
    <x:row r="69" ht="42" customHeight="1">
      <x:c r="A69" s="36" t="n">
        <x:v>1</x:v>
      </x:c>
      <x:c r="B69" s="36" t="str">
        <x:v>Treasure Nabber</x:v>
      </x:c>
      <x:c r="C69" s="36" t="str">
        <x:v>1 Treasure Nabber (CMM) 265</x:v>
      </x:c>
      <x:c r="D69" s="36" t="str">
        <x:v>Sinergia 2</x:v>
      </x:c>
      <x:c r="E69" s="36" t="str">
        <x:v>Não</x:v>
      </x:c>
      <x:c r="F69" s="36" t="str">
        <x:v>CURRENT</x:v>
      </x:c>
      <x:c r="G69" s="36" t="str">
        <x:v>Toolbox tribal, recursão, sacrifício ou geração de valor.</x:v>
      </x:c>
    </x:row>
    <x:row r="70" ht="42" customHeight="1">
      <x:c r="A70" s="36" t="n">
        <x:v>1</x:v>
      </x:c>
      <x:c r="B70" s="36" t="str">
        <x:v>Urabrask the Hidden</x:v>
      </x:c>
      <x:c r="C70" s="36" t="str">
        <x:v>1 Urabrask the Hidden (CLB) 811</x:v>
      </x:c>
      <x:c r="D70" s="36" t="str">
        <x:v>Buff + Haste</x:v>
      </x:c>
      <x:c r="E70" s="36" t="str">
        <x:v>Não</x:v>
      </x:c>
      <x:c r="F70" s="36" t="str">
        <x:v>CURRENT</x:v>
      </x:c>
      <x:c r="G70" s="36" t="str">
        <x:v>Aumenta combate, evasão, ímpeto ou proteção.</x:v>
      </x:c>
    </x:row>
    <x:row r="71" ht="42" customHeight="1">
      <x:c r="A71" s="36" t="n">
        <x:v>1</x:v>
      </x:c>
      <x:c r="B71" s="36" t="str">
        <x:v>Wand of Wonder</x:v>
      </x:c>
      <x:c r="C71" s="36" t="str">
        <x:v>1 Wand of Wonder (CLB) 204 *F*</x:v>
      </x:c>
      <x:c r="D71" s="36" t="str">
        <x:v>Draw</x:v>
      </x:c>
      <x:c r="E71" s="36" t="str">
        <x:v>Não</x:v>
      </x:c>
      <x:c r="F71" s="36" t="str">
        <x:v>CURRENT</x:v>
      </x:c>
      <x:c r="G71" s="36" t="str">
        <x:v>Compra, seleção ou acesso impulsivo a cartas.</x:v>
      </x:c>
    </x:row>
    <x:row r="72" ht="42" customHeight="1">
      <x:c r="A72" s="36" t="n">
        <x:v>1</x:v>
      </x:c>
      <x:c r="B72" s="36" t="str">
        <x:v>Wheel of Fate</x:v>
      </x:c>
      <x:c r="C72" s="36" t="str">
        <x:v>1 Wheel of Fate (TSR) 198</x:v>
      </x:c>
      <x:c r="D72" s="36" t="str">
        <x:v>Draw</x:v>
      </x:c>
      <x:c r="E72" s="36" t="str">
        <x:v>Não</x:v>
      </x:c>
      <x:c r="F72" s="36" t="str">
        <x:v>CURRENT</x:v>
      </x:c>
      <x:c r="G72" s="36" t="str">
        <x:v>Compra, seleção ou acesso impulsivo a cartas.</x:v>
      </x:c>
    </x:row>
    <x:row r="73" ht="42" customHeight="1">
      <x:c r="A73" s="36" t="n">
        <x:v>1</x:v>
      </x:c>
      <x:c r="B73" s="36" t="str">
        <x:v>Worldfire</x:v>
      </x:c>
      <x:c r="C73" s="36" t="str">
        <x:v>1 Worldfire (M13) 158</x:v>
      </x:c>
      <x:c r="D73" s="36" t="str">
        <x:v>Sinergia 2</x:v>
      </x:c>
      <x:c r="E73" s="36" t="str">
        <x:v>Não</x:v>
      </x:c>
      <x:c r="F73" s="36" t="str">
        <x:v>CURRENT</x:v>
      </x:c>
      <x:c r="G73" s="36" t="str">
        <x:v>Corte estratégico, não por ilegalidade: redefine o estado do jogo e não aproveita o plano de enxame.</x:v>
      </x:c>
    </x:row>
    <x:row r="74" ht="42" customHeight="1">
      <x:c r="A74" s="36" t="n">
        <x:v>1</x:v>
      </x:c>
      <x:c r="B74" s="36" t="str">
        <x:v>You See a Pair of Goblins</x:v>
      </x:c>
      <x:c r="C74" s="36" t="str">
        <x:v>1 You See a Pair of Goblins (AFR) 170</x:v>
      </x:c>
      <x:c r="D74" s="36" t="str">
        <x:v>Sinergia 2</x:v>
      </x:c>
      <x:c r="E74" s="36" t="str">
        <x:v>Não</x:v>
      </x:c>
      <x:c r="F74" s="36" t="str">
        <x:v>CURRENT</x:v>
      </x:c>
      <x:c r="G74" s="36" t="str">
        <x:v>Toolbox tribal, recursão, sacrifício ou geração de valor.</x:v>
      </x:c>
    </x:row>
    <x:row r="75" ht="42" customHeight="1"/>
    <x:row r="76" ht="42" customHeight="1"/>
    <x:row r="77" ht="42" customHeight="1"/>
    <x:row r="78" ht="42" customHeight="1"/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3" hidden="0" customWidth="1"/>
    <x:col min="4" max="4" width="23" hidden="0" customWidth="1"/>
    <x:col min="5" max="5" width="18" hidden="0" customWidth="1"/>
    <x:col min="6" max="6" width="17" hidden="0" customWidth="1"/>
    <x:col min="7" max="7" width="65" hidden="0" customWidth="1"/>
  </x:cols>
  <x:sheetData>
    <x:row r="1">
      <x:c r="A1" s="47" t="str">
        <x:v>Qtd.</x:v>
      </x:c>
      <x:c r="B1" s="47" t="str">
        <x:v>Nome da carta</x:v>
      </x:c>
      <x:c r="C1" s="47" t="str">
        <x:v>Impressão/metadados originais</x:v>
      </x:c>
      <x:c r="D1" s="47" t="str">
        <x:v>Grupo principal</x:v>
      </x:c>
      <x:c r="E1" s="47" t="str">
        <x:v>Tem opção de terreno?</x:v>
      </x:c>
      <x:c r="F1" s="47" t="str">
        <x:v>Estado</x:v>
      </x:c>
      <x:c r="G1" s="47" t="str">
        <x:v>Papel / interação</x:v>
      </x:c>
      <x:c r="H1" s="24"/>
      <x:c r="I1" s="24"/>
      <x:c r="J1" s="24"/>
      <x:c r="K1" s="24"/>
      <x:c r="L1" s="24"/>
      <x:c r="M1" s="24"/>
    </x:row>
    <x:row r="2" ht="42" customHeight="1">
      <x:c r="A2" s="36" t="n">
        <x:v>1</x:v>
      </x:c>
      <x:c r="B2" s="36" t="str">
        <x:v>Krenko, Mob Boss</x:v>
      </x:c>
      <x:c r="C2" s="36" t="str">
        <x:v>1 Krenko, Mob Boss (CMM) 238</x:v>
      </x:c>
      <x:c r="D2" s="36" t="str">
        <x:v>Token</x:v>
      </x:c>
      <x:c r="E2" s="36" t="str">
        <x:v>Não</x:v>
      </x:c>
      <x:c r="F2" s="36" t="str">
        <x:v>COMMANDER</x:v>
      </x:c>
      <x:c r="G2" s="36" t="str">
        <x:v>Comandante; cria uma ficha por Goblin que você controla, incluindo Krenko, escalando rapidamente.</x:v>
      </x:c>
    </x:row>
    <x:row r="3" ht="42" customHeight="1">
      <x:c r="A3" s="36" t="n">
        <x:v>1</x:v>
      </x:c>
      <x:c r="B3" s="36" t="str">
        <x:v>Arcane Signet</x:v>
      </x:c>
      <x:c r="C3" s="36" t="str">
        <x:v>1 Arcane Signet (CLB) 298</x:v>
      </x:c>
      <x:c r="D3" s="36" t="str">
        <x:v>Ramp</x:v>
      </x:c>
      <x:c r="E3" s="36" t="str">
        <x:v>Não</x:v>
      </x:c>
      <x:c r="F3" s="36" t="str">
        <x:v>PROPOSED V2</x:v>
      </x:c>
      <x:c r="G3" s="36" t="str">
        <x:v>Aceleração ou conversão de fichas em mana.</x:v>
      </x:c>
    </x:row>
    <x:row r="4" ht="42" customHeight="1">
      <x:c r="A4" s="36" t="n">
        <x:v>1</x:v>
      </x:c>
      <x:c r="B4" s="36" t="str">
        <x:v>Ashnod's Altar</x:v>
      </x:c>
      <x:c r="C4" s="36" t="str">
        <x:v>1 Ashnod's Altar (CMM) 368</x:v>
      </x:c>
      <x:c r="D4" s="36" t="str">
        <x:v>Sinergia 2</x:v>
      </x:c>
      <x:c r="E4" s="36" t="str">
        <x:v>Não</x:v>
      </x:c>
      <x:c r="F4" s="36" t="str">
        <x:v>PROPOSED V2</x:v>
      </x:c>
      <x:c r="G4" s="36" t="str">
        <x:v>Toolbox tribal, recursão, sacrifício ou geração de valor.</x:v>
      </x:c>
    </x:row>
    <x:row r="5" ht="42" customHeight="1">
      <x:c r="A5" s="36" t="n">
        <x:v>1</x:v>
      </x:c>
      <x:c r="B5" s="36" t="str">
        <x:v>Battle Cry Goblin</x:v>
      </x:c>
      <x:c r="C5" s="36" t="str">
        <x:v>1 Battle Cry Goblin (AFR) 132 *F*</x:v>
      </x:c>
      <x:c r="D5" s="36" t="str">
        <x:v>Buff + Haste</x:v>
      </x:c>
      <x:c r="E5" s="36" t="str">
        <x:v>Não</x:v>
      </x:c>
      <x:c r="F5" s="36" t="str">
        <x:v>PROPOSED V2</x:v>
      </x:c>
      <x:c r="G5" s="36" t="str">
        <x:v>Aumenta combate, evasão, ímpeto ou proteção.</x:v>
      </x:c>
    </x:row>
    <x:row r="6" ht="42" customHeight="1">
      <x:c r="A6" s="36" t="n">
        <x:v>1</x:v>
      </x:c>
      <x:c r="B6" s="36" t="str">
        <x:v>Brash Taunter</x:v>
      </x:c>
      <x:c r="C6" s="36" t="str">
        <x:v>1 Brash Taunter (CLB) 782</x:v>
      </x:c>
      <x:c r="D6" s="36" t="str">
        <x:v>Combate + Dano Direto</x:v>
      </x:c>
      <x:c r="E6" s="36" t="str">
        <x:v>Não</x:v>
      </x:c>
      <x:c r="F6" s="36" t="str">
        <x:v>PROPOSED V2</x:v>
      </x:c>
      <x:c r="G6" s="36" t="str">
        <x:v>Converte a mesa larga em dano ou pressão.</x:v>
      </x:c>
    </x:row>
    <x:row r="7" ht="42" customHeight="1">
      <x:c r="A7" s="36" t="n">
        <x:v>1</x:v>
      </x:c>
      <x:c r="B7" s="36" t="str">
        <x:v>Breeches, Eager Pillager</x:v>
      </x:c>
      <x:c r="C7" s="36" t="str">
        <x:v>1 Breeches, Eager Pillager (LCI) 294 *F*</x:v>
      </x:c>
      <x:c r="D7" s="36" t="str">
        <x:v>Draw</x:v>
      </x:c>
      <x:c r="E7" s="36" t="str">
        <x:v>Não</x:v>
      </x:c>
      <x:c r="F7" s="36" t="str">
        <x:v>PROPOSED V2</x:v>
      </x:c>
      <x:c r="G7" s="36" t="str">
        <x:v>Compra, seleção ou acesso impulsivo a cartas.</x:v>
      </x:c>
    </x:row>
    <x:row r="8" ht="42" customHeight="1">
      <x:c r="A8" s="36" t="n">
        <x:v>1</x:v>
      </x:c>
      <x:c r="B8" s="36" t="str">
        <x:v>Brightstone Ritual</x:v>
      </x:c>
      <x:c r="C8" s="36" t="str">
        <x:v>1 Brightstone Ritual (ONS) 191</x:v>
      </x:c>
      <x:c r="D8" s="36" t="str">
        <x:v>Ramp</x:v>
      </x:c>
      <x:c r="E8" s="36" t="str">
        <x:v>Não</x:v>
      </x:c>
      <x:c r="F8" s="36" t="str">
        <x:v>PROPOSED V2</x:v>
      </x:c>
      <x:c r="G8" s="36" t="str">
        <x:v>Aceleração ou conversão de fichas em mana.</x:v>
      </x:c>
    </x:row>
    <x:row r="9" ht="42" customHeight="1">
      <x:c r="A9" s="36" t="n">
        <x:v>1</x:v>
      </x:c>
      <x:c r="B9" s="36" t="str">
        <x:v>Caterwauling Boggart</x:v>
      </x:c>
      <x:c r="C9" s="36" t="str">
        <x:v>1 Caterwauling Boggart (LRW) 157</x:v>
      </x:c>
      <x:c r="D9" s="36" t="str">
        <x:v>Buff + Haste</x:v>
      </x:c>
      <x:c r="E9" s="36" t="str">
        <x:v>Não</x:v>
      </x:c>
      <x:c r="F9" s="36" t="str">
        <x:v>PROPOSED V2</x:v>
      </x:c>
      <x:c r="G9" s="36" t="str">
        <x:v>Aumenta combate, evasão, ímpeto ou proteção.</x:v>
      </x:c>
    </x:row>
    <x:row r="10" ht="42" customHeight="1">
      <x:c r="A10" s="36" t="n">
        <x:v>1</x:v>
      </x:c>
      <x:c r="B10" s="36" t="str">
        <x:v>Curse of Opulence</x:v>
      </x:c>
      <x:c r="C10" s="36" t="str">
        <x:v>1 Curse of Opulence (C17) 24</x:v>
      </x:c>
      <x:c r="D10" s="36" t="str">
        <x:v>Ramp</x:v>
      </x:c>
      <x:c r="E10" s="36" t="str">
        <x:v>Não</x:v>
      </x:c>
      <x:c r="F10" s="36" t="str">
        <x:v>PROPOSED V2</x:v>
      </x:c>
      <x:c r="G10" s="36" t="str">
        <x:v>Aceleração ou conversão de fichas em mana.</x:v>
      </x:c>
    </x:row>
    <x:row r="11" ht="42" customHeight="1">
      <x:c r="A11" s="36" t="n">
        <x:v>1</x:v>
      </x:c>
      <x:c r="B11" s="36" t="str">
        <x:v>Den of the Bugbear</x:v>
      </x:c>
      <x:c r="C11" s="36" t="str">
        <x:v>1 Den of the Bugbear (AFR) 254</x:v>
      </x:c>
      <x:c r="D11" s="36" t="str">
        <x:v>Token</x:v>
      </x:c>
      <x:c r="E11" s="36" t="str">
        <x:v>Sim — terreno</x:v>
      </x:c>
      <x:c r="F11" s="36" t="str">
        <x:v>PROPOSED V2</x:v>
      </x:c>
      <x:c r="G11" s="36" t="str">
        <x:v>Produz ou multiplica fichas de Goblin.</x:v>
      </x:c>
    </x:row>
    <x:row r="12" ht="42" customHeight="1">
      <x:c r="A12" s="36" t="n">
        <x:v>1</x:v>
      </x:c>
      <x:c r="B12" s="36" t="str">
        <x:v>Dragon Fodder</x:v>
      </x:c>
      <x:c r="C12" s="36" t="str">
        <x:v>1 Dragon Fodder (CMM) 217</x:v>
      </x:c>
      <x:c r="D12" s="36" t="str">
        <x:v>Token</x:v>
      </x:c>
      <x:c r="E12" s="36" t="str">
        <x:v>Não</x:v>
      </x:c>
      <x:c r="F12" s="36" t="str">
        <x:v>PROPOSED V2</x:v>
      </x:c>
      <x:c r="G12" s="36" t="str">
        <x:v>Produz ou multiplica fichas de Goblin.</x:v>
      </x:c>
    </x:row>
    <x:row r="13" ht="42" customHeight="1">
      <x:c r="A13" s="36" t="n">
        <x:v>1</x:v>
      </x:c>
      <x:c r="B13" s="36" t="str">
        <x:v>Eldrazi Monument</x:v>
      </x:c>
      <x:c r="C13" s="36" t="str">
        <x:v>1 Eldrazi Monument (ZEN) 199</x:v>
      </x:c>
      <x:c r="D13" s="36" t="str">
        <x:v>Buff + Haste</x:v>
      </x:c>
      <x:c r="E13" s="36" t="str">
        <x:v>Não</x:v>
      </x:c>
      <x:c r="F13" s="36" t="str">
        <x:v>PROPOSED V2</x:v>
      </x:c>
      <x:c r="G13" s="36" t="str">
        <x:v>Aumenta combate, evasão, ímpeto ou proteção.</x:v>
      </x:c>
    </x:row>
    <x:row r="14" ht="42" customHeight="1">
      <x:c r="A14" s="36" t="n">
        <x:v>1</x:v>
      </x:c>
      <x:c r="B14" s="36" t="str">
        <x:v>Embercleave</x:v>
      </x:c>
      <x:c r="C14" s="36" t="str">
        <x:v>1 Embercleave (ELD) 120</x:v>
      </x:c>
      <x:c r="D14" s="36" t="str">
        <x:v>Combate + Dano Direto</x:v>
      </x:c>
      <x:c r="E14" s="36" t="str">
        <x:v>Não</x:v>
      </x:c>
      <x:c r="F14" s="36" t="str">
        <x:v>PROPOSED V2</x:v>
      </x:c>
      <x:c r="G14" s="36" t="str">
        <x:v>Converte a mesa larga em dano ou pressão.</x:v>
      </x:c>
    </x:row>
    <x:row r="15" ht="42" customHeight="1">
      <x:c r="A15" s="36" t="n">
        <x:v>1</x:v>
      </x:c>
      <x:c r="B15" s="36" t="str">
        <x:v>Enduring Courage</x:v>
      </x:c>
      <x:c r="C15" s="36" t="str">
        <x:v>1 Enduring Courage (DSK) 133</x:v>
      </x:c>
      <x:c r="D15" s="36" t="str">
        <x:v>Buff + Haste</x:v>
      </x:c>
      <x:c r="E15" s="36" t="str">
        <x:v>Não</x:v>
      </x:c>
      <x:c r="F15" s="36" t="str">
        <x:v>PROPOSED V2</x:v>
      </x:c>
      <x:c r="G15" s="36" t="str">
        <x:v>Aumenta combate, evasão, ímpeto ou proteção.</x:v>
      </x:c>
    </x:row>
    <x:row r="16" ht="42" customHeight="1">
      <x:c r="A16" s="36" t="n">
        <x:v>1</x:v>
      </x:c>
      <x:c r="B16" s="36" t="str">
        <x:v>Faithless Looting</x:v>
      </x:c>
      <x:c r="C16" s="36" t="str">
        <x:v>1 Faithless Looting (CMM) 642</x:v>
      </x:c>
      <x:c r="D16" s="36" t="str">
        <x:v>Draw</x:v>
      </x:c>
      <x:c r="E16" s="36" t="str">
        <x:v>Não</x:v>
      </x:c>
      <x:c r="F16" s="36" t="str">
        <x:v>PROPOSED V2</x:v>
      </x:c>
      <x:c r="G16" s="36" t="str">
        <x:v>Compra, seleção ou acesso impulsivo a cartas.</x:v>
      </x:c>
    </x:row>
    <x:row r="17" ht="42" customHeight="1">
      <x:c r="A17" s="36" t="n">
        <x:v>1</x:v>
      </x:c>
      <x:c r="B17" s="36" t="str">
        <x:v>Fiery Emancipation</x:v>
      </x:c>
      <x:c r="C17" s="36" t="str">
        <x:v>1 Fiery Emancipation (WOT) 42</x:v>
      </x:c>
      <x:c r="D17" s="36" t="str">
        <x:v>Combate + Dano Direto</x:v>
      </x:c>
      <x:c r="E17" s="36" t="str">
        <x:v>Não</x:v>
      </x:c>
      <x:c r="F17" s="36" t="str">
        <x:v>PROPOSED V2</x:v>
      </x:c>
      <x:c r="G17" s="36" t="str">
        <x:v>Converte a mesa larga em dano ou pressão.</x:v>
      </x:c>
    </x:row>
    <x:row r="18" ht="42" customHeight="1">
      <x:c r="A18" s="36" t="n">
        <x:v>1</x:v>
      </x:c>
      <x:c r="B18" s="36" t="str">
        <x:v>Gauntlet of Power</x:v>
      </x:c>
      <x:c r="C18" s="36" t="str">
        <x:v>1 Gauntlet of Power (DMR) 447</x:v>
      </x:c>
      <x:c r="D18" s="36" t="str">
        <x:v>Sinergia 2</x:v>
      </x:c>
      <x:c r="E18" s="36" t="str">
        <x:v>Não</x:v>
      </x:c>
      <x:c r="F18" s="36" t="str">
        <x:v>PROPOSED V2</x:v>
      </x:c>
      <x:c r="G18" s="36" t="str">
        <x:v>Toolbox tribal, recursão, sacrifício ou geração de valor.</x:v>
      </x:c>
    </x:row>
    <x:row r="19" ht="42" customHeight="1">
      <x:c r="A19" s="36" t="n">
        <x:v>1</x:v>
      </x:c>
      <x:c r="B19" s="36" t="str">
        <x:v>Goblin Bombardment</x:v>
      </x:c>
      <x:c r="C19" s="36" t="str">
        <x:v>1 Goblin Bombardment (MH2) 279</x:v>
      </x:c>
      <x:c r="D19" s="36" t="str">
        <x:v>Combate + Dano Direto</x:v>
      </x:c>
      <x:c r="E19" s="36" t="str">
        <x:v>Não</x:v>
      </x:c>
      <x:c r="F19" s="36" t="str">
        <x:v>PROPOSED V2</x:v>
      </x:c>
      <x:c r="G19" s="36" t="str">
        <x:v>Sac outlet e dano direto; converte fichas em alcance.</x:v>
      </x:c>
    </x:row>
    <x:row r="20" ht="42" customHeight="1">
      <x:c r="A20" s="36" t="n">
        <x:v>1</x:v>
      </x:c>
      <x:c r="B20" s="36" t="str">
        <x:v>Goblin Engineer</x:v>
      </x:c>
      <x:c r="C20" s="36" t="str">
        <x:v>1 Goblin Engineer (MH1) 128</x:v>
      </x:c>
      <x:c r="D20" s="36" t="str">
        <x:v>Sinergia 2</x:v>
      </x:c>
      <x:c r="E20" s="36" t="str">
        <x:v>Não</x:v>
      </x:c>
      <x:c r="F20" s="36" t="str">
        <x:v>PROPOSED V2</x:v>
      </x:c>
      <x:c r="G20" s="36" t="str">
        <x:v>Toolbox tribal, recursão, sacrifício ou geração de valor.</x:v>
      </x:c>
    </x:row>
    <x:row r="21" ht="42" customHeight="1">
      <x:c r="A21" s="36" t="n">
        <x:v>1</x:v>
      </x:c>
      <x:c r="B21" s="36" t="str">
        <x:v>Goblin Matron</x:v>
      </x:c>
      <x:c r="C21" s="36" t="str">
        <x:v>1 Goblin Matron (DMR) 123</x:v>
      </x:c>
      <x:c r="D21" s="36" t="str">
        <x:v>Sinergia 2</x:v>
      </x:c>
      <x:c r="E21" s="36" t="str">
        <x:v>Não</x:v>
      </x:c>
      <x:c r="F21" s="36" t="str">
        <x:v>PROPOSED V2</x:v>
      </x:c>
      <x:c r="G21" s="36" t="str">
        <x:v>Toolbox tribal, recursão, sacrifício ou geração de valor.</x:v>
      </x:c>
    </x:row>
    <x:row r="22" ht="42" customHeight="1">
      <x:c r="A22" s="36" t="n">
        <x:v>1</x:v>
      </x:c>
      <x:c r="B22" s="36" t="str">
        <x:v>Goblin Negotiation</x:v>
      </x:c>
      <x:c r="C22" s="36" t="str">
        <x:v>1 Goblin Negotiation (FDN) 88</x:v>
      </x:c>
      <x:c r="D22" s="36" t="str">
        <x:v>Removal</x:v>
      </x:c>
      <x:c r="E22" s="36" t="str">
        <x:v>Não</x:v>
      </x:c>
      <x:c r="F22" s="36" t="str">
        <x:v>PROPOSED V2</x:v>
      </x:c>
      <x:c r="G22" s="36" t="str">
        <x:v>Interação; avaliar tipos alcançados e custo.</x:v>
      </x:c>
    </x:row>
    <x:row r="23" ht="42" customHeight="1">
      <x:c r="A23" s="36" t="n">
        <x:v>1</x:v>
      </x:c>
      <x:c r="B23" s="36" t="str">
        <x:v>Goblin Rabblemaster</x:v>
      </x:c>
      <x:c r="C23" s="36" t="str">
        <x:v>1 Goblin Rabblemaster (P30A) 22 *F*</x:v>
      </x:c>
      <x:c r="D23" s="36" t="str">
        <x:v>Token</x:v>
      </x:c>
      <x:c r="E23" s="36" t="str">
        <x:v>Não</x:v>
      </x:c>
      <x:c r="F23" s="36" t="str">
        <x:v>PROPOSED V2</x:v>
      </x:c>
      <x:c r="G23" s="36" t="str">
        <x:v>Produz ou multiplica fichas de Goblin.</x:v>
      </x:c>
    </x:row>
    <x:row r="24" ht="42" customHeight="1">
      <x:c r="A24" s="36" t="n">
        <x:v>1</x:v>
      </x:c>
      <x:c r="B24" s="36" t="str">
        <x:v>Goblin Rally</x:v>
      </x:c>
      <x:c r="C24" s="36" t="str">
        <x:v>1 Goblin Rally (RTR) 95</x:v>
      </x:c>
      <x:c r="D24" s="36" t="str">
        <x:v>Token</x:v>
      </x:c>
      <x:c r="E24" s="36" t="str">
        <x:v>Não</x:v>
      </x:c>
      <x:c r="F24" s="36" t="str">
        <x:v>PROPOSED V2</x:v>
      </x:c>
      <x:c r="G24" s="36" t="str">
        <x:v>Produz ou multiplica fichas de Goblin.</x:v>
      </x:c>
    </x:row>
    <x:row r="25" ht="42" customHeight="1">
      <x:c r="A25" s="36" t="n">
        <x:v>1</x:v>
      </x:c>
      <x:c r="B25" s="36" t="str">
        <x:v>Goblin Surprise</x:v>
      </x:c>
      <x:c r="C25" s="36" t="str">
        <x:v>1 Goblin Surprise (FDN) 200</x:v>
      </x:c>
      <x:c r="D25" s="36" t="str">
        <x:v>Token</x:v>
      </x:c>
      <x:c r="E25" s="36" t="str">
        <x:v>Não</x:v>
      </x:c>
      <x:c r="F25" s="36" t="str">
        <x:v>PROPOSED V2</x:v>
      </x:c>
      <x:c r="G25" s="36" t="str">
        <x:v>Produz ou multiplica fichas de Goblin.</x:v>
      </x:c>
    </x:row>
    <x:row r="26" ht="42" customHeight="1">
      <x:c r="A26" s="36" t="n">
        <x:v>1</x:v>
      </x:c>
      <x:c r="B26" s="36" t="str">
        <x:v>Goblin Traprunner</x:v>
      </x:c>
      <x:c r="C26" s="36" t="str">
        <x:v>1 Goblin Traprunner (MH2) 130</x:v>
      </x:c>
      <x:c r="D26" s="36" t="str">
        <x:v>Token</x:v>
      </x:c>
      <x:c r="E26" s="36" t="str">
        <x:v>Não</x:v>
      </x:c>
      <x:c r="F26" s="36" t="str">
        <x:v>PROPOSED V2</x:v>
      </x:c>
      <x:c r="G26" s="36" t="str">
        <x:v>Produz ou multiplica fichas de Goblin.</x:v>
      </x:c>
    </x:row>
    <x:row r="27" ht="42" customHeight="1">
      <x:c r="A27" s="36" t="n">
        <x:v>1</x:v>
      </x:c>
      <x:c r="B27" s="36" t="str">
        <x:v>Goblin War Strike</x:v>
      </x:c>
      <x:c r="C27" s="36" t="str">
        <x:v>1 Goblin War Strike (SCG) 96</x:v>
      </x:c>
      <x:c r="D27" s="36" t="str">
        <x:v>Combate + Dano Direto</x:v>
      </x:c>
      <x:c r="E27" s="36" t="str">
        <x:v>Não</x:v>
      </x:c>
      <x:c r="F27" s="36" t="str">
        <x:v>PROPOSED V2</x:v>
      </x:c>
      <x:c r="G27" s="36" t="str">
        <x:v>Converte a mesa larga em dano ou pressão.</x:v>
      </x:c>
    </x:row>
    <x:row r="28" ht="42" customHeight="1">
      <x:c r="A28" s="36" t="n">
        <x:v>1</x:v>
      </x:c>
      <x:c r="B28" s="36" t="str">
        <x:v>Goblin Warchief</x:v>
      </x:c>
      <x:c r="C28" s="36" t="str">
        <x:v>1 Goblin Warchief (DOM) 130</x:v>
      </x:c>
      <x:c r="D28" s="36" t="str">
        <x:v>Buff + Haste</x:v>
      </x:c>
      <x:c r="E28" s="36" t="str">
        <x:v>Não</x:v>
      </x:c>
      <x:c r="F28" s="36" t="str">
        <x:v>PROPOSED V2</x:v>
      </x:c>
      <x:c r="G28" s="36" t="str">
        <x:v>Aumenta combate, evasão, ímpeto ou proteção.</x:v>
      </x:c>
    </x:row>
    <x:row r="29" ht="42" customHeight="1">
      <x:c r="A29" s="36" t="n">
        <x:v>1</x:v>
      </x:c>
      <x:c r="B29" s="36" t="str">
        <x:v>Goblin Welder</x:v>
      </x:c>
      <x:c r="C29" s="36" t="str">
        <x:v>1 Goblin Welder (DDU) 35 *F*</x:v>
      </x:c>
      <x:c r="D29" s="36" t="str">
        <x:v>Sinergia 2</x:v>
      </x:c>
      <x:c r="E29" s="36" t="str">
        <x:v>Não</x:v>
      </x:c>
      <x:c r="F29" s="36" t="str">
        <x:v>PROPOSED V2</x:v>
      </x:c>
      <x:c r="G29" s="36" t="str">
        <x:v>Toolbox tribal, recursão, sacrifício ou geração de valor.</x:v>
      </x:c>
    </x:row>
    <x:row r="30" ht="42" customHeight="1">
      <x:c r="A30" s="36" t="n">
        <x:v>1</x:v>
      </x:c>
      <x:c r="B30" s="36" t="str">
        <x:v>Grenzo, Havoc Raiser</x:v>
      </x:c>
      <x:c r="C30" s="36" t="str">
        <x:v>1 Grenzo, Havoc Raiser (CMM) 228</x:v>
      </x:c>
      <x:c r="D30" s="36" t="str">
        <x:v>Sinergia 2</x:v>
      </x:c>
      <x:c r="E30" s="36" t="str">
        <x:v>Não</x:v>
      </x:c>
      <x:c r="F30" s="36" t="str">
        <x:v>PROPOSED V2</x:v>
      </x:c>
      <x:c r="G30" s="36" t="str">
        <x:v>Toolbox tribal, recursão, sacrifício ou geração de valor.</x:v>
      </x:c>
    </x:row>
    <x:row r="31" ht="42" customHeight="1">
      <x:c r="A31" s="36" t="n">
        <x:v>1</x:v>
      </x:c>
      <x:c r="B31" s="36" t="str">
        <x:v>Gut, True Soul Zealot</x:v>
      </x:c>
      <x:c r="C31" s="36" t="str">
        <x:v>1 Gut, True Soul Zealot (CLB) 399</x:v>
      </x:c>
      <x:c r="D31" s="36" t="str">
        <x:v>Sinergia 2</x:v>
      </x:c>
      <x:c r="E31" s="36" t="str">
        <x:v>Não</x:v>
      </x:c>
      <x:c r="F31" s="36" t="str">
        <x:v>PROPOSED V2</x:v>
      </x:c>
      <x:c r="G31" s="36" t="str">
        <x:v>Toolbox tribal, recursão, sacrifício ou geração de valor.</x:v>
      </x:c>
    </x:row>
    <x:row r="32" ht="42" customHeight="1">
      <x:c r="A32" s="36" t="n">
        <x:v>1</x:v>
      </x:c>
      <x:c r="B32" s="36" t="str">
        <x:v>Hobgoblin Bandit Lord</x:v>
      </x:c>
      <x:c r="C32" s="36" t="str">
        <x:v>1 Hobgoblin Bandit Lord (AFR) 147</x:v>
      </x:c>
      <x:c r="D32" s="36" t="str">
        <x:v>Buff + Haste</x:v>
      </x:c>
      <x:c r="E32" s="36" t="str">
        <x:v>Não</x:v>
      </x:c>
      <x:c r="F32" s="36" t="str">
        <x:v>PROPOSED V2</x:v>
      </x:c>
      <x:c r="G32" s="36" t="str">
        <x:v>Aumenta combate, evasão, ímpeto ou proteção.</x:v>
      </x:c>
    </x:row>
    <x:row r="33" ht="42" customHeight="1">
      <x:c r="A33" s="36" t="n">
        <x:v>1</x:v>
      </x:c>
      <x:c r="B33" s="36" t="str">
        <x:v>Icon of Ancestry</x:v>
      </x:c>
      <x:c r="C33" s="36" t="str">
        <x:v>1 Icon of Ancestry (M20) 229</x:v>
      </x:c>
      <x:c r="D33" s="36" t="str">
        <x:v>Buff + Haste</x:v>
      </x:c>
      <x:c r="E33" s="36" t="str">
        <x:v>Não</x:v>
      </x:c>
      <x:c r="F33" s="36" t="str">
        <x:v>PROPOSED V2</x:v>
      </x:c>
      <x:c r="G33" s="36" t="str">
        <x:v>Aumenta combate, evasão, ímpeto ou proteção.</x:v>
      </x:c>
    </x:row>
    <x:row r="34" ht="42" customHeight="1">
      <x:c r="A34" s="36" t="n">
        <x:v>1</x:v>
      </x:c>
      <x:c r="B34" s="36" t="str">
        <x:v>Impulsive Pilferer</x:v>
      </x:c>
      <x:c r="C34" s="36" t="str">
        <x:v>1 Impulsive Pilferer (CMM) 234 *F*</x:v>
      </x:c>
      <x:c r="D34" s="36" t="str">
        <x:v>Ramp</x:v>
      </x:c>
      <x:c r="E34" s="36" t="str">
        <x:v>Não</x:v>
      </x:c>
      <x:c r="F34" s="36" t="str">
        <x:v>PROPOSED V2</x:v>
      </x:c>
      <x:c r="G34" s="36" t="str">
        <x:v>Aceleração ou conversão de fichas em mana.</x:v>
      </x:c>
    </x:row>
    <x:row r="35" ht="42" customHeight="1">
      <x:c r="A35" s="36" t="n">
        <x:v>1</x:v>
      </x:c>
      <x:c r="B35" s="36" t="str">
        <x:v>Legion Warboss</x:v>
      </x:c>
      <x:c r="C35" s="36" t="str">
        <x:v>1 Legion Warboss (ONC) 101</x:v>
      </x:c>
      <x:c r="D35" s="36" t="str">
        <x:v>Token</x:v>
      </x:c>
      <x:c r="E35" s="36" t="str">
        <x:v>Não</x:v>
      </x:c>
      <x:c r="F35" s="36" t="str">
        <x:v>PROPOSED V2</x:v>
      </x:c>
      <x:c r="G35" s="36" t="str">
        <x:v>Produz ou multiplica fichas de Goblin.</x:v>
      </x:c>
    </x:row>
    <x:row r="36" ht="42" customHeight="1">
      <x:c r="A36" s="36" t="n">
        <x:v>1</x:v>
      </x:c>
      <x:c r="B36" s="36" t="str">
        <x:v>Marvin, Murderous Mimic</x:v>
      </x:c>
      <x:c r="C36" s="36" t="str">
        <x:v>1 Marvin, Murderous Mimic (DSK) 367</x:v>
      </x:c>
      <x:c r="D36" s="36" t="str">
        <x:v>Sinergia 1</x:v>
      </x:c>
      <x:c r="E36" s="36" t="str">
        <x:v>Não</x:v>
      </x:c>
      <x:c r="F36" s="36" t="str">
        <x:v>PROPOSED V2</x:v>
      </x:c>
      <x:c r="G36" s="36" t="str">
        <x:v>Copia habilidades ativadas de outras criaturas; pode copiar a habilidade de Krenko.</x:v>
      </x:c>
    </x:row>
    <x:row r="37" ht="42" customHeight="1">
      <x:c r="A37" s="36" t="n">
        <x:v>1</x:v>
      </x:c>
      <x:c r="B37" s="36" t="str">
        <x:v>Mizzium Mortars</x:v>
      </x:c>
      <x:c r="C37" s="36" t="str">
        <x:v>1 Mizzium Mortars (RTR) 101</x:v>
      </x:c>
      <x:c r="D37" s="36" t="str">
        <x:v>Removal</x:v>
      </x:c>
      <x:c r="E37" s="36" t="str">
        <x:v>Não</x:v>
      </x:c>
      <x:c r="F37" s="36" t="str">
        <x:v>PROPOSED V2</x:v>
      </x:c>
      <x:c r="G37" s="36" t="str">
        <x:v>Interação; avaliar tipos alcançados e custo.</x:v>
      </x:c>
    </x:row>
    <x:row r="38" ht="42" customHeight="1">
      <x:c r="A38" s="36" t="n">
        <x:v>28</x:v>
      </x:c>
      <x:c r="B38" s="36" t="str">
        <x:v>Mountain</x:v>
      </x:c>
      <x:c r="C38" s="36" t="str">
        <x:v>28 Mountain (WOE) 274 *F*</x:v>
      </x:c>
      <x:c r="D38" s="36" t="str">
        <x:v>Ramp</x:v>
      </x:c>
      <x:c r="E38" s="36" t="str">
        <x:v>Sim — terreno</x:v>
      </x:c>
      <x:c r="F38" s="36" t="str">
        <x:v>PROPOSED V2</x:v>
      </x:c>
      <x:c r="G38" s="36" t="str">
        <x:v>Aceleração ou conversão de fichas em mana.</x:v>
      </x:c>
    </x:row>
    <x:row r="39" ht="42" customHeight="1">
      <x:c r="A39" s="36" t="n">
        <x:v>1</x:v>
      </x:c>
      <x:c r="B39" s="36" t="str">
        <x:v>Muxus, Goblin Grandee</x:v>
      </x:c>
      <x:c r="C39" s="36" t="str">
        <x:v>1 Muxus, Goblin Grandee (J22) 575</x:v>
      </x:c>
      <x:c r="D39" s="36" t="str">
        <x:v>Sinergia 2</x:v>
      </x:c>
      <x:c r="E39" s="36" t="str">
        <x:v>Não</x:v>
      </x:c>
      <x:c r="F39" s="36" t="str">
        <x:v>PROPOSED V2</x:v>
      </x:c>
      <x:c r="G39" s="36" t="str">
        <x:v>Toolbox tribal, recursão, sacrifício ou geração de valor.</x:v>
      </x:c>
    </x:row>
    <x:row r="40" ht="42" customHeight="1">
      <x:c r="A40" s="36" t="n">
        <x:v>1</x:v>
      </x:c>
      <x:c r="B40" s="36" t="str">
        <x:v>Opal Palace</x:v>
      </x:c>
      <x:c r="C40" s="36" t="str">
        <x:v>1 Opal Palace (CMM) 422</x:v>
      </x:c>
      <x:c r="D40" s="36" t="str">
        <x:v>Ramp</x:v>
      </x:c>
      <x:c r="E40" s="36" t="str">
        <x:v>Sim — terreno</x:v>
      </x:c>
      <x:c r="F40" s="36" t="str">
        <x:v>PROPOSED V2</x:v>
      </x:c>
      <x:c r="G40" s="36" t="str">
        <x:v>Aceleração ou conversão de fichas em mana.</x:v>
      </x:c>
    </x:row>
    <x:row r="41" ht="42" customHeight="1">
      <x:c r="A41" s="36" t="n">
        <x:v>1</x:v>
      </x:c>
      <x:c r="B41" s="36" t="str">
        <x:v>Outpost Siege</x:v>
      </x:c>
      <x:c r="C41" s="36" t="str">
        <x:v>1 Outpost Siege (C17) 139</x:v>
      </x:c>
      <x:c r="D41" s="36" t="str">
        <x:v>Draw</x:v>
      </x:c>
      <x:c r="E41" s="36" t="str">
        <x:v>Não</x:v>
      </x:c>
      <x:c r="F41" s="36" t="str">
        <x:v>PROPOSED V2</x:v>
      </x:c>
      <x:c r="G41" s="36" t="str">
        <x:v>Compra, seleção ou acesso impulsivo a cartas.</x:v>
      </x:c>
    </x:row>
    <x:row r="42" ht="42" customHeight="1">
      <x:c r="A42" s="36" t="n">
        <x:v>1</x:v>
      </x:c>
      <x:c r="B42" s="36" t="str">
        <x:v>Patchwork Banner</x:v>
      </x:c>
      <x:c r="C42" s="36" t="str">
        <x:v>1 Patchwork Banner (BLB) 247 *F*</x:v>
      </x:c>
      <x:c r="D42" s="36" t="str">
        <x:v>Buff + Haste</x:v>
      </x:c>
      <x:c r="E42" s="36" t="str">
        <x:v>Não</x:v>
      </x:c>
      <x:c r="F42" s="36" t="str">
        <x:v>PROPOSED V2</x:v>
      </x:c>
      <x:c r="G42" s="36" t="str">
        <x:v>Aumenta combate, evasão, ímpeto ou proteção.</x:v>
      </x:c>
    </x:row>
    <x:row r="43" ht="42" customHeight="1">
      <x:c r="A43" s="36" t="n">
        <x:v>1</x:v>
      </x:c>
      <x:c r="B43" s="36" t="str">
        <x:v>Path of Ancestry</x:v>
      </x:c>
      <x:c r="C43" s="36" t="str">
        <x:v>1 Path of Ancestry (CMM) 661</x:v>
      </x:c>
      <x:c r="D43" s="36" t="str">
        <x:v>Ramp</x:v>
      </x:c>
      <x:c r="E43" s="36" t="str">
        <x:v>Sim — terreno</x:v>
      </x:c>
      <x:c r="F43" s="36" t="str">
        <x:v>PROPOSED V2</x:v>
      </x:c>
      <x:c r="G43" s="36" t="str">
        <x:v>Aceleração ou conversão de fichas em mana.</x:v>
      </x:c>
    </x:row>
    <x:row r="44" ht="42" customHeight="1">
      <x:c r="A44" s="36" t="n">
        <x:v>1</x:v>
      </x:c>
      <x:c r="B44" s="36" t="str">
        <x:v>Purphoros, Bronze-Blooded</x:v>
      </x:c>
      <x:c r="C44" s="36" t="str">
        <x:v>1 Purphoros, Bronze-Blooded (THB) 265</x:v>
      </x:c>
      <x:c r="D44" s="36" t="str">
        <x:v>Buff + Haste</x:v>
      </x:c>
      <x:c r="E44" s="36" t="str">
        <x:v>Não</x:v>
      </x:c>
      <x:c r="F44" s="36" t="str">
        <x:v>PROPOSED V2</x:v>
      </x:c>
      <x:c r="G44" s="36" t="str">
        <x:v>Aumenta combate, evasão, ímpeto ou proteção.</x:v>
      </x:c>
    </x:row>
    <x:row r="45" ht="42" customHeight="1">
      <x:c r="A45" s="36" t="n">
        <x:v>1</x:v>
      </x:c>
      <x:c r="B45" s="36" t="str">
        <x:v>Raid Bombardment</x:v>
      </x:c>
      <x:c r="C45" s="36" t="str">
        <x:v>1 Raid Bombardment (WOT) 47</x:v>
      </x:c>
      <x:c r="D45" s="36" t="str">
        <x:v>Combate + Dano Direto</x:v>
      </x:c>
      <x:c r="E45" s="36" t="str">
        <x:v>Não</x:v>
      </x:c>
      <x:c r="F45" s="36" t="str">
        <x:v>PROPOSED V2</x:v>
      </x:c>
      <x:c r="G45" s="36" t="str">
        <x:v>Converte a mesa larga em dano ou pressão.</x:v>
      </x:c>
    </x:row>
    <x:row r="46" ht="42" customHeight="1">
      <x:c r="A46" s="36" t="n">
        <x:v>1</x:v>
      </x:c>
      <x:c r="B46" s="36" t="str">
        <x:v>Relic Robber</x:v>
      </x:c>
      <x:c r="C46" s="36" t="str">
        <x:v>1 Relic Robber (ZNR) 153</x:v>
      </x:c>
      <x:c r="D46" s="36" t="str">
        <x:v>Combate + Dano Direto</x:v>
      </x:c>
      <x:c r="E46" s="36" t="str">
        <x:v>Não</x:v>
      </x:c>
      <x:c r="F46" s="36" t="str">
        <x:v>PROPOSED V2</x:v>
      </x:c>
      <x:c r="G46" s="36" t="str">
        <x:v>Converte a mesa larga em dano ou pressão.</x:v>
      </x:c>
    </x:row>
    <x:row r="47" ht="42" customHeight="1">
      <x:c r="A47" s="36" t="n">
        <x:v>1</x:v>
      </x:c>
      <x:c r="B47" s="36" t="str">
        <x:v>Rising of the Day</x:v>
      </x:c>
      <x:c r="C47" s="36" t="str">
        <x:v>1 Rising of the Day (LTR) 145</x:v>
      </x:c>
      <x:c r="D47" s="36" t="str">
        <x:v>Buff + Haste</x:v>
      </x:c>
      <x:c r="E47" s="36" t="str">
        <x:v>Não</x:v>
      </x:c>
      <x:c r="F47" s="36" t="str">
        <x:v>PROPOSED V2</x:v>
      </x:c>
      <x:c r="G47" s="36" t="str">
        <x:v>Aumenta combate, evasão, ímpeto ou proteção.</x:v>
      </x:c>
    </x:row>
    <x:row r="48" ht="42" customHeight="1">
      <x:c r="A48" s="36" t="n">
        <x:v>1</x:v>
      </x:c>
      <x:c r="B48" s="36" t="str">
        <x:v>Ruby Medallion</x:v>
      </x:c>
      <x:c r="C48" s="36" t="str">
        <x:v>1 Ruby Medallion (CMM) 405</x:v>
      </x:c>
      <x:c r="D48" s="36" t="str">
        <x:v>Ramp</x:v>
      </x:c>
      <x:c r="E48" s="36" t="str">
        <x:v>Não</x:v>
      </x:c>
      <x:c r="F48" s="36" t="str">
        <x:v>PROPOSED V2</x:v>
      </x:c>
      <x:c r="G48" s="36" t="str">
        <x:v>Reduz o componente genérico do custo de mágicas vermelhas.</x:v>
      </x:c>
    </x:row>
    <x:row r="49" ht="42" customHeight="1">
      <x:c r="A49" s="36" t="n">
        <x:v>1</x:v>
      </x:c>
      <x:c r="B49" s="36" t="str">
        <x:v>Rundvelt Hordemaster</x:v>
      </x:c>
      <x:c r="C49" s="36" t="str">
        <x:v>1 Rundvelt Hordemaster (DMU) 142</x:v>
      </x:c>
      <x:c r="D49" s="36" t="str">
        <x:v>Sinergia 2</x:v>
      </x:c>
      <x:c r="E49" s="36" t="str">
        <x:v>Não</x:v>
      </x:c>
      <x:c r="F49" s="36" t="str">
        <x:v>PROPOSED V2</x:v>
      </x:c>
      <x:c r="G49" s="36" t="str">
        <x:v>Fonte de vantagem quando outros Goblins que você controla morrem.</x:v>
      </x:c>
    </x:row>
    <x:row r="50" ht="42" customHeight="1">
      <x:c r="A50" s="36" t="n">
        <x:v>1</x:v>
      </x:c>
      <x:c r="B50" s="36" t="str">
        <x:v>Searslicer Goblin</x:v>
      </x:c>
      <x:c r="C50" s="36" t="str">
        <x:v>1 Searslicer Goblin (FDN) 93 *F*</x:v>
      </x:c>
      <x:c r="D50" s="36" t="str">
        <x:v>Token</x:v>
      </x:c>
      <x:c r="E50" s="36" t="str">
        <x:v>Não</x:v>
      </x:c>
      <x:c r="F50" s="36" t="str">
        <x:v>PROPOSED V2</x:v>
      </x:c>
      <x:c r="G50" s="36" t="str">
        <x:v>Produz ou multiplica fichas de Goblin.</x:v>
      </x:c>
    </x:row>
    <x:row r="51" ht="42" customHeight="1">
      <x:c r="A51" s="36" t="n">
        <x:v>1</x:v>
      </x:c>
      <x:c r="B51" s="36" t="str">
        <x:v>Shared Animosity</x:v>
      </x:c>
      <x:c r="C51" s="36" t="str">
        <x:v>1 Shared Animosity (WOT) 49</x:v>
      </x:c>
      <x:c r="D51" s="36" t="str">
        <x:v>Combate + Dano Direto</x:v>
      </x:c>
      <x:c r="E51" s="36" t="str">
        <x:v>Não</x:v>
      </x:c>
      <x:c r="F51" s="36" t="str">
        <x:v>PROPOSED V2</x:v>
      </x:c>
      <x:c r="G51" s="36" t="str">
        <x:v>Converte a mesa larga em dano ou pressão.</x:v>
      </x:c>
    </x:row>
    <x:row r="52" ht="42" customHeight="1">
      <x:c r="A52" s="36" t="n">
        <x:v>1</x:v>
      </x:c>
      <x:c r="B52" s="36" t="str">
        <x:v>Soulstone Sanctuary</x:v>
      </x:c>
      <x:c r="C52" s="36" t="str">
        <x:v>1 Soulstone Sanctuary (FDN) 133</x:v>
      </x:c>
      <x:c r="D52" s="36" t="str">
        <x:v>Token</x:v>
      </x:c>
      <x:c r="E52" s="36" t="str">
        <x:v>Sim — terreno</x:v>
      </x:c>
      <x:c r="F52" s="36" t="str">
        <x:v>PROPOSED V2</x:v>
      </x:c>
      <x:c r="G52" s="36" t="str">
        <x:v>Produz ou multiplica fichas de Goblin.</x:v>
      </x:c>
    </x:row>
    <x:row r="53" ht="42" customHeight="1">
      <x:c r="A53" s="36" t="n">
        <x:v>1</x:v>
      </x:c>
      <x:c r="B53" s="36" t="str">
        <x:v>Sparksmith</x:v>
      </x:c>
      <x:c r="C53" s="36" t="str">
        <x:v>1 Sparksmith (ONS) 235</x:v>
      </x:c>
      <x:c r="D53" s="36" t="str">
        <x:v>Removal</x:v>
      </x:c>
      <x:c r="E53" s="36" t="str">
        <x:v>Não</x:v>
      </x:c>
      <x:c r="F53" s="36" t="str">
        <x:v>PROPOSED V2</x:v>
      </x:c>
      <x:c r="G53" s="36" t="str">
        <x:v>Interação; avaliar tipos alcançados e custo.</x:v>
      </x:c>
    </x:row>
    <x:row r="54" ht="42" customHeight="1">
      <x:c r="A54" s="36" t="n">
        <x:v>1</x:v>
      </x:c>
      <x:c r="B54" s="36" t="str">
        <x:v>Sundering Eruption</x:v>
      </x:c>
      <x:c r="C54" s="36" t="str">
        <x:v>1 Sundering Eruption (MH3) 248</x:v>
      </x:c>
      <x:c r="D54" s="36" t="str">
        <x:v>Removal</x:v>
      </x:c>
      <x:c r="E54" s="36" t="str">
        <x:v>Sim — face-terreno</x:v>
      </x:c>
      <x:c r="F54" s="36" t="str">
        <x:v>PROPOSED V2</x:v>
      </x:c>
      <x:c r="G54" s="36" t="str">
        <x:v>Interação; avaliar tipos alcançados e custo.</x:v>
      </x:c>
    </x:row>
    <x:row r="55" ht="42" customHeight="1">
      <x:c r="A55" s="36" t="n">
        <x:v>1</x:v>
      </x:c>
      <x:c r="B55" s="36" t="str">
        <x:v>Thrill of Possibility</x:v>
      </x:c>
      <x:c r="C55" s="36" t="str">
        <x:v>1 Thrill of Possibility (STA) 46</x:v>
      </x:c>
      <x:c r="D55" s="36" t="str">
        <x:v>Draw</x:v>
      </x:c>
      <x:c r="E55" s="36" t="str">
        <x:v>Não</x:v>
      </x:c>
      <x:c r="F55" s="36" t="str">
        <x:v>PROPOSED V2</x:v>
      </x:c>
      <x:c r="G55" s="36" t="str">
        <x:v>Compra, seleção ou acesso impulsivo a cartas.</x:v>
      </x:c>
    </x:row>
    <x:row r="56" ht="42" customHeight="1">
      <x:c r="A56" s="36" t="n">
        <x:v>1</x:v>
      </x:c>
      <x:c r="B56" s="36" t="str">
        <x:v>Treasure Nabber</x:v>
      </x:c>
      <x:c r="C56" s="36" t="str">
        <x:v>1 Treasure Nabber (CMM) 265</x:v>
      </x:c>
      <x:c r="D56" s="36" t="str">
        <x:v>Sinergia 2</x:v>
      </x:c>
      <x:c r="E56" s="36" t="str">
        <x:v>Não</x:v>
      </x:c>
      <x:c r="F56" s="36" t="str">
        <x:v>PROPOSED V2</x:v>
      </x:c>
      <x:c r="G56" s="36" t="str">
        <x:v>Toolbox tribal, recursão, sacrifício ou geração de valor.</x:v>
      </x:c>
    </x:row>
    <x:row r="57" ht="42" customHeight="1">
      <x:c r="A57" s="36" t="n">
        <x:v>1</x:v>
      </x:c>
      <x:c r="B57" s="36" t="str">
        <x:v>Urabrask the Hidden</x:v>
      </x:c>
      <x:c r="C57" s="36" t="str">
        <x:v>1 Urabrask the Hidden (CLB) 811</x:v>
      </x:c>
      <x:c r="D57" s="36" t="str">
        <x:v>Buff + Haste</x:v>
      </x:c>
      <x:c r="E57" s="36" t="str">
        <x:v>Não</x:v>
      </x:c>
      <x:c r="F57" s="36" t="str">
        <x:v>PROPOSED V2</x:v>
      </x:c>
      <x:c r="G57" s="36" t="str">
        <x:v>Aumenta combate, evasão, ímpeto ou proteção.</x:v>
      </x:c>
    </x:row>
    <x:row r="58" ht="42" customHeight="1">
      <x:c r="A58" s="36" t="n">
        <x:v>1</x:v>
      </x:c>
      <x:c r="B58" s="36" t="str">
        <x:v>Wand of Wonder</x:v>
      </x:c>
      <x:c r="C58" s="36" t="str">
        <x:v>1 Wand of Wonder (CLB) 204 *F*</x:v>
      </x:c>
      <x:c r="D58" s="36" t="str">
        <x:v>Draw</x:v>
      </x:c>
      <x:c r="E58" s="36" t="str">
        <x:v>Não</x:v>
      </x:c>
      <x:c r="F58" s="36" t="str">
        <x:v>PROPOSED V2</x:v>
      </x:c>
      <x:c r="G58" s="36" t="str">
        <x:v>Compra, seleção ou acesso impulsivo a cartas.</x:v>
      </x:c>
    </x:row>
    <x:row r="59" ht="42" customHeight="1">
      <x:c r="A59" s="36" t="n">
        <x:v>1</x:v>
      </x:c>
      <x:c r="B59" s="36" t="str">
        <x:v>You See a Pair of Goblins</x:v>
      </x:c>
      <x:c r="C59" s="36" t="str">
        <x:v>1 You See a Pair of Goblins (AFR) 170</x:v>
      </x:c>
      <x:c r="D59" s="36" t="str">
        <x:v>Sinergia 2</x:v>
      </x:c>
      <x:c r="E59" s="36" t="str">
        <x:v>Não</x:v>
      </x:c>
      <x:c r="F59" s="36" t="str">
        <x:v>PROPOSED V2</x:v>
      </x:c>
      <x:c r="G59" s="36" t="str">
        <x:v>Toolbox tribal, recursão, sacrifício ou geração de valor.</x:v>
      </x:c>
    </x:row>
    <x:row r="60" ht="42" customHeight="1">
      <x:c r="A60" s="36" t="n">
        <x:v>1</x:v>
      </x:c>
      <x:c r="B60" s="36" t="str">
        <x:v>Sol Ring</x:v>
      </x:c>
      <x:c r="C60" s="36" t="str">
        <x:v>Sugestão nova — impressão não definida</x:v>
      </x:c>
      <x:c r="D60" s="36" t="str">
        <x:v>Ramp</x:v>
      </x:c>
      <x:c r="E60" s="36" t="str">
        <x:v>Não</x:v>
      </x:c>
      <x:c r="F60" s="36" t="str">
        <x:v>PROPOSED V2</x:v>
      </x:c>
      <x:c r="G60" s="36" t="str">
        <x:v>Aceleração eficiente que estava ausente da lista original de Krenko.</x:v>
      </x:c>
    </x:row>
    <x:row r="61" ht="42" customHeight="1">
      <x:c r="A61" s="36" t="n">
        <x:v>1</x:v>
      </x:c>
      <x:c r="B61" s="36" t="str">
        <x:v>Skullclamp</x:v>
      </x:c>
      <x:c r="C61" s="36" t="str">
        <x:v>Sugestão nova — impressão não definida</x:v>
      </x:c>
      <x:c r="D61" s="36" t="str">
        <x:v>Draw</x:v>
      </x:c>
      <x:c r="E61" s="36" t="str">
        <x:v>Não</x:v>
      </x:c>
      <x:c r="F61" s="36" t="str">
        <x:v>PROPOSED V2</x:v>
      </x:c>
      <x:c r="G61" s="36" t="str">
        <x:v>Motor de compra com fichas pequenas; sac outlets resolvem situações em que buffs mantêm a ficha viva.</x:v>
      </x:c>
    </x:row>
    <x:row r="62" ht="42" customHeight="1">
      <x:c r="A62" s="36" t="n">
        <x:v>1</x:v>
      </x:c>
      <x:c r="B62" s="36" t="str">
        <x:v>Idol of Oblivion</x:v>
      </x:c>
      <x:c r="C62" s="36" t="str">
        <x:v>Sugestão nova — impressão não definida</x:v>
      </x:c>
      <x:c r="D62" s="36" t="str">
        <x:v>Draw</x:v>
      </x:c>
      <x:c r="E62" s="36" t="str">
        <x:v>Não</x:v>
      </x:c>
      <x:c r="F62" s="36" t="str">
        <x:v>PROPOSED V2</x:v>
      </x:c>
      <x:c r="G62" s="36" t="str">
        <x:v>Compra uma vez por turno se você criou uma ficha naquele turno.</x:v>
      </x:c>
    </x:row>
    <x:row r="63" ht="42" customHeight="1">
      <x:c r="A63" s="36" t="n">
        <x:v>1</x:v>
      </x:c>
      <x:c r="B63" s="36" t="str">
        <x:v>Slate of Ancestry</x:v>
      </x:c>
      <x:c r="C63" s="36" t="str">
        <x:v>Sugestão nova — impressão não definida</x:v>
      </x:c>
      <x:c r="D63" s="36" t="str">
        <x:v>Draw</x:v>
      </x:c>
      <x:c r="E63" s="36" t="str">
        <x:v>Não</x:v>
      </x:c>
      <x:c r="F63" s="36" t="str">
        <x:v>PROPOSED V2</x:v>
      </x:c>
      <x:c r="G63" s="36" t="str">
        <x:v>Compra um número de cartas proporcional às criaturas, descartando a mão como custo.</x:v>
      </x:c>
    </x:row>
    <x:row r="64" ht="42" customHeight="1">
      <x:c r="A64" s="36" t="n">
        <x:v>1</x:v>
      </x:c>
      <x:c r="B64" s="36" t="str">
        <x:v>Skirk Prospector</x:v>
      </x:c>
      <x:c r="C64" s="36" t="str">
        <x:v>Sugestão nova — impressão não definida</x:v>
      </x:c>
      <x:c r="D64" s="36" t="str">
        <x:v>Ramp</x:v>
      </x:c>
      <x:c r="E64" s="36" t="str">
        <x:v>Não</x:v>
      </x:c>
      <x:c r="F64" s="36" t="str">
        <x:v>PROPOSED V2</x:v>
      </x:c>
      <x:c r="G64" s="36" t="str">
        <x:v>Sacrifica Goblins para gerar mana vermelha, facilitando turnos explosivos.</x:v>
      </x:c>
    </x:row>
    <x:row r="65" ht="42" customHeight="1">
      <x:c r="A65" s="36" t="n">
        <x:v>1</x:v>
      </x:c>
      <x:c r="B65" s="36" t="str">
        <x:v>Goblin Trashmaster</x:v>
      </x:c>
      <x:c r="C65" s="36" t="str">
        <x:v>Sugestão nova — impressão não definida</x:v>
      </x:c>
      <x:c r="D65" s="36" t="str">
        <x:v>Removal</x:v>
      </x:c>
      <x:c r="E65" s="36" t="str">
        <x:v>Não</x:v>
      </x:c>
      <x:c r="F65" s="36" t="str">
        <x:v>PROPOSED V2</x:v>
      </x:c>
      <x:c r="G65" s="36" t="str">
        <x:v>Lord tribal e destruição repetível de artefatos ao sacrificar outro Goblin.</x:v>
      </x:c>
    </x:row>
    <x:row r="66" ht="42" customHeight="1">
      <x:c r="A66" s="36" t="n">
        <x:v>1</x:v>
      </x:c>
      <x:c r="B66" s="36" t="str">
        <x:v>Lightning Greaves</x:v>
      </x:c>
      <x:c r="C66" s="36" t="str">
        <x:v>Sugestão nova — impressão não definida</x:v>
      </x:c>
      <x:c r="D66" s="36" t="str">
        <x:v>Buff + Haste</x:v>
      </x:c>
      <x:c r="E66" s="36" t="str">
        <x:v>Não</x:v>
      </x:c>
      <x:c r="F66" s="36" t="str">
        <x:v>PROPOSED V2</x:v>
      </x:c>
      <x:c r="G66" s="36" t="str">
        <x:v>Aumenta combate, evasão, ímpeto ou proteção.</x:v>
      </x:c>
    </x:row>
    <x:row r="67" ht="42" customHeight="1">
      <x:c r="A67" s="36" t="n">
        <x:v>1</x:v>
      </x:c>
      <x:c r="B67" s="36" t="str">
        <x:v>Thousand-Year Elixir</x:v>
      </x:c>
      <x:c r="C67" s="36" t="str">
        <x:v>Sugestão nova — impressão não definida</x:v>
      </x:c>
      <x:c r="D67" s="36" t="str">
        <x:v>Sinergia 1</x:v>
      </x:c>
      <x:c r="E67" s="36" t="str">
        <x:v>Não</x:v>
      </x:c>
      <x:c r="F67" s="36" t="str">
        <x:v>PROPOSED V2</x:v>
      </x:c>
      <x:c r="G67" s="36" t="str">
        <x:v>Permite ativar criaturas como se tivessem ímpeto e pode desvirar uma criatura.</x:v>
      </x:c>
    </x:row>
    <x:row r="68" ht="42" customHeight="1">
      <x:c r="A68" s="36" t="n">
        <x:v>1</x:v>
      </x:c>
      <x:c r="B68" s="36" t="str">
        <x:v>Jeska's Will</x:v>
      </x:c>
      <x:c r="C68" s="36" t="str">
        <x:v>Sugestão nova — impressão não definida</x:v>
      </x:c>
      <x:c r="D68" s="36" t="str">
        <x:v>Ramp</x:v>
      </x:c>
      <x:c r="E68" s="36" t="str">
        <x:v>Não</x:v>
      </x:c>
      <x:c r="F68" s="36" t="str">
        <x:v>PROPOSED V2</x:v>
      </x:c>
      <x:c r="G68" s="36" t="str">
        <x:v>Mana explosiva e acesso impulsivo a cartas; com comandante em campo, pode usar os dois modos.</x:v>
      </x:c>
    </x:row>
    <x:row r="69" ht="42" customHeight="1">
      <x:c r="A69" s="36" t="n">
        <x:v>1</x:v>
      </x:c>
      <x:c r="B69" s="36" t="str">
        <x:v>Blasphemous Act</x:v>
      </x:c>
      <x:c r="C69" s="36" t="str">
        <x:v>Sugestão nova — impressão não definida</x:v>
      </x:c>
      <x:c r="D69" s="36" t="str">
        <x:v>Removal</x:v>
      </x:c>
      <x:c r="E69" s="36" t="str">
        <x:v>Não</x:v>
      </x:c>
      <x:c r="F69" s="36" t="str">
        <x:v>PROPOSED V2</x:v>
      </x:c>
      <x:c r="G69" s="36" t="str">
        <x:v>Reset de emergência; normalmente simétrico, mas Monument pode proteger suas criaturas do dano.</x:v>
      </x:c>
    </x:row>
    <x:row r="70" ht="42" customHeight="1">
      <x:c r="A70" s="36" t="n">
        <x:v>1</x:v>
      </x:c>
      <x:c r="B70" s="36" t="str">
        <x:v>Chaos Warp</x:v>
      </x:c>
      <x:c r="C70" s="36" t="str">
        <x:v>Sugestão nova — impressão não definida</x:v>
      </x:c>
      <x:c r="D70" s="36" t="str">
        <x:v>Removal</x:v>
      </x:c>
      <x:c r="E70" s="36" t="str">
        <x:v>Não</x:v>
      </x:c>
      <x:c r="F70" s="36" t="str">
        <x:v>PROPOSED V2</x:v>
      </x:c>
      <x:c r="G70" s="36" t="str">
        <x:v>Interação; avaliar tipos alcançados e custo.</x:v>
      </x:c>
    </x:row>
    <x:row r="71" ht="42" customHeight="1">
      <x:c r="A71" s="36" t="n">
        <x:v>1</x:v>
      </x:c>
      <x:c r="B71" s="36" t="str">
        <x:v>Impact Tremors</x:v>
      </x:c>
      <x:c r="C71" s="36" t="str">
        <x:v>Sugestão nova — impressão não definida</x:v>
      </x:c>
      <x:c r="D71" s="36" t="str">
        <x:v>Combate + Dano Direto</x:v>
      </x:c>
      <x:c r="E71" s="36" t="str">
        <x:v>Não</x:v>
      </x:c>
      <x:c r="F71" s="36" t="str">
        <x:v>PROPOSED V2</x:v>
      </x:c>
      <x:c r="G71" s="36" t="str">
        <x:v>Transforma entradas de fichas em dano a cada oponente.</x:v>
      </x:c>
    </x:row>
    <x:row r="72" ht="42" customHeight="1">
      <x:c r="A72" s="36" t="n">
        <x:v>1</x:v>
      </x:c>
      <x:c r="B72" s="36" t="str">
        <x:v>Vandalblast</x:v>
      </x:c>
      <x:c r="C72" s="36" t="str">
        <x:v>Sugestão nova — impressão não definida</x:v>
      </x:c>
      <x:c r="D72" s="36" t="str">
        <x:v>Removal</x:v>
      </x:c>
      <x:c r="E72" s="36" t="str">
        <x:v>Não</x:v>
      </x:c>
      <x:c r="F72" s="36" t="str">
        <x:v>PROPOSED V2</x:v>
      </x:c>
      <x:c r="G72" s="36" t="str">
        <x:v>Sobrecarga limpa artefatos dos oponentes sem atingir os seus.</x:v>
      </x:c>
    </x:row>
    <x:row r="73" ht="42" customHeight="1">
      <x:c r="A73" s="36" t="n">
        <x:v>1</x:v>
      </x:c>
      <x:c r="B73" s="36" t="str">
        <x:v>War Room</x:v>
      </x:c>
      <x:c r="C73" s="36" t="str">
        <x:v>Sugestão nova — impressão não definida</x:v>
      </x:c>
      <x:c r="D73" s="36" t="str">
        <x:v>Draw</x:v>
      </x:c>
      <x:c r="E73" s="36" t="str">
        <x:v>Sim — terreno</x:v>
      </x:c>
      <x:c r="F73" s="36" t="str">
        <x:v>PROPOSED V2</x:v>
      </x:c>
      <x:c r="G73" s="36" t="str">
        <x:v>Terreno incolor que oferece compra repetível mediante mana e vida.</x:v>
      </x:c>
    </x:row>
    <x:row r="74" ht="42" customHeight="1">
      <x:c r="A74" s="36" t="n">
        <x:v>1</x:v>
      </x:c>
      <x:c r="B74" s="36" t="str">
        <x:v>Wild Magic Surge</x:v>
      </x:c>
      <x:c r="C74" s="36" t="str">
        <x:v>Sugestão nova — impressão não definida</x:v>
      </x:c>
      <x:c r="D74" s="36" t="str">
        <x:v>Removal</x:v>
      </x:c>
      <x:c r="E74" s="36" t="str">
        <x:v>Não</x:v>
      </x:c>
      <x:c r="F74" s="36" t="str">
        <x:v>PROPOSED V2</x:v>
      </x:c>
      <x:c r="G74" s="36" t="str">
        <x:v>Resposta instantânea a permanente não terreno; o oponente pode receber uma permanente substituta.</x:v>
      </x:c>
    </x:row>
    <x:row r="75" ht="42" customHeight="1"/>
    <x:row r="76" ht="42" customHeight="1"/>
    <x:row r="77" ht="42" customHeight="1"/>
    <x:row r="78" ht="42" customHeight="1"/>
    <x:row r="79" ht="42" customHeight="1"/>
    <x:row r="80" ht="42" customHeight="1"/>
    <x:row r="81" ht="42" customHeight="1"/>
    <x:row r="82" ht="42" customHeight="1"/>
    <x:row r="83" ht="42" customHeight="1"/>
    <x:row r="84" ht="42" customHeight="1"/>
    <x:row r="85" ht="42" customHeight="1"/>
    <x:row r="86" ht="42" customHeight="1"/>
    <x:row r="87" ht="42" customHeight="1"/>
    <x:row r="88" ht="42" customHeight="1"/>
    <x:row r="89" ht="42" customHeight="1"/>
    <x:row r="90" ht="42" customHeight="1"/>
    <x:row r="91" ht="42" customHeight="1"/>
    <x:row r="92" ht="42" customHeight="1"/>
    <x:row r="93" ht="42" customHeight="1"/>
    <x:row r="94" ht="42" customHeight="1"/>
    <x:row r="95" ht="42" customHeight="1"/>
    <x:row r="96" ht="42" customHeight="1"/>
    <x:row r="97" ht="42" customHeight="1"/>
    <x:row r="98" ht="42" customHeight="1"/>
    <x:row r="99" ht="42" customHeight="1"/>
    <x:row r="100" ht="42" customHeight="1"/>
    <x:row r="101" ht="42" customHeight="1"/>
    <x:row r="102" ht="42" customHeight="1"/>
    <x:row r="103" ht="42" customHeight="1"/>
    <x:row r="104" ht="42" customHeight="1"/>
    <x:row r="105" ht="42" customHeight="1"/>
    <x:row r="106" ht="42" customHeight="1"/>
    <x:row r="107" ht="42" customHeight="1"/>
    <x:row r="108" ht="42" customHeight="1"/>
    <x:row r="109" ht="42" customHeight="1"/>
    <x:row r="110" ht="42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4" hidden="0" customWidth="1"/>
    <x:col min="3" max="3" width="55" hidden="0" customWidth="1"/>
    <x:col min="4" max="4" width="57" hidden="0" customWidth="1"/>
    <x:col min="5" max="5" width="55" hidden="0" customWidth="1"/>
    <x:col min="6" max="6" width="12" hidden="0" customWidth="1"/>
    <x:col min="7" max="7" width="14" hidden="0" customWidth="1"/>
  </x:cols>
  <x:sheetData>
    <x:row r="1">
      <x:c r="A1" s="46" t="str">
        <x:v>SAI (OUT)</x:v>
      </x:c>
      <x:c r="B1" s="46" t="str">
        <x:v>ENTRA (IN)</x:v>
      </x:c>
      <x:c r="C1" s="46" t="str">
        <x:v>Problema / motivo do corte</x:v>
      </x:c>
      <x:c r="D1" s="46" t="str">
        <x:v>Ganho esperado</x:v>
      </x:c>
      <x:c r="E1" s="46" t="str">
        <x:v>Custo / risco da troca</x:v>
      </x:c>
      <x:c r="F1" s="46" t="str">
        <x:v>Prioridade</x:v>
      </x:c>
      <x:c r="G1" s="46" t="str">
        <x:v>Confiança</x:v>
      </x:c>
      <x:c r="H1" s="24"/>
      <x:c r="I1" s="24"/>
      <x:c r="J1" s="24"/>
      <x:c r="K1" s="24"/>
      <x:c r="L1" s="24"/>
      <x:c r="M1" s="24"/>
    </x:row>
    <x:row r="2" ht="52" customHeight="1">
      <x:c r="A2" s="36" t="str">
        <x:v>Boom // Bust</x:v>
      </x:c>
      <x:c r="B2" s="36" t="str">
        <x:v>Sol Ring</x:v>
      </x:c>
      <x:c r="C2" s="36" t="str">
        <x:v>A metade Bust de destruição global de terrenos não fortalece o plano normal de enxame; Sol Ring acelera a execução.</x:v>
      </x:c>
      <x:c r="D2" s="36" t="str">
        <x:v>Aceleração eficiente que estava ausente da lista original.</x:v>
      </x:c>
      <x:c r="E2" s="36" t="str">
        <x:v>Boom pode ser uma troca tática de terrenos; manter Bust mudaria a experiência para land destruction deliberada.</x:v>
      </x:c>
      <x:c r="F2" s="36" t="str">
        <x:v>P1</x:v>
      </x:c>
      <x:c r="G2" s="36" t="str">
        <x:v>Alta</x:v>
      </x:c>
    </x:row>
    <x:row r="3" ht="52" customHeight="1">
      <x:c r="A3" s="36" t="str">
        <x:v>Chainsaw</x:v>
      </x:c>
      <x:c r="B3" s="36" t="str">
        <x:v>Skullclamp</x:v>
      </x:c>
      <x:c r="C3" s="36" t="str">
        <x:v>Skullclamp transforma fichas pequenas em compra e aproveita os sac outlets existentes.</x:v>
      </x:c>
      <x:c r="D3" s="36" t="str">
        <x:v>Converte Goblins pequenos em vantagem de cartas, sobretudo com sac outlets.</x:v>
      </x:c>
      <x:c r="E3" s="36" t="str">
        <x:v>Chainsaw pode fornecer remoção/valor temático; manter se for carta preferida.</x:v>
      </x:c>
      <x:c r="F3" s="36" t="str">
        <x:v>P1</x:v>
      </x:c>
      <x:c r="G3" s="36" t="str">
        <x:v>Alta</x:v>
      </x:c>
    </x:row>
    <x:row r="4" ht="52" customHeight="1">
      <x:c r="A4" s="36" t="str">
        <x:v>Hedron Archive</x:v>
      </x:c>
      <x:c r="B4" s="36" t="str">
        <x:v>Skirk Prospector</x:v>
      </x:c>
      <x:c r="C4" s="36" t="str">
        <x:v>Prospector custa pouco, é Goblin e converte fichas em mana quando importa.</x:v>
      </x:c>
      <x:c r="D4" s="36" t="str">
        <x:v>Transforma Goblins em mana vermelha e permite turnos explosivos.</x:v>
      </x:c>
      <x:c r="E4" s="36" t="str">
        <x:v>Archive compra duas cartas mais tarde sem sacrificar criaturas.</x:v>
      </x:c>
      <x:c r="F4" s="36" t="str">
        <x:v>P1</x:v>
      </x:c>
      <x:c r="G4" s="36" t="str">
        <x:v>Alta</x:v>
      </x:c>
    </x:row>
    <x:row r="5" ht="52" customHeight="1">
      <x:c r="A5" s="36" t="str">
        <x:v>Izzet Chemister</x:v>
      </x:c>
      <x:c r="B5" s="36" t="str">
        <x:v>Jeska's Will</x:v>
      </x:c>
      <x:c r="C5" s="36" t="str">
        <x:v>Jeska's Will gera mana e acesso impulsivo imediatamente, sem esperar recarga do Chemister.</x:v>
      </x:c>
      <x:c r="D5" s="36" t="str">
        <x:v>Mana explosiva mais compra impulsiva; teto alto com comandante em campo.</x:v>
      </x:c>
      <x:c r="E5" s="36" t="str">
        <x:v>Chemister pode reutilizar mágicas se sobreviver e houver densidade suficiente de instantâneas/feitiços.</x:v>
      </x:c>
      <x:c r="F5" s="36" t="str">
        <x:v>P1</x:v>
      </x:c>
      <x:c r="G5" s="36" t="str">
        <x:v>Alta</x:v>
      </x:c>
    </x:row>
    <x:row r="6" ht="52" customHeight="1">
      <x:c r="A6" s="36" t="str">
        <x:v>Lavabrink Floodgates</x:v>
      </x:c>
      <x:c r="B6" s="36" t="str">
        <x:v>Blasphemous Act</x:v>
      </x:c>
      <x:c r="C6" s="36" t="str">
        <x:v>Act funciona como limpeza de emergência com custo frequentemente baixo.</x:v>
      </x:c>
      <x:c r="D6" s="36" t="str">
        <x:v>Limpeza de emergência eficiente; interage com Brash Taunter e pode ser assimétrica com Eldrazi Monument.</x:v>
      </x:c>
      <x:c r="E6" s="36" t="str">
        <x:v>É simétrica, a menos que Monument proteja seus Goblins.</x:v>
      </x:c>
      <x:c r="F6" s="36" t="str">
        <x:v>P1</x:v>
      </x:c>
      <x:c r="G6" s="36" t="str">
        <x:v>Alta</x:v>
      </x:c>
    </x:row>
    <x:row r="7" ht="52" customHeight="1">
      <x:c r="A7" s="36" t="str">
        <x:v>Nevinyrral's Disk</x:v>
      </x:c>
      <x:c r="B7" s="36" t="str">
        <x:v>Vandalblast</x:v>
      </x:c>
      <x:c r="C7" s="36" t="str">
        <x:v>Vandalblast limpa artefatos inimigos sem destruir seus Goblins e motores.</x:v>
      </x:c>
      <x:c r="D7" s="36" t="str">
        <x:v>Sobrecarga destrói artefatos dos oponentes sem afetar os seus.</x:v>
      </x:c>
      <x:c r="E7" s="36" t="str">
        <x:v>Disk alcança mais tipos de permanentes, então a cobertura de reset amplo diminui.</x:v>
      </x:c>
      <x:c r="F7" s="36" t="str">
        <x:v>P1</x:v>
      </x:c>
      <x:c r="G7" s="36" t="str">
        <x:v>Alta</x:v>
      </x:c>
    </x:row>
    <x:row r="8" ht="52" customHeight="1">
      <x:c r="A8" s="36" t="str">
        <x:v>Rummaging Goblin</x:v>
      </x:c>
      <x:c r="B8" s="36" t="str">
        <x:v>Idol of Oblivion</x:v>
      </x:c>
      <x:c r="C8" s="36" t="str">
        <x:v>Idol compra sem virar criatura ou descartar uma carta, e Krenko cria fichas com frequência.</x:v>
      </x:c>
      <x:c r="D8" s="36" t="str">
        <x:v>Compra recorrente se você criou ficha no turno; Krenko habilita o gatilho naturalmente.</x:v>
      </x:c>
      <x:c r="E8" s="36" t="str">
        <x:v>Rummaging Goblin filtra uma carta morta quando não foi possível criar fichas.</x:v>
      </x:c>
      <x:c r="F8" s="36" t="str">
        <x:v>P1</x:v>
      </x:c>
      <x:c r="G8" s="36" t="str">
        <x:v>Alta</x:v>
      </x:c>
    </x:row>
    <x:row r="9" ht="52" customHeight="1">
      <x:c r="A9" s="36" t="str">
        <x:v>Wheel of Fate</x:v>
      </x:c>
      <x:c r="B9" s="36" t="str">
        <x:v>Slate of Ancestry</x:v>
      </x:c>
      <x:c r="C9" s="36" t="str">
        <x:v>Slate reabastece proporcionalmente ao seu próprio exército sem recarregar automaticamente todos os oponentes.</x:v>
      </x:c>
      <x:c r="D9" s="36" t="str">
        <x:v>Pode repor a mão com muitas cartas quando você já tem um exército.</x:v>
      </x:c>
      <x:c r="E9" s="36" t="str">
        <x:v>Slate custa quatro manas e descarta a mão como custo da ativação.</x:v>
      </x:c>
      <x:c r="F9" s="36" t="str">
        <x:v>P1</x:v>
      </x:c>
      <x:c r="G9" s="36" t="str">
        <x:v>Alta</x:v>
      </x:c>
    </x:row>
    <x:row r="10" ht="52" customHeight="1">
      <x:c r="A10" s="36" t="str">
        <x:v>Worldfire</x:v>
      </x:c>
      <x:c r="B10" s="36" t="str">
        <x:v>Thousand-Year Elixir</x:v>
      </x:c>
      <x:c r="C10" s="36" t="str">
        <x:v>Worldfire apaga o estado de jogo e não aproveita o enxame; Elixir acelera ativações de Krenko/Marvin.</x:v>
      </x:c>
      <x:c r="D10" s="36" t="str">
        <x:v>Permite ativar Krenko como se tivesse ímpeto e pode desvirar uma criatura.</x:v>
      </x:c>
      <x:c r="E10" s="36" t="str">
        <x:v>Worldfire pode ser divertido como plano deliberado; o corte é estratégico, não por alegação de banimento.</x:v>
      </x:c>
      <x:c r="F10" s="36" t="str">
        <x:v>P1</x:v>
      </x:c>
      <x:c r="G10" s="36" t="str">
        <x:v>Alta</x:v>
      </x:c>
    </x:row>
    <x:row r="11" ht="52" customHeight="1">
      <x:c r="A11" s="36" t="str">
        <x:v>Glittering Stockpile</x:v>
      </x:c>
      <x:c r="B11" s="36" t="str">
        <x:v>Lightning Greaves</x:v>
      </x:c>
      <x:c r="C11" s="36" t="str">
        <x:v>Greaves protege Krenko e habilita ativação imediata com baixo investimento.</x:v>
      </x:c>
      <x:c r="D11" s="36" t="str">
        <x:v>Protege Krenko e dá ímpeto para ativar imediatamente.</x:v>
      </x:c>
      <x:c r="E11" s="36" t="str">
        <x:v>Stockpile acumula tesouros e pode render mana num plano mais lento.</x:v>
      </x:c>
      <x:c r="F11" s="36" t="str">
        <x:v>P1</x:v>
      </x:c>
      <x:c r="G11" s="36" t="str">
        <x:v>Alta</x:v>
      </x:c>
    </x:row>
    <x:row r="12" ht="52" customHeight="1">
      <x:c r="A12" s="36" t="str">
        <x:v>Door of Destinies</x:v>
      </x:c>
      <x:c r="B12" s="36" t="str">
        <x:v>Impact Tremors</x:v>
      </x:c>
      <x:c r="C12" s="36" t="str">
        <x:v>Grande parte das fichas de Krenko é criada, não conjurada; Tremors recompensa diretamente as entradas.</x:v>
      </x:c>
      <x:c r="D12" s="36" t="str">
        <x:v>Transforma a criação de cada ficha por Krenko em dano a todos os oponentes.</x:v>
      </x:c>
      <x:c r="E12" s="36" t="str">
        <x:v>Door cresce ao conjurar Goblins e continua sendo uma opção válida de anthem tribal.</x:v>
      </x:c>
      <x:c r="F12" s="36" t="str">
        <x:v>P1</x:v>
      </x:c>
      <x:c r="G12" s="36" t="str">
        <x:v>Alta</x:v>
      </x:c>
    </x:row>
    <x:row r="13" ht="52" customHeight="1">
      <x:c r="A13" s="36" t="str">
        <x:v>Goblin Diplomats</x:v>
      </x:c>
      <x:c r="B13" s="36" t="str">
        <x:v>Goblin Trashmaster</x:v>
      </x:c>
      <x:c r="C13" s="36" t="str">
        <x:v>Trashmaster oferece bônus tribal e interação repetível com artefatos.</x:v>
      </x:c>
      <x:c r="D13" s="36" t="str">
        <x:v>Lord tribal que também destrói artefatos de forma repetível sacrificando Goblins.</x:v>
      </x:c>
      <x:c r="E13" s="36" t="str">
        <x:v>Diplomats é divertido e político; manter se esse papel for importante na mesa.</x:v>
      </x:c>
      <x:c r="F13" s="36" t="str">
        <x:v>P1</x:v>
      </x:c>
      <x:c r="G13" s="36" t="str">
        <x:v>Alta</x:v>
      </x:c>
    </x:row>
    <x:row r="14" ht="52" customHeight="1">
      <x:c r="A14" s="36" t="str">
        <x:v>Goblin Guide</x:v>
      </x:c>
      <x:c r="B14" s="36" t="str">
        <x:v>Chaos Warp</x:v>
      </x:c>
      <x:c r="C14" s="36" t="str">
        <x:v>Chaos Warp melhora a cobertura de respostas em jogos avançados.</x:v>
      </x:c>
      <x:c r="D14" s="36" t="str">
        <x:v>Resposta flexível para permanentes problemáticas em mono-red.</x:v>
      </x:c>
      <x:c r="E14" s="36" t="str">
        <x:v>Guide pressiona cedo e pode continuar se o plano de aggro for prioridade.</x:v>
      </x:c>
      <x:c r="F14" s="36" t="str">
        <x:v>P1</x:v>
      </x:c>
      <x:c r="G14" s="36" t="str">
        <x:v>Alta</x:v>
      </x:c>
    </x:row>
    <x:row r="15" ht="52" customHeight="1">
      <x:c r="A15" s="36" t="str">
        <x:v>Red Sun's Twilight</x:v>
      </x:c>
      <x:c r="B15" s="36" t="str">
        <x:v>War Room</x:v>
      </x:c>
      <x:c r="C15" s="36" t="str">
        <x:v>War Room adiciona um terreno e uma fonte de compra repetível.</x:v>
      </x:c>
      <x:c r="D15" s="36" t="str">
        <x:v>Terreno que oferece compra recorrente quando há mana e vida disponíveis.</x:v>
      </x:c>
      <x:c r="E15" s="36" t="str">
        <x:v>Twilight pode roubar artefatos com X alto e ser decisiva contra mesas de artefatos.</x:v>
      </x:c>
      <x:c r="F15" s="36" t="str">
        <x:v>P2</x:v>
      </x:c>
      <x:c r="G15" s="36" t="str">
        <x:v>Alta</x:v>
      </x:c>
    </x:row>
    <x:row r="16" ht="52" customHeight="1">
      <x:c r="A16" s="36" t="str">
        <x:v>Bedlam</x:v>
      </x:c>
      <x:c r="B16" s="36" t="str">
        <x:v>Wild Magic Surge</x:v>
      </x:c>
      <x:c r="C16" s="36" t="str">
        <x:v>Surge adiciona interação instantânea; Bedlam impede bloqueios para todos e pode abrir contra-ataques contra você.</x:v>
      </x:c>
      <x:c r="D16" s="36" t="str">
        <x:v>Resposta instantânea a quase qualquer permanente não terreno em mono-red.</x:v>
      </x:c>
      <x:c r="E16" s="36" t="str">
        <x:v>Bedlam é válido se você quiser deliberadamente forçar combate em toda a mesa.</x:v>
      </x:c>
      <x:c r="F16" s="36" t="str">
        <x:v>P2</x:v>
      </x:c>
      <x:c r="G16" s="36" t="str">
        <x:v>Alta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6" hidden="0" customWidth="1"/>
    <x:col min="3" max="3" width="24" hidden="0" customWidth="1"/>
    <x:col min="4" max="4" width="58" hidden="0" customWidth="1"/>
    <x:col min="5" max="5" width="10" hidden="0" customWidth="1"/>
    <x:col min="6" max="6" width="66" hidden="0" customWidth="1"/>
  </x:cols>
  <x:sheetData>
    <x:row r="1">
      <x:c r="A1" s="46" t="str">
        <x:v>Carta</x:v>
      </x:c>
      <x:c r="B1" s="46" t="str">
        <x:v>Estado</x:v>
      </x:c>
      <x:c r="C1" s="46" t="str">
        <x:v>Grupo principal</x:v>
      </x:c>
      <x:c r="D1" s="46" t="str">
        <x:v>Papel secundário / interação</x:v>
      </x:c>
      <x:c r="E1" s="46" t="str">
        <x:v>Tier</x:v>
      </x:c>
      <x:c r="F1" s="46" t="str">
        <x:v>Observação / avaliação</x:v>
      </x:c>
      <x:c r="G1" s="24"/>
      <x:c r="H1" s="24"/>
      <x:c r="I1" s="24"/>
      <x:c r="J1" s="24"/>
      <x:c r="K1" s="24"/>
      <x:c r="L1" s="24"/>
      <x:c r="M1" s="24"/>
    </x:row>
    <x:row r="2" ht="48" customHeight="1">
      <x:c r="A2" s="36" t="str">
        <x:v>Krenko, Mob Boss</x:v>
      </x:c>
      <x:c r="B2" s="36" t="str">
        <x:v>CURRENT</x:v>
      </x:c>
      <x:c r="C2" s="36" t="str">
        <x:v>Commander</x:v>
      </x:c>
      <x:c r="D2" s="36" t="str">
        <x:v>Comandante; cria uma ficha por Goblin que você controla, incluindo Krenko, escalando rapidamente.</x:v>
      </x:c>
      <x:c r="E2" s="36" t="str">
        <x:v>S</x:v>
      </x:c>
      <x:c r="F2" s="36" t="str">
        <x:v>Comandante; cria uma ficha por Goblin que você controla, incluindo Krenko, escalando rapidamente.</x:v>
      </x:c>
    </x:row>
    <x:row r="3" ht="48" customHeight="1">
      <x:c r="A3" s="36" t="str">
        <x:v>Arcane Signet</x:v>
      </x:c>
      <x:c r="B3" s="36" t="str">
        <x:v>CURRENT</x:v>
      </x:c>
      <x:c r="C3" s="36" t="str">
        <x:v>Ramp</x:v>
      </x:c>
      <x:c r="D3" s="36" t="str">
        <x:v>Aceleração ou conversão de fichas em mana.</x:v>
      </x:c>
      <x:c r="E3" s="36" t="str">
        <x:v>B</x:v>
      </x:c>
      <x:c r="F3" s="36" t="str">
        <x:v>Aceleração ou conversão de fichas em mana.</x:v>
      </x:c>
    </x:row>
    <x:row r="4" ht="48" customHeight="1">
      <x:c r="A4" s="36" t="str">
        <x:v>Ashnod's Altar</x:v>
      </x:c>
      <x:c r="B4" s="36" t="str">
        <x:v>CURRENT</x:v>
      </x:c>
      <x:c r="C4" s="36" t="str">
        <x:v>Sinergia 2</x:v>
      </x:c>
      <x:c r="D4" s="36" t="str">
        <x:v>Toolbox tribal, recursão, sacrifício ou geração de valor.</x:v>
      </x:c>
      <x:c r="E4" s="36" t="str">
        <x:v>A</x:v>
      </x:c>
      <x:c r="F4" s="36" t="str">
        <x:v>Toolbox tribal, recursão, sacrifício ou geração de valor.</x:v>
      </x:c>
    </x:row>
    <x:row r="5" ht="48" customHeight="1">
      <x:c r="A5" s="36" t="str">
        <x:v>Battle Cry Goblin</x:v>
      </x:c>
      <x:c r="B5" s="36" t="str">
        <x:v>CURRENT</x:v>
      </x:c>
      <x:c r="C5" s="36" t="str">
        <x:v>Buff + Haste</x:v>
      </x:c>
      <x:c r="D5" s="36" t="str">
        <x:v>Aumenta combate, evasão, ímpeto ou proteção.</x:v>
      </x:c>
      <x:c r="E5" s="36" t="str">
        <x:v>B</x:v>
      </x:c>
      <x:c r="F5" s="36" t="str">
        <x:v>Aumenta combate, evasão, ímpeto ou proteção.</x:v>
      </x:c>
    </x:row>
    <x:row r="6" ht="48" customHeight="1">
      <x:c r="A6" s="36" t="str">
        <x:v>Bedlam</x:v>
      </x:c>
      <x:c r="B6" s="36" t="str">
        <x:v>CURRENT</x:v>
      </x:c>
      <x:c r="C6" s="36" t="str">
        <x:v>Buff + Haste</x:v>
      </x:c>
      <x:c r="D6" s="36" t="str">
        <x:v>Aumenta combate, evasão, ímpeto ou proteção.</x:v>
      </x:c>
      <x:c r="E6" s="36" t="str">
        <x:v>B</x:v>
      </x:c>
      <x:c r="F6" s="36" t="str">
        <x:v>Impede todos de bloquear; pode facilitar letal, mas também abrir contra-ataques.</x:v>
      </x:c>
    </x:row>
    <x:row r="7" ht="48" customHeight="1">
      <x:c r="A7" s="36" t="str">
        <x:v>Boom // Bust</x:v>
      </x:c>
      <x:c r="B7" s="36" t="str">
        <x:v>CURRENT</x:v>
      </x:c>
      <x:c r="C7" s="36" t="str">
        <x:v>Removal</x:v>
      </x:c>
      <x:c r="D7" s="36" t="str">
        <x:v>Interação; avaliar tipos alcançados e custo.</x:v>
      </x:c>
      <x:c r="E7" s="36" t="str">
        <x:v>B</x:v>
      </x:c>
      <x:c r="F7" s="36" t="str">
        <x:v>Bust destrói terrenos em massa e não apoia o plano normal de enxame.</x:v>
      </x:c>
    </x:row>
    <x:row r="8" ht="48" customHeight="1">
      <x:c r="A8" s="36" t="str">
        <x:v>Brash Taunter</x:v>
      </x:c>
      <x:c r="B8" s="36" t="str">
        <x:v>CURRENT</x:v>
      </x:c>
      <x:c r="C8" s="36" t="str">
        <x:v>Combate + Dano Direto</x:v>
      </x:c>
      <x:c r="D8" s="36" t="str">
        <x:v>Converte a mesa larga em dano ou pressão.</x:v>
      </x:c>
      <x:c r="E8" s="36" t="str">
        <x:v>B</x:v>
      </x:c>
      <x:c r="F8" s="36" t="str">
        <x:v>Converte a mesa larga em dano ou pressão.</x:v>
      </x:c>
    </x:row>
    <x:row r="9" ht="48" customHeight="1">
      <x:c r="A9" s="36" t="str">
        <x:v>Breeches, Eager Pillager</x:v>
      </x:c>
      <x:c r="B9" s="36" t="str">
        <x:v>CURRENT</x:v>
      </x:c>
      <x:c r="C9" s="36" t="str">
        <x:v>Draw</x:v>
      </x:c>
      <x:c r="D9" s="36" t="str">
        <x:v>Compra, seleção ou acesso impulsivo a cartas.</x:v>
      </x:c>
      <x:c r="E9" s="36" t="str">
        <x:v>B</x:v>
      </x:c>
      <x:c r="F9" s="36" t="str">
        <x:v>Compra, seleção ou acesso impulsivo a cartas.</x:v>
      </x:c>
    </x:row>
    <x:row r="10" ht="48" customHeight="1">
      <x:c r="A10" s="36" t="str">
        <x:v>Brightstone Ritual</x:v>
      </x:c>
      <x:c r="B10" s="36" t="str">
        <x:v>CURRENT</x:v>
      </x:c>
      <x:c r="C10" s="36" t="str">
        <x:v>Ramp</x:v>
      </x:c>
      <x:c r="D10" s="36" t="str">
        <x:v>Aceleração ou conversão de fichas em mana.</x:v>
      </x:c>
      <x:c r="E10" s="36" t="str">
        <x:v>B</x:v>
      </x:c>
      <x:c r="F10" s="36" t="str">
        <x:v>Aceleração ou conversão de fichas em mana.</x:v>
      </x:c>
    </x:row>
    <x:row r="11" ht="48" customHeight="1">
      <x:c r="A11" s="36" t="str">
        <x:v>Caterwauling Boggart</x:v>
      </x:c>
      <x:c r="B11" s="36" t="str">
        <x:v>CURRENT</x:v>
      </x:c>
      <x:c r="C11" s="36" t="str">
        <x:v>Buff + Haste</x:v>
      </x:c>
      <x:c r="D11" s="36" t="str">
        <x:v>Aumenta combate, evasão, ímpeto ou proteção.</x:v>
      </x:c>
      <x:c r="E11" s="36" t="str">
        <x:v>B</x:v>
      </x:c>
      <x:c r="F11" s="36" t="str">
        <x:v>Aumenta combate, evasão, ímpeto ou proteção.</x:v>
      </x:c>
    </x:row>
    <x:row r="12" ht="48" customHeight="1">
      <x:c r="A12" s="36" t="str">
        <x:v>Chainsaw</x:v>
      </x:c>
      <x:c r="B12" s="36" t="str">
        <x:v>CURRENT</x:v>
      </x:c>
      <x:c r="C12" s="36" t="str">
        <x:v>Sinergia 2</x:v>
      </x:c>
      <x:c r="D12" s="36" t="str">
        <x:v>Toolbox tribal, recursão, sacrifício ou geração de valor.</x:v>
      </x:c>
      <x:c r="E12" s="36" t="str">
        <x:v>B</x:v>
      </x:c>
      <x:c r="F12" s="36" t="str">
        <x:v>Toolbox tribal, recursão, sacrifício ou geração de valor.</x:v>
      </x:c>
    </x:row>
    <x:row r="13" ht="48" customHeight="1">
      <x:c r="A13" s="36" t="str">
        <x:v>Curse of Opulence</x:v>
      </x:c>
      <x:c r="B13" s="36" t="str">
        <x:v>CURRENT</x:v>
      </x:c>
      <x:c r="C13" s="36" t="str">
        <x:v>Ramp</x:v>
      </x:c>
      <x:c r="D13" s="36" t="str">
        <x:v>Aceleração ou conversão de fichas em mana.</x:v>
      </x:c>
      <x:c r="E13" s="36" t="str">
        <x:v>B</x:v>
      </x:c>
      <x:c r="F13" s="36" t="str">
        <x:v>Aceleração ou conversão de fichas em mana.</x:v>
      </x:c>
    </x:row>
    <x:row r="14" ht="48" customHeight="1">
      <x:c r="A14" s="36" t="str">
        <x:v>Den of the Bugbear</x:v>
      </x:c>
      <x:c r="B14" s="36" t="str">
        <x:v>CURRENT</x:v>
      </x:c>
      <x:c r="C14" s="36" t="str">
        <x:v>Token</x:v>
      </x:c>
      <x:c r="D14" s="36" t="str">
        <x:v>Produz ou multiplica fichas de Goblin.</x:v>
      </x:c>
      <x:c r="E14" s="36" t="str">
        <x:v>B</x:v>
      </x:c>
      <x:c r="F14" s="36" t="str">
        <x:v>Produz ou multiplica fichas de Goblin.</x:v>
      </x:c>
    </x:row>
    <x:row r="15" ht="48" customHeight="1">
      <x:c r="A15" s="36" t="str">
        <x:v>Door of Destinies</x:v>
      </x:c>
      <x:c r="B15" s="36" t="str">
        <x:v>CURRENT</x:v>
      </x:c>
      <x:c r="C15" s="36" t="str">
        <x:v>Buff + Haste</x:v>
      </x:c>
      <x:c r="D15" s="36" t="str">
        <x:v>Aumenta combate, evasão, ímpeto ou proteção.</x:v>
      </x:c>
      <x:c r="E15" s="36" t="str">
        <x:v>B</x:v>
      </x:c>
      <x:c r="F15" s="36" t="str">
        <x:v>Fichas criadas por Krenko não são conjuradas, então não aumentam os marcadores de Door.</x:v>
      </x:c>
    </x:row>
    <x:row r="16" ht="48" customHeight="1">
      <x:c r="A16" s="36" t="str">
        <x:v>Dragon Fodder</x:v>
      </x:c>
      <x:c r="B16" s="36" t="str">
        <x:v>CURRENT</x:v>
      </x:c>
      <x:c r="C16" s="36" t="str">
        <x:v>Token</x:v>
      </x:c>
      <x:c r="D16" s="36" t="str">
        <x:v>Produz ou multiplica fichas de Goblin.</x:v>
      </x:c>
      <x:c r="E16" s="36" t="str">
        <x:v>B</x:v>
      </x:c>
      <x:c r="F16" s="36" t="str">
        <x:v>Produz ou multiplica fichas de Goblin.</x:v>
      </x:c>
    </x:row>
    <x:row r="17" ht="48" customHeight="1">
      <x:c r="A17" s="36" t="str">
        <x:v>Eldrazi Monument</x:v>
      </x:c>
      <x:c r="B17" s="36" t="str">
        <x:v>CURRENT</x:v>
      </x:c>
      <x:c r="C17" s="36" t="str">
        <x:v>Buff + Haste</x:v>
      </x:c>
      <x:c r="D17" s="36" t="str">
        <x:v>Aumenta combate, evasão, ímpeto ou proteção.</x:v>
      </x:c>
      <x:c r="E17" s="36" t="str">
        <x:v>A</x:v>
      </x:c>
      <x:c r="F17" s="36" t="str">
        <x:v>Dá indestrutível à mesa própria, mas exige sacrificar uma criatura a cada manutenção.</x:v>
      </x:c>
    </x:row>
    <x:row r="18" ht="48" customHeight="1">
      <x:c r="A18" s="36" t="str">
        <x:v>Embercleave</x:v>
      </x:c>
      <x:c r="B18" s="36" t="str">
        <x:v>CURRENT</x:v>
      </x:c>
      <x:c r="C18" s="36" t="str">
        <x:v>Combate + Dano Direto</x:v>
      </x:c>
      <x:c r="D18" s="36" t="str">
        <x:v>Converte a mesa larga em dano ou pressão.</x:v>
      </x:c>
      <x:c r="E18" s="36" t="str">
        <x:v>B</x:v>
      </x:c>
      <x:c r="F18" s="36" t="str">
        <x:v>Converte a mesa larga em dano ou pressão.</x:v>
      </x:c>
    </x:row>
    <x:row r="19" ht="48" customHeight="1">
      <x:c r="A19" s="36" t="str">
        <x:v>Enduring Courage</x:v>
      </x:c>
      <x:c r="B19" s="36" t="str">
        <x:v>CURRENT</x:v>
      </x:c>
      <x:c r="C19" s="36" t="str">
        <x:v>Buff + Haste</x:v>
      </x:c>
      <x:c r="D19" s="36" t="str">
        <x:v>Aumenta combate, evasão, ímpeto ou proteção.</x:v>
      </x:c>
      <x:c r="E19" s="36" t="str">
        <x:v>B</x:v>
      </x:c>
      <x:c r="F19" s="36" t="str">
        <x:v>Aumenta combate, evasão, ímpeto ou proteção.</x:v>
      </x:c>
    </x:row>
    <x:row r="20" ht="48" customHeight="1">
      <x:c r="A20" s="36" t="str">
        <x:v>Faithless Looting</x:v>
      </x:c>
      <x:c r="B20" s="36" t="str">
        <x:v>CURRENT</x:v>
      </x:c>
      <x:c r="C20" s="36" t="str">
        <x:v>Draw</x:v>
      </x:c>
      <x:c r="D20" s="36" t="str">
        <x:v>Compra, seleção ou acesso impulsivo a cartas.</x:v>
      </x:c>
      <x:c r="E20" s="36" t="str">
        <x:v>B</x:v>
      </x:c>
      <x:c r="F20" s="36" t="str">
        <x:v>Compra, seleção ou acesso impulsivo a cartas.</x:v>
      </x:c>
    </x:row>
    <x:row r="21" ht="48" customHeight="1">
      <x:c r="A21" s="36" t="str">
        <x:v>Fiery Emancipation</x:v>
      </x:c>
      <x:c r="B21" s="36" t="str">
        <x:v>CURRENT</x:v>
      </x:c>
      <x:c r="C21" s="36" t="str">
        <x:v>Combate + Dano Direto</x:v>
      </x:c>
      <x:c r="D21" s="36" t="str">
        <x:v>Converte a mesa larga em dano ou pressão.</x:v>
      </x:c>
      <x:c r="E21" s="36" t="str">
        <x:v>A</x:v>
      </x:c>
      <x:c r="F21" s="36" t="str">
        <x:v>Converte a mesa larga em dano ou pressão.</x:v>
      </x:c>
    </x:row>
    <x:row r="22" ht="48" customHeight="1">
      <x:c r="A22" s="36" t="str">
        <x:v>Gauntlet of Power</x:v>
      </x:c>
      <x:c r="B22" s="36" t="str">
        <x:v>CURRENT</x:v>
      </x:c>
      <x:c r="C22" s="36" t="str">
        <x:v>Sinergia 2</x:v>
      </x:c>
      <x:c r="D22" s="36" t="str">
        <x:v>Toolbox tribal, recursão, sacrifício ou geração de valor.</x:v>
      </x:c>
      <x:c r="E22" s="36" t="str">
        <x:v>B</x:v>
      </x:c>
      <x:c r="F22" s="36" t="str">
        <x:v>Toolbox tribal, recursão, sacrifício ou geração de valor.</x:v>
      </x:c>
    </x:row>
    <x:row r="23" ht="48" customHeight="1">
      <x:c r="A23" s="36" t="str">
        <x:v>Glittering Stockpile</x:v>
      </x:c>
      <x:c r="B23" s="36" t="str">
        <x:v>CURRENT</x:v>
      </x:c>
      <x:c r="C23" s="36" t="str">
        <x:v>Ramp</x:v>
      </x:c>
      <x:c r="D23" s="36" t="str">
        <x:v>Aceleração ou conversão de fichas em mana.</x:v>
      </x:c>
      <x:c r="E23" s="36" t="str">
        <x:v>B</x:v>
      </x:c>
      <x:c r="F23" s="36" t="str">
        <x:v>Aceleração ou conversão de fichas em mana.</x:v>
      </x:c>
    </x:row>
    <x:row r="24" ht="48" customHeight="1">
      <x:c r="A24" s="36" t="str">
        <x:v>Goblin Bombardment</x:v>
      </x:c>
      <x:c r="B24" s="36" t="str">
        <x:v>CURRENT</x:v>
      </x:c>
      <x:c r="C24" s="36" t="str">
        <x:v>Combate + Dano Direto</x:v>
      </x:c>
      <x:c r="D24" s="36" t="str">
        <x:v>Sac outlet e dano direto; converte fichas em alcance.</x:v>
      </x:c>
      <x:c r="E24" s="36" t="str">
        <x:v>S</x:v>
      </x:c>
      <x:c r="F24" s="36" t="str">
        <x:v>Uma das peças mais eficientes para converter fichas em dano.</x:v>
      </x:c>
    </x:row>
    <x:row r="25" ht="48" customHeight="1">
      <x:c r="A25" s="36" t="str">
        <x:v>Goblin Diplomats</x:v>
      </x:c>
      <x:c r="B25" s="36" t="str">
        <x:v>CURRENT</x:v>
      </x:c>
      <x:c r="C25" s="36" t="str">
        <x:v>Buff + Haste</x:v>
      </x:c>
      <x:c r="D25" s="36" t="str">
        <x:v>Aumenta combate, evasão, ímpeto ou proteção.</x:v>
      </x:c>
      <x:c r="E25" s="36" t="str">
        <x:v>B</x:v>
      </x:c>
      <x:c r="F25" s="36" t="str">
        <x:v>Aumenta combate, evasão, ímpeto ou proteção.</x:v>
      </x:c>
    </x:row>
    <x:row r="26" ht="48" customHeight="1">
      <x:c r="A26" s="36" t="str">
        <x:v>Goblin Engineer</x:v>
      </x:c>
      <x:c r="B26" s="36" t="str">
        <x:v>CURRENT</x:v>
      </x:c>
      <x:c r="C26" s="36" t="str">
        <x:v>Sinergia 2</x:v>
      </x:c>
      <x:c r="D26" s="36" t="str">
        <x:v>Toolbox tribal, recursão, sacrifício ou geração de valor.</x:v>
      </x:c>
      <x:c r="E26" s="36" t="str">
        <x:v>B</x:v>
      </x:c>
      <x:c r="F26" s="36" t="str">
        <x:v>Toolbox tribal, recursão, sacrifício ou geração de valor.</x:v>
      </x:c>
    </x:row>
    <x:row r="27" ht="48" customHeight="1">
      <x:c r="A27" s="36" t="str">
        <x:v>Goblin Guide</x:v>
      </x:c>
      <x:c r="B27" s="36" t="str">
        <x:v>CURRENT</x:v>
      </x:c>
      <x:c r="C27" s="36" t="str">
        <x:v>Combate + Dano Direto</x:v>
      </x:c>
      <x:c r="D27" s="36" t="str">
        <x:v>Converte a mesa larga em dano ou pressão.</x:v>
      </x:c>
      <x:c r="E27" s="36" t="str">
        <x:v>B</x:v>
      </x:c>
      <x:c r="F27" s="36" t="str">
        <x:v>Converte a mesa larga em dano ou pressão.</x:v>
      </x:c>
    </x:row>
    <x:row r="28" ht="48" customHeight="1">
      <x:c r="A28" s="36" t="str">
        <x:v>Goblin Matron</x:v>
      </x:c>
      <x:c r="B28" s="36" t="str">
        <x:v>CURRENT</x:v>
      </x:c>
      <x:c r="C28" s="36" t="str">
        <x:v>Sinergia 2</x:v>
      </x:c>
      <x:c r="D28" s="36" t="str">
        <x:v>Toolbox tribal, recursão, sacrifício ou geração de valor.</x:v>
      </x:c>
      <x:c r="E28" s="36" t="str">
        <x:v>A</x:v>
      </x:c>
      <x:c r="F28" s="36" t="str">
        <x:v>Tutoria/seleção tribal importante; preservada no núcleo.</x:v>
      </x:c>
    </x:row>
    <x:row r="29" ht="48" customHeight="1">
      <x:c r="A29" s="36" t="str">
        <x:v>Goblin Negotiation</x:v>
      </x:c>
      <x:c r="B29" s="36" t="str">
        <x:v>CURRENT</x:v>
      </x:c>
      <x:c r="C29" s="36" t="str">
        <x:v>Removal</x:v>
      </x:c>
      <x:c r="D29" s="36" t="str">
        <x:v>Interação; avaliar tipos alcançados e custo.</x:v>
      </x:c>
      <x:c r="E29" s="36" t="str">
        <x:v>B</x:v>
      </x:c>
      <x:c r="F29" s="36" t="str">
        <x:v>Interação; avaliar tipos alcançados e custo.</x:v>
      </x:c>
    </x:row>
    <x:row r="30" ht="48" customHeight="1">
      <x:c r="A30" s="36" t="str">
        <x:v>Goblin Rabblemaster</x:v>
      </x:c>
      <x:c r="B30" s="36" t="str">
        <x:v>CURRENT</x:v>
      </x:c>
      <x:c r="C30" s="36" t="str">
        <x:v>Token</x:v>
      </x:c>
      <x:c r="D30" s="36" t="str">
        <x:v>Produz ou multiplica fichas de Goblin.</x:v>
      </x:c>
      <x:c r="E30" s="36" t="str">
        <x:v>B</x:v>
      </x:c>
      <x:c r="F30" s="36" t="str">
        <x:v>Produz ou multiplica fichas de Goblin.</x:v>
      </x:c>
    </x:row>
    <x:row r="31" ht="48" customHeight="1">
      <x:c r="A31" s="36" t="str">
        <x:v>Goblin Rally</x:v>
      </x:c>
      <x:c r="B31" s="36" t="str">
        <x:v>CURRENT</x:v>
      </x:c>
      <x:c r="C31" s="36" t="str">
        <x:v>Token</x:v>
      </x:c>
      <x:c r="D31" s="36" t="str">
        <x:v>Produz ou multiplica fichas de Goblin.</x:v>
      </x:c>
      <x:c r="E31" s="36" t="str">
        <x:v>B</x:v>
      </x:c>
      <x:c r="F31" s="36" t="str">
        <x:v>Produz ou multiplica fichas de Goblin.</x:v>
      </x:c>
    </x:row>
    <x:row r="32" ht="48" customHeight="1">
      <x:c r="A32" s="36" t="str">
        <x:v>Goblin Surprise</x:v>
      </x:c>
      <x:c r="B32" s="36" t="str">
        <x:v>CURRENT</x:v>
      </x:c>
      <x:c r="C32" s="36" t="str">
        <x:v>Token</x:v>
      </x:c>
      <x:c r="D32" s="36" t="str">
        <x:v>Produz ou multiplica fichas de Goblin.</x:v>
      </x:c>
      <x:c r="E32" s="36" t="str">
        <x:v>B</x:v>
      </x:c>
      <x:c r="F32" s="36" t="str">
        <x:v>Produz ou multiplica fichas de Goblin.</x:v>
      </x:c>
    </x:row>
    <x:row r="33" ht="48" customHeight="1">
      <x:c r="A33" s="36" t="str">
        <x:v>Goblin Traprunner</x:v>
      </x:c>
      <x:c r="B33" s="36" t="str">
        <x:v>CURRENT</x:v>
      </x:c>
      <x:c r="C33" s="36" t="str">
        <x:v>Token</x:v>
      </x:c>
      <x:c r="D33" s="36" t="str">
        <x:v>Produz ou multiplica fichas de Goblin.</x:v>
      </x:c>
      <x:c r="E33" s="36" t="str">
        <x:v>B</x:v>
      </x:c>
      <x:c r="F33" s="36" t="str">
        <x:v>Produz ou multiplica fichas de Goblin.</x:v>
      </x:c>
    </x:row>
    <x:row r="34" ht="48" customHeight="1">
      <x:c r="A34" s="36" t="str">
        <x:v>Goblin War Strike</x:v>
      </x:c>
      <x:c r="B34" s="36" t="str">
        <x:v>CURRENT</x:v>
      </x:c>
      <x:c r="C34" s="36" t="str">
        <x:v>Combate + Dano Direto</x:v>
      </x:c>
      <x:c r="D34" s="36" t="str">
        <x:v>Converte a mesa larga em dano ou pressão.</x:v>
      </x:c>
      <x:c r="E34" s="36" t="str">
        <x:v>A</x:v>
      </x:c>
      <x:c r="F34" s="36" t="str">
        <x:v>Converte a mesa larga em dano ou pressão.</x:v>
      </x:c>
    </x:row>
    <x:row r="35" ht="48" customHeight="1">
      <x:c r="A35" s="36" t="str">
        <x:v>Goblin Warchief</x:v>
      </x:c>
      <x:c r="B35" s="36" t="str">
        <x:v>CURRENT</x:v>
      </x:c>
      <x:c r="C35" s="36" t="str">
        <x:v>Buff + Haste</x:v>
      </x:c>
      <x:c r="D35" s="36" t="str">
        <x:v>Aumenta combate, evasão, ímpeto ou proteção.</x:v>
      </x:c>
      <x:c r="E35" s="36" t="str">
        <x:v>A</x:v>
      </x:c>
      <x:c r="F35" s="36" t="str">
        <x:v>Aumenta combate, evasão, ímpeto ou proteção.</x:v>
      </x:c>
    </x:row>
    <x:row r="36" ht="48" customHeight="1">
      <x:c r="A36" s="36" t="str">
        <x:v>Goblin Welder</x:v>
      </x:c>
      <x:c r="B36" s="36" t="str">
        <x:v>CURRENT</x:v>
      </x:c>
      <x:c r="C36" s="36" t="str">
        <x:v>Sinergia 2</x:v>
      </x:c>
      <x:c r="D36" s="36" t="str">
        <x:v>Toolbox tribal, recursão, sacrifício ou geração de valor.</x:v>
      </x:c>
      <x:c r="E36" s="36" t="str">
        <x:v>B</x:v>
      </x:c>
      <x:c r="F36" s="36" t="str">
        <x:v>Toolbox tribal, recursão, sacrifício ou geração de valor.</x:v>
      </x:c>
    </x:row>
    <x:row r="37" ht="48" customHeight="1">
      <x:c r="A37" s="36" t="str">
        <x:v>Grenzo, Havoc Raiser</x:v>
      </x:c>
      <x:c r="B37" s="36" t="str">
        <x:v>CURRENT</x:v>
      </x:c>
      <x:c r="C37" s="36" t="str">
        <x:v>Sinergia 2</x:v>
      </x:c>
      <x:c r="D37" s="36" t="str">
        <x:v>Toolbox tribal, recursão, sacrifício ou geração de valor.</x:v>
      </x:c>
      <x:c r="E37" s="36" t="str">
        <x:v>B</x:v>
      </x:c>
      <x:c r="F37" s="36" t="str">
        <x:v>Toolbox tribal, recursão, sacrifício ou geração de valor.</x:v>
      </x:c>
    </x:row>
    <x:row r="38" ht="48" customHeight="1">
      <x:c r="A38" s="36" t="str">
        <x:v>Gut, True Soul Zealot</x:v>
      </x:c>
      <x:c r="B38" s="36" t="str">
        <x:v>CURRENT</x:v>
      </x:c>
      <x:c r="C38" s="36" t="str">
        <x:v>Sinergia 2</x:v>
      </x:c>
      <x:c r="D38" s="36" t="str">
        <x:v>Toolbox tribal, recursão, sacrifício ou geração de valor.</x:v>
      </x:c>
      <x:c r="E38" s="36" t="str">
        <x:v>B</x:v>
      </x:c>
      <x:c r="F38" s="36" t="str">
        <x:v>Toolbox tribal, recursão, sacrifício ou geração de valor.</x:v>
      </x:c>
    </x:row>
    <x:row r="39" ht="48" customHeight="1">
      <x:c r="A39" s="36" t="str">
        <x:v>Hedron Archive</x:v>
      </x:c>
      <x:c r="B39" s="36" t="str">
        <x:v>CURRENT</x:v>
      </x:c>
      <x:c r="C39" s="36" t="str">
        <x:v>Ramp</x:v>
      </x:c>
      <x:c r="D39" s="36" t="str">
        <x:v>Aceleração ou conversão de fichas em mana.</x:v>
      </x:c>
      <x:c r="E39" s="36" t="str">
        <x:v>C</x:v>
      </x:c>
      <x:c r="F39" s="36" t="str">
        <x:v>Aceleração ou conversão de fichas em mana.</x:v>
      </x:c>
    </x:row>
    <x:row r="40" ht="48" customHeight="1">
      <x:c r="A40" s="36" t="str">
        <x:v>Hobgoblin Bandit Lord</x:v>
      </x:c>
      <x:c r="B40" s="36" t="str">
        <x:v>CURRENT</x:v>
      </x:c>
      <x:c r="C40" s="36" t="str">
        <x:v>Buff + Haste</x:v>
      </x:c>
      <x:c r="D40" s="36" t="str">
        <x:v>Aumenta combate, evasão, ímpeto ou proteção.</x:v>
      </x:c>
      <x:c r="E40" s="36" t="str">
        <x:v>B</x:v>
      </x:c>
      <x:c r="F40" s="36" t="str">
        <x:v>Aumenta combate, evasão, ímpeto ou proteção.</x:v>
      </x:c>
    </x:row>
    <x:row r="41" ht="48" customHeight="1">
      <x:c r="A41" s="36" t="str">
        <x:v>Icon of Ancestry</x:v>
      </x:c>
      <x:c r="B41" s="36" t="str">
        <x:v>CURRENT</x:v>
      </x:c>
      <x:c r="C41" s="36" t="str">
        <x:v>Buff + Haste</x:v>
      </x:c>
      <x:c r="D41" s="36" t="str">
        <x:v>Aumenta combate, evasão, ímpeto ou proteção.</x:v>
      </x:c>
      <x:c r="E41" s="36" t="str">
        <x:v>B</x:v>
      </x:c>
      <x:c r="F41" s="36" t="str">
        <x:v>Aumenta combate, evasão, ímpeto ou proteção.</x:v>
      </x:c>
    </x:row>
    <x:row r="42" ht="48" customHeight="1">
      <x:c r="A42" s="36" t="str">
        <x:v>Impulsive Pilferer</x:v>
      </x:c>
      <x:c r="B42" s="36" t="str">
        <x:v>CURRENT</x:v>
      </x:c>
      <x:c r="C42" s="36" t="str">
        <x:v>Ramp</x:v>
      </x:c>
      <x:c r="D42" s="36" t="str">
        <x:v>Aceleração ou conversão de fichas em mana.</x:v>
      </x:c>
      <x:c r="E42" s="36" t="str">
        <x:v>B</x:v>
      </x:c>
      <x:c r="F42" s="36" t="str">
        <x:v>Aceleração ou conversão de fichas em mana.</x:v>
      </x:c>
    </x:row>
    <x:row r="43" ht="48" customHeight="1">
      <x:c r="A43" s="36" t="str">
        <x:v>Izzet Chemister</x:v>
      </x:c>
      <x:c r="B43" s="36" t="str">
        <x:v>CURRENT</x:v>
      </x:c>
      <x:c r="C43" s="36" t="str">
        <x:v>Sinergia 2</x:v>
      </x:c>
      <x:c r="D43" s="36" t="str">
        <x:v>Toolbox tribal, recursão, sacrifício ou geração de valor.</x:v>
      </x:c>
      <x:c r="E43" s="36" t="str">
        <x:v>B</x:v>
      </x:c>
      <x:c r="F43" s="36" t="str">
        <x:v>Toolbox tribal, recursão, sacrifício ou geração de valor.</x:v>
      </x:c>
    </x:row>
    <x:row r="44" ht="48" customHeight="1">
      <x:c r="A44" s="36" t="str">
        <x:v>Lavabrink Floodgates</x:v>
      </x:c>
      <x:c r="B44" s="36" t="str">
        <x:v>CURRENT</x:v>
      </x:c>
      <x:c r="C44" s="36" t="str">
        <x:v>Sinergia 2</x:v>
      </x:c>
      <x:c r="D44" s="36" t="str">
        <x:v>Toolbox tribal, recursão, sacrifício ou geração de valor.</x:v>
      </x:c>
      <x:c r="E44" s="36" t="str">
        <x:v>B</x:v>
      </x:c>
      <x:c r="F44" s="36" t="str">
        <x:v>Toolbox tribal, recursão, sacrifício ou geração de valor.</x:v>
      </x:c>
    </x:row>
    <x:row r="45" ht="48" customHeight="1">
      <x:c r="A45" s="36" t="str">
        <x:v>Legion Warboss</x:v>
      </x:c>
      <x:c r="B45" s="36" t="str">
        <x:v>CURRENT</x:v>
      </x:c>
      <x:c r="C45" s="36" t="str">
        <x:v>Token</x:v>
      </x:c>
      <x:c r="D45" s="36" t="str">
        <x:v>Produz ou multiplica fichas de Goblin.</x:v>
      </x:c>
      <x:c r="E45" s="36" t="str">
        <x:v>B</x:v>
      </x:c>
      <x:c r="F45" s="36" t="str">
        <x:v>Produz ou multiplica fichas de Goblin.</x:v>
      </x:c>
    </x:row>
    <x:row r="46" ht="48" customHeight="1">
      <x:c r="A46" s="36" t="str">
        <x:v>Marvin, Murderous Mimic</x:v>
      </x:c>
      <x:c r="B46" s="36" t="str">
        <x:v>CURRENT</x:v>
      </x:c>
      <x:c r="C46" s="36" t="str">
        <x:v>Sinergia 1</x:v>
      </x:c>
      <x:c r="D46" s="36" t="str">
        <x:v>Copia habilidades ativadas de outras criaturas; pode copiar a habilidade de Krenko.</x:v>
      </x:c>
      <x:c r="E46" s="36" t="str">
        <x:v>A</x:v>
      </x:c>
      <x:c r="F46" s="36" t="str">
        <x:v>Preservar: copia a habilidade ativada de Krenko e pode ser segunda fábrica de fichas; doença de invocação/ímpeto importam.</x:v>
      </x:c>
    </x:row>
    <x:row r="47" ht="48" customHeight="1">
      <x:c r="A47" s="36" t="str">
        <x:v>Mizzium Mortars</x:v>
      </x:c>
      <x:c r="B47" s="36" t="str">
        <x:v>CURRENT</x:v>
      </x:c>
      <x:c r="C47" s="36" t="str">
        <x:v>Removal</x:v>
      </x:c>
      <x:c r="D47" s="36" t="str">
        <x:v>Interação; avaliar tipos alcançados e custo.</x:v>
      </x:c>
      <x:c r="E47" s="36" t="str">
        <x:v>A</x:v>
      </x:c>
      <x:c r="F47" s="36" t="str">
        <x:v>Interação; avaliar tipos alcançados e custo.</x:v>
      </x:c>
    </x:row>
    <x:row r="48" ht="48" customHeight="1">
      <x:c r="A48" s="36" t="str">
        <x:v>Mountain</x:v>
      </x:c>
      <x:c r="B48" s="36" t="str">
        <x:v>CURRENT</x:v>
      </x:c>
      <x:c r="C48" s="36" t="str">
        <x:v>Ramp</x:v>
      </x:c>
      <x:c r="D48" s="36" t="str">
        <x:v>Aceleração ou conversão de fichas em mana.</x:v>
      </x:c>
      <x:c r="E48" s="36" t="str">
        <x:v>B</x:v>
      </x:c>
      <x:c r="F48" s="36" t="str">
        <x:v>Aceleração ou conversão de fichas em mana.</x:v>
      </x:c>
    </x:row>
    <x:row r="49" ht="48" customHeight="1">
      <x:c r="A49" s="36" t="str">
        <x:v>Muxus, Goblin Grandee</x:v>
      </x:c>
      <x:c r="B49" s="36" t="str">
        <x:v>CURRENT</x:v>
      </x:c>
      <x:c r="C49" s="36" t="str">
        <x:v>Sinergia 2</x:v>
      </x:c>
      <x:c r="D49" s="36" t="str">
        <x:v>Toolbox tribal, recursão, sacrifício ou geração de valor.</x:v>
      </x:c>
      <x:c r="E49" s="36" t="str">
        <x:v>A</x:v>
      </x:c>
      <x:c r="F49" s="36" t="str">
        <x:v>Toolbox tribal, recursão, sacrifício ou geração de valor.</x:v>
      </x:c>
    </x:row>
    <x:row r="50" ht="48" customHeight="1">
      <x:c r="A50" s="36" t="str">
        <x:v>Nevinyrral's Disk</x:v>
      </x:c>
      <x:c r="B50" s="36" t="str">
        <x:v>CURRENT</x:v>
      </x:c>
      <x:c r="C50" s="36" t="str">
        <x:v>Removal</x:v>
      </x:c>
      <x:c r="D50" s="36" t="str">
        <x:v>Interação; avaliar tipos alcançados e custo.</x:v>
      </x:c>
      <x:c r="E50" s="36" t="str">
        <x:v>C</x:v>
      </x:c>
      <x:c r="F50" s="36" t="str">
        <x:v>Reset lento e simétrico que normalmente destrói seus motores.</x:v>
      </x:c>
    </x:row>
    <x:row r="51" ht="48" customHeight="1">
      <x:c r="A51" s="36" t="str">
        <x:v>Opal Palace</x:v>
      </x:c>
      <x:c r="B51" s="36" t="str">
        <x:v>CURRENT</x:v>
      </x:c>
      <x:c r="C51" s="36" t="str">
        <x:v>Ramp</x:v>
      </x:c>
      <x:c r="D51" s="36" t="str">
        <x:v>Aceleração ou conversão de fichas em mana.</x:v>
      </x:c>
      <x:c r="E51" s="36" t="str">
        <x:v>B</x:v>
      </x:c>
      <x:c r="F51" s="36" t="str">
        <x:v>Aceleração ou conversão de fichas em mana.</x:v>
      </x:c>
    </x:row>
    <x:row r="52" ht="48" customHeight="1">
      <x:c r="A52" s="36" t="str">
        <x:v>Outpost Siege</x:v>
      </x:c>
      <x:c r="B52" s="36" t="str">
        <x:v>CURRENT</x:v>
      </x:c>
      <x:c r="C52" s="36" t="str">
        <x:v>Draw</x:v>
      </x:c>
      <x:c r="D52" s="36" t="str">
        <x:v>Compra, seleção ou acesso impulsivo a cartas.</x:v>
      </x:c>
      <x:c r="E52" s="36" t="str">
        <x:v>B</x:v>
      </x:c>
      <x:c r="F52" s="36" t="str">
        <x:v>Compra, seleção ou acesso impulsivo a cartas.</x:v>
      </x:c>
    </x:row>
    <x:row r="53" ht="48" customHeight="1">
      <x:c r="A53" s="36" t="str">
        <x:v>Patchwork Banner</x:v>
      </x:c>
      <x:c r="B53" s="36" t="str">
        <x:v>CURRENT</x:v>
      </x:c>
      <x:c r="C53" s="36" t="str">
        <x:v>Buff + Haste</x:v>
      </x:c>
      <x:c r="D53" s="36" t="str">
        <x:v>Aumenta combate, evasão, ímpeto ou proteção.</x:v>
      </x:c>
      <x:c r="E53" s="36" t="str">
        <x:v>B</x:v>
      </x:c>
      <x:c r="F53" s="36" t="str">
        <x:v>Aumenta combate, evasão, ímpeto ou proteção.</x:v>
      </x:c>
    </x:row>
    <x:row r="54" ht="48" customHeight="1">
      <x:c r="A54" s="36" t="str">
        <x:v>Path of Ancestry</x:v>
      </x:c>
      <x:c r="B54" s="36" t="str">
        <x:v>CURRENT</x:v>
      </x:c>
      <x:c r="C54" s="36" t="str">
        <x:v>Ramp</x:v>
      </x:c>
      <x:c r="D54" s="36" t="str">
        <x:v>Aceleração ou conversão de fichas em mana.</x:v>
      </x:c>
      <x:c r="E54" s="36" t="str">
        <x:v>B</x:v>
      </x:c>
      <x:c r="F54" s="36" t="str">
        <x:v>Aceleração ou conversão de fichas em mana.</x:v>
      </x:c>
    </x:row>
    <x:row r="55" ht="48" customHeight="1">
      <x:c r="A55" s="36" t="str">
        <x:v>Purphoros, Bronze-Blooded</x:v>
      </x:c>
      <x:c r="B55" s="36" t="str">
        <x:v>CURRENT</x:v>
      </x:c>
      <x:c r="C55" s="36" t="str">
        <x:v>Buff + Haste</x:v>
      </x:c>
      <x:c r="D55" s="36" t="str">
        <x:v>Aumenta combate, evasão, ímpeto ou proteção.</x:v>
      </x:c>
      <x:c r="E55" s="36" t="str">
        <x:v>B</x:v>
      </x:c>
      <x:c r="F55" s="36" t="str">
        <x:v>Aumenta combate, evasão, ímpeto ou proteção.</x:v>
      </x:c>
    </x:row>
    <x:row r="56" ht="48" customHeight="1">
      <x:c r="A56" s="36" t="str">
        <x:v>Raid Bombardment</x:v>
      </x:c>
      <x:c r="B56" s="36" t="str">
        <x:v>CURRENT</x:v>
      </x:c>
      <x:c r="C56" s="36" t="str">
        <x:v>Combate + Dano Direto</x:v>
      </x:c>
      <x:c r="D56" s="36" t="str">
        <x:v>Converte a mesa larga em dano ou pressão.</x:v>
      </x:c>
      <x:c r="E56" s="36" t="str">
        <x:v>B</x:v>
      </x:c>
      <x:c r="F56" s="36" t="str">
        <x:v>Converte a mesa larga em dano ou pressão.</x:v>
      </x:c>
    </x:row>
    <x:row r="57" ht="48" customHeight="1">
      <x:c r="A57" s="36" t="str">
        <x:v>Red Sun's Twilight</x:v>
      </x:c>
      <x:c r="B57" s="36" t="str">
        <x:v>CURRENT</x:v>
      </x:c>
      <x:c r="C57" s="36" t="str">
        <x:v>Removal</x:v>
      </x:c>
      <x:c r="D57" s="36" t="str">
        <x:v>Interação; avaliar tipos alcançados e custo.</x:v>
      </x:c>
      <x:c r="E57" s="36" t="str">
        <x:v>B</x:v>
      </x:c>
      <x:c r="F57" s="36" t="str">
        <x:v>Interação; avaliar tipos alcançados e custo.</x:v>
      </x:c>
    </x:row>
    <x:row r="58" ht="48" customHeight="1">
      <x:c r="A58" s="36" t="str">
        <x:v>Relic Robber</x:v>
      </x:c>
      <x:c r="B58" s="36" t="str">
        <x:v>CURRENT</x:v>
      </x:c>
      <x:c r="C58" s="36" t="str">
        <x:v>Combate + Dano Direto</x:v>
      </x:c>
      <x:c r="D58" s="36" t="str">
        <x:v>Converte a mesa larga em dano ou pressão.</x:v>
      </x:c>
      <x:c r="E58" s="36" t="str">
        <x:v>B</x:v>
      </x:c>
      <x:c r="F58" s="36" t="str">
        <x:v>Converte a mesa larga em dano ou pressão.</x:v>
      </x:c>
    </x:row>
    <x:row r="59" ht="48" customHeight="1">
      <x:c r="A59" s="36" t="str">
        <x:v>Rising of the Day</x:v>
      </x:c>
      <x:c r="B59" s="36" t="str">
        <x:v>CURRENT</x:v>
      </x:c>
      <x:c r="C59" s="36" t="str">
        <x:v>Buff + Haste</x:v>
      </x:c>
      <x:c r="D59" s="36" t="str">
        <x:v>Aumenta combate, evasão, ímpeto ou proteção.</x:v>
      </x:c>
      <x:c r="E59" s="36" t="str">
        <x:v>B</x:v>
      </x:c>
      <x:c r="F59" s="36" t="str">
        <x:v>Aumenta combate, evasão, ímpeto ou proteção.</x:v>
      </x:c>
    </x:row>
    <x:row r="60" ht="48" customHeight="1">
      <x:c r="A60" s="36" t="str">
        <x:v>Ruby Medallion</x:v>
      </x:c>
      <x:c r="B60" s="36" t="str">
        <x:v>CURRENT</x:v>
      </x:c>
      <x:c r="C60" s="36" t="str">
        <x:v>Ramp</x:v>
      </x:c>
      <x:c r="D60" s="36" t="str">
        <x:v>Reduz o componente genérico do custo de mágicas vermelhas.</x:v>
      </x:c>
      <x:c r="E60" s="36" t="str">
        <x:v>B</x:v>
      </x:c>
      <x:c r="F60" s="36" t="str">
        <x:v>Reduz o componente genérico do custo de mágicas vermelhas.</x:v>
      </x:c>
    </x:row>
    <x:row r="61" ht="48" customHeight="1">
      <x:c r="A61" s="36" t="str">
        <x:v>Rummaging Goblin</x:v>
      </x:c>
      <x:c r="B61" s="36" t="str">
        <x:v>CURRENT</x:v>
      </x:c>
      <x:c r="C61" s="36" t="str">
        <x:v>Draw</x:v>
      </x:c>
      <x:c r="D61" s="36" t="str">
        <x:v>Compra, seleção ou acesso impulsivo a cartas.</x:v>
      </x:c>
      <x:c r="E61" s="36" t="str">
        <x:v>B</x:v>
      </x:c>
      <x:c r="F61" s="36" t="str">
        <x:v>Compra, seleção ou acesso impulsivo a cartas.</x:v>
      </x:c>
    </x:row>
    <x:row r="62" ht="48" customHeight="1">
      <x:c r="A62" s="36" t="str">
        <x:v>Rundvelt Hordemaster</x:v>
      </x:c>
      <x:c r="B62" s="36" t="str">
        <x:v>CURRENT</x:v>
      </x:c>
      <x:c r="C62" s="36" t="str">
        <x:v>Sinergia 2</x:v>
      </x:c>
      <x:c r="D62" s="36" t="str">
        <x:v>Fonte de vantagem quando outros Goblins que você controla morrem.</x:v>
      </x:c>
      <x:c r="E62" s="36" t="str">
        <x:v>A</x:v>
      </x:c>
      <x:c r="F62" s="36" t="str">
        <x:v>Fonte de vantagem quando outros Goblins que você controla morrem.</x:v>
      </x:c>
    </x:row>
    <x:row r="63" ht="48" customHeight="1">
      <x:c r="A63" s="36" t="str">
        <x:v>Searslicer Goblin</x:v>
      </x:c>
      <x:c r="B63" s="36" t="str">
        <x:v>CURRENT</x:v>
      </x:c>
      <x:c r="C63" s="36" t="str">
        <x:v>Token</x:v>
      </x:c>
      <x:c r="D63" s="36" t="str">
        <x:v>Produz ou multiplica fichas de Goblin.</x:v>
      </x:c>
      <x:c r="E63" s="36" t="str">
        <x:v>B</x:v>
      </x:c>
      <x:c r="F63" s="36" t="str">
        <x:v>Produz ou multiplica fichas de Goblin.</x:v>
      </x:c>
    </x:row>
    <x:row r="64" ht="48" customHeight="1">
      <x:c r="A64" s="36" t="str">
        <x:v>Shared Animosity</x:v>
      </x:c>
      <x:c r="B64" s="36" t="str">
        <x:v>CURRENT</x:v>
      </x:c>
      <x:c r="C64" s="36" t="str">
        <x:v>Combate + Dano Direto</x:v>
      </x:c>
      <x:c r="D64" s="36" t="str">
        <x:v>Converte a mesa larga em dano ou pressão.</x:v>
      </x:c>
      <x:c r="E64" s="36" t="str">
        <x:v>S</x:v>
      </x:c>
      <x:c r="F64" s="36" t="str">
        <x:v>Converte a mesa larga em dano ou pressão.</x:v>
      </x:c>
    </x:row>
    <x:row r="65" ht="48" customHeight="1">
      <x:c r="A65" s="36" t="str">
        <x:v>Soulstone Sanctuary</x:v>
      </x:c>
      <x:c r="B65" s="36" t="str">
        <x:v>CURRENT</x:v>
      </x:c>
      <x:c r="C65" s="36" t="str">
        <x:v>Token</x:v>
      </x:c>
      <x:c r="D65" s="36" t="str">
        <x:v>Produz ou multiplica fichas de Goblin.</x:v>
      </x:c>
      <x:c r="E65" s="36" t="str">
        <x:v>B</x:v>
      </x:c>
      <x:c r="F65" s="36" t="str">
        <x:v>Produz ou multiplica fichas de Goblin.</x:v>
      </x:c>
    </x:row>
    <x:row r="66" ht="48" customHeight="1">
      <x:c r="A66" s="36" t="str">
        <x:v>Sparksmith</x:v>
      </x:c>
      <x:c r="B66" s="36" t="str">
        <x:v>CURRENT</x:v>
      </x:c>
      <x:c r="C66" s="36" t="str">
        <x:v>Removal</x:v>
      </x:c>
      <x:c r="D66" s="36" t="str">
        <x:v>Interação; avaliar tipos alcançados e custo.</x:v>
      </x:c>
      <x:c r="E66" s="36" t="str">
        <x:v>B</x:v>
      </x:c>
      <x:c r="F66" s="36" t="str">
        <x:v>Interação; avaliar tipos alcançados e custo.</x:v>
      </x:c>
    </x:row>
    <x:row r="67" ht="48" customHeight="1">
      <x:c r="A67" s="36" t="str">
        <x:v>Sundering Eruption</x:v>
      </x:c>
      <x:c r="B67" s="36" t="str">
        <x:v>CURRENT</x:v>
      </x:c>
      <x:c r="C67" s="36" t="str">
        <x:v>Removal</x:v>
      </x:c>
      <x:c r="D67" s="36" t="str">
        <x:v>Interação; avaliar tipos alcançados e custo.</x:v>
      </x:c>
      <x:c r="E67" s="36" t="str">
        <x:v>B</x:v>
      </x:c>
      <x:c r="F67" s="36" t="str">
        <x:v>Interação; avaliar tipos alcançados e custo.</x:v>
      </x:c>
    </x:row>
    <x:row r="68" ht="48" customHeight="1">
      <x:c r="A68" s="36" t="str">
        <x:v>Thrill of Possibility</x:v>
      </x:c>
      <x:c r="B68" s="36" t="str">
        <x:v>CURRENT</x:v>
      </x:c>
      <x:c r="C68" s="36" t="str">
        <x:v>Draw</x:v>
      </x:c>
      <x:c r="D68" s="36" t="str">
        <x:v>Compra, seleção ou acesso impulsivo a cartas.</x:v>
      </x:c>
      <x:c r="E68" s="36" t="str">
        <x:v>B</x:v>
      </x:c>
      <x:c r="F68" s="36" t="str">
        <x:v>Compra, seleção ou acesso impulsivo a cartas.</x:v>
      </x:c>
    </x:row>
    <x:row r="69" ht="48" customHeight="1">
      <x:c r="A69" s="36" t="str">
        <x:v>Treasure Nabber</x:v>
      </x:c>
      <x:c r="B69" s="36" t="str">
        <x:v>CURRENT</x:v>
      </x:c>
      <x:c r="C69" s="36" t="str">
        <x:v>Sinergia 2</x:v>
      </x:c>
      <x:c r="D69" s="36" t="str">
        <x:v>Toolbox tribal, recursão, sacrifício ou geração de valor.</x:v>
      </x:c>
      <x:c r="E69" s="36" t="str">
        <x:v>B</x:v>
      </x:c>
      <x:c r="F69" s="36" t="str">
        <x:v>Toolbox tribal, recursão, sacrifício ou geração de valor.</x:v>
      </x:c>
    </x:row>
    <x:row r="70" ht="48" customHeight="1">
      <x:c r="A70" s="36" t="str">
        <x:v>Urabrask the Hidden</x:v>
      </x:c>
      <x:c r="B70" s="36" t="str">
        <x:v>CURRENT</x:v>
      </x:c>
      <x:c r="C70" s="36" t="str">
        <x:v>Buff + Haste</x:v>
      </x:c>
      <x:c r="D70" s="36" t="str">
        <x:v>Aumenta combate, evasão, ímpeto ou proteção.</x:v>
      </x:c>
      <x:c r="E70" s="36" t="str">
        <x:v>B</x:v>
      </x:c>
      <x:c r="F70" s="36" t="str">
        <x:v>Aumenta combate, evasão, ímpeto ou proteção.</x:v>
      </x:c>
    </x:row>
    <x:row r="71" ht="48" customHeight="1">
      <x:c r="A71" s="36" t="str">
        <x:v>Wand of Wonder</x:v>
      </x:c>
      <x:c r="B71" s="36" t="str">
        <x:v>CURRENT</x:v>
      </x:c>
      <x:c r="C71" s="36" t="str">
        <x:v>Draw</x:v>
      </x:c>
      <x:c r="D71" s="36" t="str">
        <x:v>Compra, seleção ou acesso impulsivo a cartas.</x:v>
      </x:c>
      <x:c r="E71" s="36" t="str">
        <x:v>B</x:v>
      </x:c>
      <x:c r="F71" s="36" t="str">
        <x:v>Compra, seleção ou acesso impulsivo a cartas.</x:v>
      </x:c>
    </x:row>
    <x:row r="72" ht="48" customHeight="1">
      <x:c r="A72" s="36" t="str">
        <x:v>Wheel of Fate</x:v>
      </x:c>
      <x:c r="B72" s="36" t="str">
        <x:v>CURRENT</x:v>
      </x:c>
      <x:c r="C72" s="36" t="str">
        <x:v>Draw</x:v>
      </x:c>
      <x:c r="D72" s="36" t="str">
        <x:v>Compra, seleção ou acesso impulsivo a cartas.</x:v>
      </x:c>
      <x:c r="E72" s="36" t="str">
        <x:v>C</x:v>
      </x:c>
      <x:c r="F72" s="36" t="str">
        <x:v>Compra global atrasada por suspend, reabastece oponentes.</x:v>
      </x:c>
    </x:row>
    <x:row r="73" ht="48" customHeight="1">
      <x:c r="A73" s="36" t="str">
        <x:v>Worldfire</x:v>
      </x:c>
      <x:c r="B73" s="36" t="str">
        <x:v>CURRENT</x:v>
      </x:c>
      <x:c r="C73" s="36" t="str">
        <x:v>Sinergia 2</x:v>
      </x:c>
      <x:c r="D73" s="36" t="str">
        <x:v>Corte estratégico, não por ilegalidade: redefine o estado do jogo e não aproveita o plano de enxame.</x:v>
      </x:c>
      <x:c r="E73" s="36" t="str">
        <x:v>C</x:v>
      </x:c>
      <x:c r="F73" s="36" t="str">
        <x:v>A carta é cortada pela inadequação ao plano, não por alegação de banimento.</x:v>
      </x:c>
    </x:row>
    <x:row r="74" ht="48" customHeight="1">
      <x:c r="A74" s="36" t="str">
        <x:v>You See a Pair of Goblins</x:v>
      </x:c>
      <x:c r="B74" s="36" t="str">
        <x:v>CURRENT</x:v>
      </x:c>
      <x:c r="C74" s="36" t="str">
        <x:v>Sinergia 2</x:v>
      </x:c>
      <x:c r="D74" s="36" t="str">
        <x:v>Toolbox tribal, recursão, sacrifício ou geração de valor.</x:v>
      </x:c>
      <x:c r="E74" s="36" t="str">
        <x:v>B</x:v>
      </x:c>
      <x:c r="F74" s="36" t="str">
        <x:v>Toolbox tribal, recursão, sacrifício ou geração de valor.</x:v>
      </x:c>
    </x:row>
    <x:row r="75" ht="48" customHeight="1">
      <x:c r="A75" s="36" t="str">
        <x:v>Sol Ring</x:v>
      </x:c>
      <x:c r="B75" s="36" t="str">
        <x:v>PROPOSED V2</x:v>
      </x:c>
      <x:c r="C75" s="36" t="str">
        <x:v>Ramp</x:v>
      </x:c>
      <x:c r="D75" s="36" t="str">
        <x:v>Aceleração eficiente que estava ausente da lista original de Krenko.</x:v>
      </x:c>
      <x:c r="E75" s="36" t="str">
        <x:v>S</x:v>
      </x:c>
      <x:c r="F75" s="36" t="str">
        <x:v>Aceleração eficiente que estava ausente da lista original. Risco: Não é sinergia tribal por si só; aumenta o poder das mãos iniciais.</x:v>
      </x:c>
    </x:row>
    <x:row r="76" ht="48" customHeight="1">
      <x:c r="A76" s="36" t="str">
        <x:v>Skullclamp</x:v>
      </x:c>
      <x:c r="B76" s="36" t="str">
        <x:v>PROPOSED V2</x:v>
      </x:c>
      <x:c r="C76" s="36" t="str">
        <x:v>Draw</x:v>
      </x:c>
      <x:c r="D76" s="36" t="str">
        <x:v>Motor de compra com fichas pequenas; sac outlets resolvem situações em que buffs mantêm a ficha viva.</x:v>
      </x:c>
      <x:c r="E76" s="36" t="str">
        <x:v>S</x:v>
      </x:c>
      <x:c r="F76" s="36" t="str">
        <x:v>Converte Goblins pequenos em vantagem de cartas, sobretudo com sac outlets. Risco: Anthems podem manter fichas vivas; sac outlets ajudam a controlar isso.</x:v>
      </x:c>
    </x:row>
    <x:row r="77" ht="48" customHeight="1">
      <x:c r="A77" s="36" t="str">
        <x:v>Idol of Oblivion</x:v>
      </x:c>
      <x:c r="B77" s="36" t="str">
        <x:v>PROPOSED V2</x:v>
      </x:c>
      <x:c r="C77" s="36" t="str">
        <x:v>Draw</x:v>
      </x:c>
      <x:c r="D77" s="36" t="str">
        <x:v>Compra uma vez por turno se você criou uma ficha naquele turno.</x:v>
      </x:c>
      <x:c r="E77" s="36" t="str">
        <x:v>A</x:v>
      </x:c>
      <x:c r="F77" s="36" t="str">
        <x:v>Compra recorrente se você criou ficha no turno; Krenko habilita o gatilho naturalmente. Risco: Compra no máximo uma vez por turno e precisa de criação de ficha.</x:v>
      </x:c>
    </x:row>
    <x:row r="78" ht="48" customHeight="1">
      <x:c r="A78" s="36" t="str">
        <x:v>Slate of Ancestry</x:v>
      </x:c>
      <x:c r="B78" s="36" t="str">
        <x:v>PROPOSED V2</x:v>
      </x:c>
      <x:c r="C78" s="36" t="str">
        <x:v>Draw</x:v>
      </x:c>
      <x:c r="D78" s="36" t="str">
        <x:v>Compra um número de cartas proporcional às criaturas, descartando a mão como custo.</x:v>
      </x:c>
      <x:c r="E78" s="36" t="str">
        <x:v>A</x:v>
      </x:c>
      <x:c r="F78" s="36" t="str">
        <x:v>Pode repor a mão com muitas cartas quando você já tem um exército. Risco: Custa quatro manas para baixar e descarta a mão como parte da ativação.</x:v>
      </x:c>
    </x:row>
    <x:row r="79" ht="48" customHeight="1">
      <x:c r="A79" s="36" t="str">
        <x:v>Skirk Prospector</x:v>
      </x:c>
      <x:c r="B79" s="36" t="str">
        <x:v>PROPOSED V2</x:v>
      </x:c>
      <x:c r="C79" s="36" t="str">
        <x:v>Ramp</x:v>
      </x:c>
      <x:c r="D79" s="36" t="str">
        <x:v>Sacrifica Goblins para gerar mana vermelha, facilitando turnos explosivos.</x:v>
      </x:c>
      <x:c r="E79" s="36" t="str">
        <x:v>A</x:v>
      </x:c>
      <x:c r="F79" s="36" t="str">
        <x:v>Transforma Goblins em mana vermelha e permite turnos explosivos. Risco: Consome presença de mesa e compete com outros usos de sacrifício.</x:v>
      </x:c>
    </x:row>
    <x:row r="80" ht="48" customHeight="1">
      <x:c r="A80" s="36" t="str">
        <x:v>Goblin Trashmaster</x:v>
      </x:c>
      <x:c r="B80" s="36" t="str">
        <x:v>PROPOSED V2</x:v>
      </x:c>
      <x:c r="C80" s="36" t="str">
        <x:v>Removal</x:v>
      </x:c>
      <x:c r="D80" s="36" t="str">
        <x:v>Lord tribal e destruição repetível de artefatos ao sacrificar outro Goblin.</x:v>
      </x:c>
      <x:c r="E80" s="36" t="str">
        <x:v>A</x:v>
      </x:c>
      <x:c r="F80" s="36" t="str">
        <x:v>Lord tribal que também destrói artefatos de forma repetível sacrificando Goblins. Risco: Só responde a artefatos e exige outro Goblin para sacrificar.</x:v>
      </x:c>
    </x:row>
    <x:row r="81" ht="48" customHeight="1">
      <x:c r="A81" s="36" t="str">
        <x:v>Lightning Greaves</x:v>
      </x:c>
      <x:c r="B81" s="36" t="str">
        <x:v>PROPOSED V2</x:v>
      </x:c>
      <x:c r="C81" s="36" t="str">
        <x:v>Buff + Haste</x:v>
      </x:c>
      <x:c r="D81" s="36" t="str">
        <x:v>Aumenta combate, evasão, ímpeto ou proteção.</x:v>
      </x:c>
      <x:c r="E81" s="36" t="str">
        <x:v>B</x:v>
      </x:c>
      <x:c r="F81" s="36" t="str">
        <x:v>Protege Krenko e dá ímpeto para ativar imediatamente. Risco: Shroud pode atrapalhar equipamentos ou efeitos direcionados próprios.</x:v>
      </x:c>
    </x:row>
    <x:row r="82" ht="48" customHeight="1">
      <x:c r="A82" s="36" t="str">
        <x:v>Thousand-Year Elixir</x:v>
      </x:c>
      <x:c r="B82" s="36" t="str">
        <x:v>PROPOSED V2</x:v>
      </x:c>
      <x:c r="C82" s="36" t="str">
        <x:v>Sinergia 1</x:v>
      </x:c>
      <x:c r="D82" s="36" t="str">
        <x:v>Permite ativar criaturas como se tivessem ímpeto e pode desvirar uma criatura.</x:v>
      </x:c>
      <x:c r="E82" s="36" t="str">
        <x:v>S</x:v>
      </x:c>
      <x:c r="F82" s="36" t="str">
        <x:v>Permite ativar Krenko como se tivesse ímpeto e pode desvirar uma criatura. Risco: Custa três manas e a habilidade de desvirar também consome mana e o próprio artefato.</x:v>
      </x:c>
    </x:row>
    <x:row r="83" ht="48" customHeight="1">
      <x:c r="A83" s="36" t="str">
        <x:v>Jeska's Will</x:v>
      </x:c>
      <x:c r="B83" s="36" t="str">
        <x:v>PROPOSED V2</x:v>
      </x:c>
      <x:c r="C83" s="36" t="str">
        <x:v>Ramp</x:v>
      </x:c>
      <x:c r="D83" s="36" t="str">
        <x:v>Mana explosiva e acesso impulsivo a cartas; com comandante em campo, pode usar os dois modos.</x:v>
      </x:c>
      <x:c r="E83" s="36" t="str">
        <x:v>A</x:v>
      </x:c>
      <x:c r="F83" s="36" t="str">
        <x:v>Mana explosiva mais compra impulsiva; teto alto com comandante em campo. Risco: O acesso às cartas é temporário e precisa de mana disponível para aproveitá-lo.</x:v>
      </x:c>
    </x:row>
    <x:row r="84" ht="48" customHeight="1">
      <x:c r="A84" s="36" t="str">
        <x:v>Blasphemous Act</x:v>
      </x:c>
      <x:c r="B84" s="36" t="str">
        <x:v>PROPOSED V2</x:v>
      </x:c>
      <x:c r="C84" s="36" t="str">
        <x:v>Removal</x:v>
      </x:c>
      <x:c r="D84" s="36" t="str">
        <x:v>Reset de emergência; normalmente simétrico, mas Monument pode proteger suas criaturas do dano.</x:v>
      </x:c>
      <x:c r="E84" s="36" t="str">
        <x:v>A</x:v>
      </x:c>
      <x:c r="F84" s="36" t="str">
        <x:v>Limpeza de emergência eficiente; interage com Brash Taunter e pode ser assimétrica com Eldrazi Monument. Risco: Normalmente também mata seus Goblins se eles não tiverem indestrutível.</x:v>
      </x:c>
    </x:row>
    <x:row r="85" ht="48" customHeight="1">
      <x:c r="A85" s="36" t="str">
        <x:v>Chaos Warp</x:v>
      </x:c>
      <x:c r="B85" s="36" t="str">
        <x:v>PROPOSED V2</x:v>
      </x:c>
      <x:c r="C85" s="36" t="str">
        <x:v>Removal</x:v>
      </x:c>
      <x:c r="D85" s="36" t="str">
        <x:v>Interação; avaliar tipos alcançados e custo.</x:v>
      </x:c>
      <x:c r="E85" s="36" t="str">
        <x:v>A</x:v>
      </x:c>
      <x:c r="F85" s="36" t="str">
        <x:v>Resposta flexível para permanentes problemáticas em mono-red. Risco: O oponente pode revelar uma permanente substituta; remoção não é garantida sem custo.</x:v>
      </x:c>
    </x:row>
    <x:row r="86" ht="48" customHeight="1">
      <x:c r="A86" s="36" t="str">
        <x:v>Impact Tremors</x:v>
      </x:c>
      <x:c r="B86" s="36" t="str">
        <x:v>PROPOSED V2</x:v>
      </x:c>
      <x:c r="C86" s="36" t="str">
        <x:v>Combate + Dano Direto</x:v>
      </x:c>
      <x:c r="D86" s="36" t="str">
        <x:v>Transforma entradas de fichas em dano a cada oponente.</x:v>
      </x:c>
      <x:c r="E86" s="36" t="str">
        <x:v>A</x:v>
      </x:c>
      <x:c r="F86" s="36" t="str">
        <x:v>Transforma a criação de cada ficha por Krenko em dano a todos os oponentes. Risco: Precisa permanecer em campo e não afeta criaturas que já estavam lá.</x:v>
      </x:c>
    </x:row>
    <x:row r="87" ht="48" customHeight="1">
      <x:c r="A87" s="36" t="str">
        <x:v>Vandalblast</x:v>
      </x:c>
      <x:c r="B87" s="36" t="str">
        <x:v>PROPOSED V2</x:v>
      </x:c>
      <x:c r="C87" s="36" t="str">
        <x:v>Removal</x:v>
      </x:c>
      <x:c r="D87" s="36" t="str">
        <x:v>Sobrecarga limpa artefatos dos oponentes sem atingir os seus.</x:v>
      </x:c>
      <x:c r="E87" s="36" t="str">
        <x:v>A</x:v>
      </x:c>
      <x:c r="F87" s="36" t="str">
        <x:v>Sobrecarga destrói artefatos dos oponentes sem afetar os seus. Risco: Não resolve encantamentos nem outros tipos de permanente.</x:v>
      </x:c>
    </x:row>
    <x:row r="88" ht="48" customHeight="1">
      <x:c r="A88" s="36" t="str">
        <x:v>War Room</x:v>
      </x:c>
      <x:c r="B88" s="36" t="str">
        <x:v>PROPOSED V2</x:v>
      </x:c>
      <x:c r="C88" s="36" t="str">
        <x:v>Draw</x:v>
      </x:c>
      <x:c r="D88" s="36" t="str">
        <x:v>Terreno incolor que oferece compra repetível mediante mana e vida.</x:v>
      </x:c>
      <x:c r="E88" s="36" t="str">
        <x:v>B</x:v>
      </x:c>
      <x:c r="F88" s="36" t="str">
        <x:v>Terreno que oferece compra recorrente quando há mana e vida disponíveis. Risco: Produz mana incolor e sua ativação custa mana e vida.</x:v>
      </x:c>
    </x:row>
    <x:row r="89" ht="48" customHeight="1">
      <x:c r="A89" s="36" t="str">
        <x:v>Wild Magic Surge</x:v>
      </x:c>
      <x:c r="B89" s="36" t="str">
        <x:v>PROPOSED V2</x:v>
      </x:c>
      <x:c r="C89" s="36" t="str">
        <x:v>Removal</x:v>
      </x:c>
      <x:c r="D89" s="36" t="str">
        <x:v>Resposta instantânea a permanente não terreno; o oponente pode receber uma permanente substituta.</x:v>
      </x:c>
      <x:c r="E89" s="36" t="str">
        <x:v>A</x:v>
      </x:c>
      <x:c r="F89" s="36" t="str">
        <x:v>Resposta instantânea a quase qualquer permanente não terreno em mono-red. Risco: O oponente recebe uma permanente aleatória como substituição; não atinge terrenos.</x:v>
      </x:c>
    </x:row>
    <x:row r="90" ht="48" customHeight="1"/>
    <x:row r="91" ht="48" customHeight="1"/>
    <x:row r="92" ht="48" customHeight="1"/>
    <x:row r="93" ht="48" customHeight="1"/>
    <x:row r="94" ht="48" customHeight="1"/>
    <x:row r="95" ht="48" customHeight="1"/>
    <x:row r="96" ht="48" customHeight="1"/>
    <x:row r="97" ht="48" customHeight="1"/>
    <x:row r="98" ht="48" customHeight="1"/>
    <x:row r="99" ht="48" customHeight="1"/>
    <x:row r="100" ht="48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6" hidden="0" customWidth="1"/>
    <x:col min="3" max="3" width="16" hidden="0" customWidth="1"/>
    <x:col min="4" max="4" width="18" hidden="0" customWidth="1"/>
    <x:col min="5" max="5" width="18" hidden="0" customWidth="1"/>
    <x:col min="6" max="6" width="58" hidden="0" customWidth="1"/>
  </x:cols>
  <x:sheetData>
    <x:row r="1" ht="32" customHeight="1">
      <x:c r="A1" s="71" t="str">
        <x:v>Grupo</x:v>
      </x:c>
      <x:c r="B1" s="71" t="str">
        <x:v>Finalidade</x:v>
      </x:c>
      <x:c r="C1" s="71" t="str">
        <x:v>Qtd. CURRENT</x:v>
      </x:c>
      <x:c r="D1" s="71" t="str">
        <x:v>Qtd. PROPOSED V2</x:v>
      </x:c>
      <x:c r="E1" s="71" t="str">
        <x:v>Qtd. PROPOSED V3</x:v>
      </x:c>
      <x:c r="F1" s="71" t="str">
        <x:v>Diagnóstico / teste</x:v>
      </x:c>
      <x:c r="G1" s="24"/>
      <x:c r="H1" s="24"/>
      <x:c r="I1" s="24"/>
      <x:c r="J1" s="24"/>
      <x:c r="K1" s="24"/>
      <x:c r="L1" s="24"/>
      <x:c r="M1" s="24"/>
    </x:row>
    <x:row r="2" ht="50" customHeight="1">
      <x:c r="A2" s="72" t="str">
        <x:v>Ramp</x:v>
      </x:c>
      <x:c r="B2" s="72" t="str">
        <x:v>Pedras, rituais, Prospector e terrenos que escalam mana.</x:v>
      </x:c>
      <x:c r="C2" s="73" t="n">
        <x:f>SUMIFS('Current List'!$A$2:$A$101,'Current List'!$D$2:$D$101,$A2,'Current List'!$E$2:$E$101,"&lt;&gt;Sim — terreno",'Current List'!$F$2:$F$101,"&lt;&gt;COMMANDER")</x:f>
        <x:v>7</x:v>
      </x:c>
      <x:c r="D2" s="73" t="n">
        <x:f>SUMIFS('Proposed List'!$A$2:$A$101,'Proposed List'!$D$2:$D$101,$A2,'Proposed List'!$E$2:$E$101,"&lt;&gt;Sim — terreno",'Proposed List'!$F$2:$F$101,"&lt;&gt;COMMANDER")</x:f>
        <x:v>8</x:v>
      </x:c>
      <x:c r="E2" s="73" t="n">
        <x:f>SUMIFS('Proposed V3'!$A$2:$A$101,'Proposed V3'!$D$2:$D$101,$A2,'Proposed V3'!$E$2:$E$101,"&lt;&gt;Sim — terreno",'Proposed V3'!$F$2:$F$101,"&lt;&gt;COMMANDER")</x:f>
        <x:v>9</x:v>
      </x:c>
      <x:c r="F2" s="72" t="str">
        <x:v>Ativar Krenko cedo e ter mana para capitalizar a mesa criada.</x:v>
      </x:c>
    </x:row>
    <x:row r="3" ht="50" customHeight="1">
      <x:c r="A3" s="72" t="str">
        <x:v>Draw</x:v>
      </x:c>
      <x:c r="B3" s="72" t="str">
        <x:v>Compra recorrente, reposição e seleção/tutor de topo.</x:v>
      </x:c>
      <x:c r="C3" s="73" t="n">
        <x:f>SUMIFS('Current List'!$A$2:$A$101,'Current List'!$D$2:$D$101,$A3,'Current List'!$E$2:$E$101,"&lt;&gt;Sim — terreno",'Current List'!$F$2:$F$101,"&lt;&gt;COMMANDER")</x:f>
        <x:v>7</x:v>
      </x:c>
      <x:c r="D3" s="73" t="n">
        <x:f>SUMIFS('Proposed List'!$A$2:$A$101,'Proposed List'!$D$2:$D$101,$A3,'Proposed List'!$E$2:$E$101,"&lt;&gt;Sim — terreno",'Proposed List'!$F$2:$F$101,"&lt;&gt;COMMANDER")</x:f>
        <x:v>8</x:v>
      </x:c>
      <x:c r="E3" s="73" t="n">
        <x:f>SUMIFS('Proposed V3'!$A$2:$A$101,'Proposed V3'!$D$2:$D$101,$A3,'Proposed V3'!$E$2:$E$101,"&lt;&gt;Sim — terreno",'Proposed V3'!$F$2:$F$101,"&lt;&gt;COMMANDER")</x:f>
        <x:v>9</x:v>
      </x:c>
      <x:c r="F3" s="72" t="str">
        <x:v>O deck precisa recuperar cartas sem depender de Krenko sobreviver.</x:v>
      </x:c>
    </x:row>
    <x:row r="4" ht="50" customHeight="1">
      <x:c r="A4" s="72" t="str">
        <x:v>Removal</x:v>
      </x:c>
      <x:c r="B4" s="72" t="str">
        <x:v>Remoções, dano pontual, respostas a artefatos e limpezas.</x:v>
      </x:c>
      <x:c r="C4" s="73" t="n">
        <x:f>SUMIFS('Current List'!$A$2:$A$101,'Current List'!$D$2:$D$101,$A4,'Current List'!$E$2:$E$101,"&lt;&gt;Sim — terreno",'Current List'!$F$2:$F$101,"&lt;&gt;COMMANDER")</x:f>
        <x:v>7</x:v>
      </x:c>
      <x:c r="D4" s="73" t="n">
        <x:f>SUMIFS('Proposed List'!$A$2:$A$101,'Proposed List'!$D$2:$D$101,$A4,'Proposed List'!$E$2:$E$101,"&lt;&gt;Sim — terreno",'Proposed List'!$F$2:$F$101,"&lt;&gt;COMMANDER")</x:f>
        <x:v>9</x:v>
      </x:c>
      <x:c r="E4" s="73" t="n">
        <x:f>SUMIFS('Proposed V3'!$A$2:$A$101,'Proposed V3'!$D$2:$D$101,$A4,'Proposed V3'!$E$2:$E$101,"&lt;&gt;Sim — terreno",'Proposed V3'!$F$2:$F$101,"&lt;&gt;COMMANDER")</x:f>
        <x:v>8</x:v>
      </x:c>
      <x:c r="F4" s="72" t="str">
        <x:v>Manter respostas de cobertura variada; aceitar que mono-red tem lacunas contra encantamentos.</x:v>
      </x:c>
    </x:row>
    <x:row r="5" ht="50" customHeight="1">
      <x:c r="A5" s="72" t="str">
        <x:v>Token</x:v>
      </x:c>
      <x:c r="B5" s="72" t="str">
        <x:v>Produção e multiplicação de fichas Goblin.</x:v>
      </x:c>
      <x:c r="C5" s="73" t="n">
        <x:f>SUMIFS('Current List'!$A$2:$A$101,'Current List'!$D$2:$D$101,$A5,'Current List'!$E$2:$E$101,"&lt;&gt;Sim — terreno",'Current List'!$F$2:$F$101,"&lt;&gt;COMMANDER")</x:f>
        <x:v>7</x:v>
      </x:c>
      <x:c r="D5" s="73" t="n">
        <x:f>SUMIFS('Proposed List'!$A$2:$A$101,'Proposed List'!$D$2:$D$101,$A5,'Proposed List'!$E$2:$E$101,"&lt;&gt;Sim — terreno",'Proposed List'!$F$2:$F$101,"&lt;&gt;COMMANDER")</x:f>
        <x:v>7</x:v>
      </x:c>
      <x:c r="E5" s="73" t="n">
        <x:f>SUMIFS('Proposed V3'!$A$2:$A$101,'Proposed V3'!$D$2:$D$101,$A5,'Proposed V3'!$E$2:$E$101,"&lt;&gt;Sim — terreno",'Proposed V3'!$F$2:$F$101,"&lt;&gt;COMMANDER")</x:f>
        <x:v>6</x:v>
      </x:c>
      <x:c r="F5" s="72" t="str">
        <x:v>A produção exponencial é ótima, mas requer proteção e meios de converter fichas.</x:v>
      </x:c>
    </x:row>
    <x:row r="6" ht="50" customHeight="1">
      <x:c r="A6" s="72" t="str">
        <x:v>Combate + Dano Direto</x:v>
      </x:c>
      <x:c r="B6" s="72" t="str">
        <x:v>Go-wide, dano de sacrifício e alcance fora do combate.</x:v>
      </x:c>
      <x:c r="C6" s="73" t="n">
        <x:f>SUMIFS('Current List'!$A$2:$A$101,'Current List'!$D$2:$D$101,$A6,'Current List'!$E$2:$E$101,"&lt;&gt;Sim — terreno",'Current List'!$F$2:$F$101,"&lt;&gt;COMMANDER")</x:f>
        <x:v>9</x:v>
      </x:c>
      <x:c r="D6" s="73" t="n">
        <x:f>SUMIFS('Proposed List'!$A$2:$A$101,'Proposed List'!$D$2:$D$101,$A6,'Proposed List'!$E$2:$E$101,"&lt;&gt;Sim — terreno",'Proposed List'!$F$2:$F$101,"&lt;&gt;COMMANDER")</x:f>
        <x:v>9</x:v>
      </x:c>
      <x:c r="E6" s="73" t="n">
        <x:f>SUMIFS('Proposed V3'!$A$2:$A$101,'Proposed V3'!$D$2:$D$101,$A6,'Proposed V3'!$E$2:$E$101,"&lt;&gt;Sim — terreno",'Proposed V3'!$F$2:$F$101,"&lt;&gt;COMMANDER")</x:f>
        <x:v>9</x:v>
      </x:c>
      <x:c r="F6" s="72" t="str">
        <x:v>Manter linhas de letal quando bloqueios ou wipes impedem ataque normal.</x:v>
      </x:c>
    </x:row>
    <x:row r="7" ht="50" customHeight="1">
      <x:c r="A7" s="72" t="str">
        <x:v>Buff + Haste</x:v>
      </x:c>
      <x:c r="B7" s="72" t="str">
        <x:v>Lordes, bônus de combate, ímpeto e proteção para atacar/ativar.</x:v>
      </x:c>
      <x:c r="C7" s="73" t="n">
        <x:f>SUMIFS('Current List'!$A$2:$A$101,'Current List'!$D$2:$D$101,$A7,'Current List'!$E$2:$E$101,"&lt;&gt;Sim — terreno",'Current List'!$F$2:$F$101,"&lt;&gt;COMMANDER")</x:f>
        <x:v>14</x:v>
      </x:c>
      <x:c r="D7" s="73" t="n">
        <x:f>SUMIFS('Proposed List'!$A$2:$A$101,'Proposed List'!$D$2:$D$101,$A7,'Proposed List'!$E$2:$E$101,"&lt;&gt;Sim — terreno",'Proposed List'!$F$2:$F$101,"&lt;&gt;COMMANDER")</x:f>
        <x:v>12</x:v>
      </x:c>
      <x:c r="E7" s="73" t="n">
        <x:f>SUMIFS('Proposed V3'!$A$2:$A$101,'Proposed V3'!$D$2:$D$101,$A7,'Proposed V3'!$E$2:$E$101,"&lt;&gt;Sim — terreno",'Proposed V3'!$F$2:$F$101,"&lt;&gt;COMMANDER")</x:f>
        <x:v>12</x:v>
      </x:c>
      <x:c r="F7" s="72" t="str">
        <x:v>Haste facilita ativar Krenko no mesmo turno e evita exposição por um ciclo.</x:v>
      </x:c>
    </x:row>
    <x:row r="8" ht="50" customHeight="1">
      <x:c r="A8" s="72" t="str">
        <x:v>Sinergia 1</x:v>
      </x:c>
      <x:c r="B8" s="72" t="str">
        <x:v>Proteção, ativação/desvirar e motores de Krenko/Marvin.</x:v>
      </x:c>
      <x:c r="C8" s="73" t="n">
        <x:f>SUMIFS('Current List'!$A$2:$A$101,'Current List'!$D$2:$D$101,$A8,'Current List'!$E$2:$E$101,"&lt;&gt;Sim — terreno",'Current List'!$F$2:$F$101,"&lt;&gt;COMMANDER")</x:f>
        <x:v>1</x:v>
      </x:c>
      <x:c r="D8" s="73" t="n">
        <x:f>SUMIFS('Proposed List'!$A$2:$A$101,'Proposed List'!$D$2:$D$101,$A8,'Proposed List'!$E$2:$E$101,"&lt;&gt;Sim — terreno",'Proposed List'!$F$2:$F$101,"&lt;&gt;COMMANDER")</x:f>
        <x:v>2</x:v>
      </x:c>
      <x:c r="E8" s="73" t="n">
        <x:f>SUMIFS('Proposed V3'!$A$2:$A$101,'Proposed V3'!$D$2:$D$101,$A8,'Proposed V3'!$E$2:$E$101,"&lt;&gt;Sim — terreno",'Proposed V3'!$F$2:$F$101,"&lt;&gt;COMMANDER")</x:f>
        <x:v>3</x:v>
      </x:c>
      <x:c r="F8" s="72" t="str">
        <x:v>Goblin Chirurgeon pode salvar Krenko de destruição sacrificando outro Goblin; não para exile/bounce.</x:v>
      </x:c>
    </x:row>
    <x:row r="9" ht="50" customHeight="1">
      <x:c r="A9" s="72" t="str">
        <x:v>Sinergia 2</x:v>
      </x:c>
      <x:c r="B9" s="72" t="str">
        <x:v>Toolbox tribal, sacrifício, recursão e valor de artefatos.</x:v>
      </x:c>
      <x:c r="C9" s="73" t="n">
        <x:f>SUMIFS('Current List'!$A$2:$A$101,'Current List'!$D$2:$D$101,$A9,'Current List'!$E$2:$E$101,"&lt;&gt;Sim — terreno",'Current List'!$F$2:$F$101,"&lt;&gt;COMMANDER")</x:f>
        <x:v>15</x:v>
      </x:c>
      <x:c r="D9" s="73" t="n">
        <x:f>SUMIFS('Proposed List'!$A$2:$A$101,'Proposed List'!$D$2:$D$101,$A9,'Proposed List'!$E$2:$E$101,"&lt;&gt;Sim — terreno",'Proposed List'!$F$2:$F$101,"&lt;&gt;COMMANDER")</x:f>
        <x:v>11</x:v>
      </x:c>
      <x:c r="E9" s="73" t="n">
        <x:f>SUMIFS('Proposed V3'!$A$2:$A$101,'Proposed V3'!$D$2:$D$101,$A9,'Proposed V3'!$E$2:$E$101,"&lt;&gt;Sim — terreno",'Proposed V3'!$F$2:$F$101,"&lt;&gt;COMMANDER")</x:f>
        <x:v>9</x:v>
      </x:c>
      <x:c r="F9" s="72" t="str">
        <x:v>Recruiter/Ringleader/Muxus devem ter densidade tribal suficiente para gerar valor.</x:v>
      </x:c>
    </x:row>
    <x:row r="10" ht="50" customHeight="1">
      <x:c r="A10"/>
      <x:c r="B10"/>
      <x:c r="C10"/>
      <x:c r="D10"/>
      <x:c r="E10"/>
      <x:c r="F10"/>
    </x:row>
    <x:row r="11" ht="38" customHeight="1">
      <x:c r="A11" s="12" t="str">
        <x:v>Contagem funcional exclui terrenos físicos e comandante. Cada carta ocupa apenas um grupo principal; MDFCs contam como uma carta e são avaliadas pela face de mágica. Os números servem como diagnóstico, não como quotas rígidas.</x:v>
      </x:c>
      <x:c r="B11" s="12"/>
      <x:c r="C11" s="12"/>
      <x:c r="D11" s="12"/>
      <x:c r="E11" s="12"/>
      <x:c r="F11" s="24"/>
    </x:row>
    <x:row r="12" ht="50" customHeight="1">
      <x:c r="A12"/>
      <x:c r="B12"/>
      <x:c r="C12"/>
      <x:c r="D12"/>
      <x:c r="E12"/>
      <x:c r="F12"/>
    </x:row>
    <x:row r="13" ht="50" customHeight="1">
      <x:c r="A13"/>
      <x:c r="B13"/>
      <x:c r="C13"/>
      <x:c r="D13"/>
      <x:c r="E13"/>
      <x:c r="F13"/>
    </x:row>
    <x:row r="14" ht="50" customHeight="1">
      <x:c r="A14"/>
      <x:c r="B14"/>
      <x:c r="C14"/>
      <x:c r="D14"/>
      <x:c r="E14"/>
      <x:c r="F14"/>
    </x:row>
    <x:row r="15" ht="50" customHeight="1">
      <x:c r="A15"/>
      <x:c r="B15"/>
      <x:c r="C15"/>
      <x:c r="D15"/>
      <x:c r="E15"/>
      <x:c r="F15"/>
    </x:row>
    <x:row r="16" ht="50" customHeight="1"/>
    <x:row r="17" ht="50" customHeight="1"/>
    <x:row r="18" ht="50" customHeight="1"/>
    <x:row r="19" ht="50" customHeight="1"/>
    <x:row r="20" ht="50" customHeight="1"/>
  </x:sheetData>
  <x:mergeCells>
    <x:mergeCell ref="A11:E11"/>
    <x:mergeCell ref="A11:F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19" hidden="0" customWidth="1"/>
    <x:col min="3" max="3" width="19" hidden="0" customWidth="1"/>
    <x:col min="4" max="4" width="19" hidden="0" customWidth="1"/>
    <x:col min="5" max="5" width="75" hidden="0" customWidth="1"/>
  </x:cols>
  <x:sheetData>
    <x:row r="1" ht="32" customHeight="1">
      <x:c r="A1" s="71" t="str">
        <x:v>Item de auditoria</x:v>
      </x:c>
      <x:c r="B1" s="71" t="str">
        <x:v>CURRENT</x:v>
      </x:c>
      <x:c r="C1" s="71" t="str">
        <x:v>PROPOSED V2</x:v>
      </x:c>
      <x:c r="D1" s="71" t="str">
        <x:v>PROPOSED V3</x:v>
      </x:c>
      <x:c r="E1" s="71" t="str">
        <x:v>Interpretação / ressalva</x:v>
      </x:c>
      <x:c r="F1" s="24"/>
      <x:c r="G1" s="24"/>
      <x:c r="H1" s="24"/>
      <x:c r="I1" s="24"/>
      <x:c r="J1" s="24"/>
      <x:c r="K1" s="24"/>
      <x:c r="L1" s="24"/>
      <x:c r="M1" s="24"/>
    </x:row>
    <x:row r="2" ht="35" customHeight="1">
      <x:c r="A2" s="72" t="str">
        <x:v>Total de cartas</x:v>
      </x:c>
      <x:c r="B2" s="72" t="n">
        <x:f>SUM('Current List'!A2:A101)</x:f>
        <x:v>100</x:v>
      </x:c>
      <x:c r="C2" s="72" t="n">
        <x:f>SUM('Proposed List'!A2:A101)</x:f>
        <x:v>100</x:v>
      </x:c>
      <x:c r="D2" s="72" t="n">
        <x:f>SUM('Proposed V3'!A2:A101)</x:f>
        <x:v>100</x:v>
      </x:c>
      <x:c r="E2" s="72" t="str">
        <x:v>Contagem inclui comandante; precisa fechar em 100.</x:v>
      </x:c>
    </x:row>
    <x:row r="3" ht="35" customHeight="1">
      <x:c r="A3" s="72" t="str">
        <x:v>Terrenos físicos</x:v>
      </x:c>
      <x:c r="B3" s="72" t="n">
        <x:f>SUMIF('Current List'!E2:E101,"Sim — terreno",'Current List'!A2:A101)</x:f>
        <x:v>32</x:v>
      </x:c>
      <x:c r="C3" s="72" t="n">
        <x:f>SUMIF('Proposed List'!E2:E101,"Sim — terreno",'Proposed List'!A2:A101)</x:f>
        <x:v>33</x:v>
      </x:c>
      <x:c r="D3" s="72" t="n">
        <x:f>SUMIF('Proposed V3'!E2:E101,"Sim — terreno",'Proposed V3'!A2:A101)</x:f>
        <x:v>34</x:v>
      </x:c>
      <x:c r="E3" s="72" t="str">
        <x:v>Terrenos pela face frontal; MDFCs ficam em linha separada.</x:v>
      </x:c>
    </x:row>
    <x:row r="4" ht="35" customHeight="1">
      <x:c r="A4" s="72" t="str">
        <x:v>Cartas com opção de terreno</x:v>
      </x:c>
      <x:c r="B4" s="72" t="n">
        <x:f>SUMIF('Current List'!E2:E101,"Sim — terreno",'Current List'!A2:A101)+SUMIF('Current List'!E2:E101,"Sim — face-terreno",'Current List'!A2:A101)</x:f>
        <x:v>33</x:v>
      </x:c>
      <x:c r="C4" s="72" t="n">
        <x:f>SUMIF('Proposed List'!E2:E101,"Sim — terreno",'Proposed List'!A2:A101)+SUMIF('Proposed List'!E2:E101,"Sim — face-terreno",'Proposed List'!A2:A101)</x:f>
        <x:v>34</x:v>
      </x:c>
      <x:c r="D4" s="72" t="n">
        <x:f>SUMIF('Proposed V3'!E2:E101,"Sim — terreno",'Proposed V3'!A2:A101)+SUMIF('Proposed V3'!E2:E101,"Sim — face-terreno",'Proposed V3'!A2:A101)</x:f>
        <x:v>35</x:v>
      </x:c>
      <x:c r="E4" s="72" t="str">
        <x:v>Terrenos físicos + MDFCs, cada carta contada uma vez.</x:v>
      </x:c>
    </x:row>
    <x:row r="5" ht="35" customHeight="1">
      <x:c r="A5" s="72" t="str">
        <x:v>Slots não-terreno sem comandante</x:v>
      </x:c>
      <x:c r="B5" s="72" t="n">
        <x:f>B2-B3-1</x:f>
        <x:v>67</x:v>
      </x:c>
      <x:c r="C5" s="72" t="n">
        <x:f>C2-C3-1</x:f>
        <x:v>66</x:v>
      </x:c>
      <x:c r="D5" s="72" t="n">
        <x:f>D2-D3-1</x:f>
        <x:v>65</x:v>
      </x:c>
      <x:c r="E5" s="72" t="str">
        <x:v>Aplicação funcional da teoria 8×8; MDFCs ficam no grupo funcional.</x:v>
      </x:c>
    </x:row>
    <x:row r="6" ht="35" customHeight="1">
      <x:c r="A6" s="72" t="str">
        <x:v>Trocas incrementais na versão</x:v>
      </x:c>
      <x:c r="B6" s="72" t="n">
        <x:v>0</x:v>
      </x:c>
      <x:c r="C6" s="72" t="n">
        <x:v>15</x:v>
      </x:c>
      <x:c r="D6" s="72" t="n">
        <x:v>10</x:v>
      </x:c>
      <x:c r="E6" s="72" t="str">
        <x:v>V3 deriva da V2; as trocas V3 não substituem retroativamente V2.</x:v>
      </x:c>
    </x:row>
    <x:row r="7" ht="35" customHeight="1">
      <x:c r="A7" s="72" t="str">
        <x:v>Singleton / duplicatas não básicas</x:v>
      </x:c>
      <x:c r="B7" s="72" t="str">
        <x:v>PASS</x:v>
      </x:c>
      <x:c r="C7" s="72" t="str">
        <x:v>PASS</x:v>
      </x:c>
      <x:c r="D7" s="72" t="str">
        <x:v>PASS</x:v>
      </x:c>
      <x:c r="E7" s="72" t="str">
        <x:v>Nenhuma duplicata não básica detectada; básicos podem repetir.</x:v>
      </x:c>
    </x:row>
    <x:row r="8" ht="35" customHeight="1">
      <x:c r="A8" s="72" t="str">
        <x:v>Legalidade Commander</x:v>
      </x:c>
      <x:c r="B8" s="72" t="str">
        <x:v>A validar na implementação</x:v>
      </x:c>
      <x:c r="C8" s="72" t="str">
        <x:v>A validar na implementação</x:v>
      </x:c>
      <x:c r="D8" s="72" t="str">
        <x:v>A validar na implementação</x:v>
      </x:c>
      <x:c r="E8" s="72" t="str">
        <x:v>A legalidade e a banlist devem ser rechecadas antes de importar alterações, embora não haja suspeita conhecida de carta proibida nas propostas.</x:v>
      </x:c>
    </x:row>
    <x:row r="9" ht="35" customHeight="1">
      <x:c r="A9" s="72" t="str">
        <x:v>Gargalo principal</x:v>
      </x:c>
      <x:c r="B9" s="72" t="str">
        <x:v>Ver Card Matrix</x:v>
      </x:c>
      <x:c r="C9" s="72" t="str">
        <x:v>Ramp/draw/tribalidade</x:v>
      </x:c>
      <x:c r="D9" s="72" t="str">
        <x:v>Ramp/draw/resiliência adicionais</x:v>
      </x:c>
      <x:c r="E9" s="72" t="str">
        <x:v>Confirmar se a solução resolve o problema sob pressão real em partidas.</x:v>
      </x:c>
    </x:row>
    <x:row r="10" ht="35" customHeight="1">
      <x:c r="A10" s="72" t="str">
        <x:v>Estado de construção</x:v>
      </x:c>
      <x:c r="B10" s="72" t="str">
        <x:v>CURRENT congelada</x:v>
      </x:c>
      <x:c r="C10" s="72" t="str">
        <x:v>PROPOSED V2 — não testada</x:v>
      </x:c>
      <x:c r="D10" s="72" t="str">
        <x:v>PROPOSED V3 — não testada</x:v>
      </x:c>
      <x:c r="E10" s="72" t="str">
        <x:v>Não marcar como ACQUIRED / INCLUDED / TESTED sem confirmação do usuário.</x:v>
      </x:c>
    </x:row>
    <x:row r="11" ht="35" customHeight="1">
      <x:c r="A11" s="72" t="str">
        <x:v>Nota ponderada</x:v>
      </x:c>
      <x:c r="B11" s="151" t="n">
        <x:f>'Scorecard'!C15</x:f>
        <x:v>6.035</x:v>
      </x:c>
      <x:c r="C11" s="151" t="n">
        <x:f>'Scorecard'!D15</x:f>
        <x:v>8.24</x:v>
      </x:c>
      <x:c r="D11" s="151" t="n">
        <x:f>'Scorecard'!E15</x:f>
        <x:v>9.235</x:v>
      </x:c>
      <x:c r="E11" s="72" t="str">
        <x:v>Mesma rubrica de 10 critérios com pesos de 100%; não mede win rate.</x:v>
      </x:c>
    </x:row>
    <x:row r="12" ht="55" customHeight="1">
      <x:c r="A12" s="36"/>
      <x:c r="B12" s="36"/>
      <x:c r="C12" s="36"/>
      <x:c r="D12" s="36"/>
      <x:c r="E12"/>
    </x:row>
    <x:row r="13" ht="55" customHeight="1">
      <x:c r="A13"/>
      <x:c r="B13"/>
      <x:c r="C13"/>
      <x:c r="D13"/>
      <x:c r="E13"/>
    </x:row>
    <x:row r="14" ht="55" customHeight="1">
      <x:c r="A14"/>
      <x:c r="B14"/>
      <x:c r="C14"/>
      <x:c r="D14"/>
      <x:c r="E14"/>
    </x:row>
    <x:row r="15" ht="55" customHeight="1">
      <x:c r="A15"/>
      <x:c r="B15"/>
      <x:c r="C15"/>
      <x:c r="D15"/>
      <x:c r="E15"/>
    </x:row>
    <x:row r="16" ht="55" customHeight="1">
      <x:c r="A16"/>
      <x:c r="B16"/>
      <x:c r="C16"/>
      <x:c r="D16"/>
      <x:c r="E16"/>
    </x:row>
    <x:row r="17" ht="55" customHeight="1">
      <x:c r="A17"/>
      <x:c r="B17"/>
      <x:c r="C17"/>
      <x:c r="D17"/>
      <x:c r="E17"/>
    </x:row>
    <x:row r="18" ht="55" customHeight="1">
      <x:c r="A18"/>
      <x:c r="B18"/>
      <x:c r="C18"/>
      <x:c r="D18"/>
      <x:c r="E18"/>
    </x:row>
    <x:row r="19" ht="55" customHeight="1">
      <x:c r="A19"/>
      <x:c r="B19"/>
      <x:c r="C19"/>
      <x:c r="D19"/>
      <x:c r="E19"/>
    </x:row>
    <x:row r="20" ht="55" customHeight="1">
      <x:c r="A20"/>
      <x:c r="B20"/>
      <x:c r="C20"/>
      <x:c r="D20"/>
      <x:c r="E2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9" hidden="0" customWidth="1"/>
    <x:col min="3" max="3" width="19" hidden="0" customWidth="1"/>
    <x:col min="4" max="4" width="24" hidden="0" customWidth="1"/>
    <x:col min="5" max="5" width="72" hidden="0" customWidth="1"/>
  </x:cols>
  <x:sheetData>
    <x:row r="1">
      <x:c r="A1" s="46" t="str">
        <x:v>Tier List — referência histórica CURRENT/V2; veja V3 Card Matrix para a proposta atual</x:v>
      </x:c>
      <x:c r="B1" s="46" t="str">
        <x:v>Tier</x:v>
      </x:c>
      <x:c r="C1" s="46" t="str">
        <x:v>Estado</x:v>
      </x:c>
      <x:c r="D1" s="46" t="str">
        <x:v>Grupo</x:v>
      </x:c>
      <x:c r="E1" s="46" t="str">
        <x:v>Motivo / contexto</x:v>
      </x:c>
      <x:c r="F1" s="24"/>
      <x:c r="G1" s="24"/>
      <x:c r="H1" s="24"/>
      <x:c r="I1" s="24"/>
      <x:c r="J1" s="24"/>
      <x:c r="K1" s="24"/>
      <x:c r="L1" s="24"/>
      <x:c r="M1" s="24"/>
    </x:row>
    <x:row r="2" ht="48" customHeight="1">
      <x:c r="A2" s="36" t="str">
        <x:v>Krenko, Mob Boss</x:v>
      </x:c>
      <x:c r="B2" s="36" t="str">
        <x:v>S</x:v>
      </x:c>
      <x:c r="C2" s="36" t="str">
        <x:v>CURRENT / PRESERVAR</x:v>
      </x:c>
      <x:c r="D2" s="36" t="str">
        <x:v>Token</x:v>
      </x:c>
      <x:c r="E2" s="36" t="str">
        <x:v>Comandante; cria uma ficha por Goblin que você controla, incluindo Krenko, escalando rapidamente.</x:v>
      </x:c>
    </x:row>
    <x:row r="3" ht="48" customHeight="1">
      <x:c r="A3" s="36" t="str">
        <x:v>Marvin, Murderous Mimic</x:v>
      </x:c>
      <x:c r="B3" s="36" t="str">
        <x:v>A</x:v>
      </x:c>
      <x:c r="C3" s="36" t="str">
        <x:v>CURRENT / PRESERVAR</x:v>
      </x:c>
      <x:c r="D3" s="36" t="str">
        <x:v>Sinergia 1</x:v>
      </x:c>
      <x:c r="E3" s="36" t="str">
        <x:v>Preservar: copia a habilidade ativada de Krenko e pode ser segunda fábrica de fichas; doença de invocação/ímpeto importam.</x:v>
      </x:c>
    </x:row>
    <x:row r="4" ht="48" customHeight="1">
      <x:c r="A4" s="36" t="str">
        <x:v>Goblin Matron</x:v>
      </x:c>
      <x:c r="B4" s="36" t="str">
        <x:v>A</x:v>
      </x:c>
      <x:c r="C4" s="36" t="str">
        <x:v>CURRENT / PRESERVAR</x:v>
      </x:c>
      <x:c r="D4" s="36" t="str">
        <x:v>Sinergia 2</x:v>
      </x:c>
      <x:c r="E4" s="36" t="str">
        <x:v>Tutoria/seleção tribal importante; preservada no núcleo.</x:v>
      </x:c>
    </x:row>
    <x:row r="5" ht="48" customHeight="1">
      <x:c r="A5" s="36" t="str">
        <x:v>Muxus, Goblin Grandee</x:v>
      </x:c>
      <x:c r="B5" s="36" t="str">
        <x:v>A</x:v>
      </x:c>
      <x:c r="C5" s="36" t="str">
        <x:v>CURRENT / PRESERVAR</x:v>
      </x:c>
      <x:c r="D5" s="36" t="str">
        <x:v>Sinergia 2</x:v>
      </x:c>
      <x:c r="E5" s="36" t="str">
        <x:v>Toolbox tribal, recursão, sacrifício ou geração de valor.</x:v>
      </x:c>
    </x:row>
    <x:row r="6" ht="48" customHeight="1">
      <x:c r="A6" s="36" t="str">
        <x:v>Goblin Warchief</x:v>
      </x:c>
      <x:c r="B6" s="36" t="str">
        <x:v>A</x:v>
      </x:c>
      <x:c r="C6" s="36" t="str">
        <x:v>CURRENT / PRESERVAR</x:v>
      </x:c>
      <x:c r="D6" s="36" t="str">
        <x:v>Buff + Haste</x:v>
      </x:c>
      <x:c r="E6" s="36" t="str">
        <x:v>Aumenta combate, evasão, ímpeto ou proteção.</x:v>
      </x:c>
    </x:row>
    <x:row r="7" ht="48" customHeight="1">
      <x:c r="A7" s="36" t="str">
        <x:v>Rundvelt Hordemaster</x:v>
      </x:c>
      <x:c r="B7" s="36" t="str">
        <x:v>A</x:v>
      </x:c>
      <x:c r="C7" s="36" t="str">
        <x:v>CURRENT / PRESERVAR</x:v>
      </x:c>
      <x:c r="D7" s="36" t="str">
        <x:v>Sinergia 2</x:v>
      </x:c>
      <x:c r="E7" s="36" t="str">
        <x:v>Fonte de vantagem quando outros Goblins que você controla morrem.</x:v>
      </x:c>
    </x:row>
    <x:row r="8" ht="48" customHeight="1">
      <x:c r="A8" s="36" t="str">
        <x:v>Goblin Bombardment</x:v>
      </x:c>
      <x:c r="B8" s="36" t="str">
        <x:v>S</x:v>
      </x:c>
      <x:c r="C8" s="36" t="str">
        <x:v>CURRENT / PRESERVAR</x:v>
      </x:c>
      <x:c r="D8" s="36" t="str">
        <x:v>Combate + Dano Direto</x:v>
      </x:c>
      <x:c r="E8" s="36" t="str">
        <x:v>Uma das peças mais eficientes para converter fichas em dano.</x:v>
      </x:c>
    </x:row>
    <x:row r="9" ht="48" customHeight="1">
      <x:c r="A9" s="36" t="str">
        <x:v>Ashnod's Altar</x:v>
      </x:c>
      <x:c r="B9" s="36" t="str">
        <x:v>A</x:v>
      </x:c>
      <x:c r="C9" s="36" t="str">
        <x:v>CURRENT / PRESERVAR</x:v>
      </x:c>
      <x:c r="D9" s="36" t="str">
        <x:v>Sinergia 2</x:v>
      </x:c>
      <x:c r="E9" s="36" t="str">
        <x:v>Toolbox tribal, recursão, sacrifício ou geração de valor.</x:v>
      </x:c>
    </x:row>
    <x:row r="10" ht="48" customHeight="1">
      <x:c r="A10" s="36" t="str">
        <x:v>Shared Animosity</x:v>
      </x:c>
      <x:c r="B10" s="36" t="str">
        <x:v>S</x:v>
      </x:c>
      <x:c r="C10" s="36" t="str">
        <x:v>CURRENT / PRESERVAR</x:v>
      </x:c>
      <x:c r="D10" s="36" t="str">
        <x:v>Combate + Dano Direto</x:v>
      </x:c>
      <x:c r="E10" s="36" t="str">
        <x:v>Converte a mesa larga em dano ou pressão.</x:v>
      </x:c>
    </x:row>
    <x:row r="11" ht="48" customHeight="1">
      <x:c r="A11" s="36" t="str">
        <x:v>Goblin War Strike</x:v>
      </x:c>
      <x:c r="B11" s="36" t="str">
        <x:v>A</x:v>
      </x:c>
      <x:c r="C11" s="36" t="str">
        <x:v>CURRENT / PRESERVAR</x:v>
      </x:c>
      <x:c r="D11" s="36" t="str">
        <x:v>Combate + Dano Direto</x:v>
      </x:c>
      <x:c r="E11" s="36" t="str">
        <x:v>Converte a mesa larga em dano ou pressão.</x:v>
      </x:c>
    </x:row>
    <x:row r="12" ht="48" customHeight="1">
      <x:c r="A12" s="36" t="str">
        <x:v>Fiery Emancipation</x:v>
      </x:c>
      <x:c r="B12" s="36" t="str">
        <x:v>A</x:v>
      </x:c>
      <x:c r="C12" s="36" t="str">
        <x:v>CURRENT / PRESERVAR</x:v>
      </x:c>
      <x:c r="D12" s="36" t="str">
        <x:v>Combate + Dano Direto</x:v>
      </x:c>
      <x:c r="E12" s="36" t="str">
        <x:v>Converte a mesa larga em dano ou pressão.</x:v>
      </x:c>
    </x:row>
    <x:row r="13" ht="48" customHeight="1">
      <x:c r="A13" s="36" t="str">
        <x:v>Eldrazi Monument</x:v>
      </x:c>
      <x:c r="B13" s="36" t="str">
        <x:v>A</x:v>
      </x:c>
      <x:c r="C13" s="36" t="str">
        <x:v>CURRENT / PRESERVAR</x:v>
      </x:c>
      <x:c r="D13" s="36" t="str">
        <x:v>Buff + Haste</x:v>
      </x:c>
      <x:c r="E13" s="36" t="str">
        <x:v>Dá indestrutível à mesa própria, mas exige sacrificar uma criatura a cada manutenção.</x:v>
      </x:c>
    </x:row>
    <x:row r="14" ht="48" customHeight="1">
      <x:c r="A14" s="36" t="str">
        <x:v>Worldfire</x:v>
      </x:c>
      <x:c r="B14" s="36" t="str">
        <x:v>C</x:v>
      </x:c>
      <x:c r="C14" s="36" t="str">
        <x:v>CURRENT → CORTAR NA V2</x:v>
      </x:c>
      <x:c r="D14" s="36" t="str">
        <x:v>Sinergia 2</x:v>
      </x:c>
      <x:c r="E14" s="36" t="str">
        <x:v>A carta é cortada pela inadequação ao plano, não por alegação de banimento.</x:v>
      </x:c>
    </x:row>
    <x:row r="15" ht="48" customHeight="1">
      <x:c r="A15" s="36" t="str">
        <x:v>Skullclamp</x:v>
      </x:c>
      <x:c r="B15" s="36" t="str">
        <x:v>S</x:v>
      </x:c>
      <x:c r="C15" s="36" t="str">
        <x:v>INCLUSÃO PROPOSTA V2</x:v>
      </x:c>
      <x:c r="D15" s="36" t="str">
        <x:v>Draw</x:v>
      </x:c>
      <x:c r="E15" s="36" t="str">
        <x:v>Converte Goblins pequenos em vantagem de cartas, sobretudo com sac outlets. Risco: Anthems podem manter fichas vivas; sac outlets ajudam a controlar isso.</x:v>
      </x:c>
    </x:row>
    <x:row r="16" ht="48" customHeight="1">
      <x:c r="A16" s="36" t="str">
        <x:v>Impact Tremors</x:v>
      </x:c>
      <x:c r="B16" s="36" t="str">
        <x:v>A</x:v>
      </x:c>
      <x:c r="C16" s="36" t="str">
        <x:v>INCLUSÃO PROPOSTA V2</x:v>
      </x:c>
      <x:c r="D16" s="36" t="str">
        <x:v>Combate + Dano Direto</x:v>
      </x:c>
      <x:c r="E16" s="36" t="str">
        <x:v>Transforma a criação de cada ficha por Krenko em dano a todos os oponentes. Risco: Precisa permanecer em campo e não afeta criaturas que já estavam lá.</x:v>
      </x:c>
    </x:row>
    <x:row r="17" ht="48" customHeight="1">
      <x:c r="A17" s="36" t="str">
        <x:v>Thousand-Year Elixir</x:v>
      </x:c>
      <x:c r="B17" s="36" t="str">
        <x:v>S</x:v>
      </x:c>
      <x:c r="C17" s="36" t="str">
        <x:v>INCLUSÃO PROPOSTA V2</x:v>
      </x:c>
      <x:c r="D17" s="36" t="str">
        <x:v>Sinergia 1</x:v>
      </x:c>
      <x:c r="E17" s="36" t="str">
        <x:v>Permite ativar Krenko como se tivesse ímpeto e pode desvirar uma criatura. Risco: Custa três manas e a habilidade de desvirar também consome mana e o próprio artefato.</x:v>
      </x:c>
    </x:row>
    <x:row r="18" ht="48" customHeight="1">
      <x:c r="A18" s="36" t="str">
        <x:v>Sol Ring</x:v>
      </x:c>
      <x:c r="B18" s="36" t="str">
        <x:v>S</x:v>
      </x:c>
      <x:c r="C18" s="36" t="str">
        <x:v>INCLUSÃO PROPOSTA V2</x:v>
      </x:c>
      <x:c r="D18" s="36" t="str">
        <x:v>Ramp</x:v>
      </x:c>
      <x:c r="E18" s="36" t="str">
        <x:v>Aceleração eficiente que estava ausente da lista original. Risco: Não é sinergia tribal por si só; aumenta o poder das mãos iniciais.</x:v>
      </x:c>
    </x:row>
    <x:row r="19" ht="48" customHeight="1">
      <x:c r="A19" s="36" t="str">
        <x:v>Idol of Oblivion</x:v>
      </x:c>
      <x:c r="B19" s="36" t="str">
        <x:v>A</x:v>
      </x:c>
      <x:c r="C19" s="36" t="str">
        <x:v>INCLUSÃO PROPOSTA V2</x:v>
      </x:c>
      <x:c r="D19" s="36" t="str">
        <x:v>Draw</x:v>
      </x:c>
      <x:c r="E19" s="36" t="str">
        <x:v>Compra recorrente se você criou ficha no turno; Krenko habilita o gatilho naturalmente. Risco: Compra no máximo uma vez por turno e precisa de criação de ficha.</x:v>
      </x:c>
    </x:row>
    <x:row r="20" ht="48" customHeight="1">
      <x:c r="A20" s="36" t="str">
        <x:v>Slate of Ancestry</x:v>
      </x:c>
      <x:c r="B20" s="36" t="str">
        <x:v>A</x:v>
      </x:c>
      <x:c r="C20" s="36" t="str">
        <x:v>INCLUSÃO PROPOSTA V2</x:v>
      </x:c>
      <x:c r="D20" s="36" t="str">
        <x:v>Draw</x:v>
      </x:c>
      <x:c r="E20" s="36" t="str">
        <x:v>Pode repor a mão com muitas cartas quando você já tem um exército. Risco: Custa quatro manas para baixar e descarta a mão como parte da ativação.</x:v>
      </x:c>
    </x:row>
    <x:row r="21" ht="48" customHeight="1">
      <x:c r="A21" s="36" t="str">
        <x:v>Jeska's Will</x:v>
      </x:c>
      <x:c r="B21" s="36" t="str">
        <x:v>A</x:v>
      </x:c>
      <x:c r="C21" s="36" t="str">
        <x:v>INCLUSÃO PROPOSTA V2</x:v>
      </x:c>
      <x:c r="D21" s="36" t="str">
        <x:v>Ramp</x:v>
      </x:c>
      <x:c r="E21" s="36" t="str">
        <x:v>Mana explosiva mais compra impulsiva; teto alto com comandante em campo. Risco: O acesso às cartas é temporário e precisa de mana disponível para aproveitá-lo.</x:v>
      </x:c>
    </x:row>
    <x:row r="22" ht="48" customHeight="1">
      <x:c r="A22" s="36" t="str">
        <x:v>Skirk Prospector</x:v>
      </x:c>
      <x:c r="B22" s="36" t="str">
        <x:v>A</x:v>
      </x:c>
      <x:c r="C22" s="36" t="str">
        <x:v>INCLUSÃO PROPOSTA V2</x:v>
      </x:c>
      <x:c r="D22" s="36" t="str">
        <x:v>Ramp</x:v>
      </x:c>
      <x:c r="E22" s="36" t="str">
        <x:v>Transforma Goblins em mana vermelha e permite turnos explosivos. Risco: Consome presença de mesa e compete com outros usos de sacrifício.</x:v>
      </x:c>
    </x:row>
    <x:row r="23" ht="48" customHeight="1">
      <x:c r="A23" s="36" t="str">
        <x:v>Goblin Trashmaster</x:v>
      </x:c>
      <x:c r="B23" s="36" t="str">
        <x:v>A</x:v>
      </x:c>
      <x:c r="C23" s="36" t="str">
        <x:v>INCLUSÃO PROPOSTA V2</x:v>
      </x:c>
      <x:c r="D23" s="36" t="str">
        <x:v>Removal</x:v>
      </x:c>
      <x:c r="E23" s="36" t="str">
        <x:v>Lord tribal que também destrói artefatos de forma repetível sacrificando Goblins. Risco: Só responde a artefatos e exige outro Goblin para sacrificar.</x:v>
      </x:c>
    </x:row>
    <x:row r="24" ht="48" customHeight="1">
      <x:c r="A24" s="36" t="str">
        <x:v>Blasphemous Act</x:v>
      </x:c>
      <x:c r="B24" s="36" t="str">
        <x:v>A</x:v>
      </x:c>
      <x:c r="C24" s="36" t="str">
        <x:v>INCLUSÃO PROPOSTA V2</x:v>
      </x:c>
      <x:c r="D24" s="36" t="str">
        <x:v>Removal</x:v>
      </x:c>
      <x:c r="E24" s="36" t="str">
        <x:v>Limpeza de emergência eficiente; interage com Brash Taunter e pode ser assimétrica com Eldrazi Monument. Risco: Normalmente também mata seus Goblins se eles não tiverem indestrutível.</x:v>
      </x:c>
    </x:row>
    <x:row r="25" ht="48" customHeight="1">
      <x:c r="A25" s="36" t="str">
        <x:v>Vandalblast</x:v>
      </x:c>
      <x:c r="B25" s="36" t="str">
        <x:v>A</x:v>
      </x:c>
      <x:c r="C25" s="36" t="str">
        <x:v>INCLUSÃO PROPOSTA V2</x:v>
      </x:c>
      <x:c r="D25" s="36" t="str">
        <x:v>Removal</x:v>
      </x:c>
      <x:c r="E25" s="36" t="str">
        <x:v>Sobrecarga destrói artefatos dos oponentes sem afetar os seus. Risco: Não resolve encantamentos nem outros tipos de permanente.</x:v>
      </x:c>
    </x:row>
    <x:row r="26" ht="48" customHeight="1">
      <x:c r="A26" s="36" t="str">
        <x:v>Chaos Warp</x:v>
      </x:c>
      <x:c r="B26" s="36" t="str">
        <x:v>A</x:v>
      </x:c>
      <x:c r="C26" s="36" t="str">
        <x:v>INCLUSÃO PROPOSTA V2</x:v>
      </x:c>
      <x:c r="D26" s="36" t="str">
        <x:v>Removal</x:v>
      </x:c>
      <x:c r="E26" s="36" t="str">
        <x:v>Resposta flexível para permanentes problemáticas em mono-red. Risco: O oponente pode revelar uma permanente substituta; remoção não é garantida sem custo.</x:v>
      </x:c>
    </x:row>
    <x:row r="27" ht="48" customHeight="1">
      <x:c r="A27" s="36" t="str">
        <x:v>Wild Magic Surge</x:v>
      </x:c>
      <x:c r="B27" s="36" t="str">
        <x:v>A</x:v>
      </x:c>
      <x:c r="C27" s="36" t="str">
        <x:v>INCLUSÃO PROPOSTA V2</x:v>
      </x:c>
      <x:c r="D27" s="36" t="str">
        <x:v>Removal</x:v>
      </x:c>
      <x:c r="E27" s="36" t="str">
        <x:v>Resposta instantânea a quase qualquer permanente não terreno em mono-red. Risco: O oponente recebe uma permanente aleatória como substituição; não atinge terrenos.</x:v>
      </x:c>
    </x:row>
    <x:row r="28" ht="48" customHeight="1">
      <x:c r="C28" s="24"/>
    </x:row>
    <x:row r="29" ht="48" customHeight="1">
      <x:c r="C29" s="24"/>
    </x:row>
    <x:row r="30" ht="48" customHeight="1">
      <x:c r="C30" s="24"/>
    </x:row>
    <x:row r="31" ht="48" customHeight="1">
      <x:c r="C31" s="24"/>
    </x:row>
    <x:row r="32" ht="48" customHeight="1">
      <x:c r="C32" s="24"/>
    </x:row>
    <x:row r="33" ht="48" customHeight="1">
      <x:c r="C33" s="24"/>
    </x:row>
    <x:row r="34" ht="48" customHeight="1">
      <x:c r="C34" s="24"/>
    </x:row>
    <x:row r="35" ht="48" customHeight="1">
      <x:c r="C35" s="24"/>
    </x:row>
    <x:row r="36" ht="48" customHeight="1">
      <x:c r="C36" s="24"/>
    </x:row>
    <x:row r="37" ht="48" customHeight="1">
      <x:c r="C37" s="24"/>
    </x:row>
    <x:row r="38" ht="48" customHeight="1">
      <x:c r="C38" s="24"/>
    </x:row>
    <x:row r="39" ht="48" customHeight="1">
      <x:c r="C39" s="24"/>
    </x:row>
    <x:row r="40" ht="48" customHeight="1">
      <x:c r="C40" s="2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68" hidden="0" customWidth="1"/>
    <x:col min="3" max="3" width="58" hidden="0" customWidth="1"/>
    <x:col min="4" max="4" width="72" hidden="0" customWidth="1"/>
  </x:cols>
  <x:sheetData>
    <x:row r="1" ht="32" customHeight="1">
      <x:c r="A1" s="71" t="str">
        <x:v>Fonte</x:v>
      </x:c>
      <x:c r="B1" s="71" t="str">
        <x:v>URL</x:v>
      </x:c>
      <x:c r="C1" s="71" t="str">
        <x:v>O que sustenta</x:v>
      </x:c>
      <x:c r="D1" s="71" t="str">
        <x:v>Como foi usada</x:v>
      </x:c>
      <x:c r="E1" s="24"/>
      <x:c r="F1" s="24"/>
      <x:c r="G1" s="24"/>
      <x:c r="H1" s="24"/>
      <x:c r="I1" s="24"/>
      <x:c r="J1" s="24"/>
      <x:c r="K1" s="24"/>
      <x:c r="L1" s="24"/>
      <x:c r="M1" s="24"/>
    </x:row>
    <x:row r="2" ht="44" customHeight="1">
      <x:c r="A2" s="72" t="str">
        <x:v>Scryfall — Krenko</x:v>
      </x:c>
      <x:c r="B2" s="72" t="str">
        <x:v>https://scryfall.com/card/fdn/204/krenko-mob-boss</x:v>
      </x:c>
      <x:c r="C2" s="72" t="str">
        <x:v>Texto Oracle da habilidade ativada.</x:v>
      </x:c>
      <x:c r="D2" s="72" t="str">
        <x:v>Confirma que Krenko conta os Goblins controlados, incluindo o próprio Krenko.</x:v>
      </x:c>
    </x:row>
    <x:row r="3" ht="44" customHeight="1">
      <x:c r="A3" s="72" t="str">
        <x:v>EDH.Wiki — Krenko Goblins</x:v>
      </x:c>
      <x:c r="B3" s="72" t="str">
        <x:v>https://edh.wiki/commanders/krenko-mob-boss/goblins/</x:v>
      </x:c>
      <x:c r="C3" s="72" t="str">
        <x:v>Estratégia tribal, haste e motores de ficha.</x:v>
      </x:c>
      <x:c r="D3" s="72" t="str">
        <x:v>Benchmark de estratégia, não prescrição automática.</x:v>
      </x:c>
    </x:row>
    <x:row r="4" ht="44" customHeight="1">
      <x:c r="A4" s="72" t="str">
        <x:v>EDHREC — Krenko Optimized</x:v>
      </x:c>
      <x:c r="B4" s="72" t="str">
        <x:v>https://edhrec.com/commanders/krenko-mob-boss/optimized</x:v>
      </x:c>
      <x:c r="C4" s="72" t="str">
        <x:v>Frequência atual de ramp, compra, payoff e sinergia tribal.</x:v>
      </x:c>
      <x:c r="D4" s="72" t="str">
        <x:v>Snapshot consultado em 2026-10; populações incluem listas otimizadas.</x:v>
      </x:c>
    </x:row>
    <x:row r="5" ht="44" customHeight="1">
      <x:c r="A5" s="72" t="str">
        <x:v>EDHREC — Krenko Optimized Goblins</x:v>
      </x:c>
      <x:c r="B5" s="72" t="str">
        <x:v>https://edhrec.com/commanders/krenko-mob-boss/optimized/goblins</x:v>
      </x:c>
      <x:c r="C5" s="72" t="str">
        <x:v>Goblin Warchief, Chieftain, Recruiter, Ringleader, Pashalik e Chirurgeon como benchmarks.</x:v>
      </x:c>
      <x:c r="D5" s="72" t="str">
        <x:v>Usado para buscar gaps da V2, não para copiar a lista média.</x:v>
      </x:c>
    </x:row>
    <x:row r="6" ht="44" customHeight="1">
      <x:c r="A6" s="72" t="str">
        <x:v>Scryfall — Marvin, Murderous Mimic</x:v>
      </x:c>
      <x:c r="B6" s="72" t="str">
        <x:v>https://scryfall.com/search?q=%21%22Marvin%2C+Murderous+Mimic%22</x:v>
      </x:c>
      <x:c r="C6" s="72" t="str">
        <x:v>Texto Oracle e rulings.</x:v>
      </x:c>
      <x:c r="D6" s="72" t="str">
        <x:v>Marvin copia habilidades ativadas de outras criaturas; não copia habilidades estáticas/disparadas.</x:v>
      </x:c>
    </x:row>
    <x:row r="7" ht="44" customHeight="1">
      <x:c r="A7" s="72" t="str">
        <x:v>Scryfall search — Goblin Recruiter</x:v>
      </x:c>
      <x:c r="B7" s="72" t="str">
        <x:v>https://scryfall.com/search?q=%21%22Goblin+Recruiter%22</x:v>
      </x:c>
      <x:c r="C7" s="72" t="str">
        <x:v>Texto Oracle e rulings.</x:v>
      </x:c>
      <x:c r="D7" s="72" t="str">
        <x:v>Tutor/ordenação do topo; importante com Muxus e Ringleader.</x:v>
      </x:c>
    </x:row>
    <x:row r="8" ht="44" customHeight="1">
      <x:c r="A8" s="72" t="str">
        <x:v>Scryfall search — Pashalik Mons</x:v>
      </x:c>
      <x:c r="B8" s="72" t="str">
        <x:v>https://scryfall.com/search?q=%21%22Pashalik+Mons%22</x:v>
      </x:c>
      <x:c r="C8" s="72" t="str">
        <x:v>Texto Oracle e rulings.</x:v>
      </x:c>
      <x:c r="D8" s="72" t="str">
        <x:v>Converte mortes de Goblins em dano e fichas em alcance.</x:v>
      </x:c>
    </x:row>
    <x:row r="9" ht="44" customHeight="1">
      <x:c r="A9" s="72" t="str">
        <x:v>Commander ban list</x:v>
      </x:c>
      <x:c r="B9" s="72" t="str">
        <x:v>https://magic.wizards.com/en/banned-restricted-list</x:v>
      </x:c>
      <x:c r="C9" s="72" t="str">
        <x:v>Lista oficial vigente de cartas banidas.</x:v>
      </x:c>
      <x:c r="D9" s="72" t="str">
        <x:v>Legalidade deve ser revalidada antes de importar mudanças; não presumir banimento por ser forte.</x:v>
      </x:c>
    </x:row>
    <x:row r="10" ht="44" customHeight="1">
      <x:c r="A10" s="72" t="str">
        <x:v>EDHREC — Optimized average list</x:v>
      </x:c>
      <x:c r="B10" s="72" t="str">
        <x:v>https://edhrec.com/average-decks/krenko-mob-boss/optimized/goblins</x:v>
      </x:c>
      <x:c r="C10" s="72" t="str">
        <x:v>Estrutura de decks configurados como otimizados.</x:v>
      </x:c>
      <x:c r="D10" s="72" t="str">
        <x:v>Comparação de funções; combo Thornbite Staff fica fora da V3-base.</x:v>
      </x:c>
    </x:row>
    <x:row r="11" ht="52" customHeight="1">
      <x:c r="A11"/>
      <x:c r="B11"/>
      <x:c r="C11"/>
      <x:c r="D11"/>
    </x:row>
    <x:row r="12" ht="52" customHeight="1">
      <x:c r="A12"/>
      <x:c r="B12"/>
      <x:c r="C12"/>
      <x:c r="D12"/>
    </x:row>
    <x:row r="13" ht="52" customHeight="1">
      <x:c r="A13"/>
      <x:c r="B13"/>
      <x:c r="C13"/>
      <x:c r="D13"/>
    </x:row>
    <x:row r="14" ht="52" customHeight="1">
      <x:c r="A14"/>
      <x:c r="B14"/>
      <x:c r="C14"/>
      <x:c r="D14"/>
    </x:row>
    <x:row r="15" ht="52" customHeight="1">
      <x:c r="A15"/>
      <x:c r="B15"/>
      <x:c r="C15"/>
      <x:c r="D15"/>
    </x:row>
    <x:row r="16" ht="52" customHeight="1">
      <x:c r="A16"/>
      <x:c r="B16"/>
      <x:c r="C16"/>
      <x:c r="D16"/>
    </x:row>
    <x:row r="17" ht="52" customHeight="1">
      <x:c r="A17"/>
      <x:c r="B17"/>
      <x:c r="C17"/>
      <x:c r="D17"/>
    </x:row>
    <x:row r="18" ht="52" customHeight="1">
      <x:c r="A18"/>
      <x:c r="B18"/>
      <x:c r="C18"/>
      <x:c r="D18"/>
    </x:row>
    <x:row r="19" ht="52" customHeight="1">
      <x:c r="A19"/>
      <x:c r="B19"/>
      <x:c r="C19"/>
      <x:c r="D19"/>
    </x:row>
    <x:row r="20" ht="52" customHeight="1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7" hidden="0" customWidth="1"/>
    <x:col min="4" max="4" width="9" hidden="0" customWidth="1"/>
    <x:col min="5" max="5" width="13" hidden="0" customWidth="1"/>
    <x:col min="6" max="6" width="22" hidden="0" customWidth="1"/>
    <x:col min="7" max="7" width="25" hidden="0" customWidth="1"/>
    <x:col min="8" max="8" width="30" hidden="0" customWidth="1"/>
    <x:col min="9" max="9" width="30" hidden="0" customWidth="1"/>
    <x:col min="10" max="10" width="30" hidden="0" customWidth="1"/>
    <x:col min="11" max="11" width="25" hidden="0" customWidth="1"/>
    <x:col min="12" max="12" width="25" hidden="0" customWidth="1"/>
    <x:col min="13" max="13" width="35" hidden="0" customWidth="1"/>
  </x:cols>
  <x:sheetData>
    <x:row r="1" ht="35" customHeight="1">
      <x:c r="A1" s="47" t="str">
        <x:v>Data</x:v>
      </x:c>
      <x:c r="B1" s="47" t="str">
        <x:v>Versão do deck</x:v>
      </x:c>
      <x:c r="C1" s="47" t="str">
        <x:v>Pod / contexto de poder</x:v>
      </x:c>
      <x:c r="D1" s="47" t="str">
        <x:v>Assento</x:v>
      </x:c>
      <x:c r="E1" s="47" t="str">
        <x:v>Resultado</x:v>
      </x:c>
      <x:c r="F1" s="47" t="str">
        <x:v>Turno do plano online</x:v>
      </x:c>
      <x:c r="G1" s="47" t="str">
        <x:v>Mão inicial/mulligan</x:v>
      </x:c>
      <x:c r="H1" s="47" t="str">
        <x:v>Cartas que renderam acima</x:v>
      </x:c>
      <x:c r="I1" s="47" t="str">
        <x:v>Cartas que ficaram mortas</x:v>
      </x:c>
      <x:c r="J1" s="47" t="str">
        <x:v>Interação/wipes disponíveis</x:v>
      </x:c>
      <x:c r="K1" s="47" t="str">
        <x:v>Recuperação pós-wipe</x:v>
      </x:c>
      <x:c r="L1" s="47" t="str">
        <x:v>Como fechou a partida</x:v>
      </x:c>
      <x:c r="M1" s="47" t="str">
        <x:v>Decisão / próximo teste</x:v>
      </x:c>
    </x:row>
    <x:row r="2" ht="42" customHeight="1">
      <x:c r="A2" s="36"/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</x:row>
    <x:row r="3" ht="42" customHeight="1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</x:row>
    <x:row r="4" ht="42" customHeight="1">
      <x:c r="A4" s="36"/>
      <x:c r="B4" s="36"/>
      <x:c r="C4" s="36"/>
      <x:c r="D4" s="36"/>
      <x:c r="E4" s="36"/>
      <x:c r="F4" s="36"/>
      <x:c r="G4" s="36"/>
      <x:c r="H4" s="36"/>
      <x:c r="I4" s="36"/>
      <x:c r="J4" s="36"/>
      <x:c r="K4" s="36"/>
      <x:c r="L4" s="36"/>
      <x:c r="M4" s="36"/>
    </x:row>
    <x:row r="5" ht="42" customHeight="1">
      <x:c r="A5" s="36"/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</x:row>
    <x:row r="6" ht="42" customHeight="1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6"/>
      <x:c r="M6" s="36"/>
    </x:row>
    <x:row r="7" ht="42" customHeight="1">
      <x:c r="A7" s="36"/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</x:row>
    <x:row r="8" ht="42" customHeight="1">
      <x:c r="A8" s="36"/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</x:row>
    <x:row r="9" ht="42" customHeight="1">
      <x:c r="A9" s="36"/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</x:row>
    <x:row r="10" ht="42" customHeight="1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</x:row>
    <x:row r="11" ht="42" customHeight="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0" hidden="0" customWidth="1"/>
    <x:col min="3" max="3" width="40" hidden="0" customWidth="1"/>
    <x:col min="4" max="4" width="20" hidden="0" customWidth="1"/>
    <x:col min="5" max="5" width="20" hidden="0" customWidth="1"/>
    <x:col min="6" max="6" width="18" hidden="0" customWidth="1"/>
    <x:col min="7" max="7" width="72" hidden="0" customWidth="1"/>
  </x:cols>
  <x:sheetData>
    <x:row r="1" ht="32" customHeight="1">
      <x:c r="A1" s="71" t="str">
        <x:v>Qtd.</x:v>
      </x:c>
      <x:c r="B1" s="71" t="str">
        <x:v>Nome da carta</x:v>
      </x:c>
      <x:c r="C1" s="71" t="str">
        <x:v>Impressão/metadados originais</x:v>
      </x:c>
      <x:c r="D1" s="71" t="str">
        <x:v>Grupo principal</x:v>
      </x:c>
      <x:c r="E1" s="71" t="str">
        <x:v>Tem opção de terreno?</x:v>
      </x:c>
      <x:c r="F1" s="71" t="str">
        <x:v>Estado</x:v>
      </x:c>
      <x:c r="G1" s="71" t="str">
        <x:v>Papel / interação</x:v>
      </x:c>
    </x:row>
    <x:row r="2">
      <x:c r="A2" s="74" t="n">
        <x:v>1</x:v>
      </x:c>
      <x:c r="B2" s="72" t="str">
        <x:v>Krenko, Mob Boss</x:v>
      </x:c>
      <x:c r="C2" s="72" t="str">
        <x:v>1 Krenko, Mob Boss (CMM) 238</x:v>
      </x:c>
      <x:c r="D2" s="72" t="str">
        <x:v>Token</x:v>
      </x:c>
      <x:c r="E2" s="72" t="str">
        <x:v>Não</x:v>
      </x:c>
      <x:c r="F2" s="72" t="str">
        <x:v>COMMANDER</x:v>
      </x:c>
      <x:c r="G2" s="72" t="str">
        <x:v>Comandante; cria uma ficha por Goblin que você controla, incluindo Krenko, escalando rapidamente.</x:v>
      </x:c>
    </x:row>
    <x:row r="3">
      <x:c r="A3" s="74" t="n">
        <x:v>1</x:v>
      </x:c>
      <x:c r="B3" s="72" t="str">
        <x:v>Arcane Signet</x:v>
      </x:c>
      <x:c r="C3" s="72" t="str">
        <x:v>1 Arcane Signet (CLB) 298</x:v>
      </x:c>
      <x:c r="D3" s="72" t="str">
        <x:v>Ramp</x:v>
      </x:c>
      <x:c r="E3" s="72" t="str">
        <x:v>Não</x:v>
      </x:c>
      <x:c r="F3" s="72" t="str">
        <x:v>PROPOSED V3</x:v>
      </x:c>
      <x:c r="G3" s="72" t="str">
        <x:v>Aceleração ou conversão de fichas em mana.</x:v>
      </x:c>
    </x:row>
    <x:row r="4">
      <x:c r="A4" s="74" t="n">
        <x:v>1</x:v>
      </x:c>
      <x:c r="B4" s="72" t="str">
        <x:v>Ashnod's Altar</x:v>
      </x:c>
      <x:c r="C4" s="72" t="str">
        <x:v>1 Ashnod's Altar (CMM) 368</x:v>
      </x:c>
      <x:c r="D4" s="72" t="str">
        <x:v>Sinergia 2</x:v>
      </x:c>
      <x:c r="E4" s="72" t="str">
        <x:v>Não</x:v>
      </x:c>
      <x:c r="F4" s="72" t="str">
        <x:v>PROPOSED V3</x:v>
      </x:c>
      <x:c r="G4" s="72" t="str">
        <x:v>Toolbox tribal, recursão, sacrifício ou geração de valor.</x:v>
      </x:c>
    </x:row>
    <x:row r="5">
      <x:c r="A5" s="74" t="n">
        <x:v>1</x:v>
      </x:c>
      <x:c r="B5" s="72" t="str">
        <x:v>Battle Cry Goblin</x:v>
      </x:c>
      <x:c r="C5" s="72" t="str">
        <x:v>1 Battle Cry Goblin (AFR) 132 *F*</x:v>
      </x:c>
      <x:c r="D5" s="72" t="str">
        <x:v>Buff + Haste</x:v>
      </x:c>
      <x:c r="E5" s="72" t="str">
        <x:v>Não</x:v>
      </x:c>
      <x:c r="F5" s="72" t="str">
        <x:v>PROPOSED V3</x:v>
      </x:c>
      <x:c r="G5" s="72" t="str">
        <x:v>Aumenta combate, evasão, ímpeto ou proteção.</x:v>
      </x:c>
    </x:row>
    <x:row r="6">
      <x:c r="A6" s="74" t="n">
        <x:v>1</x:v>
      </x:c>
      <x:c r="B6" s="72" t="str">
        <x:v>Brash Taunter</x:v>
      </x:c>
      <x:c r="C6" s="72" t="str">
        <x:v>1 Brash Taunter (CLB) 782</x:v>
      </x:c>
      <x:c r="D6" s="72" t="str">
        <x:v>Combate + Dano Direto</x:v>
      </x:c>
      <x:c r="E6" s="72" t="str">
        <x:v>Não</x:v>
      </x:c>
      <x:c r="F6" s="72" t="str">
        <x:v>PROPOSED V3</x:v>
      </x:c>
      <x:c r="G6" s="72" t="str">
        <x:v>Converte a mesa larga em dano ou pressão.</x:v>
      </x:c>
    </x:row>
    <x:row r="7">
      <x:c r="A7" s="74" t="n">
        <x:v>1</x:v>
      </x:c>
      <x:c r="B7" s="72" t="str">
        <x:v>Breeches, Eager Pillager</x:v>
      </x:c>
      <x:c r="C7" s="72" t="str">
        <x:v>1 Breeches, Eager Pillager (LCI) 294 *F*</x:v>
      </x:c>
      <x:c r="D7" s="72" t="str">
        <x:v>Draw</x:v>
      </x:c>
      <x:c r="E7" s="72" t="str">
        <x:v>Não</x:v>
      </x:c>
      <x:c r="F7" s="72" t="str">
        <x:v>PROPOSED V3</x:v>
      </x:c>
      <x:c r="G7" s="72" t="str">
        <x:v>Compra, seleção ou acesso impulsivo a cartas.</x:v>
      </x:c>
    </x:row>
    <x:row r="8">
      <x:c r="A8" s="74" t="n">
        <x:v>1</x:v>
      </x:c>
      <x:c r="B8" s="72" t="str">
        <x:v>Brightstone Ritual</x:v>
      </x:c>
      <x:c r="C8" s="72" t="str">
        <x:v>1 Brightstone Ritual (ONS) 191</x:v>
      </x:c>
      <x:c r="D8" s="72" t="str">
        <x:v>Ramp</x:v>
      </x:c>
      <x:c r="E8" s="72" t="str">
        <x:v>Não</x:v>
      </x:c>
      <x:c r="F8" s="72" t="str">
        <x:v>PROPOSED V3</x:v>
      </x:c>
      <x:c r="G8" s="72" t="str">
        <x:v>Aceleração ou conversão de fichas em mana.</x:v>
      </x:c>
    </x:row>
    <x:row r="9">
      <x:c r="A9" s="74" t="n">
        <x:v>1</x:v>
      </x:c>
      <x:c r="B9" s="72" t="str">
        <x:v>Caterwauling Boggart</x:v>
      </x:c>
      <x:c r="C9" s="72" t="str">
        <x:v>1 Caterwauling Boggart (LRW) 157</x:v>
      </x:c>
      <x:c r="D9" s="72" t="str">
        <x:v>Buff + Haste</x:v>
      </x:c>
      <x:c r="E9" s="72" t="str">
        <x:v>Não</x:v>
      </x:c>
      <x:c r="F9" s="72" t="str">
        <x:v>PROPOSED V3</x:v>
      </x:c>
      <x:c r="G9" s="72" t="str">
        <x:v>Aumenta combate, evasão, ímpeto ou proteção.</x:v>
      </x:c>
    </x:row>
    <x:row r="10">
      <x:c r="A10" s="74" t="n">
        <x:v>1</x:v>
      </x:c>
      <x:c r="B10" s="72" t="str">
        <x:v>Curse of Opulence</x:v>
      </x:c>
      <x:c r="C10" s="72" t="str">
        <x:v>1 Curse of Opulence (C17) 24</x:v>
      </x:c>
      <x:c r="D10" s="72" t="str">
        <x:v>Ramp</x:v>
      </x:c>
      <x:c r="E10" s="72" t="str">
        <x:v>Não</x:v>
      </x:c>
      <x:c r="F10" s="72" t="str">
        <x:v>PROPOSED V3</x:v>
      </x:c>
      <x:c r="G10" s="72" t="str">
        <x:v>Aceleração ou conversão de fichas em mana.</x:v>
      </x:c>
    </x:row>
    <x:row r="11">
      <x:c r="A11" s="74" t="n">
        <x:v>1</x:v>
      </x:c>
      <x:c r="B11" s="72" t="str">
        <x:v>Den of the Bugbear</x:v>
      </x:c>
      <x:c r="C11" s="72" t="str">
        <x:v>1 Den of the Bugbear (AFR) 254</x:v>
      </x:c>
      <x:c r="D11" s="72" t="str">
        <x:v>Token</x:v>
      </x:c>
      <x:c r="E11" s="72" t="str">
        <x:v>Sim — terreno</x:v>
      </x:c>
      <x:c r="F11" s="72" t="str">
        <x:v>PROPOSED V3</x:v>
      </x:c>
      <x:c r="G11" s="72" t="str">
        <x:v>Produz ou multiplica fichas de Goblin.</x:v>
      </x:c>
    </x:row>
    <x:row r="12">
      <x:c r="A12" s="74" t="n">
        <x:v>1</x:v>
      </x:c>
      <x:c r="B12" s="72" t="str">
        <x:v>Dragon Fodder</x:v>
      </x:c>
      <x:c r="C12" s="72" t="str">
        <x:v>1 Dragon Fodder (CMM) 217</x:v>
      </x:c>
      <x:c r="D12" s="72" t="str">
        <x:v>Token</x:v>
      </x:c>
      <x:c r="E12" s="72" t="str">
        <x:v>Não</x:v>
      </x:c>
      <x:c r="F12" s="72" t="str">
        <x:v>PROPOSED V3</x:v>
      </x:c>
      <x:c r="G12" s="72" t="str">
        <x:v>Produz ou multiplica fichas de Goblin.</x:v>
      </x:c>
    </x:row>
    <x:row r="13">
      <x:c r="A13" s="74" t="n">
        <x:v>1</x:v>
      </x:c>
      <x:c r="B13" s="72" t="str">
        <x:v>Eldrazi Monument</x:v>
      </x:c>
      <x:c r="C13" s="72" t="str">
        <x:v>1 Eldrazi Monument (ZEN) 199</x:v>
      </x:c>
      <x:c r="D13" s="72" t="str">
        <x:v>Buff + Haste</x:v>
      </x:c>
      <x:c r="E13" s="72" t="str">
        <x:v>Não</x:v>
      </x:c>
      <x:c r="F13" s="72" t="str">
        <x:v>PROPOSED V3</x:v>
      </x:c>
      <x:c r="G13" s="72" t="str">
        <x:v>Aumenta combate, evasão, ímpeto ou proteção.</x:v>
      </x:c>
    </x:row>
    <x:row r="14">
      <x:c r="A14" s="74" t="n">
        <x:v>1</x:v>
      </x:c>
      <x:c r="B14" s="72" t="str">
        <x:v>Embercleave</x:v>
      </x:c>
      <x:c r="C14" s="72" t="str">
        <x:v>1 Embercleave (ELD) 120</x:v>
      </x:c>
      <x:c r="D14" s="72" t="str">
        <x:v>Combate + Dano Direto</x:v>
      </x:c>
      <x:c r="E14" s="72" t="str">
        <x:v>Não</x:v>
      </x:c>
      <x:c r="F14" s="72" t="str">
        <x:v>PROPOSED V3</x:v>
      </x:c>
      <x:c r="G14" s="72" t="str">
        <x:v>Converte a mesa larga em dano ou pressão.</x:v>
      </x:c>
    </x:row>
    <x:row r="15">
      <x:c r="A15" s="74" t="n">
        <x:v>1</x:v>
      </x:c>
      <x:c r="B15" s="72" t="str">
        <x:v>Enduring Courage</x:v>
      </x:c>
      <x:c r="C15" s="72" t="str">
        <x:v>1 Enduring Courage (DSK) 133</x:v>
      </x:c>
      <x:c r="D15" s="72" t="str">
        <x:v>Buff + Haste</x:v>
      </x:c>
      <x:c r="E15" s="72" t="str">
        <x:v>Não</x:v>
      </x:c>
      <x:c r="F15" s="72" t="str">
        <x:v>PROPOSED V3</x:v>
      </x:c>
      <x:c r="G15" s="72" t="str">
        <x:v>Aumenta combate, evasão, ímpeto ou proteção.</x:v>
      </x:c>
    </x:row>
    <x:row r="16">
      <x:c r="A16" s="74" t="n">
        <x:v>1</x:v>
      </x:c>
      <x:c r="B16" s="72" t="str">
        <x:v>Faithless Looting</x:v>
      </x:c>
      <x:c r="C16" s="72" t="str">
        <x:v>1 Faithless Looting (CMM) 642</x:v>
      </x:c>
      <x:c r="D16" s="72" t="str">
        <x:v>Draw</x:v>
      </x:c>
      <x:c r="E16" s="72" t="str">
        <x:v>Não</x:v>
      </x:c>
      <x:c r="F16" s="72" t="str">
        <x:v>PROPOSED V3</x:v>
      </x:c>
      <x:c r="G16" s="72" t="str">
        <x:v>Compra, seleção ou acesso impulsivo a cartas.</x:v>
      </x:c>
    </x:row>
    <x:row r="17">
      <x:c r="A17" s="74" t="n">
        <x:v>1</x:v>
      </x:c>
      <x:c r="B17" s="72" t="str">
        <x:v>Fiery Emancipation</x:v>
      </x:c>
      <x:c r="C17" s="72" t="str">
        <x:v>1 Fiery Emancipation (WOT) 42</x:v>
      </x:c>
      <x:c r="D17" s="72" t="str">
        <x:v>Combate + Dano Direto</x:v>
      </x:c>
      <x:c r="E17" s="72" t="str">
        <x:v>Não</x:v>
      </x:c>
      <x:c r="F17" s="72" t="str">
        <x:v>PROPOSED V3</x:v>
      </x:c>
      <x:c r="G17" s="72" t="str">
        <x:v>Converte a mesa larga em dano ou pressão.</x:v>
      </x:c>
    </x:row>
    <x:row r="18">
      <x:c r="A18" s="74" t="n">
        <x:v>1</x:v>
      </x:c>
      <x:c r="B18" s="72" t="str">
        <x:v>Goblin Bombardment</x:v>
      </x:c>
      <x:c r="C18" s="72" t="str">
        <x:v>1 Goblin Bombardment (MH2) 279</x:v>
      </x:c>
      <x:c r="D18" s="72" t="str">
        <x:v>Combate + Dano Direto</x:v>
      </x:c>
      <x:c r="E18" s="72" t="str">
        <x:v>Não</x:v>
      </x:c>
      <x:c r="F18" s="72" t="str">
        <x:v>PROPOSED V3</x:v>
      </x:c>
      <x:c r="G18" s="72" t="str">
        <x:v>Sac outlet e dano direto; converte fichas em alcance.</x:v>
      </x:c>
    </x:row>
    <x:row r="19">
      <x:c r="A19" s="74" t="n">
        <x:v>1</x:v>
      </x:c>
      <x:c r="B19" s="72" t="str">
        <x:v>Goblin Engineer</x:v>
      </x:c>
      <x:c r="C19" s="72" t="str">
        <x:v>1 Goblin Engineer (MH1) 128</x:v>
      </x:c>
      <x:c r="D19" s="72" t="str">
        <x:v>Sinergia 2</x:v>
      </x:c>
      <x:c r="E19" s="72" t="str">
        <x:v>Não</x:v>
      </x:c>
      <x:c r="F19" s="72" t="str">
        <x:v>PROPOSED V3</x:v>
      </x:c>
      <x:c r="G19" s="72" t="str">
        <x:v>Toolbox tribal, recursão, sacrifício ou geração de valor.</x:v>
      </x:c>
    </x:row>
    <x:row r="20">
      <x:c r="A20" s="74" t="n">
        <x:v>1</x:v>
      </x:c>
      <x:c r="B20" s="72" t="str">
        <x:v>Goblin Matron</x:v>
      </x:c>
      <x:c r="C20" s="72" t="str">
        <x:v>1 Goblin Matron (DMR) 123</x:v>
      </x:c>
      <x:c r="D20" s="72" t="str">
        <x:v>Sinergia 2</x:v>
      </x:c>
      <x:c r="E20" s="72" t="str">
        <x:v>Não</x:v>
      </x:c>
      <x:c r="F20" s="72" t="str">
        <x:v>PROPOSED V3</x:v>
      </x:c>
      <x:c r="G20" s="72" t="str">
        <x:v>Toolbox tribal, recursão, sacrifício ou geração de valor.</x:v>
      </x:c>
    </x:row>
    <x:row r="21">
      <x:c r="A21" s="74" t="n">
        <x:v>1</x:v>
      </x:c>
      <x:c r="B21" s="72" t="str">
        <x:v>Goblin Negotiation</x:v>
      </x:c>
      <x:c r="C21" s="72" t="str">
        <x:v>1 Goblin Negotiation (FDN) 88</x:v>
      </x:c>
      <x:c r="D21" s="72" t="str">
        <x:v>Removal</x:v>
      </x:c>
      <x:c r="E21" s="72" t="str">
        <x:v>Não</x:v>
      </x:c>
      <x:c r="F21" s="72" t="str">
        <x:v>PROPOSED V3</x:v>
      </x:c>
      <x:c r="G21" s="72" t="str">
        <x:v>Interação; avaliar tipos alcançados e custo.</x:v>
      </x:c>
    </x:row>
    <x:row r="22">
      <x:c r="A22" s="74" t="n">
        <x:v>1</x:v>
      </x:c>
      <x:c r="B22" s="72" t="str">
        <x:v>Goblin Rabblemaster</x:v>
      </x:c>
      <x:c r="C22" s="72" t="str">
        <x:v>1 Goblin Rabblemaster (P30A) 22 *F*</x:v>
      </x:c>
      <x:c r="D22" s="72" t="str">
        <x:v>Token</x:v>
      </x:c>
      <x:c r="E22" s="72" t="str">
        <x:v>Não</x:v>
      </x:c>
      <x:c r="F22" s="72" t="str">
        <x:v>PROPOSED V3</x:v>
      </x:c>
      <x:c r="G22" s="72" t="str">
        <x:v>Produz ou multiplica fichas de Goblin.</x:v>
      </x:c>
    </x:row>
    <x:row r="23">
      <x:c r="A23" s="74" t="n">
        <x:v>1</x:v>
      </x:c>
      <x:c r="B23" s="72" t="str">
        <x:v>Goblin Surprise</x:v>
      </x:c>
      <x:c r="C23" s="72" t="str">
        <x:v>1 Goblin Surprise (FDN) 200</x:v>
      </x:c>
      <x:c r="D23" s="72" t="str">
        <x:v>Token</x:v>
      </x:c>
      <x:c r="E23" s="72" t="str">
        <x:v>Não</x:v>
      </x:c>
      <x:c r="F23" s="72" t="str">
        <x:v>PROPOSED V3</x:v>
      </x:c>
      <x:c r="G23" s="72" t="str">
        <x:v>Produz ou multiplica fichas de Goblin.</x:v>
      </x:c>
    </x:row>
    <x:row r="24">
      <x:c r="A24" s="74" t="n">
        <x:v>1</x:v>
      </x:c>
      <x:c r="B24" s="72" t="str">
        <x:v>Goblin Traprunner</x:v>
      </x:c>
      <x:c r="C24" s="72" t="str">
        <x:v>1 Goblin Traprunner (MH2) 130</x:v>
      </x:c>
      <x:c r="D24" s="72" t="str">
        <x:v>Token</x:v>
      </x:c>
      <x:c r="E24" s="72" t="str">
        <x:v>Não</x:v>
      </x:c>
      <x:c r="F24" s="72" t="str">
        <x:v>PROPOSED V3</x:v>
      </x:c>
      <x:c r="G24" s="72" t="str">
        <x:v>Produz ou multiplica fichas de Goblin.</x:v>
      </x:c>
    </x:row>
    <x:row r="25">
      <x:c r="A25" s="74" t="n">
        <x:v>1</x:v>
      </x:c>
      <x:c r="B25" s="72" t="str">
        <x:v>Goblin War Strike</x:v>
      </x:c>
      <x:c r="C25" s="72" t="str">
        <x:v>1 Goblin War Strike (SCG) 96</x:v>
      </x:c>
      <x:c r="D25" s="72" t="str">
        <x:v>Combate + Dano Direto</x:v>
      </x:c>
      <x:c r="E25" s="72" t="str">
        <x:v>Não</x:v>
      </x:c>
      <x:c r="F25" s="72" t="str">
        <x:v>PROPOSED V3</x:v>
      </x:c>
      <x:c r="G25" s="72" t="str">
        <x:v>Converte a mesa larga em dano ou pressão.</x:v>
      </x:c>
    </x:row>
    <x:row r="26">
      <x:c r="A26" s="74" t="n">
        <x:v>1</x:v>
      </x:c>
      <x:c r="B26" s="72" t="str">
        <x:v>Goblin Warchief</x:v>
      </x:c>
      <x:c r="C26" s="72" t="str">
        <x:v>1 Goblin Warchief (DOM) 130</x:v>
      </x:c>
      <x:c r="D26" s="72" t="str">
        <x:v>Buff + Haste</x:v>
      </x:c>
      <x:c r="E26" s="72" t="str">
        <x:v>Não</x:v>
      </x:c>
      <x:c r="F26" s="72" t="str">
        <x:v>PROPOSED V3</x:v>
      </x:c>
      <x:c r="G26" s="72" t="str">
        <x:v>Aumenta combate, evasão, ímpeto ou proteção.</x:v>
      </x:c>
    </x:row>
    <x:row r="27">
      <x:c r="A27" s="74" t="n">
        <x:v>1</x:v>
      </x:c>
      <x:c r="B27" s="72" t="str">
        <x:v>Goblin Welder</x:v>
      </x:c>
      <x:c r="C27" s="72" t="str">
        <x:v>1 Goblin Welder (DDU) 35 *F*</x:v>
      </x:c>
      <x:c r="D27" s="72" t="str">
        <x:v>Sinergia 2</x:v>
      </x:c>
      <x:c r="E27" s="72" t="str">
        <x:v>Não</x:v>
      </x:c>
      <x:c r="F27" s="72" t="str">
        <x:v>PROPOSED V3</x:v>
      </x:c>
      <x:c r="G27" s="72" t="str">
        <x:v>Toolbox tribal, recursão, sacrifício ou geração de valor.</x:v>
      </x:c>
    </x:row>
    <x:row r="28">
      <x:c r="A28" s="74" t="n">
        <x:v>1</x:v>
      </x:c>
      <x:c r="B28" s="72" t="str">
        <x:v>Grenzo, Havoc Raiser</x:v>
      </x:c>
      <x:c r="C28" s="72" t="str">
        <x:v>1 Grenzo, Havoc Raiser (CMM) 228</x:v>
      </x:c>
      <x:c r="D28" s="72" t="str">
        <x:v>Sinergia 2</x:v>
      </x:c>
      <x:c r="E28" s="72" t="str">
        <x:v>Não</x:v>
      </x:c>
      <x:c r="F28" s="72" t="str">
        <x:v>PROPOSED V3</x:v>
      </x:c>
      <x:c r="G28" s="72" t="str">
        <x:v>Toolbox tribal, recursão, sacrifício ou geração de valor.</x:v>
      </x:c>
    </x:row>
    <x:row r="29">
      <x:c r="A29" s="74" t="n">
        <x:v>1</x:v>
      </x:c>
      <x:c r="B29" s="72" t="str">
        <x:v>Hobgoblin Bandit Lord</x:v>
      </x:c>
      <x:c r="C29" s="72" t="str">
        <x:v>1 Hobgoblin Bandit Lord (AFR) 147</x:v>
      </x:c>
      <x:c r="D29" s="72" t="str">
        <x:v>Buff + Haste</x:v>
      </x:c>
      <x:c r="E29" s="72" t="str">
        <x:v>Não</x:v>
      </x:c>
      <x:c r="F29" s="72" t="str">
        <x:v>PROPOSED V3</x:v>
      </x:c>
      <x:c r="G29" s="72" t="str">
        <x:v>Aumenta combate, evasão, ímpeto ou proteção.</x:v>
      </x:c>
    </x:row>
    <x:row r="30">
      <x:c r="A30" s="74" t="n">
        <x:v>1</x:v>
      </x:c>
      <x:c r="B30" s="72" t="str">
        <x:v>Icon of Ancestry</x:v>
      </x:c>
      <x:c r="C30" s="72" t="str">
        <x:v>1 Icon of Ancestry (M20) 229</x:v>
      </x:c>
      <x:c r="D30" s="72" t="str">
        <x:v>Buff + Haste</x:v>
      </x:c>
      <x:c r="E30" s="72" t="str">
        <x:v>Não</x:v>
      </x:c>
      <x:c r="F30" s="72" t="str">
        <x:v>PROPOSED V3</x:v>
      </x:c>
      <x:c r="G30" s="72" t="str">
        <x:v>Aumenta combate, evasão, ímpeto ou proteção.</x:v>
      </x:c>
    </x:row>
    <x:row r="31">
      <x:c r="A31" s="74" t="n">
        <x:v>1</x:v>
      </x:c>
      <x:c r="B31" s="72" t="str">
        <x:v>Impulsive Pilferer</x:v>
      </x:c>
      <x:c r="C31" s="72" t="str">
        <x:v>1 Impulsive Pilferer (CMM) 234 *F*</x:v>
      </x:c>
      <x:c r="D31" s="72" t="str">
        <x:v>Ramp</x:v>
      </x:c>
      <x:c r="E31" s="72" t="str">
        <x:v>Não</x:v>
      </x:c>
      <x:c r="F31" s="72" t="str">
        <x:v>PROPOSED V3</x:v>
      </x:c>
      <x:c r="G31" s="72" t="str">
        <x:v>Aceleração ou conversão de fichas em mana.</x:v>
      </x:c>
    </x:row>
    <x:row r="32">
      <x:c r="A32" s="74" t="n">
        <x:v>1</x:v>
      </x:c>
      <x:c r="B32" s="72" t="str">
        <x:v>Legion Warboss</x:v>
      </x:c>
      <x:c r="C32" s="72" t="str">
        <x:v>1 Legion Warboss (ONC) 101</x:v>
      </x:c>
      <x:c r="D32" s="72" t="str">
        <x:v>Token</x:v>
      </x:c>
      <x:c r="E32" s="72" t="str">
        <x:v>Não</x:v>
      </x:c>
      <x:c r="F32" s="72" t="str">
        <x:v>PROPOSED V3</x:v>
      </x:c>
      <x:c r="G32" s="72" t="str">
        <x:v>Produz ou multiplica fichas de Goblin.</x:v>
      </x:c>
    </x:row>
    <x:row r="33">
      <x:c r="A33" s="74" t="n">
        <x:v>1</x:v>
      </x:c>
      <x:c r="B33" s="72" t="str">
        <x:v>Marvin, Murderous Mimic</x:v>
      </x:c>
      <x:c r="C33" s="72" t="str">
        <x:v>1 Marvin, Murderous Mimic (DSK) 367</x:v>
      </x:c>
      <x:c r="D33" s="72" t="str">
        <x:v>Sinergia 1</x:v>
      </x:c>
      <x:c r="E33" s="72" t="str">
        <x:v>Não</x:v>
      </x:c>
      <x:c r="F33" s="72" t="str">
        <x:v>PROPOSED V3</x:v>
      </x:c>
      <x:c r="G33" s="72" t="str">
        <x:v>Copia habilidades ativadas de outras criaturas; pode copiar a habilidade de Krenko.</x:v>
      </x:c>
    </x:row>
    <x:row r="34">
      <x:c r="A34" s="74" t="n">
        <x:v>1</x:v>
      </x:c>
      <x:c r="B34" s="72" t="str">
        <x:v>Mizzium Mortars</x:v>
      </x:c>
      <x:c r="C34" s="72" t="str">
        <x:v>1 Mizzium Mortars (RTR) 101</x:v>
      </x:c>
      <x:c r="D34" s="72" t="str">
        <x:v>Removal</x:v>
      </x:c>
      <x:c r="E34" s="72" t="str">
        <x:v>Não</x:v>
      </x:c>
      <x:c r="F34" s="72" t="str">
        <x:v>PROPOSED V3</x:v>
      </x:c>
      <x:c r="G34" s="72" t="str">
        <x:v>Interação; avaliar tipos alcançados e custo.</x:v>
      </x:c>
    </x:row>
    <x:row r="35">
      <x:c r="A35" s="74" t="n">
        <x:v>26</x:v>
      </x:c>
      <x:c r="B35" s="72" t="str">
        <x:v>Mountain</x:v>
      </x:c>
      <x:c r="C35" s="72" t="str">
        <x:v>26 Mountain (WOE) 274 *F*</x:v>
      </x:c>
      <x:c r="D35" s="72" t="str">
        <x:v>Ramp</x:v>
      </x:c>
      <x:c r="E35" s="72" t="str">
        <x:v>Sim — terreno</x:v>
      </x:c>
      <x:c r="F35" s="72" t="str">
        <x:v>PROPOSED V3</x:v>
      </x:c>
      <x:c r="G35" s="72" t="str">
        <x:v>Aceleração ou conversão de fichas em mana.</x:v>
      </x:c>
    </x:row>
    <x:row r="36">
      <x:c r="A36" s="74" t="n">
        <x:v>1</x:v>
      </x:c>
      <x:c r="B36" s="72" t="str">
        <x:v>Muxus, Goblin Grandee</x:v>
      </x:c>
      <x:c r="C36" s="72" t="str">
        <x:v>1 Muxus, Goblin Grandee (J22) 575</x:v>
      </x:c>
      <x:c r="D36" s="72" t="str">
        <x:v>Sinergia 2</x:v>
      </x:c>
      <x:c r="E36" s="72" t="str">
        <x:v>Não</x:v>
      </x:c>
      <x:c r="F36" s="72" t="str">
        <x:v>PROPOSED V3</x:v>
      </x:c>
      <x:c r="G36" s="72" t="str">
        <x:v>Toolbox tribal, recursão, sacrifício ou geração de valor.</x:v>
      </x:c>
    </x:row>
    <x:row r="37">
      <x:c r="A37" s="74" t="n">
        <x:v>1</x:v>
      </x:c>
      <x:c r="B37" s="72" t="str">
        <x:v>Opal Palace</x:v>
      </x:c>
      <x:c r="C37" s="72" t="str">
        <x:v>1 Opal Palace (CMM) 422</x:v>
      </x:c>
      <x:c r="D37" s="72" t="str">
        <x:v>Ramp</x:v>
      </x:c>
      <x:c r="E37" s="72" t="str">
        <x:v>Sim — terreno</x:v>
      </x:c>
      <x:c r="F37" s="72" t="str">
        <x:v>PROPOSED V3</x:v>
      </x:c>
      <x:c r="G37" s="72" t="str">
        <x:v>Aceleração ou conversão de fichas em mana.</x:v>
      </x:c>
    </x:row>
    <x:row r="38">
      <x:c r="A38" s="74" t="n">
        <x:v>1</x:v>
      </x:c>
      <x:c r="B38" s="72" t="str">
        <x:v>Outpost Siege</x:v>
      </x:c>
      <x:c r="C38" s="72" t="str">
        <x:v>1 Outpost Siege (C17) 139</x:v>
      </x:c>
      <x:c r="D38" s="72" t="str">
        <x:v>Draw</x:v>
      </x:c>
      <x:c r="E38" s="72" t="str">
        <x:v>Não</x:v>
      </x:c>
      <x:c r="F38" s="72" t="str">
        <x:v>PROPOSED V3</x:v>
      </x:c>
      <x:c r="G38" s="72" t="str">
        <x:v>Compra, seleção ou acesso impulsivo a cartas.</x:v>
      </x:c>
    </x:row>
    <x:row r="39">
      <x:c r="A39" s="74" t="n">
        <x:v>1</x:v>
      </x:c>
      <x:c r="B39" s="72" t="str">
        <x:v>Patchwork Banner</x:v>
      </x:c>
      <x:c r="C39" s="72" t="str">
        <x:v>1 Patchwork Banner (BLB) 247 *F*</x:v>
      </x:c>
      <x:c r="D39" s="72" t="str">
        <x:v>Buff + Haste</x:v>
      </x:c>
      <x:c r="E39" s="72" t="str">
        <x:v>Não</x:v>
      </x:c>
      <x:c r="F39" s="72" t="str">
        <x:v>PROPOSED V3</x:v>
      </x:c>
      <x:c r="G39" s="72" t="str">
        <x:v>Aumenta combate, evasão, ímpeto ou proteção.</x:v>
      </x:c>
    </x:row>
    <x:row r="40">
      <x:c r="A40" s="74" t="n">
        <x:v>1</x:v>
      </x:c>
      <x:c r="B40" s="72" t="str">
        <x:v>Path of Ancestry</x:v>
      </x:c>
      <x:c r="C40" s="72" t="str">
        <x:v>1 Path of Ancestry (CMM) 661</x:v>
      </x:c>
      <x:c r="D40" s="72" t="str">
        <x:v>Ramp</x:v>
      </x:c>
      <x:c r="E40" s="72" t="str">
        <x:v>Sim — terreno</x:v>
      </x:c>
      <x:c r="F40" s="72" t="str">
        <x:v>PROPOSED V3</x:v>
      </x:c>
      <x:c r="G40" s="72" t="str">
        <x:v>Aceleração ou conversão de fichas em mana.</x:v>
      </x:c>
    </x:row>
    <x:row r="41">
      <x:c r="A41" s="74" t="n">
        <x:v>1</x:v>
      </x:c>
      <x:c r="B41" s="72" t="str">
        <x:v>Purphoros, Bronze-Blooded</x:v>
      </x:c>
      <x:c r="C41" s="72" t="str">
        <x:v>1 Purphoros, Bronze-Blooded (THB) 265</x:v>
      </x:c>
      <x:c r="D41" s="72" t="str">
        <x:v>Buff + Haste</x:v>
      </x:c>
      <x:c r="E41" s="72" t="str">
        <x:v>Não</x:v>
      </x:c>
      <x:c r="F41" s="72" t="str">
        <x:v>PROPOSED V3</x:v>
      </x:c>
      <x:c r="G41" s="72" t="str">
        <x:v>Aumenta combate, evasão, ímpeto ou proteção.</x:v>
      </x:c>
    </x:row>
    <x:row r="42">
      <x:c r="A42" s="74" t="n">
        <x:v>1</x:v>
      </x:c>
      <x:c r="B42" s="72" t="str">
        <x:v>Raid Bombardment</x:v>
      </x:c>
      <x:c r="C42" s="72" t="str">
        <x:v>1 Raid Bombardment (WOT) 47</x:v>
      </x:c>
      <x:c r="D42" s="72" t="str">
        <x:v>Combate + Dano Direto</x:v>
      </x:c>
      <x:c r="E42" s="72" t="str">
        <x:v>Não</x:v>
      </x:c>
      <x:c r="F42" s="72" t="str">
        <x:v>PROPOSED V3</x:v>
      </x:c>
      <x:c r="G42" s="72" t="str">
        <x:v>Converte a mesa larga em dano ou pressão.</x:v>
      </x:c>
    </x:row>
    <x:row r="43">
      <x:c r="A43" s="74" t="n">
        <x:v>1</x:v>
      </x:c>
      <x:c r="B43" s="72" t="str">
        <x:v>Ruby Medallion</x:v>
      </x:c>
      <x:c r="C43" s="72" t="str">
        <x:v>1 Ruby Medallion (CMM) 405</x:v>
      </x:c>
      <x:c r="D43" s="72" t="str">
        <x:v>Ramp</x:v>
      </x:c>
      <x:c r="E43" s="72" t="str">
        <x:v>Não</x:v>
      </x:c>
      <x:c r="F43" s="72" t="str">
        <x:v>PROPOSED V3</x:v>
      </x:c>
      <x:c r="G43" s="72" t="str">
        <x:v>Reduz o componente genérico do custo de mágicas vermelhas.</x:v>
      </x:c>
    </x:row>
    <x:row r="44">
      <x:c r="A44" s="74" t="n">
        <x:v>1</x:v>
      </x:c>
      <x:c r="B44" s="72" t="str">
        <x:v>Rundvelt Hordemaster</x:v>
      </x:c>
      <x:c r="C44" s="72" t="str">
        <x:v>1 Rundvelt Hordemaster (DMU) 142</x:v>
      </x:c>
      <x:c r="D44" s="72" t="str">
        <x:v>Sinergia 2</x:v>
      </x:c>
      <x:c r="E44" s="72" t="str">
        <x:v>Não</x:v>
      </x:c>
      <x:c r="F44" s="72" t="str">
        <x:v>PROPOSED V3</x:v>
      </x:c>
      <x:c r="G44" s="72" t="str">
        <x:v>Fonte de vantagem quando outros Goblins que você controla morrem.</x:v>
      </x:c>
    </x:row>
    <x:row r="45">
      <x:c r="A45" s="74" t="n">
        <x:v>1</x:v>
      </x:c>
      <x:c r="B45" s="72" t="str">
        <x:v>Searslicer Goblin</x:v>
      </x:c>
      <x:c r="C45" s="72" t="str">
        <x:v>1 Searslicer Goblin (FDN) 93 *F*</x:v>
      </x:c>
      <x:c r="D45" s="72" t="str">
        <x:v>Token</x:v>
      </x:c>
      <x:c r="E45" s="72" t="str">
        <x:v>Não</x:v>
      </x:c>
      <x:c r="F45" s="72" t="str">
        <x:v>PROPOSED V3</x:v>
      </x:c>
      <x:c r="G45" s="72" t="str">
        <x:v>Produz ou multiplica fichas de Goblin.</x:v>
      </x:c>
    </x:row>
    <x:row r="46">
      <x:c r="A46" s="74" t="n">
        <x:v>1</x:v>
      </x:c>
      <x:c r="B46" s="72" t="str">
        <x:v>Shared Animosity</x:v>
      </x:c>
      <x:c r="C46" s="72" t="str">
        <x:v>1 Shared Animosity (WOT) 49</x:v>
      </x:c>
      <x:c r="D46" s="72" t="str">
        <x:v>Combate + Dano Direto</x:v>
      </x:c>
      <x:c r="E46" s="72" t="str">
        <x:v>Não</x:v>
      </x:c>
      <x:c r="F46" s="72" t="str">
        <x:v>PROPOSED V3</x:v>
      </x:c>
      <x:c r="G46" s="72" t="str">
        <x:v>Converte a mesa larga em dano ou pressão.</x:v>
      </x:c>
    </x:row>
    <x:row r="47">
      <x:c r="A47" s="74" t="n">
        <x:v>1</x:v>
      </x:c>
      <x:c r="B47" s="72" t="str">
        <x:v>Soulstone Sanctuary</x:v>
      </x:c>
      <x:c r="C47" s="72" t="str">
        <x:v>1 Soulstone Sanctuary (FDN) 133</x:v>
      </x:c>
      <x:c r="D47" s="72" t="str">
        <x:v>Token</x:v>
      </x:c>
      <x:c r="E47" s="72" t="str">
        <x:v>Sim — terreno</x:v>
      </x:c>
      <x:c r="F47" s="72" t="str">
        <x:v>PROPOSED V3</x:v>
      </x:c>
      <x:c r="G47" s="72" t="str">
        <x:v>Produz ou multiplica fichas de Goblin.</x:v>
      </x:c>
    </x:row>
    <x:row r="48">
      <x:c r="A48" s="74" t="n">
        <x:v>1</x:v>
      </x:c>
      <x:c r="B48" s="72" t="str">
        <x:v>Sundering Eruption</x:v>
      </x:c>
      <x:c r="C48" s="72" t="str">
        <x:v>1 Sundering Eruption (MH3) 248</x:v>
      </x:c>
      <x:c r="D48" s="72" t="str">
        <x:v>Removal</x:v>
      </x:c>
      <x:c r="E48" s="72" t="str">
        <x:v>Sim — face-terreno</x:v>
      </x:c>
      <x:c r="F48" s="72" t="str">
        <x:v>PROPOSED V3</x:v>
      </x:c>
      <x:c r="G48" s="72" t="str">
        <x:v>Interação; avaliar tipos alcançados e custo.</x:v>
      </x:c>
    </x:row>
    <x:row r="49">
      <x:c r="A49" s="74" t="n">
        <x:v>1</x:v>
      </x:c>
      <x:c r="B49" s="72" t="str">
        <x:v>Thrill of Possibility</x:v>
      </x:c>
      <x:c r="C49" s="72" t="str">
        <x:v>1 Thrill of Possibility (STA) 46</x:v>
      </x:c>
      <x:c r="D49" s="72" t="str">
        <x:v>Draw</x:v>
      </x:c>
      <x:c r="E49" s="72" t="str">
        <x:v>Não</x:v>
      </x:c>
      <x:c r="F49" s="72" t="str">
        <x:v>PROPOSED V3</x:v>
      </x:c>
      <x:c r="G49" s="72" t="str">
        <x:v>Compra, seleção ou acesso impulsivo a cartas.</x:v>
      </x:c>
    </x:row>
    <x:row r="50">
      <x:c r="A50" s="74" t="n">
        <x:v>1</x:v>
      </x:c>
      <x:c r="B50" s="72" t="str">
        <x:v>Treasure Nabber</x:v>
      </x:c>
      <x:c r="C50" s="72" t="str">
        <x:v>1 Treasure Nabber (CMM) 265</x:v>
      </x:c>
      <x:c r="D50" s="72" t="str">
        <x:v>Sinergia 2</x:v>
      </x:c>
      <x:c r="E50" s="72" t="str">
        <x:v>Não</x:v>
      </x:c>
      <x:c r="F50" s="72" t="str">
        <x:v>PROPOSED V3</x:v>
      </x:c>
      <x:c r="G50" s="72" t="str">
        <x:v>Toolbox tribal, recursão, sacrifício ou geração de valor.</x:v>
      </x:c>
    </x:row>
    <x:row r="51">
      <x:c r="A51" s="74" t="n">
        <x:v>1</x:v>
      </x:c>
      <x:c r="B51" s="72" t="str">
        <x:v>Urabrask the Hidden</x:v>
      </x:c>
      <x:c r="C51" s="72" t="str">
        <x:v>1 Urabrask the Hidden (CLB) 811</x:v>
      </x:c>
      <x:c r="D51" s="72" t="str">
        <x:v>Buff + Haste</x:v>
      </x:c>
      <x:c r="E51" s="72" t="str">
        <x:v>Não</x:v>
      </x:c>
      <x:c r="F51" s="72" t="str">
        <x:v>PROPOSED V3</x:v>
      </x:c>
      <x:c r="G51" s="72" t="str">
        <x:v>Aumenta combate, evasão, ímpeto ou proteção.</x:v>
      </x:c>
    </x:row>
    <x:row r="52">
      <x:c r="A52" s="74" t="n">
        <x:v>1</x:v>
      </x:c>
      <x:c r="B52" s="72" t="str">
        <x:v>Sol Ring</x:v>
      </x:c>
      <x:c r="C52" s="72" t="str">
        <x:v>Sugestão nova — impressão não definida</x:v>
      </x:c>
      <x:c r="D52" s="72" t="str">
        <x:v>Ramp</x:v>
      </x:c>
      <x:c r="E52" s="72" t="str">
        <x:v>Não</x:v>
      </x:c>
      <x:c r="F52" s="72" t="str">
        <x:v>PROPOSED V3</x:v>
      </x:c>
      <x:c r="G52" s="72" t="str">
        <x:v>Aceleração eficiente que estava ausente da lista original de Krenko.</x:v>
      </x:c>
    </x:row>
    <x:row r="53">
      <x:c r="A53" s="74" t="n">
        <x:v>1</x:v>
      </x:c>
      <x:c r="B53" s="72" t="str">
        <x:v>Skullclamp</x:v>
      </x:c>
      <x:c r="C53" s="72" t="str">
        <x:v>Sugestão nova — impressão não definida</x:v>
      </x:c>
      <x:c r="D53" s="72" t="str">
        <x:v>Draw</x:v>
      </x:c>
      <x:c r="E53" s="72" t="str">
        <x:v>Não</x:v>
      </x:c>
      <x:c r="F53" s="72" t="str">
        <x:v>PROPOSED V3</x:v>
      </x:c>
      <x:c r="G53" s="72" t="str">
        <x:v>Motor de compra com fichas pequenas; sac outlets resolvem situações em que buffs mantêm a ficha viva.</x:v>
      </x:c>
    </x:row>
    <x:row r="54">
      <x:c r="A54" s="74" t="n">
        <x:v>1</x:v>
      </x:c>
      <x:c r="B54" s="72" t="str">
        <x:v>Idol of Oblivion</x:v>
      </x:c>
      <x:c r="C54" s="72" t="str">
        <x:v>Sugestão nova — impressão não definida</x:v>
      </x:c>
      <x:c r="D54" s="72" t="str">
        <x:v>Draw</x:v>
      </x:c>
      <x:c r="E54" s="72" t="str">
        <x:v>Não</x:v>
      </x:c>
      <x:c r="F54" s="72" t="str">
        <x:v>PROPOSED V3</x:v>
      </x:c>
      <x:c r="G54" s="72" t="str">
        <x:v>Compra uma vez por turno se você criou uma ficha naquele turno.</x:v>
      </x:c>
    </x:row>
    <x:row r="55">
      <x:c r="A55" s="74" t="n">
        <x:v>1</x:v>
      </x:c>
      <x:c r="B55" s="72" t="str">
        <x:v>Slate of Ancestry</x:v>
      </x:c>
      <x:c r="C55" s="72" t="str">
        <x:v>Sugestão nova — impressão não definida</x:v>
      </x:c>
      <x:c r="D55" s="72" t="str">
        <x:v>Draw</x:v>
      </x:c>
      <x:c r="E55" s="72" t="str">
        <x:v>Não</x:v>
      </x:c>
      <x:c r="F55" s="72" t="str">
        <x:v>PROPOSED V3</x:v>
      </x:c>
      <x:c r="G55" s="72" t="str">
        <x:v>Compra um número de cartas proporcional às criaturas, descartando a mão como custo.</x:v>
      </x:c>
    </x:row>
    <x:row r="56">
      <x:c r="A56" s="74" t="n">
        <x:v>1</x:v>
      </x:c>
      <x:c r="B56" s="72" t="str">
        <x:v>Skirk Prospector</x:v>
      </x:c>
      <x:c r="C56" s="72" t="str">
        <x:v>Sugestão nova — impressão não definida</x:v>
      </x:c>
      <x:c r="D56" s="72" t="str">
        <x:v>Ramp</x:v>
      </x:c>
      <x:c r="E56" s="72" t="str">
        <x:v>Não</x:v>
      </x:c>
      <x:c r="F56" s="72" t="str">
        <x:v>PROPOSED V3</x:v>
      </x:c>
      <x:c r="G56" s="72" t="str">
        <x:v>Sacrifica Goblins para gerar mana vermelha, facilitando turnos explosivos.</x:v>
      </x:c>
    </x:row>
    <x:row r="57">
      <x:c r="A57" s="74" t="n">
        <x:v>1</x:v>
      </x:c>
      <x:c r="B57" s="72" t="str">
        <x:v>Goblin Trashmaster</x:v>
      </x:c>
      <x:c r="C57" s="72" t="str">
        <x:v>Sugestão nova — impressão não definida</x:v>
      </x:c>
      <x:c r="D57" s="72" t="str">
        <x:v>Removal</x:v>
      </x:c>
      <x:c r="E57" s="72" t="str">
        <x:v>Não</x:v>
      </x:c>
      <x:c r="F57" s="72" t="str">
        <x:v>PROPOSED V3</x:v>
      </x:c>
      <x:c r="G57" s="72" t="str">
        <x:v>Lord tribal e destruição repetível de artefatos ao sacrificar outro Goblin.</x:v>
      </x:c>
    </x:row>
    <x:row r="58">
      <x:c r="A58" s="74" t="n">
        <x:v>1</x:v>
      </x:c>
      <x:c r="B58" s="72" t="str">
        <x:v>Lightning Greaves</x:v>
      </x:c>
      <x:c r="C58" s="72" t="str">
        <x:v>Sugestão nova — impressão não definida</x:v>
      </x:c>
      <x:c r="D58" s="72" t="str">
        <x:v>Buff + Haste</x:v>
      </x:c>
      <x:c r="E58" s="72" t="str">
        <x:v>Não</x:v>
      </x:c>
      <x:c r="F58" s="72" t="str">
        <x:v>PROPOSED V3</x:v>
      </x:c>
      <x:c r="G58" s="72" t="str">
        <x:v>Aumenta combate, evasão, ímpeto ou proteção.</x:v>
      </x:c>
    </x:row>
    <x:row r="59">
      <x:c r="A59" s="74" t="n">
        <x:v>1</x:v>
      </x:c>
      <x:c r="B59" s="72" t="str">
        <x:v>Thousand-Year Elixir</x:v>
      </x:c>
      <x:c r="C59" s="72" t="str">
        <x:v>Sugestão nova — impressão não definida</x:v>
      </x:c>
      <x:c r="D59" s="72" t="str">
        <x:v>Sinergia 1</x:v>
      </x:c>
      <x:c r="E59" s="72" t="str">
        <x:v>Não</x:v>
      </x:c>
      <x:c r="F59" s="72" t="str">
        <x:v>PROPOSED V3</x:v>
      </x:c>
      <x:c r="G59" s="72" t="str">
        <x:v>Permite ativar criaturas como se tivessem ímpeto e pode desvirar uma criatura.</x:v>
      </x:c>
    </x:row>
    <x:row r="60">
      <x:c r="A60" s="74" t="n">
        <x:v>1</x:v>
      </x:c>
      <x:c r="B60" s="72" t="str">
        <x:v>Jeska's Will</x:v>
      </x:c>
      <x:c r="C60" s="72" t="str">
        <x:v>Sugestão nova — impressão não definida</x:v>
      </x:c>
      <x:c r="D60" s="72" t="str">
        <x:v>Ramp</x:v>
      </x:c>
      <x:c r="E60" s="72" t="str">
        <x:v>Não</x:v>
      </x:c>
      <x:c r="F60" s="72" t="str">
        <x:v>PROPOSED V3</x:v>
      </x:c>
      <x:c r="G60" s="72" t="str">
        <x:v>Mana explosiva e acesso impulsivo a cartas; com comandante em campo, pode usar os dois modos.</x:v>
      </x:c>
    </x:row>
    <x:row r="61">
      <x:c r="A61" s="74" t="n">
        <x:v>1</x:v>
      </x:c>
      <x:c r="B61" s="72" t="str">
        <x:v>Blasphemous Act</x:v>
      </x:c>
      <x:c r="C61" s="72" t="str">
        <x:v>Sugestão nova — impressão não definida</x:v>
      </x:c>
      <x:c r="D61" s="72" t="str">
        <x:v>Removal</x:v>
      </x:c>
      <x:c r="E61" s="72" t="str">
        <x:v>Não</x:v>
      </x:c>
      <x:c r="F61" s="72" t="str">
        <x:v>PROPOSED V3</x:v>
      </x:c>
      <x:c r="G61" s="72" t="str">
        <x:v>Reset de emergência; normalmente simétrico, mas Monument pode proteger suas criaturas do dano.</x:v>
      </x:c>
    </x:row>
    <x:row r="62">
      <x:c r="A62" s="74" t="n">
        <x:v>1</x:v>
      </x:c>
      <x:c r="B62" s="72" t="str">
        <x:v>Chaos Warp</x:v>
      </x:c>
      <x:c r="C62" s="72" t="str">
        <x:v>Sugestão nova — impressão não definida</x:v>
      </x:c>
      <x:c r="D62" s="72" t="str">
        <x:v>Removal</x:v>
      </x:c>
      <x:c r="E62" s="72" t="str">
        <x:v>Não</x:v>
      </x:c>
      <x:c r="F62" s="72" t="str">
        <x:v>PROPOSED V3</x:v>
      </x:c>
      <x:c r="G62" s="72" t="str">
        <x:v>Interação; avaliar tipos alcançados e custo.</x:v>
      </x:c>
    </x:row>
    <x:row r="63">
      <x:c r="A63" s="74" t="n">
        <x:v>1</x:v>
      </x:c>
      <x:c r="B63" s="72" t="str">
        <x:v>Impact Tremors</x:v>
      </x:c>
      <x:c r="C63" s="72" t="str">
        <x:v>Sugestão nova — impressão não definida</x:v>
      </x:c>
      <x:c r="D63" s="72" t="str">
        <x:v>Combate + Dano Direto</x:v>
      </x:c>
      <x:c r="E63" s="72" t="str">
        <x:v>Não</x:v>
      </x:c>
      <x:c r="F63" s="72" t="str">
        <x:v>PROPOSED V3</x:v>
      </x:c>
      <x:c r="G63" s="72" t="str">
        <x:v>Transforma entradas de fichas em dano a cada oponente.</x:v>
      </x:c>
    </x:row>
    <x:row r="64">
      <x:c r="A64" s="74" t="n">
        <x:v>1</x:v>
      </x:c>
      <x:c r="B64" s="72" t="str">
        <x:v>Vandalblast</x:v>
      </x:c>
      <x:c r="C64" s="72" t="str">
        <x:v>Sugestão nova — impressão não definida</x:v>
      </x:c>
      <x:c r="D64" s="72" t="str">
        <x:v>Removal</x:v>
      </x:c>
      <x:c r="E64" s="72" t="str">
        <x:v>Não</x:v>
      </x:c>
      <x:c r="F64" s="72" t="str">
        <x:v>PROPOSED V3</x:v>
      </x:c>
      <x:c r="G64" s="72" t="str">
        <x:v>Sobrecarga limpa artefatos dos oponentes sem atingir os seus.</x:v>
      </x:c>
    </x:row>
    <x:row r="65">
      <x:c r="A65" s="74" t="n">
        <x:v>1</x:v>
      </x:c>
      <x:c r="B65" s="72" t="str">
        <x:v>War Room</x:v>
      </x:c>
      <x:c r="C65" s="72" t="str">
        <x:v>Sugestão nova — impressão não definida</x:v>
      </x:c>
      <x:c r="D65" s="72" t="str">
        <x:v>Draw</x:v>
      </x:c>
      <x:c r="E65" s="72" t="str">
        <x:v>Sim — terreno</x:v>
      </x:c>
      <x:c r="F65" s="72" t="str">
        <x:v>PROPOSED V3</x:v>
      </x:c>
      <x:c r="G65" s="72" t="str">
        <x:v>Terreno incolor que oferece compra repetível mediante mana e vida.</x:v>
      </x:c>
    </x:row>
    <x:row r="66">
      <x:c r="A66" s="74" t="n">
        <x:v>1</x:v>
      </x:c>
      <x:c r="B66" s="72" t="str">
        <x:v>Wild Magic Surge</x:v>
      </x:c>
      <x:c r="C66" s="72" t="str">
        <x:v>Sugestão nova — impressão não definida</x:v>
      </x:c>
      <x:c r="D66" s="72" t="str">
        <x:v>Removal</x:v>
      </x:c>
      <x:c r="E66" s="72" t="str">
        <x:v>Não</x:v>
      </x:c>
      <x:c r="F66" s="72" t="str">
        <x:v>PROPOSED V3</x:v>
      </x:c>
      <x:c r="G66" s="72" t="str">
        <x:v>Resposta instantânea a permanente não terreno; o oponente pode receber uma permanente substituta.</x:v>
      </x:c>
    </x:row>
    <x:row r="67">
      <x:c r="A67" s="74" t="n">
        <x:v>1</x:v>
      </x:c>
      <x:c r="B67" s="72" t="str">
        <x:v>Goblin Chieftain</x:v>
      </x:c>
      <x:c r="C67" s="72" t="str">
        <x:v>Sugestão V3 — impressão não definida</x:v>
      </x:c>
      <x:c r="D67" s="72" t="str">
        <x:v>Buff + Haste</x:v>
      </x:c>
      <x:c r="E67" s="72" t="str">
        <x:v>Não</x:v>
      </x:c>
      <x:c r="F67" s="72" t="str">
        <x:v>PROPOSED V3</x:v>
      </x:c>
      <x:c r="G67" s="72" t="str">
        <x:v>Lord Goblin: +1/+1 e haste para os outros Goblins, acelerando pressão e ativação do motor.</x:v>
      </x:c>
    </x:row>
    <x:row r="68">
      <x:c r="A68" s="74" t="n">
        <x:v>1</x:v>
      </x:c>
      <x:c r="B68" s="72" t="str">
        <x:v>Goblin Ringleader</x:v>
      </x:c>
      <x:c r="C68" s="72" t="str">
        <x:v>Sugestão V3 — impressão não definida</x:v>
      </x:c>
      <x:c r="D68" s="72" t="str">
        <x:v>Draw</x:v>
      </x:c>
      <x:c r="E68" s="72" t="str">
        <x:v>Não</x:v>
      </x:c>
      <x:c r="F68" s="72" t="str">
        <x:v>PROPOSED V3</x:v>
      </x:c>
      <x:c r="G68" s="72" t="str">
        <x:v>Entra revelando quatro cartas e leva os Goblins revelados para a mão; valor tribal repetível por cópia/recursão.</x:v>
      </x:c>
    </x:row>
    <x:row r="69">
      <x:c r="A69" s="74" t="n">
        <x:v>1</x:v>
      </x:c>
      <x:c r="B69" s="72" t="str">
        <x:v>Pashalik Mons</x:v>
      </x:c>
      <x:c r="C69" s="72" t="str">
        <x:v>Sugestão V3 — impressão não definida</x:v>
      </x:c>
      <x:c r="D69" s="72" t="str">
        <x:v>Combate + Dano Direto</x:v>
      </x:c>
      <x:c r="E69" s="72" t="str">
        <x:v>Não</x:v>
      </x:c>
      <x:c r="F69" s="72" t="str">
        <x:v>PROPOSED V3</x:v>
      </x:c>
      <x:c r="G69" s="72" t="str">
        <x:v>Quando Pashalik ou outro Goblin seu morre, causa 1 de dano a qualquer alvo. Por {3}{R} e sacrificando um Goblin, cria dois tokens Goblin; o sacrifício também pode gerar um gatilho de dano.</x:v>
      </x:c>
    </x:row>
    <x:row r="70">
      <x:c r="A70" s="74" t="n">
        <x:v>1</x:v>
      </x:c>
      <x:c r="B70" s="72" t="str">
        <x:v>Goblin Chirurgeon</x:v>
      </x:c>
      <x:c r="C70" s="72" t="str">
        <x:v>Sugestão V3 — impressão não definida</x:v>
      </x:c>
      <x:c r="D70" s="72" t="str">
        <x:v>Sinergia 1</x:v>
      </x:c>
      <x:c r="E70" s="72" t="str">
        <x:v>Não</x:v>
      </x:c>
      <x:c r="F70" s="72" t="str">
        <x:v>PROPOSED V3</x:v>
      </x:c>
      <x:c r="G70" s="72" t="str">
        <x:v>Sacrifica um Goblin para regenerar uma criatura; proteção eficiente contra efeitos de destruição.</x:v>
      </x:c>
    </x:row>
    <x:row r="71">
      <x:c r="A71" s="74" t="n">
        <x:v>1</x:v>
      </x:c>
      <x:c r="B71" s="72" t="str">
        <x:v>Goblin Recruiter</x:v>
      </x:c>
      <x:c r="C71" s="72" t="str">
        <x:v>Sugestão V3 — impressão não definida</x:v>
      </x:c>
      <x:c r="D71" s="72" t="str">
        <x:v>Sinergia 2</x:v>
      </x:c>
      <x:c r="E71" s="72" t="str">
        <x:v>Não</x:v>
      </x:c>
      <x:c r="F71" s="72" t="str">
        <x:v>PROPOSED V3</x:v>
      </x:c>
      <x:c r="G71" s="72" t="str">
        <x:v>Tutor tribal que organiza Goblins no topo; sinergiza com Muxus, Ringleader e efeitos de compra/exílio.</x:v>
      </x:c>
    </x:row>
    <x:row r="72">
      <x:c r="A72" s="74" t="n">
        <x:v>1</x:v>
      </x:c>
      <x:c r="B72" s="72" t="str">
        <x:v>The One Ring</x:v>
      </x:c>
      <x:c r="C72" s="72" t="str">
        <x:v>Sugestão V3 — impressão não definida</x:v>
      </x:c>
      <x:c r="D72" s="72" t="str">
        <x:v>Draw</x:v>
      </x:c>
      <x:c r="E72" s="72" t="str">
        <x:v>Não</x:v>
      </x:c>
      <x:c r="F72" s="72" t="str">
        <x:v>PROPOSED V3</x:v>
      </x:c>
      <x:c r="G72" s="72" t="str">
        <x:v>Compra recorrente e proteção temporária; o custo crescente em vida e a ameaça percebida são relevantes.</x:v>
      </x:c>
    </x:row>
    <x:row r="73">
      <x:c r="A73" s="74" t="n">
        <x:v>1</x:v>
      </x:c>
      <x:c r="B73" s="72" t="str">
        <x:v>Mana Vault</x:v>
      </x:c>
      <x:c r="C73" s="72" t="str">
        <x:v>Sugestão V3 — impressão não definida</x:v>
      </x:c>
      <x:c r="D73" s="72" t="str">
        <x:v>Ramp</x:v>
      </x:c>
      <x:c r="E73" s="72" t="str">
        <x:v>Não</x:v>
      </x:c>
      <x:c r="F73" s="72" t="str">
        <x:v>PROPOSED V3</x:v>
      </x:c>
      <x:c r="G73" s="72" t="str">
        <x:v>Aceleração explosiva: vira para {C}{C}{C}; não desvira normalmente e, se continuar virado no início da manutenção, causa 1 de dano. Pode-se pagar {4} para desvirar.</x:v>
      </x:c>
    </x:row>
    <x:row r="74">
      <x:c r="A74" s="74" t="n">
        <x:v>1</x:v>
      </x:c>
      <x:c r="B74" s="72" t="str">
        <x:v>Ancient Tomb</x:v>
      </x:c>
      <x:c r="C74" s="72" t="str">
        <x:v>Sugestão V3 — impressão não definida</x:v>
      </x:c>
      <x:c r="D74" s="72" t="str">
        <x:v>Ramp</x:v>
      </x:c>
      <x:c r="E74" s="72" t="str">
        <x:v>Sim — terreno</x:v>
      </x:c>
      <x:c r="F74" s="72" t="str">
        <x:v>PROPOSED V3</x:v>
      </x:c>
      <x:c r="G74" s="72" t="str">
        <x:v>Terreno que acelera o comandante e permanentes de custo alto ao custo de vida.</x:v>
      </x:c>
    </x:row>
    <x:row r="75">
      <x:c r="A75" s="74" t="n">
        <x:v>1</x:v>
      </x:c>
      <x:c r="B75" s="72" t="str">
        <x:v>Cavern of Souls</x:v>
      </x:c>
      <x:c r="C75" s="72" t="str">
        <x:v>Sugestão V3 — impressão não definida</x:v>
      </x:c>
      <x:c r="D75" s="72" t="str">
        <x:v>Ramp</x:v>
      </x:c>
      <x:c r="E75" s="72" t="str">
        <x:v>Sim — terreno</x:v>
      </x:c>
      <x:c r="F75" s="72" t="str">
        <x:v>PROPOSED V3</x:v>
      </x:c>
      <x:c r="G75" s="72" t="str">
        <x:v>Nomear Goblin ajuda a fazer mágicas de criatura Goblin não serem anuladas.</x:v>
      </x:c>
    </x:row>
    <x:row r="76">
      <x:c r="A76" s="74" t="n">
        <x:v>1</x:v>
      </x:c>
      <x:c r="B76" s="72" t="str">
        <x:v>Three Tree City</x:v>
      </x:c>
      <x:c r="C76" s="72" t="str">
        <x:v>Sugestão V3 — impressão não definida</x:v>
      </x:c>
      <x:c r="D76" s="72" t="str">
        <x:v>Ramp</x:v>
      </x:c>
      <x:c r="E76" s="72" t="str">
        <x:v>Sim — terreno</x:v>
      </x:c>
      <x:c r="F76" s="72" t="str">
        <x:v>PROPOSED V3</x:v>
      </x:c>
      <x:c r="G76" s="72" t="str">
        <x:v>Com Goblin nomeado, gera mana baseada no número de Goblins controlados; escala depois de estabelecer mesa.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2" hidden="0" customWidth="1"/>
    <x:col min="3" max="3" width="55" hidden="0" customWidth="1"/>
    <x:col min="4" max="4" width="58" hidden="0" customWidth="1"/>
    <x:col min="5" max="5" width="58" hidden="0" customWidth="1"/>
    <x:col min="6" max="6" width="13" hidden="0" customWidth="1"/>
    <x:col min="7" max="7" width="14" hidden="0" customWidth="1"/>
  </x:cols>
  <x:sheetData>
    <x:row r="1" ht="32" customHeight="1">
      <x:c r="A1" s="71" t="str">
        <x:v>OUT</x:v>
      </x:c>
      <x:c r="B1" s="71" t="str">
        <x:v>IN</x:v>
      </x:c>
      <x:c r="C1" s="71" t="str">
        <x:v>Por que sai</x:v>
      </x:c>
      <x:c r="D1" s="71" t="str">
        <x:v>O que entra resolve</x:v>
      </x:c>
      <x:c r="E1" s="71" t="str">
        <x:v>Custo / argumento contra</x:v>
      </x:c>
      <x:c r="F1" s="71" t="str">
        <x:v>Prioridade</x:v>
      </x:c>
      <x:c r="G1" s="71" t="str">
        <x:v>Confiança</x:v>
      </x:c>
    </x:row>
    <x:row r="2" ht="56" customHeight="1">
      <x:c r="A2" s="72" t="str">
        <x:v>Relic Robber</x:v>
      </x:c>
      <x:c r="B2" s="72" t="str">
        <x:v>Goblin Chieftain</x:v>
      </x:c>
      <x:c r="C2" s="72" t="str">
        <x:v>É temático e gera dano incremental, mas dá ao oponente um artefato criatura que pode criar valor em outros decks.</x:v>
      </x:c>
      <x:c r="D2" s="72" t="str">
        <x:v>Lord Goblin de três manas que dá +1/+1 e haste ao tribal inteiro.</x:v>
      </x:c>
      <x:c r="E2" s="72" t="str">
        <x:v>Perde-se o relógio de dano contínuo do Robber; redundância de haste já existe, mas o lord melhora tokens em combate.</x:v>
      </x:c>
      <x:c r="F2" s="72" t="str">
        <x:v>P1</x:v>
      </x:c>
      <x:c r="G2" s="72" t="str">
        <x:v>Alta</x:v>
      </x:c>
    </x:row>
    <x:row r="3" ht="56" customHeight="1">
      <x:c r="A3" s="72" t="str">
        <x:v>Goblin Rally</x:v>
      </x:c>
      <x:c r="B3" s="72" t="str">
        <x:v>Goblin Ringleader</x:v>
      </x:c>
      <x:c r="C3" s="72" t="str">
        <x:v>Quatro fichas por quatro manas é um efeito pouco eficiente quando Krenko já produz fichas exponencialmente.</x:v>
      </x:c>
      <x:c r="D3" s="72" t="str">
        <x:v>Reabastece a mão com Goblins do topo e é Goblin tutorável por Matron/Recruiter.</x:v>
      </x:c>
      <x:c r="E3" s="72" t="str">
        <x:v>Pode revelar poucos Goblins se a densidade do topo for baixa; a quantidade de tokens cai em uma carta.</x:v>
      </x:c>
      <x:c r="F3" s="72" t="str">
        <x:v>P1</x:v>
      </x:c>
      <x:c r="G3" s="72" t="str">
        <x:v>Alta</x:v>
      </x:c>
    </x:row>
    <x:row r="4" ht="56" customHeight="1">
      <x:c r="A4" s="72" t="str">
        <x:v>Gut, True Soul Zealot</x:v>
      </x:c>
      <x:c r="B4" s="72" t="str">
        <x:v>Pashalik Mons</x:v>
      </x:c>
      <x:c r="C4" s="72" t="str">
        <x:v>Gut exige gatilho de ataque e sacrifica outra criatura para produzir um token que não é Goblin; a linha é menos integrada ao motor tribal.</x:v>
      </x:c>
      <x:c r="D4" s="72" t="str">
        <x:v>Morte de Pashalik ou de outro Goblin seu causa 1 de dano a qualquer alvo; por {3}{R} e sacrificando um Goblin, cria dois tokens, e o sacrifício gera um gatilho de dano se Pashalik estiver em campo.</x:v>
      </x:c>
      <x:c r="E4" s="72" t="str">
        <x:v>A habilidade ativada custa quatro manas e não é um outlet gratuito; o ganho depende da mesa ter Goblins e Pashalik sobreviver.</x:v>
      </x:c>
      <x:c r="F4" s="72" t="str">
        <x:v>P1</x:v>
      </x:c>
      <x:c r="G4" s="72" t="str">
        <x:v>Alta</x:v>
      </x:c>
    </x:row>
    <x:row r="5" ht="56" customHeight="1">
      <x:c r="A5" s="72" t="str">
        <x:v>Sparksmith</x:v>
      </x:c>
      <x:c r="B5" s="72" t="str">
        <x:v>Goblin Chirurgeon</x:v>
      </x:c>
      <x:c r="C5" s="72" t="str">
        <x:v>Pode remover criaturas, mas seu dano contra você cresce com a quantidade de Goblins que controla.</x:v>
      </x:c>
      <x:c r="D5" s="72" t="str">
        <x:v>Goblin de baixo custo que sacrifica outro Goblin para regenerar uma criatura Goblin, protegendo Krenko de destruição.</x:v>
      </x:c>
      <x:c r="E5" s="72" t="str">
        <x:v>Não protege contra exile, bounce, -X/-X ou efeitos que não destroem; perde-se uma fonte de remoção de criatura.</x:v>
      </x:c>
      <x:c r="F5" s="72" t="str">
        <x:v>P1</x:v>
      </x:c>
      <x:c r="G5" s="72" t="str">
        <x:v>Alta</x:v>
      </x:c>
    </x:row>
    <x:row r="6" ht="56" customHeight="1">
      <x:c r="A6" s="72" t="str">
        <x:v>You See a Pair of Goblins</x:v>
      </x:c>
      <x:c r="B6" s="72" t="str">
        <x:v>Goblin Recruiter</x:v>
      </x:c>
      <x:c r="C6" s="72" t="str">
        <x:v>Duas fichas instantâneas são úteis, mas não resolvem a necessidade de encontrar a peça certa.</x:v>
      </x:c>
      <x:c r="D6" s="72" t="str">
        <x:v>Tutor tribal que organiza os Goblins no topo; sinergiza diretamente com Muxus e Goblin Ringleader.</x:v>
      </x:c>
      <x:c r="E6" s="72" t="str">
        <x:v>Não compra as cartas imediatamente e pode preparar o topo vulnerável a embaralhamento; exige densidade tribal.</x:v>
      </x:c>
      <x:c r="F6" s="72" t="str">
        <x:v>P1</x:v>
      </x:c>
      <x:c r="G6" s="72" t="str">
        <x:v>Alta</x:v>
      </x:c>
    </x:row>
    <x:row r="7" ht="56" customHeight="1">
      <x:c r="A7" s="72" t="str">
        <x:v>Gauntlet of Power</x:v>
      </x:c>
      <x:c r="B7" s="72" t="str">
        <x:v>The One Ring</x:v>
      </x:c>
      <x:c r="C7" s="72" t="str">
        <x:v>O custo cinco e o benefício simétrico podem acelerar oponentes; o bônus depende das criaturas vermelhas.</x:v>
      </x:c>
      <x:c r="D7" s="72" t="str">
        <x:v>Compra recorrente e proteção temporária imediata; grande motor de cartas para reconstruir após resposta.</x:v>
      </x:c>
      <x:c r="E7" s="72" t="str">
        <x:v>Custo de vida crescente e aumento da percepção de ameaça; não é Goblin nem sinergia tribal direta.</x:v>
      </x:c>
      <x:c r="F7" s="72" t="str">
        <x:v>P1</x:v>
      </x:c>
      <x:c r="G7" s="72" t="str">
        <x:v>Alta</x:v>
      </x:c>
    </x:row>
    <x:row r="8" ht="56" customHeight="1">
      <x:c r="A8" s="72" t="str">
        <x:v>Wand of Wonder</x:v>
      </x:c>
      <x:c r="B8" s="72" t="str">
        <x:v>Mana Vault</x:v>
      </x:c>
      <x:c r="C8" s="72" t="str">
        <x:v>Motor de alto custo, aleatório e que precisa de mana para ativar; não reforça o plano inicial.</x:v>
      </x:c>
      <x:c r="D8" s="72" t="str">
        <x:v>Aceleração de baixo custo que pode antecipar Krenko e suas ativações.</x:v>
      </x:c>
      <x:c r="E8" s="72" t="str">
        <x:v>Mana Vault não desvira naturalmente; pode pagar {4} para desvirar e, se ficar virado no início da manutenção, causa 1 de dano. É mana incolor.</x:v>
      </x:c>
      <x:c r="F8" s="72" t="str">
        <x:v>P1</x:v>
      </x:c>
      <x:c r="G8" s="72" t="str">
        <x:v>Alta</x:v>
      </x:c>
    </x:row>
    <x:row r="9" ht="56" customHeight="1">
      <x:c r="A9" s="72" t="str">
        <x:v>Rising of the Day</x:v>
      </x:c>
      <x:c r="B9" s="72" t="str">
        <x:v>Ancient Tomb</x:v>
      </x:c>
      <x:c r="C9" s="72" t="str">
        <x:v>Haste adicional é útil, mas há sobreposição com Goblin Warchief, Urabrask, Greaves e o novo Chieftain.</x:v>
      </x:c>
      <x:c r="D9" s="72" t="str">
        <x:v>Land que acelera o comandante e permanentes de custo alto um turno antes.</x:v>
      </x:c>
      <x:c r="E9" s="72" t="str">
        <x:v>Causa dois de dano por uso e não produz vermelho; perder o bônus de +1/+0 em criaturas lendárias.</x:v>
      </x:c>
      <x:c r="F9" s="72" t="str">
        <x:v>P1</x:v>
      </x:c>
      <x:c r="G9" s="72" t="str">
        <x:v>Alta</x:v>
      </x:c>
    </x:row>
    <x:row r="10" ht="56" customHeight="1">
      <x:c r="A10" s="72" t="str">
        <x:v>Mountain</x:v>
      </x:c>
      <x:c r="B10" s="72" t="str">
        <x:v>Cavern of Souls</x:v>
      </x:c>
      <x:c r="C10" s="72" t="str">
        <x:v>Troca um terreno básico por proteção relevante à principal peça do deck.</x:v>
      </x:c>
      <x:c r="D10" s="72" t="str">
        <x:v>Nomear Goblin: Krenko e outras mágicas Goblin não podem ser anuladas quando a mana da Cavern é usada para conjurá-las.</x:v>
      </x:c>
      <x:c r="E10" s="72" t="str">
        <x:v>Não produz vermelho para mágicas que não sejam do tipo escolhido se usada para mana colorida; fica vulnerável a hate de terrenos.</x:v>
      </x:c>
      <x:c r="F10" s="72" t="str">
        <x:v>P1</x:v>
      </x:c>
      <x:c r="G10" s="72" t="str">
        <x:v>Alta</x:v>
      </x:c>
    </x:row>
    <x:row r="11" ht="56" customHeight="1">
      <x:c r="A11" s="72" t="str">
        <x:v>Mountain</x:v>
      </x:c>
      <x:c r="B11" s="72" t="str">
        <x:v>Three Tree City</x:v>
      </x:c>
      <x:c r="C11" s="72" t="str">
        <x:v>Um básico é confiável, mas não escala a mana com o exército que Krenko cria.</x:v>
      </x:c>
      <x:c r="D11" s="72" t="str">
        <x:v>Ao nomear Goblin, gera mana igual ao número de Goblins controlados e pode financiar turnos explosivos.</x:v>
      </x:c>
      <x:c r="E11" s="72" t="str">
        <x:v>É incolor sem a segunda habilidade e a quantidade de mana depende de ter mesa estabelecida; não ajuda muito quando atrás.</x:v>
      </x:c>
      <x:c r="F11" s="72" t="str">
        <x:v>P1</x:v>
      </x:c>
      <x:c r="G11" s="72" t="str">
        <x:v>Alta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74" hidden="0" customWidth="1"/>
  </x:cols>
  <x:sheetData>
    <x:row r="1">
      <x:c r="A1" s="79" t="str">
        <x:v>KRENKO — RUBRICA PONDERADA DE CONSTRUÇÃO</x:v>
      </x:c>
      <x:c r="B1" s="79"/>
      <x:c r="C1" s="79"/>
      <x:c r="D1" s="79"/>
      <x:c r="E1" s="79"/>
      <x:c r="F1" s="79"/>
    </x:row>
    <x:row r="2" ht="34" customHeight="1">
      <x:c r="A2" s="91" t="str">
        <x:v>Notas 0–10 são estimativas analíticas; não representam taxa de vitória nem testes empíricos. Os pesos comuns permitem comparar CURRENT, V2 e V3 com o mesmo método.</x:v>
      </x:c>
      <x:c r="B2" s="91"/>
      <x:c r="C2" s="91"/>
      <x:c r="D2" s="91"/>
      <x:c r="E2" s="91"/>
      <x:c r="F2" s="91"/>
    </x:row>
    <x:row r="4">
      <x:c r="A4" s="71" t="str">
        <x:v>Critério</x:v>
      </x:c>
      <x:c r="B4" s="71" t="str">
        <x:v>Peso (%)</x:v>
      </x:c>
      <x:c r="C4" s="71" t="str">
        <x:v>CURRENT</x:v>
      </x:c>
      <x:c r="D4" s="71" t="str">
        <x:v>PROPOSED V2</x:v>
      </x:c>
      <x:c r="E4" s="71" t="str">
        <x:v>PROPOSED V3</x:v>
      </x:c>
      <x:c r="F4" s="71" t="str">
        <x:v>Evidência / racional da avaliação</x:v>
      </x:c>
    </x:row>
    <x:row r="5" ht="42" customHeight="1">
      <x:c r="A5" s="36" t="str">
        <x:v>Curva e aceleração</x:v>
      </x:c>
      <x:c r="B5" s="36" t="n">
        <x:v>15</x:v>
      </x:c>
      <x:c r="C5" s="93" t="n">
        <x:v>5</x:v>
      </x:c>
      <x:c r="D5" s="93" t="n">
        <x:v>7.8</x:v>
      </x:c>
      <x:c r="E5" s="93" t="n">
        <x:v>9.4</x:v>
      </x:c>
      <x:c r="F5" s="36" t="str">
        <x:v>A capacidade de desenvolver o plano antes dos oponentes. Mana Vault, Ancient Tomb, Three Tree City e Skirk Prospector aceleram Krenko/ativações; fontes incolores exigem planejamento de pips vermelhos.</x:v>
      </x:c>
    </x:row>
    <x:row r="6" ht="42" customHeight="1">
      <x:c r="A6" s="36" t="str">
        <x:v>Vantagem de cartas / compra</x:v>
      </x:c>
      <x:c r="B6" s="36" t="n">
        <x:v>15</x:v>
      </x:c>
      <x:c r="C6" s="93" t="n">
        <x:v>4.6</x:v>
      </x:c>
      <x:c r="D6" s="93" t="n">
        <x:v>8.1</x:v>
      </x:c>
      <x:c r="E6" s="93" t="n">
        <x:v>9.3</x:v>
      </x:c>
      <x:c r="F6" s="36" t="str">
        <x:v>Quantidade, qualidade e recorrência de cartas novas disponíveis. The One Ring, Skullclamp, Idol of Oblivion, Slate of Ancestry, Goblin Ringleader e Rundvelt Hordemaster atacam diferentes modos de ficar sem gás.</x:v>
      </x:c>
    </x:row>
    <x:row r="7" ht="42" customHeight="1">
      <x:c r="A7" s="36" t="str">
        <x:v>Sinergia com o plano tribal</x:v>
      </x:c>
      <x:c r="B7" s="36" t="n">
        <x:v>15</x:v>
      </x:c>
      <x:c r="C7" s="93" t="n">
        <x:v>7.8</x:v>
      </x:c>
      <x:c r="D7" s="93" t="n">
        <x:v>8.7</x:v>
      </x:c>
      <x:c r="E7" s="93" t="n">
        <x:v>9.5</x:v>
      </x:c>
      <x:c r="F7" s="36" t="str">
        <x:v>Densidade e interconexão das peças-chave. Chieftain, Recruiter, Ringleader, Pashalik, Chirurgeon e Marvin elevam redundância, acesso a peças e conversão de fichas/mortes.</x:v>
      </x:c>
    </x:row>
    <x:row r="8" ht="42" customHeight="1">
      <x:c r="A8" s="36" t="str">
        <x:v>Interação e limpezas</x:v>
      </x:c>
      <x:c r="B8" s="36" t="n">
        <x:v>15</x:v>
      </x:c>
      <x:c r="C8" s="93" t="n">
        <x:v>6</x:v>
      </x:c>
      <x:c r="D8" s="93" t="n">
        <x:v>8.1</x:v>
      </x:c>
      <x:c r="E8" s="93" t="n">
        <x:v>8.8</x:v>
      </x:c>
      <x:c r="F8" s="36" t="str">
        <x:v>Capacidade de responder às ameaças e limpar mesas com eficiência. Mantém Mizzium Mortars (overload assimétrico), Vandalblast (artefatos), Chaos Warp/Wild Magic Surge e Blasphemous Act; mono-red não responde perfeitamente a tudo.</x:v>
      </x:c>
    </x:row>
    <x:row r="9" ht="42" customHeight="1">
      <x:c r="A9" s="36" t="str">
        <x:v>Proteção e resiliência</x:v>
      </x:c>
      <x:c r="B9" s="36" t="n">
        <x:v>10</x:v>
      </x:c>
      <x:c r="C9" s="93" t="n">
        <x:v>4.5</x:v>
      </x:c>
      <x:c r="D9" s="93" t="n">
        <x:v>8.1</x:v>
      </x:c>
      <x:c r="E9" s="93" t="n">
        <x:v>9.1</x:v>
      </x:c>
      <x:c r="F9" s="36" t="str">
        <x:v>Recuperação após remoções, proteção do comandante e continuidade. Goblin Chirurgeon protege contra destruição sacrificando outro Goblin; Cavern protege mágicas Goblin contra anulação, enquanto The One Ring oferece proteção temporária ao jogador.</x:v>
      </x:c>
    </x:row>
    <x:row r="10" ht="42" customHeight="1">
      <x:c r="A10" s="36" t="str">
        <x:v>Acesso à vitória / fechamento</x:v>
      </x:c>
      <x:c r="B10" s="36" t="n">
        <x:v>10</x:v>
      </x:c>
      <x:c r="C10" s="93" t="n">
        <x:v>7.3</x:v>
      </x:c>
      <x:c r="D10" s="93" t="n">
        <x:v>8.8</x:v>
      </x:c>
      <x:c r="E10" s="93" t="n">
        <x:v>9.5</x:v>
      </x:c>
      <x:c r="F10" s="36" t="str">
        <x:v>Converter a vantagem de mesa em uma vitória real. Shared Animosity, Embercleave, Fiery Emancipation, Impact Tremors, Goblin War Strike, Pashalik e Bombardment criam linhas de combate e não-combate.</x:v>
      </x:c>
    </x:row>
    <x:row r="11" ht="42" customHeight="1">
      <x:c r="A11" s="36" t="str">
        <x:v>Base de mana</x:v>
      </x:c>
      <x:c r="B11" s="36" t="n">
        <x:v>5</x:v>
      </x:c>
      <x:c r="C11" s="93" t="n">
        <x:v>6.2</x:v>
      </x:c>
      <x:c r="D11" s="93" t="n">
        <x:v>7.5</x:v>
      </x:c>
      <x:c r="E11" s="93" t="n">
        <x:v>9.2</x:v>
      </x:c>
      <x:c r="F11" s="36" t="str">
        <x:v>Quantidade, qualidade e consistência de fontes. 35 cartas com opção de terreno; 34 terrenos físicos e uma MDFC. Três terrenos utility aceleram ou escalam mana, mas aumentam fontes incolores.</x:v>
      </x:c>
    </x:row>
    <x:row r="12" ht="42" customHeight="1">
      <x:c r="A12" s="36" t="str">
        <x:v>Flexibilidade funcional</x:v>
      </x:c>
      <x:c r="B12" s="36" t="n">
        <x:v>5</x:v>
      </x:c>
      <x:c r="C12" s="93" t="n">
        <x:v>6.2</x:v>
      </x:c>
      <x:c r="D12" s="93" t="n">
        <x:v>8</x:v>
      </x:c>
      <x:c r="E12" s="93" t="n">
        <x:v>9</x:v>
      </x:c>
      <x:c r="F12" s="36" t="str">
        <x:v>Valor em mais de um estado de jogo e ausência de slots mortos. Recruiter prepara Ringleader/Muxus; Skullclamp e sac outlets convertem tokens em cartas/mana/dano; parte do valor depende de Krenko permanecer em campo.</x:v>
      </x:c>
    </x:row>
    <x:row r="13" ht="42" customHeight="1">
      <x:c r="A13" s="36" t="str">
        <x:v>Consistência da comandante</x:v>
      </x:c>
      <x:c r="B13" s="36" t="n">
        <x:v>5</x:v>
      </x:c>
      <x:c r="C13" s="93" t="n">
        <x:v>5.5</x:v>
      </x:c>
      <x:c r="D13" s="93" t="n">
        <x:v>8.4</x:v>
      </x:c>
      <x:c r="E13" s="93" t="n">
        <x:v>9.3</x:v>
      </x:c>
      <x:c r="F13" s="36" t="str">
        <x:v>Frequência e impacto com que o deck habilita seu comandante. Cavern, haste, Greaves/Elixir e proteção reduzem risco da primeira ativação, mas Krenko ainda é alvo prioritário e sofre com exile/bounce.</x:v>
      </x:c>
    </x:row>
    <x:row r="14" ht="42" customHeight="1">
      <x:c r="A14" s="36" t="str">
        <x:v>Identidade e experiência pretendida</x:v>
      </x:c>
      <x:c r="B14" s="36" t="n">
        <x:v>5</x:v>
      </x:c>
      <x:c r="C14" s="93" t="n">
        <x:v>9</x:v>
      </x:c>
      <x:c r="D14" s="93" t="n">
        <x:v>9</x:v>
      </x:c>
      <x:c r="E14" s="93" t="n">
        <x:v>9</x:v>
      </x:c>
      <x:c r="F14" s="36" t="str">
        <x:v>O deck continua fazendo aquilo para que foi concebido. Preserva goblin go-wide, sinergia tribal e fechamento por combate/dano; combo Thornbite Staff + Bombardment fica fora da proposta-base.</x:v>
      </x:c>
    </x:row>
    <x:row r="15">
      <x:c r="A15" s="94" t="str">
        <x:v>Nota ponderada</x:v>
      </x:c>
      <x:c r="B15" s="95" t="n">
        <x:f>SUM(B5:B14)</x:f>
        <x:v>100</x:v>
      </x:c>
      <x:c r="C15" s="150" t="n">
        <x:f>SUMPRODUCT($B$5:$B$14,C5:C14)/100</x:f>
        <x:v>6.035</x:v>
      </x:c>
      <x:c r="D15" s="150" t="n">
        <x:f>SUMPRODUCT($B$5:$B$14,D5:D14)/100</x:f>
        <x:v>8.24</x:v>
      </x:c>
      <x:c r="E15" s="150" t="n">
        <x:f>SUMPRODUCT($B$5:$B$14,E5:E14)/100</x:f>
        <x:v>9.235</x:v>
      </x:c>
      <x:c r="F15" s="94" t="str">
        <x:v>Fórmula: soma de peso × nota, dividida por 100.</x:v>
      </x:c>
    </x:row>
    <x:row r="16">
      <x:c r="A16" s="36"/>
      <x:c r="B16" s="36"/>
      <x:c r="C16" s="36"/>
      <x:c r="D16" s="36"/>
      <x:c r="E16" s="36"/>
      <x:c r="F16" s="36"/>
    </x:row>
    <x:row r="17" ht="28" customHeight="1">
      <x:c r="A17" s="36" t="str">
        <x:v>Como interpretar</x:v>
      </x:c>
      <x:c r="B17" s="36" t="str">
        <x:v>A nota CURRENT e a nota da V2 foram recalculadas pela mesma rubrica usada na V3.</x:v>
      </x:c>
      <x:c r="C17" s="36"/>
      <x:c r="D17" s="36"/>
      <x:c r="E17" s="36"/>
      <x:c r="F17" s="36"/>
    </x:row>
    <x:row r="18" ht="28" customHeight="1">
      <x:c r="A18" s="36" t="str">
        <x:v>CURRENT</x:v>
      </x:c>
      <x:c r="B18" s="36" t="str">
        <x:v>Lista recebida pelo usuário, congelada e sem alterações.</x:v>
      </x:c>
      <x:c r="C18" s="36"/>
      <x:c r="D18" s="36"/>
      <x:c r="E18" s="36"/>
      <x:c r="F18" s="36"/>
    </x:row>
    <x:row r="19" ht="28" customHeight="1">
      <x:c r="A19" s="36" t="str">
        <x:v>V2 / V3</x:v>
      </x:c>
      <x:c r="B19" s="36" t="str">
        <x:v>Propostas ainda não testadas. A nota não prova desempenho real; exige playtests.</x:v>
      </x:c>
      <x:c r="C19" s="36"/>
      <x:c r="D19" s="36"/>
      <x:c r="E19" s="36"/>
      <x:c r="F19" s="36"/>
    </x:row>
  </x:sheetData>
  <x:mergeCells>
    <x:mergeCell ref="A1:F1"/>
  </x:mergeCells>
  <x:conditionalFormatting sqref="C5:E14">
    <x:cfRule type="colorScale" priority="1">
      <x:colorScale>
        <x:cfvo type="min"/>
        <x:cfvo type="percentile" val="50"/>
        <x:cfvo type="max"/>
        <x:color rgb="FFFECACA"/>
        <x:color rgb="FFFEF3C7"/>
        <x:color rgb="FFBBF7D0"/>
      </x:colorScale>
    </x:cfRule>
  </x:conditionalFormatting>
  <x:conditionalFormatting sqref="C15:E15">
    <x:cfRule type="dataBar" priority="2">
      <x:dataBar>
        <x:cfvo type="min"/>
        <x:cfvo type="max"/>
        <x:color rgb="FF16A34A"/>
      </x:dataBar>
      <x:extLst>
        <x:ext xmlns:x14="http://schemas.microsoft.com/office/spreadsheetml/2009/9/main" uri="{B025F937-C7B1-47D3-B67F-A62EFF666E3E}">
          <x14:id>{EA2F07EB-1528-CE65-8307-C4444E5D3D6B}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EA2F07EB-1528-CE65-8307-C4444E5D3D6B}">
            <x14:dataBar gradient="1">
              <x14:cfvo type="min"/>
              <x14:cfvo type="max"/>
              <x14:fillColor rgb="FF16A34A"/>
            </x14:dataBar>
          </x14:cfRule>
          <xm:sqref>C15:E15</xm:sqref>
        </x14:conditionalFormatting>
      </x14:conditionalFormattings>
    </x:ext>
  </x:extLst>
</x:worksheet>
</file>

<file path=xl/worksheets/sheet1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24" hidden="0" customWidth="1"/>
    <x:col min="3" max="3" width="18" hidden="0" customWidth="1"/>
    <x:col min="4" max="4" width="15" hidden="0" customWidth="1"/>
    <x:col min="5" max="5" width="68" hidden="0" customWidth="1"/>
    <x:col min="6" max="6" width="62" hidden="0" customWidth="1"/>
  </x:cols>
  <x:sheetData>
    <x:row r="1" ht="32" customHeight="1">
      <x:c r="A1" s="71" t="str">
        <x:v>Carta</x:v>
      </x:c>
      <x:c r="B1" s="71" t="str">
        <x:v>Grupo principal</x:v>
      </x:c>
      <x:c r="C1" s="71" t="str">
        <x:v>Estado</x:v>
      </x:c>
      <x:c r="D1" s="71" t="str">
        <x:v>Tier estimado</x:v>
      </x:c>
      <x:c r="E1" s="71" t="str">
        <x:v>Função / interação</x:v>
      </x:c>
      <x:c r="F1" s="71" t="str">
        <x:v>Nota crítica / custo de oportunidade</x:v>
      </x:c>
    </x:row>
    <x:row r="2" ht="38" customHeight="1">
      <x:c r="A2" s="72" t="str">
        <x:v>Krenko, Mob Boss</x:v>
      </x:c>
      <x:c r="B2" s="72" t="str">
        <x:v>Token</x:v>
      </x:c>
      <x:c r="C2" s="72" t="str">
        <x:v>COMMANDER</x:v>
      </x:c>
      <x:c r="D2" s="72" t="str">
        <x:v>S</x:v>
      </x:c>
      <x:c r="E2" s="72" t="str">
        <x:v>Comandante; cria uma ficha por Goblin que você controla, incluindo Krenko, escalando rapidamente.</x:v>
      </x:c>
      <x:c r="F2" s="72" t="str">
        <x:v>Comandante; cria uma ficha por Goblin que você controla, incluindo Krenko, escalando rapidamente.</x:v>
      </x:c>
    </x:row>
    <x:row r="3" ht="38" customHeight="1">
      <x:c r="A3" s="72" t="str">
        <x:v>Arcane Signet</x:v>
      </x:c>
      <x:c r="B3" s="72" t="str">
        <x:v>Ramp</x:v>
      </x:c>
      <x:c r="C3" s="72" t="str">
        <x:v>PROPOSED V3</x:v>
      </x:c>
      <x:c r="D3" s="72" t="str">
        <x:v>B</x:v>
      </x:c>
      <x:c r="E3" s="72" t="str">
        <x:v>Aceleração ou conversão de fichas em mana.</x:v>
      </x:c>
      <x:c r="F3" s="72" t="str"/>
    </x:row>
    <x:row r="4" ht="38" customHeight="1">
      <x:c r="A4" s="72" t="str">
        <x:v>Ashnod's Altar</x:v>
      </x:c>
      <x:c r="B4" s="72" t="str">
        <x:v>Sinergia 2</x:v>
      </x:c>
      <x:c r="C4" s="72" t="str">
        <x:v>PROPOSED V3</x:v>
      </x:c>
      <x:c r="D4" s="72" t="str">
        <x:v>A</x:v>
      </x:c>
      <x:c r="E4" s="72" t="str">
        <x:v>Toolbox tribal, recursão, sacrifício ou geração de valor.</x:v>
      </x:c>
      <x:c r="F4" s="72" t="str">
        <x:v>Toolbox tribal, recursão, sacrifício ou geração de valor.</x:v>
      </x:c>
    </x:row>
    <x:row r="5" ht="38" customHeight="1">
      <x:c r="A5" s="72" t="str">
        <x:v>Battle Cry Goblin</x:v>
      </x:c>
      <x:c r="B5" s="72" t="str">
        <x:v>Buff + Haste</x:v>
      </x:c>
      <x:c r="C5" s="72" t="str">
        <x:v>PROPOSED V3</x:v>
      </x:c>
      <x:c r="D5" s="72" t="str">
        <x:v>B</x:v>
      </x:c>
      <x:c r="E5" s="72" t="str">
        <x:v>Aumenta combate, evasão, ímpeto ou proteção.</x:v>
      </x:c>
      <x:c r="F5" s="72" t="str"/>
    </x:row>
    <x:row r="6" ht="38" customHeight="1">
      <x:c r="A6" s="72" t="str">
        <x:v>Brash Taunter</x:v>
      </x:c>
      <x:c r="B6" s="72" t="str">
        <x:v>Combate + Dano Direto</x:v>
      </x:c>
      <x:c r="C6" s="72" t="str">
        <x:v>PROPOSED V3</x:v>
      </x:c>
      <x:c r="D6" s="72" t="str">
        <x:v>B</x:v>
      </x:c>
      <x:c r="E6" s="72" t="str">
        <x:v>Converte a mesa larga em dano ou pressão.</x:v>
      </x:c>
      <x:c r="F6" s="72" t="str"/>
    </x:row>
    <x:row r="7" ht="38" customHeight="1">
      <x:c r="A7" s="72" t="str">
        <x:v>Breeches, Eager Pillager</x:v>
      </x:c>
      <x:c r="B7" s="72" t="str">
        <x:v>Draw</x:v>
      </x:c>
      <x:c r="C7" s="72" t="str">
        <x:v>PROPOSED V3</x:v>
      </x:c>
      <x:c r="D7" s="72" t="str">
        <x:v>B</x:v>
      </x:c>
      <x:c r="E7" s="72" t="str">
        <x:v>Compra, seleção ou acesso impulsivo a cartas.</x:v>
      </x:c>
      <x:c r="F7" s="72" t="str"/>
    </x:row>
    <x:row r="8" ht="38" customHeight="1">
      <x:c r="A8" s="72" t="str">
        <x:v>Brightstone Ritual</x:v>
      </x:c>
      <x:c r="B8" s="72" t="str">
        <x:v>Ramp</x:v>
      </x:c>
      <x:c r="C8" s="72" t="str">
        <x:v>PROPOSED V3</x:v>
      </x:c>
      <x:c r="D8" s="72" t="str">
        <x:v>B</x:v>
      </x:c>
      <x:c r="E8" s="72" t="str">
        <x:v>Aceleração ou conversão de fichas em mana.</x:v>
      </x:c>
      <x:c r="F8" s="72" t="str"/>
    </x:row>
    <x:row r="9" ht="38" customHeight="1">
      <x:c r="A9" s="72" t="str">
        <x:v>Caterwauling Boggart</x:v>
      </x:c>
      <x:c r="B9" s="72" t="str">
        <x:v>Buff + Haste</x:v>
      </x:c>
      <x:c r="C9" s="72" t="str">
        <x:v>PROPOSED V3</x:v>
      </x:c>
      <x:c r="D9" s="72" t="str">
        <x:v>B</x:v>
      </x:c>
      <x:c r="E9" s="72" t="str">
        <x:v>Aumenta combate, evasão, ímpeto ou proteção.</x:v>
      </x:c>
      <x:c r="F9" s="72" t="str"/>
    </x:row>
    <x:row r="10" ht="38" customHeight="1">
      <x:c r="A10" s="72" t="str">
        <x:v>Curse of Opulence</x:v>
      </x:c>
      <x:c r="B10" s="72" t="str">
        <x:v>Ramp</x:v>
      </x:c>
      <x:c r="C10" s="72" t="str">
        <x:v>PROPOSED V3</x:v>
      </x:c>
      <x:c r="D10" s="72" t="str">
        <x:v>B</x:v>
      </x:c>
      <x:c r="E10" s="72" t="str">
        <x:v>Aceleração ou conversão de fichas em mana.</x:v>
      </x:c>
      <x:c r="F10" s="72" t="str"/>
    </x:row>
    <x:row r="11" ht="38" customHeight="1">
      <x:c r="A11" s="72" t="str">
        <x:v>Den of the Bugbear</x:v>
      </x:c>
      <x:c r="B11" s="72" t="str">
        <x:v>Token</x:v>
      </x:c>
      <x:c r="C11" s="72" t="str">
        <x:v>PROPOSED V3</x:v>
      </x:c>
      <x:c r="D11" s="72" t="str">
        <x:v>B</x:v>
      </x:c>
      <x:c r="E11" s="72" t="str">
        <x:v>Produz ou multiplica fichas de Goblin.</x:v>
      </x:c>
      <x:c r="F11" s="72" t="str"/>
    </x:row>
    <x:row r="12" ht="38" customHeight="1">
      <x:c r="A12" s="72" t="str">
        <x:v>Dragon Fodder</x:v>
      </x:c>
      <x:c r="B12" s="72" t="str">
        <x:v>Token</x:v>
      </x:c>
      <x:c r="C12" s="72" t="str">
        <x:v>PROPOSED V3</x:v>
      </x:c>
      <x:c r="D12" s="72" t="str">
        <x:v>B</x:v>
      </x:c>
      <x:c r="E12" s="72" t="str">
        <x:v>Produz ou multiplica fichas de Goblin.</x:v>
      </x:c>
      <x:c r="F12" s="72" t="str"/>
    </x:row>
    <x:row r="13" ht="38" customHeight="1">
      <x:c r="A13" s="72" t="str">
        <x:v>Eldrazi Monument</x:v>
      </x:c>
      <x:c r="B13" s="72" t="str">
        <x:v>Buff + Haste</x:v>
      </x:c>
      <x:c r="C13" s="72" t="str">
        <x:v>PROPOSED V3</x:v>
      </x:c>
      <x:c r="D13" s="72" t="str">
        <x:v>A</x:v>
      </x:c>
      <x:c r="E13" s="72" t="str">
        <x:v>Aumenta combate, evasão, ímpeto ou proteção.</x:v>
      </x:c>
      <x:c r="F13" s="72" t="str">
        <x:v>Dá indestrutível à mesa própria, mas exige sacrificar uma criatura a cada manutenção.</x:v>
      </x:c>
    </x:row>
    <x:row r="14" ht="38" customHeight="1">
      <x:c r="A14" s="72" t="str">
        <x:v>Embercleave</x:v>
      </x:c>
      <x:c r="B14" s="72" t="str">
        <x:v>Combate + Dano Direto</x:v>
      </x:c>
      <x:c r="C14" s="72" t="str">
        <x:v>PROPOSED V3</x:v>
      </x:c>
      <x:c r="D14" s="72" t="str">
        <x:v>B</x:v>
      </x:c>
      <x:c r="E14" s="72" t="str">
        <x:v>Converte a mesa larga em dano ou pressão.</x:v>
      </x:c>
      <x:c r="F14" s="72" t="str"/>
    </x:row>
    <x:row r="15" ht="38" customHeight="1">
      <x:c r="A15" s="72" t="str">
        <x:v>Enduring Courage</x:v>
      </x:c>
      <x:c r="B15" s="72" t="str">
        <x:v>Buff + Haste</x:v>
      </x:c>
      <x:c r="C15" s="72" t="str">
        <x:v>PROPOSED V3</x:v>
      </x:c>
      <x:c r="D15" s="72" t="str">
        <x:v>B</x:v>
      </x:c>
      <x:c r="E15" s="72" t="str">
        <x:v>Aumenta combate, evasão, ímpeto ou proteção.</x:v>
      </x:c>
      <x:c r="F15" s="72" t="str"/>
    </x:row>
    <x:row r="16" ht="38" customHeight="1">
      <x:c r="A16" s="72" t="str">
        <x:v>Faithless Looting</x:v>
      </x:c>
      <x:c r="B16" s="72" t="str">
        <x:v>Draw</x:v>
      </x:c>
      <x:c r="C16" s="72" t="str">
        <x:v>PROPOSED V3</x:v>
      </x:c>
      <x:c r="D16" s="72" t="str">
        <x:v>B</x:v>
      </x:c>
      <x:c r="E16" s="72" t="str">
        <x:v>Compra, seleção ou acesso impulsivo a cartas.</x:v>
      </x:c>
      <x:c r="F16" s="72" t="str"/>
    </x:row>
    <x:row r="17" ht="38" customHeight="1">
      <x:c r="A17" s="72" t="str">
        <x:v>Fiery Emancipation</x:v>
      </x:c>
      <x:c r="B17" s="72" t="str">
        <x:v>Combate + Dano Direto</x:v>
      </x:c>
      <x:c r="C17" s="72" t="str">
        <x:v>PROPOSED V3</x:v>
      </x:c>
      <x:c r="D17" s="72" t="str">
        <x:v>A</x:v>
      </x:c>
      <x:c r="E17" s="72" t="str">
        <x:v>Converte a mesa larga em dano ou pressão.</x:v>
      </x:c>
      <x:c r="F17" s="72" t="str">
        <x:v>Converte a mesa larga em dano ou pressão.</x:v>
      </x:c>
    </x:row>
    <x:row r="18" ht="38" customHeight="1">
      <x:c r="A18" s="72" t="str">
        <x:v>Goblin Bombardment</x:v>
      </x:c>
      <x:c r="B18" s="72" t="str">
        <x:v>Combate + Dano Direto</x:v>
      </x:c>
      <x:c r="C18" s="72" t="str">
        <x:v>PROPOSED V3</x:v>
      </x:c>
      <x:c r="D18" s="72" t="str">
        <x:v>S</x:v>
      </x:c>
      <x:c r="E18" s="72" t="str">
        <x:v>Sac outlet e dano direto; converte fichas em alcance.</x:v>
      </x:c>
      <x:c r="F18" s="72" t="str">
        <x:v>Uma das peças mais eficientes para converter fichas em dano.</x:v>
      </x:c>
    </x:row>
    <x:row r="19" ht="38" customHeight="1">
      <x:c r="A19" s="72" t="str">
        <x:v>Goblin Engineer</x:v>
      </x:c>
      <x:c r="B19" s="72" t="str">
        <x:v>Sinergia 2</x:v>
      </x:c>
      <x:c r="C19" s="72" t="str">
        <x:v>PROPOSED V3</x:v>
      </x:c>
      <x:c r="D19" s="72" t="str">
        <x:v>B</x:v>
      </x:c>
      <x:c r="E19" s="72" t="str">
        <x:v>Toolbox tribal, recursão, sacrifício ou geração de valor.</x:v>
      </x:c>
      <x:c r="F19" s="72" t="str"/>
    </x:row>
    <x:row r="20" ht="38" customHeight="1">
      <x:c r="A20" s="72" t="str">
        <x:v>Goblin Matron</x:v>
      </x:c>
      <x:c r="B20" s="72" t="str">
        <x:v>Sinergia 2</x:v>
      </x:c>
      <x:c r="C20" s="72" t="str">
        <x:v>PROPOSED V3</x:v>
      </x:c>
      <x:c r="D20" s="72" t="str">
        <x:v>A</x:v>
      </x:c>
      <x:c r="E20" s="72" t="str">
        <x:v>Toolbox tribal, recursão, sacrifício ou geração de valor.</x:v>
      </x:c>
      <x:c r="F20" s="72" t="str">
        <x:v>Tutoria/seleção tribal importante; preservada no núcleo.</x:v>
      </x:c>
    </x:row>
    <x:row r="21" ht="38" customHeight="1">
      <x:c r="A21" s="72" t="str">
        <x:v>Goblin Negotiation</x:v>
      </x:c>
      <x:c r="B21" s="72" t="str">
        <x:v>Removal</x:v>
      </x:c>
      <x:c r="C21" s="72" t="str">
        <x:v>PROPOSED V3</x:v>
      </x:c>
      <x:c r="D21" s="72" t="str">
        <x:v>B</x:v>
      </x:c>
      <x:c r="E21" s="72" t="str">
        <x:v>Interação; avaliar tipos alcançados e custo.</x:v>
      </x:c>
      <x:c r="F21" s="72" t="str"/>
    </x:row>
    <x:row r="22" ht="38" customHeight="1">
      <x:c r="A22" s="72" t="str">
        <x:v>Goblin Rabblemaster</x:v>
      </x:c>
      <x:c r="B22" s="72" t="str">
        <x:v>Token</x:v>
      </x:c>
      <x:c r="C22" s="72" t="str">
        <x:v>PROPOSED V3</x:v>
      </x:c>
      <x:c r="D22" s="72" t="str">
        <x:v>B</x:v>
      </x:c>
      <x:c r="E22" s="72" t="str">
        <x:v>Produz ou multiplica fichas de Goblin.</x:v>
      </x:c>
      <x:c r="F22" s="72" t="str"/>
    </x:row>
    <x:row r="23" ht="38" customHeight="1">
      <x:c r="A23" s="72" t="str">
        <x:v>Goblin Surprise</x:v>
      </x:c>
      <x:c r="B23" s="72" t="str">
        <x:v>Token</x:v>
      </x:c>
      <x:c r="C23" s="72" t="str">
        <x:v>PROPOSED V3</x:v>
      </x:c>
      <x:c r="D23" s="72" t="str">
        <x:v>B</x:v>
      </x:c>
      <x:c r="E23" s="72" t="str">
        <x:v>Produz ou multiplica fichas de Goblin.</x:v>
      </x:c>
      <x:c r="F23" s="72" t="str"/>
    </x:row>
    <x:row r="24" ht="38" customHeight="1">
      <x:c r="A24" s="72" t="str">
        <x:v>Goblin Traprunner</x:v>
      </x:c>
      <x:c r="B24" s="72" t="str">
        <x:v>Token</x:v>
      </x:c>
      <x:c r="C24" s="72" t="str">
        <x:v>PROPOSED V3</x:v>
      </x:c>
      <x:c r="D24" s="72" t="str">
        <x:v>B</x:v>
      </x:c>
      <x:c r="E24" s="72" t="str">
        <x:v>Produz ou multiplica fichas de Goblin.</x:v>
      </x:c>
      <x:c r="F24" s="72" t="str"/>
    </x:row>
    <x:row r="25" ht="38" customHeight="1">
      <x:c r="A25" s="72" t="str">
        <x:v>Goblin War Strike</x:v>
      </x:c>
      <x:c r="B25" s="72" t="str">
        <x:v>Combate + Dano Direto</x:v>
      </x:c>
      <x:c r="C25" s="72" t="str">
        <x:v>PROPOSED V3</x:v>
      </x:c>
      <x:c r="D25" s="72" t="str">
        <x:v>A</x:v>
      </x:c>
      <x:c r="E25" s="72" t="str">
        <x:v>Converte a mesa larga em dano ou pressão.</x:v>
      </x:c>
      <x:c r="F25" s="72" t="str">
        <x:v>Converte a mesa larga em dano ou pressão.</x:v>
      </x:c>
    </x:row>
    <x:row r="26" ht="38" customHeight="1">
      <x:c r="A26" s="72" t="str">
        <x:v>Goblin Warchief</x:v>
      </x:c>
      <x:c r="B26" s="72" t="str">
        <x:v>Buff + Haste</x:v>
      </x:c>
      <x:c r="C26" s="72" t="str">
        <x:v>PROPOSED V3</x:v>
      </x:c>
      <x:c r="D26" s="72" t="str">
        <x:v>A</x:v>
      </x:c>
      <x:c r="E26" s="72" t="str">
        <x:v>Aumenta combate, evasão, ímpeto ou proteção.</x:v>
      </x:c>
      <x:c r="F26" s="72" t="str">
        <x:v>Aumenta combate, evasão, ímpeto ou proteção.</x:v>
      </x:c>
    </x:row>
    <x:row r="27" ht="38" customHeight="1">
      <x:c r="A27" s="72" t="str">
        <x:v>Goblin Welder</x:v>
      </x:c>
      <x:c r="B27" s="72" t="str">
        <x:v>Sinergia 2</x:v>
      </x:c>
      <x:c r="C27" s="72" t="str">
        <x:v>PROPOSED V3</x:v>
      </x:c>
      <x:c r="D27" s="72" t="str">
        <x:v>B</x:v>
      </x:c>
      <x:c r="E27" s="72" t="str">
        <x:v>Toolbox tribal, recursão, sacrifício ou geração de valor.</x:v>
      </x:c>
      <x:c r="F27" s="72" t="str"/>
    </x:row>
    <x:row r="28" ht="38" customHeight="1">
      <x:c r="A28" s="72" t="str">
        <x:v>Grenzo, Havoc Raiser</x:v>
      </x:c>
      <x:c r="B28" s="72" t="str">
        <x:v>Sinergia 2</x:v>
      </x:c>
      <x:c r="C28" s="72" t="str">
        <x:v>PROPOSED V3</x:v>
      </x:c>
      <x:c r="D28" s="72" t="str">
        <x:v>B</x:v>
      </x:c>
      <x:c r="E28" s="72" t="str">
        <x:v>Toolbox tribal, recursão, sacrifício ou geração de valor.</x:v>
      </x:c>
      <x:c r="F28" s="72" t="str"/>
    </x:row>
    <x:row r="29" ht="38" customHeight="1">
      <x:c r="A29" s="72" t="str">
        <x:v>Hobgoblin Bandit Lord</x:v>
      </x:c>
      <x:c r="B29" s="72" t="str">
        <x:v>Buff + Haste</x:v>
      </x:c>
      <x:c r="C29" s="72" t="str">
        <x:v>PROPOSED V3</x:v>
      </x:c>
      <x:c r="D29" s="72" t="str">
        <x:v>B</x:v>
      </x:c>
      <x:c r="E29" s="72" t="str">
        <x:v>Aumenta combate, evasão, ímpeto ou proteção.</x:v>
      </x:c>
      <x:c r="F29" s="72" t="str"/>
    </x:row>
    <x:row r="30" ht="38" customHeight="1">
      <x:c r="A30" s="72" t="str">
        <x:v>Icon of Ancestry</x:v>
      </x:c>
      <x:c r="B30" s="72" t="str">
        <x:v>Buff + Haste</x:v>
      </x:c>
      <x:c r="C30" s="72" t="str">
        <x:v>PROPOSED V3</x:v>
      </x:c>
      <x:c r="D30" s="72" t="str">
        <x:v>B</x:v>
      </x:c>
      <x:c r="E30" s="72" t="str">
        <x:v>Aumenta combate, evasão, ímpeto ou proteção.</x:v>
      </x:c>
      <x:c r="F30" s="72" t="str"/>
    </x:row>
    <x:row r="31" ht="38" customHeight="1">
      <x:c r="A31" s="72" t="str">
        <x:v>Impulsive Pilferer</x:v>
      </x:c>
      <x:c r="B31" s="72" t="str">
        <x:v>Ramp</x:v>
      </x:c>
      <x:c r="C31" s="72" t="str">
        <x:v>PROPOSED V3</x:v>
      </x:c>
      <x:c r="D31" s="72" t="str">
        <x:v>B</x:v>
      </x:c>
      <x:c r="E31" s="72" t="str">
        <x:v>Aceleração ou conversão de fichas em mana.</x:v>
      </x:c>
      <x:c r="F31" s="72" t="str"/>
    </x:row>
    <x:row r="32" ht="38" customHeight="1">
      <x:c r="A32" s="72" t="str">
        <x:v>Legion Warboss</x:v>
      </x:c>
      <x:c r="B32" s="72" t="str">
        <x:v>Token</x:v>
      </x:c>
      <x:c r="C32" s="72" t="str">
        <x:v>PROPOSED V3</x:v>
      </x:c>
      <x:c r="D32" s="72" t="str">
        <x:v>B</x:v>
      </x:c>
      <x:c r="E32" s="72" t="str">
        <x:v>Produz ou multiplica fichas de Goblin.</x:v>
      </x:c>
      <x:c r="F32" s="72" t="str"/>
    </x:row>
    <x:row r="33" ht="38" customHeight="1">
      <x:c r="A33" s="72" t="str">
        <x:v>Marvin, Murderous Mimic</x:v>
      </x:c>
      <x:c r="B33" s="72" t="str">
        <x:v>Sinergia 1</x:v>
      </x:c>
      <x:c r="C33" s="72" t="str">
        <x:v>PROPOSED V3</x:v>
      </x:c>
      <x:c r="D33" s="72" t="str">
        <x:v>A</x:v>
      </x:c>
      <x:c r="E33" s="72" t="str">
        <x:v>Copia habilidades ativadas de outras criaturas; pode copiar a habilidade de Krenko.</x:v>
      </x:c>
      <x:c r="F33" s="72" t="str">
        <x:v>Preservar: copia a habilidade ativada de Krenko e pode ser segunda fábrica de fichas; doença de invocação/ímpeto importam.</x:v>
      </x:c>
    </x:row>
    <x:row r="34" ht="38" customHeight="1">
      <x:c r="A34" s="72" t="str">
        <x:v>Mizzium Mortars</x:v>
      </x:c>
      <x:c r="B34" s="72" t="str">
        <x:v>Removal</x:v>
      </x:c>
      <x:c r="C34" s="72" t="str">
        <x:v>PROPOSED V3</x:v>
      </x:c>
      <x:c r="D34" s="72" t="str">
        <x:v>B</x:v>
      </x:c>
      <x:c r="E34" s="72" t="str">
        <x:v>Interação; avaliar tipos alcançados e custo.</x:v>
      </x:c>
      <x:c r="F34" s="72" t="str"/>
    </x:row>
    <x:row r="35" ht="38" customHeight="1">
      <x:c r="A35" s="72" t="str">
        <x:v>Mountain</x:v>
      </x:c>
      <x:c r="B35" s="72" t="str">
        <x:v>Ramp</x:v>
      </x:c>
      <x:c r="C35" s="72" t="str">
        <x:v>PROPOSED V3</x:v>
      </x:c>
      <x:c r="D35" s="72" t="str">
        <x:v>B</x:v>
      </x:c>
      <x:c r="E35" s="72" t="str">
        <x:v>Aceleração ou conversão de fichas em mana.</x:v>
      </x:c>
      <x:c r="F35" s="72" t="str"/>
    </x:row>
    <x:row r="36" ht="38" customHeight="1">
      <x:c r="A36" s="72" t="str">
        <x:v>Muxus, Goblin Grandee</x:v>
      </x:c>
      <x:c r="B36" s="72" t="str">
        <x:v>Sinergia 2</x:v>
      </x:c>
      <x:c r="C36" s="72" t="str">
        <x:v>PROPOSED V3</x:v>
      </x:c>
      <x:c r="D36" s="72" t="str">
        <x:v>A</x:v>
      </x:c>
      <x:c r="E36" s="72" t="str">
        <x:v>Toolbox tribal, recursão, sacrifício ou geração de valor.</x:v>
      </x:c>
      <x:c r="F36" s="72" t="str">
        <x:v>Toolbox tribal, recursão, sacrifício ou geração de valor.</x:v>
      </x:c>
    </x:row>
    <x:row r="37" ht="38" customHeight="1">
      <x:c r="A37" s="72" t="str">
        <x:v>Opal Palace</x:v>
      </x:c>
      <x:c r="B37" s="72" t="str">
        <x:v>Ramp</x:v>
      </x:c>
      <x:c r="C37" s="72" t="str">
        <x:v>PROPOSED V3</x:v>
      </x:c>
      <x:c r="D37" s="72" t="str">
        <x:v>B</x:v>
      </x:c>
      <x:c r="E37" s="72" t="str">
        <x:v>Aceleração ou conversão de fichas em mana.</x:v>
      </x:c>
      <x:c r="F37" s="72" t="str"/>
    </x:row>
    <x:row r="38" ht="38" customHeight="1">
      <x:c r="A38" s="72" t="str">
        <x:v>Outpost Siege</x:v>
      </x:c>
      <x:c r="B38" s="72" t="str">
        <x:v>Draw</x:v>
      </x:c>
      <x:c r="C38" s="72" t="str">
        <x:v>PROPOSED V3</x:v>
      </x:c>
      <x:c r="D38" s="72" t="str">
        <x:v>B</x:v>
      </x:c>
      <x:c r="E38" s="72" t="str">
        <x:v>Compra, seleção ou acesso impulsivo a cartas.</x:v>
      </x:c>
      <x:c r="F38" s="72" t="str"/>
    </x:row>
    <x:row r="39" ht="38" customHeight="1">
      <x:c r="A39" s="72" t="str">
        <x:v>Patchwork Banner</x:v>
      </x:c>
      <x:c r="B39" s="72" t="str">
        <x:v>Buff + Haste</x:v>
      </x:c>
      <x:c r="C39" s="72" t="str">
        <x:v>PROPOSED V3</x:v>
      </x:c>
      <x:c r="D39" s="72" t="str">
        <x:v>B</x:v>
      </x:c>
      <x:c r="E39" s="72" t="str">
        <x:v>Aumenta combate, evasão, ímpeto ou proteção.</x:v>
      </x:c>
      <x:c r="F39" s="72" t="str"/>
    </x:row>
    <x:row r="40" ht="38" customHeight="1">
      <x:c r="A40" s="72" t="str">
        <x:v>Path of Ancestry</x:v>
      </x:c>
      <x:c r="B40" s="72" t="str">
        <x:v>Ramp</x:v>
      </x:c>
      <x:c r="C40" s="72" t="str">
        <x:v>PROPOSED V3</x:v>
      </x:c>
      <x:c r="D40" s="72" t="str">
        <x:v>B</x:v>
      </x:c>
      <x:c r="E40" s="72" t="str">
        <x:v>Aceleração ou conversão de fichas em mana.</x:v>
      </x:c>
      <x:c r="F40" s="72" t="str"/>
    </x:row>
    <x:row r="41" ht="38" customHeight="1">
      <x:c r="A41" s="72" t="str">
        <x:v>Purphoros, Bronze-Blooded</x:v>
      </x:c>
      <x:c r="B41" s="72" t="str">
        <x:v>Buff + Haste</x:v>
      </x:c>
      <x:c r="C41" s="72" t="str">
        <x:v>PROPOSED V3</x:v>
      </x:c>
      <x:c r="D41" s="72" t="str">
        <x:v>B</x:v>
      </x:c>
      <x:c r="E41" s="72" t="str">
        <x:v>Aumenta combate, evasão, ímpeto ou proteção.</x:v>
      </x:c>
      <x:c r="F41" s="72" t="str"/>
    </x:row>
    <x:row r="42" ht="38" customHeight="1">
      <x:c r="A42" s="72" t="str">
        <x:v>Raid Bombardment</x:v>
      </x:c>
      <x:c r="B42" s="72" t="str">
        <x:v>Combate + Dano Direto</x:v>
      </x:c>
      <x:c r="C42" s="72" t="str">
        <x:v>PROPOSED V3</x:v>
      </x:c>
      <x:c r="D42" s="72" t="str">
        <x:v>B</x:v>
      </x:c>
      <x:c r="E42" s="72" t="str">
        <x:v>Converte a mesa larga em dano ou pressão.</x:v>
      </x:c>
      <x:c r="F42" s="72" t="str"/>
    </x:row>
    <x:row r="43" ht="38" customHeight="1">
      <x:c r="A43" s="72" t="str">
        <x:v>Ruby Medallion</x:v>
      </x:c>
      <x:c r="B43" s="72" t="str">
        <x:v>Ramp</x:v>
      </x:c>
      <x:c r="C43" s="72" t="str">
        <x:v>PROPOSED V3</x:v>
      </x:c>
      <x:c r="D43" s="72" t="str">
        <x:v>B</x:v>
      </x:c>
      <x:c r="E43" s="72" t="str">
        <x:v>Reduz o componente genérico do custo de mágicas vermelhas.</x:v>
      </x:c>
      <x:c r="F43" s="72" t="str"/>
    </x:row>
    <x:row r="44" ht="38" customHeight="1">
      <x:c r="A44" s="72" t="str">
        <x:v>Rundvelt Hordemaster</x:v>
      </x:c>
      <x:c r="B44" s="72" t="str">
        <x:v>Sinergia 2</x:v>
      </x:c>
      <x:c r="C44" s="72" t="str">
        <x:v>PROPOSED V3</x:v>
      </x:c>
      <x:c r="D44" s="72" t="str">
        <x:v>A</x:v>
      </x:c>
      <x:c r="E44" s="72" t="str">
        <x:v>Fonte de vantagem quando outros Goblins que você controla morrem.</x:v>
      </x:c>
      <x:c r="F44" s="72" t="str">
        <x:v>Fonte de vantagem quando outros Goblins que você controla morrem.</x:v>
      </x:c>
    </x:row>
    <x:row r="45" ht="38" customHeight="1">
      <x:c r="A45" s="72" t="str">
        <x:v>Searslicer Goblin</x:v>
      </x:c>
      <x:c r="B45" s="72" t="str">
        <x:v>Token</x:v>
      </x:c>
      <x:c r="C45" s="72" t="str">
        <x:v>PROPOSED V3</x:v>
      </x:c>
      <x:c r="D45" s="72" t="str">
        <x:v>B</x:v>
      </x:c>
      <x:c r="E45" s="72" t="str">
        <x:v>Produz ou multiplica fichas de Goblin.</x:v>
      </x:c>
      <x:c r="F45" s="72" t="str"/>
    </x:row>
    <x:row r="46" ht="38" customHeight="1">
      <x:c r="A46" s="72" t="str">
        <x:v>Shared Animosity</x:v>
      </x:c>
      <x:c r="B46" s="72" t="str">
        <x:v>Combate + Dano Direto</x:v>
      </x:c>
      <x:c r="C46" s="72" t="str">
        <x:v>PROPOSED V3</x:v>
      </x:c>
      <x:c r="D46" s="72" t="str">
        <x:v>S</x:v>
      </x:c>
      <x:c r="E46" s="72" t="str">
        <x:v>Converte a mesa larga em dano ou pressão.</x:v>
      </x:c>
      <x:c r="F46" s="72" t="str">
        <x:v>Converte a mesa larga em dano ou pressão.</x:v>
      </x:c>
    </x:row>
    <x:row r="47" ht="38" customHeight="1">
      <x:c r="A47" s="72" t="str">
        <x:v>Soulstone Sanctuary</x:v>
      </x:c>
      <x:c r="B47" s="72" t="str">
        <x:v>Token</x:v>
      </x:c>
      <x:c r="C47" s="72" t="str">
        <x:v>PROPOSED V3</x:v>
      </x:c>
      <x:c r="D47" s="72" t="str">
        <x:v>B</x:v>
      </x:c>
      <x:c r="E47" s="72" t="str">
        <x:v>Produz ou multiplica fichas de Goblin.</x:v>
      </x:c>
      <x:c r="F47" s="72" t="str"/>
    </x:row>
    <x:row r="48" ht="38" customHeight="1">
      <x:c r="A48" s="72" t="str">
        <x:v>Sundering Eruption</x:v>
      </x:c>
      <x:c r="B48" s="72" t="str">
        <x:v>Removal</x:v>
      </x:c>
      <x:c r="C48" s="72" t="str">
        <x:v>PROPOSED V3</x:v>
      </x:c>
      <x:c r="D48" s="72" t="str">
        <x:v>B</x:v>
      </x:c>
      <x:c r="E48" s="72" t="str">
        <x:v>Interação; avaliar tipos alcançados e custo.</x:v>
      </x:c>
      <x:c r="F48" s="72" t="str"/>
    </x:row>
    <x:row r="49" ht="38" customHeight="1">
      <x:c r="A49" s="72" t="str">
        <x:v>Thrill of Possibility</x:v>
      </x:c>
      <x:c r="B49" s="72" t="str">
        <x:v>Draw</x:v>
      </x:c>
      <x:c r="C49" s="72" t="str">
        <x:v>PROPOSED V3</x:v>
      </x:c>
      <x:c r="D49" s="72" t="str">
        <x:v>B</x:v>
      </x:c>
      <x:c r="E49" s="72" t="str">
        <x:v>Compra, seleção ou acesso impulsivo a cartas.</x:v>
      </x:c>
      <x:c r="F49" s="72" t="str"/>
    </x:row>
    <x:row r="50" ht="38" customHeight="1">
      <x:c r="A50" s="72" t="str">
        <x:v>Treasure Nabber</x:v>
      </x:c>
      <x:c r="B50" s="72" t="str">
        <x:v>Sinergia 2</x:v>
      </x:c>
      <x:c r="C50" s="72" t="str">
        <x:v>PROPOSED V3</x:v>
      </x:c>
      <x:c r="D50" s="72" t="str">
        <x:v>B</x:v>
      </x:c>
      <x:c r="E50" s="72" t="str">
        <x:v>Toolbox tribal, recursão, sacrifício ou geração de valor.</x:v>
      </x:c>
      <x:c r="F50" s="72" t="str"/>
    </x:row>
    <x:row r="51" ht="38" customHeight="1">
      <x:c r="A51" s="72" t="str">
        <x:v>Urabrask the Hidden</x:v>
      </x:c>
      <x:c r="B51" s="72" t="str">
        <x:v>Buff + Haste</x:v>
      </x:c>
      <x:c r="C51" s="72" t="str">
        <x:v>PROPOSED V3</x:v>
      </x:c>
      <x:c r="D51" s="72" t="str">
        <x:v>B</x:v>
      </x:c>
      <x:c r="E51" s="72" t="str">
        <x:v>Aumenta combate, evasão, ímpeto ou proteção.</x:v>
      </x:c>
      <x:c r="F51" s="72" t="str"/>
    </x:row>
    <x:row r="52" ht="38" customHeight="1">
      <x:c r="A52" s="72" t="str">
        <x:v>Sol Ring</x:v>
      </x:c>
      <x:c r="B52" s="72" t="str">
        <x:v>Ramp</x:v>
      </x:c>
      <x:c r="C52" s="72" t="str">
        <x:v>PROPOSED V3</x:v>
      </x:c>
      <x:c r="D52" s="72" t="str">
        <x:v>S</x:v>
      </x:c>
      <x:c r="E52" s="72" t="str">
        <x:v>Aceleração eficiente que estava ausente da lista original de Krenko.</x:v>
      </x:c>
      <x:c r="F52" s="72" t="str">
        <x:v>Aceleração eficiente que estava ausente da lista original. Risco: Não é sinergia tribal por si só; aumenta o poder das mãos iniciais.</x:v>
      </x:c>
    </x:row>
    <x:row r="53" ht="38" customHeight="1">
      <x:c r="A53" s="72" t="str">
        <x:v>Skullclamp</x:v>
      </x:c>
      <x:c r="B53" s="72" t="str">
        <x:v>Draw</x:v>
      </x:c>
      <x:c r="C53" s="72" t="str">
        <x:v>PROPOSED V3</x:v>
      </x:c>
      <x:c r="D53" s="72" t="str">
        <x:v>S</x:v>
      </x:c>
      <x:c r="E53" s="72" t="str">
        <x:v>Motor de compra com fichas pequenas; sac outlets resolvem situações em que buffs mantêm a ficha viva.</x:v>
      </x:c>
      <x:c r="F53" s="72" t="str">
        <x:v>Converte Goblins pequenos em vantagem de cartas, sobretudo com sac outlets. Risco: Anthems podem manter fichas vivas; sac outlets ajudam a controlar isso.</x:v>
      </x:c>
    </x:row>
    <x:row r="54" ht="38" customHeight="1">
      <x:c r="A54" s="72" t="str">
        <x:v>Idol of Oblivion</x:v>
      </x:c>
      <x:c r="B54" s="72" t="str">
        <x:v>Draw</x:v>
      </x:c>
      <x:c r="C54" s="72" t="str">
        <x:v>PROPOSED V3</x:v>
      </x:c>
      <x:c r="D54" s="72" t="str">
        <x:v>A</x:v>
      </x:c>
      <x:c r="E54" s="72" t="str">
        <x:v>Compra uma vez por turno se você criou uma ficha naquele turno.</x:v>
      </x:c>
      <x:c r="F54" s="72" t="str">
        <x:v>Compra recorrente se você criou ficha no turno; Krenko habilita o gatilho naturalmente. Risco: Compra no máximo uma vez por turno e precisa de criação de ficha.</x:v>
      </x:c>
    </x:row>
    <x:row r="55" ht="38" customHeight="1">
      <x:c r="A55" s="72" t="str">
        <x:v>Slate of Ancestry</x:v>
      </x:c>
      <x:c r="B55" s="72" t="str">
        <x:v>Draw</x:v>
      </x:c>
      <x:c r="C55" s="72" t="str">
        <x:v>PROPOSED V3</x:v>
      </x:c>
      <x:c r="D55" s="72" t="str">
        <x:v>A</x:v>
      </x:c>
      <x:c r="E55" s="72" t="str">
        <x:v>Compra um número de cartas proporcional às criaturas, descartando a mão como custo.</x:v>
      </x:c>
      <x:c r="F55" s="72" t="str">
        <x:v>Pode repor a mão com muitas cartas quando você já tem um exército. Risco: Custa quatro manas para baixar e descarta a mão como parte da ativação.</x:v>
      </x:c>
    </x:row>
    <x:row r="56" ht="38" customHeight="1">
      <x:c r="A56" s="72" t="str">
        <x:v>Skirk Prospector</x:v>
      </x:c>
      <x:c r="B56" s="72" t="str">
        <x:v>Ramp</x:v>
      </x:c>
      <x:c r="C56" s="72" t="str">
        <x:v>PROPOSED V3</x:v>
      </x:c>
      <x:c r="D56" s="72" t="str">
        <x:v>A</x:v>
      </x:c>
      <x:c r="E56" s="72" t="str">
        <x:v>Sacrifica Goblins para gerar mana vermelha, facilitando turnos explosivos.</x:v>
      </x:c>
      <x:c r="F56" s="72" t="str">
        <x:v>Transforma Goblins em mana vermelha e permite turnos explosivos. Risco: Consome presença de mesa e compete com outros usos de sacrifício.</x:v>
      </x:c>
    </x:row>
    <x:row r="57" ht="38" customHeight="1">
      <x:c r="A57" s="72" t="str">
        <x:v>Goblin Trashmaster</x:v>
      </x:c>
      <x:c r="B57" s="72" t="str">
        <x:v>Removal</x:v>
      </x:c>
      <x:c r="C57" s="72" t="str">
        <x:v>PROPOSED V3</x:v>
      </x:c>
      <x:c r="D57" s="72" t="str">
        <x:v>A</x:v>
      </x:c>
      <x:c r="E57" s="72" t="str">
        <x:v>Lord tribal e destruição repetível de artefatos ao sacrificar outro Goblin.</x:v>
      </x:c>
      <x:c r="F57" s="72" t="str">
        <x:v>Lord tribal que também destrói artefatos de forma repetível sacrificando Goblins. Risco: Só responde a artefatos e exige outro Goblin para sacrificar.</x:v>
      </x:c>
    </x:row>
    <x:row r="58" ht="38" customHeight="1">
      <x:c r="A58" s="72" t="str">
        <x:v>Lightning Greaves</x:v>
      </x:c>
      <x:c r="B58" s="72" t="str">
        <x:v>Buff + Haste</x:v>
      </x:c>
      <x:c r="C58" s="72" t="str">
        <x:v>PROPOSED V3</x:v>
      </x:c>
      <x:c r="D58" s="72" t="str">
        <x:v>B</x:v>
      </x:c>
      <x:c r="E58" s="72" t="str">
        <x:v>Aumenta combate, evasão, ímpeto ou proteção.</x:v>
      </x:c>
      <x:c r="F58" s="72" t="str"/>
    </x:row>
    <x:row r="59" ht="38" customHeight="1">
      <x:c r="A59" s="72" t="str">
        <x:v>Thousand-Year Elixir</x:v>
      </x:c>
      <x:c r="B59" s="72" t="str">
        <x:v>Sinergia 1</x:v>
      </x:c>
      <x:c r="C59" s="72" t="str">
        <x:v>PROPOSED V3</x:v>
      </x:c>
      <x:c r="D59" s="72" t="str">
        <x:v>S</x:v>
      </x:c>
      <x:c r="E59" s="72" t="str">
        <x:v>Permite ativar criaturas como se tivessem ímpeto e pode desvirar uma criatura.</x:v>
      </x:c>
      <x:c r="F59" s="72" t="str">
        <x:v>Permite ativar Krenko como se tivesse ímpeto e pode desvirar uma criatura. Risco: Custa três manas e a habilidade de desvirar também consome mana e o próprio artefato.</x:v>
      </x:c>
    </x:row>
    <x:row r="60" ht="38" customHeight="1">
      <x:c r="A60" s="72" t="str">
        <x:v>Jeska's Will</x:v>
      </x:c>
      <x:c r="B60" s="72" t="str">
        <x:v>Ramp</x:v>
      </x:c>
      <x:c r="C60" s="72" t="str">
        <x:v>PROPOSED V3</x:v>
      </x:c>
      <x:c r="D60" s="72" t="str">
        <x:v>A</x:v>
      </x:c>
      <x:c r="E60" s="72" t="str">
        <x:v>Mana explosiva e acesso impulsivo a cartas; com comandante em campo, pode usar os dois modos.</x:v>
      </x:c>
      <x:c r="F60" s="72" t="str">
        <x:v>Mana explosiva mais compra impulsiva; teto alto com comandante em campo. Risco: O acesso às cartas é temporário e precisa de mana disponível para aproveitá-lo.</x:v>
      </x:c>
    </x:row>
    <x:row r="61" ht="38" customHeight="1">
      <x:c r="A61" s="72" t="str">
        <x:v>Blasphemous Act</x:v>
      </x:c>
      <x:c r="B61" s="72" t="str">
        <x:v>Removal</x:v>
      </x:c>
      <x:c r="C61" s="72" t="str">
        <x:v>PROPOSED V3</x:v>
      </x:c>
      <x:c r="D61" s="72" t="str">
        <x:v>A</x:v>
      </x:c>
      <x:c r="E61" s="72" t="str">
        <x:v>Reset de emergência; normalmente simétrico, mas Monument pode proteger suas criaturas do dano.</x:v>
      </x:c>
      <x:c r="F61" s="72" t="str">
        <x:v>Limpeza de emergência eficiente; interage com Brash Taunter e pode ser assimétrica com Eldrazi Monument. Risco: Normalmente também mata seus Goblins se eles não tiverem indestrutível.</x:v>
      </x:c>
    </x:row>
    <x:row r="62" ht="38" customHeight="1">
      <x:c r="A62" s="72" t="str">
        <x:v>Chaos Warp</x:v>
      </x:c>
      <x:c r="B62" s="72" t="str">
        <x:v>Removal</x:v>
      </x:c>
      <x:c r="C62" s="72" t="str">
        <x:v>PROPOSED V3</x:v>
      </x:c>
      <x:c r="D62" s="72" t="str">
        <x:v>A</x:v>
      </x:c>
      <x:c r="E62" s="72" t="str">
        <x:v>Interação; avaliar tipos alcançados e custo.</x:v>
      </x:c>
      <x:c r="F62" s="72" t="str">
        <x:v>Resposta flexível para permanentes problemáticas em mono-red. Risco: O oponente pode revelar uma permanente substituta; remoção não é garantida sem custo.</x:v>
      </x:c>
    </x:row>
    <x:row r="63" ht="38" customHeight="1">
      <x:c r="A63" s="72" t="str">
        <x:v>Impact Tremors</x:v>
      </x:c>
      <x:c r="B63" s="72" t="str">
        <x:v>Combate + Dano Direto</x:v>
      </x:c>
      <x:c r="C63" s="72" t="str">
        <x:v>PROPOSED V3</x:v>
      </x:c>
      <x:c r="D63" s="72" t="str">
        <x:v>A</x:v>
      </x:c>
      <x:c r="E63" s="72" t="str">
        <x:v>Transforma entradas de fichas em dano a cada oponente.</x:v>
      </x:c>
      <x:c r="F63" s="72" t="str">
        <x:v>Transforma a criação de cada ficha por Krenko em dano a todos os oponentes. Risco: Precisa permanecer em campo e não afeta criaturas que já estavam lá.</x:v>
      </x:c>
    </x:row>
    <x:row r="64" ht="38" customHeight="1">
      <x:c r="A64" s="72" t="str">
        <x:v>Vandalblast</x:v>
      </x:c>
      <x:c r="B64" s="72" t="str">
        <x:v>Removal</x:v>
      </x:c>
      <x:c r="C64" s="72" t="str">
        <x:v>PROPOSED V3</x:v>
      </x:c>
      <x:c r="D64" s="72" t="str">
        <x:v>A</x:v>
      </x:c>
      <x:c r="E64" s="72" t="str">
        <x:v>Sobrecarga limpa artefatos dos oponentes sem atingir os seus.</x:v>
      </x:c>
      <x:c r="F64" s="72" t="str">
        <x:v>Sobrecarga destrói artefatos dos oponentes sem afetar os seus. Risco: Não resolve encantamentos nem outros tipos de permanente.</x:v>
      </x:c>
    </x:row>
    <x:row r="65" ht="38" customHeight="1">
      <x:c r="A65" s="72" t="str">
        <x:v>War Room</x:v>
      </x:c>
      <x:c r="B65" s="72" t="str">
        <x:v>Draw</x:v>
      </x:c>
      <x:c r="C65" s="72" t="str">
        <x:v>PROPOSED V3</x:v>
      </x:c>
      <x:c r="D65" s="72" t="str">
        <x:v>B</x:v>
      </x:c>
      <x:c r="E65" s="72" t="str">
        <x:v>Terreno incolor que oferece compra repetível mediante mana e vida.</x:v>
      </x:c>
      <x:c r="F65" s="72" t="str"/>
    </x:row>
    <x:row r="66" ht="38" customHeight="1">
      <x:c r="A66" s="72" t="str">
        <x:v>Wild Magic Surge</x:v>
      </x:c>
      <x:c r="B66" s="72" t="str">
        <x:v>Removal</x:v>
      </x:c>
      <x:c r="C66" s="72" t="str">
        <x:v>PROPOSED V3</x:v>
      </x:c>
      <x:c r="D66" s="72" t="str">
        <x:v>A</x:v>
      </x:c>
      <x:c r="E66" s="72" t="str">
        <x:v>Resposta instantânea a permanente não terreno; o oponente pode receber uma permanente substituta.</x:v>
      </x:c>
      <x:c r="F66" s="72" t="str">
        <x:v>Resposta instantânea a quase qualquer permanente não terreno em mono-red. Risco: O oponente recebe uma permanente aleatória como substituição; não atinge terrenos.</x:v>
      </x:c>
    </x:row>
    <x:row r="67" ht="38" customHeight="1">
      <x:c r="A67" s="72" t="str">
        <x:v>Goblin Chieftain</x:v>
      </x:c>
      <x:c r="B67" s="72" t="str">
        <x:v>Buff + Haste</x:v>
      </x:c>
      <x:c r="C67" s="72" t="str">
        <x:v>PROPOSED V3</x:v>
      </x:c>
      <x:c r="D67" s="72" t="str">
        <x:v>A</x:v>
      </x:c>
      <x:c r="E67" s="72" t="str">
        <x:v>Lord Goblin: +1/+1 e haste para os outros Goblins, acelerando pressão e ativação do motor.</x:v>
      </x:c>
      <x:c r="F67" s="72" t="str">
        <x:v>PROPOSED V3; ainda não testada.</x:v>
      </x:c>
    </x:row>
    <x:row r="68" ht="38" customHeight="1">
      <x:c r="A68" s="72" t="str">
        <x:v>Goblin Ringleader</x:v>
      </x:c>
      <x:c r="B68" s="72" t="str">
        <x:v>Draw</x:v>
      </x:c>
      <x:c r="C68" s="72" t="str">
        <x:v>PROPOSED V3</x:v>
      </x:c>
      <x:c r="D68" s="72" t="str">
        <x:v>A</x:v>
      </x:c>
      <x:c r="E68" s="72" t="str">
        <x:v>Entra revelando quatro cartas e leva os Goblins revelados para a mão; valor tribal repetível por cópia/recursão.</x:v>
      </x:c>
      <x:c r="F68" s="72" t="str">
        <x:v>PROPOSED V3; ainda não testada.</x:v>
      </x:c>
    </x:row>
    <x:row r="69" ht="38" customHeight="1">
      <x:c r="A69" s="72" t="str">
        <x:v>Pashalik Mons</x:v>
      </x:c>
      <x:c r="B69" s="72" t="str">
        <x:v>Combate + Dano Direto</x:v>
      </x:c>
      <x:c r="C69" s="72" t="str">
        <x:v>PROPOSED V3</x:v>
      </x:c>
      <x:c r="D69" s="72" t="str">
        <x:v>A</x:v>
      </x:c>
      <x:c r="E69" s="72" t="str">
        <x:v>Quando Pashalik ou outro Goblin seu morre, causa 1 de dano a qualquer alvo. Por {3}{R} e sacrificando um Goblin, cria dois tokens Goblin; o sacrifício também pode gerar um gatilho de dano.</x:v>
      </x:c>
      <x:c r="F69" s="72" t="str">
        <x:v>PROPOSED V3; ainda não testada.</x:v>
      </x:c>
    </x:row>
    <x:row r="70" ht="38" customHeight="1">
      <x:c r="A70" s="72" t="str">
        <x:v>Goblin Chirurgeon</x:v>
      </x:c>
      <x:c r="B70" s="72" t="str">
        <x:v>Sinergia 1</x:v>
      </x:c>
      <x:c r="C70" s="72" t="str">
        <x:v>PROPOSED V3</x:v>
      </x:c>
      <x:c r="D70" s="72" t="str">
        <x:v>B</x:v>
      </x:c>
      <x:c r="E70" s="72" t="str">
        <x:v>Sacrifica um Goblin para regenerar uma criatura; proteção eficiente contra efeitos de destruição.</x:v>
      </x:c>
      <x:c r="F70" s="72" t="str">
        <x:v>PROPOSED V3; ainda não testada.</x:v>
      </x:c>
    </x:row>
    <x:row r="71" ht="38" customHeight="1">
      <x:c r="A71" s="72" t="str">
        <x:v>Goblin Recruiter</x:v>
      </x:c>
      <x:c r="B71" s="72" t="str">
        <x:v>Sinergia 2</x:v>
      </x:c>
      <x:c r="C71" s="72" t="str">
        <x:v>PROPOSED V3</x:v>
      </x:c>
      <x:c r="D71" s="72" t="str">
        <x:v>A</x:v>
      </x:c>
      <x:c r="E71" s="72" t="str">
        <x:v>Tutor tribal que organiza Goblins no topo; sinergiza com Muxus, Ringleader e efeitos de compra/exílio.</x:v>
      </x:c>
      <x:c r="F71" s="72" t="str">
        <x:v>PROPOSED V3; ainda não testada.</x:v>
      </x:c>
    </x:row>
    <x:row r="72" ht="38" customHeight="1">
      <x:c r="A72" s="72" t="str">
        <x:v>The One Ring</x:v>
      </x:c>
      <x:c r="B72" s="72" t="str">
        <x:v>Draw</x:v>
      </x:c>
      <x:c r="C72" s="72" t="str">
        <x:v>PROPOSED V3</x:v>
      </x:c>
      <x:c r="D72" s="72" t="str">
        <x:v>S</x:v>
      </x:c>
      <x:c r="E72" s="72" t="str">
        <x:v>Compra recorrente e proteção temporária; o custo crescente em vida e a ameaça percebida são relevantes.</x:v>
      </x:c>
      <x:c r="F72" s="72" t="str">
        <x:v>PROPOSED V3; ainda não testada.</x:v>
      </x:c>
    </x:row>
    <x:row r="73" ht="38" customHeight="1">
      <x:c r="A73" s="72" t="str">
        <x:v>Mana Vault</x:v>
      </x:c>
      <x:c r="B73" s="72" t="str">
        <x:v>Ramp</x:v>
      </x:c>
      <x:c r="C73" s="72" t="str">
        <x:v>PROPOSED V3</x:v>
      </x:c>
      <x:c r="D73" s="72" t="str">
        <x:v>A</x:v>
      </x:c>
      <x:c r="E73" s="72" t="str">
        <x:v>Aceleração explosiva: vira para {C}{C}{C}; não desvira normalmente e, se continuar virado no início da manutenção, causa 1 de dano. Pode-se pagar {4} para desvirar.</x:v>
      </x:c>
      <x:c r="F73" s="72" t="str">
        <x:v>PROPOSED V3; ainda não testada.</x:v>
      </x:c>
    </x:row>
    <x:row r="74" ht="38" customHeight="1">
      <x:c r="A74" s="72" t="str">
        <x:v>Ancient Tomb</x:v>
      </x:c>
      <x:c r="B74" s="72" t="str">
        <x:v>Ramp</x:v>
      </x:c>
      <x:c r="C74" s="72" t="str">
        <x:v>PROPOSED V3</x:v>
      </x:c>
      <x:c r="D74" s="72" t="str">
        <x:v>A</x:v>
      </x:c>
      <x:c r="E74" s="72" t="str">
        <x:v>Terreno que acelera o comandante e permanentes de custo alto ao custo de vida.</x:v>
      </x:c>
      <x:c r="F74" s="72" t="str">
        <x:v>PROPOSED V3; ainda não testada.</x:v>
      </x:c>
    </x:row>
    <x:row r="75" ht="38" customHeight="1">
      <x:c r="A75" s="72" t="str">
        <x:v>Cavern of Souls</x:v>
      </x:c>
      <x:c r="B75" s="72" t="str">
        <x:v>Ramp</x:v>
      </x:c>
      <x:c r="C75" s="72" t="str">
        <x:v>PROPOSED V3</x:v>
      </x:c>
      <x:c r="D75" s="72" t="str">
        <x:v>A</x:v>
      </x:c>
      <x:c r="E75" s="72" t="str">
        <x:v>Nomear Goblin ajuda a fazer mágicas de criatura Goblin não serem anuladas.</x:v>
      </x:c>
      <x:c r="F75" s="72" t="str">
        <x:v>PROPOSED V3; ainda não testada.</x:v>
      </x:c>
    </x:row>
    <x:row r="76" ht="38" customHeight="1">
      <x:c r="A76" s="72" t="str">
        <x:v>Three Tree City</x:v>
      </x:c>
      <x:c r="B76" s="72" t="str">
        <x:v>Ramp</x:v>
      </x:c>
      <x:c r="C76" s="72" t="str">
        <x:v>PROPOSED V3</x:v>
      </x:c>
      <x:c r="D76" s="72" t="str">
        <x:v>A</x:v>
      </x:c>
      <x:c r="E76" s="72" t="str">
        <x:v>Com Goblin nomeado, gera mana baseada no número de Goblins controlados; escala depois de estabelecer mesa.</x:v>
      </x:c>
      <x:c r="F76" s="72" t="str">
        <x:v>PROPOSED V3; ainda não testada.</x:v>
      </x:c>
    </x:row>
  </x:sheetData>
  <x:pageMargins left="0.7" right="0.7" top="0.75" bottom="0.75" header="0.3" footer="0.3"/>
</x:worksheet>
</file>