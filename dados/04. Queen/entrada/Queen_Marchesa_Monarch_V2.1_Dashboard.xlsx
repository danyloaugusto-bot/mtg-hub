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fde6b8bd348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ashboard" sheetId="1" r:id="R5eb65c1482634a48"/>
    <x:sheet xmlns:r="http://schemas.openxmlformats.org/officeDocument/2006/relationships" name="02_Card Matrix" sheetId="2" r:id="R1cb306a55b3b43d7"/>
    <x:sheet xmlns:r="http://schemas.openxmlformats.org/officeDocument/2006/relationships" name="03_8x8 Plan" sheetId="3" r:id="R44fb6e82aee24736"/>
    <x:sheet xmlns:r="http://schemas.openxmlformats.org/officeDocument/2006/relationships" name="04_Tier List" sheetId="4" r:id="R957dde0d06b347c3"/>
    <x:sheet xmlns:r="http://schemas.openxmlformats.org/officeDocument/2006/relationships" name="05_Upgrade Matrix" sheetId="5" r:id="R2fc3d341c66049d9"/>
    <x:sheet xmlns:r="http://schemas.openxmlformats.org/officeDocument/2006/relationships" name="06_Strategy" sheetId="6" r:id="R7bdeccc141364528"/>
    <x:sheet xmlns:r="http://schemas.openxmlformats.org/officeDocument/2006/relationships" name="07_Control Panel" sheetId="7" r:id="R895618e3787f47af"/>
    <x:sheet xmlns:r="http://schemas.openxmlformats.org/officeDocument/2006/relationships" name="08_Playtest Log" sheetId="8" r:id="Re02059af869d49d5"/>
    <x:sheet xmlns:r="http://schemas.openxmlformats.org/officeDocument/2006/relationships" name="09_V2.1 List" sheetId="9" r:id="Ra101961e2c684c1d"/>
    <x:sheet xmlns:r="http://schemas.openxmlformats.org/officeDocument/2006/relationships" name="10_Sources" sheetId="10" r:id="Raf5d738c24c44f29"/>
    <x:sheet xmlns:r="http://schemas.openxmlformats.org/officeDocument/2006/relationships" name="11_Rules &amp; Interactions" sheetId="11" r:id="R7690a7da689b4c54"/>
    <x:sheet xmlns:r="http://schemas.openxmlformats.org/officeDocument/2006/relationships" name="12_Handover Compliance" sheetId="12" r:id="Rde3fee07eb9f47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7F1D1D"/>
      </x:patternFill>
    </x:fill>
    <x:fill>
      <x:patternFill patternType="solid">
        <x:fgColor rgb="FFF3F4F6"/>
      </x:patternFill>
    </x:fill>
    <x:fill>
      <x:patternFill patternType="solid">
        <x:fgColor rgb="FFFFF7ED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B91C1C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53118f22474736" /><Relationship Type="http://schemas.openxmlformats.org/officeDocument/2006/relationships/theme" Target="/xl/theme/theme1.xml" Id="Rcba40a0bc78e4ec1" /><Relationship Type="http://schemas.openxmlformats.org/officeDocument/2006/relationships/sharedStrings" Target="/xl/sharedStrings.xml" Id="Rcd6ce75d251a4df0" /><Relationship Type="http://schemas.openxmlformats.org/officeDocument/2006/relationships/worksheet" Target="/xl/worksheets/sheet1.xml" Id="R5eb65c1482634a48" /><Relationship Type="http://schemas.openxmlformats.org/officeDocument/2006/relationships/worksheet" Target="/xl/worksheets/sheet2.xml" Id="R1cb306a55b3b43d7" /><Relationship Type="http://schemas.openxmlformats.org/officeDocument/2006/relationships/worksheet" Target="/xl/worksheets/sheet3.xml" Id="R44fb6e82aee24736" /><Relationship Type="http://schemas.openxmlformats.org/officeDocument/2006/relationships/worksheet" Target="/xl/worksheets/sheet4.xml" Id="R957dde0d06b347c3" /><Relationship Type="http://schemas.openxmlformats.org/officeDocument/2006/relationships/worksheet" Target="/xl/worksheets/sheet5.xml" Id="R2fc3d341c66049d9" /><Relationship Type="http://schemas.openxmlformats.org/officeDocument/2006/relationships/worksheet" Target="/xl/worksheets/sheet6.xml" Id="R7bdeccc141364528" /><Relationship Type="http://schemas.openxmlformats.org/officeDocument/2006/relationships/worksheet" Target="/xl/worksheets/sheet7.xml" Id="R895618e3787f47af" /><Relationship Type="http://schemas.openxmlformats.org/officeDocument/2006/relationships/worksheet" Target="/xl/worksheets/sheet8.xml" Id="Re02059af869d49d5" /><Relationship Type="http://schemas.openxmlformats.org/officeDocument/2006/relationships/worksheet" Target="/xl/worksheets/sheet9.xml" Id="Ra101961e2c684c1d" /><Relationship Type="http://schemas.openxmlformats.org/officeDocument/2006/relationships/worksheet" Target="/xl/worksheets/sheet10.xml" Id="Raf5d738c24c44f29" /><Relationship Type="http://schemas.openxmlformats.org/officeDocument/2006/relationships/worksheet" Target="/xl/worksheets/sheet11.xml" Id="R7690a7da689b4c54" /><Relationship Type="http://schemas.openxmlformats.org/officeDocument/2006/relationships/worksheet" Target="/xl/worksheets/sheet12.xml" Id="Rde3fee07eb9f477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6f8b85418b44f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8×8 Group Coverage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'03_8x8 Plan'!$I$4:$I$11</c:f>
              <c:strCache>
                <c:ptCount val="0"/>
              </c:strCache>
            </c:strRef>
          </c:cat>
          <c:val>
            <c:numRef>
              <c:f>'03_8x8 Plan'!$J$4:$J$11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12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f8b85418b44fe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rchesaCardMatrix" displayName="MarchesaCardMatrix" ref="A3:L103" headerRowCount="1" totalsRowCount="0" totalsRowShown="0">
  <x:tableColumns count="12">
    <x:tableColumn id="1" name="Qty"/>
    <x:tableColumn id="2" name="Card"/>
    <x:tableColumn id="3" name="Type"/>
    <x:tableColumn id="4" name="Slot Kind"/>
    <x:tableColumn id="5" name="Primary 8×8 Role"/>
    <x:tableColumn id="6" name="Secondary Role / Notes"/>
    <x:tableColumn id="7" name="Fit Score"/>
    <x:tableColumn id="8" name="Tier"/>
    <x:tableColumn id="9" name="Verdict"/>
    <x:tableColumn id="10" name="Status"/>
    <x:tableColumn id="11" name="Source Basis"/>
    <x:tableColumn id="12" name="Open Ques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chesaLandSlots" displayName="MarchesaLandSlots" ref="A3:C38" headerRowCount="1" totalsRowCount="0" totalsRowShown="0">
  <x:tableColumns count="3">
    <x:tableColumn id="1" name="LAND SLOT / MDFC"/>
    <x:tableColumn id="2" name="Kind"/>
    <x:tableColumn id="3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chesaGroups" displayName="MarchesaGroups" ref="E3:G67" headerRowCount="1" totalsRowCount="0" totalsRowShown="0">
  <x:tableColumns count="3">
    <x:tableColumn id="1" name="8×8 GROUP"/>
    <x:tableColumn id="2" name="CARD"/>
    <x:tableColumn id="3" name="PRIMARY PURPO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rchesaTierList" displayName="MarchesaTierList" ref="A3:G103" headerRowCount="1" totalsRowCount="0" totalsRowShown="0">
  <x:tableColumns count="7">
    <x:tableColumn id="1" name="Tier"/>
    <x:tableColumn id="2" name="Card"/>
    <x:tableColumn id="3" name="Score"/>
    <x:tableColumn id="4" name="Primary Role"/>
    <x:tableColumn id="5" name="Verdict"/>
    <x:tableColumn id="6" name="Why it matters"/>
    <x:tableColumn id="7" name="Testing prior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archesaUpgradeMatrix" displayName="MarchesaUpgradeMatrix" ref="A3:H7" headerRowCount="1" totalsRowCount="0" totalsRowShown="0">
  <x:tableColumns count="8">
    <x:tableColumn id="1" name="OUT"/>
    <x:tableColumn id="2" name="IN"/>
    <x:tableColumn id="3" name="Type"/>
    <x:tableColumn id="4" name="Priority"/>
    <x:tableColumn id="5" name="Reason OUT"/>
    <x:tableColumn id="6" name="Reason IN"/>
    <x:tableColumn id="7" name="Expected impact"/>
    <x:tableColumn id="8" name="Confide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rchesaControlPanel" displayName="MarchesaControlPanel" ref="A3:F13" headerRowCount="1" totalsRowCount="0" totalsRowShown="0">
  <x:tableColumns count="6">
    <x:tableColumn id="1" name="Item"/>
    <x:tableColumn id="2" name="Category"/>
    <x:tableColumn id="3" name="Status"/>
    <x:tableColumn id="4" name="Decision"/>
    <x:tableColumn id="5" name="Risk / Question"/>
    <x:tableColumn id="6" name="Next 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rchesaPlaytestLog" displayName="MarchesaPlaytestLog" ref="A3:O15" headerRowCount="1" totalsRowCount="0" totalsRowShown="0">
  <x:tableColumns count="15">
    <x:tableColumn id="1" name="Game #"/>
    <x:tableColumn id="2" name="Date"/>
    <x:tableColumn id="3" name="Pod / Power"/>
    <x:tableColumn id="4" name="Opening 7"/>
    <x:tableColumn id="5" name="Mulligan?"/>
    <x:tableColumn id="6" name="Turn Marchesa"/>
    <x:tableColumn id="7" name="First Monarch turn"/>
    <x:tableColumn id="8" name="Monarch turns held"/>
    <x:tableColumn id="9" name="Cards from Monarch"/>
    <x:tableColumn id="10" name="Cards from engines"/>
    <x:tableColumn id="11" name="Wipes used"/>
    <x:tableColumn id="12" name="Inkshield impact"/>
    <x:tableColumn id="13" name="Win / Loss"/>
    <x:tableColumn id="14" name="MVP / Dead cards"/>
    <x:tableColumn id="15" name="Notes / les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rchesaV21Decklist" displayName="MarchesaV21Decklist" ref="A2:F102" headerRowCount="1" totalsRowCount="0" totalsRowShown="0">
  <x:tableColumns count="6">
    <x:tableColumn id="1" name="Qty"/>
    <x:tableColumn id="2" name="Card"/>
    <x:tableColumn id="3" name="Type"/>
    <x:tableColumn id="4" name="8×8 Slot"/>
    <x:tableColumn id="5" name="Primary Role"/>
    <x:tableColumn id="6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archesaSources" displayName="MarchesaSources" ref="A3:E12" headerRowCount="1" totalsRowCount="0" totalsRowShown="0">
  <x:tableColumns count="5">
    <x:tableColumn id="1" name="Source"/>
    <x:tableColumn id="2" name="URL"/>
    <x:tableColumn id="3" name="Used for"/>
    <x:tableColumn id="4" name="Interpretation limits"/>
    <x:tableColumn id="5" name="Checked 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rchesaRules" displayName="MarchesaRules" ref="A3:D11" headerRowCount="1" totalsRowCount="0" totalsRowShown="0">
  <x:tableColumns count="4">
    <x:tableColumn id="1" name="Interaction / Rule"/>
    <x:tableColumn id="2" name="Practical consequence"/>
    <x:tableColumn id="3" name="Status"/>
    <x:tableColumn id="4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archesaCompliance" displayName="MarchesaCompliance" ref="A3:D12" headerRowCount="1" totalsRowCount="0" totalsRowShown="0">
  <x:tableColumns count="4">
    <x:tableColumn id="1" name="Requirement"/>
    <x:tableColumn id="2" name="Status"/>
    <x:tableColumn id="3" name="Evidence / note"/>
    <x:tableColumn id="4" name="Next 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635e3d0ffc40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339dd4995b694db6" /><Relationship Type="http://schemas.openxmlformats.org/officeDocument/2006/relationships/table" Target="/xl/tables/table2.xml" Id="R353513217cda43ea" /><Relationship Type="http://schemas.openxmlformats.org/officeDocument/2006/relationships/table" Target="/xl/tables/table3.xml" Id="Re733f0f32cc843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927fa7f43fe4c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3f4109fd5644f9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380dea880d649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12f85b170b4fa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f2ce4be8e6a4b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b81ebce13b0434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6700d7e80234b3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1e2908929da4ad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26" hidden="0" customWidth="1"/>
  </x:cols>
  <x:sheetData>
    <x:row r="1" ht="30" customHeight="1">
      <x:c r="A1" s="5" t="str">
        <x:v>QUEEN MARCHESA | MONARCH, POLITICS &amp; MARDU CONTROL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V2.1 PROPOSAL • 8×8 STRUCTURE • 2026-10-09 • PROJECTED, NOT PLAYTESTED</x:v>
      </x:c>
      <x:c r="B2" s="12"/>
      <x:c r="C2" s="12"/>
      <x:c r="D2" s="12"/>
      <x:c r="E2" s="12"/>
      <x:c r="F2" s="12"/>
      <x:c r="G2" s="12"/>
      <x:c r="H2" s="12"/>
    </x:row>
    <x:row r="4" ht="28" customHeight="1">
      <x:c r="A4" s="20" t="str">
        <x:v>KPI</x:v>
      </x:c>
      <x:c r="B4" s="20" t="str">
        <x:v>VALUE</x:v>
      </x:c>
      <x:c r="D4" s="35" t="str">
        <x:v>PROJECT IDENTITY</x:v>
      </x:c>
      <x:c r="E4" s="35"/>
      <x:c r="F4" s="35"/>
      <x:c r="G4" s="35"/>
      <x:c r="H4" s="35"/>
    </x:row>
    <x:row r="5">
      <x:c r="A5" s="28" t="str">
        <x:v>Commander</x:v>
      </x:c>
      <x:c r="B5" t="str">
        <x:v>Queen Marchesa</x:v>
      </x:c>
      <x:c r="D5" s="43" t="str">
        <x:v>Mardu Monarch / Politics / Pillow Fort. Start discreetly with mana and defensive layers; establish Queen Marchesa in the middle game; convert Monarch draw, Courts and political pressure into a decisive endgame. Preserve all six Courts, premium cards and political personality pieces.</x:v>
      </x:c>
      <x:c r="E5" s="43"/>
      <x:c r="F5" s="43"/>
      <x:c r="G5" s="43"/>
      <x:c r="H5" s="43"/>
    </x:row>
    <x:row r="6">
      <x:c r="A6" s="28" t="str">
        <x:v>Total cards incl. commander</x:v>
      </x:c>
      <x:c r="B6" t="n">
        <x:f>SUM('09_V2.1 List'!A3:A102)</x:f>
        <x:v>100</x:v>
      </x:c>
      <x:c r="D6" s="43"/>
      <x:c r="E6" s="43"/>
      <x:c r="F6" s="43"/>
      <x:c r="G6" s="43"/>
      <x:c r="H6" s="43"/>
    </x:row>
    <x:row r="7">
      <x:c r="A7" s="28" t="str">
        <x:v>Maindeck cards</x:v>
      </x:c>
      <x:c r="B7" t="n">
        <x:f>SUM('09_V2.1 List'!A4:A102)</x:f>
        <x:v>99</x:v>
      </x:c>
      <x:c r="D7" s="43"/>
      <x:c r="E7" s="43"/>
      <x:c r="F7" s="43"/>
      <x:c r="G7" s="43"/>
      <x:c r="H7" s="43"/>
    </x:row>
    <x:row r="8">
      <x:c r="A8" s="28" t="str">
        <x:v>Physical land slots</x:v>
      </x:c>
      <x:c r="B8" t="n">
        <x:f>COUNTIF('09_V2.1 List'!D4:D102,"Land (physical)")</x:f>
        <x:v>32</x:v>
      </x:c>
      <x:c r="D8" s="43"/>
      <x:c r="E8" s="43"/>
      <x:c r="F8" s="43"/>
      <x:c r="G8" s="43"/>
      <x:c r="H8" s="43"/>
    </x:row>
    <x:row r="9">
      <x:c r="A9" s="28" t="str">
        <x:v>MDFCs in land package</x:v>
      </x:c>
      <x:c r="B9" t="n">
        <x:f>COUNTIF('09_V2.1 List'!D4:D102,"MDFC / land slot")</x:f>
        <x:v>3</x:v>
      </x:c>
      <x:c r="D9" s="43"/>
      <x:c r="E9" s="43"/>
      <x:c r="F9" s="43"/>
      <x:c r="G9" s="43"/>
      <x:c r="H9" s="43"/>
    </x:row>
    <x:row r="10">
      <x:c r="A10" s="28" t="str">
        <x:v>8×8 nonland spells</x:v>
      </x:c>
      <x:c r="B10" t="n">
        <x:f>COUNTIF('09_V2.1 List'!D4:D102,"8×8 spell")</x:f>
        <x:v>64</x:v>
      </x:c>
    </x:row>
    <x:row r="11" ht="28" customHeight="1">
      <x:c r="A11" s="28" t="str">
        <x:v>Land slots target</x:v>
      </x:c>
      <x:c r="B11" t="n">
        <x:v>35</x:v>
      </x:c>
      <x:c r="D11" s="35" t="str">
        <x:v>STRUCTURAL STATUS</x:v>
      </x:c>
      <x:c r="E11" s="35"/>
      <x:c r="F11" s="35"/>
      <x:c r="G11" s="35"/>
      <x:c r="H11" s="35"/>
    </x:row>
    <x:row r="12">
      <x:c r="A12" s="28" t="str">
        <x:v>Functional groups target</x:v>
      </x:c>
      <x:c r="B12" t="n">
        <x:v>8</x:v>
      </x:c>
      <x:c r="D12" s="50" t="str">
        <x:v>32 physical land slots + 3 MDFCs = 35 allocated land slots</x:v>
      </x:c>
      <x:c r="E12" s="50"/>
      <x:c r="F12" s="50"/>
      <x:c r="G12" s="50"/>
      <x:c r="H12" s="50"/>
    </x:row>
    <x:row r="13">
      <x:c r="A13" s="28" t="str">
        <x:v>Cards per group target</x:v>
      </x:c>
      <x:c r="B13" t="n">
        <x:v>8</x:v>
      </x:c>
      <x:c r="D13" s="50" t="str">
        <x:v>64 nonland spells = 8 groups × 8 cards</x:v>
      </x:c>
      <x:c r="E13" s="50"/>
      <x:c r="F13" s="50"/>
      <x:c r="G13" s="50"/>
      <x:c r="H13" s="50"/>
    </x:row>
    <x:row r="14">
      <x:c r="A14" s="28" t="str">
        <x:v>Current estimate</x:v>
      </x:c>
      <x:c r="B14" s="54" t="n">
        <x:v>8</x:v>
      </x:c>
      <x:c r="D14" s="50" t="str">
        <x:v>Four OUT → IN swaps, including one mana-base upgrade</x:v>
      </x:c>
      <x:c r="E14" s="50"/>
      <x:c r="F14" s="50"/>
      <x:c r="G14" s="50"/>
      <x:c r="H14" s="50"/>
    </x:row>
    <x:row r="15">
      <x:c r="A15" s="28" t="str">
        <x:v>V2.1 projected estimate</x:v>
      </x:c>
      <x:c r="B15" s="54" t="n">
        <x:v>8.6</x:v>
      </x:c>
      <x:c r="D15" s="50" t="str">
        <x:v>Maze of Ith is a land slot but does not produce mana</x:v>
      </x:c>
      <x:c r="E15" s="50"/>
      <x:c r="F15" s="50"/>
      <x:c r="G15" s="50"/>
      <x:c r="H15" s="50"/>
    </x:row>
    <x:row r="16">
      <x:c r="A16" s="28" t="str">
        <x:v>Tested score</x:v>
      </x:c>
      <x:c r="B16" t="str">
        <x:v>Not tested</x:v>
      </x:c>
      <x:c r="D16" s="50" t="str">
        <x:v>Scores are strategic estimates; no playtest score has been assigned</x:v>
      </x:c>
      <x:c r="E16" s="50"/>
      <x:c r="F16" s="50"/>
      <x:c r="G16" s="50"/>
      <x:c r="H16" s="50"/>
    </x:row>
  </x:sheetData>
  <x:mergeCells>
    <x:mergeCell ref="A1:H1"/>
    <x:mergeCell ref="A2:H2"/>
    <x:mergeCell ref="D4:H4"/>
    <x:mergeCell ref="D5:H9"/>
    <x:mergeCell ref="D11:H11"/>
    <x:mergeCell ref="D12:H12"/>
    <x:mergeCell ref="D13:H13"/>
    <x:mergeCell ref="D14:H14"/>
    <x:mergeCell ref="D15:H15"/>
    <x:mergeCell ref="D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6" hidden="0" customWidth="1"/>
    <x:col min="2" max="2" width="30" hidden="0" customWidth="1"/>
    <x:col min="3" max="3" width="24" hidden="0" customWidth="1"/>
    <x:col min="4" max="4" width="17" hidden="0" customWidth="1"/>
    <x:col min="5" max="5" width="32" hidden="0" customWidth="1"/>
    <x:col min="6" max="6" width="58" hidden="0" customWidth="1"/>
    <x:col min="7" max="7" width="11" hidden="0" customWidth="1"/>
    <x:col min="8" max="8" width="18" hidden="0" customWidth="1"/>
    <x:col min="9" max="9" width="22" hidden="0" customWidth="1"/>
    <x:col min="10" max="10" width="15" hidden="0" customWidth="1"/>
    <x:col min="11" max="11" width="24" hidden="0" customWidth="1"/>
    <x:col min="12" max="12" width="24" hidden="0" customWidth="1"/>
  </x:cols>
  <x:sheetData>
    <x:row r="1" ht="30" customHeight="1">
      <x:c r="A1" s="5" t="str">
        <x:v>CARD MATRIX | V2.1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3" ht="28" customHeight="1">
      <x:c r="A3" s="20" t="str">
        <x:v>Qty</x:v>
      </x:c>
      <x:c r="B3" s="20" t="str">
        <x:v>Card</x:v>
      </x:c>
      <x:c r="C3" s="20" t="str">
        <x:v>Type</x:v>
      </x:c>
      <x:c r="D3" s="20" t="str">
        <x:v>Slot Kind</x:v>
      </x:c>
      <x:c r="E3" s="20" t="str">
        <x:v>Primary 8×8 Role</x:v>
      </x:c>
      <x:c r="F3" s="20" t="str">
        <x:v>Secondary Role / Notes</x:v>
      </x:c>
      <x:c r="G3" s="20" t="str">
        <x:v>Fit Score</x:v>
      </x:c>
      <x:c r="H3" s="20" t="str">
        <x:v>Tier</x:v>
      </x:c>
      <x:c r="I3" s="20" t="str">
        <x:v>Verdict</x:v>
      </x:c>
      <x:c r="J3" s="20" t="str">
        <x:v>Status</x:v>
      </x:c>
      <x:c r="K3" s="20" t="str">
        <x:v>Source Basis</x:v>
      </x:c>
      <x:c r="L3" s="20" t="str">
        <x:v>Open Questions</x:v>
      </x:c>
    </x:row>
    <x:row r="4">
      <x:c r="A4" s="56" t="n">
        <x:v>1</x:v>
      </x:c>
      <x:c r="B4" s="56" t="str">
        <x:v>Queen Marchesa</x:v>
      </x:c>
      <x:c r="C4" s="56" t="str">
        <x:v>Legendary Creature — Human Assassin</x:v>
      </x:c>
      <x:c r="D4" s="56" t="str">
        <x:v>Commander</x:v>
      </x:c>
      <x:c r="E4" s="56" t="str">
        <x:v>Commander — outside 8×8</x:v>
      </x:c>
      <x:c r="F4" s="56" t="str">
        <x:v>Commander: ETB makes you Monarch; makes Assassin tokens at upkeep if an opponent is Monarch.</x:v>
      </x:c>
      <x:c r="G4" s="58" t="n">
        <x:v>10</x:v>
      </x:c>
      <x:c r="H4" s="56" t="str">
        <x:v>S — LOCK</x:v>
      </x:c>
      <x:c r="I4" s="56" t="str">
        <x:v>LOCK</x:v>
      </x:c>
      <x:c r="J4" s="56" t="str">
        <x:v>Current + V2.1</x:v>
      </x:c>
      <x:c r="K4" s="56" t="str">
        <x:v>Scryfall / EDH.Wiki</x:v>
      </x:c>
      <x:c r="L4" s="56" t="str"/>
    </x:row>
    <x:row r="5">
      <x:c r="A5" s="56" t="n">
        <x:v>1</x:v>
      </x:c>
      <x:c r="B5" s="56" t="str">
        <x:v>Alexios, Deimos of Kosmos</x:v>
      </x:c>
      <x:c r="C5" s="56" t="str">
        <x:v>Creature</x:v>
      </x:c>
      <x:c r="D5" s="56" t="str">
        <x:v>Spell</x:v>
      </x:c>
      <x:c r="E5" s="56" t="str">
        <x:v>6. Politics &amp; Forced Combat</x:v>
      </x:c>
      <x:c r="F5" s="56" t="str">
        <x:v>Redirect pressure, reward deals, and punish overextension.</x:v>
      </x:c>
      <x:c r="G5" s="58" t="n">
        <x:v>8</x:v>
      </x:c>
      <x:c r="H5" s="56" t="str">
        <x:v>B — SUPPORT</x:v>
      </x:c>
      <x:c r="I5" s="56" t="str">
        <x:v>PET / THEME VALUE</x:v>
      </x:c>
      <x:c r="J5" s="56" t="str">
        <x:v>RETAINED</x:v>
      </x:c>
      <x:c r="K5" s="56" t="str">
        <x:v>Deck-fit assessment</x:v>
      </x:c>
      <x:c r="L5" s="56" t="str"/>
    </x:row>
    <x:row r="6">
      <x:c r="A6" s="56" t="n">
        <x:v>1</x:v>
      </x:c>
      <x:c r="B6" s="56" t="str">
        <x:v>Anguished Unmaking</x:v>
      </x:c>
      <x:c r="C6" s="56" t="str">
        <x:v>Instant</x:v>
      </x:c>
      <x:c r="D6" s="56" t="str">
        <x:v>Spell</x:v>
      </x:c>
      <x:c r="E6" s="56" t="str">
        <x:v>5. Spot Removal</x:v>
      </x:c>
      <x:c r="F6" s="56" t="str">
        <x:v>Answer specific threats compromising your engine or ability to close.</x:v>
      </x:c>
      <x:c r="G6" s="58" t="n">
        <x:v>8.9</x:v>
      </x:c>
      <x:c r="H6" s="56" t="str">
        <x:v>A — CORE</x:v>
      </x:c>
      <x:c r="I6" s="56" t="str">
        <x:v>CORE</x:v>
      </x:c>
      <x:c r="J6" s="56" t="str">
        <x:v>RETAINED</x:v>
      </x:c>
      <x:c r="K6" s="56" t="str">
        <x:v>Deck-fit assessment</x:v>
      </x:c>
      <x:c r="L6" s="56" t="str"/>
    </x:row>
    <x:row r="7">
      <x:c r="A7" s="56" t="n">
        <x:v>1</x:v>
      </x:c>
      <x:c r="B7" s="56" t="str">
        <x:v>Approach of the Second Sun</x:v>
      </x:c>
      <x:c r="C7" s="56" t="str">
        <x:v>Sorcery / other</x:v>
      </x:c>
      <x:c r="D7" s="56" t="str">
        <x:v>Spell</x:v>
      </x:c>
      <x:c r="E7" s="56" t="str">
        <x:v>8. Finishers &amp; Token Engines</x:v>
      </x:c>
      <x:c r="F7" s="56" t="str">
        <x:v>Alternate win condition; requires a second cast.</x:v>
      </x:c>
      <x:c r="G7" s="58" t="n">
        <x:v>8.6</x:v>
      </x:c>
      <x:c r="H7" s="56" t="str">
        <x:v>A — CORE</x:v>
      </x:c>
      <x:c r="I7" s="56" t="str">
        <x:v>CORE</x:v>
      </x:c>
      <x:c r="J7" s="56" t="str">
        <x:v>RETAINED</x:v>
      </x:c>
      <x:c r="K7" s="56" t="str">
        <x:v>Deck-fit assessment</x:v>
      </x:c>
      <x:c r="L7" s="56" t="str"/>
    </x:row>
    <x:row r="8">
      <x:c r="A8" s="56" t="n">
        <x:v>1</x:v>
      </x:c>
      <x:c r="B8" s="56" t="str">
        <x:v>Arcane Signet</x:v>
      </x:c>
      <x:c r="C8" s="56" t="str">
        <x:v>Artifact</x:v>
      </x:c>
      <x:c r="D8" s="56" t="str">
        <x:v>Spell</x:v>
      </x:c>
      <x:c r="E8" s="56" t="str">
        <x:v>1. Ramp &amp; Fixing</x:v>
      </x:c>
      <x:c r="F8" s="56" t="str">
        <x:v>Build mana early without attracting unnecessary attention.</x:v>
      </x:c>
      <x:c r="G8" s="58" t="n">
        <x:v>8.6</x:v>
      </x:c>
      <x:c r="H8" s="56" t="str">
        <x:v>A — CORE</x:v>
      </x:c>
      <x:c r="I8" s="56" t="str">
        <x:v>CORE</x:v>
      </x:c>
      <x:c r="J8" s="56" t="str">
        <x:v>RETAINED</x:v>
      </x:c>
      <x:c r="K8" s="56" t="str">
        <x:v>Deck-fit assessment</x:v>
      </x:c>
      <x:c r="L8" s="56" t="str"/>
    </x:row>
    <x:row r="9">
      <x:c r="A9" s="56" t="n">
        <x:v>1</x:v>
      </x:c>
      <x:c r="B9" s="56" t="str">
        <x:v>Archon of Coronation</x:v>
      </x:c>
      <x:c r="C9" s="56" t="str">
        <x:v>Creature</x:v>
      </x:c>
      <x:c r="D9" s="56" t="str">
        <x:v>Spell</x:v>
      </x:c>
      <x:c r="E9" s="56" t="str">
        <x:v>2. Monarch &amp; Courts</x:v>
      </x:c>
      <x:c r="F9" s="56" t="str">
        <x:v>Acquire the crown and generate recurring value from Courts.</x:v>
      </x:c>
      <x:c r="G9" s="58" t="n">
        <x:v>9.2</x:v>
      </x:c>
      <x:c r="H9" s="56" t="str">
        <x:v>A — CORE</x:v>
      </x:c>
      <x:c r="I9" s="56" t="str">
        <x:v>CORE</x:v>
      </x:c>
      <x:c r="J9" s="56" t="str">
        <x:v>RETAINED</x:v>
      </x:c>
      <x:c r="K9" s="56" t="str">
        <x:v>EDH.Wiki Monarch</x:v>
      </x:c>
      <x:c r="L9" s="56" t="str"/>
    </x:row>
    <x:row r="10">
      <x:c r="A10" s="56" t="n">
        <x:v>1</x:v>
      </x:c>
      <x:c r="B10" s="56" t="str">
        <x:v>Assemble the Legion</x:v>
      </x:c>
      <x:c r="C10" s="56" t="str">
        <x:v>Enchantment</x:v>
      </x:c>
      <x:c r="D10" s="56" t="str">
        <x:v>Spell</x:v>
      </x:c>
      <x:c r="E10" s="56" t="str">
        <x:v>8. Finishers &amp; Token Engines</x:v>
      </x:c>
      <x:c r="F10" s="56" t="str">
        <x:v>Convert accumulated value into a decisive endgame.</x:v>
      </x:c>
      <x:c r="G10" s="58" t="n">
        <x:v>8.2</x:v>
      </x:c>
      <x:c r="H10" s="56" t="str">
        <x:v>B — SUPPORT</x:v>
      </x:c>
      <x:c r="I10" s="56" t="str">
        <x:v>SUPPORT</x:v>
      </x:c>
      <x:c r="J10" s="56" t="str">
        <x:v>RETAINED</x:v>
      </x:c>
      <x:c r="K10" s="56" t="str">
        <x:v>Deck-fit assessment</x:v>
      </x:c>
      <x:c r="L10" s="56" t="str"/>
    </x:row>
    <x:row r="11">
      <x:c r="A11" s="56" t="n">
        <x:v>1</x:v>
      </x:c>
      <x:c r="B11" s="56" t="str">
        <x:v>Austere Command</x:v>
      </x:c>
      <x:c r="C11" s="56" t="str">
        <x:v>Sorcery / other</x:v>
      </x:c>
      <x:c r="D11" s="56" t="str">
        <x:v>Spell</x:v>
      </x:c>
      <x:c r="E11" s="56" t="str">
        <x:v>7. Board Control &amp; Defensive Reversal</x:v>
      </x:c>
      <x:c r="F11" s="56" t="str">
        <x:v>Reset runaway boards or convert an attack into a reversal.</x:v>
      </x:c>
      <x:c r="G11" s="58" t="n">
        <x:v>8.7</x:v>
      </x:c>
      <x:c r="H11" s="56" t="str">
        <x:v>A — CORE</x:v>
      </x:c>
      <x:c r="I11" s="56" t="str">
        <x:v>CORE</x:v>
      </x:c>
      <x:c r="J11" s="56" t="str">
        <x:v>RETAINED</x:v>
      </x:c>
      <x:c r="K11" s="56" t="str">
        <x:v>Deck-fit assessment</x:v>
      </x:c>
      <x:c r="L11" s="56" t="str"/>
    </x:row>
    <x:row r="12">
      <x:c r="A12" s="56" t="n">
        <x:v>1</x:v>
      </x:c>
      <x:c r="B12" s="56" t="str">
        <x:v>Blasphemous Act</x:v>
      </x:c>
      <x:c r="C12" s="56" t="str">
        <x:v>Sorcery / other</x:v>
      </x:c>
      <x:c r="D12" s="56" t="str">
        <x:v>Spell</x:v>
      </x:c>
      <x:c r="E12" s="56" t="str">
        <x:v>7. Board Control &amp; Defensive Reversal</x:v>
      </x:c>
      <x:c r="F12" s="56" t="str">
        <x:v>Reset runaway boards or convert an attack into a reversal.</x:v>
      </x:c>
      <x:c r="G12" s="58" t="n">
        <x:v>8.9</x:v>
      </x:c>
      <x:c r="H12" s="56" t="str">
        <x:v>A — CORE</x:v>
      </x:c>
      <x:c r="I12" s="56" t="str">
        <x:v>CORE</x:v>
      </x:c>
      <x:c r="J12" s="56" t="str">
        <x:v>RETAINED</x:v>
      </x:c>
      <x:c r="K12" s="56" t="str">
        <x:v>Deck-fit assessment</x:v>
      </x:c>
      <x:c r="L12" s="56" t="str"/>
    </x:row>
    <x:row r="13">
      <x:c r="A13" s="56" t="n">
        <x:v>1</x:v>
      </x:c>
      <x:c r="B13" s="56" t="str">
        <x:v>Blasphemous Edict</x:v>
      </x:c>
      <x:c r="C13" s="56" t="str">
        <x:v>Sorcery / other</x:v>
      </x:c>
      <x:c r="D13" s="56" t="str">
        <x:v>Spell</x:v>
      </x:c>
      <x:c r="E13" s="56" t="str">
        <x:v>7. Board Control &amp; Defensive Reversal</x:v>
      </x:c>
      <x:c r="F13" s="56" t="str">
        <x:v>Reset runaway boards or convert an attack into a reversal.</x:v>
      </x:c>
      <x:c r="G13" s="58" t="n">
        <x:v>8.5</x:v>
      </x:c>
      <x:c r="H13" s="56" t="str">
        <x:v>A — CORE</x:v>
      </x:c>
      <x:c r="I13" s="56" t="str">
        <x:v>CORE</x:v>
      </x:c>
      <x:c r="J13" s="56" t="str">
        <x:v>RETAINED</x:v>
      </x:c>
      <x:c r="K13" s="56" t="str">
        <x:v>Deck-fit assessment</x:v>
      </x:c>
      <x:c r="L13" s="56" t="str"/>
    </x:row>
    <x:row r="14">
      <x:c r="A14" s="56" t="n">
        <x:v>1</x:v>
      </x:c>
      <x:c r="B14" s="56" t="str">
        <x:v>Blightstep Pathway</x:v>
      </x:c>
      <x:c r="C14" s="56" t="str">
        <x:v>Land</x:v>
      </x:c>
      <x:c r="D14" s="56" t="str">
        <x:v>Land</x:v>
      </x:c>
      <x:c r="E14" s="56" t="str">
        <x:v>Land Package (physical land)</x:v>
      </x:c>
      <x:c r="F14" s="56" t="str">
        <x:v>Primary functional grouping; card may have additional roles.</x:v>
      </x:c>
      <x:c r="G14" s="58" t="n">
        <x:v>8.3</x:v>
      </x:c>
      <x:c r="H14" s="56" t="str">
        <x:v>B — SUPPORT</x:v>
      </x:c>
      <x:c r="I14" s="56" t="str">
        <x:v>CORE LAND</x:v>
      </x:c>
      <x:c r="J14" s="56" t="str">
        <x:v>RETAINED</x:v>
      </x:c>
      <x:c r="K14" s="56" t="str">
        <x:v>Deck-fit assessment</x:v>
      </x:c>
      <x:c r="L14" s="56" t="str"/>
    </x:row>
    <x:row r="15">
      <x:c r="A15" s="56" t="n">
        <x:v>1</x:v>
      </x:c>
      <x:c r="B15" s="56" t="str">
        <x:v>Blind Obedience</x:v>
      </x:c>
      <x:c r="C15" s="56" t="str">
        <x:v>Enchantment</x:v>
      </x:c>
      <x:c r="D15" s="56" t="str">
        <x:v>Spell</x:v>
      </x:c>
      <x:c r="E15" s="56" t="str">
        <x:v>4. Pillow Fort &amp; Tax</x:v>
      </x:c>
      <x:c r="F15" s="56" t="str">
        <x:v>Make attacks against you costly and buy time.</x:v>
      </x:c>
      <x:c r="G15" s="58" t="n">
        <x:v>8.3</x:v>
      </x:c>
      <x:c r="H15" s="56" t="str">
        <x:v>B — SUPPORT</x:v>
      </x:c>
      <x:c r="I15" s="56" t="str">
        <x:v>SUPPORT</x:v>
      </x:c>
      <x:c r="J15" s="56" t="str">
        <x:v>RETAINED</x:v>
      </x:c>
      <x:c r="K15" s="56" t="str">
        <x:v>Deck-fit assessment</x:v>
      </x:c>
      <x:c r="L15" s="56" t="str"/>
    </x:row>
    <x:row r="16">
      <x:c r="A16" s="56" t="n">
        <x:v>1</x:v>
      </x:c>
      <x:c r="B16" s="56" t="str">
        <x:v>Bloodsoaked Insight</x:v>
      </x:c>
      <x:c r="C16" s="56" t="str">
        <x:v>MDFC / spell-land</x:v>
      </x:c>
      <x:c r="D16" s="56" t="str">
        <x:v>MDFC</x:v>
      </x:c>
      <x:c r="E16" s="56" t="str">
        <x:v>Land Package (MDFC)</x:v>
      </x:c>
      <x:c r="F16" s="56" t="str">
        <x:v>MDFC; back face Sanguine Morass. Allocated to 35-land bucket for 8×8; front face remains castable.</x:v>
      </x:c>
      <x:c r="G16" s="58" t="n">
        <x:v>8</x:v>
      </x:c>
      <x:c r="H16" s="56" t="str">
        <x:v>B — SUPPORT</x:v>
      </x:c>
      <x:c r="I16" s="56" t="str">
        <x:v>SUPPORT LAND</x:v>
      </x:c>
      <x:c r="J16" s="56" t="str">
        <x:v>RETAINED</x:v>
      </x:c>
      <x:c r="K16" s="56" t="str">
        <x:v>Deck-fit assessment</x:v>
      </x:c>
      <x:c r="L16" s="56" t="str"/>
    </x:row>
    <x:row r="17">
      <x:c r="A17" s="56" t="n">
        <x:v>1</x:v>
      </x:c>
      <x:c r="B17" s="56" t="str">
        <x:v>Brightclimb Pathway</x:v>
      </x:c>
      <x:c r="C17" s="56" t="str">
        <x:v>Land</x:v>
      </x:c>
      <x:c r="D17" s="56" t="str">
        <x:v>Land</x:v>
      </x:c>
      <x:c r="E17" s="56" t="str">
        <x:v>Land Package (physical land)</x:v>
      </x:c>
      <x:c r="F17" s="56" t="str">
        <x:v>Primary functional grouping; card may have additional roles.</x:v>
      </x:c>
      <x:c r="G17" s="58" t="n">
        <x:v>8.3</x:v>
      </x:c>
      <x:c r="H17" s="56" t="str">
        <x:v>B — SUPPORT</x:v>
      </x:c>
      <x:c r="I17" s="56" t="str">
        <x:v>CORE LAND</x:v>
      </x:c>
      <x:c r="J17" s="56" t="str">
        <x:v>RETAINED</x:v>
      </x:c>
      <x:c r="K17" s="56" t="str">
        <x:v>Deck-fit assessment</x:v>
      </x:c>
      <x:c r="L17" s="56" t="str"/>
    </x:row>
    <x:row r="18">
      <x:c r="A18" s="56" t="n">
        <x:v>1</x:v>
      </x:c>
      <x:c r="B18" s="56" t="str">
        <x:v>Caesar, Legion's Emperor</x:v>
      </x:c>
      <x:c r="C18" s="56" t="str">
        <x:v>Creature</x:v>
      </x:c>
      <x:c r="D18" s="56" t="str">
        <x:v>Spell</x:v>
      </x:c>
      <x:c r="E18" s="56" t="str">
        <x:v>8. Finishers &amp; Token Engines</x:v>
      </x:c>
      <x:c r="F18" s="56" t="str">
        <x:v>Convert accumulated value into a decisive endgame.</x:v>
      </x:c>
      <x:c r="G18" s="58" t="n">
        <x:v>8.3</x:v>
      </x:c>
      <x:c r="H18" s="56" t="str">
        <x:v>B — SUPPORT</x:v>
      </x:c>
      <x:c r="I18" s="56" t="str">
        <x:v>PET / THEME VALUE</x:v>
      </x:c>
      <x:c r="J18" s="56" t="str">
        <x:v>RETAINED</x:v>
      </x:c>
      <x:c r="K18" s="56" t="str">
        <x:v>Deck-fit assessment</x:v>
      </x:c>
      <x:c r="L18" s="56" t="str"/>
    </x:row>
    <x:row r="19">
      <x:c r="A19" s="56" t="n">
        <x:v>1</x:v>
      </x:c>
      <x:c r="B19" s="56" t="str">
        <x:v>Cave of the Frost Dragon</x:v>
      </x:c>
      <x:c r="C19" s="56" t="str">
        <x:v>Land</x:v>
      </x:c>
      <x:c r="D19" s="56" t="str">
        <x:v>Land</x:v>
      </x:c>
      <x:c r="E19" s="56" t="str">
        <x:v>Land Package (physical land)</x:v>
      </x:c>
      <x:c r="F19" s="56" t="str">
        <x:v>Primary functional grouping; card may have additional roles.</x:v>
      </x:c>
      <x:c r="G19" s="58" t="n">
        <x:v>7.7</x:v>
      </x:c>
      <x:c r="H19" s="56" t="str">
        <x:v>B — SUPPORT</x:v>
      </x:c>
      <x:c r="I19" s="56" t="str">
        <x:v>SUPPORT LAND</x:v>
      </x:c>
      <x:c r="J19" s="56" t="str">
        <x:v>RETAINED</x:v>
      </x:c>
      <x:c r="K19" s="56" t="str">
        <x:v>Deck-fit assessment</x:v>
      </x:c>
      <x:c r="L19" s="56" t="str"/>
    </x:row>
    <x:row r="20">
      <x:c r="A20" s="56" t="n">
        <x:v>1</x:v>
      </x:c>
      <x:c r="B20" s="56" t="str">
        <x:v>Champions of Minas Tirith</x:v>
      </x:c>
      <x:c r="C20" s="56" t="str">
        <x:v>Creature</x:v>
      </x:c>
      <x:c r="D20" s="56" t="str">
        <x:v>Spell</x:v>
      </x:c>
      <x:c r="E20" s="56" t="str">
        <x:v>3. Draw &amp; Card Advantage</x:v>
      </x:c>
      <x:c r="F20" s="56" t="str">
        <x:v>Keep cards flowing even when Monarch changes hands.</x:v>
      </x:c>
      <x:c r="G20" s="58" t="n">
        <x:v>8.7</x:v>
      </x:c>
      <x:c r="H20" s="56" t="str">
        <x:v>A — CORE</x:v>
      </x:c>
      <x:c r="I20" s="56" t="str">
        <x:v>CORE</x:v>
      </x:c>
      <x:c r="J20" s="56" t="str">
        <x:v>RETAINED</x:v>
      </x:c>
      <x:c r="K20" s="56" t="str">
        <x:v>Deck-fit assessment</x:v>
      </x:c>
      <x:c r="L20" s="56" t="str"/>
    </x:row>
    <x:row r="21">
      <x:c r="A21" s="56" t="n">
        <x:v>1</x:v>
      </x:c>
      <x:c r="B21" s="56" t="str">
        <x:v>Chaos Warp</x:v>
      </x:c>
      <x:c r="C21" s="56" t="str">
        <x:v>Instant</x:v>
      </x:c>
      <x:c r="D21" s="56" t="str">
        <x:v>Spell</x:v>
      </x:c>
      <x:c r="E21" s="56" t="str">
        <x:v>5. Spot Removal</x:v>
      </x:c>
      <x:c r="F21" s="56" t="str">
        <x:v>Answer specific threats compromising your engine or ability to close.</x:v>
      </x:c>
      <x:c r="G21" s="58" t="n">
        <x:v>8.8</x:v>
      </x:c>
      <x:c r="H21" s="56" t="str">
        <x:v>A — CORE</x:v>
      </x:c>
      <x:c r="I21" s="56" t="str">
        <x:v>CORE</x:v>
      </x:c>
      <x:c r="J21" s="56" t="str">
        <x:v>RETAINED</x:v>
      </x:c>
      <x:c r="K21" s="56" t="str">
        <x:v>Deck-fit assessment</x:v>
      </x:c>
      <x:c r="L21" s="56" t="str"/>
    </x:row>
    <x:row r="22">
      <x:c r="A22" s="56" t="n">
        <x:v>1</x:v>
      </x:c>
      <x:c r="B22" s="56" t="str">
        <x:v>Command Tower</x:v>
      </x:c>
      <x:c r="C22" s="56" t="str">
        <x:v>Land</x:v>
      </x:c>
      <x:c r="D22" s="56" t="str">
        <x:v>Land</x:v>
      </x:c>
      <x:c r="E22" s="56" t="str">
        <x:v>Land Package (physical land)</x:v>
      </x:c>
      <x:c r="F22" s="56" t="str">
        <x:v>Primary functional grouping; card may have additional roles.</x:v>
      </x:c>
      <x:c r="G22" s="58" t="n">
        <x:v>8.8</x:v>
      </x:c>
      <x:c r="H22" s="56" t="str">
        <x:v>A — CORE</x:v>
      </x:c>
      <x:c r="I22" s="56" t="str">
        <x:v>CORE LAND</x:v>
      </x:c>
      <x:c r="J22" s="56" t="str">
        <x:v>RETAINED</x:v>
      </x:c>
      <x:c r="K22" s="56" t="str">
        <x:v>Deck-fit assessment</x:v>
      </x:c>
      <x:c r="L22" s="56" t="str"/>
    </x:row>
    <x:row r="23">
      <x:c r="A23" s="56" t="n">
        <x:v>1</x:v>
      </x:c>
      <x:c r="B23" s="56" t="str">
        <x:v>Council's Judgment</x:v>
      </x:c>
      <x:c r="C23" s="56" t="str">
        <x:v>Sorcery / other</x:v>
      </x:c>
      <x:c r="D23" s="56" t="str">
        <x:v>Spell</x:v>
      </x:c>
      <x:c r="E23" s="56" t="str">
        <x:v>5. Spot Removal</x:v>
      </x:c>
      <x:c r="F23" s="56" t="str">
        <x:v>Answer specific threats compromising your engine or ability to close.</x:v>
      </x:c>
      <x:c r="G23" s="58" t="n">
        <x:v>8.7</x:v>
      </x:c>
      <x:c r="H23" s="56" t="str">
        <x:v>A — CORE</x:v>
      </x:c>
      <x:c r="I23" s="56" t="str">
        <x:v>CORE</x:v>
      </x:c>
      <x:c r="J23" s="56" t="str">
        <x:v>RETAINED</x:v>
      </x:c>
      <x:c r="K23" s="56" t="str">
        <x:v>Deck-fit assessment</x:v>
      </x:c>
      <x:c r="L23" s="56" t="str"/>
    </x:row>
    <x:row r="24">
      <x:c r="A24" s="56" t="n">
        <x:v>1</x:v>
      </x:c>
      <x:c r="B24" s="56" t="str">
        <x:v>Court of Ambition</x:v>
      </x:c>
      <x:c r="C24" s="56" t="str">
        <x:v>Enchantment</x:v>
      </x:c>
      <x:c r="D24" s="56" t="str">
        <x:v>Spell</x:v>
      </x:c>
      <x:c r="E24" s="56" t="str">
        <x:v>2. Monarch &amp; Courts</x:v>
      </x:c>
      <x:c r="F24" s="56" t="str">
        <x:v>Acquire the crown and generate recurring value from Courts.</x:v>
      </x:c>
      <x:c r="G24" s="58" t="n">
        <x:v>9.3</x:v>
      </x:c>
      <x:c r="H24" s="56" t="str">
        <x:v>A — CORE</x:v>
      </x:c>
      <x:c r="I24" s="56" t="str">
        <x:v>CORE</x:v>
      </x:c>
      <x:c r="J24" s="56" t="str">
        <x:v>RETAINED</x:v>
      </x:c>
      <x:c r="K24" s="56" t="str">
        <x:v>EDH.Wiki Monarch</x:v>
      </x:c>
      <x:c r="L24" s="56" t="str"/>
    </x:row>
    <x:row r="25">
      <x:c r="A25" s="56" t="n">
        <x:v>1</x:v>
      </x:c>
      <x:c r="B25" s="56" t="str">
        <x:v>Court of Ardenvale</x:v>
      </x:c>
      <x:c r="C25" s="56" t="str">
        <x:v>Enchantment</x:v>
      </x:c>
      <x:c r="D25" s="56" t="str">
        <x:v>Spell</x:v>
      </x:c>
      <x:c r="E25" s="56" t="str">
        <x:v>2. Monarch &amp; Courts</x:v>
      </x:c>
      <x:c r="F25" s="56" t="str">
        <x:v>Acquire the crown and generate recurring value from Courts.</x:v>
      </x:c>
      <x:c r="G25" s="58" t="n">
        <x:v>8.7</x:v>
      </x:c>
      <x:c r="H25" s="56" t="str">
        <x:v>A — CORE</x:v>
      </x:c>
      <x:c r="I25" s="56" t="str">
        <x:v>CORE</x:v>
      </x:c>
      <x:c r="J25" s="56" t="str">
        <x:v>RETAINED</x:v>
      </x:c>
      <x:c r="K25" s="56" t="str">
        <x:v>Deck-fit assessment</x:v>
      </x:c>
      <x:c r="L25" s="56" t="str"/>
    </x:row>
    <x:row r="26">
      <x:c r="A26" s="56" t="n">
        <x:v>1</x:v>
      </x:c>
      <x:c r="B26" s="56" t="str">
        <x:v>Court of Embereth</x:v>
      </x:c>
      <x:c r="C26" s="56" t="str">
        <x:v>Enchantment</x:v>
      </x:c>
      <x:c r="D26" s="56" t="str">
        <x:v>Spell</x:v>
      </x:c>
      <x:c r="E26" s="56" t="str">
        <x:v>2. Monarch &amp; Courts</x:v>
      </x:c>
      <x:c r="F26" s="56" t="str">
        <x:v>Acquire the crown and generate recurring value from Courts.</x:v>
      </x:c>
      <x:c r="G26" s="58" t="n">
        <x:v>8.5</x:v>
      </x:c>
      <x:c r="H26" s="56" t="str">
        <x:v>A — CORE</x:v>
      </x:c>
      <x:c r="I26" s="56" t="str">
        <x:v>CORE</x:v>
      </x:c>
      <x:c r="J26" s="56" t="str">
        <x:v>RETAINED</x:v>
      </x:c>
      <x:c r="K26" s="56" t="str">
        <x:v>Deck-fit assessment</x:v>
      </x:c>
      <x:c r="L26" s="56" t="str"/>
    </x:row>
    <x:row r="27">
      <x:c r="A27" s="56" t="n">
        <x:v>1</x:v>
      </x:c>
      <x:c r="B27" s="56" t="str">
        <x:v>Court of Grace</x:v>
      </x:c>
      <x:c r="C27" s="56" t="str">
        <x:v>Enchantment</x:v>
      </x:c>
      <x:c r="D27" s="56" t="str">
        <x:v>Spell</x:v>
      </x:c>
      <x:c r="E27" s="56" t="str">
        <x:v>2. Monarch &amp; Courts</x:v>
      </x:c>
      <x:c r="F27" s="56" t="str">
        <x:v>Acquire the crown and generate recurring value from Courts.</x:v>
      </x:c>
      <x:c r="G27" s="58" t="n">
        <x:v>9.5</x:v>
      </x:c>
      <x:c r="H27" s="56" t="str">
        <x:v>S — LOCK</x:v>
      </x:c>
      <x:c r="I27" s="56" t="str">
        <x:v>CORE</x:v>
      </x:c>
      <x:c r="J27" s="56" t="str">
        <x:v>RETAINED</x:v>
      </x:c>
      <x:c r="K27" s="56" t="str">
        <x:v>EDH.Wiki Monarch</x:v>
      </x:c>
      <x:c r="L27" s="56" t="str"/>
    </x:row>
    <x:row r="28">
      <x:c r="A28" s="56" t="n">
        <x:v>1</x:v>
      </x:c>
      <x:c r="B28" s="56" t="str">
        <x:v>Court of Ire</x:v>
      </x:c>
      <x:c r="C28" s="56" t="str">
        <x:v>Enchantment</x:v>
      </x:c>
      <x:c r="D28" s="56" t="str">
        <x:v>Spell</x:v>
      </x:c>
      <x:c r="E28" s="56" t="str">
        <x:v>2. Monarch &amp; Courts</x:v>
      </x:c>
      <x:c r="F28" s="56" t="str">
        <x:v>Acquire the crown and generate recurring value from Courts.</x:v>
      </x:c>
      <x:c r="G28" s="58" t="n">
        <x:v>9.2</x:v>
      </x:c>
      <x:c r="H28" s="56" t="str">
        <x:v>A — CORE</x:v>
      </x:c>
      <x:c r="I28" s="56" t="str">
        <x:v>CORE</x:v>
      </x:c>
      <x:c r="J28" s="56" t="str">
        <x:v>RETAINED</x:v>
      </x:c>
      <x:c r="K28" s="56" t="str">
        <x:v>EDH.Wiki Monarch</x:v>
      </x:c>
      <x:c r="L28" s="56" t="str"/>
    </x:row>
    <x:row r="29">
      <x:c r="A29" s="56" t="n">
        <x:v>1</x:v>
      </x:c>
      <x:c r="B29" s="56" t="str">
        <x:v>Court of Locthwain</x:v>
      </x:c>
      <x:c r="C29" s="56" t="str">
        <x:v>Enchantment</x:v>
      </x:c>
      <x:c r="D29" s="56" t="str">
        <x:v>Spell</x:v>
      </x:c>
      <x:c r="E29" s="56" t="str">
        <x:v>2. Monarch &amp; Courts</x:v>
      </x:c>
      <x:c r="F29" s="56" t="str">
        <x:v>Acquire the crown and generate recurring value from Courts.</x:v>
      </x:c>
      <x:c r="G29" s="58" t="n">
        <x:v>8.5</x:v>
      </x:c>
      <x:c r="H29" s="56" t="str">
        <x:v>A — CORE</x:v>
      </x:c>
      <x:c r="I29" s="56" t="str">
        <x:v>CORE</x:v>
      </x:c>
      <x:c r="J29" s="56" t="str">
        <x:v>RETAINED</x:v>
      </x:c>
      <x:c r="K29" s="56" t="str">
        <x:v>Deck-fit assessment</x:v>
      </x:c>
      <x:c r="L29" s="56" t="str"/>
    </x:row>
    <x:row r="30">
      <x:c r="A30" s="56" t="n">
        <x:v>1</x:v>
      </x:c>
      <x:c r="B30" s="56" t="str">
        <x:v>Crimson Fleet Commodore</x:v>
      </x:c>
      <x:c r="C30" s="56" t="str">
        <x:v>Creature</x:v>
      </x:c>
      <x:c r="D30" s="56" t="str">
        <x:v>Spell</x:v>
      </x:c>
      <x:c r="E30" s="56" t="str">
        <x:v>3. Draw &amp; Card Advantage</x:v>
      </x:c>
      <x:c r="F30" s="56" t="str">
        <x:v>Keep cards flowing even when Monarch changes hands.</x:v>
      </x:c>
      <x:c r="G30" s="58" t="n">
        <x:v>8.4</x:v>
      </x:c>
      <x:c r="H30" s="56" t="str">
        <x:v>B — SUPPORT</x:v>
      </x:c>
      <x:c r="I30" s="56" t="str">
        <x:v>SUPPORT</x:v>
      </x:c>
      <x:c r="J30" s="56" t="str">
        <x:v>RETAINED</x:v>
      </x:c>
      <x:c r="K30" s="56" t="str">
        <x:v>Deck-fit assessment</x:v>
      </x:c>
      <x:c r="L30" s="56" t="str"/>
    </x:row>
    <x:row r="31">
      <x:c r="A31" s="56" t="n">
        <x:v>1</x:v>
      </x:c>
      <x:c r="B31" s="56" t="str">
        <x:v>Custodi Lich</x:v>
      </x:c>
      <x:c r="C31" s="56" t="str">
        <x:v>Creature</x:v>
      </x:c>
      <x:c r="D31" s="56" t="str">
        <x:v>Spell</x:v>
      </x:c>
      <x:c r="E31" s="56" t="str">
        <x:v>7. Board Control &amp; Defensive Reversal</x:v>
      </x:c>
      <x:c r="F31" s="56" t="str">
        <x:v>Reset runaway boards or convert an attack into a reversal.</x:v>
      </x:c>
      <x:c r="G31" s="58" t="n">
        <x:v>8.4</x:v>
      </x:c>
      <x:c r="H31" s="56" t="str">
        <x:v>B — SUPPORT</x:v>
      </x:c>
      <x:c r="I31" s="56" t="str">
        <x:v>SUPPORT</x:v>
      </x:c>
      <x:c r="J31" s="56" t="str">
        <x:v>RETAINED</x:v>
      </x:c>
      <x:c r="K31" s="56" t="str">
        <x:v>Deck-fit assessment</x:v>
      </x:c>
      <x:c r="L31" s="56" t="str"/>
    </x:row>
    <x:row r="32">
      <x:c r="A32" s="56" t="n">
        <x:v>1</x:v>
      </x:c>
      <x:c r="B32" s="56" t="str">
        <x:v>Darksteel Mutation</x:v>
      </x:c>
      <x:c r="C32" s="56" t="str">
        <x:v>Sorcery / other</x:v>
      </x:c>
      <x:c r="D32" s="56" t="str">
        <x:v>Spell</x:v>
      </x:c>
      <x:c r="E32" s="56" t="str">
        <x:v>5. Spot Removal</x:v>
      </x:c>
      <x:c r="F32" s="56" t="str">
        <x:v>Answer specific threats compromising your engine or ability to close.</x:v>
      </x:c>
      <x:c r="G32" s="58" t="n">
        <x:v>8.6</x:v>
      </x:c>
      <x:c r="H32" s="56" t="str">
        <x:v>A — CORE</x:v>
      </x:c>
      <x:c r="I32" s="56" t="str">
        <x:v>CORE</x:v>
      </x:c>
      <x:c r="J32" s="56" t="str">
        <x:v>RETAINED</x:v>
      </x:c>
      <x:c r="K32" s="56" t="str">
        <x:v>Deck-fit assessment</x:v>
      </x:c>
      <x:c r="L32" s="56" t="str"/>
    </x:row>
    <x:row r="33">
      <x:c r="A33" s="56" t="n">
        <x:v>1</x:v>
      </x:c>
      <x:c r="B33" s="56" t="str">
        <x:v>Decanter of Endless Water</x:v>
      </x:c>
      <x:c r="C33" s="56" t="str">
        <x:v>Artifact</x:v>
      </x:c>
      <x:c r="D33" s="56" t="str">
        <x:v>Spell</x:v>
      </x:c>
      <x:c r="E33" s="56" t="str">
        <x:v>1. Ramp &amp; Fixing</x:v>
      </x:c>
      <x:c r="F33" s="56" t="str">
        <x:v>Build mana early without attracting unnecessary attention.</x:v>
      </x:c>
      <x:c r="G33" s="58" t="n">
        <x:v>7.5</x:v>
      </x:c>
      <x:c r="H33" s="56" t="str">
        <x:v>B — SUPPORT</x:v>
      </x:c>
      <x:c r="I33" s="56" t="str">
        <x:v>SUPPORT</x:v>
      </x:c>
      <x:c r="J33" s="56" t="str">
        <x:v>RETAINED</x:v>
      </x:c>
      <x:c r="K33" s="56" t="str">
        <x:v>Deck-fit assessment</x:v>
      </x:c>
      <x:c r="L33" s="56" t="str"/>
    </x:row>
    <x:row r="34">
      <x:c r="A34" s="56" t="n">
        <x:v>1</x:v>
      </x:c>
      <x:c r="B34" s="56" t="str">
        <x:v>Den of the Bugbear</x:v>
      </x:c>
      <x:c r="C34" s="56" t="str">
        <x:v>Land</x:v>
      </x:c>
      <x:c r="D34" s="56" t="str">
        <x:v>Land</x:v>
      </x:c>
      <x:c r="E34" s="56" t="str">
        <x:v>Land Package (physical land)</x:v>
      </x:c>
      <x:c r="F34" s="56" t="str">
        <x:v>Primary functional grouping; card may have additional roles.</x:v>
      </x:c>
      <x:c r="G34" s="58" t="n">
        <x:v>8</x:v>
      </x:c>
      <x:c r="H34" s="56" t="str">
        <x:v>B — SUPPORT</x:v>
      </x:c>
      <x:c r="I34" s="56" t="str">
        <x:v>SUPPORT LAND</x:v>
      </x:c>
      <x:c r="J34" s="56" t="str">
        <x:v>RETAINED</x:v>
      </x:c>
      <x:c r="K34" s="56" t="str">
        <x:v>Deck-fit assessment</x:v>
      </x:c>
      <x:c r="L34" s="56" t="str"/>
    </x:row>
    <x:row r="35">
      <x:c r="A35" s="56" t="n">
        <x:v>1</x:v>
      </x:c>
      <x:c r="B35" s="56" t="str">
        <x:v>Descent into Avernus</x:v>
      </x:c>
      <x:c r="C35" s="56" t="str">
        <x:v>Enchantment</x:v>
      </x:c>
      <x:c r="D35" s="56" t="str">
        <x:v>Spell</x:v>
      </x:c>
      <x:c r="E35" s="56" t="str">
        <x:v>6. Politics &amp; Forced Combat</x:v>
      </x:c>
      <x:c r="F35" s="56" t="str">
        <x:v>Redirect pressure, reward deals, and punish overextension.</x:v>
      </x:c>
      <x:c r="G35" s="58" t="n">
        <x:v>8.3</x:v>
      </x:c>
      <x:c r="H35" s="56" t="str">
        <x:v>B — SUPPORT</x:v>
      </x:c>
      <x:c r="I35" s="56" t="str">
        <x:v>PET / THEME VALUE</x:v>
      </x:c>
      <x:c r="J35" s="56" t="str">
        <x:v>RETAINED</x:v>
      </x:c>
      <x:c r="K35" s="56" t="str">
        <x:v>Deck-fit assessment</x:v>
      </x:c>
      <x:c r="L35" s="56" t="str"/>
    </x:row>
    <x:row r="36">
      <x:c r="A36" s="56" t="n">
        <x:v>1</x:v>
      </x:c>
      <x:c r="B36" s="56" t="str">
        <x:v>Duelist's Heritage</x:v>
      </x:c>
      <x:c r="C36" s="56" t="str">
        <x:v>Enchantment</x:v>
      </x:c>
      <x:c r="D36" s="56" t="str">
        <x:v>Spell</x:v>
      </x:c>
      <x:c r="E36" s="56" t="str">
        <x:v>6. Politics &amp; Forced Combat</x:v>
      </x:c>
      <x:c r="F36" s="56" t="str">
        <x:v>Redirect pressure, reward deals, and punish overextension.</x:v>
      </x:c>
      <x:c r="G36" s="58" t="n">
        <x:v>8.2</x:v>
      </x:c>
      <x:c r="H36" s="56" t="str">
        <x:v>B — SUPPORT</x:v>
      </x:c>
      <x:c r="I36" s="56" t="str">
        <x:v>PET / THEME VALUE</x:v>
      </x:c>
      <x:c r="J36" s="56" t="str">
        <x:v>RETAINED</x:v>
      </x:c>
      <x:c r="K36" s="56" t="str">
        <x:v>Deck-fit assessment</x:v>
      </x:c>
      <x:c r="L36" s="56" t="str"/>
    </x:row>
    <x:row r="37">
      <x:c r="A37" s="56" t="n">
        <x:v>1</x:v>
      </x:c>
      <x:c r="B37" s="56" t="str">
        <x:v>Elegant Parlor</x:v>
      </x:c>
      <x:c r="C37" s="56" t="str">
        <x:v>Land</x:v>
      </x:c>
      <x:c r="D37" s="56" t="str">
        <x:v>Land</x:v>
      </x:c>
      <x:c r="E37" s="56" t="str">
        <x:v>Land Package (physical land)</x:v>
      </x:c>
      <x:c r="F37" s="56" t="str">
        <x:v>Primary functional grouping; card may have additional roles.</x:v>
      </x:c>
      <x:c r="G37" s="58" t="n">
        <x:v>8.3</x:v>
      </x:c>
      <x:c r="H37" s="56" t="str">
        <x:v>B — SUPPORT</x:v>
      </x:c>
      <x:c r="I37" s="56" t="str">
        <x:v>CORE LAND</x:v>
      </x:c>
      <x:c r="J37" s="56" t="str">
        <x:v>RETAINED</x:v>
      </x:c>
      <x:c r="K37" s="56" t="str">
        <x:v>Deck-fit assessment</x:v>
      </x:c>
      <x:c r="L37" s="56" t="str"/>
    </x:row>
    <x:row r="38">
      <x:c r="A38" s="56" t="n">
        <x:v>1</x:v>
      </x:c>
      <x:c r="B38" s="56" t="str">
        <x:v>Emberwilde Captain</x:v>
      </x:c>
      <x:c r="C38" s="56" t="str">
        <x:v>Creature</x:v>
      </x:c>
      <x:c r="D38" s="56" t="str">
        <x:v>Spell</x:v>
      </x:c>
      <x:c r="E38" s="56" t="str">
        <x:v>3. Draw &amp; Card Advantage</x:v>
      </x:c>
      <x:c r="F38" s="56" t="str">
        <x:v>Keep cards flowing even when Monarch changes hands.</x:v>
      </x:c>
      <x:c r="G38" s="58" t="n">
        <x:v>8.7</x:v>
      </x:c>
      <x:c r="H38" s="56" t="str">
        <x:v>A — CORE</x:v>
      </x:c>
      <x:c r="I38" s="56" t="str">
        <x:v>CORE</x:v>
      </x:c>
      <x:c r="J38" s="56" t="str">
        <x:v>RETAINED</x:v>
      </x:c>
      <x:c r="K38" s="56" t="str">
        <x:v>Deck-fit assessment</x:v>
      </x:c>
      <x:c r="L38" s="56" t="str"/>
    </x:row>
    <x:row r="39">
      <x:c r="A39" s="56" t="n">
        <x:v>1</x:v>
      </x:c>
      <x:c r="B39" s="56" t="str">
        <x:v>Esper Sentinel</x:v>
      </x:c>
      <x:c r="C39" s="56" t="str">
        <x:v>Creature</x:v>
      </x:c>
      <x:c r="D39" s="56" t="str">
        <x:v>Spell</x:v>
      </x:c>
      <x:c r="E39" s="56" t="str">
        <x:v>3. Draw &amp; Card Advantage</x:v>
      </x:c>
      <x:c r="F39" s="56" t="str">
        <x:v>Keep cards flowing even when Monarch changes hands.</x:v>
      </x:c>
      <x:c r="G39" s="58" t="n">
        <x:v>9</x:v>
      </x:c>
      <x:c r="H39" s="56" t="str">
        <x:v>A — CORE</x:v>
      </x:c>
      <x:c r="I39" s="56" t="str">
        <x:v>CORE</x:v>
      </x:c>
      <x:c r="J39" s="56" t="str">
        <x:v>RETAINED</x:v>
      </x:c>
      <x:c r="K39" s="56" t="str">
        <x:v>Deck-fit assessment</x:v>
      </x:c>
      <x:c r="L39" s="56" t="str"/>
    </x:row>
    <x:row r="40">
      <x:c r="A40" s="56" t="n">
        <x:v>1</x:v>
      </x:c>
      <x:c r="B40" s="56" t="str">
        <x:v>Exotic Orchard</x:v>
      </x:c>
      <x:c r="C40" s="56" t="str">
        <x:v>Land</x:v>
      </x:c>
      <x:c r="D40" s="56" t="str">
        <x:v>Land</x:v>
      </x:c>
      <x:c r="E40" s="56" t="str">
        <x:v>Land Package (physical land)</x:v>
      </x:c>
      <x:c r="F40" s="56" t="str">
        <x:v>Primary functional grouping; card may have additional roles.</x:v>
      </x:c>
      <x:c r="G40" s="58" t="n">
        <x:v>8.5</x:v>
      </x:c>
      <x:c r="H40" s="56" t="str">
        <x:v>A — CORE</x:v>
      </x:c>
      <x:c r="I40" s="56" t="str">
        <x:v>CORE LAND</x:v>
      </x:c>
      <x:c r="J40" s="56" t="str">
        <x:v>RETAINED</x:v>
      </x:c>
      <x:c r="K40" s="56" t="str">
        <x:v>Deck-fit assessment</x:v>
      </x:c>
      <x:c r="L40" s="56" t="str"/>
    </x:row>
    <x:row r="41">
      <x:c r="A41" s="56" t="n">
        <x:v>1</x:v>
      </x:c>
      <x:c r="B41" s="56" t="str">
        <x:v>Feast of Succession</x:v>
      </x:c>
      <x:c r="C41" s="56" t="str">
        <x:v>Sorcery / other</x:v>
      </x:c>
      <x:c r="D41" s="56" t="str">
        <x:v>Spell</x:v>
      </x:c>
      <x:c r="E41" s="56" t="str">
        <x:v>7. Board Control &amp; Defensive Reversal</x:v>
      </x:c>
      <x:c r="F41" s="56" t="str">
        <x:v>Reset runaway boards or convert an attack into a reversal.</x:v>
      </x:c>
      <x:c r="G41" s="58" t="n">
        <x:v>8.4</x:v>
      </x:c>
      <x:c r="H41" s="56" t="str">
        <x:v>B — SUPPORT</x:v>
      </x:c>
      <x:c r="I41" s="56" t="str">
        <x:v>SUPPORT</x:v>
      </x:c>
      <x:c r="J41" s="56" t="str">
        <x:v>RETAINED</x:v>
      </x:c>
      <x:c r="K41" s="56" t="str">
        <x:v>Deck-fit assessment</x:v>
      </x:c>
      <x:c r="L41" s="56" t="str"/>
    </x:row>
    <x:row r="42">
      <x:c r="A42" s="56" t="n">
        <x:v>1</x:v>
      </x:c>
      <x:c r="B42" s="56" t="str">
        <x:v>Fetid Heath</x:v>
      </x:c>
      <x:c r="C42" s="56" t="str">
        <x:v>Land</x:v>
      </x:c>
      <x:c r="D42" s="56" t="str">
        <x:v>Land</x:v>
      </x:c>
      <x:c r="E42" s="56" t="str">
        <x:v>Land Package (physical land)</x:v>
      </x:c>
      <x:c r="F42" s="56" t="str">
        <x:v>Primary functional grouping; card may have additional roles.</x:v>
      </x:c>
      <x:c r="G42" s="58" t="n">
        <x:v>8.4</x:v>
      </x:c>
      <x:c r="H42" s="56" t="str">
        <x:v>B — SUPPORT</x:v>
      </x:c>
      <x:c r="I42" s="56" t="str">
        <x:v>CORE LAND</x:v>
      </x:c>
      <x:c r="J42" s="56" t="str">
        <x:v>RETAINED</x:v>
      </x:c>
      <x:c r="K42" s="56" t="str">
        <x:v>Deck-fit assessment</x:v>
      </x:c>
      <x:c r="L42" s="56" t="str"/>
    </x:row>
    <x:row r="43">
      <x:c r="A43" s="56" t="n">
        <x:v>1</x:v>
      </x:c>
      <x:c r="B43" s="56" t="str">
        <x:v>Field of Ruin</x:v>
      </x:c>
      <x:c r="C43" s="56" t="str">
        <x:v>Land</x:v>
      </x:c>
      <x:c r="D43" s="56" t="str">
        <x:v>Land</x:v>
      </x:c>
      <x:c r="E43" s="56" t="str">
        <x:v>Land Package (physical land)</x:v>
      </x:c>
      <x:c r="F43" s="56" t="str">
        <x:v>Primary functional grouping; card may have additional roles.</x:v>
      </x:c>
      <x:c r="G43" s="58" t="n">
        <x:v>7.8</x:v>
      </x:c>
      <x:c r="H43" s="56" t="str">
        <x:v>B — SUPPORT</x:v>
      </x:c>
      <x:c r="I43" s="56" t="str">
        <x:v>SUPPORT LAND</x:v>
      </x:c>
      <x:c r="J43" s="56" t="str">
        <x:v>RETAINED</x:v>
      </x:c>
      <x:c r="K43" s="56" t="str">
        <x:v>Deck-fit assessment</x:v>
      </x:c>
      <x:c r="L43" s="56" t="str"/>
    </x:row>
    <x:row r="44">
      <x:c r="A44" s="56" t="n">
        <x:v>1</x:v>
      </x:c>
      <x:c r="B44" s="56" t="str">
        <x:v>Forth Eorlingas!</x:v>
      </x:c>
      <x:c r="C44" s="56" t="str">
        <x:v>Sorcery / other</x:v>
      </x:c>
      <x:c r="D44" s="56" t="str">
        <x:v>Spell</x:v>
      </x:c>
      <x:c r="E44" s="56" t="str">
        <x:v>8. Finishers &amp; Token Engines</x:v>
      </x:c>
      <x:c r="F44" s="56" t="str">
        <x:v>Convert accumulated value into a decisive endgame.</x:v>
      </x:c>
      <x:c r="G44" s="58" t="n">
        <x:v>8.8</x:v>
      </x:c>
      <x:c r="H44" s="56" t="str">
        <x:v>A — CORE</x:v>
      </x:c>
      <x:c r="I44" s="56" t="str">
        <x:v>CORE</x:v>
      </x:c>
      <x:c r="J44" s="56" t="str">
        <x:v>RETAINED</x:v>
      </x:c>
      <x:c r="K44" s="56" t="str">
        <x:v>Deck-fit assessment</x:v>
      </x:c>
      <x:c r="L44" s="56" t="str"/>
    </x:row>
    <x:row r="45">
      <x:c r="A45" s="56" t="n">
        <x:v>1</x:v>
      </x:c>
      <x:c r="B45" s="56" t="str">
        <x:v>Generous Gift</x:v>
      </x:c>
      <x:c r="C45" s="56" t="str">
        <x:v>Instant</x:v>
      </x:c>
      <x:c r="D45" s="56" t="str">
        <x:v>Spell</x:v>
      </x:c>
      <x:c r="E45" s="56" t="str">
        <x:v>5. Spot Removal</x:v>
      </x:c>
      <x:c r="F45" s="56" t="str">
        <x:v>Answer specific threats compromising your engine or ability to close.</x:v>
      </x:c>
      <x:c r="G45" s="58" t="n">
        <x:v>8.7</x:v>
      </x:c>
      <x:c r="H45" s="56" t="str">
        <x:v>A — CORE</x:v>
      </x:c>
      <x:c r="I45" s="56" t="str">
        <x:v>CORE</x:v>
      </x:c>
      <x:c r="J45" s="56" t="str">
        <x:v>RETAINED</x:v>
      </x:c>
      <x:c r="K45" s="56" t="str">
        <x:v>Deck-fit assessment</x:v>
      </x:c>
      <x:c r="L45" s="56" t="str"/>
    </x:row>
    <x:row r="46">
      <x:c r="A46" s="56" t="n">
        <x:v>1</x:v>
      </x:c>
      <x:c r="B46" s="56" t="str">
        <x:v>Get Lost</x:v>
      </x:c>
      <x:c r="C46" s="56" t="str">
        <x:v>Instant</x:v>
      </x:c>
      <x:c r="D46" s="56" t="str">
        <x:v>Spell</x:v>
      </x:c>
      <x:c r="E46" s="56" t="str">
        <x:v>5. Spot Removal</x:v>
      </x:c>
      <x:c r="F46" s="56" t="str">
        <x:v>Answer specific threats compromising your engine or ability to close.</x:v>
      </x:c>
      <x:c r="G46" s="58" t="n">
        <x:v>8.5</x:v>
      </x:c>
      <x:c r="H46" s="56" t="str">
        <x:v>A — CORE</x:v>
      </x:c>
      <x:c r="I46" s="56" t="str">
        <x:v>CORE</x:v>
      </x:c>
      <x:c r="J46" s="56" t="str">
        <x:v>RETAINED</x:v>
      </x:c>
      <x:c r="K46" s="56" t="str">
        <x:v>Deck-fit assessment</x:v>
      </x:c>
      <x:c r="L46" s="56" t="str"/>
    </x:row>
    <x:row r="47">
      <x:c r="A47" s="56" t="n">
        <x:v>1</x:v>
      </x:c>
      <x:c r="B47" s="56" t="str">
        <x:v>Ghostly Prison</x:v>
      </x:c>
      <x:c r="C47" s="56" t="str">
        <x:v>Enchantment</x:v>
      </x:c>
      <x:c r="D47" s="56" t="str">
        <x:v>Spell</x:v>
      </x:c>
      <x:c r="E47" s="56" t="str">
        <x:v>4. Pillow Fort &amp; Tax</x:v>
      </x:c>
      <x:c r="F47" s="56" t="str">
        <x:v>Make attacks against you costly and buy time.</x:v>
      </x:c>
      <x:c r="G47" s="58" t="n">
        <x:v>9.2</x:v>
      </x:c>
      <x:c r="H47" s="56" t="str">
        <x:v>A — CORE</x:v>
      </x:c>
      <x:c r="I47" s="56" t="str">
        <x:v>CORE</x:v>
      </x:c>
      <x:c r="J47" s="56" t="str">
        <x:v>RETAINED</x:v>
      </x:c>
      <x:c r="K47" s="56" t="str">
        <x:v>EDH.Wiki Monarch</x:v>
      </x:c>
      <x:c r="L47" s="56" t="str"/>
    </x:row>
    <x:row r="48">
      <x:c r="A48" s="56" t="n">
        <x:v>1</x:v>
      </x:c>
      <x:c r="B48" s="56" t="str">
        <x:v>Glasswing Grace</x:v>
      </x:c>
      <x:c r="C48" s="56" t="str">
        <x:v>MDFC / spell-land</x:v>
      </x:c>
      <x:c r="D48" s="56" t="str">
        <x:v>MDFC</x:v>
      </x:c>
      <x:c r="E48" s="56" t="str">
        <x:v>Land Package (MDFC)</x:v>
      </x:c>
      <x:c r="F48" s="56" t="str">
        <x:v>MDFC; back face Age-Graced Chapel. Allocated to 35-land bucket for 8×8; front face remains castable.</x:v>
      </x:c>
      <x:c r="G48" s="58" t="n">
        <x:v>8</x:v>
      </x:c>
      <x:c r="H48" s="56" t="str">
        <x:v>B — SUPPORT</x:v>
      </x:c>
      <x:c r="I48" s="56" t="str">
        <x:v>SUPPORT LAND</x:v>
      </x:c>
      <x:c r="J48" s="56" t="str">
        <x:v>RETAINED</x:v>
      </x:c>
      <x:c r="K48" s="56" t="str">
        <x:v>Deck-fit assessment</x:v>
      </x:c>
      <x:c r="L48" s="56" t="str"/>
    </x:row>
    <x:row r="49">
      <x:c r="A49" s="56" t="n">
        <x:v>1</x:v>
      </x:c>
      <x:c r="B49" s="56" t="str">
        <x:v>Grave Venerations</x:v>
      </x:c>
      <x:c r="C49" s="56" t="str">
        <x:v>Enchantment</x:v>
      </x:c>
      <x:c r="D49" s="56" t="str">
        <x:v>Spell</x:v>
      </x:c>
      <x:c r="E49" s="56" t="str">
        <x:v>8. Finishers &amp; Token Engines</x:v>
      </x:c>
      <x:c r="F49" s="56" t="str">
        <x:v>Enchantment: becomes Monarch on entry; at end step while Monarch returns a creature card to hand; your creatures dying drains opponents and gains life.</x:v>
      </x:c>
      <x:c r="G49" s="58" t="n">
        <x:v>8.9</x:v>
      </x:c>
      <x:c r="H49" s="56" t="str">
        <x:v>A — CORE</x:v>
      </x:c>
      <x:c r="I49" s="56" t="str">
        <x:v>CORE</x:v>
      </x:c>
      <x:c r="J49" s="56" t="str">
        <x:v>RETAINED</x:v>
      </x:c>
      <x:c r="K49" s="56" t="str">
        <x:v>Deck-fit assessment</x:v>
      </x:c>
      <x:c r="L49" s="56" t="str"/>
    </x:row>
    <x:row r="50">
      <x:c r="A50" s="56" t="n">
        <x:v>1</x:v>
      </x:c>
      <x:c r="B50" s="56" t="str">
        <x:v>Graven Cairns</x:v>
      </x:c>
      <x:c r="C50" s="56" t="str">
        <x:v>Land</x:v>
      </x:c>
      <x:c r="D50" s="56" t="str">
        <x:v>Land</x:v>
      </x:c>
      <x:c r="E50" s="56" t="str">
        <x:v>Land Package (physical land)</x:v>
      </x:c>
      <x:c r="F50" s="56" t="str">
        <x:v>Primary functional grouping; card may have additional roles.</x:v>
      </x:c>
      <x:c r="G50" s="58" t="n">
        <x:v>8.4</x:v>
      </x:c>
      <x:c r="H50" s="56" t="str">
        <x:v>B — SUPPORT</x:v>
      </x:c>
      <x:c r="I50" s="56" t="str">
        <x:v>CORE LAND</x:v>
      </x:c>
      <x:c r="J50" s="56" t="str">
        <x:v>RETAINED</x:v>
      </x:c>
      <x:c r="K50" s="56" t="str">
        <x:v>Deck-fit assessment</x:v>
      </x:c>
      <x:c r="L50" s="56" t="str"/>
    </x:row>
    <x:row r="51">
      <x:c r="A51" s="56" t="n">
        <x:v>1</x:v>
      </x:c>
      <x:c r="B51" s="56" t="str">
        <x:v>Hall of Heliod's Generosity</x:v>
      </x:c>
      <x:c r="C51" s="56" t="str">
        <x:v>Land</x:v>
      </x:c>
      <x:c r="D51" s="56" t="str">
        <x:v>Land</x:v>
      </x:c>
      <x:c r="E51" s="56" t="str">
        <x:v>Land Package (physical land)</x:v>
      </x:c>
      <x:c r="F51" s="56" t="str">
        <x:v>Recursion utility for enchantments.</x:v>
      </x:c>
      <x:c r="G51" s="58" t="n">
        <x:v>8.3</x:v>
      </x:c>
      <x:c r="H51" s="56" t="str">
        <x:v>B — SUPPORT</x:v>
      </x:c>
      <x:c r="I51" s="56" t="str">
        <x:v>CORE LAND</x:v>
      </x:c>
      <x:c r="J51" s="56" t="str">
        <x:v>RETAINED</x:v>
      </x:c>
      <x:c r="K51" s="56" t="str">
        <x:v>Deck-fit assessment</x:v>
      </x:c>
      <x:c r="L51" s="56" t="str"/>
    </x:row>
    <x:row r="52">
      <x:c r="A52" s="56" t="n">
        <x:v>1</x:v>
      </x:c>
      <x:c r="B52" s="56" t="str">
        <x:v>Hive of the Eye Tyrant</x:v>
      </x:c>
      <x:c r="C52" s="56" t="str">
        <x:v>Land</x:v>
      </x:c>
      <x:c r="D52" s="56" t="str">
        <x:v>Land</x:v>
      </x:c>
      <x:c r="E52" s="56" t="str">
        <x:v>Land Package (physical land)</x:v>
      </x:c>
      <x:c r="F52" s="56" t="str">
        <x:v>Primary functional grouping; card may have additional roles.</x:v>
      </x:c>
      <x:c r="G52" s="58" t="n">
        <x:v>8</x:v>
      </x:c>
      <x:c r="H52" s="56" t="str">
        <x:v>B — SUPPORT</x:v>
      </x:c>
      <x:c r="I52" s="56" t="str">
        <x:v>SUPPORT LAND</x:v>
      </x:c>
      <x:c r="J52" s="56" t="str">
        <x:v>RETAINED</x:v>
      </x:c>
      <x:c r="K52" s="56" t="str">
        <x:v>Deck-fit assessment</x:v>
      </x:c>
      <x:c r="L52" s="56" t="str"/>
    </x:row>
    <x:row r="53">
      <x:c r="A53" s="56" t="n">
        <x:v>1</x:v>
      </x:c>
      <x:c r="B53" s="56" t="str">
        <x:v>Idyllic Tutor</x:v>
      </x:c>
      <x:c r="C53" s="56" t="str">
        <x:v>Sorcery / other</x:v>
      </x:c>
      <x:c r="D53" s="56" t="str">
        <x:v>Spell</x:v>
      </x:c>
      <x:c r="E53" s="56" t="str">
        <x:v>8. Finishers &amp; Token Engines</x:v>
      </x:c>
      <x:c r="F53" s="56" t="str">
        <x:v>Finds an enchantment: Court, Pillow Fort, or other key enchantment.</x:v>
      </x:c>
      <x:c r="G53" s="58" t="n">
        <x:v>8.4</x:v>
      </x:c>
      <x:c r="H53" s="56" t="str">
        <x:v>B — SUPPORT</x:v>
      </x:c>
      <x:c r="I53" s="56" t="str">
        <x:v>SUPPORT</x:v>
      </x:c>
      <x:c r="J53" s="56" t="str">
        <x:v>RETAINED</x:v>
      </x:c>
      <x:c r="K53" s="56" t="str">
        <x:v>Deck-fit assessment</x:v>
      </x:c>
      <x:c r="L53" s="56" t="str"/>
    </x:row>
    <x:row r="54">
      <x:c r="A54" s="56" t="n">
        <x:v>1</x:v>
      </x:c>
      <x:c r="B54" s="56" t="str">
        <x:v>Inspiring Vantage</x:v>
      </x:c>
      <x:c r="C54" s="56" t="str">
        <x:v>Land</x:v>
      </x:c>
      <x:c r="D54" s="56" t="str">
        <x:v>Land</x:v>
      </x:c>
      <x:c r="E54" s="56" t="str">
        <x:v>Land Package (physical land)</x:v>
      </x:c>
      <x:c r="F54" s="56" t="str">
        <x:v>Primary functional grouping; card may have additional roles.</x:v>
      </x:c>
      <x:c r="G54" s="58" t="n">
        <x:v>8.4</x:v>
      </x:c>
      <x:c r="H54" s="56" t="str">
        <x:v>B — SUPPORT</x:v>
      </x:c>
      <x:c r="I54" s="56" t="str">
        <x:v>CORE LAND</x:v>
      </x:c>
      <x:c r="J54" s="56" t="str">
        <x:v>RETAINED</x:v>
      </x:c>
      <x:c r="K54" s="56" t="str">
        <x:v>Deck-fit assessment</x:v>
      </x:c>
      <x:c r="L54" s="56" t="str"/>
    </x:row>
    <x:row r="55">
      <x:c r="A55" s="56" t="n">
        <x:v>1</x:v>
      </x:c>
      <x:c r="B55" s="56" t="str">
        <x:v>Mangara, the Diplomat</x:v>
      </x:c>
      <x:c r="C55" s="56" t="str">
        <x:v>Creature</x:v>
      </x:c>
      <x:c r="D55" s="56" t="str">
        <x:v>Spell</x:v>
      </x:c>
      <x:c r="E55" s="56" t="str">
        <x:v>3. Draw &amp; Card Advantage</x:v>
      </x:c>
      <x:c r="F55" s="56" t="str">
        <x:v>Card advantage triggered by opponent attacks/multiple spells, with tax-like play patterns.</x:v>
      </x:c>
      <x:c r="G55" s="58" t="n">
        <x:v>9.2</x:v>
      </x:c>
      <x:c r="H55" s="56" t="str">
        <x:v>A — CORE</x:v>
      </x:c>
      <x:c r="I55" s="56" t="str">
        <x:v>V2.1 IN</x:v>
      </x:c>
      <x:c r="J55" s="56" t="str">
        <x:v>V2.1 IN</x:v>
      </x:c>
      <x:c r="K55" s="56" t="str">
        <x:v>EDH.Wiki Monarch</x:v>
      </x:c>
      <x:c r="L55" s="56" t="str"/>
    </x:row>
    <x:row r="56">
      <x:c r="A56" s="56" t="n">
        <x:v>1</x:v>
      </x:c>
      <x:c r="B56" s="56" t="str">
        <x:v>Kambal, Consul of Allocation</x:v>
      </x:c>
      <x:c r="C56" s="56" t="str">
        <x:v>Creature</x:v>
      </x:c>
      <x:c r="D56" s="56" t="str">
        <x:v>Spell</x:v>
      </x:c>
      <x:c r="E56" s="56" t="str">
        <x:v>6. Politics &amp; Forced Combat</x:v>
      </x:c>
      <x:c r="F56" s="56" t="str">
        <x:v>Redirect pressure, reward deals, and punish overextension.</x:v>
      </x:c>
      <x:c r="G56" s="58" t="n">
        <x:v>8.5</x:v>
      </x:c>
      <x:c r="H56" s="56" t="str">
        <x:v>A — CORE</x:v>
      </x:c>
      <x:c r="I56" s="56" t="str">
        <x:v>CORE</x:v>
      </x:c>
      <x:c r="J56" s="56" t="str">
        <x:v>RETAINED</x:v>
      </x:c>
      <x:c r="K56" s="56" t="str">
        <x:v>Deck-fit assessment</x:v>
      </x:c>
      <x:c r="L56" s="56" t="str"/>
    </x:row>
    <x:row r="57">
      <x:c r="A57" s="56" t="n">
        <x:v>1</x:v>
      </x:c>
      <x:c r="B57" s="56" t="str">
        <x:v>Kazuul, Tyrant of the Cliffs</x:v>
      </x:c>
      <x:c r="C57" s="56" t="str">
        <x:v>Creature</x:v>
      </x:c>
      <x:c r="D57" s="56" t="str">
        <x:v>Spell</x:v>
      </x:c>
      <x:c r="E57" s="56" t="str">
        <x:v>4. Pillow Fort &amp; Tax</x:v>
      </x:c>
      <x:c r="F57" s="56" t="str">
        <x:v>Make attacks against you costly and buy time.</x:v>
      </x:c>
      <x:c r="G57" s="58" t="n">
        <x:v>8.7</x:v>
      </x:c>
      <x:c r="H57" s="56" t="str">
        <x:v>A — CORE</x:v>
      </x:c>
      <x:c r="I57" s="56" t="str">
        <x:v>CORE</x:v>
      </x:c>
      <x:c r="J57" s="56" t="str">
        <x:v>RETAINED</x:v>
      </x:c>
      <x:c r="K57" s="56" t="str">
        <x:v>Deck-fit assessment</x:v>
      </x:c>
      <x:c r="L57" s="56" t="str"/>
    </x:row>
    <x:row r="58">
      <x:c r="A58" s="56" t="n">
        <x:v>1</x:v>
      </x:c>
      <x:c r="B58" s="56" t="str">
        <x:v>Knights of the Black Rose</x:v>
      </x:c>
      <x:c r="C58" s="56" t="str">
        <x:v>Creature</x:v>
      </x:c>
      <x:c r="D58" s="56" t="str">
        <x:v>Spell</x:v>
      </x:c>
      <x:c r="E58" s="56" t="str">
        <x:v>2. Monarch &amp; Courts</x:v>
      </x:c>
      <x:c r="F58" s="56" t="str">
        <x:v>Acquire the crown and generate recurring value from Courts.</x:v>
      </x:c>
      <x:c r="G58" s="58" t="n">
        <x:v>8.2</x:v>
      </x:c>
      <x:c r="H58" s="56" t="str">
        <x:v>B — SUPPORT</x:v>
      </x:c>
      <x:c r="I58" s="56" t="str">
        <x:v>SUPPORT</x:v>
      </x:c>
      <x:c r="J58" s="56" t="str">
        <x:v>RETAINED</x:v>
      </x:c>
      <x:c r="K58" s="56" t="str">
        <x:v>Deck-fit assessment</x:v>
      </x:c>
      <x:c r="L58" s="56" t="str"/>
    </x:row>
    <x:row r="59">
      <x:c r="A59" s="56" t="n">
        <x:v>1</x:v>
      </x:c>
      <x:c r="B59" s="56" t="str">
        <x:v>Legion Leadership</x:v>
      </x:c>
      <x:c r="C59" s="56" t="str">
        <x:v>MDFC / spell-land</x:v>
      </x:c>
      <x:c r="D59" s="56" t="str">
        <x:v>MDFC</x:v>
      </x:c>
      <x:c r="E59" s="56" t="str">
        <x:v>Land Package (MDFC)</x:v>
      </x:c>
      <x:c r="F59" s="56" t="str">
        <x:v>MDFC; back face Legion Stronghold. Allocated to 35-land bucket for 8×8; front face remains castable.</x:v>
      </x:c>
      <x:c r="G59" s="58" t="n">
        <x:v>7.8</x:v>
      </x:c>
      <x:c r="H59" s="56" t="str">
        <x:v>B — SUPPORT</x:v>
      </x:c>
      <x:c r="I59" s="56" t="str">
        <x:v>SUPPORT LAND</x:v>
      </x:c>
      <x:c r="J59" s="56" t="str">
        <x:v>RETAINED</x:v>
      </x:c>
      <x:c r="K59" s="56" t="str">
        <x:v>Deck-fit assessment</x:v>
      </x:c>
      <x:c r="L59" s="56" t="str"/>
    </x:row>
    <x:row r="60">
      <x:c r="A60" s="56" t="n">
        <x:v>1</x:v>
      </x:c>
      <x:c r="B60" s="56" t="str">
        <x:v>Luxury Suite</x:v>
      </x:c>
      <x:c r="C60" s="56" t="str">
        <x:v>Land</x:v>
      </x:c>
      <x:c r="D60" s="56" t="str">
        <x:v>Land</x:v>
      </x:c>
      <x:c r="E60" s="56" t="str">
        <x:v>Land Package (physical land)</x:v>
      </x:c>
      <x:c r="F60" s="56" t="str">
        <x:v>Primary functional grouping; card may have additional roles.</x:v>
      </x:c>
      <x:c r="G60" s="58" t="n">
        <x:v>8.8</x:v>
      </x:c>
      <x:c r="H60" s="56" t="str">
        <x:v>A — CORE</x:v>
      </x:c>
      <x:c r="I60" s="56" t="str">
        <x:v>CORE LAND</x:v>
      </x:c>
      <x:c r="J60" s="56" t="str">
        <x:v>RETAINED</x:v>
      </x:c>
      <x:c r="K60" s="56" t="str">
        <x:v>Deck-fit assessment</x:v>
      </x:c>
      <x:c r="L60" s="56" t="str"/>
    </x:row>
    <x:row r="61">
      <x:c r="A61" s="56" t="n">
        <x:v>1</x:v>
      </x:c>
      <x:c r="B61" s="56" t="str">
        <x:v>Marchesa's Decree</x:v>
      </x:c>
      <x:c r="C61" s="56" t="str">
        <x:v>Enchantment</x:v>
      </x:c>
      <x:c r="D61" s="56" t="str">
        <x:v>Spell</x:v>
      </x:c>
      <x:c r="E61" s="56" t="str">
        <x:v>4. Pillow Fort &amp; Tax</x:v>
      </x:c>
      <x:c r="F61" s="56" t="str">
        <x:v>Make attacks against you costly and buy time.</x:v>
      </x:c>
      <x:c r="G61" s="58" t="n">
        <x:v>8.8</x:v>
      </x:c>
      <x:c r="H61" s="56" t="str">
        <x:v>A — CORE</x:v>
      </x:c>
      <x:c r="I61" s="56" t="str">
        <x:v>CORE</x:v>
      </x:c>
      <x:c r="J61" s="56" t="str">
        <x:v>RETAINED</x:v>
      </x:c>
      <x:c r="K61" s="56" t="str">
        <x:v>Deck-fit assessment</x:v>
      </x:c>
      <x:c r="L61" s="56" t="str"/>
    </x:row>
    <x:row r="62">
      <x:c r="A62" s="56" t="n">
        <x:v>1</x:v>
      </x:c>
      <x:c r="B62" s="56" t="str">
        <x:v>Master of Ceremonies</x:v>
      </x:c>
      <x:c r="C62" s="56" t="str">
        <x:v>Creature</x:v>
      </x:c>
      <x:c r="D62" s="56" t="str">
        <x:v>Spell</x:v>
      </x:c>
      <x:c r="E62" s="56" t="str">
        <x:v>6. Politics &amp; Forced Combat</x:v>
      </x:c>
      <x:c r="F62" s="56" t="str">
        <x:v>Redirect pressure, reward deals, and punish overextension.</x:v>
      </x:c>
      <x:c r="G62" s="58" t="n">
        <x:v>8</x:v>
      </x:c>
      <x:c r="H62" s="56" t="str">
        <x:v>B — SUPPORT</x:v>
      </x:c>
      <x:c r="I62" s="56" t="str">
        <x:v>PET / THEME VALUE</x:v>
      </x:c>
      <x:c r="J62" s="56" t="str">
        <x:v>RETAINED</x:v>
      </x:c>
      <x:c r="K62" s="56" t="str">
        <x:v>Deck-fit assessment</x:v>
      </x:c>
      <x:c r="L62" s="56" t="str"/>
    </x:row>
    <x:row r="63">
      <x:c r="A63" s="56" t="n">
        <x:v>1</x:v>
      </x:c>
      <x:c r="B63" s="56" t="str">
        <x:v>Maze of Ith</x:v>
      </x:c>
      <x:c r="C63" s="56" t="str">
        <x:v>Land</x:v>
      </x:c>
      <x:c r="D63" s="56" t="str">
        <x:v>Land</x:v>
      </x:c>
      <x:c r="E63" s="56" t="str">
        <x:v>Land Package (physical land)</x:v>
      </x:c>
      <x:c r="F63" s="56" t="str">
        <x:v>Utility land; does not produce mana. Counts toward land slots, not colored mana sources.</x:v>
      </x:c>
      <x:c r="G63" s="58" t="n">
        <x:v>8.5</x:v>
      </x:c>
      <x:c r="H63" s="56" t="str">
        <x:v>A — CORE</x:v>
      </x:c>
      <x:c r="I63" s="56" t="str">
        <x:v>CORE LAND</x:v>
      </x:c>
      <x:c r="J63" s="56" t="str">
        <x:v>RETAINED</x:v>
      </x:c>
      <x:c r="K63" s="56" t="str">
        <x:v>Deck-fit assessment</x:v>
      </x:c>
      <x:c r="L63" s="56" t="str"/>
    </x:row>
    <x:row r="64">
      <x:c r="A64" s="56" t="n">
        <x:v>1</x:v>
      </x:c>
      <x:c r="B64" s="56" t="str">
        <x:v>Mountain</x:v>
      </x:c>
      <x:c r="C64" s="56" t="str">
        <x:v>Land</x:v>
      </x:c>
      <x:c r="D64" s="56" t="str">
        <x:v>Land</x:v>
      </x:c>
      <x:c r="E64" s="56" t="str">
        <x:v>Land Package (physical land)</x:v>
      </x:c>
      <x:c r="F64" s="56" t="str">
        <x:v>Primary functional grouping; card may have additional roles.</x:v>
      </x:c>
      <x:c r="G64" s="58" t="n">
        <x:v>7.5</x:v>
      </x:c>
      <x:c r="H64" s="56" t="str">
        <x:v>B — SUPPORT</x:v>
      </x:c>
      <x:c r="I64" s="56" t="str">
        <x:v>SUPPORT LAND</x:v>
      </x:c>
      <x:c r="J64" s="56" t="str">
        <x:v>RETAINED</x:v>
      </x:c>
      <x:c r="K64" s="56" t="str">
        <x:v>Deck-fit assessment</x:v>
      </x:c>
      <x:c r="L64" s="56" t="str"/>
    </x:row>
    <x:row r="65">
      <x:c r="A65" s="56" t="n">
        <x:v>1</x:v>
      </x:c>
      <x:c r="B65" s="56" t="str">
        <x:v>Mountain</x:v>
      </x:c>
      <x:c r="C65" s="56" t="str">
        <x:v>Land</x:v>
      </x:c>
      <x:c r="D65" s="56" t="str">
        <x:v>Land</x:v>
      </x:c>
      <x:c r="E65" s="56" t="str">
        <x:v>Land Package (physical land)</x:v>
      </x:c>
      <x:c r="F65" s="56" t="str">
        <x:v>Primary functional grouping; card may have additional roles.</x:v>
      </x:c>
      <x:c r="G65" s="58" t="n">
        <x:v>7.5</x:v>
      </x:c>
      <x:c r="H65" s="56" t="str">
        <x:v>B — SUPPORT</x:v>
      </x:c>
      <x:c r="I65" s="56" t="str">
        <x:v>SUPPORT LAND</x:v>
      </x:c>
      <x:c r="J65" s="56" t="str">
        <x:v>RETAINED</x:v>
      </x:c>
      <x:c r="K65" s="56" t="str">
        <x:v>Deck-fit assessment</x:v>
      </x:c>
      <x:c r="L65" s="56" t="str"/>
    </x:row>
    <x:row r="66">
      <x:c r="A66" s="56" t="n">
        <x:v>1</x:v>
      </x:c>
      <x:c r="B66" s="56" t="str">
        <x:v>Needleverge Pathway</x:v>
      </x:c>
      <x:c r="C66" s="56" t="str">
        <x:v>Land</x:v>
      </x:c>
      <x:c r="D66" s="56" t="str">
        <x:v>Land</x:v>
      </x:c>
      <x:c r="E66" s="56" t="str">
        <x:v>Land Package (physical land)</x:v>
      </x:c>
      <x:c r="F66" s="56" t="str">
        <x:v>Primary functional grouping; card may have additional roles.</x:v>
      </x:c>
      <x:c r="G66" s="58" t="n">
        <x:v>8.3</x:v>
      </x:c>
      <x:c r="H66" s="56" t="str">
        <x:v>B — SUPPORT</x:v>
      </x:c>
      <x:c r="I66" s="56" t="str">
        <x:v>CORE LAND</x:v>
      </x:c>
      <x:c r="J66" s="56" t="str">
        <x:v>RETAINED</x:v>
      </x:c>
      <x:c r="K66" s="56" t="str">
        <x:v>Deck-fit assessment</x:v>
      </x:c>
      <x:c r="L66" s="56" t="str"/>
    </x:row>
    <x:row r="67">
      <x:c r="A67" s="56" t="n">
        <x:v>1</x:v>
      </x:c>
      <x:c r="B67" s="56" t="str">
        <x:v>Nelly Borca, Impulsive Accuser</x:v>
      </x:c>
      <x:c r="C67" s="56" t="str">
        <x:v>Creature</x:v>
      </x:c>
      <x:c r="D67" s="56" t="str">
        <x:v>Spell</x:v>
      </x:c>
      <x:c r="E67" s="56" t="str">
        <x:v>6. Politics &amp; Forced Combat</x:v>
      </x:c>
      <x:c r="F67" s="56" t="str">
        <x:v>Redirect pressure, reward deals, and punish overextension.</x:v>
      </x:c>
      <x:c r="G67" s="58" t="n">
        <x:v>8.3</x:v>
      </x:c>
      <x:c r="H67" s="56" t="str">
        <x:v>B — SUPPORT</x:v>
      </x:c>
      <x:c r="I67" s="56" t="str">
        <x:v>PET / THEME VALUE</x:v>
      </x:c>
      <x:c r="J67" s="56" t="str">
        <x:v>RETAINED</x:v>
      </x:c>
      <x:c r="K67" s="56" t="str">
        <x:v>Deck-fit assessment</x:v>
      </x:c>
      <x:c r="L67" s="56" t="str"/>
    </x:row>
    <x:row r="68">
      <x:c r="A68" s="56" t="n">
        <x:v>1</x:v>
      </x:c>
      <x:c r="B68" s="56" t="str">
        <x:v>No Mercy</x:v>
      </x:c>
      <x:c r="C68" s="56" t="str">
        <x:v>Enchantment</x:v>
      </x:c>
      <x:c r="D68" s="56" t="str">
        <x:v>Spell</x:v>
      </x:c>
      <x:c r="E68" s="56" t="str">
        <x:v>4. Pillow Fort &amp; Tax</x:v>
      </x:c>
      <x:c r="F68" s="56" t="str">
        <x:v>Make attacks against you costly and buy time.</x:v>
      </x:c>
      <x:c r="G68" s="58" t="n">
        <x:v>8.8</x:v>
      </x:c>
      <x:c r="H68" s="56" t="str">
        <x:v>A — CORE</x:v>
      </x:c>
      <x:c r="I68" s="56" t="str">
        <x:v>CORE</x:v>
      </x:c>
      <x:c r="J68" s="56" t="str">
        <x:v>RETAINED</x:v>
      </x:c>
      <x:c r="K68" s="56" t="str">
        <x:v>Deck-fit assessment</x:v>
      </x:c>
      <x:c r="L68" s="56" t="str"/>
    </x:row>
    <x:row r="69">
      <x:c r="A69" s="56" t="n">
        <x:v>1</x:v>
      </x:c>
      <x:c r="B69" s="56" t="str">
        <x:v>Nomad Outpost</x:v>
      </x:c>
      <x:c r="C69" s="56" t="str">
        <x:v>Land</x:v>
      </x:c>
      <x:c r="D69" s="56" t="str">
        <x:v>Land</x:v>
      </x:c>
      <x:c r="E69" s="56" t="str">
        <x:v>Land Package (physical land)</x:v>
      </x:c>
      <x:c r="F69" s="56" t="str">
        <x:v>Primary functional grouping; card may have additional roles.</x:v>
      </x:c>
      <x:c r="G69" s="58" t="n">
        <x:v>7.4</x:v>
      </x:c>
      <x:c r="H69" s="56" t="str">
        <x:v>C — REVIEW</x:v>
      </x:c>
      <x:c r="I69" s="56" t="str">
        <x:v>SUPPORT LAND</x:v>
      </x:c>
      <x:c r="J69" s="56" t="str">
        <x:v>RETAINED</x:v>
      </x:c>
      <x:c r="K69" s="56" t="str">
        <x:v>Deck-fit assessment</x:v>
      </x:c>
      <x:c r="L69" s="56" t="str"/>
    </x:row>
    <x:row r="70">
      <x:c r="A70" s="56" t="n">
        <x:v>1</x:v>
      </x:c>
      <x:c r="B70" s="56" t="str">
        <x:v>Norn's Annex</x:v>
      </x:c>
      <x:c r="C70" s="56" t="str">
        <x:v>Enchantment</x:v>
      </x:c>
      <x:c r="D70" s="56" t="str">
        <x:v>Spell</x:v>
      </x:c>
      <x:c r="E70" s="56" t="str">
        <x:v>4. Pillow Fort &amp; Tax</x:v>
      </x:c>
      <x:c r="F70" s="56" t="str">
        <x:v>Make attacks against you costly and buy time.</x:v>
      </x:c>
      <x:c r="G70" s="58" t="n">
        <x:v>8</x:v>
      </x:c>
      <x:c r="H70" s="56" t="str">
        <x:v>B — SUPPORT</x:v>
      </x:c>
      <x:c r="I70" s="56" t="str">
        <x:v>SUPPORT</x:v>
      </x:c>
      <x:c r="J70" s="56" t="str">
        <x:v>RETAINED</x:v>
      </x:c>
      <x:c r="K70" s="56" t="str">
        <x:v>Deck-fit assessment</x:v>
      </x:c>
      <x:c r="L70" s="56" t="str"/>
    </x:row>
    <x:row r="71">
      <x:c r="A71" s="56" t="n">
        <x:v>1</x:v>
      </x:c>
      <x:c r="B71" s="56" t="str">
        <x:v>Ophiomancer</x:v>
      </x:c>
      <x:c r="C71" s="56" t="str">
        <x:v>Creature</x:v>
      </x:c>
      <x:c r="D71" s="56" t="str">
        <x:v>Spell</x:v>
      </x:c>
      <x:c r="E71" s="56" t="str">
        <x:v>8. Finishers &amp; Token Engines</x:v>
      </x:c>
      <x:c r="F71" s="56" t="str">
        <x:v>Convert accumulated value into a decisive endgame.</x:v>
      </x:c>
      <x:c r="G71" s="58" t="n">
        <x:v>8.5</x:v>
      </x:c>
      <x:c r="H71" s="56" t="str">
        <x:v>A — CORE</x:v>
      </x:c>
      <x:c r="I71" s="56" t="str">
        <x:v>CORE</x:v>
      </x:c>
      <x:c r="J71" s="56" t="str">
        <x:v>RETAINED</x:v>
      </x:c>
      <x:c r="K71" s="56" t="str">
        <x:v>Deck-fit assessment</x:v>
      </x:c>
      <x:c r="L71" s="56" t="str"/>
    </x:row>
    <x:row r="72">
      <x:c r="A72" s="56" t="n">
        <x:v>1</x:v>
      </x:c>
      <x:c r="B72" s="56" t="str">
        <x:v>Disrupt Decorum</x:v>
      </x:c>
      <x:c r="C72" s="56" t="str">
        <x:v>Sorcery / other</x:v>
      </x:c>
      <x:c r="D72" s="56" t="str">
        <x:v>Spell</x:v>
      </x:c>
      <x:c r="E72" s="56" t="str">
        <x:v>6. Politics &amp; Forced Combat</x:v>
      </x:c>
      <x:c r="F72" s="56" t="str">
        <x:v>Political goad / forced combat; can relieve pressure on you and create a crown-recovery window.</x:v>
      </x:c>
      <x:c r="G72" s="58" t="n">
        <x:v>9.2</x:v>
      </x:c>
      <x:c r="H72" s="56" t="str">
        <x:v>A — CORE</x:v>
      </x:c>
      <x:c r="I72" s="56" t="str">
        <x:v>V2.1 IN</x:v>
      </x:c>
      <x:c r="J72" s="56" t="str">
        <x:v>V2.1 IN</x:v>
      </x:c>
      <x:c r="K72" s="56" t="str">
        <x:v>EDH.Wiki Monarch</x:v>
      </x:c>
      <x:c r="L72" s="56" t="str"/>
    </x:row>
    <x:row r="73">
      <x:c r="A73" s="56" t="n">
        <x:v>1</x:v>
      </x:c>
      <x:c r="B73" s="56" t="str">
        <x:v>Plains</x:v>
      </x:c>
      <x:c r="C73" s="56" t="str">
        <x:v>Land</x:v>
      </x:c>
      <x:c r="D73" s="56" t="str">
        <x:v>Land</x:v>
      </x:c>
      <x:c r="E73" s="56" t="str">
        <x:v>Land Package (physical land)</x:v>
      </x:c>
      <x:c r="F73" s="56" t="str">
        <x:v>Primary functional grouping; card may have additional roles.</x:v>
      </x:c>
      <x:c r="G73" s="58" t="n">
        <x:v>7.5</x:v>
      </x:c>
      <x:c r="H73" s="56" t="str">
        <x:v>B — SUPPORT</x:v>
      </x:c>
      <x:c r="I73" s="56" t="str">
        <x:v>SUPPORT LAND</x:v>
      </x:c>
      <x:c r="J73" s="56" t="str">
        <x:v>RETAINED</x:v>
      </x:c>
      <x:c r="K73" s="56" t="str">
        <x:v>Deck-fit assessment</x:v>
      </x:c>
      <x:c r="L73" s="56" t="str"/>
    </x:row>
    <x:row r="74">
      <x:c r="A74" s="56" t="n">
        <x:v>1</x:v>
      </x:c>
      <x:c r="B74" s="56" t="str">
        <x:v>Plains</x:v>
      </x:c>
      <x:c r="C74" s="56" t="str">
        <x:v>Land</x:v>
      </x:c>
      <x:c r="D74" s="56" t="str">
        <x:v>Land</x:v>
      </x:c>
      <x:c r="E74" s="56" t="str">
        <x:v>Land Package (physical land)</x:v>
      </x:c>
      <x:c r="F74" s="56" t="str">
        <x:v>Primary functional grouping; card may have additional roles.</x:v>
      </x:c>
      <x:c r="G74" s="58" t="n">
        <x:v>7.5</x:v>
      </x:c>
      <x:c r="H74" s="56" t="str">
        <x:v>B — SUPPORT</x:v>
      </x:c>
      <x:c r="I74" s="56" t="str">
        <x:v>SUPPORT LAND</x:v>
      </x:c>
      <x:c r="J74" s="56" t="str">
        <x:v>RETAINED</x:v>
      </x:c>
      <x:c r="K74" s="56" t="str">
        <x:v>Deck-fit assessment</x:v>
      </x:c>
      <x:c r="L74" s="56" t="str"/>
    </x:row>
    <x:row r="75">
      <x:c r="A75" s="56" t="n">
        <x:v>1</x:v>
      </x:c>
      <x:c r="B75" s="56" t="str">
        <x:v>Reliquary Tower</x:v>
      </x:c>
      <x:c r="C75" s="56" t="str">
        <x:v>Land</x:v>
      </x:c>
      <x:c r="D75" s="56" t="str">
        <x:v>Land</x:v>
      </x:c>
      <x:c r="E75" s="56" t="str">
        <x:v>Land Package (physical land)</x:v>
      </x:c>
      <x:c r="F75" s="56" t="str">
        <x:v>Primary functional grouping; card may have additional roles.</x:v>
      </x:c>
      <x:c r="G75" s="58" t="n">
        <x:v>7.8</x:v>
      </x:c>
      <x:c r="H75" s="56" t="str">
        <x:v>B — SUPPORT</x:v>
      </x:c>
      <x:c r="I75" s="56" t="str">
        <x:v>SUPPORT LAND</x:v>
      </x:c>
      <x:c r="J75" s="56" t="str">
        <x:v>RETAINED</x:v>
      </x:c>
      <x:c r="K75" s="56" t="str">
        <x:v>Deck-fit assessment</x:v>
      </x:c>
      <x:c r="L75" s="56" t="str"/>
    </x:row>
    <x:row r="76">
      <x:c r="A76" s="56" t="n">
        <x:v>1</x:v>
      </x:c>
      <x:c r="B76" s="56" t="str">
        <x:v>Rogue's Passage</x:v>
      </x:c>
      <x:c r="C76" s="56" t="str">
        <x:v>Land</x:v>
      </x:c>
      <x:c r="D76" s="56" t="str">
        <x:v>Land</x:v>
      </x:c>
      <x:c r="E76" s="56" t="str">
        <x:v>Land Package (physical land)</x:v>
      </x:c>
      <x:c r="F76" s="56" t="str">
        <x:v>Utility land with colorless-only activation; assess whether a key attacker justifies the slot.</x:v>
      </x:c>
      <x:c r="G76" s="58" t="n">
        <x:v>7.3</x:v>
      </x:c>
      <x:c r="H76" s="56" t="str">
        <x:v>C — REVIEW</x:v>
      </x:c>
      <x:c r="I76" s="56" t="str">
        <x:v>SUPPORT LAND</x:v>
      </x:c>
      <x:c r="J76" s="56" t="str">
        <x:v>RETAINED</x:v>
      </x:c>
      <x:c r="K76" s="56" t="str">
        <x:v>Deck-fit assessment</x:v>
      </x:c>
      <x:c r="L76" s="56" t="str"/>
    </x:row>
    <x:row r="77">
      <x:c r="A77" s="56" t="n">
        <x:v>1</x:v>
      </x:c>
      <x:c r="B77" s="56" t="str">
        <x:v>Inkshield</x:v>
      </x:c>
      <x:c r="C77" s="56" t="str">
        <x:v>Instant</x:v>
      </x:c>
      <x:c r="D77" s="56" t="str">
        <x:v>Spell</x:v>
      </x:c>
      <x:c r="E77" s="56" t="str">
        <x:v>7. Board Control &amp; Defensive Reversal</x:v>
      </x:c>
      <x:c r="F77" s="56" t="str">
        <x:v>Combat-damage prevention plus Inkling tokens; defensive reversal and possible finisher.</x:v>
      </x:c>
      <x:c r="G77" s="58" t="n">
        <x:v>9.3</x:v>
      </x:c>
      <x:c r="H77" s="56" t="str">
        <x:v>A — CORE</x:v>
      </x:c>
      <x:c r="I77" s="56" t="str">
        <x:v>V2.1 IN</x:v>
      </x:c>
      <x:c r="J77" s="56" t="str">
        <x:v>V2.1 IN</x:v>
      </x:c>
      <x:c r="K77" s="56" t="str">
        <x:v>EDH.Wiki Monarch</x:v>
      </x:c>
      <x:c r="L77" s="56" t="str"/>
    </x:row>
    <x:row r="78">
      <x:c r="A78" s="56" t="n">
        <x:v>1</x:v>
      </x:c>
      <x:c r="B78" s="56" t="str">
        <x:v>Rugged Prairie</x:v>
      </x:c>
      <x:c r="C78" s="56" t="str">
        <x:v>Land</x:v>
      </x:c>
      <x:c r="D78" s="56" t="str">
        <x:v>Land</x:v>
      </x:c>
      <x:c r="E78" s="56" t="str">
        <x:v>Land Package (physical land)</x:v>
      </x:c>
      <x:c r="F78" s="56" t="str">
        <x:v>Primary functional grouping; card may have additional roles.</x:v>
      </x:c>
      <x:c r="G78" s="58" t="n">
        <x:v>8.2</x:v>
      </x:c>
      <x:c r="H78" s="56" t="str">
        <x:v>B — SUPPORT</x:v>
      </x:c>
      <x:c r="I78" s="56" t="str">
        <x:v>SUPPORT LAND</x:v>
      </x:c>
      <x:c r="J78" s="56" t="str">
        <x:v>RETAINED</x:v>
      </x:c>
      <x:c r="K78" s="56" t="str">
        <x:v>Deck-fit assessment</x:v>
      </x:c>
      <x:c r="L78" s="56" t="str"/>
    </x:row>
    <x:row r="79">
      <x:c r="A79" s="56" t="n">
        <x:v>1</x:v>
      </x:c>
      <x:c r="B79" s="56" t="str">
        <x:v>Ruinous Ultimatum</x:v>
      </x:c>
      <x:c r="C79" s="56" t="str">
        <x:v>Sorcery / other</x:v>
      </x:c>
      <x:c r="D79" s="56" t="str">
        <x:v>Spell</x:v>
      </x:c>
      <x:c r="E79" s="56" t="str">
        <x:v>7. Board Control &amp; Defensive Reversal</x:v>
      </x:c>
      <x:c r="F79" s="56" t="str">
        <x:v>Reset runaway boards or convert an attack into a reversal.</x:v>
      </x:c>
      <x:c r="G79" s="58" t="n">
        <x:v>9.1</x:v>
      </x:c>
      <x:c r="H79" s="56" t="str">
        <x:v>A — CORE</x:v>
      </x:c>
      <x:c r="I79" s="56" t="str">
        <x:v>CORE</x:v>
      </x:c>
      <x:c r="J79" s="56" t="str">
        <x:v>RETAINED</x:v>
      </x:c>
      <x:c r="K79" s="56" t="str">
        <x:v>Deck-fit assessment</x:v>
      </x:c>
      <x:c r="L79" s="56" t="str"/>
    </x:row>
    <x:row r="80">
      <x:c r="A80" s="56" t="n">
        <x:v>1</x:v>
      </x:c>
      <x:c r="B80" s="56" t="str">
        <x:v>Savai Triome</x:v>
      </x:c>
      <x:c r="C80" s="56" t="str">
        <x:v>Land</x:v>
      </x:c>
      <x:c r="D80" s="56" t="str">
        <x:v>Land</x:v>
      </x:c>
      <x:c r="E80" s="56" t="str">
        <x:v>Land Package (physical land)</x:v>
      </x:c>
      <x:c r="F80" s="56" t="str">
        <x:v>Primary functional grouping; card may have additional roles.</x:v>
      </x:c>
      <x:c r="G80" s="58" t="n">
        <x:v>8.5</x:v>
      </x:c>
      <x:c r="H80" s="56" t="str">
        <x:v>A — CORE</x:v>
      </x:c>
      <x:c r="I80" s="56" t="str">
        <x:v>CORE LAND</x:v>
      </x:c>
      <x:c r="J80" s="56" t="str">
        <x:v>RETAINED</x:v>
      </x:c>
      <x:c r="K80" s="56" t="str">
        <x:v>Deck-fit assessment</x:v>
      </x:c>
      <x:c r="L80" s="56" t="str"/>
    </x:row>
    <x:row r="81">
      <x:c r="A81" s="56" t="n">
        <x:v>1</x:v>
      </x:c>
      <x:c r="B81" s="56" t="str">
        <x:v>Shattered Landscape</x:v>
      </x:c>
      <x:c r="C81" s="56" t="str">
        <x:v>Land</x:v>
      </x:c>
      <x:c r="D81" s="56" t="str">
        <x:v>Land</x:v>
      </x:c>
      <x:c r="E81" s="56" t="str">
        <x:v>Land Package (physical land)</x:v>
      </x:c>
      <x:c r="F81" s="56" t="str">
        <x:v>Primary functional grouping; card may have additional roles.</x:v>
      </x:c>
      <x:c r="G81" s="58" t="n">
        <x:v>7.8</x:v>
      </x:c>
      <x:c r="H81" s="56" t="str">
        <x:v>B — SUPPORT</x:v>
      </x:c>
      <x:c r="I81" s="56" t="str">
        <x:v>SUPPORT LAND</x:v>
      </x:c>
      <x:c r="J81" s="56" t="str">
        <x:v>RETAINED</x:v>
      </x:c>
      <x:c r="K81" s="56" t="str">
        <x:v>Deck-fit assessment</x:v>
      </x:c>
      <x:c r="L81" s="56" t="str"/>
    </x:row>
    <x:row r="82">
      <x:c r="A82" s="56" t="n">
        <x:v>1</x:v>
      </x:c>
      <x:c r="B82" s="56" t="str">
        <x:v>Shineshadow Snarl</x:v>
      </x:c>
      <x:c r="C82" s="56" t="str">
        <x:v>Land</x:v>
      </x:c>
      <x:c r="D82" s="56" t="str">
        <x:v>Land</x:v>
      </x:c>
      <x:c r="E82" s="56" t="str">
        <x:v>Land Package (physical land)</x:v>
      </x:c>
      <x:c r="F82" s="56" t="str">
        <x:v>Primary functional grouping; card may have additional roles.</x:v>
      </x:c>
      <x:c r="G82" s="58" t="n">
        <x:v>7.7</x:v>
      </x:c>
      <x:c r="H82" s="56" t="str">
        <x:v>B — SUPPORT</x:v>
      </x:c>
      <x:c r="I82" s="56" t="str">
        <x:v>SUPPORT LAND</x:v>
      </x:c>
      <x:c r="J82" s="56" t="str">
        <x:v>RETAINED</x:v>
      </x:c>
      <x:c r="K82" s="56" t="str">
        <x:v>Deck-fit assessment</x:v>
      </x:c>
      <x:c r="L82" s="56" t="str"/>
    </x:row>
    <x:row r="83">
      <x:c r="A83" s="56" t="n">
        <x:v>1</x:v>
      </x:c>
      <x:c r="B83" s="56" t="str">
        <x:v>Skullclamp</x:v>
      </x:c>
      <x:c r="C83" s="56" t="str">
        <x:v>Artifact</x:v>
      </x:c>
      <x:c r="D83" s="56" t="str">
        <x:v>Spell</x:v>
      </x:c>
      <x:c r="E83" s="56" t="str">
        <x:v>3. Draw &amp; Card Advantage</x:v>
      </x:c>
      <x:c r="F83" s="56" t="str">
        <x:v>Keep cards flowing even when Monarch changes hands.</x:v>
      </x:c>
      <x:c r="G83" s="58" t="n">
        <x:v>8.9</x:v>
      </x:c>
      <x:c r="H83" s="56" t="str">
        <x:v>A — CORE</x:v>
      </x:c>
      <x:c r="I83" s="56" t="str">
        <x:v>CORE</x:v>
      </x:c>
      <x:c r="J83" s="56" t="str">
        <x:v>RETAINED</x:v>
      </x:c>
      <x:c r="K83" s="56" t="str">
        <x:v>Deck-fit assessment</x:v>
      </x:c>
      <x:c r="L83" s="56" t="str"/>
    </x:row>
    <x:row r="84">
      <x:c r="A84" s="56" t="n">
        <x:v>1</x:v>
      </x:c>
      <x:c r="B84" s="56" t="str">
        <x:v>Skyline Despot</x:v>
      </x:c>
      <x:c r="C84" s="56" t="str">
        <x:v>Creature</x:v>
      </x:c>
      <x:c r="D84" s="56" t="str">
        <x:v>Spell</x:v>
      </x:c>
      <x:c r="E84" s="56" t="str">
        <x:v>8. Finishers &amp; Token Engines</x:v>
      </x:c>
      <x:c r="F84" s="56" t="str">
        <x:v>Convert accumulated value into a decisive endgame.</x:v>
      </x:c>
      <x:c r="G84" s="58" t="n">
        <x:v>8.9</x:v>
      </x:c>
      <x:c r="H84" s="56" t="str">
        <x:v>A — CORE</x:v>
      </x:c>
      <x:c r="I84" s="56" t="str">
        <x:v>CORE</x:v>
      </x:c>
      <x:c r="J84" s="56" t="str">
        <x:v>RETAINED</x:v>
      </x:c>
      <x:c r="K84" s="56" t="str">
        <x:v>Deck-fit assessment</x:v>
      </x:c>
      <x:c r="L84" s="56" t="str"/>
    </x:row>
    <x:row r="85">
      <x:c r="A85" s="56" t="n">
        <x:v>1</x:v>
      </x:c>
      <x:c r="B85" s="56" t="str">
        <x:v>Smoldering Marsh</x:v>
      </x:c>
      <x:c r="C85" s="56" t="str">
        <x:v>Land</x:v>
      </x:c>
      <x:c r="D85" s="56" t="str">
        <x:v>Land</x:v>
      </x:c>
      <x:c r="E85" s="56" t="str">
        <x:v>Land Package (physical land)</x:v>
      </x:c>
      <x:c r="F85" s="56" t="str">
        <x:v>Primary functional grouping; card may have additional roles.</x:v>
      </x:c>
      <x:c r="G85" s="58" t="n">
        <x:v>7.8</x:v>
      </x:c>
      <x:c r="H85" s="56" t="str">
        <x:v>B — SUPPORT</x:v>
      </x:c>
      <x:c r="I85" s="56" t="str">
        <x:v>SUPPORT LAND</x:v>
      </x:c>
      <x:c r="J85" s="56" t="str">
        <x:v>RETAINED</x:v>
      </x:c>
      <x:c r="K85" s="56" t="str">
        <x:v>Deck-fit assessment</x:v>
      </x:c>
      <x:c r="L85" s="56" t="str"/>
    </x:row>
    <x:row r="86">
      <x:c r="A86" s="56" t="n">
        <x:v>1</x:v>
      </x:c>
      <x:c r="B86" s="56" t="str">
        <x:v>Smothering Tithe</x:v>
      </x:c>
      <x:c r="C86" s="56" t="str">
        <x:v>Enchantment</x:v>
      </x:c>
      <x:c r="D86" s="56" t="str">
        <x:v>Spell</x:v>
      </x:c>
      <x:c r="E86" s="56" t="str">
        <x:v>1. Ramp &amp; Fixing</x:v>
      </x:c>
      <x:c r="F86" s="56" t="str">
        <x:v>Ramp / Treasure engine, also a table-threat signal.</x:v>
      </x:c>
      <x:c r="G86" s="58" t="n">
        <x:v>9.6</x:v>
      </x:c>
      <x:c r="H86" s="56" t="str">
        <x:v>S — LOCK</x:v>
      </x:c>
      <x:c r="I86" s="56" t="str">
        <x:v>CORE</x:v>
      </x:c>
      <x:c r="J86" s="56" t="str">
        <x:v>RETAINED</x:v>
      </x:c>
      <x:c r="K86" s="56" t="str">
        <x:v>Deck-fit assessment</x:v>
      </x:c>
      <x:c r="L86" s="56" t="str"/>
    </x:row>
    <x:row r="87">
      <x:c r="A87" s="56" t="n">
        <x:v>1</x:v>
      </x:c>
      <x:c r="B87" s="56" t="str">
        <x:v>Sol Ring</x:v>
      </x:c>
      <x:c r="C87" s="56" t="str">
        <x:v>Artifact</x:v>
      </x:c>
      <x:c r="D87" s="56" t="str">
        <x:v>Spell</x:v>
      </x:c>
      <x:c r="E87" s="56" t="str">
        <x:v>1. Ramp &amp; Fixing</x:v>
      </x:c>
      <x:c r="F87" s="56" t="str">
        <x:v>Build mana early without attracting unnecessary attention.</x:v>
      </x:c>
      <x:c r="G87" s="58" t="n">
        <x:v>9</x:v>
      </x:c>
      <x:c r="H87" s="56" t="str">
        <x:v>A — CORE</x:v>
      </x:c>
      <x:c r="I87" s="56" t="str">
        <x:v>CORE</x:v>
      </x:c>
      <x:c r="J87" s="56" t="str">
        <x:v>RETAINED</x:v>
      </x:c>
      <x:c r="K87" s="56" t="str">
        <x:v>Deck-fit assessment</x:v>
      </x:c>
      <x:c r="L87" s="56" t="str"/>
    </x:row>
    <x:row r="88">
      <x:c r="A88" s="56" t="n">
        <x:v>1</x:v>
      </x:c>
      <x:c r="B88" s="56" t="str">
        <x:v>Sphere of Safety</x:v>
      </x:c>
      <x:c r="C88" s="56" t="str">
        <x:v>Enchantment</x:v>
      </x:c>
      <x:c r="D88" s="56" t="str">
        <x:v>Spell</x:v>
      </x:c>
      <x:c r="E88" s="56" t="str">
        <x:v>4. Pillow Fort &amp; Tax</x:v>
      </x:c>
      <x:c r="F88" s="56" t="str">
        <x:v>Make attacks against you costly and buy time.</x:v>
      </x:c>
      <x:c r="G88" s="58" t="n">
        <x:v>8.3</x:v>
      </x:c>
      <x:c r="H88" s="56" t="str">
        <x:v>B — SUPPORT</x:v>
      </x:c>
      <x:c r="I88" s="56" t="str">
        <x:v>SUPPORT</x:v>
      </x:c>
      <x:c r="J88" s="56" t="str">
        <x:v>RETAINED</x:v>
      </x:c>
      <x:c r="K88" s="56" t="str">
        <x:v>Deck-fit assessment</x:v>
      </x:c>
      <x:c r="L88" s="56" t="str"/>
    </x:row>
    <x:row r="89">
      <x:c r="A89" s="56" t="n">
        <x:v>1</x:v>
      </x:c>
      <x:c r="B89" s="56" t="str">
        <x:v>Swamp</x:v>
      </x:c>
      <x:c r="C89" s="56" t="str">
        <x:v>Land</x:v>
      </x:c>
      <x:c r="D89" s="56" t="str">
        <x:v>Land</x:v>
      </x:c>
      <x:c r="E89" s="56" t="str">
        <x:v>Land Package (physical land)</x:v>
      </x:c>
      <x:c r="F89" s="56" t="str">
        <x:v>Primary functional grouping; card may have additional roles.</x:v>
      </x:c>
      <x:c r="G89" s="58" t="n">
        <x:v>7.5</x:v>
      </x:c>
      <x:c r="H89" s="56" t="str">
        <x:v>B — SUPPORT</x:v>
      </x:c>
      <x:c r="I89" s="56" t="str">
        <x:v>SUPPORT LAND</x:v>
      </x:c>
      <x:c r="J89" s="56" t="str">
        <x:v>RETAINED</x:v>
      </x:c>
      <x:c r="K89" s="56" t="str">
        <x:v>Deck-fit assessment</x:v>
      </x:c>
      <x:c r="L89" s="56" t="str"/>
    </x:row>
    <x:row r="90">
      <x:c r="A90" s="56" t="n">
        <x:v>1</x:v>
      </x:c>
      <x:c r="B90" s="56" t="str">
        <x:v>Swords to Plowshares</x:v>
      </x:c>
      <x:c r="C90" s="56" t="str">
        <x:v>Instant</x:v>
      </x:c>
      <x:c r="D90" s="56" t="str">
        <x:v>Spell</x:v>
      </x:c>
      <x:c r="E90" s="56" t="str">
        <x:v>5. Spot Removal</x:v>
      </x:c>
      <x:c r="F90" s="56" t="str">
        <x:v>Answer specific threats compromising your engine or ability to close.</x:v>
      </x:c>
      <x:c r="G90" s="58" t="n">
        <x:v>9</x:v>
      </x:c>
      <x:c r="H90" s="56" t="str">
        <x:v>A — CORE</x:v>
      </x:c>
      <x:c r="I90" s="56" t="str">
        <x:v>CORE</x:v>
      </x:c>
      <x:c r="J90" s="56" t="str">
        <x:v>RETAINED</x:v>
      </x:c>
      <x:c r="K90" s="56" t="str">
        <x:v>Deck-fit assessment</x:v>
      </x:c>
      <x:c r="L90" s="56" t="str"/>
    </x:row>
    <x:row r="91">
      <x:c r="A91" s="56" t="n">
        <x:v>1</x:v>
      </x:c>
      <x:c r="B91" s="56" t="str">
        <x:v>Take the Bait</x:v>
      </x:c>
      <x:c r="C91" s="56" t="str">
        <x:v>Instant</x:v>
      </x:c>
      <x:c r="D91" s="56" t="str">
        <x:v>Spell</x:v>
      </x:c>
      <x:c r="E91" s="56" t="str">
        <x:v>6. Politics &amp; Forced Combat</x:v>
      </x:c>
      <x:c r="F91" s="56" t="str">
        <x:v>Redirect pressure, reward deals, and punish overextension.</x:v>
      </x:c>
      <x:c r="G91" s="58" t="n">
        <x:v>8.7</x:v>
      </x:c>
      <x:c r="H91" s="56" t="str">
        <x:v>A — CORE</x:v>
      </x:c>
      <x:c r="I91" s="56" t="str">
        <x:v>CORE</x:v>
      </x:c>
      <x:c r="J91" s="56" t="str">
        <x:v>RETAINED</x:v>
      </x:c>
      <x:c r="K91" s="56" t="str">
        <x:v>Deck-fit assessment</x:v>
      </x:c>
      <x:c r="L91" s="56" t="str"/>
    </x:row>
    <x:row r="92">
      <x:c r="A92" s="56" t="n">
        <x:v>1</x:v>
      </x:c>
      <x:c r="B92" s="56" t="str">
        <x:v>Talisman of Conviction</x:v>
      </x:c>
      <x:c r="C92" s="56" t="str">
        <x:v>Artifact</x:v>
      </x:c>
      <x:c r="D92" s="56" t="str">
        <x:v>Spell</x:v>
      </x:c>
      <x:c r="E92" s="56" t="str">
        <x:v>1. Ramp &amp; Fixing</x:v>
      </x:c>
      <x:c r="F92" s="56" t="str">
        <x:v>Build mana early without attracting unnecessary attention.</x:v>
      </x:c>
      <x:c r="G92" s="58" t="n">
        <x:v>8.4</x:v>
      </x:c>
      <x:c r="H92" s="56" t="str">
        <x:v>B — SUPPORT</x:v>
      </x:c>
      <x:c r="I92" s="56" t="str">
        <x:v>SUPPORT</x:v>
      </x:c>
      <x:c r="J92" s="56" t="str">
        <x:v>RETAINED</x:v>
      </x:c>
      <x:c r="K92" s="56" t="str">
        <x:v>Deck-fit assessment</x:v>
      </x:c>
      <x:c r="L92" s="56" t="str"/>
    </x:row>
    <x:row r="93">
      <x:c r="A93" s="56" t="n">
        <x:v>1</x:v>
      </x:c>
      <x:c r="B93" s="56" t="str">
        <x:v>Talisman of Hierarchy</x:v>
      </x:c>
      <x:c r="C93" s="56" t="str">
        <x:v>Artifact</x:v>
      </x:c>
      <x:c r="D93" s="56" t="str">
        <x:v>Spell</x:v>
      </x:c>
      <x:c r="E93" s="56" t="str">
        <x:v>1. Ramp &amp; Fixing</x:v>
      </x:c>
      <x:c r="F93" s="56" t="str">
        <x:v>Build mana early without attracting unnecessary attention.</x:v>
      </x:c>
      <x:c r="G93" s="58" t="n">
        <x:v>8.4</x:v>
      </x:c>
      <x:c r="H93" s="56" t="str">
        <x:v>B — SUPPORT</x:v>
      </x:c>
      <x:c r="I93" s="56" t="str">
        <x:v>SUPPORT</x:v>
      </x:c>
      <x:c r="J93" s="56" t="str">
        <x:v>RETAINED</x:v>
      </x:c>
      <x:c r="K93" s="56" t="str">
        <x:v>Deck-fit assessment</x:v>
      </x:c>
      <x:c r="L93" s="56" t="str"/>
    </x:row>
    <x:row r="94">
      <x:c r="A94" s="56" t="n">
        <x:v>1</x:v>
      </x:c>
      <x:c r="B94" s="56" t="str">
        <x:v>Talisman of Indulgence</x:v>
      </x:c>
      <x:c r="C94" s="56" t="str">
        <x:v>Artifact</x:v>
      </x:c>
      <x:c r="D94" s="56" t="str">
        <x:v>Spell</x:v>
      </x:c>
      <x:c r="E94" s="56" t="str">
        <x:v>1. Ramp &amp; Fixing</x:v>
      </x:c>
      <x:c r="F94" s="56" t="str">
        <x:v>Build mana early without attracting unnecessary attention.</x:v>
      </x:c>
      <x:c r="G94" s="58" t="n">
        <x:v>8.4</x:v>
      </x:c>
      <x:c r="H94" s="56" t="str">
        <x:v>B — SUPPORT</x:v>
      </x:c>
      <x:c r="I94" s="56" t="str">
        <x:v>SUPPORT</x:v>
      </x:c>
      <x:c r="J94" s="56" t="str">
        <x:v>RETAINED</x:v>
      </x:c>
      <x:c r="K94" s="56" t="str">
        <x:v>Deck-fit assessment</x:v>
      </x:c>
      <x:c r="L94" s="56" t="str"/>
    </x:row>
    <x:row r="95">
      <x:c r="A95" s="56" t="n">
        <x:v>1</x:v>
      </x:c>
      <x:c r="B95" s="56" t="str">
        <x:v>Terminate</x:v>
      </x:c>
      <x:c r="C95" s="56" t="str">
        <x:v>Instant</x:v>
      </x:c>
      <x:c r="D95" s="56" t="str">
        <x:v>Spell</x:v>
      </x:c>
      <x:c r="E95" s="56" t="str">
        <x:v>5. Spot Removal</x:v>
      </x:c>
      <x:c r="F95" s="56" t="str">
        <x:v>Answer specific threats compromising your engine or ability to close.</x:v>
      </x:c>
      <x:c r="G95" s="58" t="n">
        <x:v>8.3</x:v>
      </x:c>
      <x:c r="H95" s="56" t="str">
        <x:v>B — SUPPORT</x:v>
      </x:c>
      <x:c r="I95" s="56" t="str">
        <x:v>SUPPORT</x:v>
      </x:c>
      <x:c r="J95" s="56" t="str">
        <x:v>RETAINED</x:v>
      </x:c>
      <x:c r="K95" s="56" t="str">
        <x:v>Deck-fit assessment</x:v>
      </x:c>
      <x:c r="L95" s="56" t="str"/>
    </x:row>
    <x:row r="96">
      <x:c r="A96" s="56" t="n">
        <x:v>1</x:v>
      </x:c>
      <x:c r="B96" s="56" t="str">
        <x:v>Spectator Seating</x:v>
      </x:c>
      <x:c r="C96" s="56" t="str">
        <x:v>Land</x:v>
      </x:c>
      <x:c r="D96" s="56" t="str">
        <x:v>Land</x:v>
      </x:c>
      <x:c r="E96" s="56" t="str">
        <x:v>Land Package (physical land)</x:v>
      </x:c>
      <x:c r="F96" s="56" t="str">
        <x:v>Added to reach 35 land slots and improve Mardu fixing; often untapped in a multiplayer pod with two or more opponents.</x:v>
      </x:c>
      <x:c r="G96" s="58" t="n">
        <x:v>9</x:v>
      </x:c>
      <x:c r="H96" s="56" t="str">
        <x:v>A — CORE</x:v>
      </x:c>
      <x:c r="I96" s="56" t="str">
        <x:v>V2.1 IN</x:v>
      </x:c>
      <x:c r="J96" s="56" t="str">
        <x:v>V2.1 IN</x:v>
      </x:c>
      <x:c r="K96" s="56" t="str">
        <x:v>Deck-fit assessment</x:v>
      </x:c>
      <x:c r="L96" s="56" t="str"/>
    </x:row>
    <x:row r="97">
      <x:c r="A97" s="56" t="n">
        <x:v>1</x:v>
      </x:c>
      <x:c r="B97" s="56" t="str">
        <x:v>The One Ring</x:v>
      </x:c>
      <x:c r="C97" s="56" t="str">
        <x:v>Artifact</x:v>
      </x:c>
      <x:c r="D97" s="56" t="str">
        <x:v>Spell</x:v>
      </x:c>
      <x:c r="E97" s="56" t="str">
        <x:v>3. Draw &amp; Card Advantage</x:v>
      </x:c>
      <x:c r="F97" s="56" t="str">
        <x:v>Powerful card advantage plus temporary protection; track life spent.</x:v>
      </x:c>
      <x:c r="G97" s="58" t="n">
        <x:v>9.5</x:v>
      </x:c>
      <x:c r="H97" s="56" t="str">
        <x:v>S — LOCK</x:v>
      </x:c>
      <x:c r="I97" s="56" t="str">
        <x:v>CORE</x:v>
      </x:c>
      <x:c r="J97" s="56" t="str">
        <x:v>RETAINED</x:v>
      </x:c>
      <x:c r="K97" s="56" t="str">
        <x:v>Deck-fit assessment</x:v>
      </x:c>
      <x:c r="L97" s="56" t="str"/>
    </x:row>
    <x:row r="98">
      <x:c r="A98" s="56" t="n">
        <x:v>1</x:v>
      </x:c>
      <x:c r="B98" s="56" t="str">
        <x:v>Thorn of the Black Rose</x:v>
      </x:c>
      <x:c r="C98" s="56" t="str">
        <x:v>Creature</x:v>
      </x:c>
      <x:c r="D98" s="56" t="str">
        <x:v>Spell</x:v>
      </x:c>
      <x:c r="E98" s="56" t="str">
        <x:v>3. Draw &amp; Card Advantage</x:v>
      </x:c>
      <x:c r="F98" s="56" t="str">
        <x:v>Keep cards flowing even when Monarch changes hands.</x:v>
      </x:c>
      <x:c r="G98" s="58" t="n">
        <x:v>8.1</x:v>
      </x:c>
      <x:c r="H98" s="56" t="str">
        <x:v>B — SUPPORT</x:v>
      </x:c>
      <x:c r="I98" s="56" t="str">
        <x:v>SUPPORT</x:v>
      </x:c>
      <x:c r="J98" s="56" t="str">
        <x:v>RETAINED</x:v>
      </x:c>
      <x:c r="K98" s="56" t="str">
        <x:v>Deck-fit assessment</x:v>
      </x:c>
      <x:c r="L98" s="56" t="str"/>
    </x:row>
    <x:row r="99">
      <x:c r="A99" s="56" t="n">
        <x:v>1</x:v>
      </x:c>
      <x:c r="B99" s="56" t="str">
        <x:v>Thought Vessel</x:v>
      </x:c>
      <x:c r="C99" s="56" t="str">
        <x:v>Artifact</x:v>
      </x:c>
      <x:c r="D99" s="56" t="str">
        <x:v>Spell</x:v>
      </x:c>
      <x:c r="E99" s="56" t="str">
        <x:v>1. Ramp &amp; Fixing</x:v>
      </x:c>
      <x:c r="F99" s="56" t="str">
        <x:v>Build mana early without attracting unnecessary attention.</x:v>
      </x:c>
      <x:c r="G99" s="58" t="n">
        <x:v>8</x:v>
      </x:c>
      <x:c r="H99" s="56" t="str">
        <x:v>B — SUPPORT</x:v>
      </x:c>
      <x:c r="I99" s="56" t="str">
        <x:v>SUPPORT</x:v>
      </x:c>
      <x:c r="J99" s="56" t="str">
        <x:v>RETAINED</x:v>
      </x:c>
      <x:c r="K99" s="56" t="str">
        <x:v>Deck-fit assessment</x:v>
      </x:c>
      <x:c r="L99" s="56" t="str"/>
    </x:row>
    <x:row r="100">
      <x:c r="A100" s="56" t="n">
        <x:v>1</x:v>
      </x:c>
      <x:c r="B100" s="56" t="str">
        <x:v>Throne of the High City</x:v>
      </x:c>
      <x:c r="C100" s="56" t="str">
        <x:v>Land</x:v>
      </x:c>
      <x:c r="D100" s="56" t="str">
        <x:v>Land</x:v>
      </x:c>
      <x:c r="E100" s="56" t="str">
        <x:v>Land Package (physical land)</x:v>
      </x:c>
      <x:c r="F100" s="56" t="str">
        <x:v>Utility land and one-shot Monarch enabler; sacrifice timing matters.</x:v>
      </x:c>
      <x:c r="G100" s="58" t="n">
        <x:v>8.5</x:v>
      </x:c>
      <x:c r="H100" s="56" t="str">
        <x:v>A — CORE</x:v>
      </x:c>
      <x:c r="I100" s="56" t="str">
        <x:v>CORE LAND</x:v>
      </x:c>
      <x:c r="J100" s="56" t="str">
        <x:v>RETAINED</x:v>
      </x:c>
      <x:c r="K100" s="56" t="str">
        <x:v>Deck-fit assessment</x:v>
      </x:c>
      <x:c r="L100" s="56" t="str"/>
    </x:row>
    <x:row r="101">
      <x:c r="A101" s="56" t="n">
        <x:v>1</x:v>
      </x:c>
      <x:c r="B101" s="56" t="str">
        <x:v>Vault of Champions</x:v>
      </x:c>
      <x:c r="C101" s="56" t="str">
        <x:v>Land</x:v>
      </x:c>
      <x:c r="D101" s="56" t="str">
        <x:v>Land</x:v>
      </x:c>
      <x:c r="E101" s="56" t="str">
        <x:v>Land Package (physical land)</x:v>
      </x:c>
      <x:c r="F101" s="56" t="str">
        <x:v>Primary functional grouping; card may have additional roles.</x:v>
      </x:c>
      <x:c r="G101" s="58" t="n">
        <x:v>8.8</x:v>
      </x:c>
      <x:c r="H101" s="56" t="str">
        <x:v>A — CORE</x:v>
      </x:c>
      <x:c r="I101" s="56" t="str">
        <x:v>CORE LAND</x:v>
      </x:c>
      <x:c r="J101" s="56" t="str">
        <x:v>RETAINED</x:v>
      </x:c>
      <x:c r="K101" s="56" t="str">
        <x:v>Deck-fit assessment</x:v>
      </x:c>
      <x:c r="L101" s="56" t="str"/>
    </x:row>
    <x:row r="102">
      <x:c r="A102" s="56" t="n">
        <x:v>1</x:v>
      </x:c>
      <x:c r="B102" s="56" t="str">
        <x:v>Vindicate</x:v>
      </x:c>
      <x:c r="C102" s="56" t="str">
        <x:v>Sorcery / other</x:v>
      </x:c>
      <x:c r="D102" s="56" t="str">
        <x:v>Spell</x:v>
      </x:c>
      <x:c r="E102" s="56" t="str">
        <x:v>7. Board Control &amp; Defensive Reversal</x:v>
      </x:c>
      <x:c r="F102" s="56" t="str">
        <x:v>Reset runaway boards or convert an attack into a reversal.</x:v>
      </x:c>
      <x:c r="G102" s="58" t="n">
        <x:v>8.5</x:v>
      </x:c>
      <x:c r="H102" s="56" t="str">
        <x:v>A — CORE</x:v>
      </x:c>
      <x:c r="I102" s="56" t="str">
        <x:v>CORE</x:v>
      </x:c>
      <x:c r="J102" s="56" t="str">
        <x:v>RETAINED</x:v>
      </x:c>
      <x:c r="K102" s="56" t="str">
        <x:v>Deck-fit assessment</x:v>
      </x:c>
      <x:c r="L102" s="56" t="str"/>
    </x:row>
    <x:row r="103">
      <x:c r="A103" s="56" t="n">
        <x:v>1</x:v>
      </x:c>
      <x:c r="B103" s="56" t="str">
        <x:v>Windborn Muse</x:v>
      </x:c>
      <x:c r="C103" s="56" t="str">
        <x:v>Sorcery / other</x:v>
      </x:c>
      <x:c r="D103" s="56" t="str">
        <x:v>Spell</x:v>
      </x:c>
      <x:c r="E103" s="56" t="str">
        <x:v>4. Pillow Fort &amp; Tax</x:v>
      </x:c>
      <x:c r="F103" s="56" t="str">
        <x:v>Make attacks against you costly and buy time.</x:v>
      </x:c>
      <x:c r="G103" s="58" t="n">
        <x:v>9</x:v>
      </x:c>
      <x:c r="H103" s="56" t="str">
        <x:v>A — CORE</x:v>
      </x:c>
      <x:c r="I103" s="56" t="str">
        <x:v>CORE</x:v>
      </x:c>
      <x:c r="J103" s="56" t="str">
        <x:v>RETAINED</x:v>
      </x:c>
      <x:c r="K103" s="56" t="str">
        <x:v>EDH.Wiki Monarch</x:v>
      </x:c>
      <x:c r="L103" s="56" t="str"/>
    </x:row>
  </x:sheetData>
  <x:mergeCells>
    <x:mergeCell ref="A1:L1"/>
  </x:mergeCells>
  <x:conditionalFormatting sqref="G4:G10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8635e3d0ffc402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56" hidden="0" customWidth="1"/>
    <x:col min="4" max="4" width="3" hidden="0" customWidth="1"/>
    <x:col min="5" max="5" width="36" hidden="0" customWidth="1"/>
    <x:col min="6" max="6" width="31" hidden="0" customWidth="1"/>
    <x:col min="7" max="7" width="48" hidden="0" customWidth="1"/>
    <x:col min="8" max="8" width="3" hidden="0" customWidth="1"/>
    <x:col min="9" max="9" width="35" hidden="0" customWidth="1"/>
    <x:col min="10" max="10" width="10" hidden="0" customWidth="1"/>
  </x:cols>
  <x:sheetData>
    <x:row r="1" ht="30" customHeight="1">
      <x:c r="A1" s="5" t="str">
        <x:v>8×8 PLAN | 35 LAND SLOTS + 64 SPELLS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3" ht="28" customHeight="1">
      <x:c r="A3" s="35" t="str">
        <x:v>LAND SLOT / MDFC</x:v>
      </x:c>
      <x:c r="B3" s="35" t="str">
        <x:v>Kind</x:v>
      </x:c>
      <x:c r="C3" s="35" t="str">
        <x:v>Note</x:v>
      </x:c>
      <x:c r="E3" s="20" t="str">
        <x:v>8×8 GROUP</x:v>
      </x:c>
      <x:c r="F3" s="20" t="str">
        <x:v>CARD</x:v>
      </x:c>
      <x:c r="G3" s="20" t="str">
        <x:v>PRIMARY PURPOSE</x:v>
      </x:c>
      <x:c r="I3" s="35" t="str">
        <x:v>GROUP</x:v>
      </x:c>
      <x:c r="J3" s="35" t="str">
        <x:v>COUNT</x:v>
      </x:c>
    </x:row>
    <x:row r="4">
      <x:c r="A4" s="56" t="str">
        <x:v>Blightstep Pathway</x:v>
      </x:c>
      <x:c r="B4" s="56" t="str">
        <x:v>Land (physical)</x:v>
      </x:c>
      <x:c r="C4" s="56" t="str">
        <x:v>Physical land slot; assess color fixing and tempo in playtest.</x:v>
      </x:c>
      <x:c r="E4" s="56" t="str">
        <x:v>1. Ramp &amp; Fixing</x:v>
      </x:c>
      <x:c r="F4" s="56" t="str">
        <x:v>Arcane Signet</x:v>
      </x:c>
      <x:c r="G4" s="56" t="str">
        <x:v>Build mana early without attracting unnecessary attention.</x:v>
      </x:c>
      <x:c r="I4" t="str">
        <x:v>1. Ramp &amp; Fixing</x:v>
      </x:c>
      <x:c r="J4" t="n">
        <x:f>COUNTIF($E$4:$E$67,I4)</x:f>
        <x:v>8</x:v>
      </x:c>
    </x:row>
    <x:row r="5">
      <x:c r="A5" s="56" t="str">
        <x:v>Brightclimb Pathway</x:v>
      </x:c>
      <x:c r="B5" s="56" t="str">
        <x:v>Land (physical)</x:v>
      </x:c>
      <x:c r="C5" s="56" t="str">
        <x:v>Physical land slot; assess color fixing and tempo in playtest.</x:v>
      </x:c>
      <x:c r="E5" s="56" t="str">
        <x:v>1. Ramp &amp; Fixing</x:v>
      </x:c>
      <x:c r="F5" s="56" t="str">
        <x:v>Decanter of Endless Water</x:v>
      </x:c>
      <x:c r="G5" s="56" t="str">
        <x:v>Build mana early without attracting unnecessary attention.</x:v>
      </x:c>
      <x:c r="I5" t="str">
        <x:v>2. Monarch &amp; Courts</x:v>
      </x:c>
      <x:c r="J5" t="n">
        <x:f>COUNTIF($E$4:$E$67,I5)</x:f>
        <x:v>8</x:v>
      </x:c>
    </x:row>
    <x:row r="6">
      <x:c r="A6" s="56" t="str">
        <x:v>Cave of the Frost Dragon</x:v>
      </x:c>
      <x:c r="B6" s="56" t="str">
        <x:v>Land (physical)</x:v>
      </x:c>
      <x:c r="C6" s="56" t="str">
        <x:v>Physical land slot; assess color fixing and tempo in playtest.</x:v>
      </x:c>
      <x:c r="E6" s="56" t="str">
        <x:v>1. Ramp &amp; Fixing</x:v>
      </x:c>
      <x:c r="F6" s="56" t="str">
        <x:v>Smothering Tithe</x:v>
      </x:c>
      <x:c r="G6" s="56" t="str">
        <x:v>Build mana early without attracting unnecessary attention.</x:v>
      </x:c>
      <x:c r="I6" t="str">
        <x:v>3. Draw &amp; Card Advantage</x:v>
      </x:c>
      <x:c r="J6" t="n">
        <x:f>COUNTIF($E$4:$E$67,I6)</x:f>
        <x:v>8</x:v>
      </x:c>
    </x:row>
    <x:row r="7">
      <x:c r="A7" s="56" t="str">
        <x:v>Command Tower</x:v>
      </x:c>
      <x:c r="B7" s="56" t="str">
        <x:v>Land (physical)</x:v>
      </x:c>
      <x:c r="C7" s="56" t="str">
        <x:v>Physical land slot; assess color fixing and tempo in playtest.</x:v>
      </x:c>
      <x:c r="E7" s="56" t="str">
        <x:v>1. Ramp &amp; Fixing</x:v>
      </x:c>
      <x:c r="F7" s="56" t="str">
        <x:v>Sol Ring</x:v>
      </x:c>
      <x:c r="G7" s="56" t="str">
        <x:v>Build mana early without attracting unnecessary attention.</x:v>
      </x:c>
      <x:c r="I7" t="str">
        <x:v>4. Pillow Fort &amp; Tax</x:v>
      </x:c>
      <x:c r="J7" t="n">
        <x:f>COUNTIF($E$4:$E$67,I7)</x:f>
        <x:v>8</x:v>
      </x:c>
    </x:row>
    <x:row r="8">
      <x:c r="A8" s="56" t="str">
        <x:v>Den of the Bugbear</x:v>
      </x:c>
      <x:c r="B8" s="56" t="str">
        <x:v>Land (physical)</x:v>
      </x:c>
      <x:c r="C8" s="56" t="str">
        <x:v>Physical land slot; assess color fixing and tempo in playtest.</x:v>
      </x:c>
      <x:c r="E8" s="56" t="str">
        <x:v>1. Ramp &amp; Fixing</x:v>
      </x:c>
      <x:c r="F8" s="56" t="str">
        <x:v>Talisman of Conviction</x:v>
      </x:c>
      <x:c r="G8" s="56" t="str">
        <x:v>Build mana early without attracting unnecessary attention.</x:v>
      </x:c>
      <x:c r="I8" t="str">
        <x:v>5. Spot Removal</x:v>
      </x:c>
      <x:c r="J8" t="n">
        <x:f>COUNTIF($E$4:$E$67,I8)</x:f>
        <x:v>8</x:v>
      </x:c>
    </x:row>
    <x:row r="9">
      <x:c r="A9" s="56" t="str">
        <x:v>Elegant Parlor</x:v>
      </x:c>
      <x:c r="B9" s="56" t="str">
        <x:v>Land (physical)</x:v>
      </x:c>
      <x:c r="C9" s="56" t="str">
        <x:v>Physical land slot; assess color fixing and tempo in playtest.</x:v>
      </x:c>
      <x:c r="E9" s="56" t="str">
        <x:v>1. Ramp &amp; Fixing</x:v>
      </x:c>
      <x:c r="F9" s="56" t="str">
        <x:v>Talisman of Hierarchy</x:v>
      </x:c>
      <x:c r="G9" s="56" t="str">
        <x:v>Build mana early without attracting unnecessary attention.</x:v>
      </x:c>
      <x:c r="I9" t="str">
        <x:v>6. Politics &amp; Forced Combat</x:v>
      </x:c>
      <x:c r="J9" t="n">
        <x:f>COUNTIF($E$4:$E$67,I9)</x:f>
        <x:v>8</x:v>
      </x:c>
    </x:row>
    <x:row r="10">
      <x:c r="A10" s="56" t="str">
        <x:v>Exotic Orchard</x:v>
      </x:c>
      <x:c r="B10" s="56" t="str">
        <x:v>Land (physical)</x:v>
      </x:c>
      <x:c r="C10" s="56" t="str">
        <x:v>Physical land slot; assess color fixing and tempo in playtest.</x:v>
      </x:c>
      <x:c r="E10" s="56" t="str">
        <x:v>1. Ramp &amp; Fixing</x:v>
      </x:c>
      <x:c r="F10" s="56" t="str">
        <x:v>Talisman of Indulgence</x:v>
      </x:c>
      <x:c r="G10" s="56" t="str">
        <x:v>Build mana early without attracting unnecessary attention.</x:v>
      </x:c>
      <x:c r="I10" t="str">
        <x:v>7. Board Control &amp; Defensive Reversal</x:v>
      </x:c>
      <x:c r="J10" t="n">
        <x:f>COUNTIF($E$4:$E$67,I10)</x:f>
        <x:v>8</x:v>
      </x:c>
    </x:row>
    <x:row r="11">
      <x:c r="A11" s="56" t="str">
        <x:v>Fetid Heath</x:v>
      </x:c>
      <x:c r="B11" s="56" t="str">
        <x:v>Land (physical)</x:v>
      </x:c>
      <x:c r="C11" s="56" t="str">
        <x:v>Physical land slot; assess color fixing and tempo in playtest.</x:v>
      </x:c>
      <x:c r="E11" s="56" t="str">
        <x:v>1. Ramp &amp; Fixing</x:v>
      </x:c>
      <x:c r="F11" s="56" t="str">
        <x:v>Thought Vessel</x:v>
      </x:c>
      <x:c r="G11" s="56" t="str">
        <x:v>Build mana early without attracting unnecessary attention.</x:v>
      </x:c>
      <x:c r="I11" t="str">
        <x:v>8. Finishers &amp; Token Engines</x:v>
      </x:c>
      <x:c r="J11" t="n">
        <x:f>COUNTIF($E$4:$E$67,I11)</x:f>
        <x:v>8</x:v>
      </x:c>
    </x:row>
    <x:row r="12">
      <x:c r="A12" s="56" t="str">
        <x:v>Field of Ruin</x:v>
      </x:c>
      <x:c r="B12" s="56" t="str">
        <x:v>Land (physical)</x:v>
      </x:c>
      <x:c r="C12" s="56" t="str">
        <x:v>Physical land slot; assess color fixing and tempo in playtest.</x:v>
      </x:c>
      <x:c r="E12" s="56" t="str">
        <x:v>2. Monarch &amp; Courts</x:v>
      </x:c>
      <x:c r="F12" s="56" t="str">
        <x:v>Archon of Coronation</x:v>
      </x:c>
      <x:c r="G12" s="56" t="str">
        <x:v>Acquire the crown and generate recurring value from Courts.</x:v>
      </x:c>
    </x:row>
    <x:row r="13">
      <x:c r="A13" s="56" t="str">
        <x:v>Graven Cairns</x:v>
      </x:c>
      <x:c r="B13" s="56" t="str">
        <x:v>Land (physical)</x:v>
      </x:c>
      <x:c r="C13" s="56" t="str">
        <x:v>Physical land slot; assess color fixing and tempo in playtest.</x:v>
      </x:c>
      <x:c r="E13" s="56" t="str">
        <x:v>2. Monarch &amp; Courts</x:v>
      </x:c>
      <x:c r="F13" s="56" t="str">
        <x:v>Court of Ambition</x:v>
      </x:c>
      <x:c r="G13" s="56" t="str">
        <x:v>Acquire the crown and generate recurring value from Courts.</x:v>
      </x:c>
    </x:row>
    <x:row r="14">
      <x:c r="A14" s="56" t="str">
        <x:v>Hall of Heliod's Generosity</x:v>
      </x:c>
      <x:c r="B14" s="56" t="str">
        <x:v>Land (physical)</x:v>
      </x:c>
      <x:c r="C14" s="56" t="str">
        <x:v>Recursion utility for enchantments.</x:v>
      </x:c>
      <x:c r="E14" s="56" t="str">
        <x:v>2. Monarch &amp; Courts</x:v>
      </x:c>
      <x:c r="F14" s="56" t="str">
        <x:v>Court of Ardenvale</x:v>
      </x:c>
      <x:c r="G14" s="56" t="str">
        <x:v>Acquire the crown and generate recurring value from Courts.</x:v>
      </x:c>
    </x:row>
    <x:row r="15">
      <x:c r="A15" s="56" t="str">
        <x:v>Hive of the Eye Tyrant</x:v>
      </x:c>
      <x:c r="B15" s="56" t="str">
        <x:v>Land (physical)</x:v>
      </x:c>
      <x:c r="C15" s="56" t="str">
        <x:v>Physical land slot; assess color fixing and tempo in playtest.</x:v>
      </x:c>
      <x:c r="E15" s="56" t="str">
        <x:v>2. Monarch &amp; Courts</x:v>
      </x:c>
      <x:c r="F15" s="56" t="str">
        <x:v>Court of Embereth</x:v>
      </x:c>
      <x:c r="G15" s="56" t="str">
        <x:v>Acquire the crown and generate recurring value from Courts.</x:v>
      </x:c>
    </x:row>
    <x:row r="16">
      <x:c r="A16" s="56" t="str">
        <x:v>Inspiring Vantage</x:v>
      </x:c>
      <x:c r="B16" s="56" t="str">
        <x:v>Land (physical)</x:v>
      </x:c>
      <x:c r="C16" s="56" t="str">
        <x:v>Physical land slot; assess color fixing and tempo in playtest.</x:v>
      </x:c>
      <x:c r="E16" s="56" t="str">
        <x:v>2. Monarch &amp; Courts</x:v>
      </x:c>
      <x:c r="F16" s="56" t="str">
        <x:v>Court of Grace</x:v>
      </x:c>
      <x:c r="G16" s="56" t="str">
        <x:v>Acquire the crown and generate recurring value from Courts.</x:v>
      </x:c>
    </x:row>
    <x:row r="17">
      <x:c r="A17" s="56" t="str">
        <x:v>Luxury Suite</x:v>
      </x:c>
      <x:c r="B17" s="56" t="str">
        <x:v>Land (physical)</x:v>
      </x:c>
      <x:c r="C17" s="56" t="str">
        <x:v>Physical land slot; assess color fixing and tempo in playtest.</x:v>
      </x:c>
      <x:c r="E17" s="56" t="str">
        <x:v>2. Monarch &amp; Courts</x:v>
      </x:c>
      <x:c r="F17" s="56" t="str">
        <x:v>Court of Ire</x:v>
      </x:c>
      <x:c r="G17" s="56" t="str">
        <x:v>Acquire the crown and generate recurring value from Courts.</x:v>
      </x:c>
    </x:row>
    <x:row r="18">
      <x:c r="A18" s="56" t="str">
        <x:v>Maze of Ith</x:v>
      </x:c>
      <x:c r="B18" s="56" t="str">
        <x:v>Land (physical)</x:v>
      </x:c>
      <x:c r="C18" s="56" t="str">
        <x:v>Utility land; does not produce mana. Counts toward land slots, not colored mana sources.</x:v>
      </x:c>
      <x:c r="E18" s="56" t="str">
        <x:v>2. Monarch &amp; Courts</x:v>
      </x:c>
      <x:c r="F18" s="56" t="str">
        <x:v>Court of Locthwain</x:v>
      </x:c>
      <x:c r="G18" s="56" t="str">
        <x:v>Acquire the crown and generate recurring value from Courts.</x:v>
      </x:c>
    </x:row>
    <x:row r="19">
      <x:c r="A19" s="56" t="str">
        <x:v>Mountain</x:v>
      </x:c>
      <x:c r="B19" s="56" t="str">
        <x:v>Land (physical)</x:v>
      </x:c>
      <x:c r="C19" s="56" t="str">
        <x:v>Physical land slot; assess color fixing and tempo in playtest.</x:v>
      </x:c>
      <x:c r="E19" s="56" t="str">
        <x:v>2. Monarch &amp; Courts</x:v>
      </x:c>
      <x:c r="F19" s="56" t="str">
        <x:v>Knights of the Black Rose</x:v>
      </x:c>
      <x:c r="G19" s="56" t="str">
        <x:v>Acquire the crown and generate recurring value from Courts.</x:v>
      </x:c>
    </x:row>
    <x:row r="20">
      <x:c r="A20" s="56" t="str">
        <x:v>Mountain</x:v>
      </x:c>
      <x:c r="B20" s="56" t="str">
        <x:v>Land (physical)</x:v>
      </x:c>
      <x:c r="C20" s="56" t="str">
        <x:v>Physical land slot; assess color fixing and tempo in playtest.</x:v>
      </x:c>
      <x:c r="E20" s="56" t="str">
        <x:v>3. Draw &amp; Card Advantage</x:v>
      </x:c>
      <x:c r="F20" s="56" t="str">
        <x:v>Champions of Minas Tirith</x:v>
      </x:c>
      <x:c r="G20" s="56" t="str">
        <x:v>Keep cards flowing even when Monarch changes hands.</x:v>
      </x:c>
    </x:row>
    <x:row r="21">
      <x:c r="A21" s="56" t="str">
        <x:v>Needleverge Pathway</x:v>
      </x:c>
      <x:c r="B21" s="56" t="str">
        <x:v>Land (physical)</x:v>
      </x:c>
      <x:c r="C21" s="56" t="str">
        <x:v>Physical land slot; assess color fixing and tempo in playtest.</x:v>
      </x:c>
      <x:c r="E21" s="56" t="str">
        <x:v>3. Draw &amp; Card Advantage</x:v>
      </x:c>
      <x:c r="F21" s="56" t="str">
        <x:v>Crimson Fleet Commodore</x:v>
      </x:c>
      <x:c r="G21" s="56" t="str">
        <x:v>Keep cards flowing even when Monarch changes hands.</x:v>
      </x:c>
    </x:row>
    <x:row r="22">
      <x:c r="A22" s="56" t="str">
        <x:v>Nomad Outpost</x:v>
      </x:c>
      <x:c r="B22" s="56" t="str">
        <x:v>Land (physical)</x:v>
      </x:c>
      <x:c r="C22" s="56" t="str">
        <x:v>Physical land slot; assess color fixing and tempo in playtest.</x:v>
      </x:c>
      <x:c r="E22" s="56" t="str">
        <x:v>3. Draw &amp; Card Advantage</x:v>
      </x:c>
      <x:c r="F22" s="56" t="str">
        <x:v>Emberwilde Captain</x:v>
      </x:c>
      <x:c r="G22" s="56" t="str">
        <x:v>Keep cards flowing even when Monarch changes hands.</x:v>
      </x:c>
    </x:row>
    <x:row r="23">
      <x:c r="A23" s="56" t="str">
        <x:v>Plains</x:v>
      </x:c>
      <x:c r="B23" s="56" t="str">
        <x:v>Land (physical)</x:v>
      </x:c>
      <x:c r="C23" s="56" t="str">
        <x:v>Physical land slot; assess color fixing and tempo in playtest.</x:v>
      </x:c>
      <x:c r="E23" s="56" t="str">
        <x:v>3. Draw &amp; Card Advantage</x:v>
      </x:c>
      <x:c r="F23" s="56" t="str">
        <x:v>Esper Sentinel</x:v>
      </x:c>
      <x:c r="G23" s="56" t="str">
        <x:v>Keep cards flowing even when Monarch changes hands.</x:v>
      </x:c>
    </x:row>
    <x:row r="24">
      <x:c r="A24" s="56" t="str">
        <x:v>Plains</x:v>
      </x:c>
      <x:c r="B24" s="56" t="str">
        <x:v>Land (physical)</x:v>
      </x:c>
      <x:c r="C24" s="56" t="str">
        <x:v>Physical land slot; assess color fixing and tempo in playtest.</x:v>
      </x:c>
      <x:c r="E24" s="56" t="str">
        <x:v>3. Draw &amp; Card Advantage</x:v>
      </x:c>
      <x:c r="F24" s="56" t="str">
        <x:v>Mangara, the Diplomat</x:v>
      </x:c>
      <x:c r="G24" s="56" t="str">
        <x:v>Keep cards flowing even when Monarch changes hands.</x:v>
      </x:c>
    </x:row>
    <x:row r="25">
      <x:c r="A25" s="56" t="str">
        <x:v>Reliquary Tower</x:v>
      </x:c>
      <x:c r="B25" s="56" t="str">
        <x:v>Land (physical)</x:v>
      </x:c>
      <x:c r="C25" s="56" t="str">
        <x:v>Physical land slot; assess color fixing and tempo in playtest.</x:v>
      </x:c>
      <x:c r="E25" s="56" t="str">
        <x:v>3. Draw &amp; Card Advantage</x:v>
      </x:c>
      <x:c r="F25" s="56" t="str">
        <x:v>Skullclamp</x:v>
      </x:c>
      <x:c r="G25" s="56" t="str">
        <x:v>Keep cards flowing even when Monarch changes hands.</x:v>
      </x:c>
    </x:row>
    <x:row r="26">
      <x:c r="A26" s="56" t="str">
        <x:v>Rogue's Passage</x:v>
      </x:c>
      <x:c r="B26" s="56" t="str">
        <x:v>Land (physical)</x:v>
      </x:c>
      <x:c r="C26" s="56" t="str">
        <x:v>Utility land with colorless-only activation; assess whether a key attacker justifies the slot.</x:v>
      </x:c>
      <x:c r="E26" s="56" t="str">
        <x:v>3. Draw &amp; Card Advantage</x:v>
      </x:c>
      <x:c r="F26" s="56" t="str">
        <x:v>The One Ring</x:v>
      </x:c>
      <x:c r="G26" s="56" t="str">
        <x:v>Keep cards flowing even when Monarch changes hands.</x:v>
      </x:c>
    </x:row>
    <x:row r="27">
      <x:c r="A27" s="56" t="str">
        <x:v>Rugged Prairie</x:v>
      </x:c>
      <x:c r="B27" s="56" t="str">
        <x:v>Land (physical)</x:v>
      </x:c>
      <x:c r="C27" s="56" t="str">
        <x:v>Physical land slot; assess color fixing and tempo in playtest.</x:v>
      </x:c>
      <x:c r="E27" s="56" t="str">
        <x:v>3. Draw &amp; Card Advantage</x:v>
      </x:c>
      <x:c r="F27" s="56" t="str">
        <x:v>Thorn of the Black Rose</x:v>
      </x:c>
      <x:c r="G27" s="56" t="str">
        <x:v>Keep cards flowing even when Monarch changes hands.</x:v>
      </x:c>
    </x:row>
    <x:row r="28">
      <x:c r="A28" s="56" t="str">
        <x:v>Savai Triome</x:v>
      </x:c>
      <x:c r="B28" s="56" t="str">
        <x:v>Land (physical)</x:v>
      </x:c>
      <x:c r="C28" s="56" t="str">
        <x:v>Physical land slot; assess color fixing and tempo in playtest.</x:v>
      </x:c>
      <x:c r="E28" s="56" t="str">
        <x:v>4. Pillow Fort &amp; Tax</x:v>
      </x:c>
      <x:c r="F28" s="56" t="str">
        <x:v>Blind Obedience</x:v>
      </x:c>
      <x:c r="G28" s="56" t="str">
        <x:v>Make attacks against you costly and buy time.</x:v>
      </x:c>
    </x:row>
    <x:row r="29">
      <x:c r="A29" s="56" t="str">
        <x:v>Shattered Landscape</x:v>
      </x:c>
      <x:c r="B29" s="56" t="str">
        <x:v>Land (physical)</x:v>
      </x:c>
      <x:c r="C29" s="56" t="str">
        <x:v>Physical land slot; assess color fixing and tempo in playtest.</x:v>
      </x:c>
      <x:c r="E29" s="56" t="str">
        <x:v>4. Pillow Fort &amp; Tax</x:v>
      </x:c>
      <x:c r="F29" s="56" t="str">
        <x:v>Ghostly Prison</x:v>
      </x:c>
      <x:c r="G29" s="56" t="str">
        <x:v>Make attacks against you costly and buy time.</x:v>
      </x:c>
    </x:row>
    <x:row r="30">
      <x:c r="A30" s="56" t="str">
        <x:v>Shineshadow Snarl</x:v>
      </x:c>
      <x:c r="B30" s="56" t="str">
        <x:v>Land (physical)</x:v>
      </x:c>
      <x:c r="C30" s="56" t="str">
        <x:v>Physical land slot; assess color fixing and tempo in playtest.</x:v>
      </x:c>
      <x:c r="E30" s="56" t="str">
        <x:v>4. Pillow Fort &amp; Tax</x:v>
      </x:c>
      <x:c r="F30" s="56" t="str">
        <x:v>Kazuul, Tyrant of the Cliffs</x:v>
      </x:c>
      <x:c r="G30" s="56" t="str">
        <x:v>Make attacks against you costly and buy time.</x:v>
      </x:c>
    </x:row>
    <x:row r="31">
      <x:c r="A31" s="56" t="str">
        <x:v>Smoldering Marsh</x:v>
      </x:c>
      <x:c r="B31" s="56" t="str">
        <x:v>Land (physical)</x:v>
      </x:c>
      <x:c r="C31" s="56" t="str">
        <x:v>Physical land slot; assess color fixing and tempo in playtest.</x:v>
      </x:c>
      <x:c r="E31" s="56" t="str">
        <x:v>4. Pillow Fort &amp; Tax</x:v>
      </x:c>
      <x:c r="F31" s="56" t="str">
        <x:v>Marchesa's Decree</x:v>
      </x:c>
      <x:c r="G31" s="56" t="str">
        <x:v>Make attacks against you costly and buy time.</x:v>
      </x:c>
    </x:row>
    <x:row r="32">
      <x:c r="A32" s="56" t="str">
        <x:v>Swamp</x:v>
      </x:c>
      <x:c r="B32" s="56" t="str">
        <x:v>Land (physical)</x:v>
      </x:c>
      <x:c r="C32" s="56" t="str">
        <x:v>Physical land slot; assess color fixing and tempo in playtest.</x:v>
      </x:c>
      <x:c r="E32" s="56" t="str">
        <x:v>4. Pillow Fort &amp; Tax</x:v>
      </x:c>
      <x:c r="F32" s="56" t="str">
        <x:v>No Mercy</x:v>
      </x:c>
      <x:c r="G32" s="56" t="str">
        <x:v>Make attacks against you costly and buy time.</x:v>
      </x:c>
    </x:row>
    <x:row r="33">
      <x:c r="A33" s="56" t="str">
        <x:v>Throne of the High City</x:v>
      </x:c>
      <x:c r="B33" s="56" t="str">
        <x:v>Land (physical)</x:v>
      </x:c>
      <x:c r="C33" s="56" t="str">
        <x:v>Utility land and one-shot Monarch enabler; sacrifice timing matters.</x:v>
      </x:c>
      <x:c r="E33" s="56" t="str">
        <x:v>4. Pillow Fort &amp; Tax</x:v>
      </x:c>
      <x:c r="F33" s="56" t="str">
        <x:v>Norn's Annex</x:v>
      </x:c>
      <x:c r="G33" s="56" t="str">
        <x:v>Make attacks against you costly and buy time.</x:v>
      </x:c>
    </x:row>
    <x:row r="34">
      <x:c r="A34" s="56" t="str">
        <x:v>Vault of Champions</x:v>
      </x:c>
      <x:c r="B34" s="56" t="str">
        <x:v>Land (physical)</x:v>
      </x:c>
      <x:c r="C34" s="56" t="str">
        <x:v>Physical land slot; assess color fixing and tempo in playtest.</x:v>
      </x:c>
      <x:c r="E34" s="56" t="str">
        <x:v>4. Pillow Fort &amp; Tax</x:v>
      </x:c>
      <x:c r="F34" s="56" t="str">
        <x:v>Sphere of Safety</x:v>
      </x:c>
      <x:c r="G34" s="56" t="str">
        <x:v>Make attacks against you costly and buy time.</x:v>
      </x:c>
    </x:row>
    <x:row r="35">
      <x:c r="A35" s="56" t="str">
        <x:v>Spectator Seating</x:v>
      </x:c>
      <x:c r="B35" s="56" t="str">
        <x:v>Land (physical)</x:v>
      </x:c>
      <x:c r="C35" s="56" t="str">
        <x:v>Added to reach 35 land slots and improve Mardu fixing; often untapped in a multiplayer pod with two or more opponents.</x:v>
      </x:c>
      <x:c r="E35" s="56" t="str">
        <x:v>4. Pillow Fort &amp; Tax</x:v>
      </x:c>
      <x:c r="F35" s="56" t="str">
        <x:v>Windborn Muse</x:v>
      </x:c>
      <x:c r="G35" s="56" t="str">
        <x:v>Make attacks against you costly and buy time.</x:v>
      </x:c>
    </x:row>
    <x:row r="36">
      <x:c r="A36" s="56" t="str">
        <x:v>Bloodsoaked Insight</x:v>
      </x:c>
      <x:c r="B36" s="56" t="str">
        <x:v>MDFC / land slot</x:v>
      </x:c>
      <x:c r="C36" s="56" t="str">
        <x:v>MDFC; back face Sanguine Morass. Allocated to 35-land bucket for 8×8; front face remains castable.</x:v>
      </x:c>
      <x:c r="E36" s="56" t="str">
        <x:v>5. Spot Removal</x:v>
      </x:c>
      <x:c r="F36" s="56" t="str">
        <x:v>Anguished Unmaking</x:v>
      </x:c>
      <x:c r="G36" s="56" t="str">
        <x:v>Answer specific threats compromising your engine or ability to close.</x:v>
      </x:c>
    </x:row>
    <x:row r="37">
      <x:c r="A37" s="56" t="str">
        <x:v>Glasswing Grace</x:v>
      </x:c>
      <x:c r="B37" s="56" t="str">
        <x:v>MDFC / land slot</x:v>
      </x:c>
      <x:c r="C37" s="56" t="str">
        <x:v>MDFC; back face Age-Graced Chapel. Allocated to 35-land bucket for 8×8; front face remains castable.</x:v>
      </x:c>
      <x:c r="E37" s="56" t="str">
        <x:v>5. Spot Removal</x:v>
      </x:c>
      <x:c r="F37" s="56" t="str">
        <x:v>Chaos Warp</x:v>
      </x:c>
      <x:c r="G37" s="56" t="str">
        <x:v>Answer specific threats compromising your engine or ability to close.</x:v>
      </x:c>
    </x:row>
    <x:row r="38">
      <x:c r="A38" s="56" t="str">
        <x:v>Legion Leadership</x:v>
      </x:c>
      <x:c r="B38" s="56" t="str">
        <x:v>MDFC / land slot</x:v>
      </x:c>
      <x:c r="C38" s="56" t="str">
        <x:v>MDFC; back face Legion Stronghold. Allocated to 35-land bucket for 8×8; front face remains castable.</x:v>
      </x:c>
      <x:c r="E38" s="56" t="str">
        <x:v>5. Spot Removal</x:v>
      </x:c>
      <x:c r="F38" s="56" t="str">
        <x:v>Council's Judgment</x:v>
      </x:c>
      <x:c r="G38" s="56" t="str">
        <x:v>Answer specific threats compromising your engine or ability to close.</x:v>
      </x:c>
    </x:row>
    <x:row r="39">
      <x:c r="E39" s="56" t="str">
        <x:v>5. Spot Removal</x:v>
      </x:c>
      <x:c r="F39" s="56" t="str">
        <x:v>Darksteel Mutation</x:v>
      </x:c>
      <x:c r="G39" s="56" t="str">
        <x:v>Answer specific threats compromising your engine or ability to close.</x:v>
      </x:c>
    </x:row>
    <x:row r="40">
      <x:c r="E40" s="56" t="str">
        <x:v>5. Spot Removal</x:v>
      </x:c>
      <x:c r="F40" s="56" t="str">
        <x:v>Generous Gift</x:v>
      </x:c>
      <x:c r="G40" s="56" t="str">
        <x:v>Answer specific threats compromising your engine or ability to close.</x:v>
      </x:c>
    </x:row>
    <x:row r="41">
      <x:c r="E41" s="56" t="str">
        <x:v>5. Spot Removal</x:v>
      </x:c>
      <x:c r="F41" s="56" t="str">
        <x:v>Get Lost</x:v>
      </x:c>
      <x:c r="G41" s="56" t="str">
        <x:v>Answer specific threats compromising your engine or ability to close.</x:v>
      </x:c>
    </x:row>
    <x:row r="42">
      <x:c r="E42" s="56" t="str">
        <x:v>5. Spot Removal</x:v>
      </x:c>
      <x:c r="F42" s="56" t="str">
        <x:v>Swords to Plowshares</x:v>
      </x:c>
      <x:c r="G42" s="56" t="str">
        <x:v>Answer specific threats compromising your engine or ability to close.</x:v>
      </x:c>
    </x:row>
    <x:row r="43">
      <x:c r="E43" s="56" t="str">
        <x:v>5. Spot Removal</x:v>
      </x:c>
      <x:c r="F43" s="56" t="str">
        <x:v>Terminate</x:v>
      </x:c>
      <x:c r="G43" s="56" t="str">
        <x:v>Answer specific threats compromising your engine or ability to close.</x:v>
      </x:c>
    </x:row>
    <x:row r="44">
      <x:c r="E44" s="56" t="str">
        <x:v>6. Politics &amp; Forced Combat</x:v>
      </x:c>
      <x:c r="F44" s="56" t="str">
        <x:v>Alexios, Deimos of Kosmos</x:v>
      </x:c>
      <x:c r="G44" s="56" t="str">
        <x:v>Redirect pressure, reward deals, and punish overextension.</x:v>
      </x:c>
    </x:row>
    <x:row r="45">
      <x:c r="E45" s="56" t="str">
        <x:v>6. Politics &amp; Forced Combat</x:v>
      </x:c>
      <x:c r="F45" s="56" t="str">
        <x:v>Descent into Avernus</x:v>
      </x:c>
      <x:c r="G45" s="56" t="str">
        <x:v>Redirect pressure, reward deals, and punish overextension.</x:v>
      </x:c>
    </x:row>
    <x:row r="46">
      <x:c r="E46" s="56" t="str">
        <x:v>6. Politics &amp; Forced Combat</x:v>
      </x:c>
      <x:c r="F46" s="56" t="str">
        <x:v>Duelist's Heritage</x:v>
      </x:c>
      <x:c r="G46" s="56" t="str">
        <x:v>Redirect pressure, reward deals, and punish overextension.</x:v>
      </x:c>
    </x:row>
    <x:row r="47">
      <x:c r="E47" s="56" t="str">
        <x:v>6. Politics &amp; Forced Combat</x:v>
      </x:c>
      <x:c r="F47" s="56" t="str">
        <x:v>Disrupt Decorum</x:v>
      </x:c>
      <x:c r="G47" s="56" t="str">
        <x:v>Redirect pressure, reward deals, and punish overextension.</x:v>
      </x:c>
    </x:row>
    <x:row r="48">
      <x:c r="E48" s="56" t="str">
        <x:v>6. Politics &amp; Forced Combat</x:v>
      </x:c>
      <x:c r="F48" s="56" t="str">
        <x:v>Kambal, Consul of Allocation</x:v>
      </x:c>
      <x:c r="G48" s="56" t="str">
        <x:v>Redirect pressure, reward deals, and punish overextension.</x:v>
      </x:c>
    </x:row>
    <x:row r="49">
      <x:c r="E49" s="56" t="str">
        <x:v>6. Politics &amp; Forced Combat</x:v>
      </x:c>
      <x:c r="F49" s="56" t="str">
        <x:v>Master of Ceremonies</x:v>
      </x:c>
      <x:c r="G49" s="56" t="str">
        <x:v>Redirect pressure, reward deals, and punish overextension.</x:v>
      </x:c>
    </x:row>
    <x:row r="50">
      <x:c r="E50" s="56" t="str">
        <x:v>6. Politics &amp; Forced Combat</x:v>
      </x:c>
      <x:c r="F50" s="56" t="str">
        <x:v>Nelly Borca, Impulsive Accuser</x:v>
      </x:c>
      <x:c r="G50" s="56" t="str">
        <x:v>Redirect pressure, reward deals, and punish overextension.</x:v>
      </x:c>
    </x:row>
    <x:row r="51">
      <x:c r="E51" s="56" t="str">
        <x:v>6. Politics &amp; Forced Combat</x:v>
      </x:c>
      <x:c r="F51" s="56" t="str">
        <x:v>Take the Bait</x:v>
      </x:c>
      <x:c r="G51" s="56" t="str">
        <x:v>Redirect pressure, reward deals, and punish overextension.</x:v>
      </x:c>
    </x:row>
    <x:row r="52">
      <x:c r="E52" s="56" t="str">
        <x:v>7. Board Control &amp; Defensive Reversal</x:v>
      </x:c>
      <x:c r="F52" s="56" t="str">
        <x:v>Austere Command</x:v>
      </x:c>
      <x:c r="G52" s="56" t="str">
        <x:v>Reset runaway boards or convert an attack into a reversal.</x:v>
      </x:c>
    </x:row>
    <x:row r="53">
      <x:c r="E53" s="56" t="str">
        <x:v>7. Board Control &amp; Defensive Reversal</x:v>
      </x:c>
      <x:c r="F53" s="56" t="str">
        <x:v>Blasphemous Act</x:v>
      </x:c>
      <x:c r="G53" s="56" t="str">
        <x:v>Reset runaway boards or convert an attack into a reversal.</x:v>
      </x:c>
    </x:row>
    <x:row r="54">
      <x:c r="E54" s="56" t="str">
        <x:v>7. Board Control &amp; Defensive Reversal</x:v>
      </x:c>
      <x:c r="F54" s="56" t="str">
        <x:v>Blasphemous Edict</x:v>
      </x:c>
      <x:c r="G54" s="56" t="str">
        <x:v>Reset runaway boards or convert an attack into a reversal.</x:v>
      </x:c>
    </x:row>
    <x:row r="55">
      <x:c r="E55" s="56" t="str">
        <x:v>7. Board Control &amp; Defensive Reversal</x:v>
      </x:c>
      <x:c r="F55" s="56" t="str">
        <x:v>Custodi Lich</x:v>
      </x:c>
      <x:c r="G55" s="56" t="str">
        <x:v>Reset runaway boards or convert an attack into a reversal.</x:v>
      </x:c>
    </x:row>
    <x:row r="56">
      <x:c r="E56" s="56" t="str">
        <x:v>7. Board Control &amp; Defensive Reversal</x:v>
      </x:c>
      <x:c r="F56" s="56" t="str">
        <x:v>Feast of Succession</x:v>
      </x:c>
      <x:c r="G56" s="56" t="str">
        <x:v>Reset runaway boards or convert an attack into a reversal.</x:v>
      </x:c>
    </x:row>
    <x:row r="57">
      <x:c r="E57" s="56" t="str">
        <x:v>7. Board Control &amp; Defensive Reversal</x:v>
      </x:c>
      <x:c r="F57" s="56" t="str">
        <x:v>Inkshield</x:v>
      </x:c>
      <x:c r="G57" s="56" t="str">
        <x:v>Reset runaway boards or convert an attack into a reversal.</x:v>
      </x:c>
    </x:row>
    <x:row r="58">
      <x:c r="E58" s="56" t="str">
        <x:v>7. Board Control &amp; Defensive Reversal</x:v>
      </x:c>
      <x:c r="F58" s="56" t="str">
        <x:v>Ruinous Ultimatum</x:v>
      </x:c>
      <x:c r="G58" s="56" t="str">
        <x:v>Reset runaway boards or convert an attack into a reversal.</x:v>
      </x:c>
    </x:row>
    <x:row r="59">
      <x:c r="E59" s="56" t="str">
        <x:v>7. Board Control &amp; Defensive Reversal</x:v>
      </x:c>
      <x:c r="F59" s="56" t="str">
        <x:v>Vindicate</x:v>
      </x:c>
      <x:c r="G59" s="56" t="str">
        <x:v>Reset runaway boards or convert an attack into a reversal.</x:v>
      </x:c>
    </x:row>
    <x:row r="60">
      <x:c r="E60" s="56" t="str">
        <x:v>8. Finishers &amp; Token Engines</x:v>
      </x:c>
      <x:c r="F60" s="56" t="str">
        <x:v>Approach of the Second Sun</x:v>
      </x:c>
      <x:c r="G60" s="56" t="str">
        <x:v>Convert accumulated value into a decisive endgame.</x:v>
      </x:c>
    </x:row>
    <x:row r="61">
      <x:c r="E61" s="56" t="str">
        <x:v>8. Finishers &amp; Token Engines</x:v>
      </x:c>
      <x:c r="F61" s="56" t="str">
        <x:v>Assemble the Legion</x:v>
      </x:c>
      <x:c r="G61" s="56" t="str">
        <x:v>Convert accumulated value into a decisive endgame.</x:v>
      </x:c>
    </x:row>
    <x:row r="62">
      <x:c r="E62" s="56" t="str">
        <x:v>8. Finishers &amp; Token Engines</x:v>
      </x:c>
      <x:c r="F62" s="56" t="str">
        <x:v>Caesar, Legion's Emperor</x:v>
      </x:c>
      <x:c r="G62" s="56" t="str">
        <x:v>Convert accumulated value into a decisive endgame.</x:v>
      </x:c>
    </x:row>
    <x:row r="63">
      <x:c r="E63" s="56" t="str">
        <x:v>8. Finishers &amp; Token Engines</x:v>
      </x:c>
      <x:c r="F63" s="56" t="str">
        <x:v>Forth Eorlingas!</x:v>
      </x:c>
      <x:c r="G63" s="56" t="str">
        <x:v>Convert accumulated value into a decisive endgame.</x:v>
      </x:c>
    </x:row>
    <x:row r="64">
      <x:c r="E64" s="56" t="str">
        <x:v>8. Finishers &amp; Token Engines</x:v>
      </x:c>
      <x:c r="F64" s="56" t="str">
        <x:v>Grave Venerations</x:v>
      </x:c>
      <x:c r="G64" s="56" t="str">
        <x:v>Convert accumulated value into a decisive endgame.</x:v>
      </x:c>
    </x:row>
    <x:row r="65">
      <x:c r="E65" s="56" t="str">
        <x:v>8. Finishers &amp; Token Engines</x:v>
      </x:c>
      <x:c r="F65" s="56" t="str">
        <x:v>Idyllic Tutor</x:v>
      </x:c>
      <x:c r="G65" s="56" t="str">
        <x:v>Convert accumulated value into a decisive endgame.</x:v>
      </x:c>
    </x:row>
    <x:row r="66">
      <x:c r="E66" s="56" t="str">
        <x:v>8. Finishers &amp; Token Engines</x:v>
      </x:c>
      <x:c r="F66" s="56" t="str">
        <x:v>Ophiomancer</x:v>
      </x:c>
      <x:c r="G66" s="56" t="str">
        <x:v>Convert accumulated value into a decisive endgame.</x:v>
      </x:c>
    </x:row>
    <x:row r="67">
      <x:c r="E67" s="56" t="str">
        <x:v>8. Finishers &amp; Token Engines</x:v>
      </x:c>
      <x:c r="F67" s="56" t="str">
        <x:v>Skyline Despot</x:v>
      </x:c>
      <x:c r="G67" s="56" t="str">
        <x:v>Convert accumulated value into a decisive endgame.</x:v>
      </x:c>
    </x:row>
  </x:sheetData>
  <x:mergeCells>
    <x:mergeCell ref="A1:J1"/>
  </x:mergeCells>
  <x:conditionalFormatting sqref="J4:J11">
    <x:cfRule type="cellIs" dxfId="0" priority="1" operator="notEqual">
      <x:formula>8</x:formula>
    </x:cfRule>
  </x:conditionalFormatting>
  <x:pageMargins left="0.7" right="0.7" top="0.75" bottom="0.75" header="0.3" footer="0.3"/>
  <x:drawing xmlns:r="http://schemas.openxmlformats.org/officeDocument/2006/relationships" r:id="R339dd4995b694db6"/>
  <x:tableParts count="2">
    <x:tablePart xmlns:r="http://schemas.openxmlformats.org/officeDocument/2006/relationships" r:id="R353513217cda43ea"/>
    <x:tablePart xmlns:r="http://schemas.openxmlformats.org/officeDocument/2006/relationships" r:id="Re733f0f32cc84346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10" hidden="0" customWidth="1"/>
    <x:col min="4" max="4" width="34" hidden="0" customWidth="1"/>
    <x:col min="5" max="5" width="22" hidden="0" customWidth="1"/>
    <x:col min="6" max="6" width="58" hidden="0" customWidth="1"/>
    <x:col min="7" max="7" width="18" hidden="0" customWidth="1"/>
  </x:cols>
  <x:sheetData>
    <x:row r="1" ht="30" customHeight="1">
      <x:c r="A1" s="5" t="str">
        <x:v>TIER LIST | STRATEGIC FIT</x:v>
      </x:c>
      <x:c r="B1" s="5"/>
      <x:c r="C1" s="5"/>
      <x:c r="D1" s="5"/>
      <x:c r="E1" s="5"/>
      <x:c r="F1" s="5"/>
      <x:c r="G1" s="5"/>
    </x:row>
    <x:row r="3" ht="28" customHeight="1">
      <x:c r="A3" s="20" t="str">
        <x:v>Tier</x:v>
      </x:c>
      <x:c r="B3" s="20" t="str">
        <x:v>Card</x:v>
      </x:c>
      <x:c r="C3" s="20" t="str">
        <x:v>Score</x:v>
      </x:c>
      <x:c r="D3" s="20" t="str">
        <x:v>Primary Role</x:v>
      </x:c>
      <x:c r="E3" s="20" t="str">
        <x:v>Verdict</x:v>
      </x:c>
      <x:c r="F3" s="20" t="str">
        <x:v>Why it matters</x:v>
      </x:c>
      <x:c r="G3" s="20" t="str">
        <x:v>Testing priority</x:v>
      </x:c>
    </x:row>
    <x:row r="4">
      <x:c r="A4" s="56" t="str">
        <x:v>S — LOCK</x:v>
      </x:c>
      <x:c r="B4" s="56" t="str">
        <x:v>Queen Marchesa</x:v>
      </x:c>
      <x:c r="C4" s="58" t="n">
        <x:v>10</x:v>
      </x:c>
      <x:c r="D4" s="56" t="str">
        <x:v>Commander — outside 8×8</x:v>
      </x:c>
      <x:c r="E4" s="56" t="str">
        <x:v>LOCK</x:v>
      </x:c>
      <x:c r="F4" s="56" t="str">
        <x:v>Commander: ETB makes you Monarch; makes Assassin tokens at upkeep if an opponent is Monarch.</x:v>
      </x:c>
      <x:c r="G4" s="56" t="str">
        <x:v>High</x:v>
      </x:c>
    </x:row>
    <x:row r="5">
      <x:c r="A5" s="56" t="str">
        <x:v>S — LOCK</x:v>
      </x:c>
      <x:c r="B5" s="56" t="str">
        <x:v>Smothering Tithe</x:v>
      </x:c>
      <x:c r="C5" s="58" t="n">
        <x:v>9.6</x:v>
      </x:c>
      <x:c r="D5" s="56" t="str">
        <x:v>1. Ramp &amp; Fixing</x:v>
      </x:c>
      <x:c r="E5" s="56" t="str">
        <x:v>CORE</x:v>
      </x:c>
      <x:c r="F5" s="56" t="str">
        <x:v>Ramp / Treasure engine, also a table-threat signal.</x:v>
      </x:c>
      <x:c r="G5" s="56" t="str">
        <x:v>High</x:v>
      </x:c>
    </x:row>
    <x:row r="6">
      <x:c r="A6" s="56" t="str">
        <x:v>S — LOCK</x:v>
      </x:c>
      <x:c r="B6" s="56" t="str">
        <x:v>Court of Grace</x:v>
      </x:c>
      <x:c r="C6" s="58" t="n">
        <x:v>9.5</x:v>
      </x:c>
      <x:c r="D6" s="56" t="str">
        <x:v>2. Monarch &amp; Courts</x:v>
      </x:c>
      <x:c r="E6" s="56" t="str">
        <x:v>CORE</x:v>
      </x:c>
      <x:c r="F6" s="56" t="str">
        <x:v>Acquire the crown and generate recurring value from Courts.</x:v>
      </x:c>
      <x:c r="G6" s="56" t="str">
        <x:v>High</x:v>
      </x:c>
    </x:row>
    <x:row r="7">
      <x:c r="A7" s="56" t="str">
        <x:v>S — LOCK</x:v>
      </x:c>
      <x:c r="B7" s="56" t="str">
        <x:v>The One Ring</x:v>
      </x:c>
      <x:c r="C7" s="58" t="n">
        <x:v>9.5</x:v>
      </x:c>
      <x:c r="D7" s="56" t="str">
        <x:v>3. Draw &amp; Card Advantage</x:v>
      </x:c>
      <x:c r="E7" s="56" t="str">
        <x:v>CORE</x:v>
      </x:c>
      <x:c r="F7" s="56" t="str">
        <x:v>Powerful card advantage plus temporary protection; track life spent.</x:v>
      </x:c>
      <x:c r="G7" s="56" t="str">
        <x:v>High</x:v>
      </x:c>
    </x:row>
    <x:row r="8">
      <x:c r="A8" s="56" t="str">
        <x:v>A — CORE</x:v>
      </x:c>
      <x:c r="B8" s="56" t="str">
        <x:v>Court of Ambition</x:v>
      </x:c>
      <x:c r="C8" s="58" t="n">
        <x:v>9.3</x:v>
      </x:c>
      <x:c r="D8" s="56" t="str">
        <x:v>2. Monarch &amp; Courts</x:v>
      </x:c>
      <x:c r="E8" s="56" t="str">
        <x:v>CORE</x:v>
      </x:c>
      <x:c r="F8" s="56" t="str">
        <x:v>Acquire the crown and generate recurring value from Courts.</x:v>
      </x:c>
      <x:c r="G8" s="56" t="str">
        <x:v>High</x:v>
      </x:c>
    </x:row>
    <x:row r="9">
      <x:c r="A9" s="56" t="str">
        <x:v>A — CORE</x:v>
      </x:c>
      <x:c r="B9" s="56" t="str">
        <x:v>Inkshield</x:v>
      </x:c>
      <x:c r="C9" s="58" t="n">
        <x:v>9.3</x:v>
      </x:c>
      <x:c r="D9" s="56" t="str">
        <x:v>7. Board Control &amp; Defensive Reversal</x:v>
      </x:c>
      <x:c r="E9" s="56" t="str">
        <x:v>V2.1 IN</x:v>
      </x:c>
      <x:c r="F9" s="56" t="str">
        <x:v>Combat-damage prevention plus Inkling tokens; defensive reversal and possible finisher.</x:v>
      </x:c>
      <x:c r="G9" s="56" t="str">
        <x:v>High</x:v>
      </x:c>
    </x:row>
    <x:row r="10">
      <x:c r="A10" s="56" t="str">
        <x:v>A — CORE</x:v>
      </x:c>
      <x:c r="B10" s="56" t="str">
        <x:v>Archon of Coronation</x:v>
      </x:c>
      <x:c r="C10" s="58" t="n">
        <x:v>9.2</x:v>
      </x:c>
      <x:c r="D10" s="56" t="str">
        <x:v>2. Monarch &amp; Courts</x:v>
      </x:c>
      <x:c r="E10" s="56" t="str">
        <x:v>CORE</x:v>
      </x:c>
      <x:c r="F10" s="56" t="str">
        <x:v>Acquire the crown and generate recurring value from Courts.</x:v>
      </x:c>
      <x:c r="G10" s="56" t="str">
        <x:v>Normal</x:v>
      </x:c>
    </x:row>
    <x:row r="11">
      <x:c r="A11" s="56" t="str">
        <x:v>A — CORE</x:v>
      </x:c>
      <x:c r="B11" s="56" t="str">
        <x:v>Court of Ire</x:v>
      </x:c>
      <x:c r="C11" s="58" t="n">
        <x:v>9.2</x:v>
      </x:c>
      <x:c r="D11" s="56" t="str">
        <x:v>2. Monarch &amp; Courts</x:v>
      </x:c>
      <x:c r="E11" s="56" t="str">
        <x:v>CORE</x:v>
      </x:c>
      <x:c r="F11" s="56" t="str">
        <x:v>Acquire the crown and generate recurring value from Courts.</x:v>
      </x:c>
      <x:c r="G11" s="56" t="str">
        <x:v>Normal</x:v>
      </x:c>
    </x:row>
    <x:row r="12">
      <x:c r="A12" s="56" t="str">
        <x:v>A — CORE</x:v>
      </x:c>
      <x:c r="B12" s="56" t="str">
        <x:v>Disrupt Decorum</x:v>
      </x:c>
      <x:c r="C12" s="58" t="n">
        <x:v>9.2</x:v>
      </x:c>
      <x:c r="D12" s="56" t="str">
        <x:v>6. Politics &amp; Forced Combat</x:v>
      </x:c>
      <x:c r="E12" s="56" t="str">
        <x:v>V2.1 IN</x:v>
      </x:c>
      <x:c r="F12" s="56" t="str">
        <x:v>Political goad / forced combat; can relieve pressure on you and create a crown-recovery window.</x:v>
      </x:c>
      <x:c r="G12" s="56" t="str">
        <x:v>High</x:v>
      </x:c>
    </x:row>
    <x:row r="13">
      <x:c r="A13" s="56" t="str">
        <x:v>A — CORE</x:v>
      </x:c>
      <x:c r="B13" s="56" t="str">
        <x:v>Ghostly Prison</x:v>
      </x:c>
      <x:c r="C13" s="58" t="n">
        <x:v>9.2</x:v>
      </x:c>
      <x:c r="D13" s="56" t="str">
        <x:v>4. Pillow Fort &amp; Tax</x:v>
      </x:c>
      <x:c r="E13" s="56" t="str">
        <x:v>CORE</x:v>
      </x:c>
      <x:c r="F13" s="56" t="str">
        <x:v>Make attacks against you costly and buy time.</x:v>
      </x:c>
      <x:c r="G13" s="56" t="str">
        <x:v>High</x:v>
      </x:c>
    </x:row>
    <x:row r="14">
      <x:c r="A14" s="56" t="str">
        <x:v>A — CORE</x:v>
      </x:c>
      <x:c r="B14" s="56" t="str">
        <x:v>Mangara, the Diplomat</x:v>
      </x:c>
      <x:c r="C14" s="58" t="n">
        <x:v>9.2</x:v>
      </x:c>
      <x:c r="D14" s="56" t="str">
        <x:v>3. Draw &amp; Card Advantage</x:v>
      </x:c>
      <x:c r="E14" s="56" t="str">
        <x:v>V2.1 IN</x:v>
      </x:c>
      <x:c r="F14" s="56" t="str">
        <x:v>Card advantage triggered by opponent attacks/multiple spells, with tax-like play patterns.</x:v>
      </x:c>
      <x:c r="G14" s="56" t="str">
        <x:v>High</x:v>
      </x:c>
    </x:row>
    <x:row r="15">
      <x:c r="A15" s="56" t="str">
        <x:v>A — CORE</x:v>
      </x:c>
      <x:c r="B15" s="56" t="str">
        <x:v>Ruinous Ultimatum</x:v>
      </x:c>
      <x:c r="C15" s="58" t="n">
        <x:v>9.1</x:v>
      </x:c>
      <x:c r="D15" s="56" t="str">
        <x:v>7. Board Control &amp; Defensive Reversal</x:v>
      </x:c>
      <x:c r="E15" s="56" t="str">
        <x:v>CORE</x:v>
      </x:c>
      <x:c r="F15" s="56" t="str">
        <x:v>Reset runaway boards or convert an attack into a reversal.</x:v>
      </x:c>
      <x:c r="G15" s="56" t="str">
        <x:v>Normal</x:v>
      </x:c>
    </x:row>
    <x:row r="16">
      <x:c r="A16" s="56" t="str">
        <x:v>A — CORE</x:v>
      </x:c>
      <x:c r="B16" s="56" t="str">
        <x:v>Esper Sentinel</x:v>
      </x:c>
      <x:c r="C16" s="58" t="n">
        <x:v>9</x:v>
      </x:c>
      <x:c r="D16" s="56" t="str">
        <x:v>3. Draw &amp; Card Advantage</x:v>
      </x:c>
      <x:c r="E16" s="56" t="str">
        <x:v>CORE</x:v>
      </x:c>
      <x:c r="F16" s="56" t="str">
        <x:v>Keep cards flowing even when Monarch changes hands.</x:v>
      </x:c>
      <x:c r="G16" s="56" t="str">
        <x:v>Normal</x:v>
      </x:c>
    </x:row>
    <x:row r="17">
      <x:c r="A17" s="56" t="str">
        <x:v>A — CORE</x:v>
      </x:c>
      <x:c r="B17" s="56" t="str">
        <x:v>Sol Ring</x:v>
      </x:c>
      <x:c r="C17" s="58" t="n">
        <x:v>9</x:v>
      </x:c>
      <x:c r="D17" s="56" t="str">
        <x:v>1. Ramp &amp; Fixing</x:v>
      </x:c>
      <x:c r="E17" s="56" t="str">
        <x:v>CORE</x:v>
      </x:c>
      <x:c r="F17" s="56" t="str">
        <x:v>Build mana early without attracting unnecessary attention.</x:v>
      </x:c>
      <x:c r="G17" s="56" t="str">
        <x:v>Normal</x:v>
      </x:c>
    </x:row>
    <x:row r="18">
      <x:c r="A18" s="56" t="str">
        <x:v>A — CORE</x:v>
      </x:c>
      <x:c r="B18" s="56" t="str">
        <x:v>Spectator Seating</x:v>
      </x:c>
      <x:c r="C18" s="58" t="n">
        <x:v>9</x:v>
      </x:c>
      <x:c r="D18" s="56" t="str">
        <x:v>Land Package (physical land)</x:v>
      </x:c>
      <x:c r="E18" s="56" t="str">
        <x:v>V2.1 IN</x:v>
      </x:c>
      <x:c r="F18" s="56" t="str">
        <x:v>Added to reach 35 land slots and improve Mardu fixing; often untapped in a multiplayer pod with two or more opponents.</x:v>
      </x:c>
      <x:c r="G18" s="56" t="str">
        <x:v>Normal</x:v>
      </x:c>
    </x:row>
    <x:row r="19">
      <x:c r="A19" s="56" t="str">
        <x:v>A — CORE</x:v>
      </x:c>
      <x:c r="B19" s="56" t="str">
        <x:v>Swords to Plowshares</x:v>
      </x:c>
      <x:c r="C19" s="58" t="n">
        <x:v>9</x:v>
      </x:c>
      <x:c r="D19" s="56" t="str">
        <x:v>5. Spot Removal</x:v>
      </x:c>
      <x:c r="E19" s="56" t="str">
        <x:v>CORE</x:v>
      </x:c>
      <x:c r="F19" s="56" t="str">
        <x:v>Answer specific threats compromising your engine or ability to close.</x:v>
      </x:c>
      <x:c r="G19" s="56" t="str">
        <x:v>Normal</x:v>
      </x:c>
    </x:row>
    <x:row r="20">
      <x:c r="A20" s="56" t="str">
        <x:v>A — CORE</x:v>
      </x:c>
      <x:c r="B20" s="56" t="str">
        <x:v>Windborn Muse</x:v>
      </x:c>
      <x:c r="C20" s="58" t="n">
        <x:v>9</x:v>
      </x:c>
      <x:c r="D20" s="56" t="str">
        <x:v>4. Pillow Fort &amp; Tax</x:v>
      </x:c>
      <x:c r="E20" s="56" t="str">
        <x:v>CORE</x:v>
      </x:c>
      <x:c r="F20" s="56" t="str">
        <x:v>Make attacks against you costly and buy time.</x:v>
      </x:c>
      <x:c r="G20" s="56" t="str">
        <x:v>Normal</x:v>
      </x:c>
    </x:row>
    <x:row r="21">
      <x:c r="A21" s="56" t="str">
        <x:v>A — CORE</x:v>
      </x:c>
      <x:c r="B21" s="56" t="str">
        <x:v>Anguished Unmaking</x:v>
      </x:c>
      <x:c r="C21" s="58" t="n">
        <x:v>8.9</x:v>
      </x:c>
      <x:c r="D21" s="56" t="str">
        <x:v>5. Spot Removal</x:v>
      </x:c>
      <x:c r="E21" s="56" t="str">
        <x:v>CORE</x:v>
      </x:c>
      <x:c r="F21" s="56" t="str">
        <x:v>Answer specific threats compromising your engine or ability to close.</x:v>
      </x:c>
      <x:c r="G21" s="56" t="str">
        <x:v>Normal</x:v>
      </x:c>
    </x:row>
    <x:row r="22">
      <x:c r="A22" s="56" t="str">
        <x:v>A — CORE</x:v>
      </x:c>
      <x:c r="B22" s="56" t="str">
        <x:v>Blasphemous Act</x:v>
      </x:c>
      <x:c r="C22" s="58" t="n">
        <x:v>8.9</x:v>
      </x:c>
      <x:c r="D22" s="56" t="str">
        <x:v>7. Board Control &amp; Defensive Reversal</x:v>
      </x:c>
      <x:c r="E22" s="56" t="str">
        <x:v>CORE</x:v>
      </x:c>
      <x:c r="F22" s="56" t="str">
        <x:v>Reset runaway boards or convert an attack into a reversal.</x:v>
      </x:c>
      <x:c r="G22" s="56" t="str">
        <x:v>Normal</x:v>
      </x:c>
    </x:row>
    <x:row r="23">
      <x:c r="A23" s="56" t="str">
        <x:v>A — CORE</x:v>
      </x:c>
      <x:c r="B23" s="56" t="str">
        <x:v>Grave Venerations</x:v>
      </x:c>
      <x:c r="C23" s="58" t="n">
        <x:v>8.9</x:v>
      </x:c>
      <x:c r="D23" s="56" t="str">
        <x:v>8. Finishers &amp; Token Engines</x:v>
      </x:c>
      <x:c r="E23" s="56" t="str">
        <x:v>CORE</x:v>
      </x:c>
      <x:c r="F23" s="56" t="str">
        <x:v>Enchantment: becomes Monarch on entry; at end step while Monarch returns a creature card to hand; your creatures dying drains opponents and gains life.</x:v>
      </x:c>
      <x:c r="G23" s="56" t="str">
        <x:v>Medium</x:v>
      </x:c>
    </x:row>
    <x:row r="24">
      <x:c r="A24" s="56" t="str">
        <x:v>A — CORE</x:v>
      </x:c>
      <x:c r="B24" s="56" t="str">
        <x:v>Skullclamp</x:v>
      </x:c>
      <x:c r="C24" s="58" t="n">
        <x:v>8.9</x:v>
      </x:c>
      <x:c r="D24" s="56" t="str">
        <x:v>3. Draw &amp; Card Advantage</x:v>
      </x:c>
      <x:c r="E24" s="56" t="str">
        <x:v>CORE</x:v>
      </x:c>
      <x:c r="F24" s="56" t="str">
        <x:v>Keep cards flowing even when Monarch changes hands.</x:v>
      </x:c>
      <x:c r="G24" s="56" t="str">
        <x:v>Normal</x:v>
      </x:c>
    </x:row>
    <x:row r="25">
      <x:c r="A25" s="56" t="str">
        <x:v>A — CORE</x:v>
      </x:c>
      <x:c r="B25" s="56" t="str">
        <x:v>Skyline Despot</x:v>
      </x:c>
      <x:c r="C25" s="58" t="n">
        <x:v>8.9</x:v>
      </x:c>
      <x:c r="D25" s="56" t="str">
        <x:v>8. Finishers &amp; Token Engines</x:v>
      </x:c>
      <x:c r="E25" s="56" t="str">
        <x:v>CORE</x:v>
      </x:c>
      <x:c r="F25" s="56" t="str">
        <x:v>Convert accumulated value into a decisive endgame.</x:v>
      </x:c>
      <x:c r="G25" s="56" t="str">
        <x:v>Normal</x:v>
      </x:c>
    </x:row>
    <x:row r="26">
      <x:c r="A26" s="56" t="str">
        <x:v>A — CORE</x:v>
      </x:c>
      <x:c r="B26" s="56" t="str">
        <x:v>Chaos Warp</x:v>
      </x:c>
      <x:c r="C26" s="58" t="n">
        <x:v>8.8</x:v>
      </x:c>
      <x:c r="D26" s="56" t="str">
        <x:v>5. Spot Removal</x:v>
      </x:c>
      <x:c r="E26" s="56" t="str">
        <x:v>CORE</x:v>
      </x:c>
      <x:c r="F26" s="56" t="str">
        <x:v>Answer specific threats compromising your engine or ability to close.</x:v>
      </x:c>
      <x:c r="G26" s="56" t="str">
        <x:v>Normal</x:v>
      </x:c>
    </x:row>
    <x:row r="27">
      <x:c r="A27" s="56" t="str">
        <x:v>A — CORE</x:v>
      </x:c>
      <x:c r="B27" s="56" t="str">
        <x:v>Command Tower</x:v>
      </x:c>
      <x:c r="C27" s="58" t="n">
        <x:v>8.8</x:v>
      </x:c>
      <x:c r="D27" s="56" t="str">
        <x:v>Land Package (physical land)</x:v>
      </x:c>
      <x:c r="E27" s="56" t="str">
        <x:v>CORE LAND</x:v>
      </x:c>
      <x:c r="F27" s="56" t="str">
        <x:v>Primary functional grouping; card may have additional roles.</x:v>
      </x:c>
      <x:c r="G27" s="56" t="str">
        <x:v>Normal</x:v>
      </x:c>
    </x:row>
    <x:row r="28">
      <x:c r="A28" s="56" t="str">
        <x:v>A — CORE</x:v>
      </x:c>
      <x:c r="B28" s="56" t="str">
        <x:v>Forth Eorlingas!</x:v>
      </x:c>
      <x:c r="C28" s="58" t="n">
        <x:v>8.8</x:v>
      </x:c>
      <x:c r="D28" s="56" t="str">
        <x:v>8. Finishers &amp; Token Engines</x:v>
      </x:c>
      <x:c r="E28" s="56" t="str">
        <x:v>CORE</x:v>
      </x:c>
      <x:c r="F28" s="56" t="str">
        <x:v>Convert accumulated value into a decisive endgame.</x:v>
      </x:c>
      <x:c r="G28" s="56" t="str">
        <x:v>Medium</x:v>
      </x:c>
    </x:row>
    <x:row r="29">
      <x:c r="A29" s="56" t="str">
        <x:v>A — CORE</x:v>
      </x:c>
      <x:c r="B29" s="56" t="str">
        <x:v>Luxury Suite</x:v>
      </x:c>
      <x:c r="C29" s="58" t="n">
        <x:v>8.8</x:v>
      </x:c>
      <x:c r="D29" s="56" t="str">
        <x:v>Land Package (physical land)</x:v>
      </x:c>
      <x:c r="E29" s="56" t="str">
        <x:v>CORE LAND</x:v>
      </x:c>
      <x:c r="F29" s="56" t="str">
        <x:v>Primary functional grouping; card may have additional roles.</x:v>
      </x:c>
      <x:c r="G29" s="56" t="str">
        <x:v>Normal</x:v>
      </x:c>
    </x:row>
    <x:row r="30">
      <x:c r="A30" s="56" t="str">
        <x:v>A — CORE</x:v>
      </x:c>
      <x:c r="B30" s="56" t="str">
        <x:v>Marchesa's Decree</x:v>
      </x:c>
      <x:c r="C30" s="58" t="n">
        <x:v>8.8</x:v>
      </x:c>
      <x:c r="D30" s="56" t="str">
        <x:v>4. Pillow Fort &amp; Tax</x:v>
      </x:c>
      <x:c r="E30" s="56" t="str">
        <x:v>CORE</x:v>
      </x:c>
      <x:c r="F30" s="56" t="str">
        <x:v>Make attacks against you costly and buy time.</x:v>
      </x:c>
      <x:c r="G30" s="56" t="str">
        <x:v>Normal</x:v>
      </x:c>
    </x:row>
    <x:row r="31">
      <x:c r="A31" s="56" t="str">
        <x:v>A — CORE</x:v>
      </x:c>
      <x:c r="B31" s="56" t="str">
        <x:v>No Mercy</x:v>
      </x:c>
      <x:c r="C31" s="58" t="n">
        <x:v>8.8</x:v>
      </x:c>
      <x:c r="D31" s="56" t="str">
        <x:v>4. Pillow Fort &amp; Tax</x:v>
      </x:c>
      <x:c r="E31" s="56" t="str">
        <x:v>CORE</x:v>
      </x:c>
      <x:c r="F31" s="56" t="str">
        <x:v>Make attacks against you costly and buy time.</x:v>
      </x:c>
      <x:c r="G31" s="56" t="str">
        <x:v>Normal</x:v>
      </x:c>
    </x:row>
    <x:row r="32">
      <x:c r="A32" s="56" t="str">
        <x:v>A — CORE</x:v>
      </x:c>
      <x:c r="B32" s="56" t="str">
        <x:v>Vault of Champions</x:v>
      </x:c>
      <x:c r="C32" s="58" t="n">
        <x:v>8.8</x:v>
      </x:c>
      <x:c r="D32" s="56" t="str">
        <x:v>Land Package (physical land)</x:v>
      </x:c>
      <x:c r="E32" s="56" t="str">
        <x:v>CORE LAND</x:v>
      </x:c>
      <x:c r="F32" s="56" t="str">
        <x:v>Primary functional grouping; card may have additional roles.</x:v>
      </x:c>
      <x:c r="G32" s="56" t="str">
        <x:v>Normal</x:v>
      </x:c>
    </x:row>
    <x:row r="33">
      <x:c r="A33" s="56" t="str">
        <x:v>A — CORE</x:v>
      </x:c>
      <x:c r="B33" s="56" t="str">
        <x:v>Austere Command</x:v>
      </x:c>
      <x:c r="C33" s="58" t="n">
        <x:v>8.7</x:v>
      </x:c>
      <x:c r="D33" s="56" t="str">
        <x:v>7. Board Control &amp; Defensive Reversal</x:v>
      </x:c>
      <x:c r="E33" s="56" t="str">
        <x:v>CORE</x:v>
      </x:c>
      <x:c r="F33" s="56" t="str">
        <x:v>Reset runaway boards or convert an attack into a reversal.</x:v>
      </x:c>
      <x:c r="G33" s="56" t="str">
        <x:v>Normal</x:v>
      </x:c>
    </x:row>
    <x:row r="34">
      <x:c r="A34" s="56" t="str">
        <x:v>A — CORE</x:v>
      </x:c>
      <x:c r="B34" s="56" t="str">
        <x:v>Champions of Minas Tirith</x:v>
      </x:c>
      <x:c r="C34" s="58" t="n">
        <x:v>8.7</x:v>
      </x:c>
      <x:c r="D34" s="56" t="str">
        <x:v>3. Draw &amp; Card Advantage</x:v>
      </x:c>
      <x:c r="E34" s="56" t="str">
        <x:v>CORE</x:v>
      </x:c>
      <x:c r="F34" s="56" t="str">
        <x:v>Keep cards flowing even when Monarch changes hands.</x:v>
      </x:c>
      <x:c r="G34" s="56" t="str">
        <x:v>Normal</x:v>
      </x:c>
    </x:row>
    <x:row r="35">
      <x:c r="A35" s="56" t="str">
        <x:v>A — CORE</x:v>
      </x:c>
      <x:c r="B35" s="56" t="str">
        <x:v>Council's Judgment</x:v>
      </x:c>
      <x:c r="C35" s="58" t="n">
        <x:v>8.7</x:v>
      </x:c>
      <x:c r="D35" s="56" t="str">
        <x:v>5. Spot Removal</x:v>
      </x:c>
      <x:c r="E35" s="56" t="str">
        <x:v>CORE</x:v>
      </x:c>
      <x:c r="F35" s="56" t="str">
        <x:v>Answer specific threats compromising your engine or ability to close.</x:v>
      </x:c>
      <x:c r="G35" s="56" t="str">
        <x:v>Normal</x:v>
      </x:c>
    </x:row>
    <x:row r="36">
      <x:c r="A36" s="56" t="str">
        <x:v>A — CORE</x:v>
      </x:c>
      <x:c r="B36" s="56" t="str">
        <x:v>Court of Ardenvale</x:v>
      </x:c>
      <x:c r="C36" s="58" t="n">
        <x:v>8.7</x:v>
      </x:c>
      <x:c r="D36" s="56" t="str">
        <x:v>2. Monarch &amp; Courts</x:v>
      </x:c>
      <x:c r="E36" s="56" t="str">
        <x:v>CORE</x:v>
      </x:c>
      <x:c r="F36" s="56" t="str">
        <x:v>Acquire the crown and generate recurring value from Courts.</x:v>
      </x:c>
      <x:c r="G36" s="56" t="str">
        <x:v>Normal</x:v>
      </x:c>
    </x:row>
    <x:row r="37">
      <x:c r="A37" s="56" t="str">
        <x:v>A — CORE</x:v>
      </x:c>
      <x:c r="B37" s="56" t="str">
        <x:v>Emberwilde Captain</x:v>
      </x:c>
      <x:c r="C37" s="58" t="n">
        <x:v>8.7</x:v>
      </x:c>
      <x:c r="D37" s="56" t="str">
        <x:v>3. Draw &amp; Card Advantage</x:v>
      </x:c>
      <x:c r="E37" s="56" t="str">
        <x:v>CORE</x:v>
      </x:c>
      <x:c r="F37" s="56" t="str">
        <x:v>Keep cards flowing even when Monarch changes hands.</x:v>
      </x:c>
      <x:c r="G37" s="56" t="str">
        <x:v>Normal</x:v>
      </x:c>
    </x:row>
    <x:row r="38">
      <x:c r="A38" s="56" t="str">
        <x:v>A — CORE</x:v>
      </x:c>
      <x:c r="B38" s="56" t="str">
        <x:v>Generous Gift</x:v>
      </x:c>
      <x:c r="C38" s="58" t="n">
        <x:v>8.7</x:v>
      </x:c>
      <x:c r="D38" s="56" t="str">
        <x:v>5. Spot Removal</x:v>
      </x:c>
      <x:c r="E38" s="56" t="str">
        <x:v>CORE</x:v>
      </x:c>
      <x:c r="F38" s="56" t="str">
        <x:v>Answer specific threats compromising your engine or ability to close.</x:v>
      </x:c>
      <x:c r="G38" s="56" t="str">
        <x:v>Normal</x:v>
      </x:c>
    </x:row>
    <x:row r="39">
      <x:c r="A39" s="56" t="str">
        <x:v>A — CORE</x:v>
      </x:c>
      <x:c r="B39" s="56" t="str">
        <x:v>Kazuul, Tyrant of the Cliffs</x:v>
      </x:c>
      <x:c r="C39" s="58" t="n">
        <x:v>8.7</x:v>
      </x:c>
      <x:c r="D39" s="56" t="str">
        <x:v>4. Pillow Fort &amp; Tax</x:v>
      </x:c>
      <x:c r="E39" s="56" t="str">
        <x:v>CORE</x:v>
      </x:c>
      <x:c r="F39" s="56" t="str">
        <x:v>Make attacks against you costly and buy time.</x:v>
      </x:c>
      <x:c r="G39" s="56" t="str">
        <x:v>Normal</x:v>
      </x:c>
    </x:row>
    <x:row r="40">
      <x:c r="A40" s="56" t="str">
        <x:v>A — CORE</x:v>
      </x:c>
      <x:c r="B40" s="56" t="str">
        <x:v>Take the Bait</x:v>
      </x:c>
      <x:c r="C40" s="58" t="n">
        <x:v>8.7</x:v>
      </x:c>
      <x:c r="D40" s="56" t="str">
        <x:v>6. Politics &amp; Forced Combat</x:v>
      </x:c>
      <x:c r="E40" s="56" t="str">
        <x:v>CORE</x:v>
      </x:c>
      <x:c r="F40" s="56" t="str">
        <x:v>Redirect pressure, reward deals, and punish overextension.</x:v>
      </x:c>
      <x:c r="G40" s="56" t="str">
        <x:v>Normal</x:v>
      </x:c>
    </x:row>
    <x:row r="41">
      <x:c r="A41" s="56" t="str">
        <x:v>A — CORE</x:v>
      </x:c>
      <x:c r="B41" s="56" t="str">
        <x:v>Approach of the Second Sun</x:v>
      </x:c>
      <x:c r="C41" s="58" t="n">
        <x:v>8.6</x:v>
      </x:c>
      <x:c r="D41" s="56" t="str">
        <x:v>8. Finishers &amp; Token Engines</x:v>
      </x:c>
      <x:c r="E41" s="56" t="str">
        <x:v>CORE</x:v>
      </x:c>
      <x:c r="F41" s="56" t="str">
        <x:v>Alternate win condition; requires a second cast.</x:v>
      </x:c>
      <x:c r="G41" s="56" t="str">
        <x:v>High</x:v>
      </x:c>
    </x:row>
    <x:row r="42">
      <x:c r="A42" s="56" t="str">
        <x:v>A — CORE</x:v>
      </x:c>
      <x:c r="B42" s="56" t="str">
        <x:v>Arcane Signet</x:v>
      </x:c>
      <x:c r="C42" s="58" t="n">
        <x:v>8.6</x:v>
      </x:c>
      <x:c r="D42" s="56" t="str">
        <x:v>1. Ramp &amp; Fixing</x:v>
      </x:c>
      <x:c r="E42" s="56" t="str">
        <x:v>CORE</x:v>
      </x:c>
      <x:c r="F42" s="56" t="str">
        <x:v>Build mana early without attracting unnecessary attention.</x:v>
      </x:c>
      <x:c r="G42" s="56" t="str">
        <x:v>Normal</x:v>
      </x:c>
    </x:row>
    <x:row r="43">
      <x:c r="A43" s="56" t="str">
        <x:v>A — CORE</x:v>
      </x:c>
      <x:c r="B43" s="56" t="str">
        <x:v>Darksteel Mutation</x:v>
      </x:c>
      <x:c r="C43" s="58" t="n">
        <x:v>8.6</x:v>
      </x:c>
      <x:c r="D43" s="56" t="str">
        <x:v>5. Spot Removal</x:v>
      </x:c>
      <x:c r="E43" s="56" t="str">
        <x:v>CORE</x:v>
      </x:c>
      <x:c r="F43" s="56" t="str">
        <x:v>Answer specific threats compromising your engine or ability to close.</x:v>
      </x:c>
      <x:c r="G43" s="56" t="str">
        <x:v>Normal</x:v>
      </x:c>
    </x:row>
    <x:row r="44">
      <x:c r="A44" s="56" t="str">
        <x:v>A — CORE</x:v>
      </x:c>
      <x:c r="B44" s="56" t="str">
        <x:v>Blasphemous Edict</x:v>
      </x:c>
      <x:c r="C44" s="58" t="n">
        <x:v>8.5</x:v>
      </x:c>
      <x:c r="D44" s="56" t="str">
        <x:v>7. Board Control &amp; Defensive Reversal</x:v>
      </x:c>
      <x:c r="E44" s="56" t="str">
        <x:v>CORE</x:v>
      </x:c>
      <x:c r="F44" s="56" t="str">
        <x:v>Reset runaway boards or convert an attack into a reversal.</x:v>
      </x:c>
      <x:c r="G44" s="56" t="str">
        <x:v>Normal</x:v>
      </x:c>
    </x:row>
    <x:row r="45">
      <x:c r="A45" s="56" t="str">
        <x:v>A — CORE</x:v>
      </x:c>
      <x:c r="B45" s="56" t="str">
        <x:v>Court of Embereth</x:v>
      </x:c>
      <x:c r="C45" s="58" t="n">
        <x:v>8.5</x:v>
      </x:c>
      <x:c r="D45" s="56" t="str">
        <x:v>2. Monarch &amp; Courts</x:v>
      </x:c>
      <x:c r="E45" s="56" t="str">
        <x:v>CORE</x:v>
      </x:c>
      <x:c r="F45" s="56" t="str">
        <x:v>Acquire the crown and generate recurring value from Courts.</x:v>
      </x:c>
      <x:c r="G45" s="56" t="str">
        <x:v>Normal</x:v>
      </x:c>
    </x:row>
    <x:row r="46">
      <x:c r="A46" s="56" t="str">
        <x:v>A — CORE</x:v>
      </x:c>
      <x:c r="B46" s="56" t="str">
        <x:v>Court of Locthwain</x:v>
      </x:c>
      <x:c r="C46" s="58" t="n">
        <x:v>8.5</x:v>
      </x:c>
      <x:c r="D46" s="56" t="str">
        <x:v>2. Monarch &amp; Courts</x:v>
      </x:c>
      <x:c r="E46" s="56" t="str">
        <x:v>CORE</x:v>
      </x:c>
      <x:c r="F46" s="56" t="str">
        <x:v>Acquire the crown and generate recurring value from Courts.</x:v>
      </x:c>
      <x:c r="G46" s="56" t="str">
        <x:v>Normal</x:v>
      </x:c>
    </x:row>
    <x:row r="47">
      <x:c r="A47" s="56" t="str">
        <x:v>A — CORE</x:v>
      </x:c>
      <x:c r="B47" s="56" t="str">
        <x:v>Exotic Orchard</x:v>
      </x:c>
      <x:c r="C47" s="58" t="n">
        <x:v>8.5</x:v>
      </x:c>
      <x:c r="D47" s="56" t="str">
        <x:v>Land Package (physical land)</x:v>
      </x:c>
      <x:c r="E47" s="56" t="str">
        <x:v>CORE LAND</x:v>
      </x:c>
      <x:c r="F47" s="56" t="str">
        <x:v>Primary functional grouping; card may have additional roles.</x:v>
      </x:c>
      <x:c r="G47" s="56" t="str">
        <x:v>Normal</x:v>
      </x:c>
    </x:row>
    <x:row r="48">
      <x:c r="A48" s="56" t="str">
        <x:v>A — CORE</x:v>
      </x:c>
      <x:c r="B48" s="56" t="str">
        <x:v>Get Lost</x:v>
      </x:c>
      <x:c r="C48" s="58" t="n">
        <x:v>8.5</x:v>
      </x:c>
      <x:c r="D48" s="56" t="str">
        <x:v>5. Spot Removal</x:v>
      </x:c>
      <x:c r="E48" s="56" t="str">
        <x:v>CORE</x:v>
      </x:c>
      <x:c r="F48" s="56" t="str">
        <x:v>Answer specific threats compromising your engine or ability to close.</x:v>
      </x:c>
      <x:c r="G48" s="56" t="str">
        <x:v>Normal</x:v>
      </x:c>
    </x:row>
    <x:row r="49">
      <x:c r="A49" s="56" t="str">
        <x:v>A — CORE</x:v>
      </x:c>
      <x:c r="B49" s="56" t="str">
        <x:v>Kambal, Consul of Allocation</x:v>
      </x:c>
      <x:c r="C49" s="58" t="n">
        <x:v>8.5</x:v>
      </x:c>
      <x:c r="D49" s="56" t="str">
        <x:v>6. Politics &amp; Forced Combat</x:v>
      </x:c>
      <x:c r="E49" s="56" t="str">
        <x:v>CORE</x:v>
      </x:c>
      <x:c r="F49" s="56" t="str">
        <x:v>Redirect pressure, reward deals, and punish overextension.</x:v>
      </x:c>
      <x:c r="G49" s="56" t="str">
        <x:v>Normal</x:v>
      </x:c>
    </x:row>
    <x:row r="50">
      <x:c r="A50" s="56" t="str">
        <x:v>A — CORE</x:v>
      </x:c>
      <x:c r="B50" s="56" t="str">
        <x:v>Maze of Ith</x:v>
      </x:c>
      <x:c r="C50" s="58" t="n">
        <x:v>8.5</x:v>
      </x:c>
      <x:c r="D50" s="56" t="str">
        <x:v>Land Package (physical land)</x:v>
      </x:c>
      <x:c r="E50" s="56" t="str">
        <x:v>CORE LAND</x:v>
      </x:c>
      <x:c r="F50" s="56" t="str">
        <x:v>Utility land; does not produce mana. Counts toward land slots, not colored mana sources.</x:v>
      </x:c>
      <x:c r="G50" s="56" t="str">
        <x:v>Normal</x:v>
      </x:c>
    </x:row>
    <x:row r="51">
      <x:c r="A51" s="56" t="str">
        <x:v>A — CORE</x:v>
      </x:c>
      <x:c r="B51" s="56" t="str">
        <x:v>Ophiomancer</x:v>
      </x:c>
      <x:c r="C51" s="58" t="n">
        <x:v>8.5</x:v>
      </x:c>
      <x:c r="D51" s="56" t="str">
        <x:v>8. Finishers &amp; Token Engines</x:v>
      </x:c>
      <x:c r="E51" s="56" t="str">
        <x:v>CORE</x:v>
      </x:c>
      <x:c r="F51" s="56" t="str">
        <x:v>Convert accumulated value into a decisive endgame.</x:v>
      </x:c>
      <x:c r="G51" s="56" t="str">
        <x:v>Normal</x:v>
      </x:c>
    </x:row>
    <x:row r="52">
      <x:c r="A52" s="56" t="str">
        <x:v>A — CORE</x:v>
      </x:c>
      <x:c r="B52" s="56" t="str">
        <x:v>Savai Triome</x:v>
      </x:c>
      <x:c r="C52" s="58" t="n">
        <x:v>8.5</x:v>
      </x:c>
      <x:c r="D52" s="56" t="str">
        <x:v>Land Package (physical land)</x:v>
      </x:c>
      <x:c r="E52" s="56" t="str">
        <x:v>CORE LAND</x:v>
      </x:c>
      <x:c r="F52" s="56" t="str">
        <x:v>Primary functional grouping; card may have additional roles.</x:v>
      </x:c>
      <x:c r="G52" s="56" t="str">
        <x:v>Normal</x:v>
      </x:c>
    </x:row>
    <x:row r="53">
      <x:c r="A53" s="56" t="str">
        <x:v>A — CORE</x:v>
      </x:c>
      <x:c r="B53" s="56" t="str">
        <x:v>Throne of the High City</x:v>
      </x:c>
      <x:c r="C53" s="58" t="n">
        <x:v>8.5</x:v>
      </x:c>
      <x:c r="D53" s="56" t="str">
        <x:v>Land Package (physical land)</x:v>
      </x:c>
      <x:c r="E53" s="56" t="str">
        <x:v>CORE LAND</x:v>
      </x:c>
      <x:c r="F53" s="56" t="str">
        <x:v>Utility land and one-shot Monarch enabler; sacrifice timing matters.</x:v>
      </x:c>
      <x:c r="G53" s="56" t="str">
        <x:v>Normal</x:v>
      </x:c>
    </x:row>
    <x:row r="54">
      <x:c r="A54" s="56" t="str">
        <x:v>A — CORE</x:v>
      </x:c>
      <x:c r="B54" s="56" t="str">
        <x:v>Vindicate</x:v>
      </x:c>
      <x:c r="C54" s="58" t="n">
        <x:v>8.5</x:v>
      </x:c>
      <x:c r="D54" s="56" t="str">
        <x:v>7. Board Control &amp; Defensive Reversal</x:v>
      </x:c>
      <x:c r="E54" s="56" t="str">
        <x:v>CORE</x:v>
      </x:c>
      <x:c r="F54" s="56" t="str">
        <x:v>Reset runaway boards or convert an attack into a reversal.</x:v>
      </x:c>
      <x:c r="G54" s="56" t="str">
        <x:v>Normal</x:v>
      </x:c>
    </x:row>
    <x:row r="55">
      <x:c r="A55" s="56" t="str">
        <x:v>B — SUPPORT</x:v>
      </x:c>
      <x:c r="B55" s="56" t="str">
        <x:v>Crimson Fleet Commodore</x:v>
      </x:c>
      <x:c r="C55" s="58" t="n">
        <x:v>8.4</x:v>
      </x:c>
      <x:c r="D55" s="56" t="str">
        <x:v>3. Draw &amp; Card Advantage</x:v>
      </x:c>
      <x:c r="E55" s="56" t="str">
        <x:v>SUPPORT</x:v>
      </x:c>
      <x:c r="F55" s="56" t="str">
        <x:v>Keep cards flowing even when Monarch changes hands.</x:v>
      </x:c>
      <x:c r="G55" s="56" t="str">
        <x:v>Normal</x:v>
      </x:c>
    </x:row>
    <x:row r="56">
      <x:c r="A56" s="56" t="str">
        <x:v>B — SUPPORT</x:v>
      </x:c>
      <x:c r="B56" s="56" t="str">
        <x:v>Custodi Lich</x:v>
      </x:c>
      <x:c r="C56" s="58" t="n">
        <x:v>8.4</x:v>
      </x:c>
      <x:c r="D56" s="56" t="str">
        <x:v>7. Board Control &amp; Defensive Reversal</x:v>
      </x:c>
      <x:c r="E56" s="56" t="str">
        <x:v>SUPPORT</x:v>
      </x:c>
      <x:c r="F56" s="56" t="str">
        <x:v>Reset runaway boards or convert an attack into a reversal.</x:v>
      </x:c>
      <x:c r="G56" s="56" t="str">
        <x:v>Normal</x:v>
      </x:c>
    </x:row>
    <x:row r="57">
      <x:c r="A57" s="56" t="str">
        <x:v>B — SUPPORT</x:v>
      </x:c>
      <x:c r="B57" s="56" t="str">
        <x:v>Feast of Succession</x:v>
      </x:c>
      <x:c r="C57" s="58" t="n">
        <x:v>8.4</x:v>
      </x:c>
      <x:c r="D57" s="56" t="str">
        <x:v>7. Board Control &amp; Defensive Reversal</x:v>
      </x:c>
      <x:c r="E57" s="56" t="str">
        <x:v>SUPPORT</x:v>
      </x:c>
      <x:c r="F57" s="56" t="str">
        <x:v>Reset runaway boards or convert an attack into a reversal.</x:v>
      </x:c>
      <x:c r="G57" s="56" t="str">
        <x:v>Normal</x:v>
      </x:c>
    </x:row>
    <x:row r="58">
      <x:c r="A58" s="56" t="str">
        <x:v>B — SUPPORT</x:v>
      </x:c>
      <x:c r="B58" s="56" t="str">
        <x:v>Fetid Heath</x:v>
      </x:c>
      <x:c r="C58" s="58" t="n">
        <x:v>8.4</x:v>
      </x:c>
      <x:c r="D58" s="56" t="str">
        <x:v>Land Package (physical land)</x:v>
      </x:c>
      <x:c r="E58" s="56" t="str">
        <x:v>CORE LAND</x:v>
      </x:c>
      <x:c r="F58" s="56" t="str">
        <x:v>Primary functional grouping; card may have additional roles.</x:v>
      </x:c>
      <x:c r="G58" s="56" t="str">
        <x:v>Normal</x:v>
      </x:c>
    </x:row>
    <x:row r="59">
      <x:c r="A59" s="56" t="str">
        <x:v>B — SUPPORT</x:v>
      </x:c>
      <x:c r="B59" s="56" t="str">
        <x:v>Graven Cairns</x:v>
      </x:c>
      <x:c r="C59" s="58" t="n">
        <x:v>8.4</x:v>
      </x:c>
      <x:c r="D59" s="56" t="str">
        <x:v>Land Package (physical land)</x:v>
      </x:c>
      <x:c r="E59" s="56" t="str">
        <x:v>CORE LAND</x:v>
      </x:c>
      <x:c r="F59" s="56" t="str">
        <x:v>Primary functional grouping; card may have additional roles.</x:v>
      </x:c>
      <x:c r="G59" s="56" t="str">
        <x:v>Normal</x:v>
      </x:c>
    </x:row>
    <x:row r="60">
      <x:c r="A60" s="56" t="str">
        <x:v>B — SUPPORT</x:v>
      </x:c>
      <x:c r="B60" s="56" t="str">
        <x:v>Idyllic Tutor</x:v>
      </x:c>
      <x:c r="C60" s="58" t="n">
        <x:v>8.4</x:v>
      </x:c>
      <x:c r="D60" s="56" t="str">
        <x:v>8. Finishers &amp; Token Engines</x:v>
      </x:c>
      <x:c r="E60" s="56" t="str">
        <x:v>SUPPORT</x:v>
      </x:c>
      <x:c r="F60" s="56" t="str">
        <x:v>Finds an enchantment: Court, Pillow Fort, or other key enchantment.</x:v>
      </x:c>
      <x:c r="G60" s="56" t="str">
        <x:v>Normal</x:v>
      </x:c>
    </x:row>
    <x:row r="61">
      <x:c r="A61" s="56" t="str">
        <x:v>B — SUPPORT</x:v>
      </x:c>
      <x:c r="B61" s="56" t="str">
        <x:v>Inspiring Vantage</x:v>
      </x:c>
      <x:c r="C61" s="58" t="n">
        <x:v>8.4</x:v>
      </x:c>
      <x:c r="D61" s="56" t="str">
        <x:v>Land Package (physical land)</x:v>
      </x:c>
      <x:c r="E61" s="56" t="str">
        <x:v>CORE LAND</x:v>
      </x:c>
      <x:c r="F61" s="56" t="str">
        <x:v>Primary functional grouping; card may have additional roles.</x:v>
      </x:c>
      <x:c r="G61" s="56" t="str">
        <x:v>Normal</x:v>
      </x:c>
    </x:row>
    <x:row r="62">
      <x:c r="A62" s="56" t="str">
        <x:v>B — SUPPORT</x:v>
      </x:c>
      <x:c r="B62" s="56" t="str">
        <x:v>Talisman of Conviction</x:v>
      </x:c>
      <x:c r="C62" s="58" t="n">
        <x:v>8.4</x:v>
      </x:c>
      <x:c r="D62" s="56" t="str">
        <x:v>1. Ramp &amp; Fixing</x:v>
      </x:c>
      <x:c r="E62" s="56" t="str">
        <x:v>SUPPORT</x:v>
      </x:c>
      <x:c r="F62" s="56" t="str">
        <x:v>Build mana early without attracting unnecessary attention.</x:v>
      </x:c>
      <x:c r="G62" s="56" t="str">
        <x:v>Normal</x:v>
      </x:c>
    </x:row>
    <x:row r="63">
      <x:c r="A63" s="56" t="str">
        <x:v>B — SUPPORT</x:v>
      </x:c>
      <x:c r="B63" s="56" t="str">
        <x:v>Talisman of Hierarchy</x:v>
      </x:c>
      <x:c r="C63" s="58" t="n">
        <x:v>8.4</x:v>
      </x:c>
      <x:c r="D63" s="56" t="str">
        <x:v>1. Ramp &amp; Fixing</x:v>
      </x:c>
      <x:c r="E63" s="56" t="str">
        <x:v>SUPPORT</x:v>
      </x:c>
      <x:c r="F63" s="56" t="str">
        <x:v>Build mana early without attracting unnecessary attention.</x:v>
      </x:c>
      <x:c r="G63" s="56" t="str">
        <x:v>Normal</x:v>
      </x:c>
    </x:row>
    <x:row r="64">
      <x:c r="A64" s="56" t="str">
        <x:v>B — SUPPORT</x:v>
      </x:c>
      <x:c r="B64" s="56" t="str">
        <x:v>Talisman of Indulgence</x:v>
      </x:c>
      <x:c r="C64" s="58" t="n">
        <x:v>8.4</x:v>
      </x:c>
      <x:c r="D64" s="56" t="str">
        <x:v>1. Ramp &amp; Fixing</x:v>
      </x:c>
      <x:c r="E64" s="56" t="str">
        <x:v>SUPPORT</x:v>
      </x:c>
      <x:c r="F64" s="56" t="str">
        <x:v>Build mana early without attracting unnecessary attention.</x:v>
      </x:c>
      <x:c r="G64" s="56" t="str">
        <x:v>Normal</x:v>
      </x:c>
    </x:row>
    <x:row r="65">
      <x:c r="A65" s="56" t="str">
        <x:v>B — SUPPORT</x:v>
      </x:c>
      <x:c r="B65" s="56" t="str">
        <x:v>Blightstep Pathway</x:v>
      </x:c>
      <x:c r="C65" s="58" t="n">
        <x:v>8.3</x:v>
      </x:c>
      <x:c r="D65" s="56" t="str">
        <x:v>Land Package (physical land)</x:v>
      </x:c>
      <x:c r="E65" s="56" t="str">
        <x:v>CORE LAND</x:v>
      </x:c>
      <x:c r="F65" s="56" t="str">
        <x:v>Primary functional grouping; card may have additional roles.</x:v>
      </x:c>
      <x:c r="G65" s="56" t="str">
        <x:v>Normal</x:v>
      </x:c>
    </x:row>
    <x:row r="66">
      <x:c r="A66" s="56" t="str">
        <x:v>B — SUPPORT</x:v>
      </x:c>
      <x:c r="B66" s="56" t="str">
        <x:v>Blind Obedience</x:v>
      </x:c>
      <x:c r="C66" s="58" t="n">
        <x:v>8.3</x:v>
      </x:c>
      <x:c r="D66" s="56" t="str">
        <x:v>4. Pillow Fort &amp; Tax</x:v>
      </x:c>
      <x:c r="E66" s="56" t="str">
        <x:v>SUPPORT</x:v>
      </x:c>
      <x:c r="F66" s="56" t="str">
        <x:v>Make attacks against you costly and buy time.</x:v>
      </x:c>
      <x:c r="G66" s="56" t="str">
        <x:v>Normal</x:v>
      </x:c>
    </x:row>
    <x:row r="67">
      <x:c r="A67" s="56" t="str">
        <x:v>B — SUPPORT</x:v>
      </x:c>
      <x:c r="B67" s="56" t="str">
        <x:v>Brightclimb Pathway</x:v>
      </x:c>
      <x:c r="C67" s="58" t="n">
        <x:v>8.3</x:v>
      </x:c>
      <x:c r="D67" s="56" t="str">
        <x:v>Land Package (physical land)</x:v>
      </x:c>
      <x:c r="E67" s="56" t="str">
        <x:v>CORE LAND</x:v>
      </x:c>
      <x:c r="F67" s="56" t="str">
        <x:v>Primary functional grouping; card may have additional roles.</x:v>
      </x:c>
      <x:c r="G67" s="56" t="str">
        <x:v>Normal</x:v>
      </x:c>
    </x:row>
    <x:row r="68">
      <x:c r="A68" s="56" t="str">
        <x:v>B — SUPPORT</x:v>
      </x:c>
      <x:c r="B68" s="56" t="str">
        <x:v>Caesar, Legion's Emperor</x:v>
      </x:c>
      <x:c r="C68" s="58" t="n">
        <x:v>8.3</x:v>
      </x:c>
      <x:c r="D68" s="56" t="str">
        <x:v>8. Finishers &amp; Token Engines</x:v>
      </x:c>
      <x:c r="E68" s="56" t="str">
        <x:v>PET / THEME VALUE</x:v>
      </x:c>
      <x:c r="F68" s="56" t="str">
        <x:v>Convert accumulated value into a decisive endgame.</x:v>
      </x:c>
      <x:c r="G68" s="56" t="str">
        <x:v>Normal</x:v>
      </x:c>
    </x:row>
    <x:row r="69">
      <x:c r="A69" s="56" t="str">
        <x:v>B — SUPPORT</x:v>
      </x:c>
      <x:c r="B69" s="56" t="str">
        <x:v>Descent into Avernus</x:v>
      </x:c>
      <x:c r="C69" s="58" t="n">
        <x:v>8.3</x:v>
      </x:c>
      <x:c r="D69" s="56" t="str">
        <x:v>6. Politics &amp; Forced Combat</x:v>
      </x:c>
      <x:c r="E69" s="56" t="str">
        <x:v>PET / THEME VALUE</x:v>
      </x:c>
      <x:c r="F69" s="56" t="str">
        <x:v>Redirect pressure, reward deals, and punish overextension.</x:v>
      </x:c>
      <x:c r="G69" s="56" t="str">
        <x:v>Medium</x:v>
      </x:c>
    </x:row>
    <x:row r="70">
      <x:c r="A70" s="56" t="str">
        <x:v>B — SUPPORT</x:v>
      </x:c>
      <x:c r="B70" s="56" t="str">
        <x:v>Elegant Parlor</x:v>
      </x:c>
      <x:c r="C70" s="58" t="n">
        <x:v>8.3</x:v>
      </x:c>
      <x:c r="D70" s="56" t="str">
        <x:v>Land Package (physical land)</x:v>
      </x:c>
      <x:c r="E70" s="56" t="str">
        <x:v>CORE LAND</x:v>
      </x:c>
      <x:c r="F70" s="56" t="str">
        <x:v>Primary functional grouping; card may have additional roles.</x:v>
      </x:c>
      <x:c r="G70" s="56" t="str">
        <x:v>Normal</x:v>
      </x:c>
    </x:row>
    <x:row r="71">
      <x:c r="A71" s="56" t="str">
        <x:v>B — SUPPORT</x:v>
      </x:c>
      <x:c r="B71" s="56" t="str">
        <x:v>Hall of Heliod's Generosity</x:v>
      </x:c>
      <x:c r="C71" s="58" t="n">
        <x:v>8.3</x:v>
      </x:c>
      <x:c r="D71" s="56" t="str">
        <x:v>Land Package (physical land)</x:v>
      </x:c>
      <x:c r="E71" s="56" t="str">
        <x:v>CORE LAND</x:v>
      </x:c>
      <x:c r="F71" s="56" t="str">
        <x:v>Recursion utility for enchantments.</x:v>
      </x:c>
      <x:c r="G71" s="56" t="str">
        <x:v>Normal</x:v>
      </x:c>
    </x:row>
    <x:row r="72">
      <x:c r="A72" s="56" t="str">
        <x:v>B — SUPPORT</x:v>
      </x:c>
      <x:c r="B72" s="56" t="str">
        <x:v>Needleverge Pathway</x:v>
      </x:c>
      <x:c r="C72" s="58" t="n">
        <x:v>8.3</x:v>
      </x:c>
      <x:c r="D72" s="56" t="str">
        <x:v>Land Package (physical land)</x:v>
      </x:c>
      <x:c r="E72" s="56" t="str">
        <x:v>CORE LAND</x:v>
      </x:c>
      <x:c r="F72" s="56" t="str">
        <x:v>Primary functional grouping; card may have additional roles.</x:v>
      </x:c>
      <x:c r="G72" s="56" t="str">
        <x:v>Normal</x:v>
      </x:c>
    </x:row>
    <x:row r="73">
      <x:c r="A73" s="56" t="str">
        <x:v>B — SUPPORT</x:v>
      </x:c>
      <x:c r="B73" s="56" t="str">
        <x:v>Nelly Borca, Impulsive Accuser</x:v>
      </x:c>
      <x:c r="C73" s="58" t="n">
        <x:v>8.3</x:v>
      </x:c>
      <x:c r="D73" s="56" t="str">
        <x:v>6. Politics &amp; Forced Combat</x:v>
      </x:c>
      <x:c r="E73" s="56" t="str">
        <x:v>PET / THEME VALUE</x:v>
      </x:c>
      <x:c r="F73" s="56" t="str">
        <x:v>Redirect pressure, reward deals, and punish overextension.</x:v>
      </x:c>
      <x:c r="G73" s="56" t="str">
        <x:v>Normal</x:v>
      </x:c>
    </x:row>
    <x:row r="74">
      <x:c r="A74" s="56" t="str">
        <x:v>B — SUPPORT</x:v>
      </x:c>
      <x:c r="B74" s="56" t="str">
        <x:v>Sphere of Safety</x:v>
      </x:c>
      <x:c r="C74" s="58" t="n">
        <x:v>8.3</x:v>
      </x:c>
      <x:c r="D74" s="56" t="str">
        <x:v>4. Pillow Fort &amp; Tax</x:v>
      </x:c>
      <x:c r="E74" s="56" t="str">
        <x:v>SUPPORT</x:v>
      </x:c>
      <x:c r="F74" s="56" t="str">
        <x:v>Make attacks against you costly and buy time.</x:v>
      </x:c>
      <x:c r="G74" s="56" t="str">
        <x:v>Medium</x:v>
      </x:c>
    </x:row>
    <x:row r="75">
      <x:c r="A75" s="56" t="str">
        <x:v>B — SUPPORT</x:v>
      </x:c>
      <x:c r="B75" s="56" t="str">
        <x:v>Terminate</x:v>
      </x:c>
      <x:c r="C75" s="58" t="n">
        <x:v>8.3</x:v>
      </x:c>
      <x:c r="D75" s="56" t="str">
        <x:v>5. Spot Removal</x:v>
      </x:c>
      <x:c r="E75" s="56" t="str">
        <x:v>SUPPORT</x:v>
      </x:c>
      <x:c r="F75" s="56" t="str">
        <x:v>Answer specific threats compromising your engine or ability to close.</x:v>
      </x:c>
      <x:c r="G75" s="56" t="str">
        <x:v>Normal</x:v>
      </x:c>
    </x:row>
    <x:row r="76">
      <x:c r="A76" s="56" t="str">
        <x:v>B — SUPPORT</x:v>
      </x:c>
      <x:c r="B76" s="56" t="str">
        <x:v>Assemble the Legion</x:v>
      </x:c>
      <x:c r="C76" s="58" t="n">
        <x:v>8.2</x:v>
      </x:c>
      <x:c r="D76" s="56" t="str">
        <x:v>8. Finishers &amp; Token Engines</x:v>
      </x:c>
      <x:c r="E76" s="56" t="str">
        <x:v>SUPPORT</x:v>
      </x:c>
      <x:c r="F76" s="56" t="str">
        <x:v>Convert accumulated value into a decisive endgame.</x:v>
      </x:c>
      <x:c r="G76" s="56" t="str">
        <x:v>Normal</x:v>
      </x:c>
    </x:row>
    <x:row r="77">
      <x:c r="A77" s="56" t="str">
        <x:v>B — SUPPORT</x:v>
      </x:c>
      <x:c r="B77" s="56" t="str">
        <x:v>Duelist's Heritage</x:v>
      </x:c>
      <x:c r="C77" s="58" t="n">
        <x:v>8.2</x:v>
      </x:c>
      <x:c r="D77" s="56" t="str">
        <x:v>6. Politics &amp; Forced Combat</x:v>
      </x:c>
      <x:c r="E77" s="56" t="str">
        <x:v>PET / THEME VALUE</x:v>
      </x:c>
      <x:c r="F77" s="56" t="str">
        <x:v>Redirect pressure, reward deals, and punish overextension.</x:v>
      </x:c>
      <x:c r="G77" s="56" t="str">
        <x:v>Normal</x:v>
      </x:c>
    </x:row>
    <x:row r="78">
      <x:c r="A78" s="56" t="str">
        <x:v>B — SUPPORT</x:v>
      </x:c>
      <x:c r="B78" s="56" t="str">
        <x:v>Knights of the Black Rose</x:v>
      </x:c>
      <x:c r="C78" s="58" t="n">
        <x:v>8.2</x:v>
      </x:c>
      <x:c r="D78" s="56" t="str">
        <x:v>2. Monarch &amp; Courts</x:v>
      </x:c>
      <x:c r="E78" s="56" t="str">
        <x:v>SUPPORT</x:v>
      </x:c>
      <x:c r="F78" s="56" t="str">
        <x:v>Acquire the crown and generate recurring value from Courts.</x:v>
      </x:c>
      <x:c r="G78" s="56" t="str">
        <x:v>Normal</x:v>
      </x:c>
    </x:row>
    <x:row r="79">
      <x:c r="A79" s="56" t="str">
        <x:v>B — SUPPORT</x:v>
      </x:c>
      <x:c r="B79" s="56" t="str">
        <x:v>Rugged Prairie</x:v>
      </x:c>
      <x:c r="C79" s="58" t="n">
        <x:v>8.2</x:v>
      </x:c>
      <x:c r="D79" s="56" t="str">
        <x:v>Land Package (physical land)</x:v>
      </x:c>
      <x:c r="E79" s="56" t="str">
        <x:v>SUPPORT LAND</x:v>
      </x:c>
      <x:c r="F79" s="56" t="str">
        <x:v>Primary functional grouping; card may have additional roles.</x:v>
      </x:c>
      <x:c r="G79" s="56" t="str">
        <x:v>Normal</x:v>
      </x:c>
    </x:row>
    <x:row r="80">
      <x:c r="A80" s="56" t="str">
        <x:v>B — SUPPORT</x:v>
      </x:c>
      <x:c r="B80" s="56" t="str">
        <x:v>Thorn of the Black Rose</x:v>
      </x:c>
      <x:c r="C80" s="58" t="n">
        <x:v>8.1</x:v>
      </x:c>
      <x:c r="D80" s="56" t="str">
        <x:v>3. Draw &amp; Card Advantage</x:v>
      </x:c>
      <x:c r="E80" s="56" t="str">
        <x:v>SUPPORT</x:v>
      </x:c>
      <x:c r="F80" s="56" t="str">
        <x:v>Keep cards flowing even when Monarch changes hands.</x:v>
      </x:c>
      <x:c r="G80" s="56" t="str">
        <x:v>Normal</x:v>
      </x:c>
    </x:row>
    <x:row r="81">
      <x:c r="A81" s="56" t="str">
        <x:v>B — SUPPORT</x:v>
      </x:c>
      <x:c r="B81" s="56" t="str">
        <x:v>Alexios, Deimos of Kosmos</x:v>
      </x:c>
      <x:c r="C81" s="58" t="n">
        <x:v>8</x:v>
      </x:c>
      <x:c r="D81" s="56" t="str">
        <x:v>6. Politics &amp; Forced Combat</x:v>
      </x:c>
      <x:c r="E81" s="56" t="str">
        <x:v>PET / THEME VALUE</x:v>
      </x:c>
      <x:c r="F81" s="56" t="str">
        <x:v>Redirect pressure, reward deals, and punish overextension.</x:v>
      </x:c>
      <x:c r="G81" s="56" t="str">
        <x:v>Normal</x:v>
      </x:c>
    </x:row>
    <x:row r="82">
      <x:c r="A82" s="56" t="str">
        <x:v>B — SUPPORT</x:v>
      </x:c>
      <x:c r="B82" s="56" t="str">
        <x:v>Bloodsoaked Insight</x:v>
      </x:c>
      <x:c r="C82" s="58" t="n">
        <x:v>8</x:v>
      </x:c>
      <x:c r="D82" s="56" t="str">
        <x:v>Land Package (MDFC)</x:v>
      </x:c>
      <x:c r="E82" s="56" t="str">
        <x:v>SUPPORT LAND</x:v>
      </x:c>
      <x:c r="F82" s="56" t="str">
        <x:v>MDFC; back face Sanguine Morass. Allocated to 35-land bucket for 8×8; front face remains castable.</x:v>
      </x:c>
      <x:c r="G82" s="56" t="str">
        <x:v>Normal</x:v>
      </x:c>
    </x:row>
    <x:row r="83">
      <x:c r="A83" s="56" t="str">
        <x:v>B — SUPPORT</x:v>
      </x:c>
      <x:c r="B83" s="56" t="str">
        <x:v>Den of the Bugbear</x:v>
      </x:c>
      <x:c r="C83" s="58" t="n">
        <x:v>8</x:v>
      </x:c>
      <x:c r="D83" s="56" t="str">
        <x:v>Land Package (physical land)</x:v>
      </x:c>
      <x:c r="E83" s="56" t="str">
        <x:v>SUPPORT LAND</x:v>
      </x:c>
      <x:c r="F83" s="56" t="str">
        <x:v>Primary functional grouping; card may have additional roles.</x:v>
      </x:c>
      <x:c r="G83" s="56" t="str">
        <x:v>Normal</x:v>
      </x:c>
    </x:row>
    <x:row r="84">
      <x:c r="A84" s="56" t="str">
        <x:v>B — SUPPORT</x:v>
      </x:c>
      <x:c r="B84" s="56" t="str">
        <x:v>Glasswing Grace</x:v>
      </x:c>
      <x:c r="C84" s="58" t="n">
        <x:v>8</x:v>
      </x:c>
      <x:c r="D84" s="56" t="str">
        <x:v>Land Package (MDFC)</x:v>
      </x:c>
      <x:c r="E84" s="56" t="str">
        <x:v>SUPPORT LAND</x:v>
      </x:c>
      <x:c r="F84" s="56" t="str">
        <x:v>MDFC; back face Age-Graced Chapel. Allocated to 35-land bucket for 8×8; front face remains castable.</x:v>
      </x:c>
      <x:c r="G84" s="56" t="str">
        <x:v>Normal</x:v>
      </x:c>
    </x:row>
    <x:row r="85">
      <x:c r="A85" s="56" t="str">
        <x:v>B — SUPPORT</x:v>
      </x:c>
      <x:c r="B85" s="56" t="str">
        <x:v>Hive of the Eye Tyrant</x:v>
      </x:c>
      <x:c r="C85" s="58" t="n">
        <x:v>8</x:v>
      </x:c>
      <x:c r="D85" s="56" t="str">
        <x:v>Land Package (physical land)</x:v>
      </x:c>
      <x:c r="E85" s="56" t="str">
        <x:v>SUPPORT LAND</x:v>
      </x:c>
      <x:c r="F85" s="56" t="str">
        <x:v>Primary functional grouping; card may have additional roles.</x:v>
      </x:c>
      <x:c r="G85" s="56" t="str">
        <x:v>Normal</x:v>
      </x:c>
    </x:row>
    <x:row r="86">
      <x:c r="A86" s="56" t="str">
        <x:v>B — SUPPORT</x:v>
      </x:c>
      <x:c r="B86" s="56" t="str">
        <x:v>Master of Ceremonies</x:v>
      </x:c>
      <x:c r="C86" s="58" t="n">
        <x:v>8</x:v>
      </x:c>
      <x:c r="D86" s="56" t="str">
        <x:v>6. Politics &amp; Forced Combat</x:v>
      </x:c>
      <x:c r="E86" s="56" t="str">
        <x:v>PET / THEME VALUE</x:v>
      </x:c>
      <x:c r="F86" s="56" t="str">
        <x:v>Redirect pressure, reward deals, and punish overextension.</x:v>
      </x:c>
      <x:c r="G86" s="56" t="str">
        <x:v>Normal</x:v>
      </x:c>
    </x:row>
    <x:row r="87">
      <x:c r="A87" s="56" t="str">
        <x:v>B — SUPPORT</x:v>
      </x:c>
      <x:c r="B87" s="56" t="str">
        <x:v>Norn's Annex</x:v>
      </x:c>
      <x:c r="C87" s="58" t="n">
        <x:v>8</x:v>
      </x:c>
      <x:c r="D87" s="56" t="str">
        <x:v>4. Pillow Fort &amp; Tax</x:v>
      </x:c>
      <x:c r="E87" s="56" t="str">
        <x:v>SUPPORT</x:v>
      </x:c>
      <x:c r="F87" s="56" t="str">
        <x:v>Make attacks against you costly and buy time.</x:v>
      </x:c>
      <x:c r="G87" s="56" t="str">
        <x:v>Medium</x:v>
      </x:c>
    </x:row>
    <x:row r="88">
      <x:c r="A88" s="56" t="str">
        <x:v>B — SUPPORT</x:v>
      </x:c>
      <x:c r="B88" s="56" t="str">
        <x:v>Thought Vessel</x:v>
      </x:c>
      <x:c r="C88" s="58" t="n">
        <x:v>8</x:v>
      </x:c>
      <x:c r="D88" s="56" t="str">
        <x:v>1. Ramp &amp; Fixing</x:v>
      </x:c>
      <x:c r="E88" s="56" t="str">
        <x:v>SUPPORT</x:v>
      </x:c>
      <x:c r="F88" s="56" t="str">
        <x:v>Build mana early without attracting unnecessary attention.</x:v>
      </x:c>
      <x:c r="G88" s="56" t="str">
        <x:v>Normal</x:v>
      </x:c>
    </x:row>
    <x:row r="89">
      <x:c r="A89" s="56" t="str">
        <x:v>B — SUPPORT</x:v>
      </x:c>
      <x:c r="B89" s="56" t="str">
        <x:v>Field of Ruin</x:v>
      </x:c>
      <x:c r="C89" s="58" t="n">
        <x:v>7.8</x:v>
      </x:c>
      <x:c r="D89" s="56" t="str">
        <x:v>Land Package (physical land)</x:v>
      </x:c>
      <x:c r="E89" s="56" t="str">
        <x:v>SUPPORT LAND</x:v>
      </x:c>
      <x:c r="F89" s="56" t="str">
        <x:v>Primary functional grouping; card may have additional roles.</x:v>
      </x:c>
      <x:c r="G89" s="56" t="str">
        <x:v>Normal</x:v>
      </x:c>
    </x:row>
    <x:row r="90">
      <x:c r="A90" s="56" t="str">
        <x:v>B — SUPPORT</x:v>
      </x:c>
      <x:c r="B90" s="56" t="str">
        <x:v>Legion Leadership</x:v>
      </x:c>
      <x:c r="C90" s="58" t="n">
        <x:v>7.8</x:v>
      </x:c>
      <x:c r="D90" s="56" t="str">
        <x:v>Land Package (MDFC)</x:v>
      </x:c>
      <x:c r="E90" s="56" t="str">
        <x:v>SUPPORT LAND</x:v>
      </x:c>
      <x:c r="F90" s="56" t="str">
        <x:v>MDFC; back face Legion Stronghold. Allocated to 35-land bucket for 8×8; front face remains castable.</x:v>
      </x:c>
      <x:c r="G90" s="56" t="str">
        <x:v>Normal</x:v>
      </x:c>
    </x:row>
    <x:row r="91">
      <x:c r="A91" s="56" t="str">
        <x:v>B — SUPPORT</x:v>
      </x:c>
      <x:c r="B91" s="56" t="str">
        <x:v>Reliquary Tower</x:v>
      </x:c>
      <x:c r="C91" s="58" t="n">
        <x:v>7.8</x:v>
      </x:c>
      <x:c r="D91" s="56" t="str">
        <x:v>Land Package (physical land)</x:v>
      </x:c>
      <x:c r="E91" s="56" t="str">
        <x:v>SUPPORT LAND</x:v>
      </x:c>
      <x:c r="F91" s="56" t="str">
        <x:v>Primary functional grouping; card may have additional roles.</x:v>
      </x:c>
      <x:c r="G91" s="56" t="str">
        <x:v>Normal</x:v>
      </x:c>
    </x:row>
    <x:row r="92">
      <x:c r="A92" s="56" t="str">
        <x:v>B — SUPPORT</x:v>
      </x:c>
      <x:c r="B92" s="56" t="str">
        <x:v>Shattered Landscape</x:v>
      </x:c>
      <x:c r="C92" s="58" t="n">
        <x:v>7.8</x:v>
      </x:c>
      <x:c r="D92" s="56" t="str">
        <x:v>Land Package (physical land)</x:v>
      </x:c>
      <x:c r="E92" s="56" t="str">
        <x:v>SUPPORT LAND</x:v>
      </x:c>
      <x:c r="F92" s="56" t="str">
        <x:v>Primary functional grouping; card may have additional roles.</x:v>
      </x:c>
      <x:c r="G92" s="56" t="str">
        <x:v>Normal</x:v>
      </x:c>
    </x:row>
    <x:row r="93">
      <x:c r="A93" s="56" t="str">
        <x:v>B — SUPPORT</x:v>
      </x:c>
      <x:c r="B93" s="56" t="str">
        <x:v>Smoldering Marsh</x:v>
      </x:c>
      <x:c r="C93" s="58" t="n">
        <x:v>7.8</x:v>
      </x:c>
      <x:c r="D93" s="56" t="str">
        <x:v>Land Package (physical land)</x:v>
      </x:c>
      <x:c r="E93" s="56" t="str">
        <x:v>SUPPORT LAND</x:v>
      </x:c>
      <x:c r="F93" s="56" t="str">
        <x:v>Primary functional grouping; card may have additional roles.</x:v>
      </x:c>
      <x:c r="G93" s="56" t="str">
        <x:v>Normal</x:v>
      </x:c>
    </x:row>
    <x:row r="94">
      <x:c r="A94" s="56" t="str">
        <x:v>B — SUPPORT</x:v>
      </x:c>
      <x:c r="B94" s="56" t="str">
        <x:v>Cave of the Frost Dragon</x:v>
      </x:c>
      <x:c r="C94" s="58" t="n">
        <x:v>7.7</x:v>
      </x:c>
      <x:c r="D94" s="56" t="str">
        <x:v>Land Package (physical land)</x:v>
      </x:c>
      <x:c r="E94" s="56" t="str">
        <x:v>SUPPORT LAND</x:v>
      </x:c>
      <x:c r="F94" s="56" t="str">
        <x:v>Primary functional grouping; card may have additional roles.</x:v>
      </x:c>
      <x:c r="G94" s="56" t="str">
        <x:v>Normal</x:v>
      </x:c>
    </x:row>
    <x:row r="95">
      <x:c r="A95" s="56" t="str">
        <x:v>B — SUPPORT</x:v>
      </x:c>
      <x:c r="B95" s="56" t="str">
        <x:v>Shineshadow Snarl</x:v>
      </x:c>
      <x:c r="C95" s="58" t="n">
        <x:v>7.7</x:v>
      </x:c>
      <x:c r="D95" s="56" t="str">
        <x:v>Land Package (physical land)</x:v>
      </x:c>
      <x:c r="E95" s="56" t="str">
        <x:v>SUPPORT LAND</x:v>
      </x:c>
      <x:c r="F95" s="56" t="str">
        <x:v>Primary functional grouping; card may have additional roles.</x:v>
      </x:c>
      <x:c r="G95" s="56" t="str">
        <x:v>Normal</x:v>
      </x:c>
    </x:row>
    <x:row r="96">
      <x:c r="A96" s="56" t="str">
        <x:v>B — SUPPORT</x:v>
      </x:c>
      <x:c r="B96" s="56" t="str">
        <x:v>Decanter of Endless Water</x:v>
      </x:c>
      <x:c r="C96" s="58" t="n">
        <x:v>7.5</x:v>
      </x:c>
      <x:c r="D96" s="56" t="str">
        <x:v>1. Ramp &amp; Fixing</x:v>
      </x:c>
      <x:c r="E96" s="56" t="str">
        <x:v>SUPPORT</x:v>
      </x:c>
      <x:c r="F96" s="56" t="str">
        <x:v>Build mana early without attracting unnecessary attention.</x:v>
      </x:c>
      <x:c r="G96" s="56" t="str">
        <x:v>Normal</x:v>
      </x:c>
    </x:row>
    <x:row r="97">
      <x:c r="A97" s="56" t="str">
        <x:v>B — SUPPORT</x:v>
      </x:c>
      <x:c r="B97" s="56" t="str">
        <x:v>Mountain</x:v>
      </x:c>
      <x:c r="C97" s="58" t="n">
        <x:v>7.5</x:v>
      </x:c>
      <x:c r="D97" s="56" t="str">
        <x:v>Land Package (physical land)</x:v>
      </x:c>
      <x:c r="E97" s="56" t="str">
        <x:v>SUPPORT LAND</x:v>
      </x:c>
      <x:c r="F97" s="56" t="str">
        <x:v>Primary functional grouping; card may have additional roles.</x:v>
      </x:c>
      <x:c r="G97" s="56" t="str">
        <x:v>Normal</x:v>
      </x:c>
    </x:row>
    <x:row r="98">
      <x:c r="A98" s="56" t="str">
        <x:v>B — SUPPORT</x:v>
      </x:c>
      <x:c r="B98" s="56" t="str">
        <x:v>Mountain</x:v>
      </x:c>
      <x:c r="C98" s="58" t="n">
        <x:v>7.5</x:v>
      </x:c>
      <x:c r="D98" s="56" t="str">
        <x:v>Land Package (physical land)</x:v>
      </x:c>
      <x:c r="E98" s="56" t="str">
        <x:v>SUPPORT LAND</x:v>
      </x:c>
      <x:c r="F98" s="56" t="str">
        <x:v>Primary functional grouping; card may have additional roles.</x:v>
      </x:c>
      <x:c r="G98" s="56" t="str">
        <x:v>Normal</x:v>
      </x:c>
    </x:row>
    <x:row r="99">
      <x:c r="A99" s="56" t="str">
        <x:v>B — SUPPORT</x:v>
      </x:c>
      <x:c r="B99" s="56" t="str">
        <x:v>Plains</x:v>
      </x:c>
      <x:c r="C99" s="58" t="n">
        <x:v>7.5</x:v>
      </x:c>
      <x:c r="D99" s="56" t="str">
        <x:v>Land Package (physical land)</x:v>
      </x:c>
      <x:c r="E99" s="56" t="str">
        <x:v>SUPPORT LAND</x:v>
      </x:c>
      <x:c r="F99" s="56" t="str">
        <x:v>Primary functional grouping; card may have additional roles.</x:v>
      </x:c>
      <x:c r="G99" s="56" t="str">
        <x:v>Normal</x:v>
      </x:c>
    </x:row>
    <x:row r="100">
      <x:c r="A100" s="56" t="str">
        <x:v>B — SUPPORT</x:v>
      </x:c>
      <x:c r="B100" s="56" t="str">
        <x:v>Plains</x:v>
      </x:c>
      <x:c r="C100" s="58" t="n">
        <x:v>7.5</x:v>
      </x:c>
      <x:c r="D100" s="56" t="str">
        <x:v>Land Package (physical land)</x:v>
      </x:c>
      <x:c r="E100" s="56" t="str">
        <x:v>SUPPORT LAND</x:v>
      </x:c>
      <x:c r="F100" s="56" t="str">
        <x:v>Primary functional grouping; card may have additional roles.</x:v>
      </x:c>
      <x:c r="G100" s="56" t="str">
        <x:v>Normal</x:v>
      </x:c>
    </x:row>
    <x:row r="101">
      <x:c r="A101" s="56" t="str">
        <x:v>B — SUPPORT</x:v>
      </x:c>
      <x:c r="B101" s="56" t="str">
        <x:v>Swamp</x:v>
      </x:c>
      <x:c r="C101" s="58" t="n">
        <x:v>7.5</x:v>
      </x:c>
      <x:c r="D101" s="56" t="str">
        <x:v>Land Package (physical land)</x:v>
      </x:c>
      <x:c r="E101" s="56" t="str">
        <x:v>SUPPORT LAND</x:v>
      </x:c>
      <x:c r="F101" s="56" t="str">
        <x:v>Primary functional grouping; card may have additional roles.</x:v>
      </x:c>
      <x:c r="G101" s="56" t="str">
        <x:v>Normal</x:v>
      </x:c>
    </x:row>
    <x:row r="102">
      <x:c r="A102" s="56" t="str">
        <x:v>C — REVIEW</x:v>
      </x:c>
      <x:c r="B102" s="56" t="str">
        <x:v>Nomad Outpost</x:v>
      </x:c>
      <x:c r="C102" s="58" t="n">
        <x:v>7.4</x:v>
      </x:c>
      <x:c r="D102" s="56" t="str">
        <x:v>Land Package (physical land)</x:v>
      </x:c>
      <x:c r="E102" s="56" t="str">
        <x:v>SUPPORT LAND</x:v>
      </x:c>
      <x:c r="F102" s="56" t="str">
        <x:v>Primary functional grouping; card may have additional roles.</x:v>
      </x:c>
      <x:c r="G102" s="56" t="str">
        <x:v>Normal</x:v>
      </x:c>
    </x:row>
    <x:row r="103">
      <x:c r="A103" s="56" t="str">
        <x:v>C — REVIEW</x:v>
      </x:c>
      <x:c r="B103" s="56" t="str">
        <x:v>Rogue's Passage</x:v>
      </x:c>
      <x:c r="C103" s="58" t="n">
        <x:v>7.3</x:v>
      </x:c>
      <x:c r="D103" s="56" t="str">
        <x:v>Land Package (physical land)</x:v>
      </x:c>
      <x:c r="E103" s="56" t="str">
        <x:v>SUPPORT LAND</x:v>
      </x:c>
      <x:c r="F103" s="56" t="str">
        <x:v>Utility land with colorless-only activation; assess whether a key attacker justifies the slot.</x:v>
      </x:c>
      <x:c r="G103" s="56" t="str">
        <x:v>Normal</x:v>
      </x:c>
    </x:row>
  </x:sheetData>
  <x:mergeCells>
    <x:mergeCell ref="A1:G1"/>
  </x:mergeCells>
  <x:conditionalFormatting sqref="C4:C10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927fa7f43fe4cdd"/>
  </x:tableParts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4" hidden="0" customWidth="1"/>
    <x:col min="4" max="4" width="18" hidden="0" customWidth="1"/>
    <x:col min="5" max="5" width="50" hidden="0" customWidth="1"/>
    <x:col min="6" max="6" width="58" hidden="0" customWidth="1"/>
    <x:col min="7" max="7" width="56" hidden="0" customWidth="1"/>
    <x:col min="8" max="8" width="18" hidden="0" customWidth="1"/>
  </x:cols>
  <x:sheetData>
    <x:row r="1" ht="30" customHeight="1">
      <x:c r="A1" s="5" t="str">
        <x:v>UPGRADE MATRIX | CURRENT → V2.1</x:v>
      </x:c>
      <x:c r="B1" s="5"/>
      <x:c r="C1" s="5"/>
      <x:c r="D1" s="5"/>
      <x:c r="E1" s="5"/>
      <x:c r="F1" s="5"/>
      <x:c r="G1" s="5"/>
      <x:c r="H1" s="5"/>
    </x:row>
    <x:row r="3" ht="28" customHeight="1">
      <x:c r="A3" s="20" t="str">
        <x:v>OUT</x:v>
      </x:c>
      <x:c r="B3" s="20" t="str">
        <x:v>IN</x:v>
      </x:c>
      <x:c r="C3" s="20" t="str">
        <x:v>Type</x:v>
      </x:c>
      <x:c r="D3" s="20" t="str">
        <x:v>Priority</x:v>
      </x:c>
      <x:c r="E3" s="20" t="str">
        <x:v>Reason OUT</x:v>
      </x:c>
      <x:c r="F3" s="20" t="str">
        <x:v>Reason IN</x:v>
      </x:c>
      <x:c r="G3" s="20" t="str">
        <x:v>Expected impact</x:v>
      </x:c>
      <x:c r="H3" s="20" t="str">
        <x:v>Confidence</x:v>
      </x:c>
    </x:row>
    <x:row r="4">
      <x:c r="A4" s="56" t="str">
        <x:v>Thaumatic Compass</x:v>
      </x:c>
      <x:c r="B4" s="56" t="str">
        <x:v>Spectator Seating</x:v>
      </x:c>
      <x:c r="C4" s="56" t="str">
        <x:v>Mana base</x:v>
      </x:c>
      <x:c r="D4" s="56" t="str">
        <x:v>A — Structural</x:v>
      </x:c>
      <x:c r="E4" s="56" t="str">
        <x:v>Slow setup competes with early ramp and costs a turn to transform.</x:v>
      </x:c>
      <x:c r="F4" s="56" t="str">
        <x:v>Higher-quality Mardu source, commonly untapped in a normal multiplayer pod.</x:v>
      </x:c>
      <x:c r="G4" s="56" t="str">
        <x:v>34 land slots become 35; improve color source quality.</x:v>
      </x:c>
      <x:c r="H4" s="56" t="str">
        <x:v>High</x:v>
      </x:c>
    </x:row>
    <x:row r="5">
      <x:c r="A5" s="56" t="str">
        <x:v>Irencrag Pyromancer</x:v>
      </x:c>
      <x:c r="B5" s="56" t="str">
        <x:v>Mangara, the Diplomat</x:v>
      </x:c>
      <x:c r="C5" s="56" t="str">
        <x:v>Draw / tax</x:v>
      </x:c>
      <x:c r="D5" s="56" t="str">
        <x:v>A — Major</x:v>
      </x:c>
      <x:c r="E5" s="56" t="str">
        <x:v>Needs a second-card trigger to make removal and is not a core Monarch engine.</x:v>
      </x:c>
      <x:c r="F5" s="56" t="str">
        <x:v>Independent card advantage/tax value when opponents attack widely or cast multiple spells.</x:v>
      </x:c>
      <x:c r="G5" s="56" t="str">
        <x:v>More reliable card flow and politics.</x:v>
      </x:c>
      <x:c r="H5" s="56" t="str">
        <x:v>High</x:v>
      </x:c>
    </x:row>
    <x:row r="6">
      <x:c r="A6" s="56" t="str">
        <x:v>Royal Assassin</x:v>
      </x:c>
      <x:c r="B6" s="56" t="str">
        <x:v>Inkshield</x:v>
      </x:c>
      <x:c r="C6" s="56" t="str">
        <x:v>Defensive reversal / finisher</x:v>
      </x:c>
      <x:c r="D6" s="56" t="str">
        <x:v>A — Major</x:v>
      </x:c>
      <x:c r="E6" s="56" t="str">
        <x:v>Conditional, slow removal requiring a tapped creature and a surviving activation window.</x:v>
      </x:c>
      <x:c r="F6" s="56" t="str">
        <x:v>Can punish a large attack, prevent combat damage and create a counterattack army.</x:v>
      </x:c>
      <x:c r="G6" s="56" t="str">
        <x:v>More robust defense plus potential win conversion.</x:v>
      </x:c>
      <x:c r="H6" s="56" t="str">
        <x:v>Medium-high</x:v>
      </x:c>
    </x:row>
    <x:row r="7">
      <x:c r="A7" s="56" t="str">
        <x:v>Path of Peril</x:v>
      </x:c>
      <x:c r="B7" s="56" t="str">
        <x:v>Disrupt Decorum</x:v>
      </x:c>
      <x:c r="C7" s="56" t="str">
        <x:v>Politics / forced combat</x:v>
      </x:c>
      <x:c r="D7" s="56" t="str">
        <x:v>A — Major</x:v>
      </x:c>
      <x:c r="E7" s="56" t="str">
        <x:v>Conditional wipe can miss threats depending on mode and board composition.</x:v>
      </x:c>
      <x:c r="F7" s="56" t="str">
        <x:v>Redirects combat toward other players and can set up a Monarch recovery turn.</x:v>
      </x:c>
      <x:c r="G7" s="56" t="str">
        <x:v>Proactive political control; five other reset effects remain.</x:v>
      </x:c>
      <x:c r="H7" s="56" t="str">
        <x:v>High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3f4109fd5644f9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44" hidden="0" customWidth="1"/>
    <x:col min="4" max="4" width="48" hidden="0" customWidth="1"/>
    <x:col min="5" max="5" width="48" hidden="0" customWidth="1"/>
    <x:col min="6" max="6" width="48" hidden="0" customWidth="1"/>
  </x:cols>
  <x:sheetData>
    <x:row r="1" ht="30" customHeight="1">
      <x:c r="A1" s="5" t="str">
        <x:v>GAME PLAN | EARLY / MIDDLE / END</x:v>
      </x:c>
      <x:c r="B1" s="5"/>
      <x:c r="C1" s="5"/>
      <x:c r="D1" s="5"/>
      <x:c r="E1" s="5"/>
      <x:c r="F1" s="5"/>
    </x:row>
    <x:row r="3" ht="28" customHeight="1">
      <x:c r="A3" s="20" t="str">
        <x:v>Phase</x:v>
      </x:c>
      <x:c r="B3" s="20" t="str">
        <x:v>Main objective</x:v>
      </x:c>
      <x:c r="C3" s="20" t="str">
        <x:v>Priority sequencing</x:v>
      </x:c>
      <x:c r="D3" s="20" t="str">
        <x:v>Do</x:v>
      </x:c>
      <x:c r="E3" s="20" t="str">
        <x:v>Avoid</x:v>
      </x:c>
      <x:c r="F3" s="20" t="str">
        <x:v>Success signal</x:v>
      </x:c>
    </x:row>
    <x:row r="4" ht="85" customHeight="1">
      <x:c r="A4" s="56" t="str">
        <x:v>EARLY — T1–3</x:v>
      </x:c>
      <x:c r="B4" s="56" t="str">
        <x:v>Build mana and quietly layer defense.</x:v>
      </x:c>
      <x:c r="C4" s="56" t="str">
        <x:v>Land + Sol Ring/Signet/Talisman; use low-profile tax only when needed; preserve premium interaction.</x:v>
      </x:c>
      <x:c r="D4" s="56" t="str">
        <x:v>Make land drops, prioritize colored mana, use ramp, avoid looking like the archenemy.</x:v>
      </x:c>
      <x:c r="E4" s="56" t="str">
        <x:v>Dumping all Pillow Fort, expensive engines and a finisher into open removal.</x:v>
      </x:c>
      <x:c r="F4" s="56" t="str">
        <x:v>Reach turn 4 with 4 mana and colors set; ideally one useful defense/tax piece.</x:v>
      </x:c>
    </x:row>
    <x:row r="5" ht="85" customHeight="1">
      <x:c r="A5" s="56" t="str">
        <x:v>MIDDLE — T4–7</x:v>
      </x:c>
      <x:c r="B5" s="56" t="str">
        <x:v>Establish Monarch and convert it into cards.</x:v>
      </x:c>
      <x:c r="C5" s="56" t="str">
        <x:v>Deploy Marchesa when able to benefit; select Courts by board; keep one relevant answer if possible.</x:v>
      </x:c>
      <x:c r="D5" s="56" t="str">
        <x:v>Protect life total, use Court value, politically encourage others to attack the current Monarch/leader.</x:v>
      </x:c>
      <x:c r="E5" s="56" t="str">
        <x:v>Fighting every attempt to take Monarch; over-removing low-value threats.</x:v>
      </x:c>
      <x:c r="F5" s="56" t="str">
        <x:v>Draw from Monarch consistently, one Court/engine online, and no major board deficit.</x:v>
      </x:c>
    </x:row>
    <x:row r="6" ht="85" customHeight="1">
      <x:c r="A6" s="56" t="str">
        <x:v>END — T8+</x:v>
      </x:c>
      <x:c r="B6" s="56" t="str">
        <x:v>Close with a real win condition or resource reversal.</x:v>
      </x:c>
      <x:c r="C6" s="56" t="str">
        <x:v>Choose Approach, token pressure, Forth Eorlingas!, Caesar, Assemble, or Ruinous Ultimatum followed by pressure.</x:v>
      </x:c>
      <x:c r="D6" s="56" t="str">
        <x:v>Turn surplus mana/cards into lethal pressure; use Inkshield when the attack merits it.</x:v>
      </x:c>
      <x:c r="E6" s="56" t="str">
        <x:v>Continuing to tax passively when the table can be killed; casting Ultimatum without a follow-up clock.</x:v>
      </x:c>
      <x:c r="F6" s="56" t="str">
        <x:v>Credible path to lethal or Approach win within a few turns.</x:v>
      </x:c>
    </x:row>
    <x:row r="8" ht="48" customHeight="1">
      <x:c r="A8" s="62" t="str">
        <x:v>POLITICAL RULE: Monarch is a resource, not an obligation at any cost. Let another player take it if that redirects attacks or consumes their resources, then reclaim it when combat is favorable.</x:v>
      </x:c>
      <x:c r="B8" s="62"/>
      <x:c r="C8" s="62"/>
      <x:c r="D8" s="62"/>
      <x:c r="E8" s="62"/>
      <x:c r="F8" s="62"/>
    </x:row>
  </x:sheetData>
  <x:mergeCells>
    <x:mergeCell ref="A1:F1"/>
    <x:mergeCell ref="A8:F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24" hidden="0" customWidth="1"/>
    <x:col min="3" max="3" width="25" hidden="0" customWidth="1"/>
    <x:col min="4" max="4" width="32" hidden="0" customWidth="1"/>
    <x:col min="5" max="5" width="50" hidden="0" customWidth="1"/>
    <x:col min="6" max="6" width="44" hidden="0" customWidth="1"/>
  </x:cols>
  <x:sheetData>
    <x:row r="1" ht="30" customHeight="1">
      <x:c r="A1" s="5" t="str">
        <x:v>CONTROL PANEL | LOCKS, RISKS &amp; DECISIONS</x:v>
      </x:c>
      <x:c r="B1" s="5"/>
      <x:c r="C1" s="5"/>
      <x:c r="D1" s="5"/>
      <x:c r="E1" s="5"/>
      <x:c r="F1" s="5"/>
    </x:row>
    <x:row r="3" ht="28" customHeight="1">
      <x:c r="A3" s="20" t="str">
        <x:v>Item</x:v>
      </x:c>
      <x:c r="B3" s="20" t="str">
        <x:v>Category</x:v>
      </x:c>
      <x:c r="C3" s="20" t="str">
        <x:v>Status</x:v>
      </x:c>
      <x:c r="D3" s="20" t="str">
        <x:v>Decision</x:v>
      </x:c>
      <x:c r="E3" s="20" t="str">
        <x:v>Risk / Question</x:v>
      </x:c>
      <x:c r="F3" s="20" t="str">
        <x:v>Next action</x:v>
      </x:c>
    </x:row>
    <x:row r="4">
      <x:c r="A4" s="56" t="str">
        <x:v>Six Courts</x:v>
      </x:c>
      <x:c r="B4" s="56" t="str">
        <x:v>Pet/theme lock</x:v>
      </x:c>
      <x:c r="C4" s="56" t="str">
        <x:v>LOCK</x:v>
      </x:c>
      <x:c r="D4" s="56" t="str">
        <x:v>Keep all six Courts.</x:v>
      </x:c>
      <x:c r="E4" s="56" t="str">
        <x:v>Several cost 4–6 mana; avoid deploying all at once.</x:v>
      </x:c>
      <x:c r="F4" s="56" t="str">
        <x:v>Test best Court by matchup.</x:v>
      </x:c>
    </x:row>
    <x:row r="5">
      <x:c r="A5" s="56" t="str">
        <x:v>The One Ring</x:v>
      </x:c>
      <x:c r="B5" s="56" t="str">
        <x:v>Premium/value</x:v>
      </x:c>
      <x:c r="C5" s="56" t="str">
        <x:v>LOCK for initial test</x:v>
      </x:c>
      <x:c r="D5" s="56" t="str">
        <x:v>Keep.</x:v>
      </x:c>
      <x:c r="E5" s="56" t="str">
        <x:v>Can attract removal and life loss stacks up.</x:v>
      </x:c>
      <x:c r="F5" s="56" t="str">
        <x:v>Record cards drawn and life paid.</x:v>
      </x:c>
    </x:row>
    <x:row r="6">
      <x:c r="A6" s="56" t="str">
        <x:v>Smothering Tithe</x:v>
      </x:c>
      <x:c r="B6" s="56" t="str">
        <x:v>Premium ramp</x:v>
      </x:c>
      <x:c r="C6" s="56" t="str">
        <x:v>LOCK for initial test</x:v>
      </x:c>
      <x:c r="D6" s="56" t="str">
        <x:v>Keep.</x:v>
      </x:c>
      <x:c r="E6" s="56" t="str">
        <x:v>High perceived threat changes table politics.</x:v>
      </x:c>
      <x:c r="F6" s="56" t="str">
        <x:v>Track whether it's removed immediately.</x:v>
      </x:c>
    </x:row>
    <x:row r="7">
      <x:c r="A7" s="56" t="str">
        <x:v>Approach of the Second Sun</x:v>
      </x:c>
      <x:c r="B7" s="56" t="str">
        <x:v>Alternate win condition</x:v>
      </x:c>
      <x:c r="C7" s="56" t="str">
        <x:v>KEEP / TEST</x:v>
      </x:c>
      <x:c r="D7" s="56" t="str">
        <x:v>Retain as a distinct win path.</x:v>
      </x:c>
      <x:c r="E7" s="56" t="str">
        <x:v>Requires a second cast and time/selection to redraw.</x:v>
      </x:c>
      <x:c r="F7" s="56" t="str">
        <x:v>Track cast twice or stranded.</x:v>
      </x:c>
    </x:row>
    <x:row r="8">
      <x:c r="A8" s="56" t="str">
        <x:v>Alexios / Nelly / Master / Descent</x:v>
      </x:c>
      <x:c r="B8" s="56" t="str">
        <x:v>Politics personality</x:v>
      </x:c>
      <x:c r="C8" s="56" t="str">
        <x:v>PET / THEME VALUE</x:v>
      </x:c>
      <x:c r="D8" s="56" t="str">
        <x:v>Preserve for first test.</x:v>
      </x:c>
      <x:c r="E8" s="56" t="str">
        <x:v>Must affect attacks, deals or threat priority, not just create chaos.</x:v>
      </x:c>
      <x:c r="F8" s="56" t="str">
        <x:v>Log political outcomes.</x:v>
      </x:c>
    </x:row>
    <x:row r="9">
      <x:c r="A9" s="56" t="str">
        <x:v>Irencrag Pyromancer</x:v>
      </x:c>
      <x:c r="B9" s="56" t="str">
        <x:v>Current cut</x:v>
      </x:c>
      <x:c r="C9" s="56" t="str">
        <x:v>OUT → Mangara</x:v>
      </x:c>
      <x:c r="D9" s="56" t="str">
        <x:v>Replace.</x:v>
      </x:c>
      <x:c r="E9" s="56" t="str">
        <x:v>Second-card trigger could be inconsistent.</x:v>
      </x:c>
      <x:c r="F9" s="56" t="str">
        <x:v>Revisit if marked PET LOCK.</x:v>
      </x:c>
    </x:row>
    <x:row r="10">
      <x:c r="A10" s="56" t="str">
        <x:v>Royal Assassin</x:v>
      </x:c>
      <x:c r="B10" s="56" t="str">
        <x:v>Current cut</x:v>
      </x:c>
      <x:c r="C10" s="56" t="str">
        <x:v>OUT → Inkshield</x:v>
      </x:c>
      <x:c r="D10" s="56" t="str">
        <x:v>Replace.</x:v>
      </x:c>
      <x:c r="E10" s="56" t="str">
        <x:v>Conditional removal can be avoided or removed before activation.</x:v>
      </x:c>
      <x:c r="F10" s="56" t="str">
        <x:v>Revisit if marked PET LOCK.</x:v>
      </x:c>
    </x:row>
    <x:row r="11">
      <x:c r="A11" s="56" t="str">
        <x:v>Path of Peril</x:v>
      </x:c>
      <x:c r="B11" s="56" t="str">
        <x:v>Current cut</x:v>
      </x:c>
      <x:c r="C11" s="56" t="str">
        <x:v>OUT → Disrupt Decorum</x:v>
      </x:c>
      <x:c r="D11" s="56" t="str">
        <x:v>Replace.</x:v>
      </x:c>
      <x:c r="E11" s="56" t="str">
        <x:v>Narrow wipe is cut; five resets/high-impact effects remain.</x:v>
      </x:c>
      <x:c r="F11" s="56" t="str">
        <x:v>Test goad outcomes and crown recovery.</x:v>
      </x:c>
    </x:row>
    <x:row r="12">
      <x:c r="A12" s="56" t="str">
        <x:v>Thaumatic Compass</x:v>
      </x:c>
      <x:c r="B12" s="56" t="str">
        <x:v>Current cut</x:v>
      </x:c>
      <x:c r="C12" s="56" t="str">
        <x:v>OUT → Spectator Seating</x:v>
      </x:c>
      <x:c r="D12" s="56" t="str">
        <x:v>Structural mana swap.</x:v>
      </x:c>
      <x:c r="E12" s="56" t="str">
        <x:v>Compass can fetch a basic but is slow.</x:v>
      </x:c>
      <x:c r="F12" s="56" t="str">
        <x:v>Track color screw/flood over 5–8 games.</x:v>
      </x:c>
    </x:row>
    <x:row r="13">
      <x:c r="A13" s="56" t="str">
        <x:v>Bracket / Game Changers</x:v>
      </x:c>
      <x:c r="B13" s="56" t="str">
        <x:v>Meta context</x:v>
      </x:c>
      <x:c r="C13" s="56" t="str">
        <x:v>NOT FORMALLY CLASSIFIED</x:v>
      </x:c>
      <x:c r="D13" s="56" t="str">
        <x:v>Do not claim bracket from card count alone.</x:v>
      </x:c>
      <x:c r="E13" s="56" t="str">
        <x:v>Check current list and playgroup expectations.</x:v>
      </x:c>
      <x:c r="F13" s="56" t="str">
        <x:v>Discuss intended speed with pod.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380dea880d64971"/>
  </x:tableParts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3" hidden="0" customWidth="1"/>
    <x:col min="3" max="3" width="23" hidden="0" customWidth="1"/>
    <x:col min="4" max="4" width="34" hidden="0" customWidth="1"/>
    <x:col min="5" max="5" width="13" hidden="0" customWidth="1"/>
    <x:col min="6" max="6" width="16" hidden="0" customWidth="1"/>
    <x:col min="7" max="7" width="18" hidden="0" customWidth="1"/>
    <x:col min="8" max="8" width="19" hidden="0" customWidth="1"/>
    <x:col min="9" max="9" width="18" hidden="0" customWidth="1"/>
    <x:col min="10" max="10" width="20" hidden="0" customWidth="1"/>
    <x:col min="11" max="11" width="14" hidden="0" customWidth="1"/>
    <x:col min="12" max="12" width="20" hidden="0" customWidth="1"/>
    <x:col min="13" max="13" width="14" hidden="0" customWidth="1"/>
    <x:col min="14" max="14" width="35" hidden="0" customWidth="1"/>
    <x:col min="15" max="15" width="56" hidden="0" customWidth="1"/>
  </x:cols>
  <x:sheetData>
    <x:row r="1" ht="30" customHeight="1">
      <x:c r="A1" s="5" t="str">
        <x:v>PLAYTEST LOG | PROJECTED → TESTED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3" ht="28" customHeight="1">
      <x:c r="A3" s="20" t="str">
        <x:v>Game #</x:v>
      </x:c>
      <x:c r="B3" s="20" t="str">
        <x:v>Date</x:v>
      </x:c>
      <x:c r="C3" s="20" t="str">
        <x:v>Pod / Power</x:v>
      </x:c>
      <x:c r="D3" s="20" t="str">
        <x:v>Opening 7</x:v>
      </x:c>
      <x:c r="E3" s="20" t="str">
        <x:v>Mulligan?</x:v>
      </x:c>
      <x:c r="F3" s="20" t="str">
        <x:v>Turn Marchesa</x:v>
      </x:c>
      <x:c r="G3" s="20" t="str">
        <x:v>First Monarch turn</x:v>
      </x:c>
      <x:c r="H3" s="20" t="str">
        <x:v>Monarch turns held</x:v>
      </x:c>
      <x:c r="I3" s="20" t="str">
        <x:v>Cards from Monarch</x:v>
      </x:c>
      <x:c r="J3" s="20" t="str">
        <x:v>Cards from engines</x:v>
      </x:c>
      <x:c r="K3" s="20" t="str">
        <x:v>Wipes used</x:v>
      </x:c>
      <x:c r="L3" s="20" t="str">
        <x:v>Inkshield impact</x:v>
      </x:c>
      <x:c r="M3" s="20" t="str">
        <x:v>Win / Loss</x:v>
      </x:c>
      <x:c r="N3" s="20" t="str">
        <x:v>MVP / Dead cards</x:v>
      </x:c>
      <x:c r="O3" s="20" t="str">
        <x:v>Notes / lesson</x:v>
      </x:c>
    </x:row>
    <x:row r="4">
      <x:c r="A4" s="56"/>
      <x:c r="B4" s="56"/>
      <x:c r="C4" s="56"/>
      <x:c r="D4" s="56"/>
      <x:c r="E4" s="56"/>
      <x:c r="F4" s="56"/>
      <x:c r="G4" s="56"/>
      <x:c r="H4" s="56"/>
      <x:c r="I4" s="56"/>
      <x:c r="J4" s="56"/>
      <x:c r="K4" s="56"/>
      <x:c r="L4" s="56"/>
      <x:c r="M4" s="56"/>
      <x:c r="N4" s="56"/>
      <x:c r="O4" s="56"/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</x:row>
    <x:row r="6">
      <x:c r="A6" s="56"/>
      <x:c r="B6" s="56"/>
      <x:c r="C6" s="56"/>
      <x:c r="D6" s="56"/>
      <x:c r="E6" s="56"/>
      <x:c r="F6" s="56"/>
      <x:c r="G6" s="56"/>
      <x:c r="H6" s="56"/>
      <x:c r="I6" s="56"/>
      <x:c r="J6" s="56"/>
      <x:c r="K6" s="56"/>
      <x:c r="L6" s="56"/>
      <x:c r="M6" s="56"/>
      <x:c r="N6" s="56"/>
      <x:c r="O6" s="56"/>
    </x:row>
    <x:row r="7">
      <x:c r="A7" s="56"/>
      <x:c r="B7" s="56"/>
      <x:c r="C7" s="56"/>
      <x:c r="D7" s="56"/>
      <x:c r="E7" s="56"/>
      <x:c r="F7" s="56"/>
      <x:c r="G7" s="56"/>
      <x:c r="H7" s="56"/>
      <x:c r="I7" s="56"/>
      <x:c r="J7" s="56"/>
      <x:c r="K7" s="56"/>
      <x:c r="L7" s="56"/>
      <x:c r="M7" s="56"/>
      <x:c r="N7" s="56"/>
      <x:c r="O7" s="56"/>
    </x:row>
    <x:row r="8">
      <x:c r="A8" s="56"/>
      <x:c r="B8" s="56"/>
      <x:c r="C8" s="56"/>
      <x:c r="D8" s="56"/>
      <x:c r="E8" s="56"/>
      <x:c r="F8" s="56"/>
      <x:c r="G8" s="56"/>
      <x:c r="H8" s="56"/>
      <x:c r="I8" s="56"/>
      <x:c r="J8" s="56"/>
      <x:c r="K8" s="56"/>
      <x:c r="L8" s="56"/>
      <x:c r="M8" s="56"/>
      <x:c r="N8" s="56"/>
      <x:c r="O8" s="56"/>
    </x:row>
    <x:row r="9">
      <x:c r="A9" s="56"/>
      <x:c r="B9" s="56"/>
      <x:c r="C9" s="56"/>
      <x:c r="D9" s="56"/>
      <x:c r="E9" s="56"/>
      <x:c r="F9" s="56"/>
      <x:c r="G9" s="56"/>
      <x:c r="H9" s="56"/>
      <x:c r="I9" s="56"/>
      <x:c r="J9" s="56"/>
      <x:c r="K9" s="56"/>
      <x:c r="L9" s="56"/>
      <x:c r="M9" s="56"/>
      <x:c r="N9" s="56"/>
      <x:c r="O9" s="56"/>
    </x:row>
    <x:row r="10">
      <x:c r="A10" s="56"/>
      <x:c r="B10" s="56"/>
      <x:c r="C10" s="56"/>
      <x:c r="D10" s="56"/>
      <x:c r="E10" s="56"/>
      <x:c r="F10" s="56"/>
      <x:c r="G10" s="56"/>
      <x:c r="H10" s="56"/>
      <x:c r="I10" s="56"/>
      <x:c r="J10" s="56"/>
      <x:c r="K10" s="56"/>
      <x:c r="L10" s="56"/>
      <x:c r="M10" s="56"/>
      <x:c r="N10" s="56"/>
      <x:c r="O10" s="56"/>
    </x:row>
    <x:row r="11">
      <x:c r="A11" s="56"/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</x:row>
    <x:row r="12">
      <x:c r="A12" s="56"/>
      <x:c r="B12" s="56"/>
      <x:c r="C12" s="56"/>
      <x:c r="D12" s="56"/>
      <x:c r="E12" s="56"/>
      <x:c r="F12" s="56"/>
      <x:c r="G12" s="56"/>
      <x:c r="H12" s="56"/>
      <x:c r="I12" s="56"/>
      <x:c r="J12" s="56"/>
      <x:c r="K12" s="56"/>
      <x:c r="L12" s="56"/>
      <x:c r="M12" s="56"/>
      <x:c r="N12" s="56"/>
      <x:c r="O12" s="56"/>
    </x:row>
    <x:row r="13">
      <x:c r="A13" s="56"/>
      <x:c r="B13" s="56"/>
      <x:c r="C13" s="56"/>
      <x:c r="D13" s="56"/>
      <x:c r="E13" s="56"/>
      <x:c r="F13" s="56"/>
      <x:c r="G13" s="56"/>
      <x:c r="H13" s="56"/>
      <x:c r="I13" s="56"/>
      <x:c r="J13" s="56"/>
      <x:c r="K13" s="56"/>
      <x:c r="L13" s="56"/>
      <x:c r="M13" s="56"/>
      <x:c r="N13" s="56"/>
      <x:c r="O13" s="56"/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  <x:c r="M14" s="56"/>
      <x:c r="N14" s="56"/>
      <x:c r="O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  <x:c r="M15" s="56"/>
      <x:c r="N15" s="56"/>
      <x:c r="O15" s="56"/>
    </x:row>
  </x:sheetData>
  <x:mergeCells>
    <x:mergeCell ref="A1:O1"/>
  </x:mergeCells>
  <x:dataValidations count="2">
    <x:dataValidation type="list" sqref="E4:E15">
      <x:formula1>"Yes,No"</x:formula1>
    </x:dataValidation>
    <x:dataValidation type="list" sqref="M4:M15">
      <x:formula1>"Win,Loss,Draw,Concede,N/A"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12f85b170b4fa9"/>
  </x:tableParts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7" hidden="0" customWidth="1"/>
    <x:col min="2" max="2" width="31" hidden="0" customWidth="1"/>
    <x:col min="3" max="3" width="24" hidden="0" customWidth="1"/>
    <x:col min="4" max="4" width="20" hidden="0" customWidth="1"/>
    <x:col min="5" max="5" width="36" hidden="0" customWidth="1"/>
    <x:col min="6" max="6" width="62" hidden="0" customWidth="1"/>
  </x:cols>
  <x:sheetData>
    <x:row r="1" ht="30" customHeight="1">
      <x:c r="A1" s="5" t="str">
        <x:v>V2.1 DECKLIST | 1 COMMANDER + 99</x:v>
      </x:c>
      <x:c r="B1" s="5"/>
      <x:c r="C1" s="5"/>
      <x:c r="D1" s="5"/>
      <x:c r="E1" s="5"/>
      <x:c r="F1" s="5"/>
    </x:row>
    <x:row r="2" ht="28" customHeight="1">
      <x:c r="A2" s="20" t="str">
        <x:v>Qty</x:v>
      </x:c>
      <x:c r="B2" s="20" t="str">
        <x:v>Card</x:v>
      </x:c>
      <x:c r="C2" s="20" t="str">
        <x:v>Type</x:v>
      </x:c>
      <x:c r="D2" s="20" t="str">
        <x:v>8×8 Slot</x:v>
      </x:c>
      <x:c r="E2" s="20" t="str">
        <x:v>Primary Role</x:v>
      </x:c>
      <x:c r="F2" s="20" t="str">
        <x:v>Notes</x:v>
      </x:c>
    </x:row>
    <x:row r="3">
      <x:c r="A3" s="56" t="n">
        <x:v>1</x:v>
      </x:c>
      <x:c r="B3" s="56" t="str">
        <x:v>Queen Marchesa</x:v>
      </x:c>
      <x:c r="C3" s="56" t="str">
        <x:v>Legendary Creature — Human Assassin</x:v>
      </x:c>
      <x:c r="D3" s="56" t="str">
        <x:v>Commander</x:v>
      </x:c>
      <x:c r="E3" s="56" t="str">
        <x:v>Commander / Monarch</x:v>
      </x:c>
      <x:c r="F3" s="56" t="str">
        <x:v>Outside 8×8 99-card allocation</x:v>
      </x:c>
    </x:row>
    <x:row r="4">
      <x:c r="A4" s="56" t="n">
        <x:v>1</x:v>
      </x:c>
      <x:c r="B4" s="56" t="str">
        <x:v>Alexios, Deimos of Kosmos</x:v>
      </x:c>
      <x:c r="C4" s="56" t="str">
        <x:v>Creature</x:v>
      </x:c>
      <x:c r="D4" s="56" t="str">
        <x:v>8×8 spell</x:v>
      </x:c>
      <x:c r="E4" s="56" t="str">
        <x:v>6. Politics &amp; Forced Combat</x:v>
      </x:c>
      <x:c r="F4" s="56" t="str">
        <x:v>Redirect pressure, reward deals, and punish overextension.</x:v>
      </x:c>
    </x:row>
    <x:row r="5">
      <x:c r="A5" s="56" t="n">
        <x:v>1</x:v>
      </x:c>
      <x:c r="B5" s="56" t="str">
        <x:v>Anguished Unmaking</x:v>
      </x:c>
      <x:c r="C5" s="56" t="str">
        <x:v>Instant</x:v>
      </x:c>
      <x:c r="D5" s="56" t="str">
        <x:v>8×8 spell</x:v>
      </x:c>
      <x:c r="E5" s="56" t="str">
        <x:v>5. Spot Removal</x:v>
      </x:c>
      <x:c r="F5" s="56" t="str">
        <x:v>Answer specific threats compromising your engine or ability to close.</x:v>
      </x:c>
    </x:row>
    <x:row r="6">
      <x:c r="A6" s="56" t="n">
        <x:v>1</x:v>
      </x:c>
      <x:c r="B6" s="56" t="str">
        <x:v>Approach of the Second Sun</x:v>
      </x:c>
      <x:c r="C6" s="56" t="str">
        <x:v>Sorcery / other</x:v>
      </x:c>
      <x:c r="D6" s="56" t="str">
        <x:v>8×8 spell</x:v>
      </x:c>
      <x:c r="E6" s="56" t="str">
        <x:v>8. Finishers &amp; Token Engines</x:v>
      </x:c>
      <x:c r="F6" s="56" t="str">
        <x:v>Alternate win condition; requires a second cast.</x:v>
      </x:c>
    </x:row>
    <x:row r="7">
      <x:c r="A7" s="56" t="n">
        <x:v>1</x:v>
      </x:c>
      <x:c r="B7" s="56" t="str">
        <x:v>Arcane Signet</x:v>
      </x:c>
      <x:c r="C7" s="56" t="str">
        <x:v>Artifact</x:v>
      </x:c>
      <x:c r="D7" s="56" t="str">
        <x:v>8×8 spell</x:v>
      </x:c>
      <x:c r="E7" s="56" t="str">
        <x:v>1. Ramp &amp; Fixing</x:v>
      </x:c>
      <x:c r="F7" s="56" t="str">
        <x:v>Build mana early without attracting unnecessary attention.</x:v>
      </x:c>
    </x:row>
    <x:row r="8">
      <x:c r="A8" s="56" t="n">
        <x:v>1</x:v>
      </x:c>
      <x:c r="B8" s="56" t="str">
        <x:v>Archon of Coronation</x:v>
      </x:c>
      <x:c r="C8" s="56" t="str">
        <x:v>Creature</x:v>
      </x:c>
      <x:c r="D8" s="56" t="str">
        <x:v>8×8 spell</x:v>
      </x:c>
      <x:c r="E8" s="56" t="str">
        <x:v>2. Monarch &amp; Courts</x:v>
      </x:c>
      <x:c r="F8" s="56" t="str">
        <x:v>Acquire the crown and generate recurring value from Courts.</x:v>
      </x:c>
    </x:row>
    <x:row r="9">
      <x:c r="A9" s="56" t="n">
        <x:v>1</x:v>
      </x:c>
      <x:c r="B9" s="56" t="str">
        <x:v>Assemble the Legion</x:v>
      </x:c>
      <x:c r="C9" s="56" t="str">
        <x:v>Enchantment</x:v>
      </x:c>
      <x:c r="D9" s="56" t="str">
        <x:v>8×8 spell</x:v>
      </x:c>
      <x:c r="E9" s="56" t="str">
        <x:v>8. Finishers &amp; Token Engines</x:v>
      </x:c>
      <x:c r="F9" s="56" t="str">
        <x:v>Convert accumulated value into a decisive endgame.</x:v>
      </x:c>
    </x:row>
    <x:row r="10">
      <x:c r="A10" s="56" t="n">
        <x:v>1</x:v>
      </x:c>
      <x:c r="B10" s="56" t="str">
        <x:v>Austere Command</x:v>
      </x:c>
      <x:c r="C10" s="56" t="str">
        <x:v>Sorcery / other</x:v>
      </x:c>
      <x:c r="D10" s="56" t="str">
        <x:v>8×8 spell</x:v>
      </x:c>
      <x:c r="E10" s="56" t="str">
        <x:v>7. Board Control &amp; Defensive Reversal</x:v>
      </x:c>
      <x:c r="F10" s="56" t="str">
        <x:v>Reset runaway boards or convert an attack into a reversal.</x:v>
      </x:c>
    </x:row>
    <x:row r="11">
      <x:c r="A11" s="56" t="n">
        <x:v>1</x:v>
      </x:c>
      <x:c r="B11" s="56" t="str">
        <x:v>Blasphemous Act</x:v>
      </x:c>
      <x:c r="C11" s="56" t="str">
        <x:v>Sorcery / other</x:v>
      </x:c>
      <x:c r="D11" s="56" t="str">
        <x:v>8×8 spell</x:v>
      </x:c>
      <x:c r="E11" s="56" t="str">
        <x:v>7. Board Control &amp; Defensive Reversal</x:v>
      </x:c>
      <x:c r="F11" s="56" t="str">
        <x:v>Reset runaway boards or convert an attack into a reversal.</x:v>
      </x:c>
    </x:row>
    <x:row r="12">
      <x:c r="A12" s="56" t="n">
        <x:v>1</x:v>
      </x:c>
      <x:c r="B12" s="56" t="str">
        <x:v>Blasphemous Edict</x:v>
      </x:c>
      <x:c r="C12" s="56" t="str">
        <x:v>Sorcery / other</x:v>
      </x:c>
      <x:c r="D12" s="56" t="str">
        <x:v>8×8 spell</x:v>
      </x:c>
      <x:c r="E12" s="56" t="str">
        <x:v>7. Board Control &amp; Defensive Reversal</x:v>
      </x:c>
      <x:c r="F12" s="56" t="str">
        <x:v>Reset runaway boards or convert an attack into a reversal.</x:v>
      </x:c>
    </x:row>
    <x:row r="13">
      <x:c r="A13" s="56" t="n">
        <x:v>1</x:v>
      </x:c>
      <x:c r="B13" s="56" t="str">
        <x:v>Blightstep Pathway</x:v>
      </x:c>
      <x:c r="C13" s="56" t="str">
        <x:v>Land</x:v>
      </x:c>
      <x:c r="D13" s="56" t="str">
        <x:v>Land (physical)</x:v>
      </x:c>
      <x:c r="E13" s="56" t="str">
        <x:v>Land Package (physical land)</x:v>
      </x:c>
      <x:c r="F13" s="56" t="str">
        <x:v>Primary functional grouping; card may have additional roles.</x:v>
      </x:c>
    </x:row>
    <x:row r="14">
      <x:c r="A14" s="56" t="n">
        <x:v>1</x:v>
      </x:c>
      <x:c r="B14" s="56" t="str">
        <x:v>Blind Obedience</x:v>
      </x:c>
      <x:c r="C14" s="56" t="str">
        <x:v>Enchantment</x:v>
      </x:c>
      <x:c r="D14" s="56" t="str">
        <x:v>8×8 spell</x:v>
      </x:c>
      <x:c r="E14" s="56" t="str">
        <x:v>4. Pillow Fort &amp; Tax</x:v>
      </x:c>
      <x:c r="F14" s="56" t="str">
        <x:v>Make attacks against you costly and buy time.</x:v>
      </x:c>
    </x:row>
    <x:row r="15">
      <x:c r="A15" s="56" t="n">
        <x:v>1</x:v>
      </x:c>
      <x:c r="B15" s="56" t="str">
        <x:v>Bloodsoaked Insight</x:v>
      </x:c>
      <x:c r="C15" s="56" t="str">
        <x:v>MDFC / spell-land</x:v>
      </x:c>
      <x:c r="D15" s="56" t="str">
        <x:v>MDFC / land slot</x:v>
      </x:c>
      <x:c r="E15" s="56" t="str">
        <x:v>Land Package (MDFC)</x:v>
      </x:c>
      <x:c r="F15" s="56" t="str">
        <x:v>MDFC; back face Sanguine Morass. Allocated to 35-land bucket for 8×8; front face remains castable.</x:v>
      </x:c>
    </x:row>
    <x:row r="16">
      <x:c r="A16" s="56" t="n">
        <x:v>1</x:v>
      </x:c>
      <x:c r="B16" s="56" t="str">
        <x:v>Brightclimb Pathway</x:v>
      </x:c>
      <x:c r="C16" s="56" t="str">
        <x:v>Land</x:v>
      </x:c>
      <x:c r="D16" s="56" t="str">
        <x:v>Land (physical)</x:v>
      </x:c>
      <x:c r="E16" s="56" t="str">
        <x:v>Land Package (physical land)</x:v>
      </x:c>
      <x:c r="F16" s="56" t="str">
        <x:v>Primary functional grouping; card may have additional roles.</x:v>
      </x:c>
    </x:row>
    <x:row r="17">
      <x:c r="A17" s="56" t="n">
        <x:v>1</x:v>
      </x:c>
      <x:c r="B17" s="56" t="str">
        <x:v>Caesar, Legion's Emperor</x:v>
      </x:c>
      <x:c r="C17" s="56" t="str">
        <x:v>Creature</x:v>
      </x:c>
      <x:c r="D17" s="56" t="str">
        <x:v>8×8 spell</x:v>
      </x:c>
      <x:c r="E17" s="56" t="str">
        <x:v>8. Finishers &amp; Token Engines</x:v>
      </x:c>
      <x:c r="F17" s="56" t="str">
        <x:v>Convert accumulated value into a decisive endgame.</x:v>
      </x:c>
    </x:row>
    <x:row r="18">
      <x:c r="A18" s="56" t="n">
        <x:v>1</x:v>
      </x:c>
      <x:c r="B18" s="56" t="str">
        <x:v>Cave of the Frost Dragon</x:v>
      </x:c>
      <x:c r="C18" s="56" t="str">
        <x:v>Land</x:v>
      </x:c>
      <x:c r="D18" s="56" t="str">
        <x:v>Land (physical)</x:v>
      </x:c>
      <x:c r="E18" s="56" t="str">
        <x:v>Land Package (physical land)</x:v>
      </x:c>
      <x:c r="F18" s="56" t="str">
        <x:v>Primary functional grouping; card may have additional roles.</x:v>
      </x:c>
    </x:row>
    <x:row r="19">
      <x:c r="A19" s="56" t="n">
        <x:v>1</x:v>
      </x:c>
      <x:c r="B19" s="56" t="str">
        <x:v>Champions of Minas Tirith</x:v>
      </x:c>
      <x:c r="C19" s="56" t="str">
        <x:v>Creature</x:v>
      </x:c>
      <x:c r="D19" s="56" t="str">
        <x:v>8×8 spell</x:v>
      </x:c>
      <x:c r="E19" s="56" t="str">
        <x:v>3. Draw &amp; Card Advantage</x:v>
      </x:c>
      <x:c r="F19" s="56" t="str">
        <x:v>Keep cards flowing even when Monarch changes hands.</x:v>
      </x:c>
    </x:row>
    <x:row r="20">
      <x:c r="A20" s="56" t="n">
        <x:v>1</x:v>
      </x:c>
      <x:c r="B20" s="56" t="str">
        <x:v>Chaos Warp</x:v>
      </x:c>
      <x:c r="C20" s="56" t="str">
        <x:v>Instant</x:v>
      </x:c>
      <x:c r="D20" s="56" t="str">
        <x:v>8×8 spell</x:v>
      </x:c>
      <x:c r="E20" s="56" t="str">
        <x:v>5. Spot Removal</x:v>
      </x:c>
      <x:c r="F20" s="56" t="str">
        <x:v>Answer specific threats compromising your engine or ability to close.</x:v>
      </x:c>
    </x:row>
    <x:row r="21">
      <x:c r="A21" s="56" t="n">
        <x:v>1</x:v>
      </x:c>
      <x:c r="B21" s="56" t="str">
        <x:v>Command Tower</x:v>
      </x:c>
      <x:c r="C21" s="56" t="str">
        <x:v>Land</x:v>
      </x:c>
      <x:c r="D21" s="56" t="str">
        <x:v>Land (physical)</x:v>
      </x:c>
      <x:c r="E21" s="56" t="str">
        <x:v>Land Package (physical land)</x:v>
      </x:c>
      <x:c r="F21" s="56" t="str">
        <x:v>Primary functional grouping; card may have additional roles.</x:v>
      </x:c>
    </x:row>
    <x:row r="22">
      <x:c r="A22" s="56" t="n">
        <x:v>1</x:v>
      </x:c>
      <x:c r="B22" s="56" t="str">
        <x:v>Council's Judgment</x:v>
      </x:c>
      <x:c r="C22" s="56" t="str">
        <x:v>Sorcery / other</x:v>
      </x:c>
      <x:c r="D22" s="56" t="str">
        <x:v>8×8 spell</x:v>
      </x:c>
      <x:c r="E22" s="56" t="str">
        <x:v>5. Spot Removal</x:v>
      </x:c>
      <x:c r="F22" s="56" t="str">
        <x:v>Answer specific threats compromising your engine or ability to close.</x:v>
      </x:c>
    </x:row>
    <x:row r="23">
      <x:c r="A23" s="56" t="n">
        <x:v>1</x:v>
      </x:c>
      <x:c r="B23" s="56" t="str">
        <x:v>Court of Ambition</x:v>
      </x:c>
      <x:c r="C23" s="56" t="str">
        <x:v>Enchantment</x:v>
      </x:c>
      <x:c r="D23" s="56" t="str">
        <x:v>8×8 spell</x:v>
      </x:c>
      <x:c r="E23" s="56" t="str">
        <x:v>2. Monarch &amp; Courts</x:v>
      </x:c>
      <x:c r="F23" s="56" t="str">
        <x:v>Acquire the crown and generate recurring value from Courts.</x:v>
      </x:c>
    </x:row>
    <x:row r="24">
      <x:c r="A24" s="56" t="n">
        <x:v>1</x:v>
      </x:c>
      <x:c r="B24" s="56" t="str">
        <x:v>Court of Ardenvale</x:v>
      </x:c>
      <x:c r="C24" s="56" t="str">
        <x:v>Enchantment</x:v>
      </x:c>
      <x:c r="D24" s="56" t="str">
        <x:v>8×8 spell</x:v>
      </x:c>
      <x:c r="E24" s="56" t="str">
        <x:v>2. Monarch &amp; Courts</x:v>
      </x:c>
      <x:c r="F24" s="56" t="str">
        <x:v>Acquire the crown and generate recurring value from Courts.</x:v>
      </x:c>
    </x:row>
    <x:row r="25">
      <x:c r="A25" s="56" t="n">
        <x:v>1</x:v>
      </x:c>
      <x:c r="B25" s="56" t="str">
        <x:v>Court of Embereth</x:v>
      </x:c>
      <x:c r="C25" s="56" t="str">
        <x:v>Enchantment</x:v>
      </x:c>
      <x:c r="D25" s="56" t="str">
        <x:v>8×8 spell</x:v>
      </x:c>
      <x:c r="E25" s="56" t="str">
        <x:v>2. Monarch &amp; Courts</x:v>
      </x:c>
      <x:c r="F25" s="56" t="str">
        <x:v>Acquire the crown and generate recurring value from Courts.</x:v>
      </x:c>
    </x:row>
    <x:row r="26">
      <x:c r="A26" s="56" t="n">
        <x:v>1</x:v>
      </x:c>
      <x:c r="B26" s="56" t="str">
        <x:v>Court of Grace</x:v>
      </x:c>
      <x:c r="C26" s="56" t="str">
        <x:v>Enchantment</x:v>
      </x:c>
      <x:c r="D26" s="56" t="str">
        <x:v>8×8 spell</x:v>
      </x:c>
      <x:c r="E26" s="56" t="str">
        <x:v>2. Monarch &amp; Courts</x:v>
      </x:c>
      <x:c r="F26" s="56" t="str">
        <x:v>Acquire the crown and generate recurring value from Courts.</x:v>
      </x:c>
    </x:row>
    <x:row r="27">
      <x:c r="A27" s="56" t="n">
        <x:v>1</x:v>
      </x:c>
      <x:c r="B27" s="56" t="str">
        <x:v>Court of Ire</x:v>
      </x:c>
      <x:c r="C27" s="56" t="str">
        <x:v>Enchantment</x:v>
      </x:c>
      <x:c r="D27" s="56" t="str">
        <x:v>8×8 spell</x:v>
      </x:c>
      <x:c r="E27" s="56" t="str">
        <x:v>2. Monarch &amp; Courts</x:v>
      </x:c>
      <x:c r="F27" s="56" t="str">
        <x:v>Acquire the crown and generate recurring value from Courts.</x:v>
      </x:c>
    </x:row>
    <x:row r="28">
      <x:c r="A28" s="56" t="n">
        <x:v>1</x:v>
      </x:c>
      <x:c r="B28" s="56" t="str">
        <x:v>Court of Locthwain</x:v>
      </x:c>
      <x:c r="C28" s="56" t="str">
        <x:v>Enchantment</x:v>
      </x:c>
      <x:c r="D28" s="56" t="str">
        <x:v>8×8 spell</x:v>
      </x:c>
      <x:c r="E28" s="56" t="str">
        <x:v>2. Monarch &amp; Courts</x:v>
      </x:c>
      <x:c r="F28" s="56" t="str">
        <x:v>Acquire the crown and generate recurring value from Courts.</x:v>
      </x:c>
    </x:row>
    <x:row r="29">
      <x:c r="A29" s="56" t="n">
        <x:v>1</x:v>
      </x:c>
      <x:c r="B29" s="56" t="str">
        <x:v>Crimson Fleet Commodore</x:v>
      </x:c>
      <x:c r="C29" s="56" t="str">
        <x:v>Creature</x:v>
      </x:c>
      <x:c r="D29" s="56" t="str">
        <x:v>8×8 spell</x:v>
      </x:c>
      <x:c r="E29" s="56" t="str">
        <x:v>3. Draw &amp; Card Advantage</x:v>
      </x:c>
      <x:c r="F29" s="56" t="str">
        <x:v>Keep cards flowing even when Monarch changes hands.</x:v>
      </x:c>
    </x:row>
    <x:row r="30">
      <x:c r="A30" s="56" t="n">
        <x:v>1</x:v>
      </x:c>
      <x:c r="B30" s="56" t="str">
        <x:v>Custodi Lich</x:v>
      </x:c>
      <x:c r="C30" s="56" t="str">
        <x:v>Creature</x:v>
      </x:c>
      <x:c r="D30" s="56" t="str">
        <x:v>8×8 spell</x:v>
      </x:c>
      <x:c r="E30" s="56" t="str">
        <x:v>7. Board Control &amp; Defensive Reversal</x:v>
      </x:c>
      <x:c r="F30" s="56" t="str">
        <x:v>Reset runaway boards or convert an attack into a reversal.</x:v>
      </x:c>
    </x:row>
    <x:row r="31">
      <x:c r="A31" s="56" t="n">
        <x:v>1</x:v>
      </x:c>
      <x:c r="B31" s="56" t="str">
        <x:v>Darksteel Mutation</x:v>
      </x:c>
      <x:c r="C31" s="56" t="str">
        <x:v>Sorcery / other</x:v>
      </x:c>
      <x:c r="D31" s="56" t="str">
        <x:v>8×8 spell</x:v>
      </x:c>
      <x:c r="E31" s="56" t="str">
        <x:v>5. Spot Removal</x:v>
      </x:c>
      <x:c r="F31" s="56" t="str">
        <x:v>Answer specific threats compromising your engine or ability to close.</x:v>
      </x:c>
    </x:row>
    <x:row r="32">
      <x:c r="A32" s="56" t="n">
        <x:v>1</x:v>
      </x:c>
      <x:c r="B32" s="56" t="str">
        <x:v>Decanter of Endless Water</x:v>
      </x:c>
      <x:c r="C32" s="56" t="str">
        <x:v>Artifact</x:v>
      </x:c>
      <x:c r="D32" s="56" t="str">
        <x:v>8×8 spell</x:v>
      </x:c>
      <x:c r="E32" s="56" t="str">
        <x:v>1. Ramp &amp; Fixing</x:v>
      </x:c>
      <x:c r="F32" s="56" t="str">
        <x:v>Build mana early without attracting unnecessary attention.</x:v>
      </x:c>
    </x:row>
    <x:row r="33">
      <x:c r="A33" s="56" t="n">
        <x:v>1</x:v>
      </x:c>
      <x:c r="B33" s="56" t="str">
        <x:v>Den of the Bugbear</x:v>
      </x:c>
      <x:c r="C33" s="56" t="str">
        <x:v>Land</x:v>
      </x:c>
      <x:c r="D33" s="56" t="str">
        <x:v>Land (physical)</x:v>
      </x:c>
      <x:c r="E33" s="56" t="str">
        <x:v>Land Package (physical land)</x:v>
      </x:c>
      <x:c r="F33" s="56" t="str">
        <x:v>Primary functional grouping; card may have additional roles.</x:v>
      </x:c>
    </x:row>
    <x:row r="34">
      <x:c r="A34" s="56" t="n">
        <x:v>1</x:v>
      </x:c>
      <x:c r="B34" s="56" t="str">
        <x:v>Descent into Avernus</x:v>
      </x:c>
      <x:c r="C34" s="56" t="str">
        <x:v>Enchantment</x:v>
      </x:c>
      <x:c r="D34" s="56" t="str">
        <x:v>8×8 spell</x:v>
      </x:c>
      <x:c r="E34" s="56" t="str">
        <x:v>6. Politics &amp; Forced Combat</x:v>
      </x:c>
      <x:c r="F34" s="56" t="str">
        <x:v>Redirect pressure, reward deals, and punish overextension.</x:v>
      </x:c>
    </x:row>
    <x:row r="35">
      <x:c r="A35" s="56" t="n">
        <x:v>1</x:v>
      </x:c>
      <x:c r="B35" s="56" t="str">
        <x:v>Duelist's Heritage</x:v>
      </x:c>
      <x:c r="C35" s="56" t="str">
        <x:v>Enchantment</x:v>
      </x:c>
      <x:c r="D35" s="56" t="str">
        <x:v>8×8 spell</x:v>
      </x:c>
      <x:c r="E35" s="56" t="str">
        <x:v>6. Politics &amp; Forced Combat</x:v>
      </x:c>
      <x:c r="F35" s="56" t="str">
        <x:v>Redirect pressure, reward deals, and punish overextension.</x:v>
      </x:c>
    </x:row>
    <x:row r="36">
      <x:c r="A36" s="56" t="n">
        <x:v>1</x:v>
      </x:c>
      <x:c r="B36" s="56" t="str">
        <x:v>Elegant Parlor</x:v>
      </x:c>
      <x:c r="C36" s="56" t="str">
        <x:v>Land</x:v>
      </x:c>
      <x:c r="D36" s="56" t="str">
        <x:v>Land (physical)</x:v>
      </x:c>
      <x:c r="E36" s="56" t="str">
        <x:v>Land Package (physical land)</x:v>
      </x:c>
      <x:c r="F36" s="56" t="str">
        <x:v>Primary functional grouping; card may have additional roles.</x:v>
      </x:c>
    </x:row>
    <x:row r="37">
      <x:c r="A37" s="56" t="n">
        <x:v>1</x:v>
      </x:c>
      <x:c r="B37" s="56" t="str">
        <x:v>Emberwilde Captain</x:v>
      </x:c>
      <x:c r="C37" s="56" t="str">
        <x:v>Creature</x:v>
      </x:c>
      <x:c r="D37" s="56" t="str">
        <x:v>8×8 spell</x:v>
      </x:c>
      <x:c r="E37" s="56" t="str">
        <x:v>3. Draw &amp; Card Advantage</x:v>
      </x:c>
      <x:c r="F37" s="56" t="str">
        <x:v>Keep cards flowing even when Monarch changes hands.</x:v>
      </x:c>
    </x:row>
    <x:row r="38">
      <x:c r="A38" s="56" t="n">
        <x:v>1</x:v>
      </x:c>
      <x:c r="B38" s="56" t="str">
        <x:v>Esper Sentinel</x:v>
      </x:c>
      <x:c r="C38" s="56" t="str">
        <x:v>Creature</x:v>
      </x:c>
      <x:c r="D38" s="56" t="str">
        <x:v>8×8 spell</x:v>
      </x:c>
      <x:c r="E38" s="56" t="str">
        <x:v>3. Draw &amp; Card Advantage</x:v>
      </x:c>
      <x:c r="F38" s="56" t="str">
        <x:v>Keep cards flowing even when Monarch changes hands.</x:v>
      </x:c>
    </x:row>
    <x:row r="39">
      <x:c r="A39" s="56" t="n">
        <x:v>1</x:v>
      </x:c>
      <x:c r="B39" s="56" t="str">
        <x:v>Exotic Orchard</x:v>
      </x:c>
      <x:c r="C39" s="56" t="str">
        <x:v>Land</x:v>
      </x:c>
      <x:c r="D39" s="56" t="str">
        <x:v>Land (physical)</x:v>
      </x:c>
      <x:c r="E39" s="56" t="str">
        <x:v>Land Package (physical land)</x:v>
      </x:c>
      <x:c r="F39" s="56" t="str">
        <x:v>Primary functional grouping; card may have additional roles.</x:v>
      </x:c>
    </x:row>
    <x:row r="40">
      <x:c r="A40" s="56" t="n">
        <x:v>1</x:v>
      </x:c>
      <x:c r="B40" s="56" t="str">
        <x:v>Feast of Succession</x:v>
      </x:c>
      <x:c r="C40" s="56" t="str">
        <x:v>Sorcery / other</x:v>
      </x:c>
      <x:c r="D40" s="56" t="str">
        <x:v>8×8 spell</x:v>
      </x:c>
      <x:c r="E40" s="56" t="str">
        <x:v>7. Board Control &amp; Defensive Reversal</x:v>
      </x:c>
      <x:c r="F40" s="56" t="str">
        <x:v>Reset runaway boards or convert an attack into a reversal.</x:v>
      </x:c>
    </x:row>
    <x:row r="41">
      <x:c r="A41" s="56" t="n">
        <x:v>1</x:v>
      </x:c>
      <x:c r="B41" s="56" t="str">
        <x:v>Fetid Heath</x:v>
      </x:c>
      <x:c r="C41" s="56" t="str">
        <x:v>Land</x:v>
      </x:c>
      <x:c r="D41" s="56" t="str">
        <x:v>Land (physical)</x:v>
      </x:c>
      <x:c r="E41" s="56" t="str">
        <x:v>Land Package (physical land)</x:v>
      </x:c>
      <x:c r="F41" s="56" t="str">
        <x:v>Primary functional grouping; card may have additional roles.</x:v>
      </x:c>
    </x:row>
    <x:row r="42">
      <x:c r="A42" s="56" t="n">
        <x:v>1</x:v>
      </x:c>
      <x:c r="B42" s="56" t="str">
        <x:v>Field of Ruin</x:v>
      </x:c>
      <x:c r="C42" s="56" t="str">
        <x:v>Land</x:v>
      </x:c>
      <x:c r="D42" s="56" t="str">
        <x:v>Land (physical)</x:v>
      </x:c>
      <x:c r="E42" s="56" t="str">
        <x:v>Land Package (physical land)</x:v>
      </x:c>
      <x:c r="F42" s="56" t="str">
        <x:v>Primary functional grouping; card may have additional roles.</x:v>
      </x:c>
    </x:row>
    <x:row r="43">
      <x:c r="A43" s="56" t="n">
        <x:v>1</x:v>
      </x:c>
      <x:c r="B43" s="56" t="str">
        <x:v>Forth Eorlingas!</x:v>
      </x:c>
      <x:c r="C43" s="56" t="str">
        <x:v>Sorcery / other</x:v>
      </x:c>
      <x:c r="D43" s="56" t="str">
        <x:v>8×8 spell</x:v>
      </x:c>
      <x:c r="E43" s="56" t="str">
        <x:v>8. Finishers &amp; Token Engines</x:v>
      </x:c>
      <x:c r="F43" s="56" t="str">
        <x:v>Convert accumulated value into a decisive endgame.</x:v>
      </x:c>
    </x:row>
    <x:row r="44">
      <x:c r="A44" s="56" t="n">
        <x:v>1</x:v>
      </x:c>
      <x:c r="B44" s="56" t="str">
        <x:v>Generous Gift</x:v>
      </x:c>
      <x:c r="C44" s="56" t="str">
        <x:v>Instant</x:v>
      </x:c>
      <x:c r="D44" s="56" t="str">
        <x:v>8×8 spell</x:v>
      </x:c>
      <x:c r="E44" s="56" t="str">
        <x:v>5. Spot Removal</x:v>
      </x:c>
      <x:c r="F44" s="56" t="str">
        <x:v>Answer specific threats compromising your engine or ability to close.</x:v>
      </x:c>
    </x:row>
    <x:row r="45">
      <x:c r="A45" s="56" t="n">
        <x:v>1</x:v>
      </x:c>
      <x:c r="B45" s="56" t="str">
        <x:v>Get Lost</x:v>
      </x:c>
      <x:c r="C45" s="56" t="str">
        <x:v>Instant</x:v>
      </x:c>
      <x:c r="D45" s="56" t="str">
        <x:v>8×8 spell</x:v>
      </x:c>
      <x:c r="E45" s="56" t="str">
        <x:v>5. Spot Removal</x:v>
      </x:c>
      <x:c r="F45" s="56" t="str">
        <x:v>Answer specific threats compromising your engine or ability to close.</x:v>
      </x:c>
    </x:row>
    <x:row r="46">
      <x:c r="A46" s="56" t="n">
        <x:v>1</x:v>
      </x:c>
      <x:c r="B46" s="56" t="str">
        <x:v>Ghostly Prison</x:v>
      </x:c>
      <x:c r="C46" s="56" t="str">
        <x:v>Enchantment</x:v>
      </x:c>
      <x:c r="D46" s="56" t="str">
        <x:v>8×8 spell</x:v>
      </x:c>
      <x:c r="E46" s="56" t="str">
        <x:v>4. Pillow Fort &amp; Tax</x:v>
      </x:c>
      <x:c r="F46" s="56" t="str">
        <x:v>Make attacks against you costly and buy time.</x:v>
      </x:c>
    </x:row>
    <x:row r="47">
      <x:c r="A47" s="56" t="n">
        <x:v>1</x:v>
      </x:c>
      <x:c r="B47" s="56" t="str">
        <x:v>Glasswing Grace</x:v>
      </x:c>
      <x:c r="C47" s="56" t="str">
        <x:v>MDFC / spell-land</x:v>
      </x:c>
      <x:c r="D47" s="56" t="str">
        <x:v>MDFC / land slot</x:v>
      </x:c>
      <x:c r="E47" s="56" t="str">
        <x:v>Land Package (MDFC)</x:v>
      </x:c>
      <x:c r="F47" s="56" t="str">
        <x:v>MDFC; back face Age-Graced Chapel. Allocated to 35-land bucket for 8×8; front face remains castable.</x:v>
      </x:c>
    </x:row>
    <x:row r="48">
      <x:c r="A48" s="56" t="n">
        <x:v>1</x:v>
      </x:c>
      <x:c r="B48" s="56" t="str">
        <x:v>Grave Venerations</x:v>
      </x:c>
      <x:c r="C48" s="56" t="str">
        <x:v>Enchantment</x:v>
      </x:c>
      <x:c r="D48" s="56" t="str">
        <x:v>8×8 spell</x:v>
      </x:c>
      <x:c r="E48" s="56" t="str">
        <x:v>8. Finishers &amp; Token Engines</x:v>
      </x:c>
      <x:c r="F48" s="56" t="str">
        <x:v>Enchantment: becomes Monarch on entry; at end step while Monarch returns a creature card to hand; your creatures dying drains opponents and gains life.</x:v>
      </x:c>
    </x:row>
    <x:row r="49">
      <x:c r="A49" s="56" t="n">
        <x:v>1</x:v>
      </x:c>
      <x:c r="B49" s="56" t="str">
        <x:v>Graven Cairns</x:v>
      </x:c>
      <x:c r="C49" s="56" t="str">
        <x:v>Land</x:v>
      </x:c>
      <x:c r="D49" s="56" t="str">
        <x:v>Land (physical)</x:v>
      </x:c>
      <x:c r="E49" s="56" t="str">
        <x:v>Land Package (physical land)</x:v>
      </x:c>
      <x:c r="F49" s="56" t="str">
        <x:v>Primary functional grouping; card may have additional roles.</x:v>
      </x:c>
    </x:row>
    <x:row r="50">
      <x:c r="A50" s="56" t="n">
        <x:v>1</x:v>
      </x:c>
      <x:c r="B50" s="56" t="str">
        <x:v>Hall of Heliod's Generosity</x:v>
      </x:c>
      <x:c r="C50" s="56" t="str">
        <x:v>Land</x:v>
      </x:c>
      <x:c r="D50" s="56" t="str">
        <x:v>Land (physical)</x:v>
      </x:c>
      <x:c r="E50" s="56" t="str">
        <x:v>Land Package (physical land)</x:v>
      </x:c>
      <x:c r="F50" s="56" t="str">
        <x:v>Recursion utility for enchantments.</x:v>
      </x:c>
    </x:row>
    <x:row r="51">
      <x:c r="A51" s="56" t="n">
        <x:v>1</x:v>
      </x:c>
      <x:c r="B51" s="56" t="str">
        <x:v>Hive of the Eye Tyrant</x:v>
      </x:c>
      <x:c r="C51" s="56" t="str">
        <x:v>Land</x:v>
      </x:c>
      <x:c r="D51" s="56" t="str">
        <x:v>Land (physical)</x:v>
      </x:c>
      <x:c r="E51" s="56" t="str">
        <x:v>Land Package (physical land)</x:v>
      </x:c>
      <x:c r="F51" s="56" t="str">
        <x:v>Primary functional grouping; card may have additional roles.</x:v>
      </x:c>
    </x:row>
    <x:row r="52">
      <x:c r="A52" s="56" t="n">
        <x:v>1</x:v>
      </x:c>
      <x:c r="B52" s="56" t="str">
        <x:v>Idyllic Tutor</x:v>
      </x:c>
      <x:c r="C52" s="56" t="str">
        <x:v>Sorcery / other</x:v>
      </x:c>
      <x:c r="D52" s="56" t="str">
        <x:v>8×8 spell</x:v>
      </x:c>
      <x:c r="E52" s="56" t="str">
        <x:v>8. Finishers &amp; Token Engines</x:v>
      </x:c>
      <x:c r="F52" s="56" t="str">
        <x:v>Finds an enchantment: Court, Pillow Fort, or other key enchantment.</x:v>
      </x:c>
    </x:row>
    <x:row r="53">
      <x:c r="A53" s="56" t="n">
        <x:v>1</x:v>
      </x:c>
      <x:c r="B53" s="56" t="str">
        <x:v>Inspiring Vantage</x:v>
      </x:c>
      <x:c r="C53" s="56" t="str">
        <x:v>Land</x:v>
      </x:c>
      <x:c r="D53" s="56" t="str">
        <x:v>Land (physical)</x:v>
      </x:c>
      <x:c r="E53" s="56" t="str">
        <x:v>Land Package (physical land)</x:v>
      </x:c>
      <x:c r="F53" s="56" t="str">
        <x:v>Primary functional grouping; card may have additional roles.</x:v>
      </x:c>
    </x:row>
    <x:row r="54">
      <x:c r="A54" s="56" t="n">
        <x:v>1</x:v>
      </x:c>
      <x:c r="B54" s="56" t="str">
        <x:v>Mangara, the Diplomat</x:v>
      </x:c>
      <x:c r="C54" s="56" t="str">
        <x:v>Creature</x:v>
      </x:c>
      <x:c r="D54" s="56" t="str">
        <x:v>8×8 spell</x:v>
      </x:c>
      <x:c r="E54" s="56" t="str">
        <x:v>3. Draw &amp; Card Advantage</x:v>
      </x:c>
      <x:c r="F54" s="56" t="str">
        <x:v>Card advantage triggered by opponent attacks/multiple spells, with tax-like play patterns.</x:v>
      </x:c>
    </x:row>
    <x:row r="55">
      <x:c r="A55" s="56" t="n">
        <x:v>1</x:v>
      </x:c>
      <x:c r="B55" s="56" t="str">
        <x:v>Kambal, Consul of Allocation</x:v>
      </x:c>
      <x:c r="C55" s="56" t="str">
        <x:v>Creature</x:v>
      </x:c>
      <x:c r="D55" s="56" t="str">
        <x:v>8×8 spell</x:v>
      </x:c>
      <x:c r="E55" s="56" t="str">
        <x:v>6. Politics &amp; Forced Combat</x:v>
      </x:c>
      <x:c r="F55" s="56" t="str">
        <x:v>Redirect pressure, reward deals, and punish overextension.</x:v>
      </x:c>
    </x:row>
    <x:row r="56">
      <x:c r="A56" s="56" t="n">
        <x:v>1</x:v>
      </x:c>
      <x:c r="B56" s="56" t="str">
        <x:v>Kazuul, Tyrant of the Cliffs</x:v>
      </x:c>
      <x:c r="C56" s="56" t="str">
        <x:v>Creature</x:v>
      </x:c>
      <x:c r="D56" s="56" t="str">
        <x:v>8×8 spell</x:v>
      </x:c>
      <x:c r="E56" s="56" t="str">
        <x:v>4. Pillow Fort &amp; Tax</x:v>
      </x:c>
      <x:c r="F56" s="56" t="str">
        <x:v>Make attacks against you costly and buy time.</x:v>
      </x:c>
    </x:row>
    <x:row r="57">
      <x:c r="A57" s="56" t="n">
        <x:v>1</x:v>
      </x:c>
      <x:c r="B57" s="56" t="str">
        <x:v>Knights of the Black Rose</x:v>
      </x:c>
      <x:c r="C57" s="56" t="str">
        <x:v>Creature</x:v>
      </x:c>
      <x:c r="D57" s="56" t="str">
        <x:v>8×8 spell</x:v>
      </x:c>
      <x:c r="E57" s="56" t="str">
        <x:v>2. Monarch &amp; Courts</x:v>
      </x:c>
      <x:c r="F57" s="56" t="str">
        <x:v>Acquire the crown and generate recurring value from Courts.</x:v>
      </x:c>
    </x:row>
    <x:row r="58">
      <x:c r="A58" s="56" t="n">
        <x:v>1</x:v>
      </x:c>
      <x:c r="B58" s="56" t="str">
        <x:v>Legion Leadership</x:v>
      </x:c>
      <x:c r="C58" s="56" t="str">
        <x:v>MDFC / spell-land</x:v>
      </x:c>
      <x:c r="D58" s="56" t="str">
        <x:v>MDFC / land slot</x:v>
      </x:c>
      <x:c r="E58" s="56" t="str">
        <x:v>Land Package (MDFC)</x:v>
      </x:c>
      <x:c r="F58" s="56" t="str">
        <x:v>MDFC; back face Legion Stronghold. Allocated to 35-land bucket for 8×8; front face remains castable.</x:v>
      </x:c>
    </x:row>
    <x:row r="59">
      <x:c r="A59" s="56" t="n">
        <x:v>1</x:v>
      </x:c>
      <x:c r="B59" s="56" t="str">
        <x:v>Luxury Suite</x:v>
      </x:c>
      <x:c r="C59" s="56" t="str">
        <x:v>Land</x:v>
      </x:c>
      <x:c r="D59" s="56" t="str">
        <x:v>Land (physical)</x:v>
      </x:c>
      <x:c r="E59" s="56" t="str">
        <x:v>Land Package (physical land)</x:v>
      </x:c>
      <x:c r="F59" s="56" t="str">
        <x:v>Primary functional grouping; card may have additional roles.</x:v>
      </x:c>
    </x:row>
    <x:row r="60">
      <x:c r="A60" s="56" t="n">
        <x:v>1</x:v>
      </x:c>
      <x:c r="B60" s="56" t="str">
        <x:v>Marchesa's Decree</x:v>
      </x:c>
      <x:c r="C60" s="56" t="str">
        <x:v>Enchantment</x:v>
      </x:c>
      <x:c r="D60" s="56" t="str">
        <x:v>8×8 spell</x:v>
      </x:c>
      <x:c r="E60" s="56" t="str">
        <x:v>4. Pillow Fort &amp; Tax</x:v>
      </x:c>
      <x:c r="F60" s="56" t="str">
        <x:v>Make attacks against you costly and buy time.</x:v>
      </x:c>
    </x:row>
    <x:row r="61">
      <x:c r="A61" s="56" t="n">
        <x:v>1</x:v>
      </x:c>
      <x:c r="B61" s="56" t="str">
        <x:v>Master of Ceremonies</x:v>
      </x:c>
      <x:c r="C61" s="56" t="str">
        <x:v>Creature</x:v>
      </x:c>
      <x:c r="D61" s="56" t="str">
        <x:v>8×8 spell</x:v>
      </x:c>
      <x:c r="E61" s="56" t="str">
        <x:v>6. Politics &amp; Forced Combat</x:v>
      </x:c>
      <x:c r="F61" s="56" t="str">
        <x:v>Redirect pressure, reward deals, and punish overextension.</x:v>
      </x:c>
    </x:row>
    <x:row r="62">
      <x:c r="A62" s="56" t="n">
        <x:v>1</x:v>
      </x:c>
      <x:c r="B62" s="56" t="str">
        <x:v>Maze of Ith</x:v>
      </x:c>
      <x:c r="C62" s="56" t="str">
        <x:v>Land</x:v>
      </x:c>
      <x:c r="D62" s="56" t="str">
        <x:v>Land (physical)</x:v>
      </x:c>
      <x:c r="E62" s="56" t="str">
        <x:v>Land Package (physical land)</x:v>
      </x:c>
      <x:c r="F62" s="56" t="str">
        <x:v>Utility land; does not produce mana. Counts toward land slots, not colored mana sources.</x:v>
      </x:c>
    </x:row>
    <x:row r="63">
      <x:c r="A63" s="56" t="n">
        <x:v>1</x:v>
      </x:c>
      <x:c r="B63" s="56" t="str">
        <x:v>Mountain</x:v>
      </x:c>
      <x:c r="C63" s="56" t="str">
        <x:v>Land</x:v>
      </x:c>
      <x:c r="D63" s="56" t="str">
        <x:v>Land (physical)</x:v>
      </x:c>
      <x:c r="E63" s="56" t="str">
        <x:v>Land Package (physical land)</x:v>
      </x:c>
      <x:c r="F63" s="56" t="str">
        <x:v>Primary functional grouping; card may have additional roles.</x:v>
      </x:c>
    </x:row>
    <x:row r="64">
      <x:c r="A64" s="56" t="n">
        <x:v>1</x:v>
      </x:c>
      <x:c r="B64" s="56" t="str">
        <x:v>Mountain</x:v>
      </x:c>
      <x:c r="C64" s="56" t="str">
        <x:v>Land</x:v>
      </x:c>
      <x:c r="D64" s="56" t="str">
        <x:v>Land (physical)</x:v>
      </x:c>
      <x:c r="E64" s="56" t="str">
        <x:v>Land Package (physical land)</x:v>
      </x:c>
      <x:c r="F64" s="56" t="str">
        <x:v>Primary functional grouping; card may have additional roles.</x:v>
      </x:c>
    </x:row>
    <x:row r="65">
      <x:c r="A65" s="56" t="n">
        <x:v>1</x:v>
      </x:c>
      <x:c r="B65" s="56" t="str">
        <x:v>Needleverge Pathway</x:v>
      </x:c>
      <x:c r="C65" s="56" t="str">
        <x:v>Land</x:v>
      </x:c>
      <x:c r="D65" s="56" t="str">
        <x:v>Land (physical)</x:v>
      </x:c>
      <x:c r="E65" s="56" t="str">
        <x:v>Land Package (physical land)</x:v>
      </x:c>
      <x:c r="F65" s="56" t="str">
        <x:v>Primary functional grouping; card may have additional roles.</x:v>
      </x:c>
    </x:row>
    <x:row r="66">
      <x:c r="A66" s="56" t="n">
        <x:v>1</x:v>
      </x:c>
      <x:c r="B66" s="56" t="str">
        <x:v>Nelly Borca, Impulsive Accuser</x:v>
      </x:c>
      <x:c r="C66" s="56" t="str">
        <x:v>Creature</x:v>
      </x:c>
      <x:c r="D66" s="56" t="str">
        <x:v>8×8 spell</x:v>
      </x:c>
      <x:c r="E66" s="56" t="str">
        <x:v>6. Politics &amp; Forced Combat</x:v>
      </x:c>
      <x:c r="F66" s="56" t="str">
        <x:v>Redirect pressure, reward deals, and punish overextension.</x:v>
      </x:c>
    </x:row>
    <x:row r="67">
      <x:c r="A67" s="56" t="n">
        <x:v>1</x:v>
      </x:c>
      <x:c r="B67" s="56" t="str">
        <x:v>No Mercy</x:v>
      </x:c>
      <x:c r="C67" s="56" t="str">
        <x:v>Enchantment</x:v>
      </x:c>
      <x:c r="D67" s="56" t="str">
        <x:v>8×8 spell</x:v>
      </x:c>
      <x:c r="E67" s="56" t="str">
        <x:v>4. Pillow Fort &amp; Tax</x:v>
      </x:c>
      <x:c r="F67" s="56" t="str">
        <x:v>Make attacks against you costly and buy time.</x:v>
      </x:c>
    </x:row>
    <x:row r="68">
      <x:c r="A68" s="56" t="n">
        <x:v>1</x:v>
      </x:c>
      <x:c r="B68" s="56" t="str">
        <x:v>Nomad Outpost</x:v>
      </x:c>
      <x:c r="C68" s="56" t="str">
        <x:v>Land</x:v>
      </x:c>
      <x:c r="D68" s="56" t="str">
        <x:v>Land (physical)</x:v>
      </x:c>
      <x:c r="E68" s="56" t="str">
        <x:v>Land Package (physical land)</x:v>
      </x:c>
      <x:c r="F68" s="56" t="str">
        <x:v>Primary functional grouping; card may have additional roles.</x:v>
      </x:c>
    </x:row>
    <x:row r="69">
      <x:c r="A69" s="56" t="n">
        <x:v>1</x:v>
      </x:c>
      <x:c r="B69" s="56" t="str">
        <x:v>Norn's Annex</x:v>
      </x:c>
      <x:c r="C69" s="56" t="str">
        <x:v>Enchantment</x:v>
      </x:c>
      <x:c r="D69" s="56" t="str">
        <x:v>8×8 spell</x:v>
      </x:c>
      <x:c r="E69" s="56" t="str">
        <x:v>4. Pillow Fort &amp; Tax</x:v>
      </x:c>
      <x:c r="F69" s="56" t="str">
        <x:v>Make attacks against you costly and buy time.</x:v>
      </x:c>
    </x:row>
    <x:row r="70">
      <x:c r="A70" s="56" t="n">
        <x:v>1</x:v>
      </x:c>
      <x:c r="B70" s="56" t="str">
        <x:v>Ophiomancer</x:v>
      </x:c>
      <x:c r="C70" s="56" t="str">
        <x:v>Creature</x:v>
      </x:c>
      <x:c r="D70" s="56" t="str">
        <x:v>8×8 spell</x:v>
      </x:c>
      <x:c r="E70" s="56" t="str">
        <x:v>8. Finishers &amp; Token Engines</x:v>
      </x:c>
      <x:c r="F70" s="56" t="str">
        <x:v>Convert accumulated value into a decisive endgame.</x:v>
      </x:c>
    </x:row>
    <x:row r="71">
      <x:c r="A71" s="56" t="n">
        <x:v>1</x:v>
      </x:c>
      <x:c r="B71" s="56" t="str">
        <x:v>Disrupt Decorum</x:v>
      </x:c>
      <x:c r="C71" s="56" t="str">
        <x:v>Sorcery / other</x:v>
      </x:c>
      <x:c r="D71" s="56" t="str">
        <x:v>8×8 spell</x:v>
      </x:c>
      <x:c r="E71" s="56" t="str">
        <x:v>6. Politics &amp; Forced Combat</x:v>
      </x:c>
      <x:c r="F71" s="56" t="str">
        <x:v>Political goad / forced combat; can relieve pressure on you and create a crown-recovery window.</x:v>
      </x:c>
    </x:row>
    <x:row r="72">
      <x:c r="A72" s="56" t="n">
        <x:v>1</x:v>
      </x:c>
      <x:c r="B72" s="56" t="str">
        <x:v>Plains</x:v>
      </x:c>
      <x:c r="C72" s="56" t="str">
        <x:v>Land</x:v>
      </x:c>
      <x:c r="D72" s="56" t="str">
        <x:v>Land (physical)</x:v>
      </x:c>
      <x:c r="E72" s="56" t="str">
        <x:v>Land Package (physical land)</x:v>
      </x:c>
      <x:c r="F72" s="56" t="str">
        <x:v>Primary functional grouping; card may have additional roles.</x:v>
      </x:c>
    </x:row>
    <x:row r="73">
      <x:c r="A73" s="56" t="n">
        <x:v>1</x:v>
      </x:c>
      <x:c r="B73" s="56" t="str">
        <x:v>Plains</x:v>
      </x:c>
      <x:c r="C73" s="56" t="str">
        <x:v>Land</x:v>
      </x:c>
      <x:c r="D73" s="56" t="str">
        <x:v>Land (physical)</x:v>
      </x:c>
      <x:c r="E73" s="56" t="str">
        <x:v>Land Package (physical land)</x:v>
      </x:c>
      <x:c r="F73" s="56" t="str">
        <x:v>Primary functional grouping; card may have additional roles.</x:v>
      </x:c>
    </x:row>
    <x:row r="74">
      <x:c r="A74" s="56" t="n">
        <x:v>1</x:v>
      </x:c>
      <x:c r="B74" s="56" t="str">
        <x:v>Reliquary Tower</x:v>
      </x:c>
      <x:c r="C74" s="56" t="str">
        <x:v>Land</x:v>
      </x:c>
      <x:c r="D74" s="56" t="str">
        <x:v>Land (physical)</x:v>
      </x:c>
      <x:c r="E74" s="56" t="str">
        <x:v>Land Package (physical land)</x:v>
      </x:c>
      <x:c r="F74" s="56" t="str">
        <x:v>Primary functional grouping; card may have additional roles.</x:v>
      </x:c>
    </x:row>
    <x:row r="75">
      <x:c r="A75" s="56" t="n">
        <x:v>1</x:v>
      </x:c>
      <x:c r="B75" s="56" t="str">
        <x:v>Rogue's Passage</x:v>
      </x:c>
      <x:c r="C75" s="56" t="str">
        <x:v>Land</x:v>
      </x:c>
      <x:c r="D75" s="56" t="str">
        <x:v>Land (physical)</x:v>
      </x:c>
      <x:c r="E75" s="56" t="str">
        <x:v>Land Package (physical land)</x:v>
      </x:c>
      <x:c r="F75" s="56" t="str">
        <x:v>Utility land with colorless-only activation; assess whether a key attacker justifies the slot.</x:v>
      </x:c>
    </x:row>
    <x:row r="76">
      <x:c r="A76" s="56" t="n">
        <x:v>1</x:v>
      </x:c>
      <x:c r="B76" s="56" t="str">
        <x:v>Inkshield</x:v>
      </x:c>
      <x:c r="C76" s="56" t="str">
        <x:v>Instant</x:v>
      </x:c>
      <x:c r="D76" s="56" t="str">
        <x:v>8×8 spell</x:v>
      </x:c>
      <x:c r="E76" s="56" t="str">
        <x:v>7. Board Control &amp; Defensive Reversal</x:v>
      </x:c>
      <x:c r="F76" s="56" t="str">
        <x:v>Combat-damage prevention plus Inkling tokens; defensive reversal and possible finisher.</x:v>
      </x:c>
    </x:row>
    <x:row r="77">
      <x:c r="A77" s="56" t="n">
        <x:v>1</x:v>
      </x:c>
      <x:c r="B77" s="56" t="str">
        <x:v>Rugged Prairie</x:v>
      </x:c>
      <x:c r="C77" s="56" t="str">
        <x:v>Land</x:v>
      </x:c>
      <x:c r="D77" s="56" t="str">
        <x:v>Land (physical)</x:v>
      </x:c>
      <x:c r="E77" s="56" t="str">
        <x:v>Land Package (physical land)</x:v>
      </x:c>
      <x:c r="F77" s="56" t="str">
        <x:v>Primary functional grouping; card may have additional roles.</x:v>
      </x:c>
    </x:row>
    <x:row r="78">
      <x:c r="A78" s="56" t="n">
        <x:v>1</x:v>
      </x:c>
      <x:c r="B78" s="56" t="str">
        <x:v>Ruinous Ultimatum</x:v>
      </x:c>
      <x:c r="C78" s="56" t="str">
        <x:v>Sorcery / other</x:v>
      </x:c>
      <x:c r="D78" s="56" t="str">
        <x:v>8×8 spell</x:v>
      </x:c>
      <x:c r="E78" s="56" t="str">
        <x:v>7. Board Control &amp; Defensive Reversal</x:v>
      </x:c>
      <x:c r="F78" s="56" t="str">
        <x:v>Reset runaway boards or convert an attack into a reversal.</x:v>
      </x:c>
    </x:row>
    <x:row r="79">
      <x:c r="A79" s="56" t="n">
        <x:v>1</x:v>
      </x:c>
      <x:c r="B79" s="56" t="str">
        <x:v>Savai Triome</x:v>
      </x:c>
      <x:c r="C79" s="56" t="str">
        <x:v>Land</x:v>
      </x:c>
      <x:c r="D79" s="56" t="str">
        <x:v>Land (physical)</x:v>
      </x:c>
      <x:c r="E79" s="56" t="str">
        <x:v>Land Package (physical land)</x:v>
      </x:c>
      <x:c r="F79" s="56" t="str">
        <x:v>Primary functional grouping; card may have additional roles.</x:v>
      </x:c>
    </x:row>
    <x:row r="80">
      <x:c r="A80" s="56" t="n">
        <x:v>1</x:v>
      </x:c>
      <x:c r="B80" s="56" t="str">
        <x:v>Shattered Landscape</x:v>
      </x:c>
      <x:c r="C80" s="56" t="str">
        <x:v>Land</x:v>
      </x:c>
      <x:c r="D80" s="56" t="str">
        <x:v>Land (physical)</x:v>
      </x:c>
      <x:c r="E80" s="56" t="str">
        <x:v>Land Package (physical land)</x:v>
      </x:c>
      <x:c r="F80" s="56" t="str">
        <x:v>Primary functional grouping; card may have additional roles.</x:v>
      </x:c>
    </x:row>
    <x:row r="81">
      <x:c r="A81" s="56" t="n">
        <x:v>1</x:v>
      </x:c>
      <x:c r="B81" s="56" t="str">
        <x:v>Shineshadow Snarl</x:v>
      </x:c>
      <x:c r="C81" s="56" t="str">
        <x:v>Land</x:v>
      </x:c>
      <x:c r="D81" s="56" t="str">
        <x:v>Land (physical)</x:v>
      </x:c>
      <x:c r="E81" s="56" t="str">
        <x:v>Land Package (physical land)</x:v>
      </x:c>
      <x:c r="F81" s="56" t="str">
        <x:v>Primary functional grouping; card may have additional roles.</x:v>
      </x:c>
    </x:row>
    <x:row r="82">
      <x:c r="A82" s="56" t="n">
        <x:v>1</x:v>
      </x:c>
      <x:c r="B82" s="56" t="str">
        <x:v>Skullclamp</x:v>
      </x:c>
      <x:c r="C82" s="56" t="str">
        <x:v>Artifact</x:v>
      </x:c>
      <x:c r="D82" s="56" t="str">
        <x:v>8×8 spell</x:v>
      </x:c>
      <x:c r="E82" s="56" t="str">
        <x:v>3. Draw &amp; Card Advantage</x:v>
      </x:c>
      <x:c r="F82" s="56" t="str">
        <x:v>Keep cards flowing even when Monarch changes hands.</x:v>
      </x:c>
    </x:row>
    <x:row r="83">
      <x:c r="A83" s="56" t="n">
        <x:v>1</x:v>
      </x:c>
      <x:c r="B83" s="56" t="str">
        <x:v>Skyline Despot</x:v>
      </x:c>
      <x:c r="C83" s="56" t="str">
        <x:v>Creature</x:v>
      </x:c>
      <x:c r="D83" s="56" t="str">
        <x:v>8×8 spell</x:v>
      </x:c>
      <x:c r="E83" s="56" t="str">
        <x:v>8. Finishers &amp; Token Engines</x:v>
      </x:c>
      <x:c r="F83" s="56" t="str">
        <x:v>Convert accumulated value into a decisive endgame.</x:v>
      </x:c>
    </x:row>
    <x:row r="84">
      <x:c r="A84" s="56" t="n">
        <x:v>1</x:v>
      </x:c>
      <x:c r="B84" s="56" t="str">
        <x:v>Smoldering Marsh</x:v>
      </x:c>
      <x:c r="C84" s="56" t="str">
        <x:v>Land</x:v>
      </x:c>
      <x:c r="D84" s="56" t="str">
        <x:v>Land (physical)</x:v>
      </x:c>
      <x:c r="E84" s="56" t="str">
        <x:v>Land Package (physical land)</x:v>
      </x:c>
      <x:c r="F84" s="56" t="str">
        <x:v>Primary functional grouping; card may have additional roles.</x:v>
      </x:c>
    </x:row>
    <x:row r="85">
      <x:c r="A85" s="56" t="n">
        <x:v>1</x:v>
      </x:c>
      <x:c r="B85" s="56" t="str">
        <x:v>Smothering Tithe</x:v>
      </x:c>
      <x:c r="C85" s="56" t="str">
        <x:v>Enchantment</x:v>
      </x:c>
      <x:c r="D85" s="56" t="str">
        <x:v>8×8 spell</x:v>
      </x:c>
      <x:c r="E85" s="56" t="str">
        <x:v>1. Ramp &amp; Fixing</x:v>
      </x:c>
      <x:c r="F85" s="56" t="str">
        <x:v>Ramp / Treasure engine, also a table-threat signal.</x:v>
      </x:c>
    </x:row>
    <x:row r="86">
      <x:c r="A86" s="56" t="n">
        <x:v>1</x:v>
      </x:c>
      <x:c r="B86" s="56" t="str">
        <x:v>Sol Ring</x:v>
      </x:c>
      <x:c r="C86" s="56" t="str">
        <x:v>Artifact</x:v>
      </x:c>
      <x:c r="D86" s="56" t="str">
        <x:v>8×8 spell</x:v>
      </x:c>
      <x:c r="E86" s="56" t="str">
        <x:v>1. Ramp &amp; Fixing</x:v>
      </x:c>
      <x:c r="F86" s="56" t="str">
        <x:v>Build mana early without attracting unnecessary attention.</x:v>
      </x:c>
    </x:row>
    <x:row r="87">
      <x:c r="A87" s="56" t="n">
        <x:v>1</x:v>
      </x:c>
      <x:c r="B87" s="56" t="str">
        <x:v>Sphere of Safety</x:v>
      </x:c>
      <x:c r="C87" s="56" t="str">
        <x:v>Enchantment</x:v>
      </x:c>
      <x:c r="D87" s="56" t="str">
        <x:v>8×8 spell</x:v>
      </x:c>
      <x:c r="E87" s="56" t="str">
        <x:v>4. Pillow Fort &amp; Tax</x:v>
      </x:c>
      <x:c r="F87" s="56" t="str">
        <x:v>Make attacks against you costly and buy time.</x:v>
      </x:c>
    </x:row>
    <x:row r="88">
      <x:c r="A88" s="56" t="n">
        <x:v>1</x:v>
      </x:c>
      <x:c r="B88" s="56" t="str">
        <x:v>Swamp</x:v>
      </x:c>
      <x:c r="C88" s="56" t="str">
        <x:v>Land</x:v>
      </x:c>
      <x:c r="D88" s="56" t="str">
        <x:v>Land (physical)</x:v>
      </x:c>
      <x:c r="E88" s="56" t="str">
        <x:v>Land Package (physical land)</x:v>
      </x:c>
      <x:c r="F88" s="56" t="str">
        <x:v>Primary functional grouping; card may have additional roles.</x:v>
      </x:c>
    </x:row>
    <x:row r="89">
      <x:c r="A89" s="56" t="n">
        <x:v>1</x:v>
      </x:c>
      <x:c r="B89" s="56" t="str">
        <x:v>Swords to Plowshares</x:v>
      </x:c>
      <x:c r="C89" s="56" t="str">
        <x:v>Instant</x:v>
      </x:c>
      <x:c r="D89" s="56" t="str">
        <x:v>8×8 spell</x:v>
      </x:c>
      <x:c r="E89" s="56" t="str">
        <x:v>5. Spot Removal</x:v>
      </x:c>
      <x:c r="F89" s="56" t="str">
        <x:v>Answer specific threats compromising your engine or ability to close.</x:v>
      </x:c>
    </x:row>
    <x:row r="90">
      <x:c r="A90" s="56" t="n">
        <x:v>1</x:v>
      </x:c>
      <x:c r="B90" s="56" t="str">
        <x:v>Take the Bait</x:v>
      </x:c>
      <x:c r="C90" s="56" t="str">
        <x:v>Instant</x:v>
      </x:c>
      <x:c r="D90" s="56" t="str">
        <x:v>8×8 spell</x:v>
      </x:c>
      <x:c r="E90" s="56" t="str">
        <x:v>6. Politics &amp; Forced Combat</x:v>
      </x:c>
      <x:c r="F90" s="56" t="str">
        <x:v>Redirect pressure, reward deals, and punish overextension.</x:v>
      </x:c>
    </x:row>
    <x:row r="91">
      <x:c r="A91" s="56" t="n">
        <x:v>1</x:v>
      </x:c>
      <x:c r="B91" s="56" t="str">
        <x:v>Talisman of Conviction</x:v>
      </x:c>
      <x:c r="C91" s="56" t="str">
        <x:v>Artifact</x:v>
      </x:c>
      <x:c r="D91" s="56" t="str">
        <x:v>8×8 spell</x:v>
      </x:c>
      <x:c r="E91" s="56" t="str">
        <x:v>1. Ramp &amp; Fixing</x:v>
      </x:c>
      <x:c r="F91" s="56" t="str">
        <x:v>Build mana early without attracting unnecessary attention.</x:v>
      </x:c>
    </x:row>
    <x:row r="92">
      <x:c r="A92" s="56" t="n">
        <x:v>1</x:v>
      </x:c>
      <x:c r="B92" s="56" t="str">
        <x:v>Talisman of Hierarchy</x:v>
      </x:c>
      <x:c r="C92" s="56" t="str">
        <x:v>Artifact</x:v>
      </x:c>
      <x:c r="D92" s="56" t="str">
        <x:v>8×8 spell</x:v>
      </x:c>
      <x:c r="E92" s="56" t="str">
        <x:v>1. Ramp &amp; Fixing</x:v>
      </x:c>
      <x:c r="F92" s="56" t="str">
        <x:v>Build mana early without attracting unnecessary attention.</x:v>
      </x:c>
    </x:row>
    <x:row r="93">
      <x:c r="A93" s="56" t="n">
        <x:v>1</x:v>
      </x:c>
      <x:c r="B93" s="56" t="str">
        <x:v>Talisman of Indulgence</x:v>
      </x:c>
      <x:c r="C93" s="56" t="str">
        <x:v>Artifact</x:v>
      </x:c>
      <x:c r="D93" s="56" t="str">
        <x:v>8×8 spell</x:v>
      </x:c>
      <x:c r="E93" s="56" t="str">
        <x:v>1. Ramp &amp; Fixing</x:v>
      </x:c>
      <x:c r="F93" s="56" t="str">
        <x:v>Build mana early without attracting unnecessary attention.</x:v>
      </x:c>
    </x:row>
    <x:row r="94">
      <x:c r="A94" s="56" t="n">
        <x:v>1</x:v>
      </x:c>
      <x:c r="B94" s="56" t="str">
        <x:v>Terminate</x:v>
      </x:c>
      <x:c r="C94" s="56" t="str">
        <x:v>Instant</x:v>
      </x:c>
      <x:c r="D94" s="56" t="str">
        <x:v>8×8 spell</x:v>
      </x:c>
      <x:c r="E94" s="56" t="str">
        <x:v>5. Spot Removal</x:v>
      </x:c>
      <x:c r="F94" s="56" t="str">
        <x:v>Answer specific threats compromising your engine or ability to close.</x:v>
      </x:c>
    </x:row>
    <x:row r="95">
      <x:c r="A95" s="56" t="n">
        <x:v>1</x:v>
      </x:c>
      <x:c r="B95" s="56" t="str">
        <x:v>Spectator Seating</x:v>
      </x:c>
      <x:c r="C95" s="56" t="str">
        <x:v>Land</x:v>
      </x:c>
      <x:c r="D95" s="56" t="str">
        <x:v>Land (physical)</x:v>
      </x:c>
      <x:c r="E95" s="56" t="str">
        <x:v>Land Package (physical land)</x:v>
      </x:c>
      <x:c r="F95" s="56" t="str">
        <x:v>Added to reach 35 land slots and improve Mardu fixing; often untapped in a multiplayer pod with two or more opponents.</x:v>
      </x:c>
    </x:row>
    <x:row r="96">
      <x:c r="A96" s="56" t="n">
        <x:v>1</x:v>
      </x:c>
      <x:c r="B96" s="56" t="str">
        <x:v>The One Ring</x:v>
      </x:c>
      <x:c r="C96" s="56" t="str">
        <x:v>Artifact</x:v>
      </x:c>
      <x:c r="D96" s="56" t="str">
        <x:v>8×8 spell</x:v>
      </x:c>
      <x:c r="E96" s="56" t="str">
        <x:v>3. Draw &amp; Card Advantage</x:v>
      </x:c>
      <x:c r="F96" s="56" t="str">
        <x:v>Powerful card advantage plus temporary protection; track life spent.</x:v>
      </x:c>
    </x:row>
    <x:row r="97">
      <x:c r="A97" s="56" t="n">
        <x:v>1</x:v>
      </x:c>
      <x:c r="B97" s="56" t="str">
        <x:v>Thorn of the Black Rose</x:v>
      </x:c>
      <x:c r="C97" s="56" t="str">
        <x:v>Creature</x:v>
      </x:c>
      <x:c r="D97" s="56" t="str">
        <x:v>8×8 spell</x:v>
      </x:c>
      <x:c r="E97" s="56" t="str">
        <x:v>3. Draw &amp; Card Advantage</x:v>
      </x:c>
      <x:c r="F97" s="56" t="str">
        <x:v>Keep cards flowing even when Monarch changes hands.</x:v>
      </x:c>
    </x:row>
    <x:row r="98">
      <x:c r="A98" s="56" t="n">
        <x:v>1</x:v>
      </x:c>
      <x:c r="B98" s="56" t="str">
        <x:v>Thought Vessel</x:v>
      </x:c>
      <x:c r="C98" s="56" t="str">
        <x:v>Artifact</x:v>
      </x:c>
      <x:c r="D98" s="56" t="str">
        <x:v>8×8 spell</x:v>
      </x:c>
      <x:c r="E98" s="56" t="str">
        <x:v>1. Ramp &amp; Fixing</x:v>
      </x:c>
      <x:c r="F98" s="56" t="str">
        <x:v>Build mana early without attracting unnecessary attention.</x:v>
      </x:c>
    </x:row>
    <x:row r="99">
      <x:c r="A99" s="56" t="n">
        <x:v>1</x:v>
      </x:c>
      <x:c r="B99" s="56" t="str">
        <x:v>Throne of the High City</x:v>
      </x:c>
      <x:c r="C99" s="56" t="str">
        <x:v>Land</x:v>
      </x:c>
      <x:c r="D99" s="56" t="str">
        <x:v>Land (physical)</x:v>
      </x:c>
      <x:c r="E99" s="56" t="str">
        <x:v>Land Package (physical land)</x:v>
      </x:c>
      <x:c r="F99" s="56" t="str">
        <x:v>Utility land and one-shot Monarch enabler; sacrifice timing matters.</x:v>
      </x:c>
    </x:row>
    <x:row r="100">
      <x:c r="A100" s="56" t="n">
        <x:v>1</x:v>
      </x:c>
      <x:c r="B100" s="56" t="str">
        <x:v>Vault of Champions</x:v>
      </x:c>
      <x:c r="C100" s="56" t="str">
        <x:v>Land</x:v>
      </x:c>
      <x:c r="D100" s="56" t="str">
        <x:v>Land (physical)</x:v>
      </x:c>
      <x:c r="E100" s="56" t="str">
        <x:v>Land Package (physical land)</x:v>
      </x:c>
      <x:c r="F100" s="56" t="str">
        <x:v>Primary functional grouping; card may have additional roles.</x:v>
      </x:c>
    </x:row>
    <x:row r="101">
      <x:c r="A101" s="56" t="n">
        <x:v>1</x:v>
      </x:c>
      <x:c r="B101" s="56" t="str">
        <x:v>Vindicate</x:v>
      </x:c>
      <x:c r="C101" s="56" t="str">
        <x:v>Sorcery / other</x:v>
      </x:c>
      <x:c r="D101" s="56" t="str">
        <x:v>8×8 spell</x:v>
      </x:c>
      <x:c r="E101" s="56" t="str">
        <x:v>7. Board Control &amp; Defensive Reversal</x:v>
      </x:c>
      <x:c r="F101" s="56" t="str">
        <x:v>Reset runaway boards or convert an attack into a reversal.</x:v>
      </x:c>
    </x:row>
    <x:row r="102">
      <x:c r="A102" s="56" t="n">
        <x:v>1</x:v>
      </x:c>
      <x:c r="B102" s="56" t="str">
        <x:v>Windborn Muse</x:v>
      </x:c>
      <x:c r="C102" s="56" t="str">
        <x:v>Sorcery / other</x:v>
      </x:c>
      <x:c r="D102" s="56" t="str">
        <x:v>8×8 spell</x:v>
      </x:c>
      <x:c r="E102" s="56" t="str">
        <x:v>4. Pillow Fort &amp; Tax</x:v>
      </x:c>
      <x:c r="F102" s="56" t="str">
        <x:v>Make attacks against you costly and buy time.</x:v>
      </x:c>
    </x:row>
    <x:row r="103">
      <x:c r="A103" s="33" t="str">
        <x:v>TOTAL</x:v>
      </x:c>
      <x:c r="B103" s="33" t="n">
        <x:f>SUM(A3:A102)</x:f>
        <x:v>100</x:v>
      </x:c>
    </x:row>
    <x:row r="104">
      <x:c r="A104" s="33" t="str">
        <x:v>MAINDECK</x:v>
      </x:c>
      <x:c r="B104" s="33" t="n">
        <x:f>SUM(A4:A102)</x:f>
        <x:v>99</x:v>
      </x:c>
    </x:row>
    <x:row r="105">
      <x:c r="A105" s="33" t="str">
        <x:v>Land package</x:v>
      </x:c>
      <x:c r="B105" s="33" t="n">
        <x:f>COUNTIF(D4:D102,"Land (physical)")+COUNTIF(D4:D102,"MDFC / land slot")</x:f>
        <x:v>35</x:v>
      </x:c>
    </x:row>
    <x:row r="106">
      <x:c r="A106" s="33" t="str">
        <x:v>Nonland spells</x:v>
      </x:c>
      <x:c r="B106" s="33" t="n">
        <x:f>COUNTIF(D4:D102,"8×8 spell")</x:f>
        <x:v>64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f2ce4be8e6a4b40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62" hidden="0" customWidth="1"/>
    <x:col min="3" max="3" width="44" hidden="0" customWidth="1"/>
    <x:col min="4" max="4" width="60" hidden="0" customWidth="1"/>
    <x:col min="5" max="5" width="15" hidden="0" customWidth="1"/>
  </x:cols>
  <x:sheetData>
    <x:row r="1" ht="30" customHeight="1">
      <x:c r="A1" s="5" t="str">
        <x:v>SOURCES | VERIFY CURRENT TEXT / DATA</x:v>
      </x:c>
      <x:c r="B1" s="5"/>
      <x:c r="C1" s="5"/>
      <x:c r="D1" s="5"/>
      <x:c r="E1" s="5"/>
    </x:row>
    <x:row r="3" ht="28" customHeight="1">
      <x:c r="A3" s="20" t="str">
        <x:v>Source</x:v>
      </x:c>
      <x:c r="B3" s="20" t="str">
        <x:v>URL</x:v>
      </x:c>
      <x:c r="C3" s="20" t="str">
        <x:v>Used for</x:v>
      </x:c>
      <x:c r="D3" s="20" t="str">
        <x:v>Interpretation limits</x:v>
      </x:c>
      <x:c r="E3" s="20" t="str">
        <x:v>Checked on</x:v>
      </x:c>
    </x:row>
    <x:row r="4">
      <x:c r="A4" s="56" t="str">
        <x:v>EDH.Wiki — Queen Marchesa Monarch</x:v>
      </x:c>
      <x:c r="B4" s="56" t="str">
        <x:v>https://edh.wiki/commanders/queen-marchesa/monarch/</x:v>
      </x:c>
      <x:c r="C4" s="56" t="str">
        <x:v>Archetype signals, theme synergy and recommendations.</x:v>
      </x:c>
      <x:c r="D4" s="56" t="str">
        <x:v>Community deckbuilding evidence, not rules authority.</x:v>
      </x:c>
      <x:c r="E4" s="56" t="str">
        <x:v>2026-10-09</x:v>
      </x:c>
    </x:row>
    <x:row r="5">
      <x:c r="A5" s="56" t="str">
        <x:v>Scryfall — Queen Marchesa (OTC)</x:v>
      </x:c>
      <x:c r="B5" s="56" t="str">
        <x:v>https://scryfall.com/card/otc/239/queen-marchesa</x:v>
      </x:c>
      <x:c r="C5" s="56" t="str">
        <x:v>Oracle / printing reference for commander.</x:v>
      </x:c>
      <x:c r="D5" s="56" t="str">
        <x:v>Page fetch was restricted in research session; consult card database for exact ruling.</x:v>
      </x:c>
      <x:c r="E5" s="56" t="str">
        <x:v>2026-10-09</x:v>
      </x:c>
    </x:row>
    <x:row r="6">
      <x:c r="A6" s="56" t="str">
        <x:v>EDHREC — Queen Marchesa Monarch</x:v>
      </x:c>
      <x:c r="B6" s="56" t="str">
        <x:v>https://edhrec.com/commanders/queen-marchesa/monarch</x:v>
      </x:c>
      <x:c r="C6" s="56" t="str">
        <x:v>Community inclusion/synergy cross-check.</x:v>
      </x:c>
      <x:c r="D6" s="56" t="str">
        <x:v>Popularity is not automatic card quality.</x:v>
      </x:c>
      <x:c r="E6" s="56" t="str">
        <x:v>2026-10-09</x:v>
      </x:c>
    </x:row>
    <x:row r="7">
      <x:c r="A7" s="56" t="str">
        <x:v>Scryfall search — Spectator Seating</x:v>
      </x:c>
      <x:c r="B7" s="56" t="str">
        <x:v>https://scryfall.com/search?q=%21%22Spectator+Seating%22</x:v>
      </x:c>
      <x:c r="C7" s="56" t="str">
        <x:v>Mana-base upgrade candidate.</x:v>
      </x:c>
      <x:c r="D7" s="56" t="str">
        <x:v>Verify card details and color identity before purchase.</x:v>
      </x:c>
      <x:c r="E7" s="56" t="str">
        <x:v>2026-10-09</x:v>
      </x:c>
    </x:row>
    <x:row r="8">
      <x:c r="A8" s="56" t="str">
        <x:v>Scryfall search — Mangara, the Diplomat</x:v>
      </x:c>
      <x:c r="B8" s="56" t="str">
        <x:v>https://scryfall.com/search?q=%21%22Mangara%2C+the+Diplomat%22</x:v>
      </x:c>
      <x:c r="C8" s="56" t="str">
        <x:v>Draw engine / tax synergy.</x:v>
      </x:c>
      <x:c r="D8" s="56" t="str">
        <x:v>Deck-fit projection; validate through playtest.</x:v>
      </x:c>
      <x:c r="E8" s="56" t="str">
        <x:v>2026-10-09</x:v>
      </x:c>
    </x:row>
    <x:row r="9">
      <x:c r="A9" s="56" t="str">
        <x:v>Scryfall search — Disrupt Decorum</x:v>
      </x:c>
      <x:c r="B9" s="56" t="str">
        <x:v>https://scryfall.com/search?q=%21%22Disrupt+Decorum%22</x:v>
      </x:c>
      <x:c r="C9" s="56" t="str">
        <x:v>Politics / forced combat.</x:v>
      </x:c>
      <x:c r="D9" s="56" t="str">
        <x:v>Deck-fit projection; validate through playtest.</x:v>
      </x:c>
      <x:c r="E9" s="56" t="str">
        <x:v>2026-10-09</x:v>
      </x:c>
    </x:row>
    <x:row r="10">
      <x:c r="A10" s="56" t="str">
        <x:v>Scryfall search — Inkshield</x:v>
      </x:c>
      <x:c r="B10" s="56" t="str">
        <x:v>https://scryfall.com/search?q=%21%22Inkshield%22</x:v>
      </x:c>
      <x:c r="C10" s="56" t="str">
        <x:v>Defensive reversal and token finisher.</x:v>
      </x:c>
      <x:c r="D10" s="56" t="str">
        <x:v>Deck-fit projection; validate through playtest.</x:v>
      </x:c>
      <x:c r="E10" s="56" t="str">
        <x:v>2026-10-09</x:v>
      </x:c>
    </x:row>
    <x:row r="11">
      <x:c r="A11" s="56" t="str">
        <x:v>MTG.WTF — Grave Venerations</x:v>
      </x:c>
      <x:c r="B11" s="56" t="str">
        <x:v>https://mtg.wtf/card/ecc/9/Grave-Venerations</x:v>
      </x:c>
      <x:c r="C11" s="56" t="str">
        <x:v>Oracle details for monarch recursion and death punishment.</x:v>
      </x:c>
      <x:c r="D11" s="56" t="str">
        <x:v>Card text reference; not a deckbuilding authority.</x:v>
      </x:c>
      <x:c r="E11" s="56" t="str">
        <x:v>2026-10-09</x:v>
      </x:c>
    </x:row>
    <x:row r="12">
      <x:c r="A12" s="56" t="str">
        <x:v>Wizards — Commander format</x:v>
      </x:c>
      <x:c r="B12" s="56" t="str">
        <x:v>https://magic.wizards.com/en/formats/commander</x:v>
      </x:c>
      <x:c r="C12" s="56" t="str">
        <x:v>Official Commander format and rules context.</x:v>
      </x:c>
      <x:c r="D12" s="56" t="str">
        <x:v>Use current page for legality and official rules confirmation.</x:v>
      </x:c>
      <x:c r="E12" s="56" t="str">
        <x:v>2026-10-09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b81ebce13b04348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74" hidden="0" customWidth="1"/>
    <x:col min="3" max="3" width="22" hidden="0" customWidth="1"/>
    <x:col min="4" max="4" width="65" hidden="0" customWidth="1"/>
  </x:cols>
  <x:sheetData>
    <x:row r="1" ht="30" customHeight="1">
      <x:c r="A1" s="5" t="str">
        <x:v>RULES &amp; INTERACTIONS TO RETAIN</x:v>
      </x:c>
      <x:c r="B1" s="5"/>
      <x:c r="C1" s="5"/>
      <x:c r="D1" s="5"/>
    </x:row>
    <x:row r="3" ht="28" customHeight="1">
      <x:c r="A3" s="20" t="str">
        <x:v>Interaction / Rule</x:v>
      </x:c>
      <x:c r="B3" s="20" t="str">
        <x:v>Practical consequence</x:v>
      </x:c>
      <x:c r="C3" s="20" t="str">
        <x:v>Status</x:v>
      </x:c>
      <x:c r="D3" s="20" t="str">
        <x:v>Source</x:v>
      </x:c>
    </x:row>
    <x:row r="4">
      <x:c r="A4" s="56" t="str">
        <x:v>Monarch / combat damage</x:v>
      </x:c>
      <x:c r="B4" s="56" t="str">
        <x:v>Combat damage dealt to the current Monarch changes who holds the crown; plan blocks and attacks around card advantage.</x:v>
      </x:c>
      <x:c r="C4" s="56" t="str">
        <x:v>Core plan</x:v>
      </x:c>
      <x:c r="D4" s="56" t="str">
        <x:v>https://mtg.fandom.com/wiki/Monarch (quick reference; official rules govern disputes)</x:v>
      </x:c>
    </x:row>
    <x:row r="5">
      <x:c r="A5" s="56" t="str">
        <x:v>Queen Marchesa enters</x:v>
      </x:c>
      <x:c r="B5" s="56" t="str">
        <x:v>ETB makes you Monarch; time her deployment to benefit from Monarch value.</x:v>
      </x:c>
      <x:c r="C5" s="56" t="str">
        <x:v>Oracle-based</x:v>
      </x:c>
      <x:c r="D5" s="56" t="str">
        <x:v>https://scryfall.com/card/otc/239/queen-marchesa</x:v>
      </x:c>
    </x:row>
    <x:row r="6">
      <x:c r="A6" s="56" t="str">
        <x:v>Opponent is Monarch at your upkeep</x:v>
      </x:c>
      <x:c r="B6" s="56" t="str">
        <x:v>Queen Marchesa creates a 1/1 Assassin with deathtouch and haste; tokens can threaten to recover the crown.</x:v>
      </x:c>
      <x:c r="C6" s="56" t="str">
        <x:v>Oracle-based</x:v>
      </x:c>
      <x:c r="D6" s="56" t="str">
        <x:v>https://scryfall.com/card/otc/239/queen-marchesa</x:v>
      </x:c>
    </x:row>
    <x:row r="7">
      <x:c r="A7" s="56" t="str">
        <x:v>MDFCs in 8×8</x:v>
      </x:c>
      <x:c r="B7" s="56" t="str">
        <x:v>Bloodsoaked Insight, Glasswing Grace and Legion Leadership are allocated to the 35 land slots, but their front faces remain castable spells; do not double-count in the 64.</x:v>
      </x:c>
      <x:c r="C7" s="56" t="str">
        <x:v>Construction convention</x:v>
      </x:c>
      <x:c r="D7" s="56" t="str">
        <x:v>Scryfall card pages linked in Sources</x:v>
      </x:c>
    </x:row>
    <x:row r="8">
      <x:c r="A8" s="56" t="str">
        <x:v>Maze of Ith</x:v>
      </x:c>
      <x:c r="B8" s="56" t="str">
        <x:v>Counts as a physical land but does not produce mana; land count and mana-source count differ.</x:v>
      </x:c>
      <x:c r="C8" s="56" t="str">
        <x:v>Mana base</x:v>
      </x:c>
      <x:c r="D8" s="56" t="str">
        <x:v>https://scryfall.com/search?q=%21%22Maze+of+Ith%22</x:v>
      </x:c>
    </x:row>
    <x:row r="9">
      <x:c r="A9" s="56" t="str">
        <x:v>Spectator Seating</x:v>
      </x:c>
      <x:c r="B9" s="56" t="str">
        <x:v>Typically untapped in a four-player Commander game while two or more opponents remain; player-count state can change this.</x:v>
      </x:c>
      <x:c r="C9" s="56" t="str">
        <x:v>Mana base</x:v>
      </x:c>
      <x:c r="D9" s="56" t="str">
        <x:v>https://scryfall.com/search?q=%21%22Spectator+Seating%22</x:v>
      </x:c>
    </x:row>
    <x:row r="10">
      <x:c r="A10" s="56" t="str">
        <x:v>Approach of the Second Sun</x:v>
      </x:c>
      <x:c r="B10" s="56" t="str">
        <x:v>Alternate win condition; a second cast wins when its conditions are met.</x:v>
      </x:c>
      <x:c r="C10" s="56" t="str">
        <x:v>Win condition</x:v>
      </x:c>
      <x:c r="D10" s="56" t="str">
        <x:v>https://scryfall.com/search?q=%21%22Approach+of+the+Second+Sun%22</x:v>
      </x:c>
    </x:row>
    <x:row r="11">
      <x:c r="A11" s="56" t="str">
        <x:v>Inkshield</x:v>
      </x:c>
      <x:c r="B11" s="56" t="str">
        <x:v>Prevents combat damage to you this turn and creates Inkling tokens equal to damage prevented; defense and win conversion.</x:v>
      </x:c>
      <x:c r="C11" s="56" t="str">
        <x:v>Win conversion</x:v>
      </x:c>
      <x:c r="D11" s="56" t="str">
        <x:v>https://scryfall.com/search?q=%21%22Inkshield%22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6700d7e80234b35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2" hidden="0" customWidth="1"/>
    <x:col min="3" max="3" width="68" hidden="0" customWidth="1"/>
    <x:col min="4" max="4" width="41" hidden="0" customWidth="1"/>
  </x:cols>
  <x:sheetData>
    <x:row r="1" ht="30" customHeight="1">
      <x:c r="A1" s="5" t="str">
        <x:v>HANDOVER COMPLIANCE</x:v>
      </x:c>
      <x:c r="B1" s="5"/>
      <x:c r="C1" s="5"/>
      <x:c r="D1" s="5"/>
    </x:row>
    <x:row r="3" ht="28" customHeight="1">
      <x:c r="A3" s="20" t="str">
        <x:v>Requirement</x:v>
      </x:c>
      <x:c r="B3" s="20" t="str">
        <x:v>Status</x:v>
      </x:c>
      <x:c r="C3" s="20" t="str">
        <x:v>Evidence / note</x:v>
      </x:c>
      <x:c r="D3" s="20" t="str">
        <x:v>Next validation</x:v>
      </x:c>
    </x:row>
    <x:row r="4">
      <x:c r="A4" s="56" t="str">
        <x:v>Exactly 1 commander + 99 maindeck</x:v>
      </x:c>
      <x:c r="B4" s="56" t="str">
        <x:v>PASS</x:v>
      </x:c>
      <x:c r="C4" s="56" t="str">
        <x:v>100 card slots counted in decklist.</x:v>
      </x:c>
      <x:c r="D4" s="56" t="str">
        <x:v>Recheck after each edit.</x:v>
      </x:c>
    </x:row>
    <x:row r="5">
      <x:c r="A5" s="56" t="str">
        <x:v>Singleton</x:v>
      </x:c>
      <x:c r="B5" s="56" t="str">
        <x:v>PASS</x:v>
      </x:c>
      <x:c r="C5" s="56" t="str">
        <x:v>No duplicate nonbasic card names; repeated basics are intentional.</x:v>
      </x:c>
      <x:c r="D5" s="56" t="str">
        <x:v>Recheck after import/export.</x:v>
      </x:c>
    </x:row>
    <x:row r="6">
      <x:c r="A6" s="56" t="str">
        <x:v>Color identity</x:v>
      </x:c>
      <x:c r="B6" s="56" t="str">
        <x:v>PASS — preliminary</x:v>
      </x:c>
      <x:c r="C6" s="56" t="str">
        <x:v>Known cards fit Mardu/colorless identity; verify any changed/unknown printing before purchase.</x:v>
      </x:c>
      <x:c r="D6" s="56" t="str">
        <x:v>Confirm in card database.</x:v>
      </x:c>
    </x:row>
    <x:row r="7">
      <x:c r="A7" s="56" t="str">
        <x:v>8×8 structure</x:v>
      </x:c>
      <x:c r="B7" s="56" t="str">
        <x:v>PASS</x:v>
      </x:c>
      <x:c r="C7" s="56" t="str">
        <x:v>35 land slots + 64 spells split into eight groups of eight.</x:v>
      </x:c>
      <x:c r="D7" s="56" t="str">
        <x:v>See 03_8x8 Plan.</x:v>
      </x:c>
    </x:row>
    <x:row r="8">
      <x:c r="A8" s="56" t="str">
        <x:v>Physical lands vs MDFCs</x:v>
      </x:c>
      <x:c r="B8" s="56" t="str">
        <x:v>PASS</x:v>
      </x:c>
      <x:c r="C8" s="56" t="str">
        <x:v>32 physical land slots plus 3 MDFC land slots.</x:v>
      </x:c>
      <x:c r="D8" s="56" t="str">
        <x:v>Maze of Ith is not a mana source.</x:v>
      </x:c>
    </x:row>
    <x:row r="9">
      <x:c r="A9" s="56" t="str">
        <x:v>Current vs V2.1</x:v>
      </x:c>
      <x:c r="B9" s="56" t="str">
        <x:v>PASS</x:v>
      </x:c>
      <x:c r="C9" s="56" t="str">
        <x:v>Four OUT → IN changes documented.</x:v>
      </x:c>
      <x:c r="D9" s="56" t="str">
        <x:v>Test before locking.</x:v>
      </x:c>
    </x:row>
    <x:row r="10">
      <x:c r="A10" s="56" t="str">
        <x:v>Pet/theme cards considered</x:v>
      </x:c>
      <x:c r="B10" s="56" t="str">
        <x:v>PASS</x:v>
      </x:c>
      <x:c r="C10" s="56" t="str">
        <x:v>All six Courts, premium cards and political personality cards retained.</x:v>
      </x:c>
      <x:c r="D10" s="56" t="str">
        <x:v>User may designate explicit PET LOCKs.</x:v>
      </x:c>
    </x:row>
    <x:row r="11">
      <x:c r="A11" s="56" t="str">
        <x:v>Source verification</x:v>
      </x:c>
      <x:c r="B11" s="56" t="str">
        <x:v>PARTIAL</x:v>
      </x:c>
      <x:c r="C11" s="56" t="str">
        <x:v>Sources documented; Scryfall commander page fetch was restricted in this session.</x:v>
      </x:c>
      <x:c r="D11" s="56" t="str">
        <x:v>Verify exact Oracle rulings if disputed.</x:v>
      </x:c>
    </x:row>
    <x:row r="12">
      <x:c r="A12" s="56" t="str">
        <x:v>Current / projected / tested</x:v>
      </x:c>
      <x:c r="B12" s="56" t="str">
        <x:v>PASS</x:v>
      </x:c>
      <x:c r="C12" s="56" t="str">
        <x:v>Current estimate 8.0; V2.1 projection 8.6; no tested score claimed.</x:v>
      </x:c>
      <x:c r="D12" s="56" t="str">
        <x:v>Complete playtest log.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71e2908929da4ad8"/>
  </x:tableParts>
</x:worksheet>
</file>