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Encaixe" sheetId="2" state="visible" r:id="rId4"/>
    <sheet name="Régua" sheetId="3" state="visible" r:id="rId5"/>
    <sheet name="Pendências" sheetId="4" state="visible" r:id="rId6"/>
  </sheets>
  <definedNames>
    <definedName function="false" hidden="true" localSheetId="1" name="_xlnm._FilterDatabase" vbProcedure="false">Encaixe!$A$4:$V$23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O motor tira a carta de menor valor do deck inteiro, fora comandante, intocáveis e terrenos. Às vezes é uma MDFC (Jwari Disruption, Malakir Rebirth) que ninguém cortaria; a coluna 'Disputa a vaga com' traz a troca real.</t>
        </r>
      </text>
    </comment>
    <comment ref="Q5" authorId="0">
      <text>
        <r>
          <rPr>
            <sz val="10"/>
            <rFont val="Arial"/>
            <family val="2"/>
          </rPr>
          <t xml:space="preserve">A carta do deck com o mesmo papel na curva (criatura de custo até 1 de distância), da análise de 22/10/2026.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Vínculo com a vida numa criatura: nota 1 (calibração da RUBRICA).</t>
        </r>
      </text>
    </comment>
    <comment ref="D10" authorId="0">
      <text>
        <r>
          <rPr>
            <sz val="10"/>
            <rFont val="Arial"/>
            <family val="2"/>
          </rPr>
          <t xml:space="preserve">Escolhe a melhor carta da mão, mas o oponente compra outra: 1, não 2 (Thoughtseize é 2 porque não repõe).</t>
        </r>
      </text>
    </comment>
  </commentList>
</comments>
</file>

<file path=xl/sharedStrings.xml><?xml version="1.0" encoding="utf-8"?>
<sst xmlns="http://schemas.openxmlformats.org/spreadsheetml/2006/main" count="340" uniqueCount="267">
  <si>
    <t xml:space="preserve">Consulta: Salt Vampire</t>
  </si>
  <si>
    <t xml:space="preserve">22/10/2026 · registro em dados/consultas/Salt Vampire.json (motor/consulta.py) · azul: entrada; preto: fórmula; verde: vem de outra aba</t>
  </si>
  <si>
    <t xml:space="preserve">Veredito</t>
  </si>
  <si>
    <t xml:space="preserve">Em uma frase</t>
  </si>
  <si>
    <t xml:space="preserve">Carta mediana: um 2/2 com vínculo e uma espiada na mão que não dá vantagem de carta, porque o oponente compra outra. Não muda nenhum deck; a melhor casa é a Evelyn, numa troca lateral de Vampiro de 2.</t>
  </si>
  <si>
    <t xml:space="preserve">Compra</t>
  </si>
  <si>
    <t xml:space="preserve">Não</t>
  </si>
  <si>
    <t xml:space="preserve">O melhor ganho é +6,25 (Evelyn), abaixo dos 10 que a régua da Caixa pede para Deck. A US$ 12,10 de pré-venda é caro para o que rende. Vale consultar de novo depois de 13/11: se cair perto do preço de bulk, vira 'só se sobrar' para a Evelyn.</t>
  </si>
  <si>
    <t xml:space="preserve">Melhor casa pelo motor</t>
  </si>
  <si>
    <t xml:space="preserve">Decks na faixa Deck</t>
  </si>
  <si>
    <t xml:space="preserve">Decks na faixa Guardar</t>
  </si>
  <si>
    <t xml:space="preserve">Decks em avaliar</t>
  </si>
  <si>
    <t xml:space="preserve">Evelyn, no lugar do Bloodcrazed Paladin</t>
  </si>
  <si>
    <t xml:space="preserve">Decks nas cores da carta</t>
  </si>
  <si>
    <t xml:space="preserve">11 decks ficam fora da identidade (sem preto)</t>
  </si>
  <si>
    <t xml:space="preserve">A carta</t>
  </si>
  <si>
    <t xml:space="preserve">Nome</t>
  </si>
  <si>
    <t xml:space="preserve">Salt Vampire</t>
  </si>
  <si>
    <t xml:space="preserve">Custo e tipo</t>
  </si>
  <si>
    <t xml:space="preserve">{1}{B} · Creature — Vampire Shapeshifter · 2/2</t>
  </si>
  <si>
    <t xml:space="preserve">Identidade de cor</t>
  </si>
  <si>
    <t xml:space="preserve">Preto (B)</t>
  </si>
  <si>
    <t xml:space="preserve">Texto (Scryfall)</t>
  </si>
  <si>
    <t xml:space="preserve">Lifelink
When this creature enters, look at target opponent's hand. You may choose a nonland card from it. If you do, that player exiles that card, then draws a card.</t>
  </si>
  <si>
    <t xml:space="preserve">O que faz de verdade</t>
  </si>
  <si>
    <t xml:space="preserve">Não é vantagem de carta: o oponente exila a carta escolhida e compra outra. Você vê a mão e troca a melhor carta dele por uma aleatória; para você, sobra um 2/2 com vínculo.</t>
  </si>
  <si>
    <t xml:space="preserve">Coleção</t>
  </si>
  <si>
    <t xml:space="preserve">Star Trek (TRK), número 127, rara</t>
  </si>
  <si>
    <t xml:space="preserve">Lançamento</t>
  </si>
  <si>
    <t xml:space="preserve">13/11/2026</t>
  </si>
  <si>
    <t xml:space="preserve">Pré-lançamento: o Scryfall ainda a marca como não legal no Commander</t>
  </si>
  <si>
    <t xml:space="preserve">Preço (pré-venda)</t>
  </si>
  <si>
    <t xml:space="preserve">Scryfall, 22/10/2026; preço de pré-venda</t>
  </si>
  <si>
    <t xml:space="preserve">Link</t>
  </si>
  <si>
    <t xml:space="preserve">https://scryfall.com/card/trk/127/salt-vampire</t>
  </si>
  <si>
    <t xml:space="preserve">Força sozinha</t>
  </si>
  <si>
    <t xml:space="preserve">Valor próprio</t>
  </si>
  <si>
    <t xml:space="preserve">os oito critérios da carta, sem sinergia</t>
  </si>
  <si>
    <t xml:space="preserve">Mediana do cadastro</t>
  </si>
  <si>
    <t xml:space="preserve">3.318 cartas em dados/cartas.json, 22/10/2026</t>
  </si>
  <si>
    <t xml:space="preserve">Acima de</t>
  </si>
  <si>
    <t xml:space="preserve">das cartas do cadastro, pelo valor próprio</t>
  </si>
  <si>
    <t xml:space="preserve">Lente Vampiros (Grimório)</t>
  </si>
  <si>
    <t xml:space="preserve">cartas abaixo dela, de 38 com nota na lente</t>
  </si>
  <si>
    <t xml:space="preserve">Lente Mono-preto (Grimório)</t>
  </si>
  <si>
    <t xml:space="preserve">EDHREC</t>
  </si>
  <si>
    <t xml:space="preserve">#31.419</t>
  </si>
  <si>
    <t xml:space="preserve">pouco dado: a carta ainda não saiu</t>
  </si>
  <si>
    <t xml:space="preserve">Game Changer</t>
  </si>
  <si>
    <t xml:space="preserve">Armadilhas</t>
  </si>
  <si>
    <t xml:space="preserve">Tergrid</t>
  </si>
  <si>
    <t xml:space="preserve">O oponente exila a carta da mão, não descarta. A Tergrid só rouba permanente descartada ou sacrificada, então não dispara.</t>
  </si>
  <si>
    <t xml:space="preserve">Zumbis, Elfos e Tartarugas</t>
  </si>
  <si>
    <t xml:space="preserve">No jogo, o tipo Shapeshifter não dá outros tipos: nota 0. A RUBRICA diz que Shapeshifter conta como da tribo; a decisão é sua (aba Pendências).</t>
  </si>
  <si>
    <t xml:space="preserve">K'rrik</t>
  </si>
  <si>
    <t xml:space="preserve">O valor alto vem da régua do custo ({B} pago com vida vale 2 para qualquer carta de {1}{B}), não do plano do deck.</t>
  </si>
  <si>
    <t xml:space="preserve">Quem sai, pelo motor</t>
  </si>
  <si>
    <t xml:space="preserve">É a carta de menor valor do deck inteiro, às vezes uma MDFC que ninguém cortaria. A troca real está em 'Disputa a vaga com' na aba Encaixe.</t>
  </si>
  <si>
    <t xml:space="preserve">Encaixe nos 19 decks nas cores da carta</t>
  </si>
  <si>
    <t xml:space="preserve">Azul: entrada. Mude as sinergias (0 a 3) e veja valor, ganho e faixa mudarem. Saturação, quem sai e o valor de quem sai vêm do motor (encaixe.py) em 22/10/2026. Ganho = valor com saturação menos o valor de quem sai.</t>
  </si>
  <si>
    <t xml:space="preserve">Deck</t>
  </si>
  <si>
    <t xml:space="preserve">Painel</t>
  </si>
  <si>
    <t xml:space="preserve">Comandante</t>
  </si>
  <si>
    <t xml:space="preserve">Situação</t>
  </si>
  <si>
    <t xml:space="preserve">Sin. 1</t>
  </si>
  <si>
    <t xml:space="preserve">Sin. 2</t>
  </si>
  <si>
    <t xml:space="preserve">Sat. Sin. 1</t>
  </si>
  <si>
    <t xml:space="preserve">Sat. Sin. 2</t>
  </si>
  <si>
    <t xml:space="preserve">Sat. Resil.</t>
  </si>
  <si>
    <t xml:space="preserve">Sat. Remoção</t>
  </si>
  <si>
    <t xml:space="preserve">Valor</t>
  </si>
  <si>
    <t xml:space="preserve">Valor com saturação</t>
  </si>
  <si>
    <t xml:space="preserve">Quem sai (motor)</t>
  </si>
  <si>
    <t xml:space="preserve">Valor de quem sai</t>
  </si>
  <si>
    <t xml:space="preserve">Ganho</t>
  </si>
  <si>
    <t xml:space="preserve">Faixa</t>
  </si>
  <si>
    <t xml:space="preserve">Disputa a vaga com (na prática)</t>
  </si>
  <si>
    <t xml:space="preserve">Valor da comparável</t>
  </si>
  <si>
    <t xml:space="preserve">Saldo contra a comparável</t>
  </si>
  <si>
    <t xml:space="preserve">Porquê do veredito</t>
  </si>
  <si>
    <t xml:space="preserve">Porquê das sinergias</t>
  </si>
  <si>
    <t xml:space="preserve">02. Evelyn</t>
  </si>
  <si>
    <t xml:space="preserve">Coleção da Cobiça</t>
  </si>
  <si>
    <t xml:space="preserve">Evelyn</t>
  </si>
  <si>
    <t xml:space="preserve">No acervo</t>
  </si>
  <si>
    <t xml:space="preserve">Jwari Disruption</t>
  </si>
  <si>
    <t xml:space="preserve">Bloodcrazed Paladin</t>
  </si>
  <si>
    <t xml:space="preserve">avaliar</t>
  </si>
  <si>
    <t xml:space="preserve">Dispara a coleção ao entrar, como o Paladin, e soma vínculo num deck com Resiliência abaixo da faixa (4 de 5 a 10). Ganha por pouco (10,5 contra 8,5); o Paladin tem lampejo, que ela não tem.</t>
  </si>
  <si>
    <t xml:space="preserve">Sin. 1: Vampiro que entra e enche a coleção, sem pôr outro Vampiro em campo (nota 2 da régua).</t>
  </si>
  <si>
    <t xml:space="preserve">01. Vito</t>
  </si>
  <si>
    <t xml:space="preserve">Sangria Sagrada</t>
  </si>
  <si>
    <t xml:space="preserve">Vito</t>
  </si>
  <si>
    <t xml:space="preserve">Malakir Rebirth</t>
  </si>
  <si>
    <t xml:space="preserve">Vampire of the Dire Moon</t>
  </si>
  <si>
    <t xml:space="preserve">fora</t>
  </si>
  <si>
    <t xml:space="preserve">Vínculo num 2/2 só dispara o Vito em combate, e um 2/2 conecta pouco. Fica 1 ponto acima do Vampire of the Dire Moon: troca que não justifica a compra.</t>
  </si>
  <si>
    <t xml:space="preserve">Sin. 1: Vínculo com a vida numa criatura, que só ganha vida em combate (nota 1 da régua, como Gifted Aetherborn). Sin. 2: Vampiro sem efeito voltado aos outros Vampiros (nota 1 da régua).</t>
  </si>
  <si>
    <t xml:space="preserve">03. K'rrik</t>
  </si>
  <si>
    <t xml:space="preserve">Dívida &amp; Herança</t>
  </si>
  <si>
    <t xml:space="preserve">Ophiomancer</t>
  </si>
  <si>
    <t xml:space="preserve">O número alto vem da régua do custo ({B} pago com vida vale 2 para qualquer carta de {1}{B}). O deck quer feitiço, dreno e remoção; o radar tem mais de 40 cartas na frente para a vaga do Ophiomancer.</t>
  </si>
  <si>
    <t xml:space="preserve">Sin. 1: Custo {1}{B}: o K'rrik paga metade do valor de mana com 2 de vida (nota 2 da régua, como Demonic Tutor). Sin. 2: Vínculo com a vida numa criatura (nota 1 da régua).</t>
  </si>
  <si>
    <t xml:space="preserve">01. Markov</t>
  </si>
  <si>
    <t xml:space="preserve">Linhagem Vampírica</t>
  </si>
  <si>
    <t xml:space="preserve">Edgar</t>
  </si>
  <si>
    <t xml:space="preserve">Faithless Looting</t>
  </si>
  <si>
    <t xml:space="preserve">Dusk Legion Sergeant</t>
  </si>
  <si>
    <t xml:space="preserve">Dispara a eminência como qualquer Vampiro de 2, num deck com 36 Vampiros (sinergia já saturada). O radar tem Stensian Sanguinist, Indulgent Aristocrat e Scheming Silvertongue na frente dela.</t>
  </si>
  <si>
    <t xml:space="preserve">Sin. 1: Vampiro que dispara a eminência ao ser conjurado, sem efeito voltado aos outros Vampiros (nota 2 da régua).</t>
  </si>
  <si>
    <t xml:space="preserve">02. Clavileño</t>
  </si>
  <si>
    <t xml:space="preserve">Ritos de Sangue</t>
  </si>
  <si>
    <t xml:space="preserve">Clavileño</t>
  </si>
  <si>
    <t xml:space="preserve">Legion Lieutenant</t>
  </si>
  <si>
    <t xml:space="preserve">É um Vampiro que ataca e pode ser abençoado, como os outros 30. Fica acima de só 13 das 68 mágicas; os Vampiros de 2 do deck valem de 10,5 a 15.</t>
  </si>
  <si>
    <t xml:space="preserve">Sin. 1: Vampiro comum, que ataca e pode ser abençoado, sem pôr outro Vampiro em campo (nota 2 da régua).</t>
  </si>
  <si>
    <t xml:space="preserve">02. Strefan</t>
  </si>
  <si>
    <t xml:space="preserve">Baile Carmesim</t>
  </si>
  <si>
    <t xml:space="preserve">Strefan</t>
  </si>
  <si>
    <t xml:space="preserve">Gamble</t>
  </si>
  <si>
    <t xml:space="preserve">Nullpriest of Oblivion</t>
  </si>
  <si>
    <t xml:space="preserve">O Strefan a põe em campo atacando e o efeito de entrada dispara, mas os Vampiros de 2 do deck valem de 12,5 a 16 (Bloodtithe Harvester, Creeping Bloodsucker, Voldaren Bloodcaster). Ela vale 10,5.</t>
  </si>
  <si>
    <t xml:space="preserve">Sin. 1: Vampiro que o Strefan põe da mão em campo atacando, sem gatilho a cada Vampiro que entra (nota 2 da régua).</t>
  </si>
  <si>
    <t xml:space="preserve">03. Valgavoth</t>
  </si>
  <si>
    <t xml:space="preserve">Dízimo das Almas</t>
  </si>
  <si>
    <t xml:space="preserve">Valgavoth</t>
  </si>
  <si>
    <t xml:space="preserve">Sem ligação com o comandante: vale só como um 2/2 com vínculo.</t>
  </si>
  <si>
    <t xml:space="preserve">Nota 0 nas duas sinergias.</t>
  </si>
  <si>
    <t xml:space="preserve">02. Elfos</t>
  </si>
  <si>
    <t xml:space="preserve">Selva Élfica</t>
  </si>
  <si>
    <t xml:space="preserve">Lathril</t>
  </si>
  <si>
    <t xml:space="preserve">Khalni Ambush</t>
  </si>
  <si>
    <t xml:space="preserve">Sem ligação: Shapeshifter não é Elfo no jogo (ver Armadilhas no Resumo).</t>
  </si>
  <si>
    <t xml:space="preserve">03. Lynde</t>
  </si>
  <si>
    <t xml:space="preserve">Chá das Maldições</t>
  </si>
  <si>
    <t xml:space="preserve">Lynde</t>
  </si>
  <si>
    <t xml:space="preserve">Hydroelectric Specimen</t>
  </si>
  <si>
    <t xml:space="preserve">04. Assassin Creed</t>
  </si>
  <si>
    <t xml:space="preserve">Irmandade Oculta</t>
  </si>
  <si>
    <t xml:space="preserve">Ezio</t>
  </si>
  <si>
    <t xml:space="preserve">Shay Cormac</t>
  </si>
  <si>
    <t xml:space="preserve">02. Zumbis</t>
  </si>
  <si>
    <t xml:space="preserve">Cortejo Fúnebre</t>
  </si>
  <si>
    <t xml:space="preserve">Wilhelt</t>
  </si>
  <si>
    <t xml:space="preserve">Shapeshifter não é Zumbi no jogo: só o Changeling (ou quem copia) ganha os tipos. Nota 0, apesar de a régua dizer que Shapeshifter conta como da tribo (ponto para o dono decidir).</t>
  </si>
  <si>
    <t xml:space="preserve">03. Master Of Evil</t>
  </si>
  <si>
    <t xml:space="preserve">Mestre do Mal</t>
  </si>
  <si>
    <t xml:space="preserve">Davros</t>
  </si>
  <si>
    <t xml:space="preserve">Precon intacto</t>
  </si>
  <si>
    <t xml:space="preserve">The Master, Formed Anew</t>
  </si>
  <si>
    <t xml:space="preserve">Precon intacto: a lista não muda.</t>
  </si>
  <si>
    <t xml:space="preserve">04. Queen</t>
  </si>
  <si>
    <t xml:space="preserve">Trono Inabalável</t>
  </si>
  <si>
    <t xml:space="preserve">Marchesa</t>
  </si>
  <si>
    <t xml:space="preserve">Approach of the Second Sun</t>
  </si>
  <si>
    <t xml:space="preserve">05. Deadpool</t>
  </si>
  <si>
    <t xml:space="preserve">4ª Parede</t>
  </si>
  <si>
    <t xml:space="preserve">Deadpool</t>
  </si>
  <si>
    <t xml:space="preserve">Desejo</t>
  </si>
  <si>
    <t xml:space="preserve">Dark Ritual</t>
  </si>
  <si>
    <t xml:space="preserve">Deck de Desejo, que não existe fisicamente; e não se liga ao comandante.</t>
  </si>
  <si>
    <t xml:space="preserve">02. Turtle Power!</t>
  </si>
  <si>
    <t xml:space="preserve">Cowabunga</t>
  </si>
  <si>
    <t xml:space="preserve">par Leonardo e Michelangelo</t>
  </si>
  <si>
    <t xml:space="preserve">Continue?</t>
  </si>
  <si>
    <t xml:space="preserve">Sem ligação: Shapeshifter não é Tartaruga no jogo (ver Armadilhas no Resumo).</t>
  </si>
  <si>
    <t xml:space="preserve">05. Slivers</t>
  </si>
  <si>
    <t xml:space="preserve">Ninho de Enxames</t>
  </si>
  <si>
    <t xml:space="preserve">First Sliver</t>
  </si>
  <si>
    <t xml:space="preserve">Fierce Guardianship</t>
  </si>
  <si>
    <t xml:space="preserve">Deck de Desejo, que não existe fisicamente; e não se liga aos Slivers.</t>
  </si>
  <si>
    <t xml:space="preserve">02. Kaalia</t>
  </si>
  <si>
    <t xml:space="preserve">Céu, Fogo e Inferno</t>
  </si>
  <si>
    <t xml:space="preserve">Kaalia</t>
  </si>
  <si>
    <t xml:space="preserve">Fatal Push</t>
  </si>
  <si>
    <t xml:space="preserve">03. Tergrid</t>
  </si>
  <si>
    <t xml:space="preserve">Lanterna do Medo</t>
  </si>
  <si>
    <t xml:space="preserve">Armadilha: o oponente exila a carta da mão, não descarta. A Tergrid só rouba permanente descartada ou sacrificada, então não dispara.</t>
  </si>
  <si>
    <t xml:space="preserve">04. Zur</t>
  </si>
  <si>
    <t xml:space="preserve">Equilíbrio Encantado</t>
  </si>
  <si>
    <t xml:space="preserve">Zur</t>
  </si>
  <si>
    <t xml:space="preserve">Judge's Familiar</t>
  </si>
  <si>
    <t xml:space="preserve">Fora das cores da carta (sem preto), e por isso fora da conta: Giada, Dragões, Goblins, Humanos, Lobos, Heads I win, Fynn, Ken, Zara, Braids e Storm.</t>
  </si>
  <si>
    <t xml:space="preserve">Régua da pontuação v3 e da Caixa</t>
  </si>
  <si>
    <t xml:space="preserve">Fonte: motor/pontuacao.json (pesos e pontos por nota), motor/caixa.json (ganho mínimo) e contexto/pontuacao/RUBRICA.md (notas da carta). Azul: entrada; preto: fórmula.</t>
  </si>
  <si>
    <t xml:space="preserve">Critério</t>
  </si>
  <si>
    <t xml:space="preserve">Chave</t>
  </si>
  <si>
    <t xml:space="preserve">Peso</t>
  </si>
  <si>
    <t xml:space="preserve">Nota da Salt Vampire</t>
  </si>
  <si>
    <t xml:space="preserve">Pontos</t>
  </si>
  <si>
    <t xml:space="preserve">Sinergia Primária</t>
  </si>
  <si>
    <t xml:space="preserve">sin1</t>
  </si>
  <si>
    <t xml:space="preserve">do deck (aba Encaixe)</t>
  </si>
  <si>
    <t xml:space="preserve">Sinergia Secundária</t>
  </si>
  <si>
    <t xml:space="preserve">sin2</t>
  </si>
  <si>
    <t xml:space="preserve">Resiliência</t>
  </si>
  <si>
    <t xml:space="preserve">resiliencia</t>
  </si>
  <si>
    <t xml:space="preserve">Recurso</t>
  </si>
  <si>
    <t xml:space="preserve">recurso</t>
  </si>
  <si>
    <t xml:space="preserve">Draw</t>
  </si>
  <si>
    <t xml:space="preserve">draw</t>
  </si>
  <si>
    <t xml:space="preserve">Amplificador</t>
  </si>
  <si>
    <t xml:space="preserve">amplificador</t>
  </si>
  <si>
    <t xml:space="preserve">Remoção</t>
  </si>
  <si>
    <t xml:space="preserve">remocao</t>
  </si>
  <si>
    <t xml:space="preserve">Evasão</t>
  </si>
  <si>
    <t xml:space="preserve">evasao</t>
  </si>
  <si>
    <t xml:space="preserve">Dano Direto</t>
  </si>
  <si>
    <t xml:space="preserve">dano</t>
  </si>
  <si>
    <t xml:space="preserve">Aceleradores</t>
  </si>
  <si>
    <t xml:space="preserve">aceleradores</t>
  </si>
  <si>
    <t xml:space="preserve">Valor próprio (os oito critérios da carta)</t>
  </si>
  <si>
    <t xml:space="preserve">Nota</t>
  </si>
  <si>
    <t xml:space="preserve">A escala cresce no topo: uma nota 3 vale mais que quatro notas 1.</t>
  </si>
  <si>
    <t xml:space="preserve">Ganho mínimo para Deck</t>
  </si>
  <si>
    <t xml:space="preserve">Régua da Caixa (motor/caixa.json, decisão do dono de 17/10/2026)</t>
  </si>
  <si>
    <t xml:space="preserve">Ganho mínimo para Guardar</t>
  </si>
  <si>
    <t xml:space="preserve">Saturação: o critério do deck abaixo da faixa vale 1,5×, dentro vale 1× e acima vale 0,5×. Os multiplicadores de cada deck estão na aba Encaixe.</t>
  </si>
  <si>
    <t xml:space="preserve">A conta com saturação da aba Encaixe usa os quatro critérios em que a carta pontua (Sinergias, Resiliência e Remoção). Nota nova em outro critério muda o valor próprio, mas não a conta com saturação.</t>
  </si>
  <si>
    <t xml:space="preserve">Pendências e arquivos</t>
  </si>
  <si>
    <t xml:space="preserve">#</t>
  </si>
  <si>
    <t xml:space="preserve">Pendência</t>
  </si>
  <si>
    <t xml:space="preserve">Como resolver</t>
  </si>
  <si>
    <t xml:space="preserve">Quem</t>
  </si>
  <si>
    <t xml:space="preserve">Status</t>
  </si>
  <si>
    <t xml:space="preserve">Instalar o comando /consulta</t>
  </si>
  <si>
    <t xml:space="preserve">Copiar contexto\consulta\SKILL-consulta.md para .claude\skills\consulta\SKILL.md. No PowerShell, na raiz do projeto: New-Item -ItemType Directory .claude\skills\consulta -Force; Copy-Item contexto\consulta\SKILL-consulta.md .claude\skills\consulta\SKILL.md</t>
  </si>
  <si>
    <t xml:space="preserve">Você</t>
  </si>
  <si>
    <t xml:space="preserve">Pendente</t>
  </si>
  <si>
    <t xml:space="preserve">Integrar ESTADO.md e ARQUITETURA.md</t>
  </si>
  <si>
    <t xml:space="preserve">O texto pronto está no fim de contexto/consulta/CONSULTA.md, em "Para integrar". Não gravei porque outra sessão escrevia nesses arquivos.</t>
  </si>
  <si>
    <t xml:space="preserve">Sessão local</t>
  </si>
  <si>
    <t xml:space="preserve">Cadastro da Salt Vampire em dados/cartas.json</t>
  </si>
  <si>
    <t xml:space="preserve">Entrada pronta no CONSULTA.md (Resiliência 1, Remoção 1). Espera o seu "pode".</t>
  </si>
  <si>
    <t xml:space="preserve">Aguardando "pode"</t>
  </si>
  <si>
    <t xml:space="preserve">Commit</t>
  </si>
  <si>
    <t xml:space="preserve">O /fechar da outra sessão usa git add -A e leva os arquivos novos.</t>
  </si>
  <si>
    <t xml:space="preserve">Rodar o teste no Windows</t>
  </si>
  <si>
    <t xml:space="preserve">python testes/consulta.py (34 de 34 na cópia da nuvem; ainda não rodou na sua máquina).</t>
  </si>
  <si>
    <t xml:space="preserve">Regra do Shapeshifter</t>
  </si>
  <si>
    <t xml:space="preserve">Decidir. Proposta: Changeling conta como da tribo; Shapeshifter só quando copia ou vira a tribo (Irma, Metallic Mimic).</t>
  </si>
  <si>
    <t xml:space="preserve">Decisão</t>
  </si>
  <si>
    <t xml:space="preserve">Consultar de novo depois do lançamento</t>
  </si>
  <si>
    <t xml:space="preserve">Depois de 13/11/2026: /consulta https://scryfall.com/card/trk/127/salt-vampire. Se o preço cair perto do de bulk, vira 'só se sobrar' para a Evelyn.</t>
  </si>
  <si>
    <t xml:space="preserve">A partir de 13/11</t>
  </si>
  <si>
    <t xml:space="preserve">Campo Consultar no Grimório (opcional)</t>
  </si>
  <si>
    <t xml:space="preserve">Você cola o link e a página devolve o /consulta pronto para copiar, com o veredito anterior se a carta já foi consultada. Funciona sem internet; pede protótipo antes do código.</t>
  </si>
  <si>
    <t xml:space="preserve">Proposta</t>
  </si>
  <si>
    <t xml:space="preserve">Arquivos gravados na pasta do projeto em 22/10/2026</t>
  </si>
  <si>
    <t xml:space="preserve">Arquivo</t>
  </si>
  <si>
    <t xml:space="preserve">O que é</t>
  </si>
  <si>
    <t xml:space="preserve">motor/consulta.py</t>
  </si>
  <si>
    <t xml:space="preserve">O script: acha a carta, grava o dossiê, calcula o encaixe, grava vereditos e lista as consultas</t>
  </si>
  <si>
    <t xml:space="preserve">testes/consulta.py</t>
  </si>
  <si>
    <t xml:space="preserve">O teste: 34 verificações sem rede</t>
  </si>
  <si>
    <t xml:space="preserve">contexto/consulta/CONSULTA.md</t>
  </si>
  <si>
    <t xml:space="preserve">O desenho do comando e o texto para integrar</t>
  </si>
  <si>
    <t xml:space="preserve">contexto/consulta/SKILL-consulta.md</t>
  </si>
  <si>
    <t xml:space="preserve">O comando, a instalar em .claude/skills/consulta/</t>
  </si>
  <si>
    <t xml:space="preserve">dados/consultas/Salt Vampire.json</t>
  </si>
  <si>
    <t xml:space="preserve">O registro desta consulta</t>
  </si>
  <si>
    <t xml:space="preserve">motor/dados.py</t>
  </si>
  <si>
    <t xml:space="preserve">consultas entrou em PASTAS_FORA (sem isso, o motor tomaria a pasta por um deck)</t>
  </si>
  <si>
    <t xml:space="preserve">CLAUDE.md</t>
  </si>
  <si>
    <t xml:space="preserve">O comando e a pasta nova</t>
  </si>
  <si>
    <t xml:space="preserve">contexto/MODELOS.md</t>
  </si>
  <si>
    <t xml:space="preserve">A linha do /consulta (opus, high)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</si>
</sst>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ganho +&quot;0.00"/>
    <numFmt numFmtId="166" formatCode="&quot;US$ &quot;#,##0.00"/>
    <numFmt numFmtId="167" formatCode="0.00"/>
    <numFmt numFmtId="168" formatCode="0%"/>
    <numFmt numFmtId="169" formatCode="0.0\×"/>
    <numFmt numFmtId="170" formatCode="\+0.00;\-0.00;0.00"/>
    <numFmt numFmtId="171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A1A2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5A1A2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5A1A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EFEF"/>
        <bgColor rgb="FFFBF6F6"/>
      </patternFill>
    </fill>
    <fill>
      <patternFill patternType="solid">
        <fgColor rgb="FF5A1A22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5A1A22"/>
          <bgColor rgb="FF000000"/>
        </patternFill>
      </fill>
    </dxf>
    <dxf>
      <fill>
        <patternFill patternType="solid">
          <fgColor rgb="FFFBF6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BE9C8"/>
          <bgColor rgb="FF000000"/>
        </patternFill>
      </fill>
    </dxf>
    <dxf>
      <fill>
        <patternFill patternType="solid">
          <fgColor rgb="FF7A4E00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ont>
        <name val="Arial"/>
        <charset val="1"/>
        <family val="0"/>
        <b val="1"/>
        <color rgb="FF1E5E2A"/>
      </font>
      <fill>
        <patternFill>
          <bgColor rgb="FFD8EBD5"/>
        </patternFill>
      </fill>
    </dxf>
    <dxf>
      <font>
        <name val="Arial"/>
        <charset val="1"/>
        <family val="0"/>
        <color rgb="FF7A4E00"/>
      </font>
      <fill>
        <patternFill>
          <bgColor rgb="FFFBE9C8"/>
        </patternFill>
      </fill>
    </dxf>
    <dxf>
      <font>
        <name val="Arial"/>
        <charset val="1"/>
        <family val="0"/>
        <color rgb="FF8C8C8C"/>
      </font>
    </dxf>
    <dxf>
      <font>
        <name val="Arial"/>
        <charset val="1"/>
        <family val="0"/>
        <b val="1"/>
        <color rgb="FF7A4E00"/>
      </font>
      <fill>
        <patternFill>
          <bgColor rgb="FFFBE9C8"/>
        </patternFill>
      </fill>
    </dxf>
    <dxf>
      <fill>
        <patternFill>
          <bgColor rgb="FFFBF6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6F6"/>
      <rgbColor rgb="FFF2EFEF"/>
      <rgbColor rgb="FF660066"/>
      <rgbColor rgb="FFFF8080"/>
      <rgbColor rgb="FF0563C1"/>
      <rgbColor rgb="FFD9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BD5"/>
      <rgbColor rgb="FFFBE9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1E5E2A"/>
      <rgbColor rgb="FF7A4E00"/>
      <rgbColor rgb="FF993366"/>
      <rgbColor rgb="FF333399"/>
      <rgbColor rgb="FF5A1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ryfall.com/card/trk/127/salt-vampir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42" hidden="false" customHeight="true" outlineLevel="0" collapsed="false">
      <c r="A5" s="5" t="s">
        <v>3</v>
      </c>
      <c r="B5" s="6" t="s">
        <v>4</v>
      </c>
      <c r="C5" s="6"/>
      <c r="D5" s="6"/>
    </row>
    <row r="6" customFormat="false" ht="66" hidden="false" customHeight="true" outlineLevel="0" collapsed="false">
      <c r="A6" s="5" t="s">
        <v>5</v>
      </c>
      <c r="B6" s="7" t="s">
        <v>6</v>
      </c>
      <c r="C6" s="8" t="s">
        <v>7</v>
      </c>
      <c r="D6" s="8"/>
    </row>
    <row r="7" customFormat="false" ht="15" hidden="false" customHeight="false" outlineLevel="0" collapsed="false">
      <c r="A7" s="5" t="s">
        <v>8</v>
      </c>
      <c r="B7" s="9" t="str">
        <f aca="false">INDEX(Encaixe!$A$5:$A$23,MATCH(MAX(Encaixe!$O$5:$O$23),Encaixe!$O$5:$O$23,0))</f>
        <v>02. Evelyn</v>
      </c>
      <c r="C7" s="10" t="n">
        <f aca="false">MAX(Encaixe!$O$5:$O$23)</f>
        <v>6.25</v>
      </c>
      <c r="D7" s="11"/>
    </row>
    <row r="8" customFormat="false" ht="15" hidden="false" customHeight="false" outlineLevel="0" collapsed="false">
      <c r="A8" s="5" t="s">
        <v>9</v>
      </c>
      <c r="B8" s="9" t="n">
        <f aca="false">COUNTIF(Encaixe!$P$5:$P$23,"Deck")</f>
        <v>0</v>
      </c>
      <c r="C8" s="8" t="str">
        <f aca="false">"ganho de "&amp;TEXT(Régua!$C$22,"0")&amp;" ou mais"</f>
        <v>ganho de 10 ou mais</v>
      </c>
      <c r="D8" s="11"/>
    </row>
    <row r="9" customFormat="false" ht="15" hidden="false" customHeight="false" outlineLevel="0" collapsed="false">
      <c r="A9" s="5" t="s">
        <v>10</v>
      </c>
      <c r="B9" s="9" t="n">
        <f aca="false">COUNTIF(Encaixe!$P$5:$P$23,"Guardar")</f>
        <v>2</v>
      </c>
      <c r="C9" s="8" t="str">
        <f aca="false">"ganho de "&amp;TEXT(Régua!$C$23,"0")&amp;" a "&amp;TEXT(Régua!$C$22,"0")</f>
        <v>ganho de 5 a 10</v>
      </c>
      <c r="D9" s="11"/>
    </row>
    <row r="10" customFormat="false" ht="15" hidden="false" customHeight="false" outlineLevel="0" collapsed="false">
      <c r="A10" s="5" t="s">
        <v>11</v>
      </c>
      <c r="B10" s="9" t="n">
        <f aca="false">COUNTIF(Encaixe!$T$5:$T$23,"avaliar")</f>
        <v>1</v>
      </c>
      <c r="C10" s="8" t="s">
        <v>12</v>
      </c>
      <c r="D10" s="11"/>
    </row>
    <row r="11" customFormat="false" ht="15" hidden="false" customHeight="false" outlineLevel="0" collapsed="false">
      <c r="A11" s="5" t="s">
        <v>13</v>
      </c>
      <c r="B11" s="9" t="n">
        <f aca="false">COUNTA(Encaixe!$A$5:$A$23)</f>
        <v>19</v>
      </c>
      <c r="C11" s="8" t="s">
        <v>14</v>
      </c>
      <c r="D11" s="11"/>
    </row>
    <row r="13" customFormat="false" ht="15" hidden="false" customHeight="false" outlineLevel="0" collapsed="false">
      <c r="A13" s="3" t="s">
        <v>15</v>
      </c>
      <c r="B13" s="4"/>
      <c r="C13" s="4"/>
      <c r="D13" s="4"/>
    </row>
    <row r="14" customFormat="false" ht="15" hidden="false" customHeight="false" outlineLevel="0" collapsed="false">
      <c r="A14" s="5" t="s">
        <v>16</v>
      </c>
      <c r="B14" s="6" t="s">
        <v>17</v>
      </c>
      <c r="C14" s="11"/>
      <c r="D14" s="11"/>
    </row>
    <row r="15" customFormat="false" ht="15" hidden="false" customHeight="false" outlineLevel="0" collapsed="false">
      <c r="A15" s="5" t="s">
        <v>18</v>
      </c>
      <c r="B15" s="6" t="s">
        <v>19</v>
      </c>
      <c r="C15" s="11"/>
      <c r="D15" s="11"/>
    </row>
    <row r="16" customFormat="false" ht="15" hidden="false" customHeight="false" outlineLevel="0" collapsed="false">
      <c r="A16" s="5" t="s">
        <v>20</v>
      </c>
      <c r="B16" s="6" t="s">
        <v>21</v>
      </c>
      <c r="C16" s="11"/>
      <c r="D16" s="11"/>
    </row>
    <row r="17" customFormat="false" ht="54" hidden="false" customHeight="true" outlineLevel="0" collapsed="false">
      <c r="A17" s="5" t="s">
        <v>22</v>
      </c>
      <c r="B17" s="6" t="s">
        <v>23</v>
      </c>
      <c r="C17" s="6"/>
      <c r="D17" s="6"/>
    </row>
    <row r="18" customFormat="false" ht="42" hidden="false" customHeight="true" outlineLevel="0" collapsed="false">
      <c r="A18" s="5" t="s">
        <v>24</v>
      </c>
      <c r="B18" s="6" t="s">
        <v>25</v>
      </c>
      <c r="C18" s="6"/>
      <c r="D18" s="6"/>
    </row>
    <row r="19" customFormat="false" ht="15" hidden="false" customHeight="false" outlineLevel="0" collapsed="false">
      <c r="A19" s="5" t="s">
        <v>26</v>
      </c>
      <c r="B19" s="6" t="s">
        <v>27</v>
      </c>
      <c r="C19" s="11"/>
      <c r="D19" s="11"/>
    </row>
    <row r="20" customFormat="false" ht="23.85" hidden="false" customHeight="false" outlineLevel="0" collapsed="false">
      <c r="A20" s="5" t="s">
        <v>28</v>
      </c>
      <c r="B20" s="6" t="s">
        <v>29</v>
      </c>
      <c r="C20" s="8" t="s">
        <v>30</v>
      </c>
      <c r="D20" s="11"/>
    </row>
    <row r="21" customFormat="false" ht="15" hidden="false" customHeight="false" outlineLevel="0" collapsed="false">
      <c r="A21" s="5" t="s">
        <v>31</v>
      </c>
      <c r="B21" s="12" t="n">
        <v>12.1</v>
      </c>
      <c r="C21" s="8" t="s">
        <v>32</v>
      </c>
      <c r="D21" s="11"/>
    </row>
    <row r="22" customFormat="false" ht="15" hidden="false" customHeight="false" outlineLevel="0" collapsed="false">
      <c r="A22" s="5" t="s">
        <v>33</v>
      </c>
      <c r="B22" s="13" t="s">
        <v>34</v>
      </c>
      <c r="C22" s="11"/>
      <c r="D22" s="11"/>
    </row>
    <row r="24" customFormat="false" ht="15" hidden="false" customHeight="false" outlineLevel="0" collapsed="false">
      <c r="A24" s="3" t="s">
        <v>35</v>
      </c>
      <c r="B24" s="4"/>
      <c r="C24" s="4"/>
      <c r="D24" s="4"/>
    </row>
    <row r="25" customFormat="false" ht="15" hidden="false" customHeight="false" outlineLevel="0" collapsed="false">
      <c r="A25" s="5" t="s">
        <v>36</v>
      </c>
      <c r="B25" s="14" t="n">
        <f aca="false">Régua!$F$14</f>
        <v>3</v>
      </c>
      <c r="C25" s="8" t="s">
        <v>37</v>
      </c>
      <c r="D25" s="11"/>
    </row>
    <row r="26" customFormat="false" ht="15" hidden="false" customHeight="false" outlineLevel="0" collapsed="false">
      <c r="A26" s="5" t="s">
        <v>38</v>
      </c>
      <c r="B26" s="15" t="n">
        <v>6</v>
      </c>
      <c r="C26" s="8" t="s">
        <v>39</v>
      </c>
      <c r="D26" s="11"/>
    </row>
    <row r="27" customFormat="false" ht="15" hidden="false" customHeight="false" outlineLevel="0" collapsed="false">
      <c r="A27" s="5" t="s">
        <v>40</v>
      </c>
      <c r="B27" s="16" t="n">
        <v>0.22</v>
      </c>
      <c r="C27" s="8" t="s">
        <v>41</v>
      </c>
      <c r="D27" s="11"/>
    </row>
    <row r="28" customFormat="false" ht="15" hidden="false" customHeight="false" outlineLevel="0" collapsed="false">
      <c r="A28" s="5" t="s">
        <v>42</v>
      </c>
      <c r="B28" s="7" t="n">
        <v>12</v>
      </c>
      <c r="C28" s="8" t="s">
        <v>43</v>
      </c>
      <c r="D28" s="11"/>
    </row>
    <row r="29" customFormat="false" ht="15" hidden="false" customHeight="false" outlineLevel="0" collapsed="false">
      <c r="A29" s="5" t="s">
        <v>44</v>
      </c>
      <c r="B29" s="7" t="n">
        <v>3</v>
      </c>
      <c r="C29" s="8" t="s">
        <v>43</v>
      </c>
      <c r="D29" s="11"/>
    </row>
    <row r="30" customFormat="false" ht="15" hidden="false" customHeight="false" outlineLevel="0" collapsed="false">
      <c r="A30" s="5" t="s">
        <v>45</v>
      </c>
      <c r="B30" s="6" t="s">
        <v>46</v>
      </c>
      <c r="C30" s="8" t="s">
        <v>47</v>
      </c>
      <c r="D30" s="11"/>
    </row>
    <row r="31" customFormat="false" ht="15" hidden="false" customHeight="false" outlineLevel="0" collapsed="false">
      <c r="A31" s="5" t="s">
        <v>48</v>
      </c>
      <c r="B31" s="6" t="s">
        <v>6</v>
      </c>
      <c r="C31" s="11"/>
      <c r="D31" s="11"/>
    </row>
    <row r="33" customFormat="false" ht="15" hidden="false" customHeight="false" outlineLevel="0" collapsed="false">
      <c r="A33" s="3" t="s">
        <v>49</v>
      </c>
      <c r="B33" s="4"/>
      <c r="C33" s="4"/>
      <c r="D33" s="4"/>
    </row>
    <row r="34" customFormat="false" ht="30" hidden="false" customHeight="true" outlineLevel="0" collapsed="false">
      <c r="A34" s="5" t="s">
        <v>50</v>
      </c>
      <c r="B34" s="6" t="s">
        <v>51</v>
      </c>
      <c r="C34" s="6"/>
      <c r="D34" s="6"/>
    </row>
    <row r="35" customFormat="false" ht="30" hidden="false" customHeight="true" outlineLevel="0" collapsed="false">
      <c r="A35" s="5" t="s">
        <v>52</v>
      </c>
      <c r="B35" s="6" t="s">
        <v>53</v>
      </c>
      <c r="C35" s="6"/>
      <c r="D35" s="6"/>
    </row>
    <row r="36" customFormat="false" ht="30" hidden="false" customHeight="true" outlineLevel="0" collapsed="false">
      <c r="A36" s="5" t="s">
        <v>54</v>
      </c>
      <c r="B36" s="6" t="s">
        <v>55</v>
      </c>
      <c r="C36" s="6"/>
      <c r="D36" s="6"/>
    </row>
    <row r="37" customFormat="false" ht="30" hidden="false" customHeight="true" outlineLevel="0" collapsed="false">
      <c r="A37" s="5" t="s">
        <v>56</v>
      </c>
      <c r="B37" s="6" t="s">
        <v>57</v>
      </c>
      <c r="C37" s="6"/>
      <c r="D37" s="6"/>
    </row>
  </sheetData>
  <mergeCells count="8">
    <mergeCell ref="B5:D5"/>
    <mergeCell ref="C6:D6"/>
    <mergeCell ref="B17:D17"/>
    <mergeCell ref="B18:D18"/>
    <mergeCell ref="B34:D34"/>
    <mergeCell ref="B35:D35"/>
    <mergeCell ref="B36:D36"/>
    <mergeCell ref="B37:D37"/>
  </mergeCells>
  <hyperlinks>
    <hyperlink ref="B22" r:id="rId1" display="https://scryfall.com/card/trk/127/salt-vamp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7"/>
    <col collapsed="false" customWidth="true" hidden="false" outlineLevel="0" max="9" min="7" style="0" width="9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24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24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2" min="21" style="0" width="52"/>
  </cols>
  <sheetData>
    <row r="1" customFormat="false" ht="17.35" hidden="false" customHeight="false" outlineLevel="0" collapsed="false">
      <c r="A1" s="17" t="s">
        <v>58</v>
      </c>
    </row>
    <row r="2" customFormat="false" ht="27.75" hidden="false" customHeight="true" outlineLevel="0" collapsed="false">
      <c r="A2" s="18" t="s">
        <v>59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customFormat="false" ht="30" hidden="false" customHeight="true" outlineLevel="0" collapsed="false">
      <c r="A4" s="19" t="s">
        <v>60</v>
      </c>
      <c r="B4" s="19" t="s">
        <v>61</v>
      </c>
      <c r="C4" s="19" t="s">
        <v>62</v>
      </c>
      <c r="D4" s="19" t="s">
        <v>63</v>
      </c>
      <c r="E4" s="19" t="s">
        <v>64</v>
      </c>
      <c r="F4" s="19" t="s">
        <v>65</v>
      </c>
      <c r="G4" s="19" t="s">
        <v>66</v>
      </c>
      <c r="H4" s="19" t="s">
        <v>67</v>
      </c>
      <c r="I4" s="19" t="s">
        <v>68</v>
      </c>
      <c r="J4" s="19" t="s">
        <v>69</v>
      </c>
      <c r="K4" s="19" t="s">
        <v>70</v>
      </c>
      <c r="L4" s="19" t="s">
        <v>71</v>
      </c>
      <c r="M4" s="19" t="s">
        <v>72</v>
      </c>
      <c r="N4" s="19" t="s">
        <v>73</v>
      </c>
      <c r="O4" s="19" t="s">
        <v>74</v>
      </c>
      <c r="P4" s="19" t="s">
        <v>75</v>
      </c>
      <c r="Q4" s="19" t="s">
        <v>76</v>
      </c>
      <c r="R4" s="19" t="s">
        <v>77</v>
      </c>
      <c r="S4" s="19" t="s">
        <v>78</v>
      </c>
      <c r="T4" s="19" t="s">
        <v>2</v>
      </c>
      <c r="U4" s="19" t="s">
        <v>79</v>
      </c>
      <c r="V4" s="19" t="s">
        <v>80</v>
      </c>
    </row>
    <row r="5" customFormat="false" ht="54" hidden="false" customHeight="true" outlineLevel="0" collapsed="false">
      <c r="A5" s="20" t="s">
        <v>81</v>
      </c>
      <c r="B5" s="6" t="s">
        <v>82</v>
      </c>
      <c r="C5" s="20" t="s">
        <v>83</v>
      </c>
      <c r="D5" s="20" t="s">
        <v>84</v>
      </c>
      <c r="E5" s="21" t="n">
        <v>2</v>
      </c>
      <c r="F5" s="21" t="n">
        <v>0</v>
      </c>
      <c r="G5" s="22" t="n">
        <v>0.5</v>
      </c>
      <c r="H5" s="22" t="n">
        <v>1</v>
      </c>
      <c r="I5" s="22" t="n">
        <v>1.5</v>
      </c>
      <c r="J5" s="22" t="n">
        <v>1</v>
      </c>
      <c r="K5" s="23" t="n">
        <f aca="false">Régua!$F$14+Régua!$C$4*INDEX(Régua!$B$17:$B$20,E5+1)+Régua!$C$5*INDEX(Régua!$B$17:$B$20,F5+1)</f>
        <v>10.5</v>
      </c>
      <c r="L5" s="23" t="n">
        <f aca="false">Régua!$C$4*INDEX(Régua!$B$17:$B$20,E5+1)*G5+Régua!$C$5*INDEX(Régua!$B$17:$B$20,F5+1)*H5+Régua!$C$6*INDEX(Régua!$B$17:$B$20,Régua!$D$6+1)*I5+Régua!$C$10*INDEX(Régua!$B$17:$B$20,Régua!$D$10+1)*J5</f>
        <v>7.25</v>
      </c>
      <c r="M5" s="21" t="s">
        <v>85</v>
      </c>
      <c r="N5" s="24" t="n">
        <v>1</v>
      </c>
      <c r="O5" s="25" t="n">
        <f aca="false">L5-N5</f>
        <v>6.25</v>
      </c>
      <c r="P5" s="20" t="str">
        <f aca="false">IF(O5&gt;=Régua!$C$22,"Deck",IF(O5&gt;=Régua!$C$23,"Guardar","Abaixo"))</f>
        <v>Guardar</v>
      </c>
      <c r="Q5" s="7" t="s">
        <v>86</v>
      </c>
      <c r="R5" s="24" t="n">
        <v>8.5</v>
      </c>
      <c r="S5" s="26" t="n">
        <f aca="false">IF(R5="","",K5-R5)</f>
        <v>2</v>
      </c>
      <c r="T5" s="21" t="s">
        <v>87</v>
      </c>
      <c r="U5" s="6" t="s">
        <v>88</v>
      </c>
      <c r="V5" s="6" t="s">
        <v>89</v>
      </c>
    </row>
    <row r="6" customFormat="false" ht="54" hidden="false" customHeight="true" outlineLevel="0" collapsed="false">
      <c r="A6" s="20" t="s">
        <v>90</v>
      </c>
      <c r="B6" s="6" t="s">
        <v>91</v>
      </c>
      <c r="C6" s="20" t="s">
        <v>92</v>
      </c>
      <c r="D6" s="20" t="s">
        <v>84</v>
      </c>
      <c r="E6" s="21" t="n">
        <v>1</v>
      </c>
      <c r="F6" s="21" t="n">
        <v>1</v>
      </c>
      <c r="G6" s="22" t="n">
        <v>1</v>
      </c>
      <c r="H6" s="22" t="n">
        <v>1</v>
      </c>
      <c r="I6" s="22" t="n">
        <v>1</v>
      </c>
      <c r="J6" s="22" t="n">
        <v>0.5</v>
      </c>
      <c r="K6" s="23" t="n">
        <f aca="false">Régua!$F$14+Régua!$C$4*INDEX(Régua!$B$17:$B$20,E6+1)+Régua!$C$5*INDEX(Régua!$B$17:$B$20,F6+1)</f>
        <v>7</v>
      </c>
      <c r="L6" s="23" t="n">
        <f aca="false">Régua!$C$4*INDEX(Régua!$B$17:$B$20,E6+1)*G6+Régua!$C$5*INDEX(Régua!$B$17:$B$20,F6+1)*H6+Régua!$C$6*INDEX(Régua!$B$17:$B$20,Régua!$D$6+1)*I6+Régua!$C$10*INDEX(Régua!$B$17:$B$20,Régua!$D$10+1)*J6</f>
        <v>6</v>
      </c>
      <c r="M6" s="21" t="s">
        <v>93</v>
      </c>
      <c r="N6" s="24" t="n">
        <v>1</v>
      </c>
      <c r="O6" s="25" t="n">
        <f aca="false">L6-N6</f>
        <v>5</v>
      </c>
      <c r="P6" s="20" t="str">
        <f aca="false">IF(O6&gt;=Régua!$C$22,"Deck",IF(O6&gt;=Régua!$C$23,"Guardar","Abaixo"))</f>
        <v>Guardar</v>
      </c>
      <c r="Q6" s="7" t="s">
        <v>94</v>
      </c>
      <c r="R6" s="24" t="n">
        <v>6</v>
      </c>
      <c r="S6" s="26" t="n">
        <f aca="false">IF(R6="","",K6-R6)</f>
        <v>1</v>
      </c>
      <c r="T6" s="21" t="s">
        <v>95</v>
      </c>
      <c r="U6" s="6" t="s">
        <v>96</v>
      </c>
      <c r="V6" s="6" t="s">
        <v>97</v>
      </c>
    </row>
    <row r="7" customFormat="false" ht="54" hidden="false" customHeight="true" outlineLevel="0" collapsed="false">
      <c r="A7" s="20" t="s">
        <v>98</v>
      </c>
      <c r="B7" s="6" t="s">
        <v>99</v>
      </c>
      <c r="C7" s="20" t="s">
        <v>54</v>
      </c>
      <c r="D7" s="20" t="s">
        <v>84</v>
      </c>
      <c r="E7" s="21" t="n">
        <v>2</v>
      </c>
      <c r="F7" s="21" t="n">
        <v>1</v>
      </c>
      <c r="G7" s="22" t="n">
        <v>1</v>
      </c>
      <c r="H7" s="22" t="n">
        <v>0.5</v>
      </c>
      <c r="I7" s="22" t="n">
        <v>1</v>
      </c>
      <c r="J7" s="22" t="n">
        <v>0.5</v>
      </c>
      <c r="K7" s="23" t="n">
        <f aca="false">Régua!$F$14+Régua!$C$4*INDEX(Régua!$B$17:$B$20,E7+1)+Régua!$C$5*INDEX(Régua!$B$17:$B$20,F7+1)</f>
        <v>12</v>
      </c>
      <c r="L7" s="23" t="n">
        <f aca="false">Régua!$C$4*INDEX(Régua!$B$17:$B$20,E7+1)*G7+Régua!$C$5*INDEX(Régua!$B$17:$B$20,F7+1)*H7+Régua!$C$6*INDEX(Régua!$B$17:$B$20,Régua!$D$6+1)*I7+Régua!$C$10*INDEX(Régua!$B$17:$B$20,Régua!$D$10+1)*J7</f>
        <v>10.25</v>
      </c>
      <c r="M7" s="21" t="s">
        <v>100</v>
      </c>
      <c r="N7" s="24" t="n">
        <v>5.5</v>
      </c>
      <c r="O7" s="25" t="n">
        <f aca="false">L7-N7</f>
        <v>4.75</v>
      </c>
      <c r="P7" s="20" t="str">
        <f aca="false">IF(O7&gt;=Régua!$C$22,"Deck",IF(O7&gt;=Régua!$C$23,"Guardar","Abaixo"))</f>
        <v>Abaixo</v>
      </c>
      <c r="Q7" s="7" t="s">
        <v>100</v>
      </c>
      <c r="R7" s="24" t="n">
        <v>5.5</v>
      </c>
      <c r="S7" s="26" t="n">
        <f aca="false">IF(R7="","",K7-R7)</f>
        <v>6.5</v>
      </c>
      <c r="T7" s="21" t="s">
        <v>95</v>
      </c>
      <c r="U7" s="6" t="s">
        <v>101</v>
      </c>
      <c r="V7" s="6" t="s">
        <v>102</v>
      </c>
    </row>
    <row r="8" customFormat="false" ht="54" hidden="false" customHeight="true" outlineLevel="0" collapsed="false">
      <c r="A8" s="20" t="s">
        <v>103</v>
      </c>
      <c r="B8" s="6" t="s">
        <v>104</v>
      </c>
      <c r="C8" s="20" t="s">
        <v>105</v>
      </c>
      <c r="D8" s="20" t="s">
        <v>84</v>
      </c>
      <c r="E8" s="21" t="n">
        <v>2</v>
      </c>
      <c r="F8" s="21" t="n">
        <v>0</v>
      </c>
      <c r="G8" s="22" t="n">
        <v>0.5</v>
      </c>
      <c r="H8" s="22" t="n">
        <v>0.5</v>
      </c>
      <c r="I8" s="22" t="n">
        <v>1</v>
      </c>
      <c r="J8" s="22" t="n">
        <v>1</v>
      </c>
      <c r="K8" s="23" t="n">
        <f aca="false">Régua!$F$14+Régua!$C$4*INDEX(Régua!$B$17:$B$20,E8+1)+Régua!$C$5*INDEX(Régua!$B$17:$B$20,F8+1)</f>
        <v>10.5</v>
      </c>
      <c r="L8" s="23" t="n">
        <f aca="false">Régua!$C$4*INDEX(Régua!$B$17:$B$20,E8+1)*G8+Régua!$C$5*INDEX(Régua!$B$17:$B$20,F8+1)*H8+Régua!$C$6*INDEX(Régua!$B$17:$B$20,Régua!$D$6+1)*I8+Régua!$C$10*INDEX(Régua!$B$17:$B$20,Régua!$D$10+1)*J8</f>
        <v>6.75</v>
      </c>
      <c r="M8" s="21" t="s">
        <v>106</v>
      </c>
      <c r="N8" s="24" t="n">
        <v>3</v>
      </c>
      <c r="O8" s="25" t="n">
        <f aca="false">L8-N8</f>
        <v>3.75</v>
      </c>
      <c r="P8" s="20" t="str">
        <f aca="false">IF(O8&gt;=Régua!$C$22,"Deck",IF(O8&gt;=Régua!$C$23,"Guardar","Abaixo"))</f>
        <v>Abaixo</v>
      </c>
      <c r="Q8" s="7" t="s">
        <v>107</v>
      </c>
      <c r="R8" s="24" t="n">
        <v>9.5</v>
      </c>
      <c r="S8" s="26" t="n">
        <f aca="false">IF(R8="","",K8-R8)</f>
        <v>1</v>
      </c>
      <c r="T8" s="21" t="s">
        <v>95</v>
      </c>
      <c r="U8" s="6" t="s">
        <v>108</v>
      </c>
      <c r="V8" s="6" t="s">
        <v>109</v>
      </c>
    </row>
    <row r="9" customFormat="false" ht="40.5" hidden="false" customHeight="true" outlineLevel="0" collapsed="false">
      <c r="A9" s="20" t="s">
        <v>110</v>
      </c>
      <c r="B9" s="6" t="s">
        <v>111</v>
      </c>
      <c r="C9" s="20" t="s">
        <v>112</v>
      </c>
      <c r="D9" s="20" t="s">
        <v>84</v>
      </c>
      <c r="E9" s="21" t="n">
        <v>2</v>
      </c>
      <c r="F9" s="21" t="n">
        <v>0</v>
      </c>
      <c r="G9" s="22" t="n">
        <v>0.5</v>
      </c>
      <c r="H9" s="22" t="n">
        <v>0.5</v>
      </c>
      <c r="I9" s="22" t="n">
        <v>1</v>
      </c>
      <c r="J9" s="22" t="n">
        <v>0.5</v>
      </c>
      <c r="K9" s="23" t="n">
        <f aca="false">Régua!$F$14+Régua!$C$4*INDEX(Régua!$B$17:$B$20,E9+1)+Régua!$C$5*INDEX(Régua!$B$17:$B$20,F9+1)</f>
        <v>10.5</v>
      </c>
      <c r="L9" s="23" t="n">
        <f aca="false">Régua!$C$4*INDEX(Régua!$B$17:$B$20,E9+1)*G9+Régua!$C$5*INDEX(Régua!$B$17:$B$20,F9+1)*H9+Régua!$C$6*INDEX(Régua!$B$17:$B$20,Régua!$D$6+1)*I9+Régua!$C$10*INDEX(Régua!$B$17:$B$20,Régua!$D$10+1)*J9</f>
        <v>5.75</v>
      </c>
      <c r="M9" s="21" t="s">
        <v>93</v>
      </c>
      <c r="N9" s="24" t="n">
        <v>2.5</v>
      </c>
      <c r="O9" s="25" t="n">
        <f aca="false">L9-N9</f>
        <v>3.25</v>
      </c>
      <c r="P9" s="20" t="str">
        <f aca="false">IF(O9&gt;=Régua!$C$22,"Deck",IF(O9&gt;=Régua!$C$23,"Guardar","Abaixo"))</f>
        <v>Abaixo</v>
      </c>
      <c r="Q9" s="7" t="s">
        <v>113</v>
      </c>
      <c r="R9" s="24" t="n">
        <v>10.5</v>
      </c>
      <c r="S9" s="26" t="n">
        <f aca="false">IF(R9="","",K9-R9)</f>
        <v>0</v>
      </c>
      <c r="T9" s="21" t="s">
        <v>95</v>
      </c>
      <c r="U9" s="6" t="s">
        <v>114</v>
      </c>
      <c r="V9" s="6" t="s">
        <v>115</v>
      </c>
    </row>
    <row r="10" customFormat="false" ht="54" hidden="false" customHeight="true" outlineLevel="0" collapsed="false">
      <c r="A10" s="20" t="s">
        <v>116</v>
      </c>
      <c r="B10" s="6" t="s">
        <v>117</v>
      </c>
      <c r="C10" s="20" t="s">
        <v>118</v>
      </c>
      <c r="D10" s="20" t="s">
        <v>84</v>
      </c>
      <c r="E10" s="21" t="n">
        <v>2</v>
      </c>
      <c r="F10" s="21" t="n">
        <v>0</v>
      </c>
      <c r="G10" s="22" t="n">
        <v>0.5</v>
      </c>
      <c r="H10" s="22" t="n">
        <v>0.5</v>
      </c>
      <c r="I10" s="22" t="n">
        <v>1.5</v>
      </c>
      <c r="J10" s="22" t="n">
        <v>0.5</v>
      </c>
      <c r="K10" s="23" t="n">
        <f aca="false">Régua!$F$14+Régua!$C$4*INDEX(Régua!$B$17:$B$20,E10+1)+Régua!$C$5*INDEX(Régua!$B$17:$B$20,F10+1)</f>
        <v>10.5</v>
      </c>
      <c r="L10" s="23" t="n">
        <f aca="false">Régua!$C$4*INDEX(Régua!$B$17:$B$20,E10+1)*G10+Régua!$C$5*INDEX(Régua!$B$17:$B$20,F10+1)*H10+Régua!$C$6*INDEX(Régua!$B$17:$B$20,Régua!$D$6+1)*I10+Régua!$C$10*INDEX(Régua!$B$17:$B$20,Régua!$D$10+1)*J10</f>
        <v>6.25</v>
      </c>
      <c r="M10" s="21" t="s">
        <v>119</v>
      </c>
      <c r="N10" s="24" t="n">
        <v>3</v>
      </c>
      <c r="O10" s="25" t="n">
        <f aca="false">L10-N10</f>
        <v>3.25</v>
      </c>
      <c r="P10" s="20" t="str">
        <f aca="false">IF(O10&gt;=Régua!$C$22,"Deck",IF(O10&gt;=Régua!$C$23,"Guardar","Abaixo"))</f>
        <v>Abaixo</v>
      </c>
      <c r="Q10" s="7" t="s">
        <v>120</v>
      </c>
      <c r="R10" s="24" t="n">
        <v>12.5</v>
      </c>
      <c r="S10" s="26" t="n">
        <f aca="false">IF(R10="","",K10-R10)</f>
        <v>-2</v>
      </c>
      <c r="T10" s="21" t="s">
        <v>95</v>
      </c>
      <c r="U10" s="6" t="s">
        <v>121</v>
      </c>
      <c r="V10" s="6" t="s">
        <v>122</v>
      </c>
    </row>
    <row r="11" customFormat="false" ht="27.75" hidden="false" customHeight="true" outlineLevel="0" collapsed="false">
      <c r="A11" s="20" t="s">
        <v>123</v>
      </c>
      <c r="B11" s="6" t="s">
        <v>124</v>
      </c>
      <c r="C11" s="20" t="s">
        <v>125</v>
      </c>
      <c r="D11" s="20" t="s">
        <v>84</v>
      </c>
      <c r="E11" s="21" t="n">
        <v>0</v>
      </c>
      <c r="F11" s="21" t="n">
        <v>0</v>
      </c>
      <c r="G11" s="22" t="n">
        <v>1.5</v>
      </c>
      <c r="H11" s="22" t="n">
        <v>1</v>
      </c>
      <c r="I11" s="22" t="n">
        <v>1</v>
      </c>
      <c r="J11" s="22" t="n">
        <v>1</v>
      </c>
      <c r="K11" s="23" t="n">
        <f aca="false">Régua!$F$14+Régua!$C$4*INDEX(Régua!$B$17:$B$20,E11+1)+Régua!$C$5*INDEX(Régua!$B$17:$B$20,F11+1)</f>
        <v>3</v>
      </c>
      <c r="L11" s="23" t="n">
        <f aca="false">Régua!$C$4*INDEX(Régua!$B$17:$B$20,E11+1)*G11+Régua!$C$5*INDEX(Régua!$B$17:$B$20,F11+1)*H11+Régua!$C$6*INDEX(Régua!$B$17:$B$20,Régua!$D$6+1)*I11+Régua!$C$10*INDEX(Régua!$B$17:$B$20,Régua!$D$10+1)*J11</f>
        <v>3</v>
      </c>
      <c r="M11" s="21" t="s">
        <v>93</v>
      </c>
      <c r="N11" s="24" t="n">
        <v>1</v>
      </c>
      <c r="O11" s="25" t="n">
        <f aca="false">L11-N11</f>
        <v>2</v>
      </c>
      <c r="P11" s="20" t="str">
        <f aca="false">IF(O11&gt;=Régua!$C$22,"Deck",IF(O11&gt;=Régua!$C$23,"Guardar","Abaixo"))</f>
        <v>Abaixo</v>
      </c>
      <c r="Q11" s="7"/>
      <c r="R11" s="24"/>
      <c r="S11" s="26" t="str">
        <f aca="false">IF(R11="","",K11-R11)</f>
        <v/>
      </c>
      <c r="T11" s="21" t="s">
        <v>95</v>
      </c>
      <c r="U11" s="6" t="s">
        <v>126</v>
      </c>
      <c r="V11" s="6" t="s">
        <v>127</v>
      </c>
    </row>
    <row r="12" customFormat="false" ht="27.75" hidden="false" customHeight="true" outlineLevel="0" collapsed="false">
      <c r="A12" s="20" t="s">
        <v>128</v>
      </c>
      <c r="B12" s="6" t="s">
        <v>129</v>
      </c>
      <c r="C12" s="20" t="s">
        <v>130</v>
      </c>
      <c r="D12" s="20" t="s">
        <v>84</v>
      </c>
      <c r="E12" s="21" t="n">
        <v>0</v>
      </c>
      <c r="F12" s="21" t="n">
        <v>0</v>
      </c>
      <c r="G12" s="22" t="n">
        <v>0.5</v>
      </c>
      <c r="H12" s="22" t="n">
        <v>1</v>
      </c>
      <c r="I12" s="22" t="n">
        <v>1.5</v>
      </c>
      <c r="J12" s="22" t="n">
        <v>1</v>
      </c>
      <c r="K12" s="23" t="n">
        <f aca="false">Régua!$F$14+Régua!$C$4*INDEX(Régua!$B$17:$B$20,E12+1)+Régua!$C$5*INDEX(Régua!$B$17:$B$20,F12+1)</f>
        <v>3</v>
      </c>
      <c r="L12" s="23" t="n">
        <f aca="false">Régua!$C$4*INDEX(Régua!$B$17:$B$20,E12+1)*G12+Régua!$C$5*INDEX(Régua!$B$17:$B$20,F12+1)*H12+Régua!$C$6*INDEX(Régua!$B$17:$B$20,Régua!$D$6+1)*I12+Régua!$C$10*INDEX(Régua!$B$17:$B$20,Régua!$D$10+1)*J12</f>
        <v>3.5</v>
      </c>
      <c r="M12" s="21" t="s">
        <v>131</v>
      </c>
      <c r="N12" s="24" t="n">
        <v>2</v>
      </c>
      <c r="O12" s="25" t="n">
        <f aca="false">L12-N12</f>
        <v>1.5</v>
      </c>
      <c r="P12" s="20" t="str">
        <f aca="false">IF(O12&gt;=Régua!$C$22,"Deck",IF(O12&gt;=Régua!$C$23,"Guardar","Abaixo"))</f>
        <v>Abaixo</v>
      </c>
      <c r="Q12" s="7"/>
      <c r="R12" s="24"/>
      <c r="S12" s="26" t="str">
        <f aca="false">IF(R12="","",K12-R12)</f>
        <v/>
      </c>
      <c r="T12" s="21" t="s">
        <v>95</v>
      </c>
      <c r="U12" s="6" t="s">
        <v>132</v>
      </c>
      <c r="V12" s="6" t="s">
        <v>127</v>
      </c>
    </row>
    <row r="13" customFormat="false" ht="27.75" hidden="false" customHeight="true" outlineLevel="0" collapsed="false">
      <c r="A13" s="20" t="s">
        <v>133</v>
      </c>
      <c r="B13" s="6" t="s">
        <v>134</v>
      </c>
      <c r="C13" s="20" t="s">
        <v>135</v>
      </c>
      <c r="D13" s="20" t="s">
        <v>84</v>
      </c>
      <c r="E13" s="21" t="n">
        <v>0</v>
      </c>
      <c r="F13" s="21" t="n">
        <v>0</v>
      </c>
      <c r="G13" s="22" t="n">
        <v>1</v>
      </c>
      <c r="H13" s="22" t="n">
        <v>1</v>
      </c>
      <c r="I13" s="22" t="n">
        <v>1.5</v>
      </c>
      <c r="J13" s="22" t="n">
        <v>0.5</v>
      </c>
      <c r="K13" s="23" t="n">
        <f aca="false">Régua!$F$14+Régua!$C$4*INDEX(Régua!$B$17:$B$20,E13+1)+Régua!$C$5*INDEX(Régua!$B$17:$B$20,F13+1)</f>
        <v>3</v>
      </c>
      <c r="L13" s="23" t="n">
        <f aca="false">Régua!$C$4*INDEX(Régua!$B$17:$B$20,E13+1)*G13+Régua!$C$5*INDEX(Régua!$B$17:$B$20,F13+1)*H13+Régua!$C$6*INDEX(Régua!$B$17:$B$20,Régua!$D$6+1)*I13+Régua!$C$10*INDEX(Régua!$B$17:$B$20,Régua!$D$10+1)*J13</f>
        <v>2.5</v>
      </c>
      <c r="M13" s="21" t="s">
        <v>136</v>
      </c>
      <c r="N13" s="24" t="n">
        <v>1</v>
      </c>
      <c r="O13" s="25" t="n">
        <f aca="false">L13-N13</f>
        <v>1.5</v>
      </c>
      <c r="P13" s="20" t="str">
        <f aca="false">IF(O13&gt;=Régua!$C$22,"Deck",IF(O13&gt;=Régua!$C$23,"Guardar","Abaixo"))</f>
        <v>Abaixo</v>
      </c>
      <c r="Q13" s="7"/>
      <c r="R13" s="24"/>
      <c r="S13" s="26" t="str">
        <f aca="false">IF(R13="","",K13-R13)</f>
        <v/>
      </c>
      <c r="T13" s="21" t="s">
        <v>95</v>
      </c>
      <c r="U13" s="6" t="s">
        <v>126</v>
      </c>
      <c r="V13" s="6" t="s">
        <v>127</v>
      </c>
    </row>
    <row r="14" customFormat="false" ht="27.75" hidden="false" customHeight="true" outlineLevel="0" collapsed="false">
      <c r="A14" s="20" t="s">
        <v>137</v>
      </c>
      <c r="B14" s="6" t="s">
        <v>138</v>
      </c>
      <c r="C14" s="20" t="s">
        <v>139</v>
      </c>
      <c r="D14" s="20" t="s">
        <v>84</v>
      </c>
      <c r="E14" s="21" t="n">
        <v>0</v>
      </c>
      <c r="F14" s="21" t="n">
        <v>0</v>
      </c>
      <c r="G14" s="22" t="n">
        <v>1</v>
      </c>
      <c r="H14" s="22" t="n">
        <v>1</v>
      </c>
      <c r="I14" s="22" t="n">
        <v>1.5</v>
      </c>
      <c r="J14" s="22" t="n">
        <v>0.5</v>
      </c>
      <c r="K14" s="23" t="n">
        <f aca="false">Régua!$F$14+Régua!$C$4*INDEX(Régua!$B$17:$B$20,E14+1)+Régua!$C$5*INDEX(Régua!$B$17:$B$20,F14+1)</f>
        <v>3</v>
      </c>
      <c r="L14" s="23" t="n">
        <f aca="false">Régua!$C$4*INDEX(Régua!$B$17:$B$20,E14+1)*G14+Régua!$C$5*INDEX(Régua!$B$17:$B$20,F14+1)*H14+Régua!$C$6*INDEX(Régua!$B$17:$B$20,Régua!$D$6+1)*I14+Régua!$C$10*INDEX(Régua!$B$17:$B$20,Régua!$D$10+1)*J14</f>
        <v>2.5</v>
      </c>
      <c r="M14" s="21" t="s">
        <v>140</v>
      </c>
      <c r="N14" s="24" t="n">
        <v>1</v>
      </c>
      <c r="O14" s="25" t="n">
        <f aca="false">L14-N14</f>
        <v>1.5</v>
      </c>
      <c r="P14" s="20" t="str">
        <f aca="false">IF(O14&gt;=Régua!$C$22,"Deck",IF(O14&gt;=Régua!$C$23,"Guardar","Abaixo"))</f>
        <v>Abaixo</v>
      </c>
      <c r="Q14" s="7"/>
      <c r="R14" s="24"/>
      <c r="S14" s="26" t="str">
        <f aca="false">IF(R14="","",K14-R14)</f>
        <v/>
      </c>
      <c r="T14" s="21" t="s">
        <v>95</v>
      </c>
      <c r="U14" s="6" t="s">
        <v>126</v>
      </c>
      <c r="V14" s="6" t="s">
        <v>127</v>
      </c>
    </row>
    <row r="15" customFormat="false" ht="54" hidden="false" customHeight="true" outlineLevel="0" collapsed="false">
      <c r="A15" s="20" t="s">
        <v>141</v>
      </c>
      <c r="B15" s="6" t="s">
        <v>142</v>
      </c>
      <c r="C15" s="20" t="s">
        <v>143</v>
      </c>
      <c r="D15" s="20" t="s">
        <v>84</v>
      </c>
      <c r="E15" s="21" t="n">
        <v>0</v>
      </c>
      <c r="F15" s="21" t="n">
        <v>0</v>
      </c>
      <c r="G15" s="22" t="n">
        <v>0.5</v>
      </c>
      <c r="H15" s="22" t="n">
        <v>0.5</v>
      </c>
      <c r="I15" s="22" t="n">
        <v>1.5</v>
      </c>
      <c r="J15" s="22" t="n">
        <v>1</v>
      </c>
      <c r="K15" s="23" t="n">
        <f aca="false">Régua!$F$14+Régua!$C$4*INDEX(Régua!$B$17:$B$20,E15+1)+Régua!$C$5*INDEX(Régua!$B$17:$B$20,F15+1)</f>
        <v>3</v>
      </c>
      <c r="L15" s="23" t="n">
        <f aca="false">Régua!$C$4*INDEX(Régua!$B$17:$B$20,E15+1)*G15+Régua!$C$5*INDEX(Régua!$B$17:$B$20,F15+1)*H15+Régua!$C$6*INDEX(Régua!$B$17:$B$20,Régua!$D$6+1)*I15+Régua!$C$10*INDEX(Régua!$B$17:$B$20,Régua!$D$10+1)*J15</f>
        <v>3.5</v>
      </c>
      <c r="M15" s="21" t="s">
        <v>93</v>
      </c>
      <c r="N15" s="24" t="n">
        <v>2.5</v>
      </c>
      <c r="O15" s="25" t="n">
        <f aca="false">L15-N15</f>
        <v>1</v>
      </c>
      <c r="P15" s="20" t="str">
        <f aca="false">IF(O15&gt;=Régua!$C$22,"Deck",IF(O15&gt;=Régua!$C$23,"Guardar","Abaixo"))</f>
        <v>Abaixo</v>
      </c>
      <c r="Q15" s="7"/>
      <c r="R15" s="24"/>
      <c r="S15" s="26" t="str">
        <f aca="false">IF(R15="","",K15-R15)</f>
        <v/>
      </c>
      <c r="T15" s="21" t="s">
        <v>95</v>
      </c>
      <c r="U15" s="6" t="s">
        <v>144</v>
      </c>
      <c r="V15" s="6" t="s">
        <v>127</v>
      </c>
    </row>
    <row r="16" customFormat="false" ht="15" hidden="false" customHeight="true" outlineLevel="0" collapsed="false">
      <c r="A16" s="20" t="s">
        <v>145</v>
      </c>
      <c r="B16" s="6" t="s">
        <v>146</v>
      </c>
      <c r="C16" s="20" t="s">
        <v>147</v>
      </c>
      <c r="D16" s="20" t="s">
        <v>148</v>
      </c>
      <c r="E16" s="21" t="n">
        <v>0</v>
      </c>
      <c r="F16" s="21" t="n">
        <v>0</v>
      </c>
      <c r="G16" s="22" t="n">
        <v>1</v>
      </c>
      <c r="H16" s="22" t="n">
        <v>1</v>
      </c>
      <c r="I16" s="22" t="n">
        <v>1</v>
      </c>
      <c r="J16" s="22" t="n">
        <v>0.5</v>
      </c>
      <c r="K16" s="23" t="n">
        <f aca="false">Régua!$F$14+Régua!$C$4*INDEX(Régua!$B$17:$B$20,E16+1)+Régua!$C$5*INDEX(Régua!$B$17:$B$20,F16+1)</f>
        <v>3</v>
      </c>
      <c r="L16" s="23" t="n">
        <f aca="false">Régua!$C$4*INDEX(Régua!$B$17:$B$20,E16+1)*G16+Régua!$C$5*INDEX(Régua!$B$17:$B$20,F16+1)*H16+Régua!$C$6*INDEX(Régua!$B$17:$B$20,Régua!$D$6+1)*I16+Régua!$C$10*INDEX(Régua!$B$17:$B$20,Régua!$D$10+1)*J16</f>
        <v>2</v>
      </c>
      <c r="M16" s="21" t="s">
        <v>149</v>
      </c>
      <c r="N16" s="24" t="n">
        <v>1</v>
      </c>
      <c r="O16" s="25" t="n">
        <f aca="false">L16-N16</f>
        <v>1</v>
      </c>
      <c r="P16" s="20" t="str">
        <f aca="false">IF(O16&gt;=Régua!$C$22,"Deck",IF(O16&gt;=Régua!$C$23,"Guardar","Abaixo"))</f>
        <v>Abaixo</v>
      </c>
      <c r="Q16" s="7"/>
      <c r="R16" s="24"/>
      <c r="S16" s="26" t="str">
        <f aca="false">IF(R16="","",K16-R16)</f>
        <v/>
      </c>
      <c r="T16" s="21" t="s">
        <v>95</v>
      </c>
      <c r="U16" s="6" t="s">
        <v>150</v>
      </c>
      <c r="V16" s="6" t="s">
        <v>127</v>
      </c>
    </row>
    <row r="17" customFormat="false" ht="27.75" hidden="false" customHeight="true" outlineLevel="0" collapsed="false">
      <c r="A17" s="20" t="s">
        <v>151</v>
      </c>
      <c r="B17" s="6" t="s">
        <v>152</v>
      </c>
      <c r="C17" s="20" t="s">
        <v>153</v>
      </c>
      <c r="D17" s="20" t="s">
        <v>84</v>
      </c>
      <c r="E17" s="21" t="n">
        <v>0</v>
      </c>
      <c r="F17" s="21" t="n">
        <v>0</v>
      </c>
      <c r="G17" s="22" t="n">
        <v>1</v>
      </c>
      <c r="H17" s="22" t="n">
        <v>1</v>
      </c>
      <c r="I17" s="22" t="n">
        <v>1</v>
      </c>
      <c r="J17" s="22" t="n">
        <v>0.5</v>
      </c>
      <c r="K17" s="23" t="n">
        <f aca="false">Régua!$F$14+Régua!$C$4*INDEX(Régua!$B$17:$B$20,E17+1)+Régua!$C$5*INDEX(Régua!$B$17:$B$20,F17+1)</f>
        <v>3</v>
      </c>
      <c r="L17" s="23" t="n">
        <f aca="false">Régua!$C$4*INDEX(Régua!$B$17:$B$20,E17+1)*G17+Régua!$C$5*INDEX(Régua!$B$17:$B$20,F17+1)*H17+Régua!$C$6*INDEX(Régua!$B$17:$B$20,Régua!$D$6+1)*I17+Régua!$C$10*INDEX(Régua!$B$17:$B$20,Régua!$D$10+1)*J17</f>
        <v>2</v>
      </c>
      <c r="M17" s="21" t="s">
        <v>154</v>
      </c>
      <c r="N17" s="24" t="n">
        <v>1</v>
      </c>
      <c r="O17" s="25" t="n">
        <f aca="false">L17-N17</f>
        <v>1</v>
      </c>
      <c r="P17" s="20" t="str">
        <f aca="false">IF(O17&gt;=Régua!$C$22,"Deck",IF(O17&gt;=Régua!$C$23,"Guardar","Abaixo"))</f>
        <v>Abaixo</v>
      </c>
      <c r="Q17" s="7"/>
      <c r="R17" s="24"/>
      <c r="S17" s="26" t="str">
        <f aca="false">IF(R17="","",K17-R17)</f>
        <v/>
      </c>
      <c r="T17" s="21" t="s">
        <v>95</v>
      </c>
      <c r="U17" s="6" t="s">
        <v>126</v>
      </c>
      <c r="V17" s="6" t="s">
        <v>127</v>
      </c>
    </row>
    <row r="18" customFormat="false" ht="27.75" hidden="false" customHeight="true" outlineLevel="0" collapsed="false">
      <c r="A18" s="20" t="s">
        <v>155</v>
      </c>
      <c r="B18" s="6" t="s">
        <v>156</v>
      </c>
      <c r="C18" s="20" t="s">
        <v>157</v>
      </c>
      <c r="D18" s="20" t="s">
        <v>158</v>
      </c>
      <c r="E18" s="21" t="n">
        <v>0</v>
      </c>
      <c r="F18" s="21" t="n">
        <v>0</v>
      </c>
      <c r="G18" s="22" t="n">
        <v>1</v>
      </c>
      <c r="H18" s="22" t="n">
        <v>1.5</v>
      </c>
      <c r="I18" s="22" t="n">
        <v>1</v>
      </c>
      <c r="J18" s="22" t="n">
        <v>1</v>
      </c>
      <c r="K18" s="23" t="n">
        <f aca="false">Régua!$F$14+Régua!$C$4*INDEX(Régua!$B$17:$B$20,E18+1)+Régua!$C$5*INDEX(Régua!$B$17:$B$20,F18+1)</f>
        <v>3</v>
      </c>
      <c r="L18" s="23" t="n">
        <f aca="false">Régua!$C$4*INDEX(Régua!$B$17:$B$20,E18+1)*G18+Régua!$C$5*INDEX(Régua!$B$17:$B$20,F18+1)*H18+Régua!$C$6*INDEX(Régua!$B$17:$B$20,Régua!$D$6+1)*I18+Régua!$C$10*INDEX(Régua!$B$17:$B$20,Régua!$D$10+1)*J18</f>
        <v>3</v>
      </c>
      <c r="M18" s="21" t="s">
        <v>159</v>
      </c>
      <c r="N18" s="24" t="n">
        <v>2</v>
      </c>
      <c r="O18" s="25" t="n">
        <f aca="false">L18-N18</f>
        <v>1</v>
      </c>
      <c r="P18" s="20" t="str">
        <f aca="false">IF(O18&gt;=Régua!$C$22,"Deck",IF(O18&gt;=Régua!$C$23,"Guardar","Abaixo"))</f>
        <v>Abaixo</v>
      </c>
      <c r="Q18" s="7"/>
      <c r="R18" s="24"/>
      <c r="S18" s="26" t="str">
        <f aca="false">IF(R18="","",K18-R18)</f>
        <v/>
      </c>
      <c r="T18" s="21" t="s">
        <v>95</v>
      </c>
      <c r="U18" s="6" t="s">
        <v>160</v>
      </c>
      <c r="V18" s="6" t="s">
        <v>127</v>
      </c>
    </row>
    <row r="19" customFormat="false" ht="27.75" hidden="false" customHeight="true" outlineLevel="0" collapsed="false">
      <c r="A19" s="20" t="s">
        <v>161</v>
      </c>
      <c r="B19" s="6" t="s">
        <v>162</v>
      </c>
      <c r="C19" s="20" t="s">
        <v>163</v>
      </c>
      <c r="D19" s="20" t="s">
        <v>84</v>
      </c>
      <c r="E19" s="21" t="n">
        <v>0</v>
      </c>
      <c r="F19" s="21" t="n">
        <v>0</v>
      </c>
      <c r="G19" s="22" t="n">
        <v>1</v>
      </c>
      <c r="H19" s="22" t="n">
        <v>0.5</v>
      </c>
      <c r="I19" s="22" t="n">
        <v>1.5</v>
      </c>
      <c r="J19" s="22" t="n">
        <v>1</v>
      </c>
      <c r="K19" s="23" t="n">
        <f aca="false">Régua!$F$14+Régua!$C$4*INDEX(Régua!$B$17:$B$20,E19+1)+Régua!$C$5*INDEX(Régua!$B$17:$B$20,F19+1)</f>
        <v>3</v>
      </c>
      <c r="L19" s="23" t="n">
        <f aca="false">Régua!$C$4*INDEX(Régua!$B$17:$B$20,E19+1)*G19+Régua!$C$5*INDEX(Régua!$B$17:$B$20,F19+1)*H19+Régua!$C$6*INDEX(Régua!$B$17:$B$20,Régua!$D$6+1)*I19+Régua!$C$10*INDEX(Régua!$B$17:$B$20,Régua!$D$10+1)*J19</f>
        <v>3.5</v>
      </c>
      <c r="M19" s="21" t="s">
        <v>164</v>
      </c>
      <c r="N19" s="24" t="n">
        <v>3</v>
      </c>
      <c r="O19" s="25" t="n">
        <f aca="false">L19-N19</f>
        <v>0.5</v>
      </c>
      <c r="P19" s="20" t="str">
        <f aca="false">IF(O19&gt;=Régua!$C$22,"Deck",IF(O19&gt;=Régua!$C$23,"Guardar","Abaixo"))</f>
        <v>Abaixo</v>
      </c>
      <c r="Q19" s="7"/>
      <c r="R19" s="24"/>
      <c r="S19" s="26" t="str">
        <f aca="false">IF(R19="","",K19-R19)</f>
        <v/>
      </c>
      <c r="T19" s="21" t="s">
        <v>95</v>
      </c>
      <c r="U19" s="6" t="s">
        <v>165</v>
      </c>
      <c r="V19" s="6" t="s">
        <v>127</v>
      </c>
    </row>
    <row r="20" customFormat="false" ht="27.75" hidden="false" customHeight="true" outlineLevel="0" collapsed="false">
      <c r="A20" s="20" t="s">
        <v>166</v>
      </c>
      <c r="B20" s="6" t="s">
        <v>167</v>
      </c>
      <c r="C20" s="20" t="s">
        <v>168</v>
      </c>
      <c r="D20" s="20" t="s">
        <v>158</v>
      </c>
      <c r="E20" s="21" t="n">
        <v>0</v>
      </c>
      <c r="F20" s="21" t="n">
        <v>0</v>
      </c>
      <c r="G20" s="22" t="n">
        <v>0.5</v>
      </c>
      <c r="H20" s="22" t="n">
        <v>1</v>
      </c>
      <c r="I20" s="22" t="n">
        <v>0.5</v>
      </c>
      <c r="J20" s="22" t="n">
        <v>1.5</v>
      </c>
      <c r="K20" s="23" t="n">
        <f aca="false">Régua!$F$14+Régua!$C$4*INDEX(Régua!$B$17:$B$20,E20+1)+Régua!$C$5*INDEX(Régua!$B$17:$B$20,F20+1)</f>
        <v>3</v>
      </c>
      <c r="L20" s="23" t="n">
        <f aca="false">Régua!$C$4*INDEX(Régua!$B$17:$B$20,E20+1)*G20+Régua!$C$5*INDEX(Régua!$B$17:$B$20,F20+1)*H20+Régua!$C$6*INDEX(Régua!$B$17:$B$20,Régua!$D$6+1)*I20+Régua!$C$10*INDEX(Régua!$B$17:$B$20,Régua!$D$10+1)*J20</f>
        <v>3.5</v>
      </c>
      <c r="M20" s="21" t="s">
        <v>169</v>
      </c>
      <c r="N20" s="24" t="n">
        <v>3</v>
      </c>
      <c r="O20" s="25" t="n">
        <f aca="false">L20-N20</f>
        <v>0.5</v>
      </c>
      <c r="P20" s="20" t="str">
        <f aca="false">IF(O20&gt;=Régua!$C$22,"Deck",IF(O20&gt;=Régua!$C$23,"Guardar","Abaixo"))</f>
        <v>Abaixo</v>
      </c>
      <c r="Q20" s="7"/>
      <c r="R20" s="24"/>
      <c r="S20" s="26" t="str">
        <f aca="false">IF(R20="","",K20-R20)</f>
        <v/>
      </c>
      <c r="T20" s="21" t="s">
        <v>95</v>
      </c>
      <c r="U20" s="6" t="s">
        <v>170</v>
      </c>
      <c r="V20" s="6" t="s">
        <v>127</v>
      </c>
    </row>
    <row r="21" customFormat="false" ht="27.75" hidden="false" customHeight="true" outlineLevel="0" collapsed="false">
      <c r="A21" s="20" t="s">
        <v>171</v>
      </c>
      <c r="B21" s="6" t="s">
        <v>172</v>
      </c>
      <c r="C21" s="20" t="s">
        <v>173</v>
      </c>
      <c r="D21" s="20" t="s">
        <v>84</v>
      </c>
      <c r="E21" s="21" t="n">
        <v>0</v>
      </c>
      <c r="F21" s="21" t="n">
        <v>0</v>
      </c>
      <c r="G21" s="22" t="n">
        <v>1</v>
      </c>
      <c r="H21" s="22" t="n">
        <v>1.5</v>
      </c>
      <c r="I21" s="22" t="n">
        <v>1</v>
      </c>
      <c r="J21" s="22" t="n">
        <v>0.5</v>
      </c>
      <c r="K21" s="23" t="n">
        <f aca="false">Régua!$F$14+Régua!$C$4*INDEX(Régua!$B$17:$B$20,E21+1)+Régua!$C$5*INDEX(Régua!$B$17:$B$20,F21+1)</f>
        <v>3</v>
      </c>
      <c r="L21" s="23" t="n">
        <f aca="false">Régua!$C$4*INDEX(Régua!$B$17:$B$20,E21+1)*G21+Régua!$C$5*INDEX(Régua!$B$17:$B$20,F21+1)*H21+Régua!$C$6*INDEX(Régua!$B$17:$B$20,Régua!$D$6+1)*I21+Régua!$C$10*INDEX(Régua!$B$17:$B$20,Régua!$D$10+1)*J21</f>
        <v>2</v>
      </c>
      <c r="M21" s="21" t="s">
        <v>174</v>
      </c>
      <c r="N21" s="24" t="n">
        <v>2</v>
      </c>
      <c r="O21" s="25" t="n">
        <f aca="false">L21-N21</f>
        <v>0</v>
      </c>
      <c r="P21" s="20" t="str">
        <f aca="false">IF(O21&gt;=Régua!$C$22,"Deck",IF(O21&gt;=Régua!$C$23,"Guardar","Abaixo"))</f>
        <v>Abaixo</v>
      </c>
      <c r="Q21" s="7"/>
      <c r="R21" s="24"/>
      <c r="S21" s="26" t="str">
        <f aca="false">IF(R21="","",K21-R21)</f>
        <v/>
      </c>
      <c r="T21" s="21" t="s">
        <v>95</v>
      </c>
      <c r="U21" s="6" t="s">
        <v>126</v>
      </c>
      <c r="V21" s="6" t="s">
        <v>127</v>
      </c>
    </row>
    <row r="22" customFormat="false" ht="40.5" hidden="false" customHeight="true" outlineLevel="0" collapsed="false">
      <c r="A22" s="20" t="s">
        <v>175</v>
      </c>
      <c r="B22" s="6" t="s">
        <v>176</v>
      </c>
      <c r="C22" s="20" t="s">
        <v>50</v>
      </c>
      <c r="D22" s="20" t="s">
        <v>84</v>
      </c>
      <c r="E22" s="21" t="n">
        <v>0</v>
      </c>
      <c r="F22" s="21" t="n">
        <v>0</v>
      </c>
      <c r="G22" s="22" t="n">
        <v>1</v>
      </c>
      <c r="H22" s="22" t="n">
        <v>1.5</v>
      </c>
      <c r="I22" s="22" t="n">
        <v>1</v>
      </c>
      <c r="J22" s="22" t="n">
        <v>0.5</v>
      </c>
      <c r="K22" s="23" t="n">
        <f aca="false">Régua!$F$14+Régua!$C$4*INDEX(Régua!$B$17:$B$20,E22+1)+Régua!$C$5*INDEX(Régua!$B$17:$B$20,F22+1)</f>
        <v>3</v>
      </c>
      <c r="L22" s="23" t="n">
        <f aca="false">Régua!$C$4*INDEX(Régua!$B$17:$B$20,E22+1)*G22+Régua!$C$5*INDEX(Régua!$B$17:$B$20,F22+1)*H22+Régua!$C$6*INDEX(Régua!$B$17:$B$20,Régua!$D$6+1)*I22+Régua!$C$10*INDEX(Régua!$B$17:$B$20,Régua!$D$10+1)*J22</f>
        <v>2</v>
      </c>
      <c r="M22" s="21" t="s">
        <v>159</v>
      </c>
      <c r="N22" s="24" t="n">
        <v>2</v>
      </c>
      <c r="O22" s="25" t="n">
        <f aca="false">L22-N22</f>
        <v>0</v>
      </c>
      <c r="P22" s="20" t="str">
        <f aca="false">IF(O22&gt;=Régua!$C$22,"Deck",IF(O22&gt;=Régua!$C$23,"Guardar","Abaixo"))</f>
        <v>Abaixo</v>
      </c>
      <c r="Q22" s="7"/>
      <c r="R22" s="24"/>
      <c r="S22" s="26" t="str">
        <f aca="false">IF(R22="","",K22-R22)</f>
        <v/>
      </c>
      <c r="T22" s="21" t="s">
        <v>95</v>
      </c>
      <c r="U22" s="6" t="s">
        <v>177</v>
      </c>
      <c r="V22" s="6" t="s">
        <v>127</v>
      </c>
    </row>
    <row r="23" customFormat="false" ht="27.75" hidden="false" customHeight="true" outlineLevel="0" collapsed="false">
      <c r="A23" s="20" t="s">
        <v>178</v>
      </c>
      <c r="B23" s="6" t="s">
        <v>179</v>
      </c>
      <c r="C23" s="20" t="s">
        <v>180</v>
      </c>
      <c r="D23" s="20" t="s">
        <v>84</v>
      </c>
      <c r="E23" s="21" t="n">
        <v>0</v>
      </c>
      <c r="F23" s="21" t="n">
        <v>0</v>
      </c>
      <c r="G23" s="22" t="n">
        <v>1</v>
      </c>
      <c r="H23" s="22" t="n">
        <v>1</v>
      </c>
      <c r="I23" s="22" t="n">
        <v>1</v>
      </c>
      <c r="J23" s="22" t="n">
        <v>0.5</v>
      </c>
      <c r="K23" s="23" t="n">
        <f aca="false">Régua!$F$14+Régua!$C$4*INDEX(Régua!$B$17:$B$20,E23+1)+Régua!$C$5*INDEX(Régua!$B$17:$B$20,F23+1)</f>
        <v>3</v>
      </c>
      <c r="L23" s="23" t="n">
        <f aca="false">Régua!$C$4*INDEX(Régua!$B$17:$B$20,E23+1)*G23+Régua!$C$5*INDEX(Régua!$B$17:$B$20,F23+1)*H23+Régua!$C$6*INDEX(Régua!$B$17:$B$20,Régua!$D$6+1)*I23+Régua!$C$10*INDEX(Régua!$B$17:$B$20,Régua!$D$10+1)*J23</f>
        <v>2</v>
      </c>
      <c r="M23" s="21" t="s">
        <v>181</v>
      </c>
      <c r="N23" s="24" t="n">
        <v>2</v>
      </c>
      <c r="O23" s="25" t="n">
        <f aca="false">L23-N23</f>
        <v>0</v>
      </c>
      <c r="P23" s="20" t="str">
        <f aca="false">IF(O23&gt;=Régua!$C$22,"Deck",IF(O23&gt;=Régua!$C$23,"Guardar","Abaixo"))</f>
        <v>Abaixo</v>
      </c>
      <c r="Q23" s="7"/>
      <c r="R23" s="24"/>
      <c r="S23" s="26" t="str">
        <f aca="false">IF(R23="","",K23-R23)</f>
        <v/>
      </c>
      <c r="T23" s="21" t="s">
        <v>95</v>
      </c>
      <c r="U23" s="6" t="s">
        <v>126</v>
      </c>
      <c r="V23" s="6" t="s">
        <v>127</v>
      </c>
    </row>
    <row r="25" customFormat="false" ht="15" hidden="false" customHeight="false" outlineLevel="0" collapsed="false">
      <c r="A25" s="2" t="s">
        <v>182</v>
      </c>
    </row>
  </sheetData>
  <autoFilter ref="A4:V23"/>
  <mergeCells count="1">
    <mergeCell ref="A2:L2"/>
  </mergeCells>
  <conditionalFormatting sqref="P5:P23">
    <cfRule type="cellIs" priority="2" operator="equal" aboveAverage="0" equalAverage="0" bottom="0" percent="0" rank="0" text="" dxfId="8">
      <formula>"Deck"</formula>
    </cfRule>
    <cfRule type="cellIs" priority="3" operator="equal" aboveAverage="0" equalAverage="0" bottom="0" percent="0" rank="0" text="" dxfId="9">
      <formula>"Guardar"</formula>
    </cfRule>
    <cfRule type="cellIs" priority="4" operator="equal" aboveAverage="0" equalAverage="0" bottom="0" percent="0" rank="0" text="" dxfId="10">
      <formula>"Abaixo"</formula>
    </cfRule>
  </conditionalFormatting>
  <conditionalFormatting sqref="T5:T23">
    <cfRule type="cellIs" priority="5" operator="equal" aboveAverage="0" equalAverage="0" bottom="0" percent="0" rank="0" text="" dxfId="8">
      <formula>"entra"</formula>
    </cfRule>
    <cfRule type="cellIs" priority="6" operator="equal" aboveAverage="0" equalAverage="0" bottom="0" percent="0" rank="0" text="" dxfId="11">
      <formula>"avaliar"</formula>
    </cfRule>
    <cfRule type="cellIs" priority="7" operator="equal" aboveAverage="0" equalAverage="0" bottom="0" percent="0" rank="0" text="" dxfId="10">
      <formula>"fora"</formula>
    </cfRule>
  </conditionalFormatting>
  <conditionalFormatting sqref="A5:V23">
    <cfRule type="expression" priority="8" aboveAverage="0" equalAverage="0" bottom="0" percent="0" rank="0" text="" dxfId="12">
      <formula>OR($E5&gt;0,$F5&gt;0)</formula>
    </cfRule>
  </conditionalFormatting>
  <dataValidations count="2">
    <dataValidation allowBlank="false" error="A nota vai de 0 a 3." errorStyle="stop" errorTitle="Nota de sinergia" operator="between" showDropDown="false" showErrorMessage="true" showInputMessage="false" sqref="E5:F23" type="whole">
      <formula1>0</formula1>
      <formula2>3</formula2>
    </dataValidation>
    <dataValidation allowBlank="false" errorStyle="stop" operator="between" showDropDown="false" showErrorMessage="true" showInputMessage="false" sqref="T5:T23" type="list">
      <formula1>"entra,avaliar,fora"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6" min="5" style="0" width="9"/>
  </cols>
  <sheetData>
    <row r="1" customFormat="false" ht="17.35" hidden="false" customHeight="false" outlineLevel="0" collapsed="false">
      <c r="A1" s="17" t="s">
        <v>183</v>
      </c>
    </row>
    <row r="2" customFormat="false" ht="15" hidden="false" customHeight="false" outlineLevel="0" collapsed="false">
      <c r="A2" s="2" t="s">
        <v>184</v>
      </c>
    </row>
    <row r="3" customFormat="false" ht="15" hidden="false" customHeight="false" outlineLevel="0" collapsed="false">
      <c r="A3" s="19" t="s">
        <v>185</v>
      </c>
      <c r="B3" s="19" t="s">
        <v>186</v>
      </c>
      <c r="C3" s="19" t="s">
        <v>187</v>
      </c>
      <c r="D3" s="19" t="s">
        <v>188</v>
      </c>
      <c r="E3" s="19" t="s">
        <v>189</v>
      </c>
      <c r="F3" s="19" t="s">
        <v>70</v>
      </c>
    </row>
    <row r="4" customFormat="false" ht="15" hidden="false" customHeight="false" outlineLevel="0" collapsed="false">
      <c r="A4" s="27" t="s">
        <v>190</v>
      </c>
      <c r="B4" s="28" t="s">
        <v>191</v>
      </c>
      <c r="C4" s="29" t="n">
        <v>2.5</v>
      </c>
      <c r="D4" s="30" t="s">
        <v>192</v>
      </c>
      <c r="E4" s="11"/>
      <c r="F4" s="11"/>
    </row>
    <row r="5" customFormat="false" ht="15" hidden="false" customHeight="false" outlineLevel="0" collapsed="false">
      <c r="A5" s="27" t="s">
        <v>193</v>
      </c>
      <c r="B5" s="28" t="s">
        <v>194</v>
      </c>
      <c r="C5" s="29" t="n">
        <v>1.5</v>
      </c>
      <c r="D5" s="30" t="s">
        <v>192</v>
      </c>
      <c r="E5" s="11"/>
      <c r="F5" s="11"/>
    </row>
    <row r="6" customFormat="false" ht="15" hidden="false" customHeight="false" outlineLevel="0" collapsed="false">
      <c r="A6" s="27" t="s">
        <v>195</v>
      </c>
      <c r="B6" s="28" t="s">
        <v>196</v>
      </c>
      <c r="C6" s="29" t="n">
        <v>1</v>
      </c>
      <c r="D6" s="31" t="n">
        <v>1</v>
      </c>
      <c r="E6" s="27" t="n">
        <f aca="false">INDEX($B$17:$B$20,D6+1)</f>
        <v>1</v>
      </c>
      <c r="F6" s="32" t="n">
        <f aca="false">C6*E6</f>
        <v>1</v>
      </c>
    </row>
    <row r="7" customFormat="false" ht="15" hidden="false" customHeight="false" outlineLevel="0" collapsed="false">
      <c r="A7" s="27" t="s">
        <v>197</v>
      </c>
      <c r="B7" s="28" t="s">
        <v>198</v>
      </c>
      <c r="C7" s="29" t="n">
        <v>1</v>
      </c>
      <c r="D7" s="31" t="n">
        <v>0</v>
      </c>
      <c r="E7" s="27" t="n">
        <f aca="false">INDEX($B$17:$B$20,D7+1)</f>
        <v>0</v>
      </c>
      <c r="F7" s="32" t="n">
        <f aca="false">C7*E7</f>
        <v>0</v>
      </c>
    </row>
    <row r="8" customFormat="false" ht="15" hidden="false" customHeight="false" outlineLevel="0" collapsed="false">
      <c r="A8" s="27" t="s">
        <v>199</v>
      </c>
      <c r="B8" s="28" t="s">
        <v>200</v>
      </c>
      <c r="C8" s="29" t="n">
        <v>2</v>
      </c>
      <c r="D8" s="31" t="n">
        <v>0</v>
      </c>
      <c r="E8" s="27" t="n">
        <f aca="false">INDEX($B$17:$B$20,D8+1)</f>
        <v>0</v>
      </c>
      <c r="F8" s="32" t="n">
        <f aca="false">C8*E8</f>
        <v>0</v>
      </c>
    </row>
    <row r="9" customFormat="false" ht="15" hidden="false" customHeight="false" outlineLevel="0" collapsed="false">
      <c r="A9" s="27" t="s">
        <v>201</v>
      </c>
      <c r="B9" s="28" t="s">
        <v>202</v>
      </c>
      <c r="C9" s="29" t="n">
        <v>1</v>
      </c>
      <c r="D9" s="31" t="n">
        <v>0</v>
      </c>
      <c r="E9" s="27" t="n">
        <f aca="false">INDEX($B$17:$B$20,D9+1)</f>
        <v>0</v>
      </c>
      <c r="F9" s="32" t="n">
        <f aca="false">C9*E9</f>
        <v>0</v>
      </c>
    </row>
    <row r="10" customFormat="false" ht="15" hidden="false" customHeight="false" outlineLevel="0" collapsed="false">
      <c r="A10" s="27" t="s">
        <v>203</v>
      </c>
      <c r="B10" s="28" t="s">
        <v>204</v>
      </c>
      <c r="C10" s="29" t="n">
        <v>2</v>
      </c>
      <c r="D10" s="31" t="n">
        <v>1</v>
      </c>
      <c r="E10" s="27" t="n">
        <f aca="false">INDEX($B$17:$B$20,D10+1)</f>
        <v>1</v>
      </c>
      <c r="F10" s="32" t="n">
        <f aca="false">C10*E10</f>
        <v>2</v>
      </c>
    </row>
    <row r="11" customFormat="false" ht="15" hidden="false" customHeight="false" outlineLevel="0" collapsed="false">
      <c r="A11" s="27" t="s">
        <v>205</v>
      </c>
      <c r="B11" s="28" t="s">
        <v>206</v>
      </c>
      <c r="C11" s="29" t="n">
        <v>1</v>
      </c>
      <c r="D11" s="31" t="n">
        <v>0</v>
      </c>
      <c r="E11" s="27" t="n">
        <f aca="false">INDEX($B$17:$B$20,D11+1)</f>
        <v>0</v>
      </c>
      <c r="F11" s="32" t="n">
        <f aca="false">C11*E11</f>
        <v>0</v>
      </c>
    </row>
    <row r="12" customFormat="false" ht="15" hidden="false" customHeight="false" outlineLevel="0" collapsed="false">
      <c r="A12" s="27" t="s">
        <v>207</v>
      </c>
      <c r="B12" s="28" t="s">
        <v>208</v>
      </c>
      <c r="C12" s="29" t="n">
        <v>1</v>
      </c>
      <c r="D12" s="31" t="n">
        <v>0</v>
      </c>
      <c r="E12" s="27" t="n">
        <f aca="false">INDEX($B$17:$B$20,D12+1)</f>
        <v>0</v>
      </c>
      <c r="F12" s="32" t="n">
        <f aca="false">C12*E12</f>
        <v>0</v>
      </c>
    </row>
    <row r="13" customFormat="false" ht="15" hidden="false" customHeight="false" outlineLevel="0" collapsed="false">
      <c r="A13" s="27" t="s">
        <v>209</v>
      </c>
      <c r="B13" s="28" t="s">
        <v>210</v>
      </c>
      <c r="C13" s="29" t="n">
        <v>2</v>
      </c>
      <c r="D13" s="31" t="n">
        <v>0</v>
      </c>
      <c r="E13" s="27" t="n">
        <f aca="false">INDEX($B$17:$B$20,D13+1)</f>
        <v>0</v>
      </c>
      <c r="F13" s="32" t="n">
        <f aca="false">C13*E13</f>
        <v>0</v>
      </c>
    </row>
    <row r="14" customFormat="false" ht="15" hidden="false" customHeight="false" outlineLevel="0" collapsed="false">
      <c r="A14" s="33" t="s">
        <v>211</v>
      </c>
      <c r="F14" s="34" t="n">
        <f aca="false">SUM(F6:F13)</f>
        <v>3</v>
      </c>
    </row>
    <row r="16" customFormat="false" ht="15" hidden="false" customHeight="false" outlineLevel="0" collapsed="false">
      <c r="A16" s="35" t="s">
        <v>212</v>
      </c>
      <c r="B16" s="35" t="s">
        <v>189</v>
      </c>
    </row>
    <row r="17" customFormat="false" ht="15" hidden="false" customHeight="false" outlineLevel="0" collapsed="false">
      <c r="A17" s="36" t="n">
        <v>0</v>
      </c>
      <c r="B17" s="37" t="n">
        <v>0</v>
      </c>
      <c r="C17" s="2" t="s">
        <v>213</v>
      </c>
    </row>
    <row r="18" customFormat="false" ht="15" hidden="false" customHeight="false" outlineLevel="0" collapsed="false">
      <c r="A18" s="36" t="n">
        <v>1</v>
      </c>
      <c r="B18" s="37" t="n">
        <v>1</v>
      </c>
    </row>
    <row r="19" customFormat="false" ht="15" hidden="false" customHeight="false" outlineLevel="0" collapsed="false">
      <c r="A19" s="36" t="n">
        <v>2</v>
      </c>
      <c r="B19" s="37" t="n">
        <v>3</v>
      </c>
    </row>
    <row r="20" customFormat="false" ht="15" hidden="false" customHeight="false" outlineLevel="0" collapsed="false">
      <c r="A20" s="36" t="n">
        <v>3</v>
      </c>
      <c r="B20" s="37" t="n">
        <v>6</v>
      </c>
    </row>
    <row r="22" customFormat="false" ht="15" hidden="false" customHeight="false" outlineLevel="0" collapsed="false">
      <c r="A22" s="33" t="s">
        <v>214</v>
      </c>
      <c r="C22" s="38" t="n">
        <v>10</v>
      </c>
      <c r="D22" s="2" t="s">
        <v>215</v>
      </c>
    </row>
    <row r="23" customFormat="false" ht="15" hidden="false" customHeight="false" outlineLevel="0" collapsed="false">
      <c r="A23" s="33" t="s">
        <v>216</v>
      </c>
      <c r="C23" s="38" t="n">
        <v>5</v>
      </c>
    </row>
    <row r="25" customFormat="false" ht="15" hidden="false" customHeight="false" outlineLevel="0" collapsed="false">
      <c r="A25" s="2" t="s">
        <v>217</v>
      </c>
    </row>
    <row r="26" customFormat="false" ht="15" hidden="false" customHeight="false" outlineLevel="0" collapsed="false">
      <c r="A26" s="2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7" t="s">
        <v>219</v>
      </c>
    </row>
    <row r="3" customFormat="false" ht="15" hidden="false" customHeight="false" outlineLevel="0" collapsed="false">
      <c r="A3" s="19" t="s">
        <v>220</v>
      </c>
      <c r="B3" s="19" t="s">
        <v>221</v>
      </c>
      <c r="C3" s="19" t="s">
        <v>222</v>
      </c>
      <c r="D3" s="19" t="s">
        <v>223</v>
      </c>
      <c r="E3" s="19" t="s">
        <v>224</v>
      </c>
    </row>
    <row r="4" customFormat="false" ht="66.75" hidden="false" customHeight="true" outlineLevel="0" collapsed="false">
      <c r="A4" s="6" t="n">
        <v>1</v>
      </c>
      <c r="B4" s="6" t="s">
        <v>225</v>
      </c>
      <c r="C4" s="6" t="s">
        <v>226</v>
      </c>
      <c r="D4" s="6" t="s">
        <v>227</v>
      </c>
      <c r="E4" s="6" t="s">
        <v>228</v>
      </c>
    </row>
    <row r="5" customFormat="false" ht="40.5" hidden="false" customHeight="true" outlineLevel="0" collapsed="false">
      <c r="A5" s="6" t="n">
        <v>2</v>
      </c>
      <c r="B5" s="6" t="s">
        <v>229</v>
      </c>
      <c r="C5" s="6" t="s">
        <v>230</v>
      </c>
      <c r="D5" s="6" t="s">
        <v>231</v>
      </c>
      <c r="E5" s="6" t="s">
        <v>228</v>
      </c>
    </row>
    <row r="6" customFormat="false" ht="27.75" hidden="false" customHeight="true" outlineLevel="0" collapsed="false">
      <c r="A6" s="6" t="n">
        <v>3</v>
      </c>
      <c r="B6" s="6" t="s">
        <v>232</v>
      </c>
      <c r="C6" s="6" t="s">
        <v>233</v>
      </c>
      <c r="D6" s="6" t="s">
        <v>227</v>
      </c>
      <c r="E6" s="6" t="s">
        <v>234</v>
      </c>
    </row>
    <row r="7" customFormat="false" ht="27.75" hidden="false" customHeight="true" outlineLevel="0" collapsed="false">
      <c r="A7" s="6" t="n">
        <v>4</v>
      </c>
      <c r="B7" s="6" t="s">
        <v>235</v>
      </c>
      <c r="C7" s="6" t="s">
        <v>236</v>
      </c>
      <c r="D7" s="6" t="s">
        <v>231</v>
      </c>
      <c r="E7" s="6" t="s">
        <v>228</v>
      </c>
    </row>
    <row r="8" customFormat="false" ht="27.75" hidden="false" customHeight="true" outlineLevel="0" collapsed="false">
      <c r="A8" s="6" t="n">
        <v>5</v>
      </c>
      <c r="B8" s="6" t="s">
        <v>237</v>
      </c>
      <c r="C8" s="6" t="s">
        <v>238</v>
      </c>
      <c r="D8" s="6" t="s">
        <v>231</v>
      </c>
      <c r="E8" s="6" t="s">
        <v>228</v>
      </c>
    </row>
    <row r="9" customFormat="false" ht="27.75" hidden="false" customHeight="true" outlineLevel="0" collapsed="false">
      <c r="A9" s="6" t="n">
        <v>6</v>
      </c>
      <c r="B9" s="6" t="s">
        <v>239</v>
      </c>
      <c r="C9" s="6" t="s">
        <v>240</v>
      </c>
      <c r="D9" s="6" t="s">
        <v>227</v>
      </c>
      <c r="E9" s="6" t="s">
        <v>241</v>
      </c>
    </row>
    <row r="10" customFormat="false" ht="40.5" hidden="false" customHeight="true" outlineLevel="0" collapsed="false">
      <c r="A10" s="6" t="n">
        <v>7</v>
      </c>
      <c r="B10" s="6" t="s">
        <v>242</v>
      </c>
      <c r="C10" s="6" t="s">
        <v>243</v>
      </c>
      <c r="D10" s="6" t="s">
        <v>227</v>
      </c>
      <c r="E10" s="6" t="s">
        <v>244</v>
      </c>
    </row>
    <row r="11" customFormat="false" ht="40.5" hidden="false" customHeight="true" outlineLevel="0" collapsed="false">
      <c r="A11" s="6" t="n">
        <v>8</v>
      </c>
      <c r="B11" s="6" t="s">
        <v>245</v>
      </c>
      <c r="C11" s="6" t="s">
        <v>246</v>
      </c>
      <c r="D11" s="6" t="s">
        <v>227</v>
      </c>
      <c r="E11" s="6" t="s">
        <v>247</v>
      </c>
    </row>
    <row r="14" customFormat="false" ht="15" hidden="false" customHeight="false" outlineLevel="0" collapsed="false">
      <c r="A14" s="39" t="s">
        <v>248</v>
      </c>
    </row>
    <row r="15" customFormat="false" ht="15" hidden="false" customHeight="false" outlineLevel="0" collapsed="false">
      <c r="A15" s="35" t="s">
        <v>220</v>
      </c>
      <c r="B15" s="35" t="s">
        <v>249</v>
      </c>
      <c r="C15" s="35" t="s">
        <v>250</v>
      </c>
    </row>
    <row r="16" customFormat="false" ht="23.85" hidden="false" customHeight="false" outlineLevel="0" collapsed="false">
      <c r="A16" s="6" t="n">
        <v>1</v>
      </c>
      <c r="B16" s="6" t="s">
        <v>251</v>
      </c>
      <c r="C16" s="6" t="s">
        <v>252</v>
      </c>
    </row>
    <row r="17" customFormat="false" ht="15" hidden="false" customHeight="false" outlineLevel="0" collapsed="false">
      <c r="A17" s="6" t="n">
        <v>2</v>
      </c>
      <c r="B17" s="6" t="s">
        <v>253</v>
      </c>
      <c r="C17" s="6" t="s">
        <v>254</v>
      </c>
    </row>
    <row r="18" customFormat="false" ht="15" hidden="false" customHeight="false" outlineLevel="0" collapsed="false">
      <c r="A18" s="6" t="n">
        <v>3</v>
      </c>
      <c r="B18" s="6" t="s">
        <v>255</v>
      </c>
      <c r="C18" s="6" t="s">
        <v>256</v>
      </c>
    </row>
    <row r="19" customFormat="false" ht="15" hidden="false" customHeight="false" outlineLevel="0" collapsed="false">
      <c r="A19" s="6" t="n">
        <v>4</v>
      </c>
      <c r="B19" s="6" t="s">
        <v>257</v>
      </c>
      <c r="C19" s="6" t="s">
        <v>258</v>
      </c>
    </row>
    <row r="20" customFormat="false" ht="15" hidden="false" customHeight="false" outlineLevel="0" collapsed="false">
      <c r="A20" s="6" t="n">
        <v>5</v>
      </c>
      <c r="B20" s="6" t="s">
        <v>259</v>
      </c>
      <c r="C20" s="6" t="s">
        <v>260</v>
      </c>
    </row>
    <row r="21" customFormat="false" ht="15" hidden="false" customHeight="false" outlineLevel="0" collapsed="false">
      <c r="A21" s="6" t="n">
        <v>6</v>
      </c>
      <c r="B21" s="6" t="s">
        <v>261</v>
      </c>
      <c r="C21" s="6" t="s">
        <v>262</v>
      </c>
    </row>
    <row r="22" customFormat="false" ht="15" hidden="false" customHeight="false" outlineLevel="0" collapsed="false">
      <c r="A22" s="6" t="n">
        <v>7</v>
      </c>
      <c r="B22" s="6" t="s">
        <v>263</v>
      </c>
      <c r="C22" s="6" t="s">
        <v>264</v>
      </c>
    </row>
    <row r="23" customFormat="false" ht="15" hidden="false" customHeight="false" outlineLevel="0" collapsed="false">
      <c r="A23" s="6" t="n">
        <v>8</v>
      </c>
      <c r="B23" s="6" t="s">
        <v>265</v>
      </c>
      <c r="C23" s="6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2026-10-22T18:48:57Z</dcterms:created>
  <dc:creator>openpyxl</dc:creator>
  <dc:description/>
  <dc:language>en-US</dc:language>
  <cp:lastModifiedBy/>
  <dcterms:modified xsi:type="dcterms:W3CDTF">2026-10-22T18:48:57Z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